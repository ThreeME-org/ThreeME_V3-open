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chartsheets/sheet21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ml.chartshapes+xml"/>
  <Override PartName="/xl/drawings/drawing22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JACQUETINF\Documents\documents\ThreeME_V3-ADEME\results\"/>
    </mc:Choice>
  </mc:AlternateContent>
  <bookViews>
    <workbookView xWindow="0" yWindow="0" windowWidth="19200" windowHeight="5890" activeTab="1"/>
  </bookViews>
  <sheets>
    <sheet name="Données" sheetId="2" r:id="rId1"/>
    <sheet name="Gr Macro" sheetId="5" r:id="rId2"/>
    <sheet name="Gr inflation" sheetId="6" r:id="rId3"/>
    <sheet name="Gr émissions" sheetId="7" r:id="rId4"/>
    <sheet name="Gr conso éner" sheetId="28" r:id="rId5"/>
    <sheet name="GR macro ener" sheetId="30" r:id="rId6"/>
    <sheet name="Gr éner prim" sheetId="29" r:id="rId7"/>
    <sheet name="BUIL (class,base)" sheetId="25" r:id="rId8"/>
    <sheet name="BUIL (class,shock)" sheetId="26" r:id="rId9"/>
    <sheet name="Auto (class,base)" sheetId="24" r:id="rId10"/>
    <sheet name="Auto (class,shock)" sheetId="23" r:id="rId11"/>
    <sheet name="Auto (ener,shock)" sheetId="21" r:id="rId12"/>
    <sheet name="Auto (ener,base)" sheetId="22" r:id="rId13"/>
    <sheet name="Employment" sheetId="16" r:id="rId14"/>
    <sheet name="Investment" sheetId="20" r:id="rId15"/>
    <sheet name="Firms' emissions" sheetId="27" r:id="rId16"/>
    <sheet name="Capital intensity" sheetId="17" r:id="rId17"/>
    <sheet name="Energy intensity" sheetId="18" r:id="rId18"/>
    <sheet name="Gr VA secteurs (% dev)" sheetId="12" r:id="rId19"/>
    <sheet name="Gr VA secteurs (% share)" sheetId="13" r:id="rId20"/>
    <sheet name="Gr Y secteurs (% dev)" sheetId="14" r:id="rId21"/>
    <sheet name="Gr Y secteurs (% share)" sheetId="15" r:id="rId22"/>
  </sheets>
  <externalReferences>
    <externalReference r:id="rId2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F523" i="2" l="1"/>
  <c r="BE523" i="2"/>
  <c r="BD523" i="2"/>
  <c r="BC523" i="2"/>
  <c r="BB523" i="2"/>
  <c r="BA523" i="2"/>
  <c r="AZ523" i="2"/>
  <c r="AY523" i="2"/>
  <c r="AX523" i="2"/>
  <c r="AW523" i="2"/>
  <c r="AV523" i="2"/>
  <c r="AU523" i="2"/>
  <c r="AT523" i="2"/>
  <c r="AS523" i="2"/>
  <c r="AR523" i="2"/>
  <c r="AQ523" i="2"/>
  <c r="AP523" i="2"/>
  <c r="AO523" i="2"/>
  <c r="AN523" i="2"/>
  <c r="AM523" i="2"/>
  <c r="AL523" i="2"/>
  <c r="AK523" i="2"/>
  <c r="AJ523" i="2"/>
  <c r="AI523" i="2"/>
  <c r="AH523" i="2"/>
  <c r="AG523" i="2"/>
  <c r="AF523" i="2"/>
  <c r="AE523" i="2"/>
  <c r="AD523" i="2"/>
  <c r="AC523" i="2"/>
  <c r="AB523" i="2"/>
  <c r="AA523" i="2"/>
  <c r="Z523" i="2"/>
  <c r="Y523" i="2"/>
  <c r="X523" i="2"/>
  <c r="W523" i="2"/>
  <c r="V523" i="2"/>
  <c r="U523" i="2"/>
  <c r="T523" i="2"/>
  <c r="S523" i="2"/>
  <c r="R523" i="2"/>
  <c r="Q523" i="2"/>
  <c r="P523" i="2"/>
  <c r="O523" i="2"/>
  <c r="N523" i="2"/>
  <c r="M523" i="2"/>
  <c r="L523" i="2"/>
  <c r="K523" i="2"/>
  <c r="J523" i="2"/>
  <c r="I523" i="2"/>
  <c r="H523" i="2"/>
  <c r="G523" i="2"/>
  <c r="F523" i="2"/>
  <c r="E523" i="2"/>
  <c r="D523" i="2"/>
  <c r="C523" i="2"/>
  <c r="B523" i="2"/>
  <c r="BF522" i="2"/>
  <c r="BE522" i="2"/>
  <c r="BD522" i="2"/>
  <c r="BC522" i="2"/>
  <c r="BB522" i="2"/>
  <c r="BA522" i="2"/>
  <c r="AZ522" i="2"/>
  <c r="AY522" i="2"/>
  <c r="AX522" i="2"/>
  <c r="AW522" i="2"/>
  <c r="AV522" i="2"/>
  <c r="AU522" i="2"/>
  <c r="AT522" i="2"/>
  <c r="AS522" i="2"/>
  <c r="AR522" i="2"/>
  <c r="AQ522" i="2"/>
  <c r="AP522" i="2"/>
  <c r="AO522" i="2"/>
  <c r="AN522" i="2"/>
  <c r="AM522" i="2"/>
  <c r="AL522" i="2"/>
  <c r="AK522" i="2"/>
  <c r="AJ522" i="2"/>
  <c r="AI522" i="2"/>
  <c r="AH522" i="2"/>
  <c r="AG522" i="2"/>
  <c r="AF522" i="2"/>
  <c r="AE522" i="2"/>
  <c r="AD522" i="2"/>
  <c r="AC522" i="2"/>
  <c r="AB522" i="2"/>
  <c r="AA522" i="2"/>
  <c r="Z522" i="2"/>
  <c r="Y522" i="2"/>
  <c r="X522" i="2"/>
  <c r="W522" i="2"/>
  <c r="V522" i="2"/>
  <c r="U522" i="2"/>
  <c r="T522" i="2"/>
  <c r="S522" i="2"/>
  <c r="R522" i="2"/>
  <c r="Q522" i="2"/>
  <c r="P522" i="2"/>
  <c r="O522" i="2"/>
  <c r="N522" i="2"/>
  <c r="M522" i="2"/>
  <c r="L522" i="2"/>
  <c r="K522" i="2"/>
  <c r="J522" i="2"/>
  <c r="I522" i="2"/>
  <c r="H522" i="2"/>
  <c r="G522" i="2"/>
  <c r="F522" i="2"/>
  <c r="E522" i="2"/>
  <c r="D522" i="2"/>
  <c r="C522" i="2"/>
  <c r="B522" i="2"/>
  <c r="BF521" i="2"/>
  <c r="BE521" i="2"/>
  <c r="BD521" i="2"/>
  <c r="BC521" i="2"/>
  <c r="BB521" i="2"/>
  <c r="BA521" i="2"/>
  <c r="AZ521" i="2"/>
  <c r="AY521" i="2"/>
  <c r="AX521" i="2"/>
  <c r="AW521" i="2"/>
  <c r="AV521" i="2"/>
  <c r="AU521" i="2"/>
  <c r="AT521" i="2"/>
  <c r="AS521" i="2"/>
  <c r="AR521" i="2"/>
  <c r="AQ521" i="2"/>
  <c r="AP521" i="2"/>
  <c r="AO521" i="2"/>
  <c r="AN521" i="2"/>
  <c r="AM521" i="2"/>
  <c r="AL521" i="2"/>
  <c r="AK521" i="2"/>
  <c r="AJ521" i="2"/>
  <c r="AI521" i="2"/>
  <c r="AH521" i="2"/>
  <c r="AG521" i="2"/>
  <c r="AF521" i="2"/>
  <c r="AE521" i="2"/>
  <c r="AD521" i="2"/>
  <c r="AC521" i="2"/>
  <c r="AB521" i="2"/>
  <c r="AA521" i="2"/>
  <c r="Z521" i="2"/>
  <c r="Y521" i="2"/>
  <c r="X521" i="2"/>
  <c r="W521" i="2"/>
  <c r="V521" i="2"/>
  <c r="U521" i="2"/>
  <c r="T521" i="2"/>
  <c r="S521" i="2"/>
  <c r="R521" i="2"/>
  <c r="Q521" i="2"/>
  <c r="P521" i="2"/>
  <c r="O521" i="2"/>
  <c r="N521" i="2"/>
  <c r="M521" i="2"/>
  <c r="L521" i="2"/>
  <c r="K521" i="2"/>
  <c r="J521" i="2"/>
  <c r="I521" i="2"/>
  <c r="H521" i="2"/>
  <c r="G521" i="2"/>
  <c r="F521" i="2"/>
  <c r="E521" i="2"/>
  <c r="D521" i="2"/>
  <c r="C521" i="2"/>
  <c r="B521" i="2"/>
  <c r="BF520" i="2"/>
  <c r="BE520" i="2"/>
  <c r="BD520" i="2"/>
  <c r="BC520" i="2"/>
  <c r="BB520" i="2"/>
  <c r="BA520" i="2"/>
  <c r="AZ520" i="2"/>
  <c r="AY520" i="2"/>
  <c r="AX520" i="2"/>
  <c r="AW520" i="2"/>
  <c r="AV520" i="2"/>
  <c r="AU520" i="2"/>
  <c r="AT520" i="2"/>
  <c r="AS520" i="2"/>
  <c r="AR520" i="2"/>
  <c r="AQ520" i="2"/>
  <c r="AP520" i="2"/>
  <c r="AO520" i="2"/>
  <c r="AN520" i="2"/>
  <c r="AM520" i="2"/>
  <c r="AL520" i="2"/>
  <c r="AK520" i="2"/>
  <c r="AJ520" i="2"/>
  <c r="AI520" i="2"/>
  <c r="AH520" i="2"/>
  <c r="AG520" i="2"/>
  <c r="AF520" i="2"/>
  <c r="AE520" i="2"/>
  <c r="AD520" i="2"/>
  <c r="AC520" i="2"/>
  <c r="AB520" i="2"/>
  <c r="AA520" i="2"/>
  <c r="Z520" i="2"/>
  <c r="Y520" i="2"/>
  <c r="X520" i="2"/>
  <c r="W520" i="2"/>
  <c r="V520" i="2"/>
  <c r="U520" i="2"/>
  <c r="T520" i="2"/>
  <c r="S520" i="2"/>
  <c r="R520" i="2"/>
  <c r="Q520" i="2"/>
  <c r="P520" i="2"/>
  <c r="O520" i="2"/>
  <c r="N520" i="2"/>
  <c r="M520" i="2"/>
  <c r="L520" i="2"/>
  <c r="K520" i="2"/>
  <c r="J520" i="2"/>
  <c r="I520" i="2"/>
  <c r="H520" i="2"/>
  <c r="G520" i="2"/>
  <c r="F520" i="2"/>
  <c r="E520" i="2"/>
  <c r="D520" i="2"/>
  <c r="C520" i="2"/>
  <c r="B520" i="2"/>
  <c r="BF519" i="2"/>
  <c r="BE519" i="2"/>
  <c r="BD519" i="2"/>
  <c r="BC519" i="2"/>
  <c r="BB519" i="2"/>
  <c r="BA519" i="2"/>
  <c r="AZ519" i="2"/>
  <c r="AY519" i="2"/>
  <c r="AX519" i="2"/>
  <c r="AW519" i="2"/>
  <c r="AV519" i="2"/>
  <c r="AU519" i="2"/>
  <c r="AT519" i="2"/>
  <c r="AS519" i="2"/>
  <c r="AR519" i="2"/>
  <c r="AQ519" i="2"/>
  <c r="AP519" i="2"/>
  <c r="AO519" i="2"/>
  <c r="AN519" i="2"/>
  <c r="AM519" i="2"/>
  <c r="AL519" i="2"/>
  <c r="AK519" i="2"/>
  <c r="AJ519" i="2"/>
  <c r="AI519" i="2"/>
  <c r="AH519" i="2"/>
  <c r="AG519" i="2"/>
  <c r="AF519" i="2"/>
  <c r="AE519" i="2"/>
  <c r="AD519" i="2"/>
  <c r="AC519" i="2"/>
  <c r="AB519" i="2"/>
  <c r="AA519" i="2"/>
  <c r="Z519" i="2"/>
  <c r="Y519" i="2"/>
  <c r="X519" i="2"/>
  <c r="W519" i="2"/>
  <c r="V519" i="2"/>
  <c r="U519" i="2"/>
  <c r="T519" i="2"/>
  <c r="S519" i="2"/>
  <c r="R519" i="2"/>
  <c r="Q519" i="2"/>
  <c r="P519" i="2"/>
  <c r="O519" i="2"/>
  <c r="N519" i="2"/>
  <c r="M519" i="2"/>
  <c r="L519" i="2"/>
  <c r="K519" i="2"/>
  <c r="J519" i="2"/>
  <c r="I519" i="2"/>
  <c r="H519" i="2"/>
  <c r="G519" i="2"/>
  <c r="F519" i="2"/>
  <c r="E519" i="2"/>
  <c r="D519" i="2"/>
  <c r="C519" i="2"/>
  <c r="B519" i="2"/>
  <c r="BF517" i="2"/>
  <c r="BE517" i="2"/>
  <c r="BD517" i="2"/>
  <c r="BC517" i="2"/>
  <c r="BB517" i="2"/>
  <c r="BA517" i="2"/>
  <c r="AZ517" i="2"/>
  <c r="AY517" i="2"/>
  <c r="AX517" i="2"/>
  <c r="AW517" i="2"/>
  <c r="AV517" i="2"/>
  <c r="AU517" i="2"/>
  <c r="AT517" i="2"/>
  <c r="AS517" i="2"/>
  <c r="AR517" i="2"/>
  <c r="AQ517" i="2"/>
  <c r="AP517" i="2"/>
  <c r="AO517" i="2"/>
  <c r="AN517" i="2"/>
  <c r="AM517" i="2"/>
  <c r="AL517" i="2"/>
  <c r="AK517" i="2"/>
  <c r="AJ517" i="2"/>
  <c r="AI517" i="2"/>
  <c r="AH517" i="2"/>
  <c r="AG517" i="2"/>
  <c r="AF517" i="2"/>
  <c r="AE517" i="2"/>
  <c r="AD517" i="2"/>
  <c r="AC517" i="2"/>
  <c r="AB517" i="2"/>
  <c r="AA517" i="2"/>
  <c r="Z517" i="2"/>
  <c r="Y517" i="2"/>
  <c r="X517" i="2"/>
  <c r="W517" i="2"/>
  <c r="V517" i="2"/>
  <c r="U517" i="2"/>
  <c r="T517" i="2"/>
  <c r="S517" i="2"/>
  <c r="R517" i="2"/>
  <c r="Q517" i="2"/>
  <c r="P517" i="2"/>
  <c r="O517" i="2"/>
  <c r="N517" i="2"/>
  <c r="M517" i="2"/>
  <c r="L517" i="2"/>
  <c r="K517" i="2"/>
  <c r="J517" i="2"/>
  <c r="I517" i="2"/>
  <c r="H517" i="2"/>
  <c r="G517" i="2"/>
  <c r="F517" i="2"/>
  <c r="E517" i="2"/>
  <c r="D517" i="2"/>
  <c r="C517" i="2"/>
  <c r="B517" i="2"/>
  <c r="BF516" i="2"/>
  <c r="BE516" i="2"/>
  <c r="BD516" i="2"/>
  <c r="BC516" i="2"/>
  <c r="BB516" i="2"/>
  <c r="BA516" i="2"/>
  <c r="AZ516" i="2"/>
  <c r="AY516" i="2"/>
  <c r="AX516" i="2"/>
  <c r="AW516" i="2"/>
  <c r="AV516" i="2"/>
  <c r="AU516" i="2"/>
  <c r="AT516" i="2"/>
  <c r="AS516" i="2"/>
  <c r="AR516" i="2"/>
  <c r="AQ516" i="2"/>
  <c r="AP516" i="2"/>
  <c r="AO516" i="2"/>
  <c r="AN516" i="2"/>
  <c r="AM516" i="2"/>
  <c r="AL516" i="2"/>
  <c r="AK516" i="2"/>
  <c r="AJ516" i="2"/>
  <c r="AI516" i="2"/>
  <c r="AH516" i="2"/>
  <c r="AG516" i="2"/>
  <c r="AF516" i="2"/>
  <c r="AE516" i="2"/>
  <c r="AD516" i="2"/>
  <c r="AC516" i="2"/>
  <c r="AB516" i="2"/>
  <c r="AA516" i="2"/>
  <c r="Z516" i="2"/>
  <c r="Y516" i="2"/>
  <c r="X516" i="2"/>
  <c r="W516" i="2"/>
  <c r="V516" i="2"/>
  <c r="U516" i="2"/>
  <c r="T516" i="2"/>
  <c r="S516" i="2"/>
  <c r="R516" i="2"/>
  <c r="Q516" i="2"/>
  <c r="P516" i="2"/>
  <c r="O516" i="2"/>
  <c r="N516" i="2"/>
  <c r="M516" i="2"/>
  <c r="L516" i="2"/>
  <c r="K516" i="2"/>
  <c r="J516" i="2"/>
  <c r="I516" i="2"/>
  <c r="H516" i="2"/>
  <c r="G516" i="2"/>
  <c r="F516" i="2"/>
  <c r="E516" i="2"/>
  <c r="D516" i="2"/>
  <c r="C516" i="2"/>
  <c r="B516" i="2"/>
  <c r="BF515" i="2"/>
  <c r="BE515" i="2"/>
  <c r="BD515" i="2"/>
  <c r="BC515" i="2"/>
  <c r="BB515" i="2"/>
  <c r="BA515" i="2"/>
  <c r="AZ515" i="2"/>
  <c r="AY515" i="2"/>
  <c r="AX515" i="2"/>
  <c r="AW515" i="2"/>
  <c r="AV515" i="2"/>
  <c r="AU515" i="2"/>
  <c r="AT515" i="2"/>
  <c r="AS515" i="2"/>
  <c r="AR515" i="2"/>
  <c r="AQ515" i="2"/>
  <c r="AP515" i="2"/>
  <c r="AO515" i="2"/>
  <c r="AN515" i="2"/>
  <c r="AM515" i="2"/>
  <c r="AL515" i="2"/>
  <c r="AK515" i="2"/>
  <c r="AJ515" i="2"/>
  <c r="AI515" i="2"/>
  <c r="AH515" i="2"/>
  <c r="AG515" i="2"/>
  <c r="AF515" i="2"/>
  <c r="AE515" i="2"/>
  <c r="AD515" i="2"/>
  <c r="AC515" i="2"/>
  <c r="AB515" i="2"/>
  <c r="AA515" i="2"/>
  <c r="Z515" i="2"/>
  <c r="Y515" i="2"/>
  <c r="X515" i="2"/>
  <c r="W515" i="2"/>
  <c r="V515" i="2"/>
  <c r="U515" i="2"/>
  <c r="T515" i="2"/>
  <c r="S515" i="2"/>
  <c r="R515" i="2"/>
  <c r="Q515" i="2"/>
  <c r="P515" i="2"/>
  <c r="O515" i="2"/>
  <c r="N515" i="2"/>
  <c r="M515" i="2"/>
  <c r="L515" i="2"/>
  <c r="K515" i="2"/>
  <c r="J515" i="2"/>
  <c r="I515" i="2"/>
  <c r="H515" i="2"/>
  <c r="G515" i="2"/>
  <c r="F515" i="2"/>
  <c r="E515" i="2"/>
  <c r="D515" i="2"/>
  <c r="C515" i="2"/>
  <c r="B515" i="2"/>
  <c r="BF514" i="2"/>
  <c r="BE514" i="2"/>
  <c r="BD514" i="2"/>
  <c r="BC514" i="2"/>
  <c r="BB514" i="2"/>
  <c r="BA514" i="2"/>
  <c r="AZ514" i="2"/>
  <c r="AY514" i="2"/>
  <c r="AX514" i="2"/>
  <c r="AW514" i="2"/>
  <c r="AV514" i="2"/>
  <c r="AU514" i="2"/>
  <c r="AT514" i="2"/>
  <c r="AS514" i="2"/>
  <c r="AR514" i="2"/>
  <c r="AQ514" i="2"/>
  <c r="AP514" i="2"/>
  <c r="AO514" i="2"/>
  <c r="AN514" i="2"/>
  <c r="AM514" i="2"/>
  <c r="AL514" i="2"/>
  <c r="AK514" i="2"/>
  <c r="AJ514" i="2"/>
  <c r="AI514" i="2"/>
  <c r="AH514" i="2"/>
  <c r="AG514" i="2"/>
  <c r="AF514" i="2"/>
  <c r="AE514" i="2"/>
  <c r="AD514" i="2"/>
  <c r="AC514" i="2"/>
  <c r="AB514" i="2"/>
  <c r="AA514" i="2"/>
  <c r="Z514" i="2"/>
  <c r="Y514" i="2"/>
  <c r="X514" i="2"/>
  <c r="W514" i="2"/>
  <c r="V514" i="2"/>
  <c r="U514" i="2"/>
  <c r="T514" i="2"/>
  <c r="S514" i="2"/>
  <c r="R514" i="2"/>
  <c r="Q514" i="2"/>
  <c r="P514" i="2"/>
  <c r="O514" i="2"/>
  <c r="N514" i="2"/>
  <c r="M514" i="2"/>
  <c r="L514" i="2"/>
  <c r="K514" i="2"/>
  <c r="J514" i="2"/>
  <c r="I514" i="2"/>
  <c r="H514" i="2"/>
  <c r="G514" i="2"/>
  <c r="F514" i="2"/>
  <c r="E514" i="2"/>
  <c r="D514" i="2"/>
  <c r="C514" i="2"/>
  <c r="B514" i="2"/>
  <c r="BF513" i="2"/>
  <c r="BE513" i="2"/>
  <c r="BD513" i="2"/>
  <c r="BC513" i="2"/>
  <c r="BB513" i="2"/>
  <c r="BA513" i="2"/>
  <c r="AZ513" i="2"/>
  <c r="AY513" i="2"/>
  <c r="AX513" i="2"/>
  <c r="AW513" i="2"/>
  <c r="AV513" i="2"/>
  <c r="AU513" i="2"/>
  <c r="AT513" i="2"/>
  <c r="AS513" i="2"/>
  <c r="AR513" i="2"/>
  <c r="AQ513" i="2"/>
  <c r="AP513" i="2"/>
  <c r="AO513" i="2"/>
  <c r="AN513" i="2"/>
  <c r="AM513" i="2"/>
  <c r="AL513" i="2"/>
  <c r="AK513" i="2"/>
  <c r="AJ513" i="2"/>
  <c r="AI513" i="2"/>
  <c r="AH513" i="2"/>
  <c r="AG513" i="2"/>
  <c r="AF513" i="2"/>
  <c r="AE513" i="2"/>
  <c r="AD513" i="2"/>
  <c r="AC513" i="2"/>
  <c r="AB513" i="2"/>
  <c r="AA513" i="2"/>
  <c r="Z513" i="2"/>
  <c r="Y513" i="2"/>
  <c r="X513" i="2"/>
  <c r="W513" i="2"/>
  <c r="V513" i="2"/>
  <c r="U513" i="2"/>
  <c r="T513" i="2"/>
  <c r="S513" i="2"/>
  <c r="R513" i="2"/>
  <c r="Q513" i="2"/>
  <c r="P513" i="2"/>
  <c r="O513" i="2"/>
  <c r="N513" i="2"/>
  <c r="M513" i="2"/>
  <c r="L513" i="2"/>
  <c r="K513" i="2"/>
  <c r="J513" i="2"/>
  <c r="I513" i="2"/>
  <c r="H513" i="2"/>
  <c r="G513" i="2"/>
  <c r="F513" i="2"/>
  <c r="E513" i="2"/>
  <c r="D513" i="2"/>
  <c r="C513" i="2"/>
  <c r="B513" i="2"/>
  <c r="BF359" i="2"/>
  <c r="BE359" i="2"/>
  <c r="BD359" i="2"/>
  <c r="BC359" i="2"/>
  <c r="BB359" i="2"/>
  <c r="BA359" i="2"/>
  <c r="AZ359" i="2"/>
  <c r="AY359" i="2"/>
  <c r="AX359" i="2"/>
  <c r="AW359" i="2"/>
  <c r="AV359" i="2"/>
  <c r="AU359" i="2"/>
  <c r="AT359" i="2"/>
  <c r="AS359" i="2"/>
  <c r="AR359" i="2"/>
  <c r="AQ359" i="2"/>
  <c r="AP359" i="2"/>
  <c r="AO359" i="2"/>
  <c r="AN359" i="2"/>
  <c r="AM359" i="2"/>
  <c r="AL359" i="2"/>
  <c r="AK359" i="2"/>
  <c r="AJ359" i="2"/>
  <c r="AI359" i="2"/>
  <c r="AH359" i="2"/>
  <c r="AG359" i="2"/>
  <c r="AF359" i="2"/>
  <c r="AE359" i="2"/>
  <c r="AD359" i="2"/>
  <c r="AC359" i="2"/>
  <c r="AB359" i="2"/>
  <c r="AA359" i="2"/>
  <c r="Z359" i="2"/>
  <c r="Y359" i="2"/>
  <c r="X359" i="2"/>
  <c r="W359" i="2"/>
  <c r="V359" i="2"/>
  <c r="U359" i="2"/>
  <c r="T359" i="2"/>
  <c r="S359" i="2"/>
  <c r="R359" i="2"/>
  <c r="Q359" i="2"/>
  <c r="P359" i="2"/>
  <c r="O359" i="2"/>
  <c r="N359" i="2"/>
  <c r="M359" i="2"/>
  <c r="L359" i="2"/>
  <c r="K359" i="2"/>
  <c r="J359" i="2"/>
  <c r="I359" i="2"/>
  <c r="H359" i="2"/>
  <c r="G359" i="2"/>
  <c r="F359" i="2"/>
  <c r="E359" i="2"/>
  <c r="D359" i="2"/>
  <c r="C359" i="2"/>
  <c r="B359" i="2"/>
  <c r="BF358" i="2"/>
  <c r="BE358" i="2"/>
  <c r="BD358" i="2"/>
  <c r="BC358" i="2"/>
  <c r="BB358" i="2"/>
  <c r="BA358" i="2"/>
  <c r="AZ358" i="2"/>
  <c r="AY358" i="2"/>
  <c r="AX358" i="2"/>
  <c r="AW358" i="2"/>
  <c r="AV358" i="2"/>
  <c r="AU358" i="2"/>
  <c r="AT358" i="2"/>
  <c r="AS358" i="2"/>
  <c r="AR358" i="2"/>
  <c r="AQ358" i="2"/>
  <c r="AP358" i="2"/>
  <c r="AO358" i="2"/>
  <c r="AN358" i="2"/>
  <c r="AM358" i="2"/>
  <c r="AL358" i="2"/>
  <c r="AK358" i="2"/>
  <c r="AJ358" i="2"/>
  <c r="AI358" i="2"/>
  <c r="AH358" i="2"/>
  <c r="AG358" i="2"/>
  <c r="AF358" i="2"/>
  <c r="AE358" i="2"/>
  <c r="AD358" i="2"/>
  <c r="AC358" i="2"/>
  <c r="AB358" i="2"/>
  <c r="AA358" i="2"/>
  <c r="Z358" i="2"/>
  <c r="Y358" i="2"/>
  <c r="X358" i="2"/>
  <c r="W358" i="2"/>
  <c r="V358" i="2"/>
  <c r="U358" i="2"/>
  <c r="T358" i="2"/>
  <c r="S358" i="2"/>
  <c r="R358" i="2"/>
  <c r="Q358" i="2"/>
  <c r="P358" i="2"/>
  <c r="O358" i="2"/>
  <c r="N358" i="2"/>
  <c r="M358" i="2"/>
  <c r="L358" i="2"/>
  <c r="K358" i="2"/>
  <c r="J358" i="2"/>
  <c r="I358" i="2"/>
  <c r="H358" i="2"/>
  <c r="G358" i="2"/>
  <c r="F358" i="2"/>
  <c r="E358" i="2"/>
  <c r="D358" i="2"/>
  <c r="C358" i="2"/>
  <c r="B358" i="2"/>
  <c r="BF357" i="2"/>
  <c r="BE357" i="2"/>
  <c r="BD357" i="2"/>
  <c r="BC357" i="2"/>
  <c r="BB357" i="2"/>
  <c r="BA357" i="2"/>
  <c r="AZ357" i="2"/>
  <c r="AY357" i="2"/>
  <c r="AX357" i="2"/>
  <c r="AW357" i="2"/>
  <c r="AV357" i="2"/>
  <c r="AU357" i="2"/>
  <c r="AT357" i="2"/>
  <c r="AS357" i="2"/>
  <c r="AR357" i="2"/>
  <c r="AQ357" i="2"/>
  <c r="AP357" i="2"/>
  <c r="AO357" i="2"/>
  <c r="AN357" i="2"/>
  <c r="AM357" i="2"/>
  <c r="AL357" i="2"/>
  <c r="AK357" i="2"/>
  <c r="AJ357" i="2"/>
  <c r="AI357" i="2"/>
  <c r="AH357" i="2"/>
  <c r="AG357" i="2"/>
  <c r="AF357" i="2"/>
  <c r="AE357" i="2"/>
  <c r="AD357" i="2"/>
  <c r="AC357" i="2"/>
  <c r="AB357" i="2"/>
  <c r="AA357" i="2"/>
  <c r="Z357" i="2"/>
  <c r="Y357" i="2"/>
  <c r="X357" i="2"/>
  <c r="W357" i="2"/>
  <c r="V357" i="2"/>
  <c r="U357" i="2"/>
  <c r="T357" i="2"/>
  <c r="S357" i="2"/>
  <c r="R357" i="2"/>
  <c r="Q357" i="2"/>
  <c r="P357" i="2"/>
  <c r="O357" i="2"/>
  <c r="N357" i="2"/>
  <c r="M357" i="2"/>
  <c r="L357" i="2"/>
  <c r="K357" i="2"/>
  <c r="J357" i="2"/>
  <c r="I357" i="2"/>
  <c r="H357" i="2"/>
  <c r="G357" i="2"/>
  <c r="F357" i="2"/>
  <c r="E357" i="2"/>
  <c r="D357" i="2"/>
  <c r="C357" i="2"/>
  <c r="B357" i="2"/>
  <c r="BF356" i="2"/>
  <c r="BE356" i="2"/>
  <c r="BD356" i="2"/>
  <c r="BC356" i="2"/>
  <c r="BB356" i="2"/>
  <c r="BA356" i="2"/>
  <c r="AZ356" i="2"/>
  <c r="AY356" i="2"/>
  <c r="AX356" i="2"/>
  <c r="AW356" i="2"/>
  <c r="AV356" i="2"/>
  <c r="AU356" i="2"/>
  <c r="AT356" i="2"/>
  <c r="AS356" i="2"/>
  <c r="AR356" i="2"/>
  <c r="AQ356" i="2"/>
  <c r="AP356" i="2"/>
  <c r="AO356" i="2"/>
  <c r="AN356" i="2"/>
  <c r="AM356" i="2"/>
  <c r="AL356" i="2"/>
  <c r="AK356" i="2"/>
  <c r="AJ356" i="2"/>
  <c r="AI356" i="2"/>
  <c r="AH356" i="2"/>
  <c r="AG356" i="2"/>
  <c r="AF356" i="2"/>
  <c r="AE356" i="2"/>
  <c r="AD356" i="2"/>
  <c r="AC356" i="2"/>
  <c r="AB356" i="2"/>
  <c r="AA356" i="2"/>
  <c r="Z356" i="2"/>
  <c r="Y356" i="2"/>
  <c r="X356" i="2"/>
  <c r="W356" i="2"/>
  <c r="V356" i="2"/>
  <c r="U356" i="2"/>
  <c r="T356" i="2"/>
  <c r="S356" i="2"/>
  <c r="R356" i="2"/>
  <c r="Q356" i="2"/>
  <c r="P356" i="2"/>
  <c r="O356" i="2"/>
  <c r="N356" i="2"/>
  <c r="M356" i="2"/>
  <c r="L356" i="2"/>
  <c r="K356" i="2"/>
  <c r="J356" i="2"/>
  <c r="I356" i="2"/>
  <c r="H356" i="2"/>
  <c r="G356" i="2"/>
  <c r="F356" i="2"/>
  <c r="E356" i="2"/>
  <c r="D356" i="2"/>
  <c r="C356" i="2"/>
  <c r="B356" i="2"/>
  <c r="BF355" i="2"/>
  <c r="BE355" i="2"/>
  <c r="BD355" i="2"/>
  <c r="BC355" i="2"/>
  <c r="BB355" i="2"/>
  <c r="BA355" i="2"/>
  <c r="AZ355" i="2"/>
  <c r="AY355" i="2"/>
  <c r="AX355" i="2"/>
  <c r="AW355" i="2"/>
  <c r="AV355" i="2"/>
  <c r="AU355" i="2"/>
  <c r="AT355" i="2"/>
  <c r="AS355" i="2"/>
  <c r="AR355" i="2"/>
  <c r="AQ355" i="2"/>
  <c r="AP355" i="2"/>
  <c r="AO355" i="2"/>
  <c r="AN355" i="2"/>
  <c r="AM355" i="2"/>
  <c r="AL355" i="2"/>
  <c r="AK355" i="2"/>
  <c r="AJ355" i="2"/>
  <c r="AI355" i="2"/>
  <c r="AH355" i="2"/>
  <c r="AG355" i="2"/>
  <c r="AF355" i="2"/>
  <c r="AE355" i="2"/>
  <c r="AD355" i="2"/>
  <c r="AC355" i="2"/>
  <c r="AB355" i="2"/>
  <c r="AA355" i="2"/>
  <c r="Z355" i="2"/>
  <c r="Y355" i="2"/>
  <c r="X355" i="2"/>
  <c r="W355" i="2"/>
  <c r="V355" i="2"/>
  <c r="U355" i="2"/>
  <c r="T355" i="2"/>
  <c r="S355" i="2"/>
  <c r="R355" i="2"/>
  <c r="Q355" i="2"/>
  <c r="P355" i="2"/>
  <c r="O355" i="2"/>
  <c r="N355" i="2"/>
  <c r="M355" i="2"/>
  <c r="L355" i="2"/>
  <c r="K355" i="2"/>
  <c r="J355" i="2"/>
  <c r="I355" i="2"/>
  <c r="H355" i="2"/>
  <c r="G355" i="2"/>
  <c r="F355" i="2"/>
  <c r="E355" i="2"/>
  <c r="D355" i="2"/>
  <c r="C355" i="2"/>
  <c r="B355" i="2"/>
  <c r="BF354" i="2"/>
  <c r="BE354" i="2"/>
  <c r="BD354" i="2"/>
  <c r="BC354" i="2"/>
  <c r="BB354" i="2"/>
  <c r="BA354" i="2"/>
  <c r="AZ354" i="2"/>
  <c r="AY354" i="2"/>
  <c r="AX354" i="2"/>
  <c r="AW354" i="2"/>
  <c r="AV354" i="2"/>
  <c r="AU354" i="2"/>
  <c r="AT354" i="2"/>
  <c r="AS354" i="2"/>
  <c r="AR354" i="2"/>
  <c r="AQ354" i="2"/>
  <c r="AP354" i="2"/>
  <c r="AO354" i="2"/>
  <c r="AN354" i="2"/>
  <c r="AM354" i="2"/>
  <c r="AL354" i="2"/>
  <c r="AK354" i="2"/>
  <c r="AJ354" i="2"/>
  <c r="AI354" i="2"/>
  <c r="AH354" i="2"/>
  <c r="AG354" i="2"/>
  <c r="AF354" i="2"/>
  <c r="AE354" i="2"/>
  <c r="AD354" i="2"/>
  <c r="AC354" i="2"/>
  <c r="AB354" i="2"/>
  <c r="AA354" i="2"/>
  <c r="Z354" i="2"/>
  <c r="Y354" i="2"/>
  <c r="X354" i="2"/>
  <c r="W354" i="2"/>
  <c r="V354" i="2"/>
  <c r="U354" i="2"/>
  <c r="T354" i="2"/>
  <c r="S354" i="2"/>
  <c r="R354" i="2"/>
  <c r="Q354" i="2"/>
  <c r="P354" i="2"/>
  <c r="O354" i="2"/>
  <c r="N354" i="2"/>
  <c r="M354" i="2"/>
  <c r="L354" i="2"/>
  <c r="K354" i="2"/>
  <c r="J354" i="2"/>
  <c r="I354" i="2"/>
  <c r="H354" i="2"/>
  <c r="G354" i="2"/>
  <c r="F354" i="2"/>
  <c r="E354" i="2"/>
  <c r="D354" i="2"/>
  <c r="C354" i="2"/>
  <c r="B354" i="2"/>
  <c r="BF353" i="2"/>
  <c r="BE353" i="2"/>
  <c r="BD353" i="2"/>
  <c r="BC353" i="2"/>
  <c r="BB353" i="2"/>
  <c r="BA353" i="2"/>
  <c r="AZ353" i="2"/>
  <c r="AY353" i="2"/>
  <c r="AX353" i="2"/>
  <c r="AW353" i="2"/>
  <c r="AV353" i="2"/>
  <c r="AU353" i="2"/>
  <c r="AT353" i="2"/>
  <c r="AS353" i="2"/>
  <c r="AR353" i="2"/>
  <c r="AQ353" i="2"/>
  <c r="AP353" i="2"/>
  <c r="AO353" i="2"/>
  <c r="AN353" i="2"/>
  <c r="AM353" i="2"/>
  <c r="AL353" i="2"/>
  <c r="AK353" i="2"/>
  <c r="AJ353" i="2"/>
  <c r="AI353" i="2"/>
  <c r="AH353" i="2"/>
  <c r="AG353" i="2"/>
  <c r="AF353" i="2"/>
  <c r="AE353" i="2"/>
  <c r="AD353" i="2"/>
  <c r="AC353" i="2"/>
  <c r="AB353" i="2"/>
  <c r="AA353" i="2"/>
  <c r="Z353" i="2"/>
  <c r="Y353" i="2"/>
  <c r="X353" i="2"/>
  <c r="W353" i="2"/>
  <c r="V353" i="2"/>
  <c r="U353" i="2"/>
  <c r="T353" i="2"/>
  <c r="S353" i="2"/>
  <c r="R353" i="2"/>
  <c r="Q353" i="2"/>
  <c r="P353" i="2"/>
  <c r="O353" i="2"/>
  <c r="N353" i="2"/>
  <c r="M353" i="2"/>
  <c r="L353" i="2"/>
  <c r="K353" i="2"/>
  <c r="J353" i="2"/>
  <c r="I353" i="2"/>
  <c r="H353" i="2"/>
  <c r="G353" i="2"/>
  <c r="F353" i="2"/>
  <c r="E353" i="2"/>
  <c r="D353" i="2"/>
  <c r="C353" i="2"/>
  <c r="B353" i="2"/>
  <c r="BF352" i="2"/>
  <c r="BE352" i="2"/>
  <c r="BD352" i="2"/>
  <c r="BC352" i="2"/>
  <c r="BB352" i="2"/>
  <c r="BA352" i="2"/>
  <c r="AZ352" i="2"/>
  <c r="AY352" i="2"/>
  <c r="AX352" i="2"/>
  <c r="AW352" i="2"/>
  <c r="AV352" i="2"/>
  <c r="AU352" i="2"/>
  <c r="AT352" i="2"/>
  <c r="AS352" i="2"/>
  <c r="AR352" i="2"/>
  <c r="AQ352" i="2"/>
  <c r="AP352" i="2"/>
  <c r="AO352" i="2"/>
  <c r="AN352" i="2"/>
  <c r="AM352" i="2"/>
  <c r="AL352" i="2"/>
  <c r="AK352" i="2"/>
  <c r="AJ352" i="2"/>
  <c r="AI352" i="2"/>
  <c r="AH352" i="2"/>
  <c r="AG352" i="2"/>
  <c r="AF352" i="2"/>
  <c r="AE352" i="2"/>
  <c r="AD352" i="2"/>
  <c r="AC352" i="2"/>
  <c r="AB352" i="2"/>
  <c r="AA352" i="2"/>
  <c r="Z352" i="2"/>
  <c r="Y352" i="2"/>
  <c r="X352" i="2"/>
  <c r="W352" i="2"/>
  <c r="V352" i="2"/>
  <c r="U352" i="2"/>
  <c r="T352" i="2"/>
  <c r="S352" i="2"/>
  <c r="R352" i="2"/>
  <c r="Q352" i="2"/>
  <c r="P352" i="2"/>
  <c r="O352" i="2"/>
  <c r="N352" i="2"/>
  <c r="M352" i="2"/>
  <c r="L352" i="2"/>
  <c r="K352" i="2"/>
  <c r="J352" i="2"/>
  <c r="I352" i="2"/>
  <c r="H352" i="2"/>
  <c r="G352" i="2"/>
  <c r="F352" i="2"/>
  <c r="E352" i="2"/>
  <c r="D352" i="2"/>
  <c r="C352" i="2"/>
  <c r="B352" i="2"/>
  <c r="BF351" i="2"/>
  <c r="BE351" i="2"/>
  <c r="BD351" i="2"/>
  <c r="BC351" i="2"/>
  <c r="BB351" i="2"/>
  <c r="BA351" i="2"/>
  <c r="AZ351" i="2"/>
  <c r="AY351" i="2"/>
  <c r="AX351" i="2"/>
  <c r="AW351" i="2"/>
  <c r="AV351" i="2"/>
  <c r="AU351" i="2"/>
  <c r="AT351" i="2"/>
  <c r="AS351" i="2"/>
  <c r="AR351" i="2"/>
  <c r="AQ351" i="2"/>
  <c r="AP351" i="2"/>
  <c r="AO351" i="2"/>
  <c r="AN351" i="2"/>
  <c r="AM351" i="2"/>
  <c r="AL351" i="2"/>
  <c r="AK351" i="2"/>
  <c r="AJ351" i="2"/>
  <c r="AI351" i="2"/>
  <c r="AH351" i="2"/>
  <c r="AG351" i="2"/>
  <c r="AF351" i="2"/>
  <c r="AE351" i="2"/>
  <c r="AD351" i="2"/>
  <c r="AC351" i="2"/>
  <c r="AB351" i="2"/>
  <c r="AA351" i="2"/>
  <c r="Z351" i="2"/>
  <c r="Y351" i="2"/>
  <c r="X351" i="2"/>
  <c r="W351" i="2"/>
  <c r="V351" i="2"/>
  <c r="U351" i="2"/>
  <c r="T351" i="2"/>
  <c r="S351" i="2"/>
  <c r="R351" i="2"/>
  <c r="Q351" i="2"/>
  <c r="P351" i="2"/>
  <c r="O351" i="2"/>
  <c r="N351" i="2"/>
  <c r="M351" i="2"/>
  <c r="L351" i="2"/>
  <c r="K351" i="2"/>
  <c r="J351" i="2"/>
  <c r="I351" i="2"/>
  <c r="H351" i="2"/>
  <c r="G351" i="2"/>
  <c r="F351" i="2"/>
  <c r="E351" i="2"/>
  <c r="D351" i="2"/>
  <c r="C351" i="2"/>
  <c r="B351" i="2"/>
  <c r="BF350" i="2"/>
  <c r="BE350" i="2"/>
  <c r="BD350" i="2"/>
  <c r="BC350" i="2"/>
  <c r="BB350" i="2"/>
  <c r="BA350" i="2"/>
  <c r="AZ350" i="2"/>
  <c r="AY350" i="2"/>
  <c r="AX350" i="2"/>
  <c r="AW350" i="2"/>
  <c r="AV350" i="2"/>
  <c r="AU350" i="2"/>
  <c r="AT350" i="2"/>
  <c r="AS350" i="2"/>
  <c r="AR350" i="2"/>
  <c r="AQ350" i="2"/>
  <c r="AP350" i="2"/>
  <c r="AO350" i="2"/>
  <c r="AN350" i="2"/>
  <c r="AM350" i="2"/>
  <c r="AL350" i="2"/>
  <c r="AK350" i="2"/>
  <c r="AJ350" i="2"/>
  <c r="AI350" i="2"/>
  <c r="AH350" i="2"/>
  <c r="AG350" i="2"/>
  <c r="AF350" i="2"/>
  <c r="AE350" i="2"/>
  <c r="AD350" i="2"/>
  <c r="AC350" i="2"/>
  <c r="AB350" i="2"/>
  <c r="AA350" i="2"/>
  <c r="Z350" i="2"/>
  <c r="Y350" i="2"/>
  <c r="X350" i="2"/>
  <c r="W350" i="2"/>
  <c r="V350" i="2"/>
  <c r="U350" i="2"/>
  <c r="T350" i="2"/>
  <c r="S350" i="2"/>
  <c r="R350" i="2"/>
  <c r="Q350" i="2"/>
  <c r="P350" i="2"/>
  <c r="O350" i="2"/>
  <c r="N350" i="2"/>
  <c r="M350" i="2"/>
  <c r="L350" i="2"/>
  <c r="K350" i="2"/>
  <c r="J350" i="2"/>
  <c r="I350" i="2"/>
  <c r="H350" i="2"/>
  <c r="G350" i="2"/>
  <c r="F350" i="2"/>
  <c r="E350" i="2"/>
  <c r="D350" i="2"/>
  <c r="C350" i="2"/>
  <c r="B350" i="2"/>
  <c r="BF349" i="2"/>
  <c r="BE349" i="2"/>
  <c r="BD349" i="2"/>
  <c r="BC349" i="2"/>
  <c r="BB349" i="2"/>
  <c r="BA349" i="2"/>
  <c r="AZ349" i="2"/>
  <c r="AY349" i="2"/>
  <c r="AX349" i="2"/>
  <c r="AW349" i="2"/>
  <c r="AV349" i="2"/>
  <c r="AU349" i="2"/>
  <c r="AT349" i="2"/>
  <c r="AS349" i="2"/>
  <c r="AR349" i="2"/>
  <c r="AQ349" i="2"/>
  <c r="AP349" i="2"/>
  <c r="AO349" i="2"/>
  <c r="AN349" i="2"/>
  <c r="AM349" i="2"/>
  <c r="AL349" i="2"/>
  <c r="AK349" i="2"/>
  <c r="AJ349" i="2"/>
  <c r="AI349" i="2"/>
  <c r="AH349" i="2"/>
  <c r="AG349" i="2"/>
  <c r="AF349" i="2"/>
  <c r="AE349" i="2"/>
  <c r="AD349" i="2"/>
  <c r="AC349" i="2"/>
  <c r="AB349" i="2"/>
  <c r="AA349" i="2"/>
  <c r="Z349" i="2"/>
  <c r="Y349" i="2"/>
  <c r="X349" i="2"/>
  <c r="W349" i="2"/>
  <c r="V349" i="2"/>
  <c r="U349" i="2"/>
  <c r="T349" i="2"/>
  <c r="S349" i="2"/>
  <c r="R349" i="2"/>
  <c r="Q349" i="2"/>
  <c r="P349" i="2"/>
  <c r="O349" i="2"/>
  <c r="N349" i="2"/>
  <c r="M349" i="2"/>
  <c r="L349" i="2"/>
  <c r="K349" i="2"/>
  <c r="J349" i="2"/>
  <c r="I349" i="2"/>
  <c r="H349" i="2"/>
  <c r="G349" i="2"/>
  <c r="F349" i="2"/>
  <c r="E349" i="2"/>
  <c r="D349" i="2"/>
  <c r="C349" i="2"/>
  <c r="B349" i="2"/>
  <c r="BF348" i="2"/>
  <c r="BE348" i="2"/>
  <c r="BD348" i="2"/>
  <c r="BC348" i="2"/>
  <c r="BB348" i="2"/>
  <c r="BA348" i="2"/>
  <c r="AZ348" i="2"/>
  <c r="AY348" i="2"/>
  <c r="AX348" i="2"/>
  <c r="AW348" i="2"/>
  <c r="AV348" i="2"/>
  <c r="AU348" i="2"/>
  <c r="AT348" i="2"/>
  <c r="AS348" i="2"/>
  <c r="AR348" i="2"/>
  <c r="AQ348" i="2"/>
  <c r="AP348" i="2"/>
  <c r="AO348" i="2"/>
  <c r="AN348" i="2"/>
  <c r="AM348" i="2"/>
  <c r="AL348" i="2"/>
  <c r="AK348" i="2"/>
  <c r="AJ348" i="2"/>
  <c r="AI348" i="2"/>
  <c r="AH348" i="2"/>
  <c r="AG348" i="2"/>
  <c r="AF348" i="2"/>
  <c r="AE348" i="2"/>
  <c r="AD348" i="2"/>
  <c r="AC348" i="2"/>
  <c r="AB348" i="2"/>
  <c r="AA348" i="2"/>
  <c r="Z348" i="2"/>
  <c r="Y348" i="2"/>
  <c r="X348" i="2"/>
  <c r="W348" i="2"/>
  <c r="V348" i="2"/>
  <c r="U348" i="2"/>
  <c r="T348" i="2"/>
  <c r="S348" i="2"/>
  <c r="R348" i="2"/>
  <c r="Q348" i="2"/>
  <c r="P348" i="2"/>
  <c r="O348" i="2"/>
  <c r="N348" i="2"/>
  <c r="M348" i="2"/>
  <c r="L348" i="2"/>
  <c r="K348" i="2"/>
  <c r="J348" i="2"/>
  <c r="I348" i="2"/>
  <c r="H348" i="2"/>
  <c r="G348" i="2"/>
  <c r="F348" i="2"/>
  <c r="E348" i="2"/>
  <c r="D348" i="2"/>
  <c r="C348" i="2"/>
  <c r="B348" i="2"/>
  <c r="BF347" i="2"/>
  <c r="BE347" i="2"/>
  <c r="BD347" i="2"/>
  <c r="BC347" i="2"/>
  <c r="BB347" i="2"/>
  <c r="BA347" i="2"/>
  <c r="AZ347" i="2"/>
  <c r="AY347" i="2"/>
  <c r="AX347" i="2"/>
  <c r="AW347" i="2"/>
  <c r="AV347" i="2"/>
  <c r="AU347" i="2"/>
  <c r="AT347" i="2"/>
  <c r="AS347" i="2"/>
  <c r="AR347" i="2"/>
  <c r="AQ347" i="2"/>
  <c r="AP347" i="2"/>
  <c r="AO347" i="2"/>
  <c r="AN347" i="2"/>
  <c r="AM347" i="2"/>
  <c r="AL347" i="2"/>
  <c r="AK347" i="2"/>
  <c r="AJ347" i="2"/>
  <c r="AI347" i="2"/>
  <c r="AH347" i="2"/>
  <c r="AG347" i="2"/>
  <c r="AF347" i="2"/>
  <c r="AE347" i="2"/>
  <c r="AD347" i="2"/>
  <c r="AC347" i="2"/>
  <c r="AB347" i="2"/>
  <c r="AA347" i="2"/>
  <c r="Z347" i="2"/>
  <c r="Y347" i="2"/>
  <c r="X347" i="2"/>
  <c r="W347" i="2"/>
  <c r="V347" i="2"/>
  <c r="U347" i="2"/>
  <c r="T347" i="2"/>
  <c r="S347" i="2"/>
  <c r="R347" i="2"/>
  <c r="Q347" i="2"/>
  <c r="P347" i="2"/>
  <c r="O347" i="2"/>
  <c r="N347" i="2"/>
  <c r="M347" i="2"/>
  <c r="L347" i="2"/>
  <c r="K347" i="2"/>
  <c r="J347" i="2"/>
  <c r="I347" i="2"/>
  <c r="H347" i="2"/>
  <c r="G347" i="2"/>
  <c r="F347" i="2"/>
  <c r="E347" i="2"/>
  <c r="D347" i="2"/>
  <c r="C347" i="2"/>
  <c r="B347" i="2"/>
  <c r="BF346" i="2"/>
  <c r="BE346" i="2"/>
  <c r="BD346" i="2"/>
  <c r="BC346" i="2"/>
  <c r="BB346" i="2"/>
  <c r="BA346" i="2"/>
  <c r="AZ346" i="2"/>
  <c r="AY346" i="2"/>
  <c r="AX346" i="2"/>
  <c r="AW346" i="2"/>
  <c r="AV346" i="2"/>
  <c r="AU346" i="2"/>
  <c r="AT346" i="2"/>
  <c r="AS346" i="2"/>
  <c r="AR346" i="2"/>
  <c r="AQ346" i="2"/>
  <c r="AP346" i="2"/>
  <c r="AO346" i="2"/>
  <c r="AN346" i="2"/>
  <c r="AM346" i="2"/>
  <c r="AL346" i="2"/>
  <c r="AK346" i="2"/>
  <c r="AJ346" i="2"/>
  <c r="AI346" i="2"/>
  <c r="AH346" i="2"/>
  <c r="AG346" i="2"/>
  <c r="AF346" i="2"/>
  <c r="AE346" i="2"/>
  <c r="AD346" i="2"/>
  <c r="AC346" i="2"/>
  <c r="AB346" i="2"/>
  <c r="AA346" i="2"/>
  <c r="Z346" i="2"/>
  <c r="Y346" i="2"/>
  <c r="X346" i="2"/>
  <c r="W346" i="2"/>
  <c r="V346" i="2"/>
  <c r="U346" i="2"/>
  <c r="T346" i="2"/>
  <c r="S346" i="2"/>
  <c r="R346" i="2"/>
  <c r="Q346" i="2"/>
  <c r="P346" i="2"/>
  <c r="O346" i="2"/>
  <c r="N346" i="2"/>
  <c r="M346" i="2"/>
  <c r="L346" i="2"/>
  <c r="K346" i="2"/>
  <c r="J346" i="2"/>
  <c r="I346" i="2"/>
  <c r="H346" i="2"/>
  <c r="G346" i="2"/>
  <c r="F346" i="2"/>
  <c r="E346" i="2"/>
  <c r="D346" i="2"/>
  <c r="C346" i="2"/>
  <c r="B346" i="2"/>
  <c r="BF345" i="2"/>
  <c r="BE345" i="2"/>
  <c r="BD345" i="2"/>
  <c r="BC345" i="2"/>
  <c r="BB345" i="2"/>
  <c r="BA345" i="2"/>
  <c r="AZ345" i="2"/>
  <c r="AY345" i="2"/>
  <c r="AX345" i="2"/>
  <c r="AW345" i="2"/>
  <c r="AV345" i="2"/>
  <c r="AU345" i="2"/>
  <c r="AT345" i="2"/>
  <c r="AS345" i="2"/>
  <c r="AR345" i="2"/>
  <c r="AQ345" i="2"/>
  <c r="AP345" i="2"/>
  <c r="AO345" i="2"/>
  <c r="AN345" i="2"/>
  <c r="AM345" i="2"/>
  <c r="AL345" i="2"/>
  <c r="AK345" i="2"/>
  <c r="AJ345" i="2"/>
  <c r="AI345" i="2"/>
  <c r="AH345" i="2"/>
  <c r="AG345" i="2"/>
  <c r="AF345" i="2"/>
  <c r="AE345" i="2"/>
  <c r="AD345" i="2"/>
  <c r="AC345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H345" i="2"/>
  <c r="G345" i="2"/>
  <c r="F345" i="2"/>
  <c r="E345" i="2"/>
  <c r="D345" i="2"/>
  <c r="C345" i="2"/>
  <c r="B345" i="2"/>
  <c r="BF344" i="2"/>
  <c r="BE344" i="2"/>
  <c r="BD344" i="2"/>
  <c r="BC344" i="2"/>
  <c r="BB344" i="2"/>
  <c r="BA344" i="2"/>
  <c r="AZ344" i="2"/>
  <c r="AY344" i="2"/>
  <c r="AX344" i="2"/>
  <c r="AW344" i="2"/>
  <c r="AV344" i="2"/>
  <c r="AU344" i="2"/>
  <c r="AT344" i="2"/>
  <c r="AS344" i="2"/>
  <c r="AR344" i="2"/>
  <c r="AQ344" i="2"/>
  <c r="AP344" i="2"/>
  <c r="AO344" i="2"/>
  <c r="AN344" i="2"/>
  <c r="AM344" i="2"/>
  <c r="AL344" i="2"/>
  <c r="AK344" i="2"/>
  <c r="AJ344" i="2"/>
  <c r="AI344" i="2"/>
  <c r="AH344" i="2"/>
  <c r="AG344" i="2"/>
  <c r="AF344" i="2"/>
  <c r="AE344" i="2"/>
  <c r="AD344" i="2"/>
  <c r="AC344" i="2"/>
  <c r="AB344" i="2"/>
  <c r="AA344" i="2"/>
  <c r="Z344" i="2"/>
  <c r="Y344" i="2"/>
  <c r="X344" i="2"/>
  <c r="W344" i="2"/>
  <c r="V344" i="2"/>
  <c r="U344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H344" i="2"/>
  <c r="G344" i="2"/>
  <c r="F344" i="2"/>
  <c r="E344" i="2"/>
  <c r="D344" i="2"/>
  <c r="C344" i="2"/>
  <c r="B344" i="2"/>
  <c r="BF343" i="2"/>
  <c r="BE343" i="2"/>
  <c r="BD343" i="2"/>
  <c r="BC343" i="2"/>
  <c r="BB343" i="2"/>
  <c r="BA343" i="2"/>
  <c r="AZ343" i="2"/>
  <c r="AY343" i="2"/>
  <c r="AX343" i="2"/>
  <c r="AW343" i="2"/>
  <c r="AV343" i="2"/>
  <c r="AU343" i="2"/>
  <c r="AT343" i="2"/>
  <c r="AS343" i="2"/>
  <c r="AR343" i="2"/>
  <c r="AQ343" i="2"/>
  <c r="AP343" i="2"/>
  <c r="AO343" i="2"/>
  <c r="AN343" i="2"/>
  <c r="AM343" i="2"/>
  <c r="AL343" i="2"/>
  <c r="AK343" i="2"/>
  <c r="AJ343" i="2"/>
  <c r="AI343" i="2"/>
  <c r="AH343" i="2"/>
  <c r="AG343" i="2"/>
  <c r="AF343" i="2"/>
  <c r="AE343" i="2"/>
  <c r="AD343" i="2"/>
  <c r="AC343" i="2"/>
  <c r="AB343" i="2"/>
  <c r="AA343" i="2"/>
  <c r="Z343" i="2"/>
  <c r="Y343" i="2"/>
  <c r="X343" i="2"/>
  <c r="W343" i="2"/>
  <c r="V343" i="2"/>
  <c r="U343" i="2"/>
  <c r="T343" i="2"/>
  <c r="S343" i="2"/>
  <c r="R343" i="2"/>
  <c r="Q343" i="2"/>
  <c r="P343" i="2"/>
  <c r="O343" i="2"/>
  <c r="N343" i="2"/>
  <c r="M343" i="2"/>
  <c r="L343" i="2"/>
  <c r="K343" i="2"/>
  <c r="J343" i="2"/>
  <c r="I343" i="2"/>
  <c r="H343" i="2"/>
  <c r="G343" i="2"/>
  <c r="F343" i="2"/>
  <c r="E343" i="2"/>
  <c r="D343" i="2"/>
  <c r="C343" i="2"/>
  <c r="B343" i="2"/>
  <c r="BF342" i="2"/>
  <c r="BE342" i="2"/>
  <c r="BD342" i="2"/>
  <c r="BC342" i="2"/>
  <c r="BB342" i="2"/>
  <c r="BA342" i="2"/>
  <c r="AZ342" i="2"/>
  <c r="AY342" i="2"/>
  <c r="AX342" i="2"/>
  <c r="AW342" i="2"/>
  <c r="AV342" i="2"/>
  <c r="AU342" i="2"/>
  <c r="AT342" i="2"/>
  <c r="AS342" i="2"/>
  <c r="AR342" i="2"/>
  <c r="AQ342" i="2"/>
  <c r="AP342" i="2"/>
  <c r="AO342" i="2"/>
  <c r="AN342" i="2"/>
  <c r="AM342" i="2"/>
  <c r="AL342" i="2"/>
  <c r="AK342" i="2"/>
  <c r="AJ342" i="2"/>
  <c r="AI342" i="2"/>
  <c r="AH342" i="2"/>
  <c r="AG342" i="2"/>
  <c r="AF342" i="2"/>
  <c r="AE342" i="2"/>
  <c r="AD342" i="2"/>
  <c r="AC342" i="2"/>
  <c r="AB342" i="2"/>
  <c r="AA342" i="2"/>
  <c r="Z342" i="2"/>
  <c r="Y342" i="2"/>
  <c r="X342" i="2"/>
  <c r="W342" i="2"/>
  <c r="V342" i="2"/>
  <c r="U342" i="2"/>
  <c r="T342" i="2"/>
  <c r="S342" i="2"/>
  <c r="R342" i="2"/>
  <c r="Q342" i="2"/>
  <c r="P342" i="2"/>
  <c r="O342" i="2"/>
  <c r="N342" i="2"/>
  <c r="M342" i="2"/>
  <c r="L342" i="2"/>
  <c r="K342" i="2"/>
  <c r="J342" i="2"/>
  <c r="I342" i="2"/>
  <c r="H342" i="2"/>
  <c r="G342" i="2"/>
  <c r="F342" i="2"/>
  <c r="E342" i="2"/>
  <c r="D342" i="2"/>
  <c r="C342" i="2"/>
  <c r="B342" i="2"/>
  <c r="BF341" i="2"/>
  <c r="BE341" i="2"/>
  <c r="BD341" i="2"/>
  <c r="BC341" i="2"/>
  <c r="BB341" i="2"/>
  <c r="BA341" i="2"/>
  <c r="AZ341" i="2"/>
  <c r="AY341" i="2"/>
  <c r="AX341" i="2"/>
  <c r="AW341" i="2"/>
  <c r="AV341" i="2"/>
  <c r="AU341" i="2"/>
  <c r="AT341" i="2"/>
  <c r="AS341" i="2"/>
  <c r="AR341" i="2"/>
  <c r="AQ341" i="2"/>
  <c r="AP341" i="2"/>
  <c r="AO341" i="2"/>
  <c r="AN341" i="2"/>
  <c r="AM341" i="2"/>
  <c r="AL341" i="2"/>
  <c r="AK341" i="2"/>
  <c r="AJ341" i="2"/>
  <c r="AI341" i="2"/>
  <c r="AH341" i="2"/>
  <c r="AG341" i="2"/>
  <c r="AF341" i="2"/>
  <c r="AE341" i="2"/>
  <c r="AD341" i="2"/>
  <c r="AC341" i="2"/>
  <c r="AB341" i="2"/>
  <c r="AA341" i="2"/>
  <c r="Z341" i="2"/>
  <c r="Y341" i="2"/>
  <c r="X341" i="2"/>
  <c r="W341" i="2"/>
  <c r="V341" i="2"/>
  <c r="U341" i="2"/>
  <c r="T341" i="2"/>
  <c r="S341" i="2"/>
  <c r="R341" i="2"/>
  <c r="Q341" i="2"/>
  <c r="P341" i="2"/>
  <c r="O341" i="2"/>
  <c r="N341" i="2"/>
  <c r="M341" i="2"/>
  <c r="L341" i="2"/>
  <c r="K341" i="2"/>
  <c r="J341" i="2"/>
  <c r="I341" i="2"/>
  <c r="H341" i="2"/>
  <c r="G341" i="2"/>
  <c r="F341" i="2"/>
  <c r="E341" i="2"/>
  <c r="D341" i="2"/>
  <c r="C341" i="2"/>
  <c r="B341" i="2"/>
  <c r="BF340" i="2"/>
  <c r="BE340" i="2"/>
  <c r="BD340" i="2"/>
  <c r="BC340" i="2"/>
  <c r="BB340" i="2"/>
  <c r="BA340" i="2"/>
  <c r="AZ340" i="2"/>
  <c r="AY340" i="2"/>
  <c r="AX340" i="2"/>
  <c r="AW340" i="2"/>
  <c r="AV340" i="2"/>
  <c r="AU340" i="2"/>
  <c r="AT340" i="2"/>
  <c r="AS340" i="2"/>
  <c r="AR340" i="2"/>
  <c r="AQ340" i="2"/>
  <c r="AP340" i="2"/>
  <c r="AO340" i="2"/>
  <c r="AN340" i="2"/>
  <c r="AM340" i="2"/>
  <c r="AL340" i="2"/>
  <c r="AK340" i="2"/>
  <c r="AJ340" i="2"/>
  <c r="AI340" i="2"/>
  <c r="AH340" i="2"/>
  <c r="AG340" i="2"/>
  <c r="AF340" i="2"/>
  <c r="AE340" i="2"/>
  <c r="AD340" i="2"/>
  <c r="AC340" i="2"/>
  <c r="AB340" i="2"/>
  <c r="AA340" i="2"/>
  <c r="Z340" i="2"/>
  <c r="Y340" i="2"/>
  <c r="X340" i="2"/>
  <c r="W340" i="2"/>
  <c r="V340" i="2"/>
  <c r="U340" i="2"/>
  <c r="T340" i="2"/>
  <c r="S340" i="2"/>
  <c r="R340" i="2"/>
  <c r="Q340" i="2"/>
  <c r="P340" i="2"/>
  <c r="O340" i="2"/>
  <c r="N340" i="2"/>
  <c r="M340" i="2"/>
  <c r="L340" i="2"/>
  <c r="K340" i="2"/>
  <c r="J340" i="2"/>
  <c r="I340" i="2"/>
  <c r="H340" i="2"/>
  <c r="G340" i="2"/>
  <c r="F340" i="2"/>
  <c r="E340" i="2"/>
  <c r="D340" i="2"/>
  <c r="C340" i="2"/>
  <c r="B340" i="2"/>
  <c r="BF339" i="2"/>
  <c r="BE339" i="2"/>
  <c r="BD339" i="2"/>
  <c r="BC339" i="2"/>
  <c r="BB339" i="2"/>
  <c r="BA339" i="2"/>
  <c r="AZ339" i="2"/>
  <c r="AY339" i="2"/>
  <c r="AX339" i="2"/>
  <c r="AW339" i="2"/>
  <c r="AV339" i="2"/>
  <c r="AU339" i="2"/>
  <c r="AT339" i="2"/>
  <c r="AS339" i="2"/>
  <c r="AR339" i="2"/>
  <c r="AQ339" i="2"/>
  <c r="AP339" i="2"/>
  <c r="AO339" i="2"/>
  <c r="AN339" i="2"/>
  <c r="AM339" i="2"/>
  <c r="AL339" i="2"/>
  <c r="AK339" i="2"/>
  <c r="AJ339" i="2"/>
  <c r="AI339" i="2"/>
  <c r="AH339" i="2"/>
  <c r="AG339" i="2"/>
  <c r="AF339" i="2"/>
  <c r="AE339" i="2"/>
  <c r="AD339" i="2"/>
  <c r="AC339" i="2"/>
  <c r="AB339" i="2"/>
  <c r="AA339" i="2"/>
  <c r="Z339" i="2"/>
  <c r="Y339" i="2"/>
  <c r="X339" i="2"/>
  <c r="W339" i="2"/>
  <c r="V339" i="2"/>
  <c r="U339" i="2"/>
  <c r="T339" i="2"/>
  <c r="S339" i="2"/>
  <c r="R339" i="2"/>
  <c r="Q339" i="2"/>
  <c r="P339" i="2"/>
  <c r="O339" i="2"/>
  <c r="N339" i="2"/>
  <c r="M339" i="2"/>
  <c r="L339" i="2"/>
  <c r="K339" i="2"/>
  <c r="J339" i="2"/>
  <c r="I339" i="2"/>
  <c r="H339" i="2"/>
  <c r="G339" i="2"/>
  <c r="F339" i="2"/>
  <c r="E339" i="2"/>
  <c r="D339" i="2"/>
  <c r="C339" i="2"/>
  <c r="B339" i="2"/>
  <c r="BF328" i="2"/>
  <c r="BE328" i="2"/>
  <c r="BD328" i="2"/>
  <c r="BC328" i="2"/>
  <c r="BB328" i="2"/>
  <c r="BA328" i="2"/>
  <c r="AZ328" i="2"/>
  <c r="AY328" i="2"/>
  <c r="AX328" i="2"/>
  <c r="AW328" i="2"/>
  <c r="AV328" i="2"/>
  <c r="AU328" i="2"/>
  <c r="AT328" i="2"/>
  <c r="AS328" i="2"/>
  <c r="AR328" i="2"/>
  <c r="AQ328" i="2"/>
  <c r="AP328" i="2"/>
  <c r="AO328" i="2"/>
  <c r="AN328" i="2"/>
  <c r="AM328" i="2"/>
  <c r="AL328" i="2"/>
  <c r="AK328" i="2"/>
  <c r="AJ328" i="2"/>
  <c r="AI328" i="2"/>
  <c r="AH328" i="2"/>
  <c r="AG328" i="2"/>
  <c r="AF328" i="2"/>
  <c r="AE328" i="2"/>
  <c r="AD328" i="2"/>
  <c r="AC328" i="2"/>
  <c r="AB328" i="2"/>
  <c r="AA328" i="2"/>
  <c r="Z328" i="2"/>
  <c r="Y328" i="2"/>
  <c r="X328" i="2"/>
  <c r="W328" i="2"/>
  <c r="V328" i="2"/>
  <c r="U328" i="2"/>
  <c r="T328" i="2"/>
  <c r="S328" i="2"/>
  <c r="R328" i="2"/>
  <c r="Q328" i="2"/>
  <c r="P328" i="2"/>
  <c r="O328" i="2"/>
  <c r="N328" i="2"/>
  <c r="M328" i="2"/>
  <c r="L328" i="2"/>
  <c r="K328" i="2"/>
  <c r="J328" i="2"/>
  <c r="I328" i="2"/>
  <c r="H328" i="2"/>
  <c r="G328" i="2"/>
  <c r="F328" i="2"/>
  <c r="E328" i="2"/>
  <c r="D328" i="2"/>
  <c r="C328" i="2"/>
  <c r="B328" i="2"/>
  <c r="BF327" i="2"/>
  <c r="BE327" i="2"/>
  <c r="BD327" i="2"/>
  <c r="BC327" i="2"/>
  <c r="BB327" i="2"/>
  <c r="BA327" i="2"/>
  <c r="AZ327" i="2"/>
  <c r="AY327" i="2"/>
  <c r="AX327" i="2"/>
  <c r="AW327" i="2"/>
  <c r="AV327" i="2"/>
  <c r="AU327" i="2"/>
  <c r="AT327" i="2"/>
  <c r="AS327" i="2"/>
  <c r="AR327" i="2"/>
  <c r="AQ327" i="2"/>
  <c r="AP327" i="2"/>
  <c r="AO327" i="2"/>
  <c r="AN327" i="2"/>
  <c r="AM327" i="2"/>
  <c r="AL327" i="2"/>
  <c r="AK327" i="2"/>
  <c r="AJ327" i="2"/>
  <c r="AI327" i="2"/>
  <c r="AH327" i="2"/>
  <c r="AG327" i="2"/>
  <c r="AF327" i="2"/>
  <c r="AE327" i="2"/>
  <c r="AD327" i="2"/>
  <c r="AC327" i="2"/>
  <c r="AB327" i="2"/>
  <c r="AA327" i="2"/>
  <c r="Z327" i="2"/>
  <c r="Y327" i="2"/>
  <c r="X327" i="2"/>
  <c r="W327" i="2"/>
  <c r="V327" i="2"/>
  <c r="U327" i="2"/>
  <c r="T327" i="2"/>
  <c r="S327" i="2"/>
  <c r="R327" i="2"/>
  <c r="Q327" i="2"/>
  <c r="P327" i="2"/>
  <c r="O327" i="2"/>
  <c r="N327" i="2"/>
  <c r="M327" i="2"/>
  <c r="L327" i="2"/>
  <c r="K327" i="2"/>
  <c r="J327" i="2"/>
  <c r="I327" i="2"/>
  <c r="H327" i="2"/>
  <c r="G327" i="2"/>
  <c r="F327" i="2"/>
  <c r="E327" i="2"/>
  <c r="D327" i="2"/>
  <c r="C327" i="2"/>
  <c r="B327" i="2"/>
  <c r="BF326" i="2"/>
  <c r="BE326" i="2"/>
  <c r="BD326" i="2"/>
  <c r="BC326" i="2"/>
  <c r="BB326" i="2"/>
  <c r="BA326" i="2"/>
  <c r="AZ326" i="2"/>
  <c r="AY326" i="2"/>
  <c r="AX326" i="2"/>
  <c r="AW326" i="2"/>
  <c r="AV326" i="2"/>
  <c r="AU326" i="2"/>
  <c r="AT326" i="2"/>
  <c r="AS326" i="2"/>
  <c r="AR326" i="2"/>
  <c r="AQ326" i="2"/>
  <c r="AP326" i="2"/>
  <c r="AO326" i="2"/>
  <c r="AN326" i="2"/>
  <c r="AM326" i="2"/>
  <c r="AL326" i="2"/>
  <c r="AK326" i="2"/>
  <c r="AJ326" i="2"/>
  <c r="AI326" i="2"/>
  <c r="AH326" i="2"/>
  <c r="AG326" i="2"/>
  <c r="AF326" i="2"/>
  <c r="AE326" i="2"/>
  <c r="AD326" i="2"/>
  <c r="AC326" i="2"/>
  <c r="AB326" i="2"/>
  <c r="AA326" i="2"/>
  <c r="Z326" i="2"/>
  <c r="Y326" i="2"/>
  <c r="X326" i="2"/>
  <c r="W326" i="2"/>
  <c r="V326" i="2"/>
  <c r="U326" i="2"/>
  <c r="T326" i="2"/>
  <c r="S326" i="2"/>
  <c r="R326" i="2"/>
  <c r="Q326" i="2"/>
  <c r="P326" i="2"/>
  <c r="O326" i="2"/>
  <c r="N326" i="2"/>
  <c r="M326" i="2"/>
  <c r="L326" i="2"/>
  <c r="K326" i="2"/>
  <c r="J326" i="2"/>
  <c r="I326" i="2"/>
  <c r="H326" i="2"/>
  <c r="G326" i="2"/>
  <c r="F326" i="2"/>
  <c r="E326" i="2"/>
  <c r="D326" i="2"/>
  <c r="C326" i="2"/>
  <c r="B326" i="2"/>
  <c r="BF325" i="2"/>
  <c r="BE325" i="2"/>
  <c r="BD325" i="2"/>
  <c r="BC325" i="2"/>
  <c r="BB325" i="2"/>
  <c r="BA325" i="2"/>
  <c r="AZ325" i="2"/>
  <c r="AY325" i="2"/>
  <c r="AX325" i="2"/>
  <c r="AW325" i="2"/>
  <c r="AV325" i="2"/>
  <c r="AU325" i="2"/>
  <c r="AT325" i="2"/>
  <c r="AS325" i="2"/>
  <c r="AR325" i="2"/>
  <c r="AQ325" i="2"/>
  <c r="AP325" i="2"/>
  <c r="AO325" i="2"/>
  <c r="AN325" i="2"/>
  <c r="AM325" i="2"/>
  <c r="AL325" i="2"/>
  <c r="AK325" i="2"/>
  <c r="AJ325" i="2"/>
  <c r="AI325" i="2"/>
  <c r="AH325" i="2"/>
  <c r="AG325" i="2"/>
  <c r="AF325" i="2"/>
  <c r="AE325" i="2"/>
  <c r="AD325" i="2"/>
  <c r="AC325" i="2"/>
  <c r="AB325" i="2"/>
  <c r="AA325" i="2"/>
  <c r="Z325" i="2"/>
  <c r="Y325" i="2"/>
  <c r="X325" i="2"/>
  <c r="W325" i="2"/>
  <c r="V325" i="2"/>
  <c r="U325" i="2"/>
  <c r="T325" i="2"/>
  <c r="S325" i="2"/>
  <c r="R325" i="2"/>
  <c r="Q325" i="2"/>
  <c r="P325" i="2"/>
  <c r="O325" i="2"/>
  <c r="N325" i="2"/>
  <c r="M325" i="2"/>
  <c r="L325" i="2"/>
  <c r="K325" i="2"/>
  <c r="J325" i="2"/>
  <c r="I325" i="2"/>
  <c r="H325" i="2"/>
  <c r="G325" i="2"/>
  <c r="F325" i="2"/>
  <c r="E325" i="2"/>
  <c r="D325" i="2"/>
  <c r="C325" i="2"/>
  <c r="B325" i="2"/>
  <c r="BF324" i="2"/>
  <c r="BE324" i="2"/>
  <c r="BD324" i="2"/>
  <c r="BC324" i="2"/>
  <c r="BB324" i="2"/>
  <c r="BA324" i="2"/>
  <c r="AZ324" i="2"/>
  <c r="AY324" i="2"/>
  <c r="AX324" i="2"/>
  <c r="AW324" i="2"/>
  <c r="AV324" i="2"/>
  <c r="AU324" i="2"/>
  <c r="AT324" i="2"/>
  <c r="AS324" i="2"/>
  <c r="AR324" i="2"/>
  <c r="AQ324" i="2"/>
  <c r="AP324" i="2"/>
  <c r="AO324" i="2"/>
  <c r="AN324" i="2"/>
  <c r="AM324" i="2"/>
  <c r="AL324" i="2"/>
  <c r="AK324" i="2"/>
  <c r="AJ324" i="2"/>
  <c r="AI324" i="2"/>
  <c r="AH324" i="2"/>
  <c r="AG324" i="2"/>
  <c r="AF324" i="2"/>
  <c r="AE324" i="2"/>
  <c r="AD324" i="2"/>
  <c r="AC324" i="2"/>
  <c r="AB324" i="2"/>
  <c r="AA324" i="2"/>
  <c r="Z324" i="2"/>
  <c r="Y324" i="2"/>
  <c r="X324" i="2"/>
  <c r="W324" i="2"/>
  <c r="V324" i="2"/>
  <c r="U324" i="2"/>
  <c r="T324" i="2"/>
  <c r="S324" i="2"/>
  <c r="R324" i="2"/>
  <c r="Q324" i="2"/>
  <c r="P324" i="2"/>
  <c r="O324" i="2"/>
  <c r="N324" i="2"/>
  <c r="M324" i="2"/>
  <c r="L324" i="2"/>
  <c r="K324" i="2"/>
  <c r="J324" i="2"/>
  <c r="I324" i="2"/>
  <c r="H324" i="2"/>
  <c r="G324" i="2"/>
  <c r="F324" i="2"/>
  <c r="E324" i="2"/>
  <c r="D324" i="2"/>
  <c r="C324" i="2"/>
  <c r="B324" i="2"/>
  <c r="BF323" i="2"/>
  <c r="BE323" i="2"/>
  <c r="BD323" i="2"/>
  <c r="BC323" i="2"/>
  <c r="BB323" i="2"/>
  <c r="BA323" i="2"/>
  <c r="AZ323" i="2"/>
  <c r="AY323" i="2"/>
  <c r="AX323" i="2"/>
  <c r="AW323" i="2"/>
  <c r="AV323" i="2"/>
  <c r="AU323" i="2"/>
  <c r="AT323" i="2"/>
  <c r="AS323" i="2"/>
  <c r="AR323" i="2"/>
  <c r="AQ323" i="2"/>
  <c r="AP323" i="2"/>
  <c r="AO323" i="2"/>
  <c r="AN323" i="2"/>
  <c r="AM323" i="2"/>
  <c r="AL323" i="2"/>
  <c r="AK323" i="2"/>
  <c r="AJ323" i="2"/>
  <c r="AI323" i="2"/>
  <c r="AH323" i="2"/>
  <c r="AG323" i="2"/>
  <c r="AF323" i="2"/>
  <c r="AE323" i="2"/>
  <c r="AD323" i="2"/>
  <c r="AC323" i="2"/>
  <c r="AB323" i="2"/>
  <c r="AA323" i="2"/>
  <c r="Z323" i="2"/>
  <c r="Y323" i="2"/>
  <c r="X323" i="2"/>
  <c r="W323" i="2"/>
  <c r="V323" i="2"/>
  <c r="U323" i="2"/>
  <c r="T323" i="2"/>
  <c r="S323" i="2"/>
  <c r="R323" i="2"/>
  <c r="Q323" i="2"/>
  <c r="P323" i="2"/>
  <c r="O323" i="2"/>
  <c r="N323" i="2"/>
  <c r="M323" i="2"/>
  <c r="L323" i="2"/>
  <c r="K323" i="2"/>
  <c r="J323" i="2"/>
  <c r="I323" i="2"/>
  <c r="H323" i="2"/>
  <c r="G323" i="2"/>
  <c r="F323" i="2"/>
  <c r="E323" i="2"/>
  <c r="D323" i="2"/>
  <c r="C323" i="2"/>
  <c r="B323" i="2"/>
  <c r="BF322" i="2"/>
  <c r="BE322" i="2"/>
  <c r="BD322" i="2"/>
  <c r="BC322" i="2"/>
  <c r="BB322" i="2"/>
  <c r="BA322" i="2"/>
  <c r="AZ322" i="2"/>
  <c r="AY322" i="2"/>
  <c r="AX322" i="2"/>
  <c r="AW322" i="2"/>
  <c r="AV322" i="2"/>
  <c r="AU322" i="2"/>
  <c r="AT322" i="2"/>
  <c r="AS322" i="2"/>
  <c r="AR322" i="2"/>
  <c r="AQ322" i="2"/>
  <c r="AP322" i="2"/>
  <c r="AO322" i="2"/>
  <c r="AN322" i="2"/>
  <c r="AM322" i="2"/>
  <c r="AL322" i="2"/>
  <c r="AK322" i="2"/>
  <c r="AJ322" i="2"/>
  <c r="AI322" i="2"/>
  <c r="AH322" i="2"/>
  <c r="AG322" i="2"/>
  <c r="AF322" i="2"/>
  <c r="AE322" i="2"/>
  <c r="AD322" i="2"/>
  <c r="AC322" i="2"/>
  <c r="AB322" i="2"/>
  <c r="AA322" i="2"/>
  <c r="Z322" i="2"/>
  <c r="Y322" i="2"/>
  <c r="X322" i="2"/>
  <c r="W322" i="2"/>
  <c r="V322" i="2"/>
  <c r="U322" i="2"/>
  <c r="T322" i="2"/>
  <c r="S322" i="2"/>
  <c r="R322" i="2"/>
  <c r="Q322" i="2"/>
  <c r="P322" i="2"/>
  <c r="O322" i="2"/>
  <c r="N322" i="2"/>
  <c r="M322" i="2"/>
  <c r="L322" i="2"/>
  <c r="K322" i="2"/>
  <c r="J322" i="2"/>
  <c r="I322" i="2"/>
  <c r="H322" i="2"/>
  <c r="G322" i="2"/>
  <c r="F322" i="2"/>
  <c r="E322" i="2"/>
  <c r="D322" i="2"/>
  <c r="C322" i="2"/>
  <c r="B322" i="2"/>
  <c r="BF321" i="2"/>
  <c r="BE321" i="2"/>
  <c r="BD321" i="2"/>
  <c r="BC321" i="2"/>
  <c r="BB321" i="2"/>
  <c r="BA321" i="2"/>
  <c r="AZ321" i="2"/>
  <c r="AY321" i="2"/>
  <c r="AX321" i="2"/>
  <c r="AW321" i="2"/>
  <c r="AV321" i="2"/>
  <c r="AU321" i="2"/>
  <c r="AT321" i="2"/>
  <c r="AS321" i="2"/>
  <c r="AR321" i="2"/>
  <c r="AQ321" i="2"/>
  <c r="AP321" i="2"/>
  <c r="AO321" i="2"/>
  <c r="AN321" i="2"/>
  <c r="AM321" i="2"/>
  <c r="AL321" i="2"/>
  <c r="AK321" i="2"/>
  <c r="AJ321" i="2"/>
  <c r="AI321" i="2"/>
  <c r="AH321" i="2"/>
  <c r="AG321" i="2"/>
  <c r="AF321" i="2"/>
  <c r="AE321" i="2"/>
  <c r="AD321" i="2"/>
  <c r="AC321" i="2"/>
  <c r="AB321" i="2"/>
  <c r="AA321" i="2"/>
  <c r="Z321" i="2"/>
  <c r="Y321" i="2"/>
  <c r="X321" i="2"/>
  <c r="W321" i="2"/>
  <c r="V321" i="2"/>
  <c r="U321" i="2"/>
  <c r="T321" i="2"/>
  <c r="S321" i="2"/>
  <c r="R321" i="2"/>
  <c r="Q321" i="2"/>
  <c r="P321" i="2"/>
  <c r="O321" i="2"/>
  <c r="N321" i="2"/>
  <c r="M321" i="2"/>
  <c r="L321" i="2"/>
  <c r="K321" i="2"/>
  <c r="J321" i="2"/>
  <c r="I321" i="2"/>
  <c r="H321" i="2"/>
  <c r="G321" i="2"/>
  <c r="F321" i="2"/>
  <c r="E321" i="2"/>
  <c r="D321" i="2"/>
  <c r="C321" i="2"/>
  <c r="B321" i="2"/>
  <c r="BF320" i="2"/>
  <c r="BE320" i="2"/>
  <c r="BD320" i="2"/>
  <c r="BC320" i="2"/>
  <c r="BB320" i="2"/>
  <c r="BA320" i="2"/>
  <c r="AZ320" i="2"/>
  <c r="AY320" i="2"/>
  <c r="AX320" i="2"/>
  <c r="AW320" i="2"/>
  <c r="AV320" i="2"/>
  <c r="AU320" i="2"/>
  <c r="AT320" i="2"/>
  <c r="AS320" i="2"/>
  <c r="AR320" i="2"/>
  <c r="AQ320" i="2"/>
  <c r="AP320" i="2"/>
  <c r="AO320" i="2"/>
  <c r="AN320" i="2"/>
  <c r="AM320" i="2"/>
  <c r="AL320" i="2"/>
  <c r="AK320" i="2"/>
  <c r="AJ320" i="2"/>
  <c r="AI320" i="2"/>
  <c r="AH320" i="2"/>
  <c r="AG320" i="2"/>
  <c r="AF320" i="2"/>
  <c r="AE320" i="2"/>
  <c r="AD320" i="2"/>
  <c r="AC320" i="2"/>
  <c r="AB320" i="2"/>
  <c r="AA320" i="2"/>
  <c r="Z320" i="2"/>
  <c r="Y320" i="2"/>
  <c r="X320" i="2"/>
  <c r="W320" i="2"/>
  <c r="V320" i="2"/>
  <c r="U320" i="2"/>
  <c r="T320" i="2"/>
  <c r="S320" i="2"/>
  <c r="R320" i="2"/>
  <c r="Q320" i="2"/>
  <c r="P320" i="2"/>
  <c r="O320" i="2"/>
  <c r="N320" i="2"/>
  <c r="M320" i="2"/>
  <c r="L320" i="2"/>
  <c r="K320" i="2"/>
  <c r="J320" i="2"/>
  <c r="I320" i="2"/>
  <c r="H320" i="2"/>
  <c r="G320" i="2"/>
  <c r="F320" i="2"/>
  <c r="E320" i="2"/>
  <c r="D320" i="2"/>
  <c r="C320" i="2"/>
  <c r="B320" i="2"/>
  <c r="BF319" i="2"/>
  <c r="BE319" i="2"/>
  <c r="BD319" i="2"/>
  <c r="BC319" i="2"/>
  <c r="BB319" i="2"/>
  <c r="BA319" i="2"/>
  <c r="AZ319" i="2"/>
  <c r="AY319" i="2"/>
  <c r="AX319" i="2"/>
  <c r="AW319" i="2"/>
  <c r="AV319" i="2"/>
  <c r="AU319" i="2"/>
  <c r="AT319" i="2"/>
  <c r="AS319" i="2"/>
  <c r="AR319" i="2"/>
  <c r="AQ319" i="2"/>
  <c r="AP319" i="2"/>
  <c r="AO319" i="2"/>
  <c r="AN319" i="2"/>
  <c r="AM319" i="2"/>
  <c r="AL319" i="2"/>
  <c r="AK319" i="2"/>
  <c r="AJ319" i="2"/>
  <c r="AI319" i="2"/>
  <c r="AH319" i="2"/>
  <c r="AG319" i="2"/>
  <c r="AF319" i="2"/>
  <c r="AE319" i="2"/>
  <c r="AD319" i="2"/>
  <c r="AC319" i="2"/>
  <c r="AB319" i="2"/>
  <c r="AA319" i="2"/>
  <c r="Z319" i="2"/>
  <c r="Y319" i="2"/>
  <c r="X319" i="2"/>
  <c r="W319" i="2"/>
  <c r="V319" i="2"/>
  <c r="U319" i="2"/>
  <c r="T319" i="2"/>
  <c r="S319" i="2"/>
  <c r="R319" i="2"/>
  <c r="Q319" i="2"/>
  <c r="P319" i="2"/>
  <c r="O319" i="2"/>
  <c r="N319" i="2"/>
  <c r="M319" i="2"/>
  <c r="L319" i="2"/>
  <c r="K319" i="2"/>
  <c r="J319" i="2"/>
  <c r="I319" i="2"/>
  <c r="H319" i="2"/>
  <c r="G319" i="2"/>
  <c r="F319" i="2"/>
  <c r="E319" i="2"/>
  <c r="D319" i="2"/>
  <c r="C319" i="2"/>
  <c r="B319" i="2"/>
  <c r="BF318" i="2"/>
  <c r="BE318" i="2"/>
  <c r="BD318" i="2"/>
  <c r="BC318" i="2"/>
  <c r="BB318" i="2"/>
  <c r="BA318" i="2"/>
  <c r="AZ318" i="2"/>
  <c r="AY318" i="2"/>
  <c r="AX318" i="2"/>
  <c r="AW318" i="2"/>
  <c r="AV318" i="2"/>
  <c r="AU318" i="2"/>
  <c r="AT318" i="2"/>
  <c r="AS318" i="2"/>
  <c r="AR318" i="2"/>
  <c r="AQ318" i="2"/>
  <c r="AP318" i="2"/>
  <c r="AO318" i="2"/>
  <c r="AN318" i="2"/>
  <c r="AM318" i="2"/>
  <c r="AL318" i="2"/>
  <c r="AK318" i="2"/>
  <c r="AJ318" i="2"/>
  <c r="AI318" i="2"/>
  <c r="AH318" i="2"/>
  <c r="AG318" i="2"/>
  <c r="AF318" i="2"/>
  <c r="AE318" i="2"/>
  <c r="AD318" i="2"/>
  <c r="AC318" i="2"/>
  <c r="AB318" i="2"/>
  <c r="AA318" i="2"/>
  <c r="Z318" i="2"/>
  <c r="Y318" i="2"/>
  <c r="X318" i="2"/>
  <c r="W318" i="2"/>
  <c r="V318" i="2"/>
  <c r="U318" i="2"/>
  <c r="T318" i="2"/>
  <c r="S318" i="2"/>
  <c r="R318" i="2"/>
  <c r="Q318" i="2"/>
  <c r="P318" i="2"/>
  <c r="O318" i="2"/>
  <c r="N318" i="2"/>
  <c r="M318" i="2"/>
  <c r="L318" i="2"/>
  <c r="K318" i="2"/>
  <c r="J318" i="2"/>
  <c r="I318" i="2"/>
  <c r="H318" i="2"/>
  <c r="G318" i="2"/>
  <c r="F318" i="2"/>
  <c r="E318" i="2"/>
  <c r="D318" i="2"/>
  <c r="C318" i="2"/>
  <c r="B318" i="2"/>
  <c r="BF317" i="2"/>
  <c r="BE317" i="2"/>
  <c r="BD317" i="2"/>
  <c r="BC317" i="2"/>
  <c r="BB317" i="2"/>
  <c r="BA317" i="2"/>
  <c r="AZ317" i="2"/>
  <c r="AY317" i="2"/>
  <c r="AX317" i="2"/>
  <c r="AW317" i="2"/>
  <c r="AV317" i="2"/>
  <c r="AU317" i="2"/>
  <c r="AT317" i="2"/>
  <c r="AS317" i="2"/>
  <c r="AR317" i="2"/>
  <c r="AQ317" i="2"/>
  <c r="AP317" i="2"/>
  <c r="AO317" i="2"/>
  <c r="AN317" i="2"/>
  <c r="AM317" i="2"/>
  <c r="AL317" i="2"/>
  <c r="AK317" i="2"/>
  <c r="AJ317" i="2"/>
  <c r="AI317" i="2"/>
  <c r="AH317" i="2"/>
  <c r="AG317" i="2"/>
  <c r="AF317" i="2"/>
  <c r="AE317" i="2"/>
  <c r="AD317" i="2"/>
  <c r="AC317" i="2"/>
  <c r="AB317" i="2"/>
  <c r="AA317" i="2"/>
  <c r="Z317" i="2"/>
  <c r="Y317" i="2"/>
  <c r="X317" i="2"/>
  <c r="W317" i="2"/>
  <c r="V317" i="2"/>
  <c r="U317" i="2"/>
  <c r="T317" i="2"/>
  <c r="S317" i="2"/>
  <c r="R317" i="2"/>
  <c r="Q317" i="2"/>
  <c r="P317" i="2"/>
  <c r="O317" i="2"/>
  <c r="N317" i="2"/>
  <c r="M317" i="2"/>
  <c r="L317" i="2"/>
  <c r="K317" i="2"/>
  <c r="J317" i="2"/>
  <c r="I317" i="2"/>
  <c r="H317" i="2"/>
  <c r="G317" i="2"/>
  <c r="F317" i="2"/>
  <c r="E317" i="2"/>
  <c r="D317" i="2"/>
  <c r="C317" i="2"/>
  <c r="B317" i="2"/>
  <c r="BF316" i="2"/>
  <c r="BE316" i="2"/>
  <c r="BD316" i="2"/>
  <c r="BC316" i="2"/>
  <c r="BB316" i="2"/>
  <c r="BA316" i="2"/>
  <c r="AZ316" i="2"/>
  <c r="AY316" i="2"/>
  <c r="AX316" i="2"/>
  <c r="AW316" i="2"/>
  <c r="AV316" i="2"/>
  <c r="AU316" i="2"/>
  <c r="AT316" i="2"/>
  <c r="AS316" i="2"/>
  <c r="AR316" i="2"/>
  <c r="AQ316" i="2"/>
  <c r="AP316" i="2"/>
  <c r="AO316" i="2"/>
  <c r="AN316" i="2"/>
  <c r="AM316" i="2"/>
  <c r="AL316" i="2"/>
  <c r="AK316" i="2"/>
  <c r="AJ316" i="2"/>
  <c r="AI316" i="2"/>
  <c r="AH316" i="2"/>
  <c r="AG316" i="2"/>
  <c r="AF316" i="2"/>
  <c r="AE316" i="2"/>
  <c r="AD316" i="2"/>
  <c r="AC316" i="2"/>
  <c r="AB316" i="2"/>
  <c r="AA316" i="2"/>
  <c r="Z316" i="2"/>
  <c r="Y316" i="2"/>
  <c r="X316" i="2"/>
  <c r="W316" i="2"/>
  <c r="V316" i="2"/>
  <c r="U316" i="2"/>
  <c r="T316" i="2"/>
  <c r="S316" i="2"/>
  <c r="R316" i="2"/>
  <c r="Q316" i="2"/>
  <c r="P316" i="2"/>
  <c r="O316" i="2"/>
  <c r="N316" i="2"/>
  <c r="M316" i="2"/>
  <c r="L316" i="2"/>
  <c r="K316" i="2"/>
  <c r="J316" i="2"/>
  <c r="I316" i="2"/>
  <c r="H316" i="2"/>
  <c r="G316" i="2"/>
  <c r="F316" i="2"/>
  <c r="E316" i="2"/>
  <c r="D316" i="2"/>
  <c r="C316" i="2"/>
  <c r="B316" i="2"/>
  <c r="BF315" i="2"/>
  <c r="BE315" i="2"/>
  <c r="BD315" i="2"/>
  <c r="BC315" i="2"/>
  <c r="BB315" i="2"/>
  <c r="BA315" i="2"/>
  <c r="AZ315" i="2"/>
  <c r="AY315" i="2"/>
  <c r="AX315" i="2"/>
  <c r="AW315" i="2"/>
  <c r="AV315" i="2"/>
  <c r="AU315" i="2"/>
  <c r="AT315" i="2"/>
  <c r="AS315" i="2"/>
  <c r="AR315" i="2"/>
  <c r="AQ315" i="2"/>
  <c r="AP315" i="2"/>
  <c r="AO315" i="2"/>
  <c r="AN315" i="2"/>
  <c r="AM315" i="2"/>
  <c r="AL315" i="2"/>
  <c r="AK315" i="2"/>
  <c r="AJ315" i="2"/>
  <c r="AI315" i="2"/>
  <c r="AH315" i="2"/>
  <c r="AG315" i="2"/>
  <c r="AF315" i="2"/>
  <c r="AE315" i="2"/>
  <c r="AD315" i="2"/>
  <c r="AC315" i="2"/>
  <c r="AB315" i="2"/>
  <c r="AA315" i="2"/>
  <c r="Z315" i="2"/>
  <c r="Y315" i="2"/>
  <c r="X315" i="2"/>
  <c r="W315" i="2"/>
  <c r="V315" i="2"/>
  <c r="U315" i="2"/>
  <c r="T315" i="2"/>
  <c r="S315" i="2"/>
  <c r="R315" i="2"/>
  <c r="Q315" i="2"/>
  <c r="P315" i="2"/>
  <c r="O315" i="2"/>
  <c r="N315" i="2"/>
  <c r="M315" i="2"/>
  <c r="L315" i="2"/>
  <c r="K315" i="2"/>
  <c r="J315" i="2"/>
  <c r="I315" i="2"/>
  <c r="H315" i="2"/>
  <c r="G315" i="2"/>
  <c r="F315" i="2"/>
  <c r="E315" i="2"/>
  <c r="D315" i="2"/>
  <c r="C315" i="2"/>
  <c r="B315" i="2"/>
  <c r="BF314" i="2"/>
  <c r="BE314" i="2"/>
  <c r="BD314" i="2"/>
  <c r="BC314" i="2"/>
  <c r="BB314" i="2"/>
  <c r="BA314" i="2"/>
  <c r="AZ314" i="2"/>
  <c r="AY314" i="2"/>
  <c r="AX314" i="2"/>
  <c r="AW314" i="2"/>
  <c r="AV314" i="2"/>
  <c r="AU314" i="2"/>
  <c r="AT314" i="2"/>
  <c r="AS314" i="2"/>
  <c r="AR314" i="2"/>
  <c r="AQ314" i="2"/>
  <c r="AP314" i="2"/>
  <c r="AO314" i="2"/>
  <c r="AN314" i="2"/>
  <c r="AM314" i="2"/>
  <c r="AL314" i="2"/>
  <c r="AK314" i="2"/>
  <c r="AJ314" i="2"/>
  <c r="AI314" i="2"/>
  <c r="AH314" i="2"/>
  <c r="AG314" i="2"/>
  <c r="AF314" i="2"/>
  <c r="AE314" i="2"/>
  <c r="AD314" i="2"/>
  <c r="AC314" i="2"/>
  <c r="AB314" i="2"/>
  <c r="AA314" i="2"/>
  <c r="Z314" i="2"/>
  <c r="Y314" i="2"/>
  <c r="X314" i="2"/>
  <c r="W314" i="2"/>
  <c r="V314" i="2"/>
  <c r="U314" i="2"/>
  <c r="T314" i="2"/>
  <c r="S314" i="2"/>
  <c r="R314" i="2"/>
  <c r="Q314" i="2"/>
  <c r="P314" i="2"/>
  <c r="O314" i="2"/>
  <c r="N314" i="2"/>
  <c r="M314" i="2"/>
  <c r="L314" i="2"/>
  <c r="K314" i="2"/>
  <c r="J314" i="2"/>
  <c r="I314" i="2"/>
  <c r="H314" i="2"/>
  <c r="G314" i="2"/>
  <c r="F314" i="2"/>
  <c r="E314" i="2"/>
  <c r="D314" i="2"/>
  <c r="C314" i="2"/>
  <c r="B314" i="2"/>
  <c r="BF313" i="2"/>
  <c r="BE313" i="2"/>
  <c r="BD313" i="2"/>
  <c r="BC313" i="2"/>
  <c r="BB313" i="2"/>
  <c r="BA313" i="2"/>
  <c r="AZ313" i="2"/>
  <c r="AY313" i="2"/>
  <c r="AX313" i="2"/>
  <c r="AW313" i="2"/>
  <c r="AV313" i="2"/>
  <c r="AU313" i="2"/>
  <c r="AT313" i="2"/>
  <c r="AS313" i="2"/>
  <c r="AR313" i="2"/>
  <c r="AQ313" i="2"/>
  <c r="AP313" i="2"/>
  <c r="AO313" i="2"/>
  <c r="AN313" i="2"/>
  <c r="AM313" i="2"/>
  <c r="AL313" i="2"/>
  <c r="AK313" i="2"/>
  <c r="AJ313" i="2"/>
  <c r="AI313" i="2"/>
  <c r="AH313" i="2"/>
  <c r="AG313" i="2"/>
  <c r="AF313" i="2"/>
  <c r="AE313" i="2"/>
  <c r="AD313" i="2"/>
  <c r="AC313" i="2"/>
  <c r="AB313" i="2"/>
  <c r="AA313" i="2"/>
  <c r="Z313" i="2"/>
  <c r="Y313" i="2"/>
  <c r="X313" i="2"/>
  <c r="W313" i="2"/>
  <c r="V313" i="2"/>
  <c r="U313" i="2"/>
  <c r="T313" i="2"/>
  <c r="S313" i="2"/>
  <c r="R313" i="2"/>
  <c r="Q313" i="2"/>
  <c r="P313" i="2"/>
  <c r="O313" i="2"/>
  <c r="N313" i="2"/>
  <c r="M313" i="2"/>
  <c r="L313" i="2"/>
  <c r="K313" i="2"/>
  <c r="J313" i="2"/>
  <c r="I313" i="2"/>
  <c r="H313" i="2"/>
  <c r="G313" i="2"/>
  <c r="F313" i="2"/>
  <c r="E313" i="2"/>
  <c r="D313" i="2"/>
  <c r="C313" i="2"/>
  <c r="B313" i="2"/>
  <c r="BF312" i="2"/>
  <c r="BE312" i="2"/>
  <c r="BD312" i="2"/>
  <c r="BC312" i="2"/>
  <c r="BB312" i="2"/>
  <c r="BA312" i="2"/>
  <c r="AZ312" i="2"/>
  <c r="AY312" i="2"/>
  <c r="AX312" i="2"/>
  <c r="AW312" i="2"/>
  <c r="AV312" i="2"/>
  <c r="AU312" i="2"/>
  <c r="AT312" i="2"/>
  <c r="AS312" i="2"/>
  <c r="AR312" i="2"/>
  <c r="AQ312" i="2"/>
  <c r="AP312" i="2"/>
  <c r="AO312" i="2"/>
  <c r="AN312" i="2"/>
  <c r="AM312" i="2"/>
  <c r="AL312" i="2"/>
  <c r="AK312" i="2"/>
  <c r="AJ312" i="2"/>
  <c r="AI312" i="2"/>
  <c r="AH312" i="2"/>
  <c r="AG312" i="2"/>
  <c r="AF312" i="2"/>
  <c r="AE312" i="2"/>
  <c r="AD312" i="2"/>
  <c r="AC312" i="2"/>
  <c r="AB312" i="2"/>
  <c r="AA312" i="2"/>
  <c r="Z312" i="2"/>
  <c r="Y312" i="2"/>
  <c r="X312" i="2"/>
  <c r="W312" i="2"/>
  <c r="V312" i="2"/>
  <c r="U312" i="2"/>
  <c r="T312" i="2"/>
  <c r="S312" i="2"/>
  <c r="R312" i="2"/>
  <c r="Q312" i="2"/>
  <c r="P312" i="2"/>
  <c r="O312" i="2"/>
  <c r="N312" i="2"/>
  <c r="M312" i="2"/>
  <c r="L312" i="2"/>
  <c r="K312" i="2"/>
  <c r="J312" i="2"/>
  <c r="I312" i="2"/>
  <c r="H312" i="2"/>
  <c r="G312" i="2"/>
  <c r="F312" i="2"/>
  <c r="E312" i="2"/>
  <c r="D312" i="2"/>
  <c r="C312" i="2"/>
  <c r="B312" i="2"/>
  <c r="BF311" i="2"/>
  <c r="BE311" i="2"/>
  <c r="BD311" i="2"/>
  <c r="BC311" i="2"/>
  <c r="BB311" i="2"/>
  <c r="BA311" i="2"/>
  <c r="AZ311" i="2"/>
  <c r="AY311" i="2"/>
  <c r="AX311" i="2"/>
  <c r="AW311" i="2"/>
  <c r="AV311" i="2"/>
  <c r="AU311" i="2"/>
  <c r="AT311" i="2"/>
  <c r="AS311" i="2"/>
  <c r="AR311" i="2"/>
  <c r="AQ311" i="2"/>
  <c r="AP311" i="2"/>
  <c r="AO311" i="2"/>
  <c r="AN311" i="2"/>
  <c r="AM311" i="2"/>
  <c r="AL311" i="2"/>
  <c r="AK311" i="2"/>
  <c r="AJ311" i="2"/>
  <c r="AI311" i="2"/>
  <c r="AH311" i="2"/>
  <c r="AG311" i="2"/>
  <c r="AF311" i="2"/>
  <c r="AE311" i="2"/>
  <c r="AD311" i="2"/>
  <c r="AC311" i="2"/>
  <c r="AB311" i="2"/>
  <c r="AA311" i="2"/>
  <c r="Z311" i="2"/>
  <c r="Y311" i="2"/>
  <c r="X311" i="2"/>
  <c r="W311" i="2"/>
  <c r="V311" i="2"/>
  <c r="U311" i="2"/>
  <c r="T311" i="2"/>
  <c r="S311" i="2"/>
  <c r="R311" i="2"/>
  <c r="Q311" i="2"/>
  <c r="P311" i="2"/>
  <c r="O311" i="2"/>
  <c r="N311" i="2"/>
  <c r="M311" i="2"/>
  <c r="L311" i="2"/>
  <c r="K311" i="2"/>
  <c r="J311" i="2"/>
  <c r="I311" i="2"/>
  <c r="H311" i="2"/>
  <c r="G311" i="2"/>
  <c r="F311" i="2"/>
  <c r="E311" i="2"/>
  <c r="D311" i="2"/>
  <c r="C311" i="2"/>
  <c r="B311" i="2"/>
  <c r="BF310" i="2"/>
  <c r="BE310" i="2"/>
  <c r="BD310" i="2"/>
  <c r="BC310" i="2"/>
  <c r="BB310" i="2"/>
  <c r="BA310" i="2"/>
  <c r="AZ310" i="2"/>
  <c r="AY310" i="2"/>
  <c r="AX310" i="2"/>
  <c r="AW310" i="2"/>
  <c r="AV310" i="2"/>
  <c r="AU310" i="2"/>
  <c r="AT310" i="2"/>
  <c r="AS310" i="2"/>
  <c r="AR310" i="2"/>
  <c r="AQ310" i="2"/>
  <c r="AP310" i="2"/>
  <c r="AO310" i="2"/>
  <c r="AN310" i="2"/>
  <c r="AM310" i="2"/>
  <c r="AL310" i="2"/>
  <c r="AK310" i="2"/>
  <c r="AJ310" i="2"/>
  <c r="AI310" i="2"/>
  <c r="AH310" i="2"/>
  <c r="AG310" i="2"/>
  <c r="AF310" i="2"/>
  <c r="AE310" i="2"/>
  <c r="AD310" i="2"/>
  <c r="AC310" i="2"/>
  <c r="AB310" i="2"/>
  <c r="AA310" i="2"/>
  <c r="Z310" i="2"/>
  <c r="Y310" i="2"/>
  <c r="X310" i="2"/>
  <c r="W310" i="2"/>
  <c r="V310" i="2"/>
  <c r="U310" i="2"/>
  <c r="T310" i="2"/>
  <c r="S310" i="2"/>
  <c r="R310" i="2"/>
  <c r="Q310" i="2"/>
  <c r="P310" i="2"/>
  <c r="O310" i="2"/>
  <c r="N310" i="2"/>
  <c r="M310" i="2"/>
  <c r="L310" i="2"/>
  <c r="K310" i="2"/>
  <c r="J310" i="2"/>
  <c r="I310" i="2"/>
  <c r="H310" i="2"/>
  <c r="G310" i="2"/>
  <c r="F310" i="2"/>
  <c r="E310" i="2"/>
  <c r="D310" i="2"/>
  <c r="C310" i="2"/>
  <c r="B310" i="2"/>
  <c r="BF309" i="2"/>
  <c r="BE309" i="2"/>
  <c r="BD309" i="2"/>
  <c r="BC309" i="2"/>
  <c r="BB309" i="2"/>
  <c r="BA309" i="2"/>
  <c r="AZ309" i="2"/>
  <c r="AY309" i="2"/>
  <c r="AX309" i="2"/>
  <c r="AW309" i="2"/>
  <c r="AV309" i="2"/>
  <c r="AU309" i="2"/>
  <c r="AT309" i="2"/>
  <c r="AS309" i="2"/>
  <c r="AR309" i="2"/>
  <c r="AQ309" i="2"/>
  <c r="AP309" i="2"/>
  <c r="AO309" i="2"/>
  <c r="AN309" i="2"/>
  <c r="AM309" i="2"/>
  <c r="AL309" i="2"/>
  <c r="AK309" i="2"/>
  <c r="AJ309" i="2"/>
  <c r="AI309" i="2"/>
  <c r="AH309" i="2"/>
  <c r="AG309" i="2"/>
  <c r="AF309" i="2"/>
  <c r="AE309" i="2"/>
  <c r="AD309" i="2"/>
  <c r="AC309" i="2"/>
  <c r="AB309" i="2"/>
  <c r="AA309" i="2"/>
  <c r="Z309" i="2"/>
  <c r="Y309" i="2"/>
  <c r="X309" i="2"/>
  <c r="W309" i="2"/>
  <c r="V309" i="2"/>
  <c r="U309" i="2"/>
  <c r="T309" i="2"/>
  <c r="S309" i="2"/>
  <c r="R309" i="2"/>
  <c r="Q309" i="2"/>
  <c r="P309" i="2"/>
  <c r="O309" i="2"/>
  <c r="N309" i="2"/>
  <c r="M309" i="2"/>
  <c r="L309" i="2"/>
  <c r="K309" i="2"/>
  <c r="J309" i="2"/>
  <c r="I309" i="2"/>
  <c r="H309" i="2"/>
  <c r="G309" i="2"/>
  <c r="F309" i="2"/>
  <c r="E309" i="2"/>
  <c r="D309" i="2"/>
  <c r="C309" i="2"/>
  <c r="B309" i="2"/>
  <c r="BF308" i="2"/>
  <c r="BE308" i="2"/>
  <c r="BD308" i="2"/>
  <c r="BC308" i="2"/>
  <c r="BB308" i="2"/>
  <c r="BA308" i="2"/>
  <c r="AZ308" i="2"/>
  <c r="AY308" i="2"/>
  <c r="AX308" i="2"/>
  <c r="AW308" i="2"/>
  <c r="AV308" i="2"/>
  <c r="AU308" i="2"/>
  <c r="AT308" i="2"/>
  <c r="AS308" i="2"/>
  <c r="AR308" i="2"/>
  <c r="AQ308" i="2"/>
  <c r="AP308" i="2"/>
  <c r="AO308" i="2"/>
  <c r="AN308" i="2"/>
  <c r="AM308" i="2"/>
  <c r="AL308" i="2"/>
  <c r="AK308" i="2"/>
  <c r="AJ308" i="2"/>
  <c r="AI308" i="2"/>
  <c r="AH308" i="2"/>
  <c r="AG308" i="2"/>
  <c r="AF308" i="2"/>
  <c r="AE308" i="2"/>
  <c r="AD308" i="2"/>
  <c r="AC308" i="2"/>
  <c r="AB308" i="2"/>
  <c r="AA308" i="2"/>
  <c r="Z308" i="2"/>
  <c r="Y308" i="2"/>
  <c r="X308" i="2"/>
  <c r="W308" i="2"/>
  <c r="V308" i="2"/>
  <c r="U308" i="2"/>
  <c r="T308" i="2"/>
  <c r="S308" i="2"/>
  <c r="R308" i="2"/>
  <c r="Q308" i="2"/>
  <c r="P308" i="2"/>
  <c r="O308" i="2"/>
  <c r="N308" i="2"/>
  <c r="M308" i="2"/>
  <c r="L308" i="2"/>
  <c r="K308" i="2"/>
  <c r="J308" i="2"/>
  <c r="I308" i="2"/>
  <c r="H308" i="2"/>
  <c r="G308" i="2"/>
  <c r="F308" i="2"/>
  <c r="E308" i="2"/>
  <c r="D308" i="2"/>
  <c r="C308" i="2"/>
  <c r="B308" i="2"/>
  <c r="BF181" i="2"/>
  <c r="BE181" i="2"/>
  <c r="BD181" i="2"/>
  <c r="BC181" i="2"/>
  <c r="BB181" i="2"/>
  <c r="BA181" i="2"/>
  <c r="AZ181" i="2"/>
  <c r="AY181" i="2"/>
  <c r="AX181" i="2"/>
  <c r="AW181" i="2"/>
  <c r="AV181" i="2"/>
  <c r="AU181" i="2"/>
  <c r="AT181" i="2"/>
  <c r="AS181" i="2"/>
  <c r="AR181" i="2"/>
  <c r="AQ181" i="2"/>
  <c r="AP181" i="2"/>
  <c r="AO181" i="2"/>
  <c r="AN181" i="2"/>
  <c r="AM181" i="2"/>
  <c r="AL181" i="2"/>
  <c r="AK181" i="2"/>
  <c r="AJ181" i="2"/>
  <c r="AI181" i="2"/>
  <c r="AH181" i="2"/>
  <c r="AG181" i="2"/>
  <c r="AF181" i="2"/>
  <c r="AE181" i="2"/>
  <c r="AD181" i="2"/>
  <c r="AC181" i="2"/>
  <c r="AB181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BF180" i="2"/>
  <c r="BE180" i="2"/>
  <c r="BD180" i="2"/>
  <c r="BC180" i="2"/>
  <c r="BB180" i="2"/>
  <c r="BA180" i="2"/>
  <c r="AZ180" i="2"/>
  <c r="AY180" i="2"/>
  <c r="AX180" i="2"/>
  <c r="AW180" i="2"/>
  <c r="AV180" i="2"/>
  <c r="AU180" i="2"/>
  <c r="AT180" i="2"/>
  <c r="AS180" i="2"/>
  <c r="AR180" i="2"/>
  <c r="AQ180" i="2"/>
  <c r="AP180" i="2"/>
  <c r="AO180" i="2"/>
  <c r="AN180" i="2"/>
  <c r="AM180" i="2"/>
  <c r="AL180" i="2"/>
  <c r="AK180" i="2"/>
  <c r="AJ180" i="2"/>
  <c r="AI180" i="2"/>
  <c r="AH180" i="2"/>
  <c r="AG180" i="2"/>
  <c r="AF180" i="2"/>
  <c r="AE180" i="2"/>
  <c r="AD180" i="2"/>
  <c r="AC180" i="2"/>
  <c r="AB180" i="2"/>
  <c r="AA180" i="2"/>
  <c r="Z180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BF179" i="2"/>
  <c r="BE179" i="2"/>
  <c r="BD179" i="2"/>
  <c r="BC179" i="2"/>
  <c r="BB179" i="2"/>
  <c r="BA179" i="2"/>
  <c r="AZ179" i="2"/>
  <c r="AY179" i="2"/>
  <c r="AX179" i="2"/>
  <c r="AW179" i="2"/>
  <c r="AV179" i="2"/>
  <c r="AU179" i="2"/>
  <c r="AT179" i="2"/>
  <c r="AS179" i="2"/>
  <c r="AR179" i="2"/>
  <c r="AQ179" i="2"/>
  <c r="AP179" i="2"/>
  <c r="AO179" i="2"/>
  <c r="AN179" i="2"/>
  <c r="AM179" i="2"/>
  <c r="AL179" i="2"/>
  <c r="AK179" i="2"/>
  <c r="AJ179" i="2"/>
  <c r="AI179" i="2"/>
  <c r="AH179" i="2"/>
  <c r="AG179" i="2"/>
  <c r="AF179" i="2"/>
  <c r="AE179" i="2"/>
  <c r="AD179" i="2"/>
  <c r="AC179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BF178" i="2"/>
  <c r="BE178" i="2"/>
  <c r="BD178" i="2"/>
  <c r="BC178" i="2"/>
  <c r="BB178" i="2"/>
  <c r="BA178" i="2"/>
  <c r="AZ178" i="2"/>
  <c r="AY178" i="2"/>
  <c r="AX178" i="2"/>
  <c r="AW178" i="2"/>
  <c r="AV178" i="2"/>
  <c r="AU178" i="2"/>
  <c r="AT178" i="2"/>
  <c r="AS178" i="2"/>
  <c r="AR178" i="2"/>
  <c r="AQ178" i="2"/>
  <c r="AP178" i="2"/>
  <c r="AO178" i="2"/>
  <c r="AN178" i="2"/>
  <c r="AM178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F177" i="2"/>
  <c r="BE177" i="2"/>
  <c r="BD177" i="2"/>
  <c r="BC177" i="2"/>
  <c r="BB177" i="2"/>
  <c r="BA177" i="2"/>
  <c r="AZ177" i="2"/>
  <c r="AY177" i="2"/>
  <c r="AX177" i="2"/>
  <c r="AW177" i="2"/>
  <c r="AV177" i="2"/>
  <c r="AU177" i="2"/>
  <c r="AT177" i="2"/>
  <c r="AS177" i="2"/>
  <c r="AR177" i="2"/>
  <c r="AQ177" i="2"/>
  <c r="AP177" i="2"/>
  <c r="AO177" i="2"/>
  <c r="AN177" i="2"/>
  <c r="AM177" i="2"/>
  <c r="AL177" i="2"/>
  <c r="AK177" i="2"/>
  <c r="AJ177" i="2"/>
  <c r="AI177" i="2"/>
  <c r="AH177" i="2"/>
  <c r="AG177" i="2"/>
  <c r="AF177" i="2"/>
  <c r="AE177" i="2"/>
  <c r="AD177" i="2"/>
  <c r="AC177" i="2"/>
  <c r="AB177" i="2"/>
  <c r="AA177" i="2"/>
  <c r="Z177" i="2"/>
  <c r="Y177" i="2"/>
  <c r="X177" i="2"/>
  <c r="W177" i="2"/>
  <c r="V177" i="2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BF176" i="2"/>
  <c r="BE176" i="2"/>
  <c r="BD176" i="2"/>
  <c r="BC176" i="2"/>
  <c r="BB176" i="2"/>
  <c r="BA176" i="2"/>
  <c r="AZ176" i="2"/>
  <c r="AY176" i="2"/>
  <c r="AX176" i="2"/>
  <c r="AW176" i="2"/>
  <c r="AV176" i="2"/>
  <c r="AU176" i="2"/>
  <c r="AT176" i="2"/>
  <c r="AS176" i="2"/>
  <c r="AR176" i="2"/>
  <c r="AQ176" i="2"/>
  <c r="AP176" i="2"/>
  <c r="AO176" i="2"/>
  <c r="AN176" i="2"/>
  <c r="AM176" i="2"/>
  <c r="AL176" i="2"/>
  <c r="AK176" i="2"/>
  <c r="AJ176" i="2"/>
  <c r="AI176" i="2"/>
  <c r="AH176" i="2"/>
  <c r="AG176" i="2"/>
  <c r="AF176" i="2"/>
  <c r="AE176" i="2"/>
  <c r="AD176" i="2"/>
  <c r="AC176" i="2"/>
  <c r="AB176" i="2"/>
  <c r="AA176" i="2"/>
  <c r="Z176" i="2"/>
  <c r="Y176" i="2"/>
  <c r="X176" i="2"/>
  <c r="W176" i="2"/>
  <c r="V176" i="2"/>
  <c r="U176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BF175" i="2"/>
  <c r="BE175" i="2"/>
  <c r="BD175" i="2"/>
  <c r="BC175" i="2"/>
  <c r="BB175" i="2"/>
  <c r="BA175" i="2"/>
  <c r="AZ175" i="2"/>
  <c r="AY175" i="2"/>
  <c r="AX175" i="2"/>
  <c r="AW175" i="2"/>
  <c r="AV175" i="2"/>
  <c r="AU175" i="2"/>
  <c r="AT175" i="2"/>
  <c r="AS175" i="2"/>
  <c r="AR175" i="2"/>
  <c r="AQ175" i="2"/>
  <c r="AP175" i="2"/>
  <c r="AO175" i="2"/>
  <c r="AN175" i="2"/>
  <c r="AM175" i="2"/>
  <c r="AL175" i="2"/>
  <c r="AK175" i="2"/>
  <c r="AJ175" i="2"/>
  <c r="AI175" i="2"/>
  <c r="AH175" i="2"/>
  <c r="AG175" i="2"/>
  <c r="AF175" i="2"/>
  <c r="AE175" i="2"/>
  <c r="AD175" i="2"/>
  <c r="AC175" i="2"/>
  <c r="AB175" i="2"/>
  <c r="AA175" i="2"/>
  <c r="Z175" i="2"/>
  <c r="Y175" i="2"/>
  <c r="X175" i="2"/>
  <c r="W175" i="2"/>
  <c r="V175" i="2"/>
  <c r="U175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D175" i="2"/>
  <c r="C175" i="2"/>
  <c r="BF174" i="2"/>
  <c r="BE174" i="2"/>
  <c r="BD174" i="2"/>
  <c r="BC174" i="2"/>
  <c r="BB174" i="2"/>
  <c r="BA174" i="2"/>
  <c r="AZ174" i="2"/>
  <c r="AY174" i="2"/>
  <c r="AX174" i="2"/>
  <c r="AW174" i="2"/>
  <c r="AV174" i="2"/>
  <c r="AU174" i="2"/>
  <c r="AT174" i="2"/>
  <c r="AS174" i="2"/>
  <c r="AR174" i="2"/>
  <c r="AQ174" i="2"/>
  <c r="AP174" i="2"/>
  <c r="AO174" i="2"/>
  <c r="AN174" i="2"/>
  <c r="AM174" i="2"/>
  <c r="AL174" i="2"/>
  <c r="AK174" i="2"/>
  <c r="AJ174" i="2"/>
  <c r="AI174" i="2"/>
  <c r="AH174" i="2"/>
  <c r="AG174" i="2"/>
  <c r="AF174" i="2"/>
  <c r="AE174" i="2"/>
  <c r="AD174" i="2"/>
  <c r="AC174" i="2"/>
  <c r="AB174" i="2"/>
  <c r="AA174" i="2"/>
  <c r="Z174" i="2"/>
  <c r="Y174" i="2"/>
  <c r="X174" i="2"/>
  <c r="W174" i="2"/>
  <c r="V174" i="2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BF171" i="2"/>
  <c r="BE171" i="2"/>
  <c r="BD171" i="2"/>
  <c r="BC171" i="2"/>
  <c r="BB171" i="2"/>
  <c r="BA171" i="2"/>
  <c r="AZ171" i="2"/>
  <c r="AY171" i="2"/>
  <c r="AX171" i="2"/>
  <c r="AW171" i="2"/>
  <c r="AV171" i="2"/>
  <c r="AU171" i="2"/>
  <c r="AT171" i="2"/>
  <c r="AS171" i="2"/>
  <c r="AR171" i="2"/>
  <c r="AQ171" i="2"/>
  <c r="AP171" i="2"/>
  <c r="AO171" i="2"/>
  <c r="AN171" i="2"/>
  <c r="AM171" i="2"/>
  <c r="AL171" i="2"/>
  <c r="AK171" i="2"/>
  <c r="AJ171" i="2"/>
  <c r="AI171" i="2"/>
  <c r="AH171" i="2"/>
  <c r="AG171" i="2"/>
  <c r="AF171" i="2"/>
  <c r="AE171" i="2"/>
  <c r="AD171" i="2"/>
  <c r="AC171" i="2"/>
  <c r="AB171" i="2"/>
  <c r="AA171" i="2"/>
  <c r="Z171" i="2"/>
  <c r="Y171" i="2"/>
  <c r="X171" i="2"/>
  <c r="W171" i="2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BF170" i="2"/>
  <c r="BE170" i="2"/>
  <c r="BD170" i="2"/>
  <c r="BC170" i="2"/>
  <c r="BB170" i="2"/>
  <c r="BA170" i="2"/>
  <c r="AZ170" i="2"/>
  <c r="AY170" i="2"/>
  <c r="AX170" i="2"/>
  <c r="AW170" i="2"/>
  <c r="AV170" i="2"/>
  <c r="AU170" i="2"/>
  <c r="AT170" i="2"/>
  <c r="AS170" i="2"/>
  <c r="AR170" i="2"/>
  <c r="AQ170" i="2"/>
  <c r="AP170" i="2"/>
  <c r="AO170" i="2"/>
  <c r="AN170" i="2"/>
  <c r="AM170" i="2"/>
  <c r="AL170" i="2"/>
  <c r="AK170" i="2"/>
  <c r="AJ170" i="2"/>
  <c r="AI170" i="2"/>
  <c r="AH170" i="2"/>
  <c r="AG170" i="2"/>
  <c r="AF170" i="2"/>
  <c r="AE170" i="2"/>
  <c r="AD170" i="2"/>
  <c r="AC170" i="2"/>
  <c r="AB170" i="2"/>
  <c r="AA170" i="2"/>
  <c r="Z170" i="2"/>
  <c r="Y170" i="2"/>
  <c r="X170" i="2"/>
  <c r="W170" i="2"/>
  <c r="V170" i="2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BF169" i="2"/>
  <c r="BE169" i="2"/>
  <c r="BD169" i="2"/>
  <c r="BC169" i="2"/>
  <c r="BB169" i="2"/>
  <c r="BA169" i="2"/>
  <c r="AZ169" i="2"/>
  <c r="AY169" i="2"/>
  <c r="AX169" i="2"/>
  <c r="AW169" i="2"/>
  <c r="AV169" i="2"/>
  <c r="AU169" i="2"/>
  <c r="AT169" i="2"/>
  <c r="AS169" i="2"/>
  <c r="AR169" i="2"/>
  <c r="AQ169" i="2"/>
  <c r="AP169" i="2"/>
  <c r="AO169" i="2"/>
  <c r="AN169" i="2"/>
  <c r="AM169" i="2"/>
  <c r="AL169" i="2"/>
  <c r="AK169" i="2"/>
  <c r="AJ169" i="2"/>
  <c r="AI169" i="2"/>
  <c r="AH169" i="2"/>
  <c r="AG169" i="2"/>
  <c r="AF169" i="2"/>
  <c r="AE169" i="2"/>
  <c r="AD169" i="2"/>
  <c r="AC169" i="2"/>
  <c r="AB169" i="2"/>
  <c r="AA169" i="2"/>
  <c r="Z169" i="2"/>
  <c r="Y169" i="2"/>
  <c r="X169" i="2"/>
  <c r="W169" i="2"/>
  <c r="V169" i="2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BF168" i="2"/>
  <c r="BE168" i="2"/>
  <c r="BD168" i="2"/>
  <c r="BC168" i="2"/>
  <c r="BB168" i="2"/>
  <c r="BA168" i="2"/>
  <c r="AZ168" i="2"/>
  <c r="AY168" i="2"/>
  <c r="AX168" i="2"/>
  <c r="AW168" i="2"/>
  <c r="AV168" i="2"/>
  <c r="AU168" i="2"/>
  <c r="AT168" i="2"/>
  <c r="AS168" i="2"/>
  <c r="AR168" i="2"/>
  <c r="AQ168" i="2"/>
  <c r="AP168" i="2"/>
  <c r="AO168" i="2"/>
  <c r="AN168" i="2"/>
  <c r="AM168" i="2"/>
  <c r="AL168" i="2"/>
  <c r="AK168" i="2"/>
  <c r="AJ168" i="2"/>
  <c r="AI168" i="2"/>
  <c r="AH168" i="2"/>
  <c r="AG168" i="2"/>
  <c r="AF168" i="2"/>
  <c r="AE168" i="2"/>
  <c r="AD168" i="2"/>
  <c r="AC168" i="2"/>
  <c r="AB168" i="2"/>
  <c r="AA168" i="2"/>
  <c r="Z168" i="2"/>
  <c r="Y168" i="2"/>
  <c r="X168" i="2"/>
  <c r="W168" i="2"/>
  <c r="V168" i="2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BF167" i="2"/>
  <c r="BE167" i="2"/>
  <c r="BD167" i="2"/>
  <c r="BC167" i="2"/>
  <c r="BB167" i="2"/>
  <c r="BA167" i="2"/>
  <c r="AZ167" i="2"/>
  <c r="AY167" i="2"/>
  <c r="AX167" i="2"/>
  <c r="AW167" i="2"/>
  <c r="AV167" i="2"/>
  <c r="AU167" i="2"/>
  <c r="AT167" i="2"/>
  <c r="AS167" i="2"/>
  <c r="AR167" i="2"/>
  <c r="AQ167" i="2"/>
  <c r="AP167" i="2"/>
  <c r="AO167" i="2"/>
  <c r="AN167" i="2"/>
  <c r="AM167" i="2"/>
  <c r="AL167" i="2"/>
  <c r="AK167" i="2"/>
  <c r="AJ167" i="2"/>
  <c r="AI167" i="2"/>
  <c r="AH167" i="2"/>
  <c r="AG167" i="2"/>
  <c r="AF167" i="2"/>
  <c r="AE167" i="2"/>
  <c r="AD167" i="2"/>
  <c r="AC167" i="2"/>
  <c r="AB167" i="2"/>
  <c r="AA167" i="2"/>
  <c r="Z167" i="2"/>
  <c r="Y167" i="2"/>
  <c r="X167" i="2"/>
  <c r="W167" i="2"/>
  <c r="V167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BF166" i="2"/>
  <c r="BE166" i="2"/>
  <c r="BD166" i="2"/>
  <c r="BC166" i="2"/>
  <c r="BB166" i="2"/>
  <c r="BA166" i="2"/>
  <c r="AZ166" i="2"/>
  <c r="AY166" i="2"/>
  <c r="AX166" i="2"/>
  <c r="AW166" i="2"/>
  <c r="AV166" i="2"/>
  <c r="AU166" i="2"/>
  <c r="AT166" i="2"/>
  <c r="AS166" i="2"/>
  <c r="AR166" i="2"/>
  <c r="AQ166" i="2"/>
  <c r="AP166" i="2"/>
  <c r="AO166" i="2"/>
  <c r="AN166" i="2"/>
  <c r="AM166" i="2"/>
  <c r="AL166" i="2"/>
  <c r="AK166" i="2"/>
  <c r="AJ166" i="2"/>
  <c r="AI166" i="2"/>
  <c r="AH166" i="2"/>
  <c r="AG166" i="2"/>
  <c r="AF166" i="2"/>
  <c r="AE166" i="2"/>
  <c r="AD166" i="2"/>
  <c r="AC166" i="2"/>
  <c r="AB166" i="2"/>
  <c r="AA166" i="2"/>
  <c r="Z166" i="2"/>
  <c r="Y166" i="2"/>
  <c r="X166" i="2"/>
  <c r="W166" i="2"/>
  <c r="V166" i="2"/>
  <c r="U166" i="2"/>
  <c r="T166" i="2"/>
  <c r="S166" i="2"/>
  <c r="R166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D166" i="2"/>
  <c r="C166" i="2"/>
  <c r="BF165" i="2"/>
  <c r="BE165" i="2"/>
  <c r="BD165" i="2"/>
  <c r="BC165" i="2"/>
  <c r="BB165" i="2"/>
  <c r="BA165" i="2"/>
  <c r="AZ165" i="2"/>
  <c r="AY165" i="2"/>
  <c r="AX165" i="2"/>
  <c r="AW165" i="2"/>
  <c r="AV165" i="2"/>
  <c r="AU165" i="2"/>
  <c r="AT165" i="2"/>
  <c r="AS165" i="2"/>
  <c r="AR165" i="2"/>
  <c r="AQ165" i="2"/>
  <c r="AP165" i="2"/>
  <c r="AO165" i="2"/>
  <c r="AN165" i="2"/>
  <c r="AM165" i="2"/>
  <c r="AL165" i="2"/>
  <c r="AK165" i="2"/>
  <c r="AJ165" i="2"/>
  <c r="AI165" i="2"/>
  <c r="AH165" i="2"/>
  <c r="AG165" i="2"/>
  <c r="AF165" i="2"/>
  <c r="AE165" i="2"/>
  <c r="AD165" i="2"/>
  <c r="AC165" i="2"/>
  <c r="AB165" i="2"/>
  <c r="AA165" i="2"/>
  <c r="Z165" i="2"/>
  <c r="Y165" i="2"/>
  <c r="X165" i="2"/>
  <c r="W165" i="2"/>
  <c r="V165" i="2"/>
  <c r="U165" i="2"/>
  <c r="T165" i="2"/>
  <c r="S165" i="2"/>
  <c r="R165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D165" i="2"/>
  <c r="C165" i="2"/>
  <c r="BF164" i="2"/>
  <c r="BE164" i="2"/>
  <c r="BD164" i="2"/>
  <c r="BC164" i="2"/>
  <c r="BB164" i="2"/>
  <c r="BA164" i="2"/>
  <c r="AZ164" i="2"/>
  <c r="AY164" i="2"/>
  <c r="AX164" i="2"/>
  <c r="AW164" i="2"/>
  <c r="AV164" i="2"/>
  <c r="AU164" i="2"/>
  <c r="AT164" i="2"/>
  <c r="AS164" i="2"/>
  <c r="AR164" i="2"/>
  <c r="AQ164" i="2"/>
  <c r="AP164" i="2"/>
  <c r="AO164" i="2"/>
  <c r="AN164" i="2"/>
  <c r="AM164" i="2"/>
  <c r="AL164" i="2"/>
  <c r="AK164" i="2"/>
  <c r="AJ164" i="2"/>
  <c r="AI164" i="2"/>
  <c r="AH164" i="2"/>
  <c r="AG164" i="2"/>
  <c r="AF164" i="2"/>
  <c r="AE164" i="2"/>
  <c r="AD164" i="2"/>
  <c r="AC164" i="2"/>
  <c r="AB164" i="2"/>
  <c r="AA164" i="2"/>
  <c r="Z164" i="2"/>
  <c r="Y164" i="2"/>
  <c r="X164" i="2"/>
  <c r="W164" i="2"/>
  <c r="V164" i="2"/>
  <c r="U164" i="2"/>
  <c r="T164" i="2"/>
  <c r="S164" i="2"/>
  <c r="R164" i="2"/>
  <c r="Q164" i="2"/>
  <c r="P164" i="2"/>
  <c r="O164" i="2"/>
  <c r="N164" i="2"/>
  <c r="M164" i="2"/>
  <c r="L164" i="2"/>
  <c r="K164" i="2"/>
  <c r="J164" i="2"/>
  <c r="I164" i="2"/>
  <c r="H164" i="2"/>
  <c r="G164" i="2"/>
  <c r="F164" i="2"/>
  <c r="E164" i="2"/>
  <c r="D164" i="2"/>
  <c r="C164" i="2"/>
  <c r="BF143" i="2"/>
  <c r="BE143" i="2"/>
  <c r="BD143" i="2"/>
  <c r="BC143" i="2"/>
  <c r="BB143" i="2"/>
  <c r="BA143" i="2"/>
  <c r="AZ143" i="2"/>
  <c r="AY143" i="2"/>
  <c r="AX143" i="2"/>
  <c r="AW143" i="2"/>
  <c r="AV143" i="2"/>
  <c r="AU143" i="2"/>
  <c r="AT143" i="2"/>
  <c r="AS143" i="2"/>
  <c r="AR143" i="2"/>
  <c r="AQ143" i="2"/>
  <c r="AP143" i="2"/>
  <c r="AO143" i="2"/>
  <c r="AN143" i="2"/>
  <c r="AM143" i="2"/>
  <c r="AL143" i="2"/>
  <c r="AK143" i="2"/>
  <c r="AJ143" i="2"/>
  <c r="AI143" i="2"/>
  <c r="AH143" i="2"/>
  <c r="AG143" i="2"/>
  <c r="AF143" i="2"/>
  <c r="AE143" i="2"/>
  <c r="AD143" i="2"/>
  <c r="AC143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BF142" i="2"/>
  <c r="BE142" i="2"/>
  <c r="BD142" i="2"/>
  <c r="BC142" i="2"/>
  <c r="BB142" i="2"/>
  <c r="BA142" i="2"/>
  <c r="AZ142" i="2"/>
  <c r="AY142" i="2"/>
  <c r="AX142" i="2"/>
  <c r="AW142" i="2"/>
  <c r="AV142" i="2"/>
  <c r="AU142" i="2"/>
  <c r="AT142" i="2"/>
  <c r="AS142" i="2"/>
  <c r="AR142" i="2"/>
  <c r="AQ142" i="2"/>
  <c r="AP142" i="2"/>
  <c r="AO142" i="2"/>
  <c r="AN142" i="2"/>
  <c r="AM142" i="2"/>
  <c r="AL142" i="2"/>
  <c r="AK142" i="2"/>
  <c r="AJ142" i="2"/>
  <c r="AI142" i="2"/>
  <c r="AH142" i="2"/>
  <c r="AG142" i="2"/>
  <c r="AF142" i="2"/>
  <c r="AE142" i="2"/>
  <c r="AD142" i="2"/>
  <c r="AC142" i="2"/>
  <c r="AB142" i="2"/>
  <c r="AA142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BF141" i="2"/>
  <c r="BE141" i="2"/>
  <c r="BD141" i="2"/>
  <c r="BC141" i="2"/>
  <c r="BB141" i="2"/>
  <c r="BA141" i="2"/>
  <c r="AZ141" i="2"/>
  <c r="AY141" i="2"/>
  <c r="AX141" i="2"/>
  <c r="AW141" i="2"/>
  <c r="AV141" i="2"/>
  <c r="AU141" i="2"/>
  <c r="AT141" i="2"/>
  <c r="AS141" i="2"/>
  <c r="AR141" i="2"/>
  <c r="AQ141" i="2"/>
  <c r="AP141" i="2"/>
  <c r="AO141" i="2"/>
  <c r="AN141" i="2"/>
  <c r="AM141" i="2"/>
  <c r="AL141" i="2"/>
  <c r="AK141" i="2"/>
  <c r="AJ141" i="2"/>
  <c r="AI141" i="2"/>
  <c r="AH141" i="2"/>
  <c r="AG141" i="2"/>
  <c r="AF141" i="2"/>
  <c r="AE141" i="2"/>
  <c r="AD141" i="2"/>
  <c r="AC141" i="2"/>
  <c r="AB141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BF140" i="2"/>
  <c r="BE140" i="2"/>
  <c r="BD140" i="2"/>
  <c r="BC140" i="2"/>
  <c r="BB140" i="2"/>
  <c r="BA140" i="2"/>
  <c r="AZ140" i="2"/>
  <c r="AY140" i="2"/>
  <c r="AX140" i="2"/>
  <c r="AW140" i="2"/>
  <c r="AV140" i="2"/>
  <c r="AU140" i="2"/>
  <c r="AT140" i="2"/>
  <c r="AS140" i="2"/>
  <c r="AR140" i="2"/>
  <c r="AQ140" i="2"/>
  <c r="AP140" i="2"/>
  <c r="AO140" i="2"/>
  <c r="AN140" i="2"/>
  <c r="AM140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BF139" i="2"/>
  <c r="BE139" i="2"/>
  <c r="BD139" i="2"/>
  <c r="BC139" i="2"/>
  <c r="BB139" i="2"/>
  <c r="BA139" i="2"/>
  <c r="AZ139" i="2"/>
  <c r="AY139" i="2"/>
  <c r="AX139" i="2"/>
  <c r="AW139" i="2"/>
  <c r="AV139" i="2"/>
  <c r="AU139" i="2"/>
  <c r="AT139" i="2"/>
  <c r="AS139" i="2"/>
  <c r="AR139" i="2"/>
  <c r="AQ139" i="2"/>
  <c r="AP139" i="2"/>
  <c r="AO139" i="2"/>
  <c r="AN139" i="2"/>
  <c r="AM139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BF138" i="2"/>
  <c r="BE138" i="2"/>
  <c r="BD138" i="2"/>
  <c r="BC138" i="2"/>
  <c r="BB138" i="2"/>
  <c r="BA138" i="2"/>
  <c r="AZ138" i="2"/>
  <c r="AY138" i="2"/>
  <c r="AX138" i="2"/>
  <c r="AW138" i="2"/>
  <c r="AV138" i="2"/>
  <c r="AU138" i="2"/>
  <c r="AT138" i="2"/>
  <c r="AS138" i="2"/>
  <c r="AR138" i="2"/>
  <c r="AQ138" i="2"/>
  <c r="AP138" i="2"/>
  <c r="AO138" i="2"/>
  <c r="AN138" i="2"/>
  <c r="AM138" i="2"/>
  <c r="AL138" i="2"/>
  <c r="AK138" i="2"/>
  <c r="AJ138" i="2"/>
  <c r="AI138" i="2"/>
  <c r="AH138" i="2"/>
  <c r="AG138" i="2"/>
  <c r="AF138" i="2"/>
  <c r="AE138" i="2"/>
  <c r="AD138" i="2"/>
  <c r="AC138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BF137" i="2"/>
  <c r="BE137" i="2"/>
  <c r="BD137" i="2"/>
  <c r="BC137" i="2"/>
  <c r="BB137" i="2"/>
  <c r="BA137" i="2"/>
  <c r="AZ137" i="2"/>
  <c r="AY137" i="2"/>
  <c r="AX137" i="2"/>
  <c r="AW137" i="2"/>
  <c r="AV137" i="2"/>
  <c r="AU137" i="2"/>
  <c r="AT137" i="2"/>
  <c r="AS137" i="2"/>
  <c r="AR137" i="2"/>
  <c r="AQ137" i="2"/>
  <c r="AP137" i="2"/>
  <c r="AO137" i="2"/>
  <c r="AN137" i="2"/>
  <c r="AM137" i="2"/>
  <c r="AL137" i="2"/>
  <c r="AK137" i="2"/>
  <c r="AJ137" i="2"/>
  <c r="AI137" i="2"/>
  <c r="AH137" i="2"/>
  <c r="AG137" i="2"/>
  <c r="AF137" i="2"/>
  <c r="AE137" i="2"/>
  <c r="AD137" i="2"/>
  <c r="AC137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BF136" i="2"/>
  <c r="BE136" i="2"/>
  <c r="BD136" i="2"/>
  <c r="BC136" i="2"/>
  <c r="BB136" i="2"/>
  <c r="BA136" i="2"/>
  <c r="AZ136" i="2"/>
  <c r="AY136" i="2"/>
  <c r="AX136" i="2"/>
  <c r="AW136" i="2"/>
  <c r="AV136" i="2"/>
  <c r="AU136" i="2"/>
  <c r="AT136" i="2"/>
  <c r="AS136" i="2"/>
  <c r="AR136" i="2"/>
  <c r="AQ136" i="2"/>
  <c r="AP136" i="2"/>
  <c r="AO136" i="2"/>
  <c r="AN136" i="2"/>
  <c r="AM136" i="2"/>
  <c r="AL136" i="2"/>
  <c r="AK136" i="2"/>
  <c r="AJ136" i="2"/>
  <c r="AI136" i="2"/>
  <c r="AH136" i="2"/>
  <c r="AG136" i="2"/>
  <c r="AF136" i="2"/>
  <c r="AE136" i="2"/>
  <c r="AD136" i="2"/>
  <c r="AC136" i="2"/>
  <c r="AB136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BF132" i="2"/>
  <c r="BE132" i="2"/>
  <c r="BD132" i="2"/>
  <c r="BC132" i="2"/>
  <c r="BB132" i="2"/>
  <c r="BA132" i="2"/>
  <c r="AZ132" i="2"/>
  <c r="AY132" i="2"/>
  <c r="AX132" i="2"/>
  <c r="AW132" i="2"/>
  <c r="AV132" i="2"/>
  <c r="AU132" i="2"/>
  <c r="AT132" i="2"/>
  <c r="AS132" i="2"/>
  <c r="AR132" i="2"/>
  <c r="AQ132" i="2"/>
  <c r="AP132" i="2"/>
  <c r="AO132" i="2"/>
  <c r="AN132" i="2"/>
  <c r="AM132" i="2"/>
  <c r="AL132" i="2"/>
  <c r="AK132" i="2"/>
  <c r="AJ132" i="2"/>
  <c r="AI132" i="2"/>
  <c r="AH132" i="2"/>
  <c r="AG132" i="2"/>
  <c r="AF132" i="2"/>
  <c r="AE132" i="2"/>
  <c r="AD132" i="2"/>
  <c r="AC132" i="2"/>
  <c r="AB132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BF131" i="2"/>
  <c r="BE131" i="2"/>
  <c r="BD131" i="2"/>
  <c r="BC131" i="2"/>
  <c r="BB131" i="2"/>
  <c r="BA131" i="2"/>
  <c r="AZ131" i="2"/>
  <c r="AY131" i="2"/>
  <c r="AX131" i="2"/>
  <c r="AW131" i="2"/>
  <c r="AV131" i="2"/>
  <c r="AU131" i="2"/>
  <c r="AT131" i="2"/>
  <c r="AS131" i="2"/>
  <c r="AR131" i="2"/>
  <c r="AQ131" i="2"/>
  <c r="AP131" i="2"/>
  <c r="AO131" i="2"/>
  <c r="AN131" i="2"/>
  <c r="AM131" i="2"/>
  <c r="AL131" i="2"/>
  <c r="AK131" i="2"/>
  <c r="AJ131" i="2"/>
  <c r="AI131" i="2"/>
  <c r="AH131" i="2"/>
  <c r="AG131" i="2"/>
  <c r="AF131" i="2"/>
  <c r="AE131" i="2"/>
  <c r="AD131" i="2"/>
  <c r="AC131" i="2"/>
  <c r="AB131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BF130" i="2"/>
  <c r="BE130" i="2"/>
  <c r="BD130" i="2"/>
  <c r="BC130" i="2"/>
  <c r="BB130" i="2"/>
  <c r="BA130" i="2"/>
  <c r="AZ130" i="2"/>
  <c r="AY130" i="2"/>
  <c r="AX130" i="2"/>
  <c r="AW130" i="2"/>
  <c r="AV130" i="2"/>
  <c r="AU130" i="2"/>
  <c r="AT130" i="2"/>
  <c r="AS130" i="2"/>
  <c r="AR130" i="2"/>
  <c r="AQ130" i="2"/>
  <c r="AP130" i="2"/>
  <c r="AO130" i="2"/>
  <c r="AN130" i="2"/>
  <c r="AM130" i="2"/>
  <c r="AL130" i="2"/>
  <c r="AK130" i="2"/>
  <c r="AJ130" i="2"/>
  <c r="AI130" i="2"/>
  <c r="AH130" i="2"/>
  <c r="AG130" i="2"/>
  <c r="AF130" i="2"/>
  <c r="AE130" i="2"/>
  <c r="AD130" i="2"/>
  <c r="AC130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BF129" i="2"/>
  <c r="BE129" i="2"/>
  <c r="BD129" i="2"/>
  <c r="BC129" i="2"/>
  <c r="BB129" i="2"/>
  <c r="BA129" i="2"/>
  <c r="AZ129" i="2"/>
  <c r="AY129" i="2"/>
  <c r="AX129" i="2"/>
  <c r="AW129" i="2"/>
  <c r="AV129" i="2"/>
  <c r="AU129" i="2"/>
  <c r="AT129" i="2"/>
  <c r="AS129" i="2"/>
  <c r="AR129" i="2"/>
  <c r="AQ129" i="2"/>
  <c r="AP129" i="2"/>
  <c r="AO129" i="2"/>
  <c r="AN129" i="2"/>
  <c r="AM129" i="2"/>
  <c r="AL129" i="2"/>
  <c r="AK129" i="2"/>
  <c r="AJ129" i="2"/>
  <c r="AI129" i="2"/>
  <c r="AH129" i="2"/>
  <c r="AG129" i="2"/>
  <c r="AF129" i="2"/>
  <c r="AE129" i="2"/>
  <c r="AD129" i="2"/>
  <c r="AC129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BF128" i="2"/>
  <c r="BE128" i="2"/>
  <c r="BD128" i="2"/>
  <c r="BC128" i="2"/>
  <c r="BB128" i="2"/>
  <c r="BA128" i="2"/>
  <c r="AZ128" i="2"/>
  <c r="AY128" i="2"/>
  <c r="AX128" i="2"/>
  <c r="AW128" i="2"/>
  <c r="AV128" i="2"/>
  <c r="AU128" i="2"/>
  <c r="AT128" i="2"/>
  <c r="AS128" i="2"/>
  <c r="AR128" i="2"/>
  <c r="AQ128" i="2"/>
  <c r="AP128" i="2"/>
  <c r="AO128" i="2"/>
  <c r="AN128" i="2"/>
  <c r="AM128" i="2"/>
  <c r="AL128" i="2"/>
  <c r="AK128" i="2"/>
  <c r="AJ128" i="2"/>
  <c r="AI128" i="2"/>
  <c r="AH128" i="2"/>
  <c r="AG128" i="2"/>
  <c r="AF128" i="2"/>
  <c r="AE128" i="2"/>
  <c r="AD128" i="2"/>
  <c r="AC128" i="2"/>
  <c r="AB128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BF127" i="2"/>
  <c r="BE127" i="2"/>
  <c r="BD127" i="2"/>
  <c r="BC127" i="2"/>
  <c r="BB127" i="2"/>
  <c r="BA127" i="2"/>
  <c r="AZ127" i="2"/>
  <c r="AY127" i="2"/>
  <c r="AX127" i="2"/>
  <c r="AW127" i="2"/>
  <c r="AV127" i="2"/>
  <c r="AU127" i="2"/>
  <c r="AT127" i="2"/>
  <c r="AS127" i="2"/>
  <c r="AR127" i="2"/>
  <c r="AQ127" i="2"/>
  <c r="AP127" i="2"/>
  <c r="AO127" i="2"/>
  <c r="AN127" i="2"/>
  <c r="AM127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BF126" i="2"/>
  <c r="BE126" i="2"/>
  <c r="BD126" i="2"/>
  <c r="BC126" i="2"/>
  <c r="BB126" i="2"/>
  <c r="BA126" i="2"/>
  <c r="AZ126" i="2"/>
  <c r="AY126" i="2"/>
  <c r="AX126" i="2"/>
  <c r="AW126" i="2"/>
  <c r="AV126" i="2"/>
  <c r="AU126" i="2"/>
  <c r="AT126" i="2"/>
  <c r="AS126" i="2"/>
  <c r="AR126" i="2"/>
  <c r="AQ126" i="2"/>
  <c r="AP126" i="2"/>
  <c r="AO126" i="2"/>
  <c r="AN126" i="2"/>
  <c r="AM126" i="2"/>
  <c r="AL126" i="2"/>
  <c r="AK126" i="2"/>
  <c r="AJ126" i="2"/>
  <c r="AI126" i="2"/>
  <c r="AH126" i="2"/>
  <c r="AG126" i="2"/>
  <c r="AF126" i="2"/>
  <c r="AE126" i="2"/>
  <c r="AD126" i="2"/>
  <c r="AC126" i="2"/>
  <c r="AB126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BF125" i="2"/>
  <c r="BE125" i="2"/>
  <c r="BD125" i="2"/>
  <c r="BC125" i="2"/>
  <c r="BB125" i="2"/>
  <c r="BA125" i="2"/>
  <c r="AZ125" i="2"/>
  <c r="AY125" i="2"/>
  <c r="AX125" i="2"/>
  <c r="AW125" i="2"/>
  <c r="AV125" i="2"/>
  <c r="AU125" i="2"/>
  <c r="AT125" i="2"/>
  <c r="AS125" i="2"/>
  <c r="AR125" i="2"/>
  <c r="AQ125" i="2"/>
  <c r="AP125" i="2"/>
  <c r="AO125" i="2"/>
  <c r="AN125" i="2"/>
  <c r="AM125" i="2"/>
  <c r="AL125" i="2"/>
  <c r="AK125" i="2"/>
  <c r="AJ125" i="2"/>
  <c r="AI125" i="2"/>
  <c r="AH125" i="2"/>
  <c r="AG125" i="2"/>
  <c r="AF125" i="2"/>
  <c r="AE125" i="2"/>
  <c r="AD125" i="2"/>
  <c r="AC125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BF416" i="2"/>
  <c r="BE416" i="2"/>
  <c r="BD416" i="2"/>
  <c r="BC416" i="2"/>
  <c r="BB416" i="2"/>
  <c r="BA416" i="2"/>
  <c r="AZ416" i="2"/>
  <c r="AY416" i="2"/>
  <c r="AX416" i="2"/>
  <c r="AW416" i="2"/>
  <c r="AV416" i="2"/>
  <c r="AU416" i="2"/>
  <c r="AT416" i="2"/>
  <c r="AS416" i="2"/>
  <c r="AR416" i="2"/>
  <c r="AQ416" i="2"/>
  <c r="AP416" i="2"/>
  <c r="AO416" i="2"/>
  <c r="AN416" i="2"/>
  <c r="AM416" i="2"/>
  <c r="AL416" i="2"/>
  <c r="AK416" i="2"/>
  <c r="AJ416" i="2"/>
  <c r="AI416" i="2"/>
  <c r="AH416" i="2"/>
  <c r="AG416" i="2"/>
  <c r="AF416" i="2"/>
  <c r="AE416" i="2"/>
  <c r="AD416" i="2"/>
  <c r="AC416" i="2"/>
  <c r="AB416" i="2"/>
  <c r="AA416" i="2"/>
  <c r="Z416" i="2"/>
  <c r="Y416" i="2"/>
  <c r="X416" i="2"/>
  <c r="W416" i="2"/>
  <c r="V416" i="2"/>
  <c r="U416" i="2"/>
  <c r="T416" i="2"/>
  <c r="S416" i="2"/>
  <c r="R416" i="2"/>
  <c r="Q416" i="2"/>
  <c r="P416" i="2"/>
  <c r="O416" i="2"/>
  <c r="N416" i="2"/>
  <c r="M416" i="2"/>
  <c r="L416" i="2"/>
  <c r="K416" i="2"/>
  <c r="J416" i="2"/>
  <c r="I416" i="2"/>
  <c r="H416" i="2"/>
  <c r="G416" i="2"/>
  <c r="F416" i="2"/>
  <c r="E416" i="2"/>
  <c r="D416" i="2"/>
  <c r="C416" i="2"/>
  <c r="B416" i="2"/>
  <c r="BF415" i="2"/>
  <c r="BE415" i="2"/>
  <c r="BD415" i="2"/>
  <c r="BC415" i="2"/>
  <c r="BB415" i="2"/>
  <c r="BA415" i="2"/>
  <c r="AZ415" i="2"/>
  <c r="AY415" i="2"/>
  <c r="AX415" i="2"/>
  <c r="AW415" i="2"/>
  <c r="AV415" i="2"/>
  <c r="AU415" i="2"/>
  <c r="AT415" i="2"/>
  <c r="AS415" i="2"/>
  <c r="AR415" i="2"/>
  <c r="AQ415" i="2"/>
  <c r="AP415" i="2"/>
  <c r="AO415" i="2"/>
  <c r="AN415" i="2"/>
  <c r="AM415" i="2"/>
  <c r="AL415" i="2"/>
  <c r="AK415" i="2"/>
  <c r="AJ415" i="2"/>
  <c r="AI415" i="2"/>
  <c r="AH415" i="2"/>
  <c r="AG415" i="2"/>
  <c r="AF415" i="2"/>
  <c r="AE415" i="2"/>
  <c r="AD415" i="2"/>
  <c r="AC415" i="2"/>
  <c r="AB415" i="2"/>
  <c r="AA415" i="2"/>
  <c r="Z415" i="2"/>
  <c r="Y415" i="2"/>
  <c r="X415" i="2"/>
  <c r="W415" i="2"/>
  <c r="V415" i="2"/>
  <c r="U415" i="2"/>
  <c r="T415" i="2"/>
  <c r="S415" i="2"/>
  <c r="R415" i="2"/>
  <c r="Q415" i="2"/>
  <c r="P415" i="2"/>
  <c r="O415" i="2"/>
  <c r="N415" i="2"/>
  <c r="M415" i="2"/>
  <c r="L415" i="2"/>
  <c r="K415" i="2"/>
  <c r="J415" i="2"/>
  <c r="I415" i="2"/>
  <c r="H415" i="2"/>
  <c r="G415" i="2"/>
  <c r="F415" i="2"/>
  <c r="E415" i="2"/>
  <c r="D415" i="2"/>
  <c r="C415" i="2"/>
  <c r="B415" i="2"/>
  <c r="BF414" i="2"/>
  <c r="BE414" i="2"/>
  <c r="BD414" i="2"/>
  <c r="BC414" i="2"/>
  <c r="BB414" i="2"/>
  <c r="BA414" i="2"/>
  <c r="AZ414" i="2"/>
  <c r="AY414" i="2"/>
  <c r="AX414" i="2"/>
  <c r="AW414" i="2"/>
  <c r="AV414" i="2"/>
  <c r="AU414" i="2"/>
  <c r="AT414" i="2"/>
  <c r="AS414" i="2"/>
  <c r="AR414" i="2"/>
  <c r="AQ414" i="2"/>
  <c r="AP414" i="2"/>
  <c r="AO414" i="2"/>
  <c r="AN414" i="2"/>
  <c r="AM414" i="2"/>
  <c r="AL414" i="2"/>
  <c r="AK414" i="2"/>
  <c r="AJ414" i="2"/>
  <c r="AI414" i="2"/>
  <c r="AH414" i="2"/>
  <c r="AG414" i="2"/>
  <c r="AF414" i="2"/>
  <c r="AE414" i="2"/>
  <c r="AD414" i="2"/>
  <c r="AC414" i="2"/>
  <c r="AB414" i="2"/>
  <c r="AA414" i="2"/>
  <c r="Z414" i="2"/>
  <c r="Y414" i="2"/>
  <c r="X414" i="2"/>
  <c r="W414" i="2"/>
  <c r="V414" i="2"/>
  <c r="U414" i="2"/>
  <c r="T414" i="2"/>
  <c r="S414" i="2"/>
  <c r="R414" i="2"/>
  <c r="Q414" i="2"/>
  <c r="P414" i="2"/>
  <c r="O414" i="2"/>
  <c r="N414" i="2"/>
  <c r="M414" i="2"/>
  <c r="L414" i="2"/>
  <c r="K414" i="2"/>
  <c r="J414" i="2"/>
  <c r="I414" i="2"/>
  <c r="H414" i="2"/>
  <c r="G414" i="2"/>
  <c r="F414" i="2"/>
  <c r="E414" i="2"/>
  <c r="D414" i="2"/>
  <c r="C414" i="2"/>
  <c r="B414" i="2"/>
  <c r="BF413" i="2"/>
  <c r="BE413" i="2"/>
  <c r="BD413" i="2"/>
  <c r="BC413" i="2"/>
  <c r="BB413" i="2"/>
  <c r="BA413" i="2"/>
  <c r="AZ413" i="2"/>
  <c r="AY413" i="2"/>
  <c r="AX413" i="2"/>
  <c r="AW413" i="2"/>
  <c r="AV413" i="2"/>
  <c r="AU413" i="2"/>
  <c r="AT413" i="2"/>
  <c r="AS413" i="2"/>
  <c r="AR413" i="2"/>
  <c r="AQ413" i="2"/>
  <c r="AP413" i="2"/>
  <c r="AO413" i="2"/>
  <c r="AN413" i="2"/>
  <c r="AM413" i="2"/>
  <c r="AL413" i="2"/>
  <c r="AK413" i="2"/>
  <c r="AJ413" i="2"/>
  <c r="AI413" i="2"/>
  <c r="AH413" i="2"/>
  <c r="AG413" i="2"/>
  <c r="AF413" i="2"/>
  <c r="AE413" i="2"/>
  <c r="AD413" i="2"/>
  <c r="AC413" i="2"/>
  <c r="AB413" i="2"/>
  <c r="AA413" i="2"/>
  <c r="Z413" i="2"/>
  <c r="Y413" i="2"/>
  <c r="X413" i="2"/>
  <c r="W413" i="2"/>
  <c r="V413" i="2"/>
  <c r="U413" i="2"/>
  <c r="T413" i="2"/>
  <c r="S413" i="2"/>
  <c r="R413" i="2"/>
  <c r="Q413" i="2"/>
  <c r="P413" i="2"/>
  <c r="O413" i="2"/>
  <c r="N413" i="2"/>
  <c r="M413" i="2"/>
  <c r="L413" i="2"/>
  <c r="K413" i="2"/>
  <c r="J413" i="2"/>
  <c r="I413" i="2"/>
  <c r="H413" i="2"/>
  <c r="G413" i="2"/>
  <c r="F413" i="2"/>
  <c r="E413" i="2"/>
  <c r="D413" i="2"/>
  <c r="C413" i="2"/>
  <c r="B413" i="2"/>
  <c r="BF412" i="2"/>
  <c r="BE412" i="2"/>
  <c r="BD412" i="2"/>
  <c r="BC412" i="2"/>
  <c r="BB412" i="2"/>
  <c r="BA412" i="2"/>
  <c r="AZ412" i="2"/>
  <c r="AY412" i="2"/>
  <c r="AX412" i="2"/>
  <c r="AW412" i="2"/>
  <c r="AV412" i="2"/>
  <c r="AU412" i="2"/>
  <c r="AT412" i="2"/>
  <c r="AS412" i="2"/>
  <c r="AR412" i="2"/>
  <c r="AQ412" i="2"/>
  <c r="AP412" i="2"/>
  <c r="AO412" i="2"/>
  <c r="AN412" i="2"/>
  <c r="AM412" i="2"/>
  <c r="AL412" i="2"/>
  <c r="AK412" i="2"/>
  <c r="AJ412" i="2"/>
  <c r="AI412" i="2"/>
  <c r="AH412" i="2"/>
  <c r="AG412" i="2"/>
  <c r="AF412" i="2"/>
  <c r="AE412" i="2"/>
  <c r="AD412" i="2"/>
  <c r="AC412" i="2"/>
  <c r="AB412" i="2"/>
  <c r="AA412" i="2"/>
  <c r="Z412" i="2"/>
  <c r="Y412" i="2"/>
  <c r="X412" i="2"/>
  <c r="W412" i="2"/>
  <c r="V412" i="2"/>
  <c r="U412" i="2"/>
  <c r="T412" i="2"/>
  <c r="S412" i="2"/>
  <c r="R412" i="2"/>
  <c r="Q412" i="2"/>
  <c r="P412" i="2"/>
  <c r="O412" i="2"/>
  <c r="N412" i="2"/>
  <c r="M412" i="2"/>
  <c r="L412" i="2"/>
  <c r="K412" i="2"/>
  <c r="J412" i="2"/>
  <c r="I412" i="2"/>
  <c r="H412" i="2"/>
  <c r="G412" i="2"/>
  <c r="F412" i="2"/>
  <c r="E412" i="2"/>
  <c r="D412" i="2"/>
  <c r="C412" i="2"/>
  <c r="B412" i="2"/>
  <c r="BF411" i="2"/>
  <c r="BE411" i="2"/>
  <c r="BD411" i="2"/>
  <c r="BC411" i="2"/>
  <c r="BB411" i="2"/>
  <c r="BA411" i="2"/>
  <c r="AZ411" i="2"/>
  <c r="AY411" i="2"/>
  <c r="AX411" i="2"/>
  <c r="AW411" i="2"/>
  <c r="AV411" i="2"/>
  <c r="AU411" i="2"/>
  <c r="AT411" i="2"/>
  <c r="AS411" i="2"/>
  <c r="AR411" i="2"/>
  <c r="AQ411" i="2"/>
  <c r="AP411" i="2"/>
  <c r="AO411" i="2"/>
  <c r="AN411" i="2"/>
  <c r="AM411" i="2"/>
  <c r="AL411" i="2"/>
  <c r="AK411" i="2"/>
  <c r="AJ411" i="2"/>
  <c r="AI411" i="2"/>
  <c r="AH411" i="2"/>
  <c r="AG411" i="2"/>
  <c r="AF411" i="2"/>
  <c r="AE411" i="2"/>
  <c r="AD411" i="2"/>
  <c r="AC411" i="2"/>
  <c r="AB411" i="2"/>
  <c r="AA411" i="2"/>
  <c r="Z411" i="2"/>
  <c r="Y411" i="2"/>
  <c r="X411" i="2"/>
  <c r="W411" i="2"/>
  <c r="V411" i="2"/>
  <c r="U411" i="2"/>
  <c r="T411" i="2"/>
  <c r="S411" i="2"/>
  <c r="R411" i="2"/>
  <c r="Q411" i="2"/>
  <c r="P411" i="2"/>
  <c r="O411" i="2"/>
  <c r="N411" i="2"/>
  <c r="M411" i="2"/>
  <c r="L411" i="2"/>
  <c r="K411" i="2"/>
  <c r="J411" i="2"/>
  <c r="I411" i="2"/>
  <c r="H411" i="2"/>
  <c r="G411" i="2"/>
  <c r="F411" i="2"/>
  <c r="E411" i="2"/>
  <c r="D411" i="2"/>
  <c r="C411" i="2"/>
  <c r="B411" i="2"/>
  <c r="BF410" i="2"/>
  <c r="BE410" i="2"/>
  <c r="BD410" i="2"/>
  <c r="BC410" i="2"/>
  <c r="BB410" i="2"/>
  <c r="BA410" i="2"/>
  <c r="AZ410" i="2"/>
  <c r="AY410" i="2"/>
  <c r="AX410" i="2"/>
  <c r="AW410" i="2"/>
  <c r="AV410" i="2"/>
  <c r="AU410" i="2"/>
  <c r="AT410" i="2"/>
  <c r="AS410" i="2"/>
  <c r="AR410" i="2"/>
  <c r="AQ410" i="2"/>
  <c r="AP410" i="2"/>
  <c r="AO410" i="2"/>
  <c r="AN410" i="2"/>
  <c r="AM410" i="2"/>
  <c r="AL410" i="2"/>
  <c r="AK410" i="2"/>
  <c r="AJ410" i="2"/>
  <c r="AI410" i="2"/>
  <c r="AH410" i="2"/>
  <c r="AG410" i="2"/>
  <c r="AF410" i="2"/>
  <c r="AE410" i="2"/>
  <c r="AD410" i="2"/>
  <c r="AC410" i="2"/>
  <c r="AB410" i="2"/>
  <c r="AA410" i="2"/>
  <c r="Z410" i="2"/>
  <c r="Y410" i="2"/>
  <c r="X410" i="2"/>
  <c r="W410" i="2"/>
  <c r="V410" i="2"/>
  <c r="U410" i="2"/>
  <c r="T410" i="2"/>
  <c r="S410" i="2"/>
  <c r="R410" i="2"/>
  <c r="Q410" i="2"/>
  <c r="P410" i="2"/>
  <c r="O410" i="2"/>
  <c r="N410" i="2"/>
  <c r="M410" i="2"/>
  <c r="L410" i="2"/>
  <c r="K410" i="2"/>
  <c r="J410" i="2"/>
  <c r="I410" i="2"/>
  <c r="H410" i="2"/>
  <c r="G410" i="2"/>
  <c r="F410" i="2"/>
  <c r="E410" i="2"/>
  <c r="D410" i="2"/>
  <c r="C410" i="2"/>
  <c r="B410" i="2"/>
  <c r="BF409" i="2"/>
  <c r="BE409" i="2"/>
  <c r="BD409" i="2"/>
  <c r="BC409" i="2"/>
  <c r="BB409" i="2"/>
  <c r="BA409" i="2"/>
  <c r="AZ409" i="2"/>
  <c r="AY409" i="2"/>
  <c r="AX409" i="2"/>
  <c r="AW409" i="2"/>
  <c r="AV409" i="2"/>
  <c r="AU409" i="2"/>
  <c r="AT409" i="2"/>
  <c r="AS409" i="2"/>
  <c r="AR409" i="2"/>
  <c r="AQ409" i="2"/>
  <c r="AP409" i="2"/>
  <c r="AO409" i="2"/>
  <c r="AN409" i="2"/>
  <c r="AM409" i="2"/>
  <c r="AL409" i="2"/>
  <c r="AK409" i="2"/>
  <c r="AJ409" i="2"/>
  <c r="AI409" i="2"/>
  <c r="AH409" i="2"/>
  <c r="AG409" i="2"/>
  <c r="AF409" i="2"/>
  <c r="AE409" i="2"/>
  <c r="AD409" i="2"/>
  <c r="AC409" i="2"/>
  <c r="AB409" i="2"/>
  <c r="AA409" i="2"/>
  <c r="Z409" i="2"/>
  <c r="Y409" i="2"/>
  <c r="X409" i="2"/>
  <c r="W409" i="2"/>
  <c r="V409" i="2"/>
  <c r="U409" i="2"/>
  <c r="T409" i="2"/>
  <c r="S409" i="2"/>
  <c r="R409" i="2"/>
  <c r="Q409" i="2"/>
  <c r="P409" i="2"/>
  <c r="O409" i="2"/>
  <c r="N409" i="2"/>
  <c r="M409" i="2"/>
  <c r="L409" i="2"/>
  <c r="K409" i="2"/>
  <c r="J409" i="2"/>
  <c r="I409" i="2"/>
  <c r="H409" i="2"/>
  <c r="G409" i="2"/>
  <c r="F409" i="2"/>
  <c r="E409" i="2"/>
  <c r="D409" i="2"/>
  <c r="C409" i="2"/>
  <c r="B409" i="2"/>
  <c r="BF408" i="2"/>
  <c r="BE408" i="2"/>
  <c r="BD408" i="2"/>
  <c r="BC408" i="2"/>
  <c r="BB408" i="2"/>
  <c r="BA408" i="2"/>
  <c r="AZ408" i="2"/>
  <c r="AY408" i="2"/>
  <c r="AX408" i="2"/>
  <c r="AW408" i="2"/>
  <c r="AV408" i="2"/>
  <c r="AU408" i="2"/>
  <c r="AT408" i="2"/>
  <c r="AS408" i="2"/>
  <c r="AR408" i="2"/>
  <c r="AQ408" i="2"/>
  <c r="AP408" i="2"/>
  <c r="AO408" i="2"/>
  <c r="AN408" i="2"/>
  <c r="AM408" i="2"/>
  <c r="AL408" i="2"/>
  <c r="AK408" i="2"/>
  <c r="AJ408" i="2"/>
  <c r="AI408" i="2"/>
  <c r="AH408" i="2"/>
  <c r="AG408" i="2"/>
  <c r="AF408" i="2"/>
  <c r="AE408" i="2"/>
  <c r="AD408" i="2"/>
  <c r="AC408" i="2"/>
  <c r="AB408" i="2"/>
  <c r="AA408" i="2"/>
  <c r="Z408" i="2"/>
  <c r="Y408" i="2"/>
  <c r="X408" i="2"/>
  <c r="W408" i="2"/>
  <c r="V408" i="2"/>
  <c r="U408" i="2"/>
  <c r="T408" i="2"/>
  <c r="S408" i="2"/>
  <c r="R408" i="2"/>
  <c r="Q408" i="2"/>
  <c r="P408" i="2"/>
  <c r="O408" i="2"/>
  <c r="N408" i="2"/>
  <c r="M408" i="2"/>
  <c r="L408" i="2"/>
  <c r="K408" i="2"/>
  <c r="J408" i="2"/>
  <c r="I408" i="2"/>
  <c r="H408" i="2"/>
  <c r="G408" i="2"/>
  <c r="F408" i="2"/>
  <c r="E408" i="2"/>
  <c r="D408" i="2"/>
  <c r="C408" i="2"/>
  <c r="B408" i="2"/>
  <c r="BF407" i="2"/>
  <c r="BE407" i="2"/>
  <c r="BD407" i="2"/>
  <c r="BC407" i="2"/>
  <c r="BB407" i="2"/>
  <c r="BA407" i="2"/>
  <c r="AZ407" i="2"/>
  <c r="AY407" i="2"/>
  <c r="AX407" i="2"/>
  <c r="AW407" i="2"/>
  <c r="AV407" i="2"/>
  <c r="AU407" i="2"/>
  <c r="AT407" i="2"/>
  <c r="AS407" i="2"/>
  <c r="AR407" i="2"/>
  <c r="AQ407" i="2"/>
  <c r="AP407" i="2"/>
  <c r="AO407" i="2"/>
  <c r="AN407" i="2"/>
  <c r="AM407" i="2"/>
  <c r="AL407" i="2"/>
  <c r="AK407" i="2"/>
  <c r="AJ407" i="2"/>
  <c r="AI407" i="2"/>
  <c r="AH407" i="2"/>
  <c r="AG407" i="2"/>
  <c r="AF407" i="2"/>
  <c r="AE407" i="2"/>
  <c r="AD407" i="2"/>
  <c r="AC407" i="2"/>
  <c r="AB407" i="2"/>
  <c r="AA407" i="2"/>
  <c r="Z407" i="2"/>
  <c r="Y407" i="2"/>
  <c r="X407" i="2"/>
  <c r="W407" i="2"/>
  <c r="V407" i="2"/>
  <c r="U407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H407" i="2"/>
  <c r="G407" i="2"/>
  <c r="F407" i="2"/>
  <c r="E407" i="2"/>
  <c r="D407" i="2"/>
  <c r="C407" i="2"/>
  <c r="B407" i="2"/>
  <c r="BF406" i="2"/>
  <c r="BE406" i="2"/>
  <c r="BD406" i="2"/>
  <c r="BC406" i="2"/>
  <c r="BB406" i="2"/>
  <c r="BA406" i="2"/>
  <c r="AZ406" i="2"/>
  <c r="AY406" i="2"/>
  <c r="AX406" i="2"/>
  <c r="AW406" i="2"/>
  <c r="AV406" i="2"/>
  <c r="AU406" i="2"/>
  <c r="AT406" i="2"/>
  <c r="AS406" i="2"/>
  <c r="AR406" i="2"/>
  <c r="AQ406" i="2"/>
  <c r="AP406" i="2"/>
  <c r="AO406" i="2"/>
  <c r="AN406" i="2"/>
  <c r="AM406" i="2"/>
  <c r="AL406" i="2"/>
  <c r="AK406" i="2"/>
  <c r="AJ406" i="2"/>
  <c r="AI406" i="2"/>
  <c r="AH406" i="2"/>
  <c r="AG406" i="2"/>
  <c r="AF406" i="2"/>
  <c r="AE406" i="2"/>
  <c r="AD406" i="2"/>
  <c r="AC406" i="2"/>
  <c r="AB406" i="2"/>
  <c r="AA406" i="2"/>
  <c r="Z406" i="2"/>
  <c r="Y406" i="2"/>
  <c r="X406" i="2"/>
  <c r="W406" i="2"/>
  <c r="V406" i="2"/>
  <c r="U406" i="2"/>
  <c r="T406" i="2"/>
  <c r="S406" i="2"/>
  <c r="R406" i="2"/>
  <c r="Q406" i="2"/>
  <c r="P406" i="2"/>
  <c r="O406" i="2"/>
  <c r="N406" i="2"/>
  <c r="M406" i="2"/>
  <c r="L406" i="2"/>
  <c r="K406" i="2"/>
  <c r="J406" i="2"/>
  <c r="I406" i="2"/>
  <c r="H406" i="2"/>
  <c r="G406" i="2"/>
  <c r="F406" i="2"/>
  <c r="E406" i="2"/>
  <c r="D406" i="2"/>
  <c r="C406" i="2"/>
  <c r="B406" i="2"/>
  <c r="BF405" i="2"/>
  <c r="BE405" i="2"/>
  <c r="BD405" i="2"/>
  <c r="BC405" i="2"/>
  <c r="BB405" i="2"/>
  <c r="BA405" i="2"/>
  <c r="AZ405" i="2"/>
  <c r="AY405" i="2"/>
  <c r="AX405" i="2"/>
  <c r="AW405" i="2"/>
  <c r="AV405" i="2"/>
  <c r="AU405" i="2"/>
  <c r="AT405" i="2"/>
  <c r="AS405" i="2"/>
  <c r="AR405" i="2"/>
  <c r="AQ405" i="2"/>
  <c r="AP405" i="2"/>
  <c r="AO405" i="2"/>
  <c r="AN405" i="2"/>
  <c r="AM405" i="2"/>
  <c r="AL405" i="2"/>
  <c r="AK405" i="2"/>
  <c r="AJ405" i="2"/>
  <c r="AI405" i="2"/>
  <c r="AH405" i="2"/>
  <c r="AG405" i="2"/>
  <c r="AF405" i="2"/>
  <c r="AE405" i="2"/>
  <c r="AD405" i="2"/>
  <c r="AC405" i="2"/>
  <c r="AB405" i="2"/>
  <c r="AA405" i="2"/>
  <c r="Z405" i="2"/>
  <c r="Y405" i="2"/>
  <c r="X405" i="2"/>
  <c r="W405" i="2"/>
  <c r="V405" i="2"/>
  <c r="U405" i="2"/>
  <c r="T405" i="2"/>
  <c r="S405" i="2"/>
  <c r="R405" i="2"/>
  <c r="Q405" i="2"/>
  <c r="P405" i="2"/>
  <c r="O405" i="2"/>
  <c r="N405" i="2"/>
  <c r="M405" i="2"/>
  <c r="L405" i="2"/>
  <c r="K405" i="2"/>
  <c r="J405" i="2"/>
  <c r="I405" i="2"/>
  <c r="H405" i="2"/>
  <c r="G405" i="2"/>
  <c r="F405" i="2"/>
  <c r="E405" i="2"/>
  <c r="D405" i="2"/>
  <c r="C405" i="2"/>
  <c r="B405" i="2"/>
  <c r="BF404" i="2"/>
  <c r="BE404" i="2"/>
  <c r="BD404" i="2"/>
  <c r="BC404" i="2"/>
  <c r="BB404" i="2"/>
  <c r="BA404" i="2"/>
  <c r="AZ404" i="2"/>
  <c r="AY404" i="2"/>
  <c r="AX404" i="2"/>
  <c r="AW404" i="2"/>
  <c r="AV404" i="2"/>
  <c r="AU404" i="2"/>
  <c r="AT404" i="2"/>
  <c r="AS404" i="2"/>
  <c r="AR404" i="2"/>
  <c r="AQ404" i="2"/>
  <c r="AP404" i="2"/>
  <c r="AO404" i="2"/>
  <c r="AN404" i="2"/>
  <c r="AM404" i="2"/>
  <c r="AL404" i="2"/>
  <c r="AK404" i="2"/>
  <c r="AJ404" i="2"/>
  <c r="AI404" i="2"/>
  <c r="AH404" i="2"/>
  <c r="AG404" i="2"/>
  <c r="AF404" i="2"/>
  <c r="AE404" i="2"/>
  <c r="AD404" i="2"/>
  <c r="AC404" i="2"/>
  <c r="AB404" i="2"/>
  <c r="AA404" i="2"/>
  <c r="Z404" i="2"/>
  <c r="Y404" i="2"/>
  <c r="X404" i="2"/>
  <c r="W404" i="2"/>
  <c r="V404" i="2"/>
  <c r="U404" i="2"/>
  <c r="T404" i="2"/>
  <c r="S404" i="2"/>
  <c r="R404" i="2"/>
  <c r="Q404" i="2"/>
  <c r="P404" i="2"/>
  <c r="O404" i="2"/>
  <c r="N404" i="2"/>
  <c r="M404" i="2"/>
  <c r="L404" i="2"/>
  <c r="K404" i="2"/>
  <c r="J404" i="2"/>
  <c r="I404" i="2"/>
  <c r="H404" i="2"/>
  <c r="G404" i="2"/>
  <c r="F404" i="2"/>
  <c r="E404" i="2"/>
  <c r="D404" i="2"/>
  <c r="C404" i="2"/>
  <c r="B404" i="2"/>
  <c r="BF403" i="2"/>
  <c r="BE403" i="2"/>
  <c r="BD403" i="2"/>
  <c r="BC403" i="2"/>
  <c r="BB403" i="2"/>
  <c r="BA403" i="2"/>
  <c r="AZ403" i="2"/>
  <c r="AY403" i="2"/>
  <c r="AX403" i="2"/>
  <c r="AW403" i="2"/>
  <c r="AV403" i="2"/>
  <c r="AU403" i="2"/>
  <c r="AT403" i="2"/>
  <c r="AS403" i="2"/>
  <c r="AR403" i="2"/>
  <c r="AQ403" i="2"/>
  <c r="AP403" i="2"/>
  <c r="AO403" i="2"/>
  <c r="AN403" i="2"/>
  <c r="AM403" i="2"/>
  <c r="AL403" i="2"/>
  <c r="AK403" i="2"/>
  <c r="AJ403" i="2"/>
  <c r="AI403" i="2"/>
  <c r="AH403" i="2"/>
  <c r="AG403" i="2"/>
  <c r="AF403" i="2"/>
  <c r="AE403" i="2"/>
  <c r="AD403" i="2"/>
  <c r="AC403" i="2"/>
  <c r="AB403" i="2"/>
  <c r="AA403" i="2"/>
  <c r="Z403" i="2"/>
  <c r="Y403" i="2"/>
  <c r="X403" i="2"/>
  <c r="W403" i="2"/>
  <c r="V403" i="2"/>
  <c r="U403" i="2"/>
  <c r="T403" i="2"/>
  <c r="S403" i="2"/>
  <c r="R403" i="2"/>
  <c r="Q403" i="2"/>
  <c r="P403" i="2"/>
  <c r="O403" i="2"/>
  <c r="N403" i="2"/>
  <c r="M403" i="2"/>
  <c r="L403" i="2"/>
  <c r="K403" i="2"/>
  <c r="J403" i="2"/>
  <c r="I403" i="2"/>
  <c r="H403" i="2"/>
  <c r="G403" i="2"/>
  <c r="F403" i="2"/>
  <c r="E403" i="2"/>
  <c r="D403" i="2"/>
  <c r="C403" i="2"/>
  <c r="B403" i="2"/>
  <c r="BF402" i="2"/>
  <c r="BE402" i="2"/>
  <c r="BD402" i="2"/>
  <c r="BC402" i="2"/>
  <c r="BB402" i="2"/>
  <c r="BA402" i="2"/>
  <c r="AZ402" i="2"/>
  <c r="AY402" i="2"/>
  <c r="AX402" i="2"/>
  <c r="AW402" i="2"/>
  <c r="AV402" i="2"/>
  <c r="AU402" i="2"/>
  <c r="AT402" i="2"/>
  <c r="AS402" i="2"/>
  <c r="AR402" i="2"/>
  <c r="AQ402" i="2"/>
  <c r="AP402" i="2"/>
  <c r="AO402" i="2"/>
  <c r="AN402" i="2"/>
  <c r="AM402" i="2"/>
  <c r="AL402" i="2"/>
  <c r="AK402" i="2"/>
  <c r="AJ402" i="2"/>
  <c r="AI402" i="2"/>
  <c r="AH402" i="2"/>
  <c r="AG402" i="2"/>
  <c r="AF402" i="2"/>
  <c r="AE402" i="2"/>
  <c r="AD402" i="2"/>
  <c r="AC402" i="2"/>
  <c r="AB402" i="2"/>
  <c r="AA402" i="2"/>
  <c r="Z402" i="2"/>
  <c r="Y402" i="2"/>
  <c r="X402" i="2"/>
  <c r="W402" i="2"/>
  <c r="V402" i="2"/>
  <c r="U402" i="2"/>
  <c r="T402" i="2"/>
  <c r="S402" i="2"/>
  <c r="R402" i="2"/>
  <c r="Q402" i="2"/>
  <c r="P402" i="2"/>
  <c r="O402" i="2"/>
  <c r="N402" i="2"/>
  <c r="M402" i="2"/>
  <c r="L402" i="2"/>
  <c r="K402" i="2"/>
  <c r="J402" i="2"/>
  <c r="I402" i="2"/>
  <c r="H402" i="2"/>
  <c r="G402" i="2"/>
  <c r="F402" i="2"/>
  <c r="E402" i="2"/>
  <c r="D402" i="2"/>
  <c r="C402" i="2"/>
  <c r="B402" i="2"/>
  <c r="BF401" i="2"/>
  <c r="BE401" i="2"/>
  <c r="BD401" i="2"/>
  <c r="BC401" i="2"/>
  <c r="BB401" i="2"/>
  <c r="BA401" i="2"/>
  <c r="AZ401" i="2"/>
  <c r="AY401" i="2"/>
  <c r="AX401" i="2"/>
  <c r="AW401" i="2"/>
  <c r="AV401" i="2"/>
  <c r="AU401" i="2"/>
  <c r="AT401" i="2"/>
  <c r="AS401" i="2"/>
  <c r="AR401" i="2"/>
  <c r="AQ401" i="2"/>
  <c r="AP401" i="2"/>
  <c r="AO401" i="2"/>
  <c r="AN401" i="2"/>
  <c r="AM401" i="2"/>
  <c r="AL401" i="2"/>
  <c r="AK401" i="2"/>
  <c r="AJ401" i="2"/>
  <c r="AI401" i="2"/>
  <c r="AH401" i="2"/>
  <c r="AG401" i="2"/>
  <c r="AF401" i="2"/>
  <c r="AE401" i="2"/>
  <c r="AD401" i="2"/>
  <c r="AC401" i="2"/>
  <c r="AB401" i="2"/>
  <c r="AA401" i="2"/>
  <c r="Z401" i="2"/>
  <c r="Y401" i="2"/>
  <c r="X401" i="2"/>
  <c r="W401" i="2"/>
  <c r="V401" i="2"/>
  <c r="U401" i="2"/>
  <c r="T401" i="2"/>
  <c r="S401" i="2"/>
  <c r="R401" i="2"/>
  <c r="Q401" i="2"/>
  <c r="P401" i="2"/>
  <c r="O401" i="2"/>
  <c r="N401" i="2"/>
  <c r="M401" i="2"/>
  <c r="L401" i="2"/>
  <c r="K401" i="2"/>
  <c r="J401" i="2"/>
  <c r="I401" i="2"/>
  <c r="H401" i="2"/>
  <c r="G401" i="2"/>
  <c r="F401" i="2"/>
  <c r="E401" i="2"/>
  <c r="D401" i="2"/>
  <c r="C401" i="2"/>
  <c r="B401" i="2"/>
  <c r="BF400" i="2"/>
  <c r="BE400" i="2"/>
  <c r="BD400" i="2"/>
  <c r="BC400" i="2"/>
  <c r="BB400" i="2"/>
  <c r="BA400" i="2"/>
  <c r="AZ400" i="2"/>
  <c r="AY400" i="2"/>
  <c r="AX400" i="2"/>
  <c r="AW400" i="2"/>
  <c r="AV400" i="2"/>
  <c r="AU400" i="2"/>
  <c r="AT400" i="2"/>
  <c r="AS400" i="2"/>
  <c r="AR400" i="2"/>
  <c r="AQ400" i="2"/>
  <c r="AP400" i="2"/>
  <c r="AO400" i="2"/>
  <c r="AN400" i="2"/>
  <c r="AM400" i="2"/>
  <c r="AL400" i="2"/>
  <c r="AK400" i="2"/>
  <c r="AJ400" i="2"/>
  <c r="AI400" i="2"/>
  <c r="AH400" i="2"/>
  <c r="AG400" i="2"/>
  <c r="AF400" i="2"/>
  <c r="AE400" i="2"/>
  <c r="AD400" i="2"/>
  <c r="AC400" i="2"/>
  <c r="AB400" i="2"/>
  <c r="AA400" i="2"/>
  <c r="Z400" i="2"/>
  <c r="Y400" i="2"/>
  <c r="X400" i="2"/>
  <c r="W400" i="2"/>
  <c r="V400" i="2"/>
  <c r="U400" i="2"/>
  <c r="T400" i="2"/>
  <c r="S400" i="2"/>
  <c r="R400" i="2"/>
  <c r="Q400" i="2"/>
  <c r="P400" i="2"/>
  <c r="O400" i="2"/>
  <c r="N400" i="2"/>
  <c r="M400" i="2"/>
  <c r="L400" i="2"/>
  <c r="K400" i="2"/>
  <c r="J400" i="2"/>
  <c r="I400" i="2"/>
  <c r="H400" i="2"/>
  <c r="G400" i="2"/>
  <c r="F400" i="2"/>
  <c r="E400" i="2"/>
  <c r="D400" i="2"/>
  <c r="C400" i="2"/>
  <c r="B400" i="2"/>
  <c r="BF399" i="2"/>
  <c r="BE399" i="2"/>
  <c r="BD399" i="2"/>
  <c r="BC399" i="2"/>
  <c r="BB399" i="2"/>
  <c r="BA399" i="2"/>
  <c r="AZ399" i="2"/>
  <c r="AY399" i="2"/>
  <c r="AX399" i="2"/>
  <c r="AW399" i="2"/>
  <c r="AV399" i="2"/>
  <c r="AU399" i="2"/>
  <c r="AT399" i="2"/>
  <c r="AS399" i="2"/>
  <c r="AR399" i="2"/>
  <c r="AQ399" i="2"/>
  <c r="AP399" i="2"/>
  <c r="AO399" i="2"/>
  <c r="AN399" i="2"/>
  <c r="AM399" i="2"/>
  <c r="AL399" i="2"/>
  <c r="AK399" i="2"/>
  <c r="AJ399" i="2"/>
  <c r="AI399" i="2"/>
  <c r="AH399" i="2"/>
  <c r="AG399" i="2"/>
  <c r="AF399" i="2"/>
  <c r="AE399" i="2"/>
  <c r="AD399" i="2"/>
  <c r="AC399" i="2"/>
  <c r="AB399" i="2"/>
  <c r="AA399" i="2"/>
  <c r="Z399" i="2"/>
  <c r="Y399" i="2"/>
  <c r="X399" i="2"/>
  <c r="W399" i="2"/>
  <c r="V399" i="2"/>
  <c r="U399" i="2"/>
  <c r="T399" i="2"/>
  <c r="S399" i="2"/>
  <c r="R399" i="2"/>
  <c r="Q399" i="2"/>
  <c r="P399" i="2"/>
  <c r="O399" i="2"/>
  <c r="N399" i="2"/>
  <c r="M399" i="2"/>
  <c r="L399" i="2"/>
  <c r="K399" i="2"/>
  <c r="J399" i="2"/>
  <c r="I399" i="2"/>
  <c r="H399" i="2"/>
  <c r="G399" i="2"/>
  <c r="F399" i="2"/>
  <c r="E399" i="2"/>
  <c r="D399" i="2"/>
  <c r="C399" i="2"/>
  <c r="B399" i="2"/>
  <c r="BF398" i="2"/>
  <c r="BE398" i="2"/>
  <c r="BD398" i="2"/>
  <c r="BC398" i="2"/>
  <c r="BB398" i="2"/>
  <c r="BA398" i="2"/>
  <c r="AZ398" i="2"/>
  <c r="AY398" i="2"/>
  <c r="AX398" i="2"/>
  <c r="AW398" i="2"/>
  <c r="AV398" i="2"/>
  <c r="AU398" i="2"/>
  <c r="AT398" i="2"/>
  <c r="AS398" i="2"/>
  <c r="AR398" i="2"/>
  <c r="AQ398" i="2"/>
  <c r="AP398" i="2"/>
  <c r="AO398" i="2"/>
  <c r="AN398" i="2"/>
  <c r="AM398" i="2"/>
  <c r="AL398" i="2"/>
  <c r="AK398" i="2"/>
  <c r="AJ398" i="2"/>
  <c r="AI398" i="2"/>
  <c r="AH398" i="2"/>
  <c r="AG398" i="2"/>
  <c r="AF398" i="2"/>
  <c r="AE398" i="2"/>
  <c r="AD398" i="2"/>
  <c r="AC398" i="2"/>
  <c r="AB398" i="2"/>
  <c r="AA398" i="2"/>
  <c r="Z398" i="2"/>
  <c r="Y398" i="2"/>
  <c r="X398" i="2"/>
  <c r="W398" i="2"/>
  <c r="V398" i="2"/>
  <c r="U398" i="2"/>
  <c r="T398" i="2"/>
  <c r="S398" i="2"/>
  <c r="R398" i="2"/>
  <c r="Q398" i="2"/>
  <c r="P398" i="2"/>
  <c r="O398" i="2"/>
  <c r="N398" i="2"/>
  <c r="M398" i="2"/>
  <c r="L398" i="2"/>
  <c r="K398" i="2"/>
  <c r="J398" i="2"/>
  <c r="I398" i="2"/>
  <c r="H398" i="2"/>
  <c r="G398" i="2"/>
  <c r="F398" i="2"/>
  <c r="E398" i="2"/>
  <c r="D398" i="2"/>
  <c r="C398" i="2"/>
  <c r="B398" i="2"/>
  <c r="BF397" i="2"/>
  <c r="BE397" i="2"/>
  <c r="BD397" i="2"/>
  <c r="BC397" i="2"/>
  <c r="BB397" i="2"/>
  <c r="BA397" i="2"/>
  <c r="AZ397" i="2"/>
  <c r="AY397" i="2"/>
  <c r="AX397" i="2"/>
  <c r="AW397" i="2"/>
  <c r="AV397" i="2"/>
  <c r="AU397" i="2"/>
  <c r="AT397" i="2"/>
  <c r="AS397" i="2"/>
  <c r="AR397" i="2"/>
  <c r="AQ397" i="2"/>
  <c r="AP397" i="2"/>
  <c r="AO397" i="2"/>
  <c r="AN397" i="2"/>
  <c r="AM397" i="2"/>
  <c r="AL397" i="2"/>
  <c r="AK397" i="2"/>
  <c r="AJ397" i="2"/>
  <c r="AI397" i="2"/>
  <c r="AH397" i="2"/>
  <c r="AG397" i="2"/>
  <c r="AF397" i="2"/>
  <c r="AE397" i="2"/>
  <c r="AD397" i="2"/>
  <c r="AC397" i="2"/>
  <c r="AB397" i="2"/>
  <c r="AA397" i="2"/>
  <c r="Z397" i="2"/>
  <c r="Y397" i="2"/>
  <c r="X397" i="2"/>
  <c r="W397" i="2"/>
  <c r="V397" i="2"/>
  <c r="U397" i="2"/>
  <c r="T397" i="2"/>
  <c r="S397" i="2"/>
  <c r="R397" i="2"/>
  <c r="Q397" i="2"/>
  <c r="P397" i="2"/>
  <c r="O397" i="2"/>
  <c r="N397" i="2"/>
  <c r="M397" i="2"/>
  <c r="L397" i="2"/>
  <c r="K397" i="2"/>
  <c r="J397" i="2"/>
  <c r="I397" i="2"/>
  <c r="H397" i="2"/>
  <c r="G397" i="2"/>
  <c r="F397" i="2"/>
  <c r="E397" i="2"/>
  <c r="D397" i="2"/>
  <c r="C397" i="2"/>
  <c r="B397" i="2"/>
  <c r="BF396" i="2"/>
  <c r="BE396" i="2"/>
  <c r="BD396" i="2"/>
  <c r="BC396" i="2"/>
  <c r="BB396" i="2"/>
  <c r="BA396" i="2"/>
  <c r="AZ396" i="2"/>
  <c r="AY396" i="2"/>
  <c r="AX396" i="2"/>
  <c r="AW396" i="2"/>
  <c r="AV396" i="2"/>
  <c r="AU396" i="2"/>
  <c r="AT396" i="2"/>
  <c r="AS396" i="2"/>
  <c r="AR396" i="2"/>
  <c r="AQ396" i="2"/>
  <c r="AP396" i="2"/>
  <c r="AO396" i="2"/>
  <c r="AN396" i="2"/>
  <c r="AM396" i="2"/>
  <c r="AL396" i="2"/>
  <c r="AK396" i="2"/>
  <c r="AJ396" i="2"/>
  <c r="AI396" i="2"/>
  <c r="AH396" i="2"/>
  <c r="AG396" i="2"/>
  <c r="AF396" i="2"/>
  <c r="AE396" i="2"/>
  <c r="AD396" i="2"/>
  <c r="AC396" i="2"/>
  <c r="AB396" i="2"/>
  <c r="AA396" i="2"/>
  <c r="Z396" i="2"/>
  <c r="Y396" i="2"/>
  <c r="X396" i="2"/>
  <c r="W396" i="2"/>
  <c r="V396" i="2"/>
  <c r="U396" i="2"/>
  <c r="T396" i="2"/>
  <c r="S396" i="2"/>
  <c r="R396" i="2"/>
  <c r="Q396" i="2"/>
  <c r="P396" i="2"/>
  <c r="O396" i="2"/>
  <c r="N396" i="2"/>
  <c r="M396" i="2"/>
  <c r="L396" i="2"/>
  <c r="K396" i="2"/>
  <c r="J396" i="2"/>
  <c r="I396" i="2"/>
  <c r="H396" i="2"/>
  <c r="G396" i="2"/>
  <c r="F396" i="2"/>
  <c r="E396" i="2"/>
  <c r="D396" i="2"/>
  <c r="C396" i="2"/>
  <c r="B396" i="2"/>
  <c r="BF395" i="2"/>
  <c r="BE395" i="2"/>
  <c r="BD395" i="2"/>
  <c r="BC395" i="2"/>
  <c r="BB395" i="2"/>
  <c r="BA395" i="2"/>
  <c r="AZ395" i="2"/>
  <c r="AY395" i="2"/>
  <c r="AX395" i="2"/>
  <c r="AW395" i="2"/>
  <c r="AV395" i="2"/>
  <c r="AU395" i="2"/>
  <c r="AT395" i="2"/>
  <c r="AS395" i="2"/>
  <c r="AR395" i="2"/>
  <c r="AQ395" i="2"/>
  <c r="AP395" i="2"/>
  <c r="AO395" i="2"/>
  <c r="AN395" i="2"/>
  <c r="AM395" i="2"/>
  <c r="AL395" i="2"/>
  <c r="AK395" i="2"/>
  <c r="AJ395" i="2"/>
  <c r="AI395" i="2"/>
  <c r="AH395" i="2"/>
  <c r="AG395" i="2"/>
  <c r="AF395" i="2"/>
  <c r="AE395" i="2"/>
  <c r="AD395" i="2"/>
  <c r="AC395" i="2"/>
  <c r="AB395" i="2"/>
  <c r="AA395" i="2"/>
  <c r="Z395" i="2"/>
  <c r="Y395" i="2"/>
  <c r="X395" i="2"/>
  <c r="W395" i="2"/>
  <c r="V395" i="2"/>
  <c r="U395" i="2"/>
  <c r="T395" i="2"/>
  <c r="S395" i="2"/>
  <c r="R395" i="2"/>
  <c r="Q395" i="2"/>
  <c r="P395" i="2"/>
  <c r="O395" i="2"/>
  <c r="N395" i="2"/>
  <c r="M395" i="2"/>
  <c r="L395" i="2"/>
  <c r="K395" i="2"/>
  <c r="J395" i="2"/>
  <c r="I395" i="2"/>
  <c r="H395" i="2"/>
  <c r="G395" i="2"/>
  <c r="F395" i="2"/>
  <c r="E395" i="2"/>
  <c r="D395" i="2"/>
  <c r="C395" i="2"/>
  <c r="B395" i="2"/>
  <c r="BF394" i="2"/>
  <c r="BE394" i="2"/>
  <c r="BD394" i="2"/>
  <c r="BC394" i="2"/>
  <c r="BB394" i="2"/>
  <c r="BA394" i="2"/>
  <c r="AZ394" i="2"/>
  <c r="AY394" i="2"/>
  <c r="AX394" i="2"/>
  <c r="AW394" i="2"/>
  <c r="AV394" i="2"/>
  <c r="AU394" i="2"/>
  <c r="AT394" i="2"/>
  <c r="AS394" i="2"/>
  <c r="AR394" i="2"/>
  <c r="AQ394" i="2"/>
  <c r="AP394" i="2"/>
  <c r="AO394" i="2"/>
  <c r="AN394" i="2"/>
  <c r="AM394" i="2"/>
  <c r="AL394" i="2"/>
  <c r="AK394" i="2"/>
  <c r="AJ394" i="2"/>
  <c r="AI394" i="2"/>
  <c r="AH394" i="2"/>
  <c r="AG394" i="2"/>
  <c r="AF394" i="2"/>
  <c r="AE394" i="2"/>
  <c r="AD394" i="2"/>
  <c r="AC394" i="2"/>
  <c r="AB394" i="2"/>
  <c r="AA394" i="2"/>
  <c r="Z394" i="2"/>
  <c r="Y394" i="2"/>
  <c r="X394" i="2"/>
  <c r="W394" i="2"/>
  <c r="V394" i="2"/>
  <c r="U394" i="2"/>
  <c r="T394" i="2"/>
  <c r="S394" i="2"/>
  <c r="R394" i="2"/>
  <c r="Q394" i="2"/>
  <c r="P394" i="2"/>
  <c r="O394" i="2"/>
  <c r="N394" i="2"/>
  <c r="M394" i="2"/>
  <c r="L394" i="2"/>
  <c r="K394" i="2"/>
  <c r="J394" i="2"/>
  <c r="I394" i="2"/>
  <c r="H394" i="2"/>
  <c r="G394" i="2"/>
  <c r="F394" i="2"/>
  <c r="E394" i="2"/>
  <c r="D394" i="2"/>
  <c r="C394" i="2"/>
  <c r="B394" i="2"/>
  <c r="BF393" i="2"/>
  <c r="BE393" i="2"/>
  <c r="BD393" i="2"/>
  <c r="BC393" i="2"/>
  <c r="BB393" i="2"/>
  <c r="BA393" i="2"/>
  <c r="AZ393" i="2"/>
  <c r="AY393" i="2"/>
  <c r="AX393" i="2"/>
  <c r="AW393" i="2"/>
  <c r="AV393" i="2"/>
  <c r="AU393" i="2"/>
  <c r="AT393" i="2"/>
  <c r="AS393" i="2"/>
  <c r="AR393" i="2"/>
  <c r="AQ393" i="2"/>
  <c r="AP393" i="2"/>
  <c r="AO393" i="2"/>
  <c r="AN393" i="2"/>
  <c r="AM393" i="2"/>
  <c r="AL393" i="2"/>
  <c r="AK393" i="2"/>
  <c r="AJ393" i="2"/>
  <c r="AI393" i="2"/>
  <c r="AH393" i="2"/>
  <c r="AG393" i="2"/>
  <c r="AF393" i="2"/>
  <c r="AE393" i="2"/>
  <c r="AD393" i="2"/>
  <c r="AC393" i="2"/>
  <c r="AB393" i="2"/>
  <c r="AA393" i="2"/>
  <c r="Z393" i="2"/>
  <c r="Y393" i="2"/>
  <c r="X393" i="2"/>
  <c r="W393" i="2"/>
  <c r="V393" i="2"/>
  <c r="U393" i="2"/>
  <c r="T393" i="2"/>
  <c r="S393" i="2"/>
  <c r="R393" i="2"/>
  <c r="Q393" i="2"/>
  <c r="P393" i="2"/>
  <c r="O393" i="2"/>
  <c r="N393" i="2"/>
  <c r="M393" i="2"/>
  <c r="L393" i="2"/>
  <c r="K393" i="2"/>
  <c r="J393" i="2"/>
  <c r="I393" i="2"/>
  <c r="H393" i="2"/>
  <c r="G393" i="2"/>
  <c r="F393" i="2"/>
  <c r="E393" i="2"/>
  <c r="D393" i="2"/>
  <c r="C393" i="2"/>
  <c r="B393" i="2"/>
  <c r="BF392" i="2"/>
  <c r="BE392" i="2"/>
  <c r="BD392" i="2"/>
  <c r="BC392" i="2"/>
  <c r="BB392" i="2"/>
  <c r="BA392" i="2"/>
  <c r="AZ392" i="2"/>
  <c r="AY392" i="2"/>
  <c r="AX392" i="2"/>
  <c r="AW392" i="2"/>
  <c r="AV392" i="2"/>
  <c r="AU392" i="2"/>
  <c r="AT392" i="2"/>
  <c r="AS392" i="2"/>
  <c r="AR392" i="2"/>
  <c r="AQ392" i="2"/>
  <c r="AP392" i="2"/>
  <c r="AO392" i="2"/>
  <c r="AN392" i="2"/>
  <c r="AM392" i="2"/>
  <c r="AL392" i="2"/>
  <c r="AK392" i="2"/>
  <c r="AJ392" i="2"/>
  <c r="AI392" i="2"/>
  <c r="AH392" i="2"/>
  <c r="AG392" i="2"/>
  <c r="AF392" i="2"/>
  <c r="AE392" i="2"/>
  <c r="AD392" i="2"/>
  <c r="AC392" i="2"/>
  <c r="AB392" i="2"/>
  <c r="AA392" i="2"/>
  <c r="Z392" i="2"/>
  <c r="Y392" i="2"/>
  <c r="X392" i="2"/>
  <c r="W392" i="2"/>
  <c r="V392" i="2"/>
  <c r="U392" i="2"/>
  <c r="T392" i="2"/>
  <c r="S392" i="2"/>
  <c r="R392" i="2"/>
  <c r="Q392" i="2"/>
  <c r="P392" i="2"/>
  <c r="O392" i="2"/>
  <c r="N392" i="2"/>
  <c r="M392" i="2"/>
  <c r="L392" i="2"/>
  <c r="K392" i="2"/>
  <c r="J392" i="2"/>
  <c r="I392" i="2"/>
  <c r="H392" i="2"/>
  <c r="G392" i="2"/>
  <c r="F392" i="2"/>
  <c r="E392" i="2"/>
  <c r="D392" i="2"/>
  <c r="C392" i="2"/>
  <c r="B392" i="2"/>
  <c r="BF391" i="2"/>
  <c r="BE391" i="2"/>
  <c r="BD391" i="2"/>
  <c r="BC391" i="2"/>
  <c r="BB391" i="2"/>
  <c r="BA391" i="2"/>
  <c r="AZ391" i="2"/>
  <c r="AY391" i="2"/>
  <c r="AX391" i="2"/>
  <c r="AW391" i="2"/>
  <c r="AV391" i="2"/>
  <c r="AU391" i="2"/>
  <c r="AT391" i="2"/>
  <c r="AS391" i="2"/>
  <c r="AR391" i="2"/>
  <c r="AQ391" i="2"/>
  <c r="AP391" i="2"/>
  <c r="AO391" i="2"/>
  <c r="AN391" i="2"/>
  <c r="AM391" i="2"/>
  <c r="AL391" i="2"/>
  <c r="AK391" i="2"/>
  <c r="AJ391" i="2"/>
  <c r="AI391" i="2"/>
  <c r="AH391" i="2"/>
  <c r="AG391" i="2"/>
  <c r="AF391" i="2"/>
  <c r="AE391" i="2"/>
  <c r="AD391" i="2"/>
  <c r="AC391" i="2"/>
  <c r="AB391" i="2"/>
  <c r="AA391" i="2"/>
  <c r="Z391" i="2"/>
  <c r="Y391" i="2"/>
  <c r="X391" i="2"/>
  <c r="W391" i="2"/>
  <c r="V391" i="2"/>
  <c r="U391" i="2"/>
  <c r="T391" i="2"/>
  <c r="S391" i="2"/>
  <c r="R391" i="2"/>
  <c r="Q391" i="2"/>
  <c r="P391" i="2"/>
  <c r="O391" i="2"/>
  <c r="N391" i="2"/>
  <c r="M391" i="2"/>
  <c r="L391" i="2"/>
  <c r="K391" i="2"/>
  <c r="J391" i="2"/>
  <c r="I391" i="2"/>
  <c r="H391" i="2"/>
  <c r="G391" i="2"/>
  <c r="F391" i="2"/>
  <c r="E391" i="2"/>
  <c r="D391" i="2"/>
  <c r="C391" i="2"/>
  <c r="B391" i="2"/>
  <c r="BF390" i="2"/>
  <c r="BE390" i="2"/>
  <c r="BD390" i="2"/>
  <c r="BC390" i="2"/>
  <c r="BB390" i="2"/>
  <c r="BA390" i="2"/>
  <c r="AZ390" i="2"/>
  <c r="AY390" i="2"/>
  <c r="AX390" i="2"/>
  <c r="AW390" i="2"/>
  <c r="AV390" i="2"/>
  <c r="AU390" i="2"/>
  <c r="AT390" i="2"/>
  <c r="AS390" i="2"/>
  <c r="AR390" i="2"/>
  <c r="AQ390" i="2"/>
  <c r="AP390" i="2"/>
  <c r="AO390" i="2"/>
  <c r="AN390" i="2"/>
  <c r="AM390" i="2"/>
  <c r="AL390" i="2"/>
  <c r="AK390" i="2"/>
  <c r="AJ390" i="2"/>
  <c r="AI390" i="2"/>
  <c r="AH390" i="2"/>
  <c r="AG390" i="2"/>
  <c r="AF390" i="2"/>
  <c r="AE390" i="2"/>
  <c r="AD390" i="2"/>
  <c r="AC390" i="2"/>
  <c r="AB390" i="2"/>
  <c r="AA390" i="2"/>
  <c r="Z390" i="2"/>
  <c r="Y390" i="2"/>
  <c r="X390" i="2"/>
  <c r="W390" i="2"/>
  <c r="V390" i="2"/>
  <c r="U390" i="2"/>
  <c r="T390" i="2"/>
  <c r="S390" i="2"/>
  <c r="R390" i="2"/>
  <c r="Q390" i="2"/>
  <c r="P390" i="2"/>
  <c r="O390" i="2"/>
  <c r="N390" i="2"/>
  <c r="M390" i="2"/>
  <c r="L390" i="2"/>
  <c r="K390" i="2"/>
  <c r="J390" i="2"/>
  <c r="I390" i="2"/>
  <c r="H390" i="2"/>
  <c r="G390" i="2"/>
  <c r="F390" i="2"/>
  <c r="E390" i="2"/>
  <c r="D390" i="2"/>
  <c r="C390" i="2"/>
  <c r="B390" i="2"/>
  <c r="BF389" i="2"/>
  <c r="BE389" i="2"/>
  <c r="BD389" i="2"/>
  <c r="BC389" i="2"/>
  <c r="BB389" i="2"/>
  <c r="BA389" i="2"/>
  <c r="AZ389" i="2"/>
  <c r="AY389" i="2"/>
  <c r="AX389" i="2"/>
  <c r="AW389" i="2"/>
  <c r="AV389" i="2"/>
  <c r="AU389" i="2"/>
  <c r="AT389" i="2"/>
  <c r="AS389" i="2"/>
  <c r="AR389" i="2"/>
  <c r="AQ389" i="2"/>
  <c r="AP389" i="2"/>
  <c r="AO389" i="2"/>
  <c r="AN389" i="2"/>
  <c r="AM389" i="2"/>
  <c r="AL389" i="2"/>
  <c r="AK389" i="2"/>
  <c r="AJ389" i="2"/>
  <c r="AI389" i="2"/>
  <c r="AH389" i="2"/>
  <c r="AG389" i="2"/>
  <c r="AF389" i="2"/>
  <c r="AE389" i="2"/>
  <c r="AD389" i="2"/>
  <c r="AC389" i="2"/>
  <c r="AB389" i="2"/>
  <c r="AA389" i="2"/>
  <c r="Z389" i="2"/>
  <c r="Y389" i="2"/>
  <c r="X389" i="2"/>
  <c r="W389" i="2"/>
  <c r="V389" i="2"/>
  <c r="U389" i="2"/>
  <c r="T389" i="2"/>
  <c r="S389" i="2"/>
  <c r="R389" i="2"/>
  <c r="Q389" i="2"/>
  <c r="P389" i="2"/>
  <c r="O389" i="2"/>
  <c r="N389" i="2"/>
  <c r="M389" i="2"/>
  <c r="L389" i="2"/>
  <c r="K389" i="2"/>
  <c r="J389" i="2"/>
  <c r="I389" i="2"/>
  <c r="H389" i="2"/>
  <c r="G389" i="2"/>
  <c r="F389" i="2"/>
  <c r="E389" i="2"/>
  <c r="D389" i="2"/>
  <c r="C389" i="2"/>
  <c r="B389" i="2"/>
  <c r="BF388" i="2"/>
  <c r="BE388" i="2"/>
  <c r="BD388" i="2"/>
  <c r="BC388" i="2"/>
  <c r="BB388" i="2"/>
  <c r="BA388" i="2"/>
  <c r="AZ388" i="2"/>
  <c r="AY388" i="2"/>
  <c r="AX388" i="2"/>
  <c r="AW388" i="2"/>
  <c r="AV388" i="2"/>
  <c r="AU388" i="2"/>
  <c r="AT388" i="2"/>
  <c r="AS388" i="2"/>
  <c r="AR388" i="2"/>
  <c r="AQ388" i="2"/>
  <c r="AP388" i="2"/>
  <c r="AO388" i="2"/>
  <c r="AN388" i="2"/>
  <c r="AM388" i="2"/>
  <c r="AL388" i="2"/>
  <c r="AK388" i="2"/>
  <c r="AJ388" i="2"/>
  <c r="AI388" i="2"/>
  <c r="AH388" i="2"/>
  <c r="AG388" i="2"/>
  <c r="AF388" i="2"/>
  <c r="AE388" i="2"/>
  <c r="AD388" i="2"/>
  <c r="AC388" i="2"/>
  <c r="AB388" i="2"/>
  <c r="AA388" i="2"/>
  <c r="Z388" i="2"/>
  <c r="Y388" i="2"/>
  <c r="X388" i="2"/>
  <c r="W388" i="2"/>
  <c r="V388" i="2"/>
  <c r="U388" i="2"/>
  <c r="T388" i="2"/>
  <c r="S388" i="2"/>
  <c r="R388" i="2"/>
  <c r="Q388" i="2"/>
  <c r="P388" i="2"/>
  <c r="O388" i="2"/>
  <c r="N388" i="2"/>
  <c r="M388" i="2"/>
  <c r="L388" i="2"/>
  <c r="K388" i="2"/>
  <c r="J388" i="2"/>
  <c r="I388" i="2"/>
  <c r="H388" i="2"/>
  <c r="G388" i="2"/>
  <c r="F388" i="2"/>
  <c r="E388" i="2"/>
  <c r="D388" i="2"/>
  <c r="C388" i="2"/>
  <c r="B38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F503" i="2"/>
  <c r="BE503" i="2"/>
  <c r="BD503" i="2"/>
  <c r="BC503" i="2"/>
  <c r="BB503" i="2"/>
  <c r="BA503" i="2"/>
  <c r="AZ503" i="2"/>
  <c r="AY503" i="2"/>
  <c r="AX503" i="2"/>
  <c r="AW503" i="2"/>
  <c r="AV503" i="2"/>
  <c r="AU503" i="2"/>
  <c r="AT503" i="2"/>
  <c r="AS503" i="2"/>
  <c r="AR503" i="2"/>
  <c r="AQ503" i="2"/>
  <c r="AP503" i="2"/>
  <c r="AO503" i="2"/>
  <c r="AN503" i="2"/>
  <c r="AM503" i="2"/>
  <c r="AL503" i="2"/>
  <c r="AK503" i="2"/>
  <c r="AJ503" i="2"/>
  <c r="AI503" i="2"/>
  <c r="AH503" i="2"/>
  <c r="AG503" i="2"/>
  <c r="AF503" i="2"/>
  <c r="AE503" i="2"/>
  <c r="AD503" i="2"/>
  <c r="AC503" i="2"/>
  <c r="AB503" i="2"/>
  <c r="AA503" i="2"/>
  <c r="Z503" i="2"/>
  <c r="Y503" i="2"/>
  <c r="X503" i="2"/>
  <c r="W503" i="2"/>
  <c r="V503" i="2"/>
  <c r="U503" i="2"/>
  <c r="T503" i="2"/>
  <c r="S503" i="2"/>
  <c r="R503" i="2"/>
  <c r="Q503" i="2"/>
  <c r="P503" i="2"/>
  <c r="O503" i="2"/>
  <c r="N503" i="2"/>
  <c r="M503" i="2"/>
  <c r="L503" i="2"/>
  <c r="K503" i="2"/>
  <c r="J503" i="2"/>
  <c r="I503" i="2"/>
  <c r="H503" i="2"/>
  <c r="G503" i="2"/>
  <c r="F503" i="2"/>
  <c r="E503" i="2"/>
  <c r="D503" i="2"/>
  <c r="C503" i="2"/>
  <c r="B503" i="2"/>
  <c r="BF502" i="2"/>
  <c r="BE502" i="2"/>
  <c r="BD502" i="2"/>
  <c r="BC502" i="2"/>
  <c r="BB502" i="2"/>
  <c r="BA502" i="2"/>
  <c r="AZ502" i="2"/>
  <c r="AY502" i="2"/>
  <c r="AX502" i="2"/>
  <c r="AW502" i="2"/>
  <c r="AV502" i="2"/>
  <c r="AU502" i="2"/>
  <c r="AT502" i="2"/>
  <c r="AS502" i="2"/>
  <c r="AR502" i="2"/>
  <c r="AQ502" i="2"/>
  <c r="AP502" i="2"/>
  <c r="AO502" i="2"/>
  <c r="AN502" i="2"/>
  <c r="AM502" i="2"/>
  <c r="AL502" i="2"/>
  <c r="AK502" i="2"/>
  <c r="AJ502" i="2"/>
  <c r="AI502" i="2"/>
  <c r="AH502" i="2"/>
  <c r="AG502" i="2"/>
  <c r="AF502" i="2"/>
  <c r="AE502" i="2"/>
  <c r="AD502" i="2"/>
  <c r="AC502" i="2"/>
  <c r="AB502" i="2"/>
  <c r="AA502" i="2"/>
  <c r="Z502" i="2"/>
  <c r="Y502" i="2"/>
  <c r="X502" i="2"/>
  <c r="W502" i="2"/>
  <c r="V502" i="2"/>
  <c r="U502" i="2"/>
  <c r="T502" i="2"/>
  <c r="S502" i="2"/>
  <c r="R502" i="2"/>
  <c r="Q502" i="2"/>
  <c r="P502" i="2"/>
  <c r="O502" i="2"/>
  <c r="N502" i="2"/>
  <c r="M502" i="2"/>
  <c r="L502" i="2"/>
  <c r="K502" i="2"/>
  <c r="J502" i="2"/>
  <c r="I502" i="2"/>
  <c r="H502" i="2"/>
  <c r="G502" i="2"/>
  <c r="F502" i="2"/>
  <c r="E502" i="2"/>
  <c r="D502" i="2"/>
  <c r="C502" i="2"/>
  <c r="B502" i="2"/>
  <c r="BF501" i="2"/>
  <c r="BE501" i="2"/>
  <c r="BD501" i="2"/>
  <c r="BC501" i="2"/>
  <c r="BB501" i="2"/>
  <c r="BA501" i="2"/>
  <c r="AZ501" i="2"/>
  <c r="AY501" i="2"/>
  <c r="AX501" i="2"/>
  <c r="AW501" i="2"/>
  <c r="AV501" i="2"/>
  <c r="AU501" i="2"/>
  <c r="AT501" i="2"/>
  <c r="AS501" i="2"/>
  <c r="AR501" i="2"/>
  <c r="AQ501" i="2"/>
  <c r="AP501" i="2"/>
  <c r="AO501" i="2"/>
  <c r="AN501" i="2"/>
  <c r="AM501" i="2"/>
  <c r="AL501" i="2"/>
  <c r="AK501" i="2"/>
  <c r="AJ501" i="2"/>
  <c r="AI501" i="2"/>
  <c r="AH501" i="2"/>
  <c r="AG501" i="2"/>
  <c r="AF501" i="2"/>
  <c r="AE501" i="2"/>
  <c r="AD501" i="2"/>
  <c r="AC501" i="2"/>
  <c r="AB501" i="2"/>
  <c r="AA501" i="2"/>
  <c r="Z501" i="2"/>
  <c r="Y501" i="2"/>
  <c r="X501" i="2"/>
  <c r="W501" i="2"/>
  <c r="V501" i="2"/>
  <c r="U501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H501" i="2"/>
  <c r="G501" i="2"/>
  <c r="F501" i="2"/>
  <c r="E501" i="2"/>
  <c r="D501" i="2"/>
  <c r="C501" i="2"/>
  <c r="B501" i="2"/>
  <c r="BF499" i="2"/>
  <c r="BE499" i="2"/>
  <c r="BD499" i="2"/>
  <c r="BC499" i="2"/>
  <c r="BB499" i="2"/>
  <c r="BA499" i="2"/>
  <c r="AZ499" i="2"/>
  <c r="AY499" i="2"/>
  <c r="AX499" i="2"/>
  <c r="AW499" i="2"/>
  <c r="AV499" i="2"/>
  <c r="AU499" i="2"/>
  <c r="AT499" i="2"/>
  <c r="AS499" i="2"/>
  <c r="AR499" i="2"/>
  <c r="AQ499" i="2"/>
  <c r="AP499" i="2"/>
  <c r="AO499" i="2"/>
  <c r="AN499" i="2"/>
  <c r="AM499" i="2"/>
  <c r="AL499" i="2"/>
  <c r="AK499" i="2"/>
  <c r="AJ499" i="2"/>
  <c r="AI499" i="2"/>
  <c r="AH499" i="2"/>
  <c r="AG499" i="2"/>
  <c r="AF499" i="2"/>
  <c r="AE499" i="2"/>
  <c r="AD499" i="2"/>
  <c r="AC499" i="2"/>
  <c r="AB499" i="2"/>
  <c r="AA499" i="2"/>
  <c r="Z499" i="2"/>
  <c r="Y499" i="2"/>
  <c r="X499" i="2"/>
  <c r="W499" i="2"/>
  <c r="V499" i="2"/>
  <c r="U499" i="2"/>
  <c r="T499" i="2"/>
  <c r="S499" i="2"/>
  <c r="R499" i="2"/>
  <c r="Q499" i="2"/>
  <c r="P499" i="2"/>
  <c r="O499" i="2"/>
  <c r="N499" i="2"/>
  <c r="M499" i="2"/>
  <c r="L499" i="2"/>
  <c r="K499" i="2"/>
  <c r="J499" i="2"/>
  <c r="I499" i="2"/>
  <c r="H499" i="2"/>
  <c r="G499" i="2"/>
  <c r="F499" i="2"/>
  <c r="E499" i="2"/>
  <c r="D499" i="2"/>
  <c r="C499" i="2"/>
  <c r="B499" i="2"/>
  <c r="BF498" i="2"/>
  <c r="BE498" i="2"/>
  <c r="BD498" i="2"/>
  <c r="BC498" i="2"/>
  <c r="BB498" i="2"/>
  <c r="BA498" i="2"/>
  <c r="AZ498" i="2"/>
  <c r="AY498" i="2"/>
  <c r="AX498" i="2"/>
  <c r="AW498" i="2"/>
  <c r="AV498" i="2"/>
  <c r="AU498" i="2"/>
  <c r="AT498" i="2"/>
  <c r="AS498" i="2"/>
  <c r="AR498" i="2"/>
  <c r="AQ498" i="2"/>
  <c r="AP498" i="2"/>
  <c r="AO498" i="2"/>
  <c r="AN498" i="2"/>
  <c r="AM498" i="2"/>
  <c r="AL498" i="2"/>
  <c r="AK498" i="2"/>
  <c r="AJ498" i="2"/>
  <c r="AI498" i="2"/>
  <c r="AH498" i="2"/>
  <c r="AG498" i="2"/>
  <c r="AF498" i="2"/>
  <c r="AE498" i="2"/>
  <c r="AD498" i="2"/>
  <c r="AC498" i="2"/>
  <c r="AB498" i="2"/>
  <c r="AA498" i="2"/>
  <c r="Z498" i="2"/>
  <c r="Y498" i="2"/>
  <c r="X498" i="2"/>
  <c r="W498" i="2"/>
  <c r="V498" i="2"/>
  <c r="U498" i="2"/>
  <c r="T498" i="2"/>
  <c r="S498" i="2"/>
  <c r="R498" i="2"/>
  <c r="Q498" i="2"/>
  <c r="P498" i="2"/>
  <c r="O498" i="2"/>
  <c r="N498" i="2"/>
  <c r="M498" i="2"/>
  <c r="L498" i="2"/>
  <c r="K498" i="2"/>
  <c r="J498" i="2"/>
  <c r="I498" i="2"/>
  <c r="H498" i="2"/>
  <c r="G498" i="2"/>
  <c r="F498" i="2"/>
  <c r="E498" i="2"/>
  <c r="D498" i="2"/>
  <c r="C498" i="2"/>
  <c r="B498" i="2"/>
  <c r="BF497" i="2"/>
  <c r="BE497" i="2"/>
  <c r="BD497" i="2"/>
  <c r="BC497" i="2"/>
  <c r="BB497" i="2"/>
  <c r="BA497" i="2"/>
  <c r="AZ497" i="2"/>
  <c r="AY497" i="2"/>
  <c r="AX497" i="2"/>
  <c r="AW497" i="2"/>
  <c r="AV497" i="2"/>
  <c r="AU497" i="2"/>
  <c r="AT497" i="2"/>
  <c r="AS497" i="2"/>
  <c r="AR497" i="2"/>
  <c r="AQ497" i="2"/>
  <c r="AP497" i="2"/>
  <c r="AO497" i="2"/>
  <c r="AN497" i="2"/>
  <c r="AM497" i="2"/>
  <c r="AL497" i="2"/>
  <c r="AK497" i="2"/>
  <c r="AJ497" i="2"/>
  <c r="AI497" i="2"/>
  <c r="AH497" i="2"/>
  <c r="AG497" i="2"/>
  <c r="AF497" i="2"/>
  <c r="AE497" i="2"/>
  <c r="AD497" i="2"/>
  <c r="AC497" i="2"/>
  <c r="AB497" i="2"/>
  <c r="AA497" i="2"/>
  <c r="Z497" i="2"/>
  <c r="Y497" i="2"/>
  <c r="X497" i="2"/>
  <c r="W497" i="2"/>
  <c r="V497" i="2"/>
  <c r="U497" i="2"/>
  <c r="T497" i="2"/>
  <c r="S497" i="2"/>
  <c r="R497" i="2"/>
  <c r="Q497" i="2"/>
  <c r="P497" i="2"/>
  <c r="O497" i="2"/>
  <c r="N497" i="2"/>
  <c r="M497" i="2"/>
  <c r="L497" i="2"/>
  <c r="K497" i="2"/>
  <c r="J497" i="2"/>
  <c r="I497" i="2"/>
  <c r="H497" i="2"/>
  <c r="G497" i="2"/>
  <c r="F497" i="2"/>
  <c r="E497" i="2"/>
  <c r="D497" i="2"/>
  <c r="C497" i="2"/>
  <c r="B497" i="2"/>
  <c r="BF496" i="2"/>
  <c r="BE496" i="2"/>
  <c r="BD496" i="2"/>
  <c r="BC496" i="2"/>
  <c r="BB496" i="2"/>
  <c r="BA496" i="2"/>
  <c r="AZ496" i="2"/>
  <c r="AY496" i="2"/>
  <c r="AX496" i="2"/>
  <c r="AW496" i="2"/>
  <c r="AV496" i="2"/>
  <c r="AU496" i="2"/>
  <c r="AT496" i="2"/>
  <c r="AS496" i="2"/>
  <c r="AR496" i="2"/>
  <c r="AQ496" i="2"/>
  <c r="AP496" i="2"/>
  <c r="AO496" i="2"/>
  <c r="AN496" i="2"/>
  <c r="AM496" i="2"/>
  <c r="AL496" i="2"/>
  <c r="AK496" i="2"/>
  <c r="AJ496" i="2"/>
  <c r="AI496" i="2"/>
  <c r="AH496" i="2"/>
  <c r="AG496" i="2"/>
  <c r="AF496" i="2"/>
  <c r="AE496" i="2"/>
  <c r="AD496" i="2"/>
  <c r="AC496" i="2"/>
  <c r="AB496" i="2"/>
  <c r="AA496" i="2"/>
  <c r="Z496" i="2"/>
  <c r="Y496" i="2"/>
  <c r="X496" i="2"/>
  <c r="W496" i="2"/>
  <c r="V496" i="2"/>
  <c r="U496" i="2"/>
  <c r="T496" i="2"/>
  <c r="S496" i="2"/>
  <c r="R496" i="2"/>
  <c r="Q496" i="2"/>
  <c r="P496" i="2"/>
  <c r="O496" i="2"/>
  <c r="N496" i="2"/>
  <c r="M496" i="2"/>
  <c r="L496" i="2"/>
  <c r="K496" i="2"/>
  <c r="J496" i="2"/>
  <c r="I496" i="2"/>
  <c r="H496" i="2"/>
  <c r="G496" i="2"/>
  <c r="F496" i="2"/>
  <c r="E496" i="2"/>
  <c r="D496" i="2"/>
  <c r="C496" i="2"/>
  <c r="B496" i="2"/>
  <c r="BF495" i="2"/>
  <c r="BE495" i="2"/>
  <c r="BD495" i="2"/>
  <c r="BC495" i="2"/>
  <c r="BB495" i="2"/>
  <c r="BA495" i="2"/>
  <c r="AZ495" i="2"/>
  <c r="AY495" i="2"/>
  <c r="AX495" i="2"/>
  <c r="AW495" i="2"/>
  <c r="AV495" i="2"/>
  <c r="AU495" i="2"/>
  <c r="AT495" i="2"/>
  <c r="AS495" i="2"/>
  <c r="AR495" i="2"/>
  <c r="AQ495" i="2"/>
  <c r="AP495" i="2"/>
  <c r="AO495" i="2"/>
  <c r="AN495" i="2"/>
  <c r="AM495" i="2"/>
  <c r="AL495" i="2"/>
  <c r="AK495" i="2"/>
  <c r="AJ495" i="2"/>
  <c r="AI495" i="2"/>
  <c r="AH495" i="2"/>
  <c r="AG495" i="2"/>
  <c r="AF495" i="2"/>
  <c r="AE495" i="2"/>
  <c r="AD495" i="2"/>
  <c r="AC495" i="2"/>
  <c r="AB495" i="2"/>
  <c r="AA495" i="2"/>
  <c r="Z495" i="2"/>
  <c r="Y495" i="2"/>
  <c r="X495" i="2"/>
  <c r="W495" i="2"/>
  <c r="V495" i="2"/>
  <c r="U495" i="2"/>
  <c r="T495" i="2"/>
  <c r="S495" i="2"/>
  <c r="R495" i="2"/>
  <c r="Q495" i="2"/>
  <c r="P495" i="2"/>
  <c r="O495" i="2"/>
  <c r="N495" i="2"/>
  <c r="M495" i="2"/>
  <c r="L495" i="2"/>
  <c r="K495" i="2"/>
  <c r="J495" i="2"/>
  <c r="I495" i="2"/>
  <c r="H495" i="2"/>
  <c r="G495" i="2"/>
  <c r="F495" i="2"/>
  <c r="E495" i="2"/>
  <c r="D495" i="2"/>
  <c r="C495" i="2"/>
  <c r="B495" i="2"/>
  <c r="BF493" i="2"/>
  <c r="BE493" i="2"/>
  <c r="BD493" i="2"/>
  <c r="BC493" i="2"/>
  <c r="BB493" i="2"/>
  <c r="BA493" i="2"/>
  <c r="AZ493" i="2"/>
  <c r="AY493" i="2"/>
  <c r="AX493" i="2"/>
  <c r="AW493" i="2"/>
  <c r="AV493" i="2"/>
  <c r="AU493" i="2"/>
  <c r="AT493" i="2"/>
  <c r="AS493" i="2"/>
  <c r="AR493" i="2"/>
  <c r="AQ493" i="2"/>
  <c r="AP493" i="2"/>
  <c r="AO493" i="2"/>
  <c r="AN493" i="2"/>
  <c r="AM493" i="2"/>
  <c r="AL493" i="2"/>
  <c r="AK493" i="2"/>
  <c r="AJ493" i="2"/>
  <c r="AI493" i="2"/>
  <c r="AH493" i="2"/>
  <c r="AG493" i="2"/>
  <c r="AF493" i="2"/>
  <c r="AE493" i="2"/>
  <c r="AD493" i="2"/>
  <c r="AC493" i="2"/>
  <c r="AB493" i="2"/>
  <c r="AA493" i="2"/>
  <c r="Z493" i="2"/>
  <c r="Y493" i="2"/>
  <c r="X493" i="2"/>
  <c r="W493" i="2"/>
  <c r="V493" i="2"/>
  <c r="U493" i="2"/>
  <c r="T493" i="2"/>
  <c r="S493" i="2"/>
  <c r="R493" i="2"/>
  <c r="Q493" i="2"/>
  <c r="P493" i="2"/>
  <c r="O493" i="2"/>
  <c r="N493" i="2"/>
  <c r="M493" i="2"/>
  <c r="L493" i="2"/>
  <c r="K493" i="2"/>
  <c r="J493" i="2"/>
  <c r="I493" i="2"/>
  <c r="H493" i="2"/>
  <c r="G493" i="2"/>
  <c r="F493" i="2"/>
  <c r="E493" i="2"/>
  <c r="D493" i="2"/>
  <c r="C493" i="2"/>
  <c r="B493" i="2"/>
  <c r="BF492" i="2"/>
  <c r="BE492" i="2"/>
  <c r="BD492" i="2"/>
  <c r="BC492" i="2"/>
  <c r="BB492" i="2"/>
  <c r="BA492" i="2"/>
  <c r="AZ492" i="2"/>
  <c r="AY492" i="2"/>
  <c r="AX492" i="2"/>
  <c r="AW492" i="2"/>
  <c r="AV492" i="2"/>
  <c r="AU492" i="2"/>
  <c r="AT492" i="2"/>
  <c r="AS492" i="2"/>
  <c r="AR492" i="2"/>
  <c r="AQ492" i="2"/>
  <c r="AP492" i="2"/>
  <c r="AO492" i="2"/>
  <c r="AN492" i="2"/>
  <c r="AM492" i="2"/>
  <c r="AL492" i="2"/>
  <c r="AK492" i="2"/>
  <c r="AJ492" i="2"/>
  <c r="AI492" i="2"/>
  <c r="AH492" i="2"/>
  <c r="AG492" i="2"/>
  <c r="AF492" i="2"/>
  <c r="AE492" i="2"/>
  <c r="AD492" i="2"/>
  <c r="AC492" i="2"/>
  <c r="AB492" i="2"/>
  <c r="AA492" i="2"/>
  <c r="Z492" i="2"/>
  <c r="Y492" i="2"/>
  <c r="X492" i="2"/>
  <c r="W492" i="2"/>
  <c r="V492" i="2"/>
  <c r="U492" i="2"/>
  <c r="T492" i="2"/>
  <c r="S492" i="2"/>
  <c r="R492" i="2"/>
  <c r="Q492" i="2"/>
  <c r="P492" i="2"/>
  <c r="O492" i="2"/>
  <c r="N492" i="2"/>
  <c r="M492" i="2"/>
  <c r="L492" i="2"/>
  <c r="K492" i="2"/>
  <c r="J492" i="2"/>
  <c r="I492" i="2"/>
  <c r="H492" i="2"/>
  <c r="G492" i="2"/>
  <c r="F492" i="2"/>
  <c r="E492" i="2"/>
  <c r="D492" i="2"/>
  <c r="C492" i="2"/>
  <c r="B492" i="2"/>
  <c r="BF490" i="2"/>
  <c r="BE490" i="2"/>
  <c r="BD490" i="2"/>
  <c r="BC490" i="2"/>
  <c r="BB490" i="2"/>
  <c r="BA490" i="2"/>
  <c r="AZ490" i="2"/>
  <c r="AY490" i="2"/>
  <c r="AX490" i="2"/>
  <c r="AW490" i="2"/>
  <c r="AV490" i="2"/>
  <c r="AU490" i="2"/>
  <c r="AT490" i="2"/>
  <c r="AS490" i="2"/>
  <c r="AR490" i="2"/>
  <c r="AQ490" i="2"/>
  <c r="AP490" i="2"/>
  <c r="AO490" i="2"/>
  <c r="AN490" i="2"/>
  <c r="AM490" i="2"/>
  <c r="AL490" i="2"/>
  <c r="AK490" i="2"/>
  <c r="AJ490" i="2"/>
  <c r="AI490" i="2"/>
  <c r="AH490" i="2"/>
  <c r="AG490" i="2"/>
  <c r="AF490" i="2"/>
  <c r="AE490" i="2"/>
  <c r="AD490" i="2"/>
  <c r="AC490" i="2"/>
  <c r="AB490" i="2"/>
  <c r="AA490" i="2"/>
  <c r="Z490" i="2"/>
  <c r="Y490" i="2"/>
  <c r="X490" i="2"/>
  <c r="W490" i="2"/>
  <c r="V490" i="2"/>
  <c r="U490" i="2"/>
  <c r="T490" i="2"/>
  <c r="S490" i="2"/>
  <c r="R490" i="2"/>
  <c r="Q490" i="2"/>
  <c r="P490" i="2"/>
  <c r="O490" i="2"/>
  <c r="N490" i="2"/>
  <c r="M490" i="2"/>
  <c r="L490" i="2"/>
  <c r="K490" i="2"/>
  <c r="J490" i="2"/>
  <c r="I490" i="2"/>
  <c r="H490" i="2"/>
  <c r="G490" i="2"/>
  <c r="F490" i="2"/>
  <c r="E490" i="2"/>
  <c r="D490" i="2"/>
  <c r="C490" i="2"/>
  <c r="B490" i="2"/>
  <c r="BF489" i="2"/>
  <c r="BE489" i="2"/>
  <c r="BD489" i="2"/>
  <c r="BC489" i="2"/>
  <c r="BB489" i="2"/>
  <c r="BA489" i="2"/>
  <c r="AZ489" i="2"/>
  <c r="AY489" i="2"/>
  <c r="AX489" i="2"/>
  <c r="AW489" i="2"/>
  <c r="AV489" i="2"/>
  <c r="AU489" i="2"/>
  <c r="AT489" i="2"/>
  <c r="AS489" i="2"/>
  <c r="AR489" i="2"/>
  <c r="AQ489" i="2"/>
  <c r="AP489" i="2"/>
  <c r="AO489" i="2"/>
  <c r="AN489" i="2"/>
  <c r="AM489" i="2"/>
  <c r="AL489" i="2"/>
  <c r="AK489" i="2"/>
  <c r="AJ489" i="2"/>
  <c r="AI489" i="2"/>
  <c r="AH489" i="2"/>
  <c r="AG489" i="2"/>
  <c r="AF489" i="2"/>
  <c r="AE489" i="2"/>
  <c r="AD489" i="2"/>
  <c r="AC489" i="2"/>
  <c r="AB489" i="2"/>
  <c r="AA489" i="2"/>
  <c r="Z489" i="2"/>
  <c r="Y489" i="2"/>
  <c r="X489" i="2"/>
  <c r="W489" i="2"/>
  <c r="V489" i="2"/>
  <c r="U489" i="2"/>
  <c r="T489" i="2"/>
  <c r="S489" i="2"/>
  <c r="R489" i="2"/>
  <c r="Q489" i="2"/>
  <c r="P489" i="2"/>
  <c r="O489" i="2"/>
  <c r="N489" i="2"/>
  <c r="M489" i="2"/>
  <c r="L489" i="2"/>
  <c r="K489" i="2"/>
  <c r="J489" i="2"/>
  <c r="I489" i="2"/>
  <c r="H489" i="2"/>
  <c r="G489" i="2"/>
  <c r="F489" i="2"/>
  <c r="E489" i="2"/>
  <c r="D489" i="2"/>
  <c r="C489" i="2"/>
  <c r="B489" i="2"/>
  <c r="BF488" i="2"/>
  <c r="BE488" i="2"/>
  <c r="BD488" i="2"/>
  <c r="BC488" i="2"/>
  <c r="BB488" i="2"/>
  <c r="BA488" i="2"/>
  <c r="AZ488" i="2"/>
  <c r="AY488" i="2"/>
  <c r="AX488" i="2"/>
  <c r="AW488" i="2"/>
  <c r="AV488" i="2"/>
  <c r="AU488" i="2"/>
  <c r="AT488" i="2"/>
  <c r="AS488" i="2"/>
  <c r="AR488" i="2"/>
  <c r="AQ488" i="2"/>
  <c r="AP488" i="2"/>
  <c r="AO488" i="2"/>
  <c r="AN488" i="2"/>
  <c r="AM488" i="2"/>
  <c r="AL488" i="2"/>
  <c r="AK488" i="2"/>
  <c r="AJ488" i="2"/>
  <c r="AI488" i="2"/>
  <c r="AH488" i="2"/>
  <c r="AG488" i="2"/>
  <c r="AF488" i="2"/>
  <c r="AE488" i="2"/>
  <c r="AD488" i="2"/>
  <c r="AC488" i="2"/>
  <c r="AB488" i="2"/>
  <c r="AA488" i="2"/>
  <c r="Z488" i="2"/>
  <c r="Y488" i="2"/>
  <c r="X488" i="2"/>
  <c r="W488" i="2"/>
  <c r="V488" i="2"/>
  <c r="U488" i="2"/>
  <c r="T488" i="2"/>
  <c r="S488" i="2"/>
  <c r="R488" i="2"/>
  <c r="Q488" i="2"/>
  <c r="P488" i="2"/>
  <c r="O488" i="2"/>
  <c r="N488" i="2"/>
  <c r="M488" i="2"/>
  <c r="L488" i="2"/>
  <c r="K488" i="2"/>
  <c r="J488" i="2"/>
  <c r="I488" i="2"/>
  <c r="H488" i="2"/>
  <c r="G488" i="2"/>
  <c r="F488" i="2"/>
  <c r="E488" i="2"/>
  <c r="D488" i="2"/>
  <c r="C488" i="2"/>
  <c r="B488" i="2"/>
  <c r="BF486" i="2"/>
  <c r="BE486" i="2"/>
  <c r="BD486" i="2"/>
  <c r="BC486" i="2"/>
  <c r="BB486" i="2"/>
  <c r="BA486" i="2"/>
  <c r="AZ486" i="2"/>
  <c r="AY486" i="2"/>
  <c r="AX486" i="2"/>
  <c r="AW486" i="2"/>
  <c r="AV486" i="2"/>
  <c r="AU486" i="2"/>
  <c r="AT486" i="2"/>
  <c r="AS486" i="2"/>
  <c r="AR486" i="2"/>
  <c r="AQ486" i="2"/>
  <c r="AP486" i="2"/>
  <c r="AO486" i="2"/>
  <c r="AN486" i="2"/>
  <c r="AM486" i="2"/>
  <c r="AL486" i="2"/>
  <c r="AK486" i="2"/>
  <c r="AJ486" i="2"/>
  <c r="AI486" i="2"/>
  <c r="AH486" i="2"/>
  <c r="AG486" i="2"/>
  <c r="AF486" i="2"/>
  <c r="AE486" i="2"/>
  <c r="AD486" i="2"/>
  <c r="AC486" i="2"/>
  <c r="AB486" i="2"/>
  <c r="AA486" i="2"/>
  <c r="Z486" i="2"/>
  <c r="Y486" i="2"/>
  <c r="X486" i="2"/>
  <c r="W486" i="2"/>
  <c r="V486" i="2"/>
  <c r="U486" i="2"/>
  <c r="T486" i="2"/>
  <c r="S486" i="2"/>
  <c r="R486" i="2"/>
  <c r="Q486" i="2"/>
  <c r="P486" i="2"/>
  <c r="O486" i="2"/>
  <c r="N486" i="2"/>
  <c r="M486" i="2"/>
  <c r="L486" i="2"/>
  <c r="K486" i="2"/>
  <c r="J486" i="2"/>
  <c r="I486" i="2"/>
  <c r="H486" i="2"/>
  <c r="G486" i="2"/>
  <c r="F486" i="2"/>
  <c r="E486" i="2"/>
  <c r="D486" i="2"/>
  <c r="C486" i="2"/>
  <c r="B486" i="2"/>
  <c r="BF485" i="2"/>
  <c r="BE485" i="2"/>
  <c r="BD485" i="2"/>
  <c r="BC485" i="2"/>
  <c r="BB485" i="2"/>
  <c r="BA485" i="2"/>
  <c r="AZ485" i="2"/>
  <c r="AY485" i="2"/>
  <c r="AX485" i="2"/>
  <c r="AW485" i="2"/>
  <c r="AV485" i="2"/>
  <c r="AU485" i="2"/>
  <c r="AT485" i="2"/>
  <c r="AS485" i="2"/>
  <c r="AR485" i="2"/>
  <c r="AQ485" i="2"/>
  <c r="AP485" i="2"/>
  <c r="AO485" i="2"/>
  <c r="AN485" i="2"/>
  <c r="AM485" i="2"/>
  <c r="AL485" i="2"/>
  <c r="AK485" i="2"/>
  <c r="AJ485" i="2"/>
  <c r="AI485" i="2"/>
  <c r="AH485" i="2"/>
  <c r="AG485" i="2"/>
  <c r="AF485" i="2"/>
  <c r="AE485" i="2"/>
  <c r="AD485" i="2"/>
  <c r="AC485" i="2"/>
  <c r="AB485" i="2"/>
  <c r="AA485" i="2"/>
  <c r="Z485" i="2"/>
  <c r="Y485" i="2"/>
  <c r="X485" i="2"/>
  <c r="W485" i="2"/>
  <c r="V485" i="2"/>
  <c r="U485" i="2"/>
  <c r="T485" i="2"/>
  <c r="S485" i="2"/>
  <c r="R485" i="2"/>
  <c r="Q485" i="2"/>
  <c r="P485" i="2"/>
  <c r="O485" i="2"/>
  <c r="N485" i="2"/>
  <c r="M485" i="2"/>
  <c r="L485" i="2"/>
  <c r="K485" i="2"/>
  <c r="J485" i="2"/>
  <c r="I485" i="2"/>
  <c r="H485" i="2"/>
  <c r="G485" i="2"/>
  <c r="F485" i="2"/>
  <c r="E485" i="2"/>
  <c r="D485" i="2"/>
  <c r="C485" i="2"/>
  <c r="B485" i="2"/>
  <c r="BF484" i="2"/>
  <c r="BE484" i="2"/>
  <c r="BD484" i="2"/>
  <c r="BC484" i="2"/>
  <c r="BB484" i="2"/>
  <c r="BA484" i="2"/>
  <c r="AZ484" i="2"/>
  <c r="AY484" i="2"/>
  <c r="AX484" i="2"/>
  <c r="AW484" i="2"/>
  <c r="AV484" i="2"/>
  <c r="AU484" i="2"/>
  <c r="AT484" i="2"/>
  <c r="AS484" i="2"/>
  <c r="AR484" i="2"/>
  <c r="AQ484" i="2"/>
  <c r="AP484" i="2"/>
  <c r="AO484" i="2"/>
  <c r="AN484" i="2"/>
  <c r="AM484" i="2"/>
  <c r="AL484" i="2"/>
  <c r="AK484" i="2"/>
  <c r="AJ484" i="2"/>
  <c r="AI484" i="2"/>
  <c r="AH484" i="2"/>
  <c r="AG484" i="2"/>
  <c r="AF484" i="2"/>
  <c r="AE484" i="2"/>
  <c r="AD484" i="2"/>
  <c r="AC484" i="2"/>
  <c r="AB484" i="2"/>
  <c r="AA484" i="2"/>
  <c r="Z484" i="2"/>
  <c r="Y484" i="2"/>
  <c r="X484" i="2"/>
  <c r="W484" i="2"/>
  <c r="V484" i="2"/>
  <c r="U484" i="2"/>
  <c r="T484" i="2"/>
  <c r="S484" i="2"/>
  <c r="R484" i="2"/>
  <c r="Q484" i="2"/>
  <c r="P484" i="2"/>
  <c r="O484" i="2"/>
  <c r="N484" i="2"/>
  <c r="M484" i="2"/>
  <c r="L484" i="2"/>
  <c r="K484" i="2"/>
  <c r="J484" i="2"/>
  <c r="I484" i="2"/>
  <c r="H484" i="2"/>
  <c r="G484" i="2"/>
  <c r="F484" i="2"/>
  <c r="E484" i="2"/>
  <c r="D484" i="2"/>
  <c r="C484" i="2"/>
  <c r="B484" i="2"/>
  <c r="BF483" i="2"/>
  <c r="BE483" i="2"/>
  <c r="BD483" i="2"/>
  <c r="BC483" i="2"/>
  <c r="BB483" i="2"/>
  <c r="BA483" i="2"/>
  <c r="AZ483" i="2"/>
  <c r="AY483" i="2"/>
  <c r="AX483" i="2"/>
  <c r="AW483" i="2"/>
  <c r="AV483" i="2"/>
  <c r="AU483" i="2"/>
  <c r="AT483" i="2"/>
  <c r="AS483" i="2"/>
  <c r="AR483" i="2"/>
  <c r="AQ483" i="2"/>
  <c r="AP483" i="2"/>
  <c r="AO483" i="2"/>
  <c r="AN483" i="2"/>
  <c r="AM483" i="2"/>
  <c r="AL483" i="2"/>
  <c r="AK483" i="2"/>
  <c r="AJ483" i="2"/>
  <c r="AI483" i="2"/>
  <c r="AH483" i="2"/>
  <c r="AG483" i="2"/>
  <c r="AF483" i="2"/>
  <c r="AE483" i="2"/>
  <c r="AD483" i="2"/>
  <c r="AC483" i="2"/>
  <c r="AB483" i="2"/>
  <c r="AA483" i="2"/>
  <c r="Z483" i="2"/>
  <c r="Y483" i="2"/>
  <c r="X483" i="2"/>
  <c r="W483" i="2"/>
  <c r="V483" i="2"/>
  <c r="U483" i="2"/>
  <c r="T483" i="2"/>
  <c r="S483" i="2"/>
  <c r="R483" i="2"/>
  <c r="Q483" i="2"/>
  <c r="P483" i="2"/>
  <c r="O483" i="2"/>
  <c r="N483" i="2"/>
  <c r="M483" i="2"/>
  <c r="L483" i="2"/>
  <c r="K483" i="2"/>
  <c r="J483" i="2"/>
  <c r="I483" i="2"/>
  <c r="H483" i="2"/>
  <c r="G483" i="2"/>
  <c r="F483" i="2"/>
  <c r="E483" i="2"/>
  <c r="D483" i="2"/>
  <c r="C483" i="2"/>
  <c r="B483" i="2"/>
  <c r="BF482" i="2"/>
  <c r="BE482" i="2"/>
  <c r="BD482" i="2"/>
  <c r="BC482" i="2"/>
  <c r="BB482" i="2"/>
  <c r="BA482" i="2"/>
  <c r="AZ482" i="2"/>
  <c r="AY482" i="2"/>
  <c r="AX482" i="2"/>
  <c r="AW482" i="2"/>
  <c r="AV482" i="2"/>
  <c r="AU482" i="2"/>
  <c r="AT482" i="2"/>
  <c r="AS482" i="2"/>
  <c r="AR482" i="2"/>
  <c r="AQ482" i="2"/>
  <c r="AP482" i="2"/>
  <c r="AO482" i="2"/>
  <c r="AN482" i="2"/>
  <c r="AM482" i="2"/>
  <c r="AL482" i="2"/>
  <c r="AK482" i="2"/>
  <c r="AJ482" i="2"/>
  <c r="AI482" i="2"/>
  <c r="AH482" i="2"/>
  <c r="AG482" i="2"/>
  <c r="AF482" i="2"/>
  <c r="AE482" i="2"/>
  <c r="AD482" i="2"/>
  <c r="AC482" i="2"/>
  <c r="AB482" i="2"/>
  <c r="AA482" i="2"/>
  <c r="Z482" i="2"/>
  <c r="Y482" i="2"/>
  <c r="X482" i="2"/>
  <c r="W482" i="2"/>
  <c r="V482" i="2"/>
  <c r="U482" i="2"/>
  <c r="T482" i="2"/>
  <c r="S482" i="2"/>
  <c r="R482" i="2"/>
  <c r="Q482" i="2"/>
  <c r="P482" i="2"/>
  <c r="O482" i="2"/>
  <c r="N482" i="2"/>
  <c r="M482" i="2"/>
  <c r="L482" i="2"/>
  <c r="K482" i="2"/>
  <c r="J482" i="2"/>
  <c r="I482" i="2"/>
  <c r="H482" i="2"/>
  <c r="G482" i="2"/>
  <c r="F482" i="2"/>
  <c r="E482" i="2"/>
  <c r="D482" i="2"/>
  <c r="C482" i="2"/>
  <c r="B482" i="2"/>
  <c r="BF480" i="2"/>
  <c r="BE480" i="2"/>
  <c r="BD480" i="2"/>
  <c r="BC480" i="2"/>
  <c r="BB480" i="2"/>
  <c r="BA480" i="2"/>
  <c r="AZ480" i="2"/>
  <c r="AY480" i="2"/>
  <c r="AX480" i="2"/>
  <c r="AW480" i="2"/>
  <c r="AV480" i="2"/>
  <c r="AU480" i="2"/>
  <c r="AT480" i="2"/>
  <c r="AS480" i="2"/>
  <c r="AR480" i="2"/>
  <c r="AQ480" i="2"/>
  <c r="AP480" i="2"/>
  <c r="AO480" i="2"/>
  <c r="AN480" i="2"/>
  <c r="AM480" i="2"/>
  <c r="AL480" i="2"/>
  <c r="AK480" i="2"/>
  <c r="AJ480" i="2"/>
  <c r="AI480" i="2"/>
  <c r="AH480" i="2"/>
  <c r="AG480" i="2"/>
  <c r="AF480" i="2"/>
  <c r="AE480" i="2"/>
  <c r="AD480" i="2"/>
  <c r="AC480" i="2"/>
  <c r="AB480" i="2"/>
  <c r="AA480" i="2"/>
  <c r="Z480" i="2"/>
  <c r="Y480" i="2"/>
  <c r="X480" i="2"/>
  <c r="W480" i="2"/>
  <c r="V480" i="2"/>
  <c r="U480" i="2"/>
  <c r="T480" i="2"/>
  <c r="S480" i="2"/>
  <c r="R480" i="2"/>
  <c r="Q480" i="2"/>
  <c r="P480" i="2"/>
  <c r="O480" i="2"/>
  <c r="N480" i="2"/>
  <c r="M480" i="2"/>
  <c r="L480" i="2"/>
  <c r="K480" i="2"/>
  <c r="J480" i="2"/>
  <c r="I480" i="2"/>
  <c r="H480" i="2"/>
  <c r="G480" i="2"/>
  <c r="F480" i="2"/>
  <c r="E480" i="2"/>
  <c r="D480" i="2"/>
  <c r="C480" i="2"/>
  <c r="B480" i="2"/>
  <c r="BF479" i="2"/>
  <c r="BE479" i="2"/>
  <c r="BD479" i="2"/>
  <c r="BC479" i="2"/>
  <c r="BB479" i="2"/>
  <c r="BA479" i="2"/>
  <c r="AZ479" i="2"/>
  <c r="AY479" i="2"/>
  <c r="AX479" i="2"/>
  <c r="AW479" i="2"/>
  <c r="AV479" i="2"/>
  <c r="AU479" i="2"/>
  <c r="AT479" i="2"/>
  <c r="AS479" i="2"/>
  <c r="AR479" i="2"/>
  <c r="AQ479" i="2"/>
  <c r="AP479" i="2"/>
  <c r="AO479" i="2"/>
  <c r="AN479" i="2"/>
  <c r="AM479" i="2"/>
  <c r="AL479" i="2"/>
  <c r="AK479" i="2"/>
  <c r="AJ479" i="2"/>
  <c r="AI479" i="2"/>
  <c r="AH479" i="2"/>
  <c r="AG479" i="2"/>
  <c r="AF479" i="2"/>
  <c r="AE479" i="2"/>
  <c r="AD479" i="2"/>
  <c r="AC479" i="2"/>
  <c r="AB479" i="2"/>
  <c r="AA479" i="2"/>
  <c r="Z479" i="2"/>
  <c r="Y479" i="2"/>
  <c r="X479" i="2"/>
  <c r="W479" i="2"/>
  <c r="V479" i="2"/>
  <c r="U479" i="2"/>
  <c r="T479" i="2"/>
  <c r="S479" i="2"/>
  <c r="R479" i="2"/>
  <c r="Q479" i="2"/>
  <c r="P479" i="2"/>
  <c r="O479" i="2"/>
  <c r="N479" i="2"/>
  <c r="M479" i="2"/>
  <c r="L479" i="2"/>
  <c r="K479" i="2"/>
  <c r="J479" i="2"/>
  <c r="I479" i="2"/>
  <c r="H479" i="2"/>
  <c r="G479" i="2"/>
  <c r="F479" i="2"/>
  <c r="E479" i="2"/>
  <c r="D479" i="2"/>
  <c r="C479" i="2"/>
  <c r="B479" i="2"/>
  <c r="BF469" i="2"/>
  <c r="BE469" i="2"/>
  <c r="BD469" i="2"/>
  <c r="BC469" i="2"/>
  <c r="BB469" i="2"/>
  <c r="BA469" i="2"/>
  <c r="AZ469" i="2"/>
  <c r="AY469" i="2"/>
  <c r="AX469" i="2"/>
  <c r="AW469" i="2"/>
  <c r="AV469" i="2"/>
  <c r="AU469" i="2"/>
  <c r="AT469" i="2"/>
  <c r="AS469" i="2"/>
  <c r="AR469" i="2"/>
  <c r="AQ469" i="2"/>
  <c r="AP469" i="2"/>
  <c r="AO469" i="2"/>
  <c r="AN469" i="2"/>
  <c r="AM469" i="2"/>
  <c r="AL469" i="2"/>
  <c r="AK469" i="2"/>
  <c r="AJ469" i="2"/>
  <c r="AI469" i="2"/>
  <c r="AH469" i="2"/>
  <c r="AG469" i="2"/>
  <c r="AF469" i="2"/>
  <c r="AE469" i="2"/>
  <c r="AD469" i="2"/>
  <c r="AC469" i="2"/>
  <c r="AB469" i="2"/>
  <c r="AA469" i="2"/>
  <c r="Z469" i="2"/>
  <c r="Y469" i="2"/>
  <c r="X469" i="2"/>
  <c r="W469" i="2"/>
  <c r="V469" i="2"/>
  <c r="U469" i="2"/>
  <c r="T469" i="2"/>
  <c r="S469" i="2"/>
  <c r="R469" i="2"/>
  <c r="Q469" i="2"/>
  <c r="P469" i="2"/>
  <c r="O469" i="2"/>
  <c r="N469" i="2"/>
  <c r="M469" i="2"/>
  <c r="L469" i="2"/>
  <c r="K469" i="2"/>
  <c r="J469" i="2"/>
  <c r="I469" i="2"/>
  <c r="H469" i="2"/>
  <c r="G469" i="2"/>
  <c r="F469" i="2"/>
  <c r="E469" i="2"/>
  <c r="D469" i="2"/>
  <c r="C469" i="2"/>
  <c r="B469" i="2"/>
  <c r="BF468" i="2"/>
  <c r="BE468" i="2"/>
  <c r="BD468" i="2"/>
  <c r="BC468" i="2"/>
  <c r="BB468" i="2"/>
  <c r="BA468" i="2"/>
  <c r="AZ468" i="2"/>
  <c r="AY468" i="2"/>
  <c r="AX468" i="2"/>
  <c r="AW468" i="2"/>
  <c r="AV468" i="2"/>
  <c r="AU468" i="2"/>
  <c r="AT468" i="2"/>
  <c r="AS468" i="2"/>
  <c r="AR468" i="2"/>
  <c r="AQ468" i="2"/>
  <c r="AP468" i="2"/>
  <c r="AO468" i="2"/>
  <c r="AN468" i="2"/>
  <c r="AM468" i="2"/>
  <c r="AL468" i="2"/>
  <c r="AK468" i="2"/>
  <c r="AJ468" i="2"/>
  <c r="AI468" i="2"/>
  <c r="AH468" i="2"/>
  <c r="AG468" i="2"/>
  <c r="AF468" i="2"/>
  <c r="AE468" i="2"/>
  <c r="AD468" i="2"/>
  <c r="AC468" i="2"/>
  <c r="AB468" i="2"/>
  <c r="AA468" i="2"/>
  <c r="Z468" i="2"/>
  <c r="Y468" i="2"/>
  <c r="X468" i="2"/>
  <c r="W468" i="2"/>
  <c r="V468" i="2"/>
  <c r="U468" i="2"/>
  <c r="T468" i="2"/>
  <c r="S468" i="2"/>
  <c r="R468" i="2"/>
  <c r="Q468" i="2"/>
  <c r="P468" i="2"/>
  <c r="O468" i="2"/>
  <c r="N468" i="2"/>
  <c r="M468" i="2"/>
  <c r="L468" i="2"/>
  <c r="K468" i="2"/>
  <c r="J468" i="2"/>
  <c r="I468" i="2"/>
  <c r="H468" i="2"/>
  <c r="G468" i="2"/>
  <c r="F468" i="2"/>
  <c r="E468" i="2"/>
  <c r="D468" i="2"/>
  <c r="C468" i="2"/>
  <c r="B468" i="2"/>
  <c r="BF467" i="2"/>
  <c r="BE467" i="2"/>
  <c r="BD467" i="2"/>
  <c r="BC467" i="2"/>
  <c r="BB467" i="2"/>
  <c r="BA467" i="2"/>
  <c r="AZ467" i="2"/>
  <c r="AY467" i="2"/>
  <c r="AX467" i="2"/>
  <c r="AW467" i="2"/>
  <c r="AV467" i="2"/>
  <c r="AU467" i="2"/>
  <c r="AT467" i="2"/>
  <c r="AS467" i="2"/>
  <c r="AR467" i="2"/>
  <c r="AQ467" i="2"/>
  <c r="AP467" i="2"/>
  <c r="AO467" i="2"/>
  <c r="AN467" i="2"/>
  <c r="AM467" i="2"/>
  <c r="AL467" i="2"/>
  <c r="AK467" i="2"/>
  <c r="AJ467" i="2"/>
  <c r="AI467" i="2"/>
  <c r="AH467" i="2"/>
  <c r="AG467" i="2"/>
  <c r="AF467" i="2"/>
  <c r="AE467" i="2"/>
  <c r="AD467" i="2"/>
  <c r="AC467" i="2"/>
  <c r="AB467" i="2"/>
  <c r="AA467" i="2"/>
  <c r="Z467" i="2"/>
  <c r="Y467" i="2"/>
  <c r="X467" i="2"/>
  <c r="W467" i="2"/>
  <c r="V467" i="2"/>
  <c r="U467" i="2"/>
  <c r="T467" i="2"/>
  <c r="S467" i="2"/>
  <c r="R467" i="2"/>
  <c r="Q467" i="2"/>
  <c r="P467" i="2"/>
  <c r="O467" i="2"/>
  <c r="N467" i="2"/>
  <c r="M467" i="2"/>
  <c r="L467" i="2"/>
  <c r="K467" i="2"/>
  <c r="J467" i="2"/>
  <c r="I467" i="2"/>
  <c r="H467" i="2"/>
  <c r="G467" i="2"/>
  <c r="F467" i="2"/>
  <c r="E467" i="2"/>
  <c r="D467" i="2"/>
  <c r="C467" i="2"/>
  <c r="B467" i="2"/>
  <c r="BF465" i="2"/>
  <c r="BE465" i="2"/>
  <c r="BD465" i="2"/>
  <c r="BC465" i="2"/>
  <c r="BB465" i="2"/>
  <c r="BA465" i="2"/>
  <c r="AZ465" i="2"/>
  <c r="AY465" i="2"/>
  <c r="AX465" i="2"/>
  <c r="AW465" i="2"/>
  <c r="AV465" i="2"/>
  <c r="AU465" i="2"/>
  <c r="AT465" i="2"/>
  <c r="AS465" i="2"/>
  <c r="AR465" i="2"/>
  <c r="AQ465" i="2"/>
  <c r="AP465" i="2"/>
  <c r="AO465" i="2"/>
  <c r="AN465" i="2"/>
  <c r="AM465" i="2"/>
  <c r="AL465" i="2"/>
  <c r="AK465" i="2"/>
  <c r="AJ465" i="2"/>
  <c r="AI465" i="2"/>
  <c r="AH465" i="2"/>
  <c r="AG465" i="2"/>
  <c r="AF465" i="2"/>
  <c r="AE465" i="2"/>
  <c r="AD465" i="2"/>
  <c r="AC465" i="2"/>
  <c r="AB465" i="2"/>
  <c r="AA465" i="2"/>
  <c r="Z465" i="2"/>
  <c r="Y465" i="2"/>
  <c r="X465" i="2"/>
  <c r="W465" i="2"/>
  <c r="V465" i="2"/>
  <c r="U465" i="2"/>
  <c r="T465" i="2"/>
  <c r="S465" i="2"/>
  <c r="R465" i="2"/>
  <c r="Q465" i="2"/>
  <c r="P465" i="2"/>
  <c r="O465" i="2"/>
  <c r="N465" i="2"/>
  <c r="M465" i="2"/>
  <c r="L465" i="2"/>
  <c r="K465" i="2"/>
  <c r="J465" i="2"/>
  <c r="I465" i="2"/>
  <c r="H465" i="2"/>
  <c r="G465" i="2"/>
  <c r="F465" i="2"/>
  <c r="E465" i="2"/>
  <c r="D465" i="2"/>
  <c r="C465" i="2"/>
  <c r="B465" i="2"/>
  <c r="BF464" i="2"/>
  <c r="BE464" i="2"/>
  <c r="BD464" i="2"/>
  <c r="BC464" i="2"/>
  <c r="BB464" i="2"/>
  <c r="BA464" i="2"/>
  <c r="AZ464" i="2"/>
  <c r="AY464" i="2"/>
  <c r="AX464" i="2"/>
  <c r="AW464" i="2"/>
  <c r="AV464" i="2"/>
  <c r="AU464" i="2"/>
  <c r="AT464" i="2"/>
  <c r="AS464" i="2"/>
  <c r="AR464" i="2"/>
  <c r="AQ464" i="2"/>
  <c r="AP464" i="2"/>
  <c r="AO464" i="2"/>
  <c r="AN464" i="2"/>
  <c r="AM464" i="2"/>
  <c r="AL464" i="2"/>
  <c r="AK464" i="2"/>
  <c r="AJ464" i="2"/>
  <c r="AI464" i="2"/>
  <c r="AH464" i="2"/>
  <c r="AG464" i="2"/>
  <c r="AF464" i="2"/>
  <c r="AE464" i="2"/>
  <c r="AD464" i="2"/>
  <c r="AC464" i="2"/>
  <c r="AB464" i="2"/>
  <c r="AA464" i="2"/>
  <c r="Z464" i="2"/>
  <c r="Y464" i="2"/>
  <c r="X464" i="2"/>
  <c r="W464" i="2"/>
  <c r="V464" i="2"/>
  <c r="U464" i="2"/>
  <c r="T464" i="2"/>
  <c r="S464" i="2"/>
  <c r="R464" i="2"/>
  <c r="Q464" i="2"/>
  <c r="P464" i="2"/>
  <c r="O464" i="2"/>
  <c r="N464" i="2"/>
  <c r="M464" i="2"/>
  <c r="L464" i="2"/>
  <c r="K464" i="2"/>
  <c r="J464" i="2"/>
  <c r="I464" i="2"/>
  <c r="H464" i="2"/>
  <c r="G464" i="2"/>
  <c r="F464" i="2"/>
  <c r="E464" i="2"/>
  <c r="D464" i="2"/>
  <c r="C464" i="2"/>
  <c r="B464" i="2"/>
  <c r="BF463" i="2"/>
  <c r="BE463" i="2"/>
  <c r="BD463" i="2"/>
  <c r="BC463" i="2"/>
  <c r="BB463" i="2"/>
  <c r="BA463" i="2"/>
  <c r="AZ463" i="2"/>
  <c r="AY463" i="2"/>
  <c r="AX463" i="2"/>
  <c r="AW463" i="2"/>
  <c r="AV463" i="2"/>
  <c r="AU463" i="2"/>
  <c r="AT463" i="2"/>
  <c r="AS463" i="2"/>
  <c r="AR463" i="2"/>
  <c r="AQ463" i="2"/>
  <c r="AP463" i="2"/>
  <c r="AO463" i="2"/>
  <c r="AN463" i="2"/>
  <c r="AM463" i="2"/>
  <c r="AL463" i="2"/>
  <c r="AK463" i="2"/>
  <c r="AJ463" i="2"/>
  <c r="AI463" i="2"/>
  <c r="AH463" i="2"/>
  <c r="AG463" i="2"/>
  <c r="AF463" i="2"/>
  <c r="AE463" i="2"/>
  <c r="AD463" i="2"/>
  <c r="AC463" i="2"/>
  <c r="AB463" i="2"/>
  <c r="AA463" i="2"/>
  <c r="Z463" i="2"/>
  <c r="Y463" i="2"/>
  <c r="X463" i="2"/>
  <c r="W463" i="2"/>
  <c r="V463" i="2"/>
  <c r="U463" i="2"/>
  <c r="T463" i="2"/>
  <c r="S463" i="2"/>
  <c r="R463" i="2"/>
  <c r="Q463" i="2"/>
  <c r="P463" i="2"/>
  <c r="O463" i="2"/>
  <c r="N463" i="2"/>
  <c r="M463" i="2"/>
  <c r="L463" i="2"/>
  <c r="K463" i="2"/>
  <c r="J463" i="2"/>
  <c r="I463" i="2"/>
  <c r="H463" i="2"/>
  <c r="G463" i="2"/>
  <c r="F463" i="2"/>
  <c r="E463" i="2"/>
  <c r="D463" i="2"/>
  <c r="C463" i="2"/>
  <c r="B463" i="2"/>
  <c r="BF462" i="2"/>
  <c r="BE462" i="2"/>
  <c r="BD462" i="2"/>
  <c r="BC462" i="2"/>
  <c r="BB462" i="2"/>
  <c r="BA462" i="2"/>
  <c r="AZ462" i="2"/>
  <c r="AY462" i="2"/>
  <c r="AX462" i="2"/>
  <c r="AW462" i="2"/>
  <c r="AV462" i="2"/>
  <c r="AU462" i="2"/>
  <c r="AT462" i="2"/>
  <c r="AS462" i="2"/>
  <c r="AR462" i="2"/>
  <c r="AQ462" i="2"/>
  <c r="AP462" i="2"/>
  <c r="AO462" i="2"/>
  <c r="AN462" i="2"/>
  <c r="AM462" i="2"/>
  <c r="AL462" i="2"/>
  <c r="AK462" i="2"/>
  <c r="AJ462" i="2"/>
  <c r="AI462" i="2"/>
  <c r="AH462" i="2"/>
  <c r="AG462" i="2"/>
  <c r="AF462" i="2"/>
  <c r="AE462" i="2"/>
  <c r="AD462" i="2"/>
  <c r="AC462" i="2"/>
  <c r="AB462" i="2"/>
  <c r="AA462" i="2"/>
  <c r="Z462" i="2"/>
  <c r="Y462" i="2"/>
  <c r="X462" i="2"/>
  <c r="W462" i="2"/>
  <c r="V462" i="2"/>
  <c r="U462" i="2"/>
  <c r="T462" i="2"/>
  <c r="S462" i="2"/>
  <c r="R462" i="2"/>
  <c r="Q462" i="2"/>
  <c r="P462" i="2"/>
  <c r="O462" i="2"/>
  <c r="N462" i="2"/>
  <c r="M462" i="2"/>
  <c r="L462" i="2"/>
  <c r="K462" i="2"/>
  <c r="J462" i="2"/>
  <c r="I462" i="2"/>
  <c r="H462" i="2"/>
  <c r="G462" i="2"/>
  <c r="F462" i="2"/>
  <c r="E462" i="2"/>
  <c r="D462" i="2"/>
  <c r="C462" i="2"/>
  <c r="B462" i="2"/>
  <c r="BF461" i="2"/>
  <c r="BE461" i="2"/>
  <c r="BD461" i="2"/>
  <c r="BC461" i="2"/>
  <c r="BB461" i="2"/>
  <c r="BA461" i="2"/>
  <c r="AZ461" i="2"/>
  <c r="AY461" i="2"/>
  <c r="AX461" i="2"/>
  <c r="AW461" i="2"/>
  <c r="AV461" i="2"/>
  <c r="AU461" i="2"/>
  <c r="AT461" i="2"/>
  <c r="AS461" i="2"/>
  <c r="AR461" i="2"/>
  <c r="AQ461" i="2"/>
  <c r="AP461" i="2"/>
  <c r="AO461" i="2"/>
  <c r="AN461" i="2"/>
  <c r="AM461" i="2"/>
  <c r="AL461" i="2"/>
  <c r="AK461" i="2"/>
  <c r="AJ461" i="2"/>
  <c r="AI461" i="2"/>
  <c r="AH461" i="2"/>
  <c r="AG461" i="2"/>
  <c r="AF461" i="2"/>
  <c r="AE461" i="2"/>
  <c r="AD461" i="2"/>
  <c r="AC461" i="2"/>
  <c r="AB461" i="2"/>
  <c r="AA461" i="2"/>
  <c r="Z461" i="2"/>
  <c r="Y461" i="2"/>
  <c r="X461" i="2"/>
  <c r="W461" i="2"/>
  <c r="V461" i="2"/>
  <c r="U461" i="2"/>
  <c r="T461" i="2"/>
  <c r="S461" i="2"/>
  <c r="R461" i="2"/>
  <c r="Q461" i="2"/>
  <c r="P461" i="2"/>
  <c r="O461" i="2"/>
  <c r="N461" i="2"/>
  <c r="M461" i="2"/>
  <c r="L461" i="2"/>
  <c r="K461" i="2"/>
  <c r="J461" i="2"/>
  <c r="I461" i="2"/>
  <c r="H461" i="2"/>
  <c r="G461" i="2"/>
  <c r="F461" i="2"/>
  <c r="E461" i="2"/>
  <c r="D461" i="2"/>
  <c r="C461" i="2"/>
  <c r="B461" i="2"/>
  <c r="BF459" i="2"/>
  <c r="BE459" i="2"/>
  <c r="BD459" i="2"/>
  <c r="BC459" i="2"/>
  <c r="BB459" i="2"/>
  <c r="BA459" i="2"/>
  <c r="AZ459" i="2"/>
  <c r="AY459" i="2"/>
  <c r="AX459" i="2"/>
  <c r="AW459" i="2"/>
  <c r="AV459" i="2"/>
  <c r="AU459" i="2"/>
  <c r="AT459" i="2"/>
  <c r="AS459" i="2"/>
  <c r="AR459" i="2"/>
  <c r="AQ459" i="2"/>
  <c r="AP459" i="2"/>
  <c r="AO459" i="2"/>
  <c r="AN459" i="2"/>
  <c r="AM459" i="2"/>
  <c r="AL459" i="2"/>
  <c r="AK459" i="2"/>
  <c r="AJ459" i="2"/>
  <c r="AI459" i="2"/>
  <c r="AH459" i="2"/>
  <c r="AG459" i="2"/>
  <c r="AF459" i="2"/>
  <c r="AE459" i="2"/>
  <c r="AD459" i="2"/>
  <c r="AC459" i="2"/>
  <c r="AB459" i="2"/>
  <c r="AA459" i="2"/>
  <c r="Z459" i="2"/>
  <c r="Y459" i="2"/>
  <c r="X459" i="2"/>
  <c r="W459" i="2"/>
  <c r="V459" i="2"/>
  <c r="U459" i="2"/>
  <c r="T459" i="2"/>
  <c r="S459" i="2"/>
  <c r="R459" i="2"/>
  <c r="Q459" i="2"/>
  <c r="P459" i="2"/>
  <c r="O459" i="2"/>
  <c r="N459" i="2"/>
  <c r="M459" i="2"/>
  <c r="L459" i="2"/>
  <c r="K459" i="2"/>
  <c r="J459" i="2"/>
  <c r="I459" i="2"/>
  <c r="H459" i="2"/>
  <c r="G459" i="2"/>
  <c r="F459" i="2"/>
  <c r="E459" i="2"/>
  <c r="D459" i="2"/>
  <c r="C459" i="2"/>
  <c r="B459" i="2"/>
  <c r="BF458" i="2"/>
  <c r="BE458" i="2"/>
  <c r="BD458" i="2"/>
  <c r="BC458" i="2"/>
  <c r="BB458" i="2"/>
  <c r="BA458" i="2"/>
  <c r="AZ458" i="2"/>
  <c r="AY458" i="2"/>
  <c r="AX458" i="2"/>
  <c r="AW458" i="2"/>
  <c r="AV458" i="2"/>
  <c r="AU458" i="2"/>
  <c r="AT458" i="2"/>
  <c r="AS458" i="2"/>
  <c r="AR458" i="2"/>
  <c r="AQ458" i="2"/>
  <c r="AP458" i="2"/>
  <c r="AO458" i="2"/>
  <c r="AN458" i="2"/>
  <c r="AM458" i="2"/>
  <c r="AL458" i="2"/>
  <c r="AK458" i="2"/>
  <c r="AJ458" i="2"/>
  <c r="AI458" i="2"/>
  <c r="AH458" i="2"/>
  <c r="AG458" i="2"/>
  <c r="AF458" i="2"/>
  <c r="AE458" i="2"/>
  <c r="AD458" i="2"/>
  <c r="AC458" i="2"/>
  <c r="AB458" i="2"/>
  <c r="AA458" i="2"/>
  <c r="Z458" i="2"/>
  <c r="Y458" i="2"/>
  <c r="X458" i="2"/>
  <c r="W458" i="2"/>
  <c r="V458" i="2"/>
  <c r="U458" i="2"/>
  <c r="T458" i="2"/>
  <c r="S458" i="2"/>
  <c r="R458" i="2"/>
  <c r="Q458" i="2"/>
  <c r="P458" i="2"/>
  <c r="O458" i="2"/>
  <c r="N458" i="2"/>
  <c r="M458" i="2"/>
  <c r="L458" i="2"/>
  <c r="K458" i="2"/>
  <c r="J458" i="2"/>
  <c r="I458" i="2"/>
  <c r="H458" i="2"/>
  <c r="G458" i="2"/>
  <c r="F458" i="2"/>
  <c r="E458" i="2"/>
  <c r="D458" i="2"/>
  <c r="C458" i="2"/>
  <c r="B458" i="2"/>
  <c r="BF456" i="2"/>
  <c r="BE456" i="2"/>
  <c r="BD456" i="2"/>
  <c r="BC456" i="2"/>
  <c r="BB456" i="2"/>
  <c r="BA456" i="2"/>
  <c r="AZ456" i="2"/>
  <c r="AY456" i="2"/>
  <c r="AX456" i="2"/>
  <c r="AW456" i="2"/>
  <c r="AV456" i="2"/>
  <c r="AU456" i="2"/>
  <c r="AT456" i="2"/>
  <c r="AS456" i="2"/>
  <c r="AR456" i="2"/>
  <c r="AQ456" i="2"/>
  <c r="AP456" i="2"/>
  <c r="AO456" i="2"/>
  <c r="AN456" i="2"/>
  <c r="AM456" i="2"/>
  <c r="AL456" i="2"/>
  <c r="AK456" i="2"/>
  <c r="AJ456" i="2"/>
  <c r="AI456" i="2"/>
  <c r="AH456" i="2"/>
  <c r="AG456" i="2"/>
  <c r="AF456" i="2"/>
  <c r="AE456" i="2"/>
  <c r="AD456" i="2"/>
  <c r="AC456" i="2"/>
  <c r="AB456" i="2"/>
  <c r="AA456" i="2"/>
  <c r="Z456" i="2"/>
  <c r="Y456" i="2"/>
  <c r="X456" i="2"/>
  <c r="W456" i="2"/>
  <c r="V456" i="2"/>
  <c r="U456" i="2"/>
  <c r="T456" i="2"/>
  <c r="S456" i="2"/>
  <c r="R456" i="2"/>
  <c r="Q456" i="2"/>
  <c r="P456" i="2"/>
  <c r="O456" i="2"/>
  <c r="N456" i="2"/>
  <c r="M456" i="2"/>
  <c r="L456" i="2"/>
  <c r="K456" i="2"/>
  <c r="J456" i="2"/>
  <c r="I456" i="2"/>
  <c r="H456" i="2"/>
  <c r="G456" i="2"/>
  <c r="F456" i="2"/>
  <c r="E456" i="2"/>
  <c r="D456" i="2"/>
  <c r="C456" i="2"/>
  <c r="B456" i="2"/>
  <c r="BF455" i="2"/>
  <c r="BE455" i="2"/>
  <c r="BD455" i="2"/>
  <c r="BC455" i="2"/>
  <c r="BB455" i="2"/>
  <c r="BA455" i="2"/>
  <c r="AZ455" i="2"/>
  <c r="AY455" i="2"/>
  <c r="AX455" i="2"/>
  <c r="AW455" i="2"/>
  <c r="AV455" i="2"/>
  <c r="AU455" i="2"/>
  <c r="AT455" i="2"/>
  <c r="AS455" i="2"/>
  <c r="AR455" i="2"/>
  <c r="AQ455" i="2"/>
  <c r="AP455" i="2"/>
  <c r="AO455" i="2"/>
  <c r="AN455" i="2"/>
  <c r="AM455" i="2"/>
  <c r="AL455" i="2"/>
  <c r="AK455" i="2"/>
  <c r="AJ455" i="2"/>
  <c r="AI455" i="2"/>
  <c r="AH455" i="2"/>
  <c r="AG455" i="2"/>
  <c r="AF455" i="2"/>
  <c r="AE455" i="2"/>
  <c r="AD455" i="2"/>
  <c r="AC455" i="2"/>
  <c r="AB455" i="2"/>
  <c r="AA455" i="2"/>
  <c r="Z455" i="2"/>
  <c r="Y455" i="2"/>
  <c r="X455" i="2"/>
  <c r="W455" i="2"/>
  <c r="V455" i="2"/>
  <c r="U455" i="2"/>
  <c r="T455" i="2"/>
  <c r="S455" i="2"/>
  <c r="R455" i="2"/>
  <c r="Q455" i="2"/>
  <c r="P455" i="2"/>
  <c r="O455" i="2"/>
  <c r="N455" i="2"/>
  <c r="M455" i="2"/>
  <c r="L455" i="2"/>
  <c r="K455" i="2"/>
  <c r="J455" i="2"/>
  <c r="I455" i="2"/>
  <c r="H455" i="2"/>
  <c r="G455" i="2"/>
  <c r="F455" i="2"/>
  <c r="E455" i="2"/>
  <c r="D455" i="2"/>
  <c r="C455" i="2"/>
  <c r="B455" i="2"/>
  <c r="BF454" i="2"/>
  <c r="BE454" i="2"/>
  <c r="BD454" i="2"/>
  <c r="BC454" i="2"/>
  <c r="BB454" i="2"/>
  <c r="BA454" i="2"/>
  <c r="AZ454" i="2"/>
  <c r="AY454" i="2"/>
  <c r="AX454" i="2"/>
  <c r="AW454" i="2"/>
  <c r="AV454" i="2"/>
  <c r="AU454" i="2"/>
  <c r="AT454" i="2"/>
  <c r="AS454" i="2"/>
  <c r="AR454" i="2"/>
  <c r="AQ454" i="2"/>
  <c r="AP454" i="2"/>
  <c r="AO454" i="2"/>
  <c r="AN454" i="2"/>
  <c r="AM454" i="2"/>
  <c r="AL454" i="2"/>
  <c r="AK454" i="2"/>
  <c r="AJ454" i="2"/>
  <c r="AI454" i="2"/>
  <c r="AH454" i="2"/>
  <c r="AG454" i="2"/>
  <c r="AF454" i="2"/>
  <c r="AE454" i="2"/>
  <c r="AD454" i="2"/>
  <c r="AC454" i="2"/>
  <c r="AB454" i="2"/>
  <c r="AA454" i="2"/>
  <c r="Z454" i="2"/>
  <c r="Y454" i="2"/>
  <c r="X454" i="2"/>
  <c r="W454" i="2"/>
  <c r="V454" i="2"/>
  <c r="U454" i="2"/>
  <c r="T454" i="2"/>
  <c r="S454" i="2"/>
  <c r="R454" i="2"/>
  <c r="Q454" i="2"/>
  <c r="P454" i="2"/>
  <c r="O454" i="2"/>
  <c r="N454" i="2"/>
  <c r="M454" i="2"/>
  <c r="L454" i="2"/>
  <c r="K454" i="2"/>
  <c r="J454" i="2"/>
  <c r="I454" i="2"/>
  <c r="H454" i="2"/>
  <c r="G454" i="2"/>
  <c r="F454" i="2"/>
  <c r="E454" i="2"/>
  <c r="D454" i="2"/>
  <c r="C454" i="2"/>
  <c r="B454" i="2"/>
  <c r="BF452" i="2"/>
  <c r="BE452" i="2"/>
  <c r="BD452" i="2"/>
  <c r="BC452" i="2"/>
  <c r="BB452" i="2"/>
  <c r="BA452" i="2"/>
  <c r="AZ452" i="2"/>
  <c r="AY452" i="2"/>
  <c r="AX452" i="2"/>
  <c r="AW452" i="2"/>
  <c r="AV452" i="2"/>
  <c r="AU452" i="2"/>
  <c r="AT452" i="2"/>
  <c r="AS452" i="2"/>
  <c r="AR452" i="2"/>
  <c r="AQ452" i="2"/>
  <c r="AP452" i="2"/>
  <c r="AO452" i="2"/>
  <c r="AN452" i="2"/>
  <c r="AM452" i="2"/>
  <c r="AL452" i="2"/>
  <c r="AK452" i="2"/>
  <c r="AJ452" i="2"/>
  <c r="AI452" i="2"/>
  <c r="AH452" i="2"/>
  <c r="AG452" i="2"/>
  <c r="AF452" i="2"/>
  <c r="AE452" i="2"/>
  <c r="AD452" i="2"/>
  <c r="AC452" i="2"/>
  <c r="AB452" i="2"/>
  <c r="AA452" i="2"/>
  <c r="Z452" i="2"/>
  <c r="Y452" i="2"/>
  <c r="X452" i="2"/>
  <c r="W452" i="2"/>
  <c r="V452" i="2"/>
  <c r="U452" i="2"/>
  <c r="T452" i="2"/>
  <c r="S452" i="2"/>
  <c r="R452" i="2"/>
  <c r="Q452" i="2"/>
  <c r="P452" i="2"/>
  <c r="O452" i="2"/>
  <c r="N452" i="2"/>
  <c r="M452" i="2"/>
  <c r="L452" i="2"/>
  <c r="K452" i="2"/>
  <c r="J452" i="2"/>
  <c r="I452" i="2"/>
  <c r="H452" i="2"/>
  <c r="G452" i="2"/>
  <c r="F452" i="2"/>
  <c r="E452" i="2"/>
  <c r="D452" i="2"/>
  <c r="C452" i="2"/>
  <c r="B452" i="2"/>
  <c r="BF451" i="2"/>
  <c r="BE451" i="2"/>
  <c r="BD451" i="2"/>
  <c r="BC451" i="2"/>
  <c r="BB451" i="2"/>
  <c r="BA451" i="2"/>
  <c r="AZ451" i="2"/>
  <c r="AY451" i="2"/>
  <c r="AX451" i="2"/>
  <c r="AW451" i="2"/>
  <c r="AV451" i="2"/>
  <c r="AU451" i="2"/>
  <c r="AT451" i="2"/>
  <c r="AS451" i="2"/>
  <c r="AR451" i="2"/>
  <c r="AQ451" i="2"/>
  <c r="AP451" i="2"/>
  <c r="AO451" i="2"/>
  <c r="AN451" i="2"/>
  <c r="AM451" i="2"/>
  <c r="AL451" i="2"/>
  <c r="AK451" i="2"/>
  <c r="AJ451" i="2"/>
  <c r="AI451" i="2"/>
  <c r="AH451" i="2"/>
  <c r="AG451" i="2"/>
  <c r="AF451" i="2"/>
  <c r="AE451" i="2"/>
  <c r="AD451" i="2"/>
  <c r="AC451" i="2"/>
  <c r="AB451" i="2"/>
  <c r="AA451" i="2"/>
  <c r="Z451" i="2"/>
  <c r="Y451" i="2"/>
  <c r="X451" i="2"/>
  <c r="W451" i="2"/>
  <c r="V451" i="2"/>
  <c r="U451" i="2"/>
  <c r="T451" i="2"/>
  <c r="S451" i="2"/>
  <c r="R451" i="2"/>
  <c r="Q451" i="2"/>
  <c r="P451" i="2"/>
  <c r="O451" i="2"/>
  <c r="N451" i="2"/>
  <c r="M451" i="2"/>
  <c r="L451" i="2"/>
  <c r="K451" i="2"/>
  <c r="J451" i="2"/>
  <c r="I451" i="2"/>
  <c r="H451" i="2"/>
  <c r="G451" i="2"/>
  <c r="F451" i="2"/>
  <c r="E451" i="2"/>
  <c r="D451" i="2"/>
  <c r="C451" i="2"/>
  <c r="B451" i="2"/>
  <c r="BF450" i="2"/>
  <c r="BE450" i="2"/>
  <c r="BD450" i="2"/>
  <c r="BC450" i="2"/>
  <c r="BB450" i="2"/>
  <c r="BA450" i="2"/>
  <c r="AZ450" i="2"/>
  <c r="AY450" i="2"/>
  <c r="AX450" i="2"/>
  <c r="AW450" i="2"/>
  <c r="AV450" i="2"/>
  <c r="AU450" i="2"/>
  <c r="AT450" i="2"/>
  <c r="AS450" i="2"/>
  <c r="AR450" i="2"/>
  <c r="AQ450" i="2"/>
  <c r="AP450" i="2"/>
  <c r="AO450" i="2"/>
  <c r="AN450" i="2"/>
  <c r="AM450" i="2"/>
  <c r="AL450" i="2"/>
  <c r="AK450" i="2"/>
  <c r="AJ450" i="2"/>
  <c r="AI450" i="2"/>
  <c r="AH450" i="2"/>
  <c r="AG450" i="2"/>
  <c r="AF450" i="2"/>
  <c r="AE450" i="2"/>
  <c r="AD450" i="2"/>
  <c r="AC450" i="2"/>
  <c r="AB450" i="2"/>
  <c r="AA450" i="2"/>
  <c r="Z450" i="2"/>
  <c r="Y450" i="2"/>
  <c r="X450" i="2"/>
  <c r="W450" i="2"/>
  <c r="V450" i="2"/>
  <c r="U450" i="2"/>
  <c r="T450" i="2"/>
  <c r="S450" i="2"/>
  <c r="R450" i="2"/>
  <c r="Q450" i="2"/>
  <c r="P450" i="2"/>
  <c r="O450" i="2"/>
  <c r="N450" i="2"/>
  <c r="M450" i="2"/>
  <c r="L450" i="2"/>
  <c r="K450" i="2"/>
  <c r="J450" i="2"/>
  <c r="I450" i="2"/>
  <c r="H450" i="2"/>
  <c r="G450" i="2"/>
  <c r="F450" i="2"/>
  <c r="E450" i="2"/>
  <c r="D450" i="2"/>
  <c r="C450" i="2"/>
  <c r="B450" i="2"/>
  <c r="BF449" i="2"/>
  <c r="BE449" i="2"/>
  <c r="BD449" i="2"/>
  <c r="BC449" i="2"/>
  <c r="BB449" i="2"/>
  <c r="BA449" i="2"/>
  <c r="AZ449" i="2"/>
  <c r="AY449" i="2"/>
  <c r="AX449" i="2"/>
  <c r="AW449" i="2"/>
  <c r="AV449" i="2"/>
  <c r="AU449" i="2"/>
  <c r="AT449" i="2"/>
  <c r="AS449" i="2"/>
  <c r="AR449" i="2"/>
  <c r="AQ449" i="2"/>
  <c r="AP449" i="2"/>
  <c r="AO449" i="2"/>
  <c r="AN449" i="2"/>
  <c r="AM449" i="2"/>
  <c r="AL449" i="2"/>
  <c r="AK449" i="2"/>
  <c r="AJ449" i="2"/>
  <c r="AI449" i="2"/>
  <c r="AH449" i="2"/>
  <c r="AG449" i="2"/>
  <c r="AF449" i="2"/>
  <c r="AE449" i="2"/>
  <c r="AD449" i="2"/>
  <c r="AC449" i="2"/>
  <c r="AB449" i="2"/>
  <c r="AA449" i="2"/>
  <c r="Z449" i="2"/>
  <c r="Y449" i="2"/>
  <c r="X449" i="2"/>
  <c r="W449" i="2"/>
  <c r="V449" i="2"/>
  <c r="U449" i="2"/>
  <c r="T449" i="2"/>
  <c r="S449" i="2"/>
  <c r="R449" i="2"/>
  <c r="Q449" i="2"/>
  <c r="P449" i="2"/>
  <c r="O449" i="2"/>
  <c r="N449" i="2"/>
  <c r="M449" i="2"/>
  <c r="L449" i="2"/>
  <c r="K449" i="2"/>
  <c r="J449" i="2"/>
  <c r="I449" i="2"/>
  <c r="H449" i="2"/>
  <c r="G449" i="2"/>
  <c r="F449" i="2"/>
  <c r="E449" i="2"/>
  <c r="D449" i="2"/>
  <c r="C449" i="2"/>
  <c r="B449" i="2"/>
  <c r="BF448" i="2"/>
  <c r="BE448" i="2"/>
  <c r="BD448" i="2"/>
  <c r="BC448" i="2"/>
  <c r="BB448" i="2"/>
  <c r="BA448" i="2"/>
  <c r="AZ448" i="2"/>
  <c r="AY448" i="2"/>
  <c r="AX448" i="2"/>
  <c r="AW448" i="2"/>
  <c r="AV448" i="2"/>
  <c r="AU448" i="2"/>
  <c r="AT448" i="2"/>
  <c r="AS448" i="2"/>
  <c r="AR448" i="2"/>
  <c r="AQ448" i="2"/>
  <c r="AP448" i="2"/>
  <c r="AO448" i="2"/>
  <c r="AN448" i="2"/>
  <c r="AM448" i="2"/>
  <c r="AL448" i="2"/>
  <c r="AK448" i="2"/>
  <c r="AJ448" i="2"/>
  <c r="AI448" i="2"/>
  <c r="AH448" i="2"/>
  <c r="AG448" i="2"/>
  <c r="AF448" i="2"/>
  <c r="AE448" i="2"/>
  <c r="AD448" i="2"/>
  <c r="AC448" i="2"/>
  <c r="AB448" i="2"/>
  <c r="AA448" i="2"/>
  <c r="Z448" i="2"/>
  <c r="Y448" i="2"/>
  <c r="X448" i="2"/>
  <c r="W448" i="2"/>
  <c r="V448" i="2"/>
  <c r="U448" i="2"/>
  <c r="T448" i="2"/>
  <c r="S448" i="2"/>
  <c r="R448" i="2"/>
  <c r="Q448" i="2"/>
  <c r="P448" i="2"/>
  <c r="O448" i="2"/>
  <c r="N448" i="2"/>
  <c r="M448" i="2"/>
  <c r="L448" i="2"/>
  <c r="K448" i="2"/>
  <c r="J448" i="2"/>
  <c r="I448" i="2"/>
  <c r="H448" i="2"/>
  <c r="G448" i="2"/>
  <c r="F448" i="2"/>
  <c r="E448" i="2"/>
  <c r="D448" i="2"/>
  <c r="C448" i="2"/>
  <c r="B448" i="2"/>
  <c r="BF446" i="2"/>
  <c r="BE446" i="2"/>
  <c r="BD446" i="2"/>
  <c r="BC446" i="2"/>
  <c r="BB446" i="2"/>
  <c r="BA446" i="2"/>
  <c r="AZ446" i="2"/>
  <c r="AY446" i="2"/>
  <c r="AX446" i="2"/>
  <c r="AW446" i="2"/>
  <c r="AV446" i="2"/>
  <c r="AU446" i="2"/>
  <c r="AT446" i="2"/>
  <c r="AS446" i="2"/>
  <c r="AR446" i="2"/>
  <c r="AQ446" i="2"/>
  <c r="AP446" i="2"/>
  <c r="AO446" i="2"/>
  <c r="AN446" i="2"/>
  <c r="AM446" i="2"/>
  <c r="AL446" i="2"/>
  <c r="AK446" i="2"/>
  <c r="AJ446" i="2"/>
  <c r="AI446" i="2"/>
  <c r="AH446" i="2"/>
  <c r="AG446" i="2"/>
  <c r="AF446" i="2"/>
  <c r="AE446" i="2"/>
  <c r="AD446" i="2"/>
  <c r="AC446" i="2"/>
  <c r="AB446" i="2"/>
  <c r="AA446" i="2"/>
  <c r="Z446" i="2"/>
  <c r="Y446" i="2"/>
  <c r="X446" i="2"/>
  <c r="W446" i="2"/>
  <c r="V446" i="2"/>
  <c r="U446" i="2"/>
  <c r="T446" i="2"/>
  <c r="S446" i="2"/>
  <c r="R446" i="2"/>
  <c r="Q446" i="2"/>
  <c r="P446" i="2"/>
  <c r="O446" i="2"/>
  <c r="N446" i="2"/>
  <c r="M446" i="2"/>
  <c r="L446" i="2"/>
  <c r="K446" i="2"/>
  <c r="J446" i="2"/>
  <c r="I446" i="2"/>
  <c r="H446" i="2"/>
  <c r="G446" i="2"/>
  <c r="F446" i="2"/>
  <c r="E446" i="2"/>
  <c r="D446" i="2"/>
  <c r="C446" i="2"/>
  <c r="B446" i="2"/>
  <c r="BF445" i="2"/>
  <c r="BE445" i="2"/>
  <c r="BD445" i="2"/>
  <c r="BC445" i="2"/>
  <c r="BB445" i="2"/>
  <c r="BA445" i="2"/>
  <c r="AZ445" i="2"/>
  <c r="AY445" i="2"/>
  <c r="AX445" i="2"/>
  <c r="AW445" i="2"/>
  <c r="AV445" i="2"/>
  <c r="AU445" i="2"/>
  <c r="AT445" i="2"/>
  <c r="AS445" i="2"/>
  <c r="AR445" i="2"/>
  <c r="AQ445" i="2"/>
  <c r="AP445" i="2"/>
  <c r="AO445" i="2"/>
  <c r="AN445" i="2"/>
  <c r="AM445" i="2"/>
  <c r="AL445" i="2"/>
  <c r="AK445" i="2"/>
  <c r="AJ445" i="2"/>
  <c r="AI445" i="2"/>
  <c r="AH445" i="2"/>
  <c r="AG445" i="2"/>
  <c r="AF445" i="2"/>
  <c r="AE445" i="2"/>
  <c r="AD445" i="2"/>
  <c r="AC445" i="2"/>
  <c r="AB445" i="2"/>
  <c r="AA445" i="2"/>
  <c r="Z445" i="2"/>
  <c r="Y445" i="2"/>
  <c r="X445" i="2"/>
  <c r="W445" i="2"/>
  <c r="V445" i="2"/>
  <c r="U445" i="2"/>
  <c r="T445" i="2"/>
  <c r="S445" i="2"/>
  <c r="R445" i="2"/>
  <c r="Q445" i="2"/>
  <c r="P445" i="2"/>
  <c r="O445" i="2"/>
  <c r="N445" i="2"/>
  <c r="M445" i="2"/>
  <c r="L445" i="2"/>
  <c r="K445" i="2"/>
  <c r="J445" i="2"/>
  <c r="I445" i="2"/>
  <c r="H445" i="2"/>
  <c r="G445" i="2"/>
  <c r="F445" i="2"/>
  <c r="E445" i="2"/>
  <c r="D445" i="2"/>
  <c r="C445" i="2"/>
  <c r="BF386" i="2"/>
  <c r="BE386" i="2"/>
  <c r="BD386" i="2"/>
  <c r="BC386" i="2"/>
  <c r="BB386" i="2"/>
  <c r="BA386" i="2"/>
  <c r="AZ386" i="2"/>
  <c r="AY386" i="2"/>
  <c r="AX386" i="2"/>
  <c r="AW386" i="2"/>
  <c r="AV386" i="2"/>
  <c r="AU386" i="2"/>
  <c r="AT386" i="2"/>
  <c r="AS386" i="2"/>
  <c r="AR386" i="2"/>
  <c r="AQ386" i="2"/>
  <c r="AP386" i="2"/>
  <c r="AO386" i="2"/>
  <c r="AN386" i="2"/>
  <c r="AM386" i="2"/>
  <c r="AL386" i="2"/>
  <c r="AK386" i="2"/>
  <c r="AJ386" i="2"/>
  <c r="AI386" i="2"/>
  <c r="AH386" i="2"/>
  <c r="AG386" i="2"/>
  <c r="AF386" i="2"/>
  <c r="AE386" i="2"/>
  <c r="AD386" i="2"/>
  <c r="AC386" i="2"/>
  <c r="AB386" i="2"/>
  <c r="AA386" i="2"/>
  <c r="Z386" i="2"/>
  <c r="Y386" i="2"/>
  <c r="X386" i="2"/>
  <c r="W386" i="2"/>
  <c r="V386" i="2"/>
  <c r="U386" i="2"/>
  <c r="T386" i="2"/>
  <c r="S386" i="2"/>
  <c r="R386" i="2"/>
  <c r="Q386" i="2"/>
  <c r="P386" i="2"/>
  <c r="O386" i="2"/>
  <c r="N386" i="2"/>
  <c r="M386" i="2"/>
  <c r="L386" i="2"/>
  <c r="K386" i="2"/>
  <c r="J386" i="2"/>
  <c r="I386" i="2"/>
  <c r="H386" i="2"/>
  <c r="G386" i="2"/>
  <c r="F386" i="2"/>
  <c r="E386" i="2"/>
  <c r="D386" i="2"/>
  <c r="C386" i="2"/>
  <c r="BF385" i="2"/>
  <c r="BE385" i="2"/>
  <c r="BD385" i="2"/>
  <c r="BC385" i="2"/>
  <c r="BB385" i="2"/>
  <c r="BA385" i="2"/>
  <c r="AZ385" i="2"/>
  <c r="AY385" i="2"/>
  <c r="AX385" i="2"/>
  <c r="AW385" i="2"/>
  <c r="AV385" i="2"/>
  <c r="AU385" i="2"/>
  <c r="AT385" i="2"/>
  <c r="AS385" i="2"/>
  <c r="AR385" i="2"/>
  <c r="AQ385" i="2"/>
  <c r="AP385" i="2"/>
  <c r="AO385" i="2"/>
  <c r="AN385" i="2"/>
  <c r="AM385" i="2"/>
  <c r="AL385" i="2"/>
  <c r="AK385" i="2"/>
  <c r="AJ385" i="2"/>
  <c r="AI385" i="2"/>
  <c r="AH385" i="2"/>
  <c r="AG385" i="2"/>
  <c r="AF385" i="2"/>
  <c r="AE385" i="2"/>
  <c r="AD385" i="2"/>
  <c r="AC385" i="2"/>
  <c r="AB385" i="2"/>
  <c r="AA385" i="2"/>
  <c r="Z385" i="2"/>
  <c r="Y385" i="2"/>
  <c r="X385" i="2"/>
  <c r="W385" i="2"/>
  <c r="V385" i="2"/>
  <c r="U385" i="2"/>
  <c r="T385" i="2"/>
  <c r="S385" i="2"/>
  <c r="R385" i="2"/>
  <c r="Q385" i="2"/>
  <c r="P385" i="2"/>
  <c r="O385" i="2"/>
  <c r="N385" i="2"/>
  <c r="M385" i="2"/>
  <c r="L385" i="2"/>
  <c r="K385" i="2"/>
  <c r="J385" i="2"/>
  <c r="I385" i="2"/>
  <c r="H385" i="2"/>
  <c r="G385" i="2"/>
  <c r="F385" i="2"/>
  <c r="E385" i="2"/>
  <c r="D385" i="2"/>
  <c r="C385" i="2"/>
  <c r="BF384" i="2"/>
  <c r="BE384" i="2"/>
  <c r="BD384" i="2"/>
  <c r="BC384" i="2"/>
  <c r="BB384" i="2"/>
  <c r="BA384" i="2"/>
  <c r="AZ384" i="2"/>
  <c r="AY384" i="2"/>
  <c r="AX384" i="2"/>
  <c r="AW384" i="2"/>
  <c r="AV384" i="2"/>
  <c r="AU384" i="2"/>
  <c r="AT384" i="2"/>
  <c r="AS384" i="2"/>
  <c r="AR384" i="2"/>
  <c r="AQ384" i="2"/>
  <c r="AP384" i="2"/>
  <c r="AO384" i="2"/>
  <c r="AN384" i="2"/>
  <c r="AM384" i="2"/>
  <c r="AL384" i="2"/>
  <c r="AK384" i="2"/>
  <c r="AJ384" i="2"/>
  <c r="AI384" i="2"/>
  <c r="AH384" i="2"/>
  <c r="AG384" i="2"/>
  <c r="AF384" i="2"/>
  <c r="AE384" i="2"/>
  <c r="AD384" i="2"/>
  <c r="AC384" i="2"/>
  <c r="AB384" i="2"/>
  <c r="AA384" i="2"/>
  <c r="Z384" i="2"/>
  <c r="Y384" i="2"/>
  <c r="X384" i="2"/>
  <c r="W384" i="2"/>
  <c r="V384" i="2"/>
  <c r="U384" i="2"/>
  <c r="T384" i="2"/>
  <c r="S384" i="2"/>
  <c r="R384" i="2"/>
  <c r="Q384" i="2"/>
  <c r="P384" i="2"/>
  <c r="O384" i="2"/>
  <c r="N384" i="2"/>
  <c r="M384" i="2"/>
  <c r="L384" i="2"/>
  <c r="K384" i="2"/>
  <c r="J384" i="2"/>
  <c r="I384" i="2"/>
  <c r="H384" i="2"/>
  <c r="G384" i="2"/>
  <c r="F384" i="2"/>
  <c r="E384" i="2"/>
  <c r="D384" i="2"/>
  <c r="C384" i="2"/>
  <c r="BF383" i="2"/>
  <c r="BE383" i="2"/>
  <c r="BD383" i="2"/>
  <c r="BC383" i="2"/>
  <c r="BB383" i="2"/>
  <c r="BA383" i="2"/>
  <c r="AZ383" i="2"/>
  <c r="AY383" i="2"/>
  <c r="AX383" i="2"/>
  <c r="AW383" i="2"/>
  <c r="AV383" i="2"/>
  <c r="AU383" i="2"/>
  <c r="AT383" i="2"/>
  <c r="AS383" i="2"/>
  <c r="AR383" i="2"/>
  <c r="AQ383" i="2"/>
  <c r="AP383" i="2"/>
  <c r="AO383" i="2"/>
  <c r="AN383" i="2"/>
  <c r="AM383" i="2"/>
  <c r="AL383" i="2"/>
  <c r="AK383" i="2"/>
  <c r="AJ383" i="2"/>
  <c r="AI383" i="2"/>
  <c r="AH383" i="2"/>
  <c r="AG383" i="2"/>
  <c r="AF383" i="2"/>
  <c r="AE383" i="2"/>
  <c r="AD383" i="2"/>
  <c r="AC383" i="2"/>
  <c r="AB383" i="2"/>
  <c r="AA383" i="2"/>
  <c r="Z383" i="2"/>
  <c r="Y383" i="2"/>
  <c r="X383" i="2"/>
  <c r="W383" i="2"/>
  <c r="V383" i="2"/>
  <c r="U383" i="2"/>
  <c r="T383" i="2"/>
  <c r="S383" i="2"/>
  <c r="R383" i="2"/>
  <c r="Q383" i="2"/>
  <c r="P383" i="2"/>
  <c r="O383" i="2"/>
  <c r="N383" i="2"/>
  <c r="M383" i="2"/>
  <c r="L383" i="2"/>
  <c r="K383" i="2"/>
  <c r="J383" i="2"/>
  <c r="I383" i="2"/>
  <c r="H383" i="2"/>
  <c r="G383" i="2"/>
  <c r="F383" i="2"/>
  <c r="E383" i="2"/>
  <c r="D383" i="2"/>
  <c r="C383" i="2"/>
  <c r="BF382" i="2"/>
  <c r="BE382" i="2"/>
  <c r="BD382" i="2"/>
  <c r="BC382" i="2"/>
  <c r="BB382" i="2"/>
  <c r="BA382" i="2"/>
  <c r="AZ382" i="2"/>
  <c r="AY382" i="2"/>
  <c r="AX382" i="2"/>
  <c r="AW382" i="2"/>
  <c r="AV382" i="2"/>
  <c r="AU382" i="2"/>
  <c r="AT382" i="2"/>
  <c r="AS382" i="2"/>
  <c r="AR382" i="2"/>
  <c r="AQ382" i="2"/>
  <c r="AP382" i="2"/>
  <c r="AO382" i="2"/>
  <c r="AN382" i="2"/>
  <c r="AM382" i="2"/>
  <c r="AL382" i="2"/>
  <c r="AK382" i="2"/>
  <c r="AJ382" i="2"/>
  <c r="AI382" i="2"/>
  <c r="AH382" i="2"/>
  <c r="AG382" i="2"/>
  <c r="AF382" i="2"/>
  <c r="AE382" i="2"/>
  <c r="AD382" i="2"/>
  <c r="AC382" i="2"/>
  <c r="AB382" i="2"/>
  <c r="AA382" i="2"/>
  <c r="Z382" i="2"/>
  <c r="Y382" i="2"/>
  <c r="X382" i="2"/>
  <c r="W382" i="2"/>
  <c r="V382" i="2"/>
  <c r="U382" i="2"/>
  <c r="T382" i="2"/>
  <c r="S382" i="2"/>
  <c r="R382" i="2"/>
  <c r="Q382" i="2"/>
  <c r="P382" i="2"/>
  <c r="O382" i="2"/>
  <c r="N382" i="2"/>
  <c r="M382" i="2"/>
  <c r="L382" i="2"/>
  <c r="K382" i="2"/>
  <c r="J382" i="2"/>
  <c r="I382" i="2"/>
  <c r="H382" i="2"/>
  <c r="G382" i="2"/>
  <c r="F382" i="2"/>
  <c r="E382" i="2"/>
  <c r="D382" i="2"/>
  <c r="C382" i="2"/>
  <c r="BF381" i="2"/>
  <c r="BE381" i="2"/>
  <c r="BD381" i="2"/>
  <c r="BC381" i="2"/>
  <c r="BB381" i="2"/>
  <c r="BA381" i="2"/>
  <c r="AZ381" i="2"/>
  <c r="AY381" i="2"/>
  <c r="AX381" i="2"/>
  <c r="AW381" i="2"/>
  <c r="AV381" i="2"/>
  <c r="AU381" i="2"/>
  <c r="AT381" i="2"/>
  <c r="AS381" i="2"/>
  <c r="AR381" i="2"/>
  <c r="AQ381" i="2"/>
  <c r="AP381" i="2"/>
  <c r="AO381" i="2"/>
  <c r="AN381" i="2"/>
  <c r="AM381" i="2"/>
  <c r="AL381" i="2"/>
  <c r="AK381" i="2"/>
  <c r="AJ381" i="2"/>
  <c r="AI381" i="2"/>
  <c r="AH381" i="2"/>
  <c r="AG381" i="2"/>
  <c r="AF381" i="2"/>
  <c r="AE381" i="2"/>
  <c r="AD381" i="2"/>
  <c r="AC381" i="2"/>
  <c r="AB381" i="2"/>
  <c r="AA381" i="2"/>
  <c r="Z381" i="2"/>
  <c r="Y381" i="2"/>
  <c r="X381" i="2"/>
  <c r="W381" i="2"/>
  <c r="V381" i="2"/>
  <c r="U381" i="2"/>
  <c r="T381" i="2"/>
  <c r="S381" i="2"/>
  <c r="R381" i="2"/>
  <c r="Q381" i="2"/>
  <c r="P381" i="2"/>
  <c r="O381" i="2"/>
  <c r="N381" i="2"/>
  <c r="M381" i="2"/>
  <c r="L381" i="2"/>
  <c r="K381" i="2"/>
  <c r="J381" i="2"/>
  <c r="I381" i="2"/>
  <c r="H381" i="2"/>
  <c r="G381" i="2"/>
  <c r="F381" i="2"/>
  <c r="E381" i="2"/>
  <c r="D381" i="2"/>
  <c r="C381" i="2"/>
  <c r="BF380" i="2"/>
  <c r="BE380" i="2"/>
  <c r="BD380" i="2"/>
  <c r="BC380" i="2"/>
  <c r="BB380" i="2"/>
  <c r="BA380" i="2"/>
  <c r="AZ380" i="2"/>
  <c r="AY380" i="2"/>
  <c r="AX380" i="2"/>
  <c r="AW380" i="2"/>
  <c r="AV380" i="2"/>
  <c r="AU380" i="2"/>
  <c r="AT380" i="2"/>
  <c r="AS380" i="2"/>
  <c r="AR380" i="2"/>
  <c r="AQ380" i="2"/>
  <c r="AP380" i="2"/>
  <c r="AO380" i="2"/>
  <c r="AN380" i="2"/>
  <c r="AM380" i="2"/>
  <c r="AL380" i="2"/>
  <c r="AK380" i="2"/>
  <c r="AJ380" i="2"/>
  <c r="AI380" i="2"/>
  <c r="AH380" i="2"/>
  <c r="AG380" i="2"/>
  <c r="AF380" i="2"/>
  <c r="AE380" i="2"/>
  <c r="AD380" i="2"/>
  <c r="AC380" i="2"/>
  <c r="AB380" i="2"/>
  <c r="AA380" i="2"/>
  <c r="Z380" i="2"/>
  <c r="Y380" i="2"/>
  <c r="X380" i="2"/>
  <c r="W380" i="2"/>
  <c r="V380" i="2"/>
  <c r="U380" i="2"/>
  <c r="T380" i="2"/>
  <c r="S380" i="2"/>
  <c r="R380" i="2"/>
  <c r="Q380" i="2"/>
  <c r="P380" i="2"/>
  <c r="O380" i="2"/>
  <c r="N380" i="2"/>
  <c r="M380" i="2"/>
  <c r="L380" i="2"/>
  <c r="K380" i="2"/>
  <c r="J380" i="2"/>
  <c r="I380" i="2"/>
  <c r="H380" i="2"/>
  <c r="G380" i="2"/>
  <c r="F380" i="2"/>
  <c r="E380" i="2"/>
  <c r="D380" i="2"/>
  <c r="C380" i="2"/>
  <c r="BF377" i="2"/>
  <c r="BE377" i="2"/>
  <c r="BD377" i="2"/>
  <c r="BC377" i="2"/>
  <c r="BB377" i="2"/>
  <c r="BA377" i="2"/>
  <c r="AZ377" i="2"/>
  <c r="AY377" i="2"/>
  <c r="AX377" i="2"/>
  <c r="AW377" i="2"/>
  <c r="AV377" i="2"/>
  <c r="AU377" i="2"/>
  <c r="AT377" i="2"/>
  <c r="AS377" i="2"/>
  <c r="AR377" i="2"/>
  <c r="AQ377" i="2"/>
  <c r="AP377" i="2"/>
  <c r="AO377" i="2"/>
  <c r="AN377" i="2"/>
  <c r="AM377" i="2"/>
  <c r="AL377" i="2"/>
  <c r="AK377" i="2"/>
  <c r="AJ377" i="2"/>
  <c r="AI377" i="2"/>
  <c r="AH377" i="2"/>
  <c r="AG377" i="2"/>
  <c r="AF377" i="2"/>
  <c r="AE377" i="2"/>
  <c r="AD377" i="2"/>
  <c r="AC377" i="2"/>
  <c r="AB377" i="2"/>
  <c r="AA377" i="2"/>
  <c r="Z377" i="2"/>
  <c r="Y377" i="2"/>
  <c r="X377" i="2"/>
  <c r="W377" i="2"/>
  <c r="V377" i="2"/>
  <c r="U377" i="2"/>
  <c r="T377" i="2"/>
  <c r="S377" i="2"/>
  <c r="R377" i="2"/>
  <c r="Q377" i="2"/>
  <c r="P377" i="2"/>
  <c r="O377" i="2"/>
  <c r="N377" i="2"/>
  <c r="M377" i="2"/>
  <c r="L377" i="2"/>
  <c r="K377" i="2"/>
  <c r="J377" i="2"/>
  <c r="I377" i="2"/>
  <c r="H377" i="2"/>
  <c r="G377" i="2"/>
  <c r="F377" i="2"/>
  <c r="E377" i="2"/>
  <c r="D377" i="2"/>
  <c r="C377" i="2"/>
  <c r="BF376" i="2"/>
  <c r="BE376" i="2"/>
  <c r="BD376" i="2"/>
  <c r="BC376" i="2"/>
  <c r="BB376" i="2"/>
  <c r="BA376" i="2"/>
  <c r="AZ376" i="2"/>
  <c r="AY376" i="2"/>
  <c r="AX376" i="2"/>
  <c r="AW376" i="2"/>
  <c r="AV376" i="2"/>
  <c r="AU376" i="2"/>
  <c r="AT376" i="2"/>
  <c r="AS376" i="2"/>
  <c r="AR376" i="2"/>
  <c r="AQ376" i="2"/>
  <c r="AP376" i="2"/>
  <c r="AO376" i="2"/>
  <c r="AN376" i="2"/>
  <c r="AM376" i="2"/>
  <c r="AL376" i="2"/>
  <c r="AK376" i="2"/>
  <c r="AJ376" i="2"/>
  <c r="AI376" i="2"/>
  <c r="AH376" i="2"/>
  <c r="AG376" i="2"/>
  <c r="AF376" i="2"/>
  <c r="AE376" i="2"/>
  <c r="AD376" i="2"/>
  <c r="AC376" i="2"/>
  <c r="AB376" i="2"/>
  <c r="AA376" i="2"/>
  <c r="Z376" i="2"/>
  <c r="Y376" i="2"/>
  <c r="X376" i="2"/>
  <c r="W376" i="2"/>
  <c r="V376" i="2"/>
  <c r="U376" i="2"/>
  <c r="T376" i="2"/>
  <c r="S376" i="2"/>
  <c r="R376" i="2"/>
  <c r="Q376" i="2"/>
  <c r="P376" i="2"/>
  <c r="O376" i="2"/>
  <c r="N376" i="2"/>
  <c r="M376" i="2"/>
  <c r="L376" i="2"/>
  <c r="K376" i="2"/>
  <c r="J376" i="2"/>
  <c r="I376" i="2"/>
  <c r="H376" i="2"/>
  <c r="G376" i="2"/>
  <c r="F376" i="2"/>
  <c r="E376" i="2"/>
  <c r="D376" i="2"/>
  <c r="C376" i="2"/>
  <c r="BF375" i="2"/>
  <c r="BE375" i="2"/>
  <c r="BD375" i="2"/>
  <c r="BC375" i="2"/>
  <c r="BB375" i="2"/>
  <c r="BA375" i="2"/>
  <c r="AZ375" i="2"/>
  <c r="AY375" i="2"/>
  <c r="AX375" i="2"/>
  <c r="AW375" i="2"/>
  <c r="AV375" i="2"/>
  <c r="AU375" i="2"/>
  <c r="AT375" i="2"/>
  <c r="AS375" i="2"/>
  <c r="AR375" i="2"/>
  <c r="AQ375" i="2"/>
  <c r="AP375" i="2"/>
  <c r="AO375" i="2"/>
  <c r="AN375" i="2"/>
  <c r="AM375" i="2"/>
  <c r="AL375" i="2"/>
  <c r="AK375" i="2"/>
  <c r="AJ375" i="2"/>
  <c r="AI375" i="2"/>
  <c r="AH375" i="2"/>
  <c r="AG375" i="2"/>
  <c r="AF375" i="2"/>
  <c r="AE375" i="2"/>
  <c r="AD375" i="2"/>
  <c r="AC375" i="2"/>
  <c r="AB375" i="2"/>
  <c r="AA375" i="2"/>
  <c r="Z375" i="2"/>
  <c r="Y375" i="2"/>
  <c r="X375" i="2"/>
  <c r="W375" i="2"/>
  <c r="V375" i="2"/>
  <c r="U375" i="2"/>
  <c r="T375" i="2"/>
  <c r="S375" i="2"/>
  <c r="R375" i="2"/>
  <c r="Q375" i="2"/>
  <c r="P375" i="2"/>
  <c r="O375" i="2"/>
  <c r="N375" i="2"/>
  <c r="M375" i="2"/>
  <c r="L375" i="2"/>
  <c r="K375" i="2"/>
  <c r="J375" i="2"/>
  <c r="I375" i="2"/>
  <c r="H375" i="2"/>
  <c r="G375" i="2"/>
  <c r="F375" i="2"/>
  <c r="E375" i="2"/>
  <c r="D375" i="2"/>
  <c r="C375" i="2"/>
  <c r="BF374" i="2"/>
  <c r="BE374" i="2"/>
  <c r="BD374" i="2"/>
  <c r="BC374" i="2"/>
  <c r="BB374" i="2"/>
  <c r="BA374" i="2"/>
  <c r="AZ374" i="2"/>
  <c r="AY374" i="2"/>
  <c r="AX374" i="2"/>
  <c r="AW374" i="2"/>
  <c r="AV374" i="2"/>
  <c r="AU374" i="2"/>
  <c r="AT374" i="2"/>
  <c r="AS374" i="2"/>
  <c r="AR374" i="2"/>
  <c r="AQ374" i="2"/>
  <c r="AP374" i="2"/>
  <c r="AO374" i="2"/>
  <c r="AN374" i="2"/>
  <c r="AM374" i="2"/>
  <c r="AL374" i="2"/>
  <c r="AK374" i="2"/>
  <c r="AJ374" i="2"/>
  <c r="AI374" i="2"/>
  <c r="AH374" i="2"/>
  <c r="AG374" i="2"/>
  <c r="AF374" i="2"/>
  <c r="AE374" i="2"/>
  <c r="AD374" i="2"/>
  <c r="AC374" i="2"/>
  <c r="AB374" i="2"/>
  <c r="AA374" i="2"/>
  <c r="Z374" i="2"/>
  <c r="Y374" i="2"/>
  <c r="X374" i="2"/>
  <c r="W374" i="2"/>
  <c r="V374" i="2"/>
  <c r="U374" i="2"/>
  <c r="T374" i="2"/>
  <c r="S374" i="2"/>
  <c r="R374" i="2"/>
  <c r="Q374" i="2"/>
  <c r="P374" i="2"/>
  <c r="O374" i="2"/>
  <c r="N374" i="2"/>
  <c r="M374" i="2"/>
  <c r="L374" i="2"/>
  <c r="K374" i="2"/>
  <c r="J374" i="2"/>
  <c r="I374" i="2"/>
  <c r="H374" i="2"/>
  <c r="G374" i="2"/>
  <c r="F374" i="2"/>
  <c r="E374" i="2"/>
  <c r="D374" i="2"/>
  <c r="C374" i="2"/>
  <c r="BF373" i="2"/>
  <c r="BE373" i="2"/>
  <c r="BD373" i="2"/>
  <c r="BC373" i="2"/>
  <c r="BB373" i="2"/>
  <c r="BA373" i="2"/>
  <c r="AZ373" i="2"/>
  <c r="AY373" i="2"/>
  <c r="AX373" i="2"/>
  <c r="AW373" i="2"/>
  <c r="AV373" i="2"/>
  <c r="AU373" i="2"/>
  <c r="AT373" i="2"/>
  <c r="AS373" i="2"/>
  <c r="AR373" i="2"/>
  <c r="AQ373" i="2"/>
  <c r="AP373" i="2"/>
  <c r="AO373" i="2"/>
  <c r="AN373" i="2"/>
  <c r="AM373" i="2"/>
  <c r="AL373" i="2"/>
  <c r="AK373" i="2"/>
  <c r="AJ373" i="2"/>
  <c r="AI373" i="2"/>
  <c r="AH373" i="2"/>
  <c r="AG373" i="2"/>
  <c r="AF373" i="2"/>
  <c r="AE373" i="2"/>
  <c r="AD373" i="2"/>
  <c r="AC373" i="2"/>
  <c r="AB373" i="2"/>
  <c r="AA373" i="2"/>
  <c r="Z373" i="2"/>
  <c r="Y373" i="2"/>
  <c r="X373" i="2"/>
  <c r="W373" i="2"/>
  <c r="V373" i="2"/>
  <c r="U373" i="2"/>
  <c r="T373" i="2"/>
  <c r="S373" i="2"/>
  <c r="R373" i="2"/>
  <c r="Q373" i="2"/>
  <c r="P373" i="2"/>
  <c r="O373" i="2"/>
  <c r="N373" i="2"/>
  <c r="M373" i="2"/>
  <c r="L373" i="2"/>
  <c r="K373" i="2"/>
  <c r="J373" i="2"/>
  <c r="I373" i="2"/>
  <c r="H373" i="2"/>
  <c r="G373" i="2"/>
  <c r="F373" i="2"/>
  <c r="E373" i="2"/>
  <c r="D373" i="2"/>
  <c r="C373" i="2"/>
  <c r="BF372" i="2"/>
  <c r="BE372" i="2"/>
  <c r="BD372" i="2"/>
  <c r="BC372" i="2"/>
  <c r="BB372" i="2"/>
  <c r="BA372" i="2"/>
  <c r="AZ372" i="2"/>
  <c r="AY372" i="2"/>
  <c r="AX372" i="2"/>
  <c r="AW372" i="2"/>
  <c r="AV372" i="2"/>
  <c r="AU372" i="2"/>
  <c r="AT372" i="2"/>
  <c r="AS372" i="2"/>
  <c r="AR372" i="2"/>
  <c r="AQ372" i="2"/>
  <c r="AP372" i="2"/>
  <c r="AO372" i="2"/>
  <c r="AN372" i="2"/>
  <c r="AM372" i="2"/>
  <c r="AL372" i="2"/>
  <c r="AK372" i="2"/>
  <c r="AJ372" i="2"/>
  <c r="AI372" i="2"/>
  <c r="AH372" i="2"/>
  <c r="AG372" i="2"/>
  <c r="AF372" i="2"/>
  <c r="AE372" i="2"/>
  <c r="AD372" i="2"/>
  <c r="AC372" i="2"/>
  <c r="AB372" i="2"/>
  <c r="AA372" i="2"/>
  <c r="Z372" i="2"/>
  <c r="Y372" i="2"/>
  <c r="X372" i="2"/>
  <c r="W372" i="2"/>
  <c r="V372" i="2"/>
  <c r="U372" i="2"/>
  <c r="T372" i="2"/>
  <c r="S372" i="2"/>
  <c r="R372" i="2"/>
  <c r="Q372" i="2"/>
  <c r="P372" i="2"/>
  <c r="O372" i="2"/>
  <c r="N372" i="2"/>
  <c r="M372" i="2"/>
  <c r="L372" i="2"/>
  <c r="K372" i="2"/>
  <c r="J372" i="2"/>
  <c r="I372" i="2"/>
  <c r="H372" i="2"/>
  <c r="G372" i="2"/>
  <c r="F372" i="2"/>
  <c r="E372" i="2"/>
  <c r="D372" i="2"/>
  <c r="C372" i="2"/>
  <c r="BF371" i="2"/>
  <c r="BE371" i="2"/>
  <c r="BD371" i="2"/>
  <c r="BC371" i="2"/>
  <c r="BB371" i="2"/>
  <c r="BA371" i="2"/>
  <c r="AZ371" i="2"/>
  <c r="AY371" i="2"/>
  <c r="AX371" i="2"/>
  <c r="AW371" i="2"/>
  <c r="AV371" i="2"/>
  <c r="AU371" i="2"/>
  <c r="AT371" i="2"/>
  <c r="AS371" i="2"/>
  <c r="AR371" i="2"/>
  <c r="AQ371" i="2"/>
  <c r="AP371" i="2"/>
  <c r="AO371" i="2"/>
  <c r="AN371" i="2"/>
  <c r="AM371" i="2"/>
  <c r="AL371" i="2"/>
  <c r="AK371" i="2"/>
  <c r="AJ371" i="2"/>
  <c r="AI371" i="2"/>
  <c r="AH371" i="2"/>
  <c r="AG371" i="2"/>
  <c r="AF371" i="2"/>
  <c r="AE371" i="2"/>
  <c r="AD371" i="2"/>
  <c r="AC371" i="2"/>
  <c r="AB371" i="2"/>
  <c r="AA371" i="2"/>
  <c r="Z371" i="2"/>
  <c r="Y371" i="2"/>
  <c r="X371" i="2"/>
  <c r="W371" i="2"/>
  <c r="V371" i="2"/>
  <c r="U371" i="2"/>
  <c r="T371" i="2"/>
  <c r="S371" i="2"/>
  <c r="R371" i="2"/>
  <c r="Q371" i="2"/>
  <c r="P371" i="2"/>
  <c r="O371" i="2"/>
  <c r="N371" i="2"/>
  <c r="M371" i="2"/>
  <c r="L371" i="2"/>
  <c r="K371" i="2"/>
  <c r="J371" i="2"/>
  <c r="I371" i="2"/>
  <c r="H371" i="2"/>
  <c r="G371" i="2"/>
  <c r="F371" i="2"/>
  <c r="E371" i="2"/>
  <c r="D371" i="2"/>
  <c r="C371" i="2"/>
  <c r="BF306" i="2"/>
  <c r="BE306" i="2"/>
  <c r="BD306" i="2"/>
  <c r="BC306" i="2"/>
  <c r="BB306" i="2"/>
  <c r="BA306" i="2"/>
  <c r="AZ306" i="2"/>
  <c r="AY306" i="2"/>
  <c r="AX306" i="2"/>
  <c r="AW306" i="2"/>
  <c r="AV306" i="2"/>
  <c r="AU306" i="2"/>
  <c r="AT306" i="2"/>
  <c r="AS306" i="2"/>
  <c r="AR306" i="2"/>
  <c r="AQ306" i="2"/>
  <c r="AP306" i="2"/>
  <c r="AO306" i="2"/>
  <c r="AN306" i="2"/>
  <c r="AM306" i="2"/>
  <c r="AL306" i="2"/>
  <c r="AK306" i="2"/>
  <c r="AJ306" i="2"/>
  <c r="AI306" i="2"/>
  <c r="AH306" i="2"/>
  <c r="AG306" i="2"/>
  <c r="AF306" i="2"/>
  <c r="AE306" i="2"/>
  <c r="AD306" i="2"/>
  <c r="AC306" i="2"/>
  <c r="AB306" i="2"/>
  <c r="AA306" i="2"/>
  <c r="Z306" i="2"/>
  <c r="Y306" i="2"/>
  <c r="X306" i="2"/>
  <c r="W306" i="2"/>
  <c r="V306" i="2"/>
  <c r="U306" i="2"/>
  <c r="T306" i="2"/>
  <c r="S306" i="2"/>
  <c r="R306" i="2"/>
  <c r="Q306" i="2"/>
  <c r="P306" i="2"/>
  <c r="O306" i="2"/>
  <c r="N306" i="2"/>
  <c r="M306" i="2"/>
  <c r="L306" i="2"/>
  <c r="K306" i="2"/>
  <c r="J306" i="2"/>
  <c r="I306" i="2"/>
  <c r="H306" i="2"/>
  <c r="G306" i="2"/>
  <c r="F306" i="2"/>
  <c r="E306" i="2"/>
  <c r="D306" i="2"/>
  <c r="C306" i="2"/>
  <c r="BF305" i="2"/>
  <c r="BE305" i="2"/>
  <c r="BD305" i="2"/>
  <c r="BC305" i="2"/>
  <c r="BB305" i="2"/>
  <c r="BA305" i="2"/>
  <c r="AZ305" i="2"/>
  <c r="AY305" i="2"/>
  <c r="AX305" i="2"/>
  <c r="AW305" i="2"/>
  <c r="AV305" i="2"/>
  <c r="AU305" i="2"/>
  <c r="AT305" i="2"/>
  <c r="AS305" i="2"/>
  <c r="AR305" i="2"/>
  <c r="AQ305" i="2"/>
  <c r="AP305" i="2"/>
  <c r="AO305" i="2"/>
  <c r="AN305" i="2"/>
  <c r="AM305" i="2"/>
  <c r="AL305" i="2"/>
  <c r="AK305" i="2"/>
  <c r="AJ305" i="2"/>
  <c r="AI305" i="2"/>
  <c r="AH305" i="2"/>
  <c r="AG305" i="2"/>
  <c r="AF305" i="2"/>
  <c r="AE305" i="2"/>
  <c r="AD305" i="2"/>
  <c r="AC305" i="2"/>
  <c r="AB305" i="2"/>
  <c r="AA305" i="2"/>
  <c r="Z305" i="2"/>
  <c r="Y305" i="2"/>
  <c r="X305" i="2"/>
  <c r="W305" i="2"/>
  <c r="V305" i="2"/>
  <c r="U305" i="2"/>
  <c r="T305" i="2"/>
  <c r="S305" i="2"/>
  <c r="R305" i="2"/>
  <c r="Q305" i="2"/>
  <c r="P305" i="2"/>
  <c r="O305" i="2"/>
  <c r="N305" i="2"/>
  <c r="M305" i="2"/>
  <c r="L305" i="2"/>
  <c r="K305" i="2"/>
  <c r="J305" i="2"/>
  <c r="I305" i="2"/>
  <c r="H305" i="2"/>
  <c r="G305" i="2"/>
  <c r="F305" i="2"/>
  <c r="E305" i="2"/>
  <c r="D305" i="2"/>
  <c r="C305" i="2"/>
  <c r="BF304" i="2"/>
  <c r="BE304" i="2"/>
  <c r="BD304" i="2"/>
  <c r="BC304" i="2"/>
  <c r="BB304" i="2"/>
  <c r="BA304" i="2"/>
  <c r="AZ304" i="2"/>
  <c r="AY304" i="2"/>
  <c r="AX304" i="2"/>
  <c r="AW304" i="2"/>
  <c r="AV304" i="2"/>
  <c r="AU304" i="2"/>
  <c r="AT304" i="2"/>
  <c r="AS304" i="2"/>
  <c r="AR304" i="2"/>
  <c r="AQ304" i="2"/>
  <c r="AP304" i="2"/>
  <c r="AO304" i="2"/>
  <c r="AN304" i="2"/>
  <c r="AM304" i="2"/>
  <c r="AL304" i="2"/>
  <c r="AK304" i="2"/>
  <c r="AJ304" i="2"/>
  <c r="AI304" i="2"/>
  <c r="AH304" i="2"/>
  <c r="AG304" i="2"/>
  <c r="AF304" i="2"/>
  <c r="AE304" i="2"/>
  <c r="AD304" i="2"/>
  <c r="AC304" i="2"/>
  <c r="AB304" i="2"/>
  <c r="AA304" i="2"/>
  <c r="Z304" i="2"/>
  <c r="Y304" i="2"/>
  <c r="X304" i="2"/>
  <c r="W304" i="2"/>
  <c r="V304" i="2"/>
  <c r="U304" i="2"/>
  <c r="T304" i="2"/>
  <c r="S304" i="2"/>
  <c r="R304" i="2"/>
  <c r="Q304" i="2"/>
  <c r="P304" i="2"/>
  <c r="O304" i="2"/>
  <c r="N304" i="2"/>
  <c r="M304" i="2"/>
  <c r="L304" i="2"/>
  <c r="K304" i="2"/>
  <c r="J304" i="2"/>
  <c r="I304" i="2"/>
  <c r="H304" i="2"/>
  <c r="G304" i="2"/>
  <c r="F304" i="2"/>
  <c r="E304" i="2"/>
  <c r="D304" i="2"/>
  <c r="C304" i="2"/>
  <c r="BF303" i="2"/>
  <c r="BE303" i="2"/>
  <c r="BD303" i="2"/>
  <c r="BC303" i="2"/>
  <c r="BB303" i="2"/>
  <c r="BA303" i="2"/>
  <c r="AZ303" i="2"/>
  <c r="AY303" i="2"/>
  <c r="AX303" i="2"/>
  <c r="AW303" i="2"/>
  <c r="AV303" i="2"/>
  <c r="AU303" i="2"/>
  <c r="AT303" i="2"/>
  <c r="AS303" i="2"/>
  <c r="AR303" i="2"/>
  <c r="AQ303" i="2"/>
  <c r="AP303" i="2"/>
  <c r="AO303" i="2"/>
  <c r="AN303" i="2"/>
  <c r="AM303" i="2"/>
  <c r="AL303" i="2"/>
  <c r="AK303" i="2"/>
  <c r="AJ303" i="2"/>
  <c r="AI303" i="2"/>
  <c r="AH303" i="2"/>
  <c r="AG303" i="2"/>
  <c r="AF303" i="2"/>
  <c r="AE303" i="2"/>
  <c r="AD303" i="2"/>
  <c r="AC303" i="2"/>
  <c r="AB303" i="2"/>
  <c r="AA303" i="2"/>
  <c r="Z303" i="2"/>
  <c r="Y303" i="2"/>
  <c r="X303" i="2"/>
  <c r="W303" i="2"/>
  <c r="V303" i="2"/>
  <c r="U303" i="2"/>
  <c r="T303" i="2"/>
  <c r="S303" i="2"/>
  <c r="R303" i="2"/>
  <c r="Q303" i="2"/>
  <c r="P303" i="2"/>
  <c r="O303" i="2"/>
  <c r="N303" i="2"/>
  <c r="M303" i="2"/>
  <c r="L303" i="2"/>
  <c r="K303" i="2"/>
  <c r="J303" i="2"/>
  <c r="I303" i="2"/>
  <c r="H303" i="2"/>
  <c r="G303" i="2"/>
  <c r="F303" i="2"/>
  <c r="E303" i="2"/>
  <c r="D303" i="2"/>
  <c r="C303" i="2"/>
  <c r="BF300" i="2"/>
  <c r="BE300" i="2"/>
  <c r="BD300" i="2"/>
  <c r="BC300" i="2"/>
  <c r="BB300" i="2"/>
  <c r="BA300" i="2"/>
  <c r="AZ300" i="2"/>
  <c r="AY300" i="2"/>
  <c r="AX300" i="2"/>
  <c r="AW300" i="2"/>
  <c r="AV300" i="2"/>
  <c r="AU300" i="2"/>
  <c r="AT300" i="2"/>
  <c r="AS300" i="2"/>
  <c r="AR300" i="2"/>
  <c r="AQ300" i="2"/>
  <c r="AP300" i="2"/>
  <c r="AO300" i="2"/>
  <c r="AN300" i="2"/>
  <c r="AM300" i="2"/>
  <c r="AL300" i="2"/>
  <c r="AK300" i="2"/>
  <c r="AJ300" i="2"/>
  <c r="AI300" i="2"/>
  <c r="AH300" i="2"/>
  <c r="AG300" i="2"/>
  <c r="AF300" i="2"/>
  <c r="AE300" i="2"/>
  <c r="AD300" i="2"/>
  <c r="AC300" i="2"/>
  <c r="AB300" i="2"/>
  <c r="AA300" i="2"/>
  <c r="Z300" i="2"/>
  <c r="Y300" i="2"/>
  <c r="X300" i="2"/>
  <c r="W300" i="2"/>
  <c r="V300" i="2"/>
  <c r="U300" i="2"/>
  <c r="T300" i="2"/>
  <c r="S300" i="2"/>
  <c r="R300" i="2"/>
  <c r="Q300" i="2"/>
  <c r="P300" i="2"/>
  <c r="O300" i="2"/>
  <c r="N300" i="2"/>
  <c r="M300" i="2"/>
  <c r="L300" i="2"/>
  <c r="K300" i="2"/>
  <c r="J300" i="2"/>
  <c r="I300" i="2"/>
  <c r="H300" i="2"/>
  <c r="G300" i="2"/>
  <c r="F300" i="2"/>
  <c r="E300" i="2"/>
  <c r="D300" i="2"/>
  <c r="C300" i="2"/>
  <c r="BF299" i="2"/>
  <c r="BE299" i="2"/>
  <c r="BD299" i="2"/>
  <c r="BC299" i="2"/>
  <c r="BB299" i="2"/>
  <c r="BA299" i="2"/>
  <c r="AZ299" i="2"/>
  <c r="AY299" i="2"/>
  <c r="AX299" i="2"/>
  <c r="AW299" i="2"/>
  <c r="AV299" i="2"/>
  <c r="AU299" i="2"/>
  <c r="AT299" i="2"/>
  <c r="AS299" i="2"/>
  <c r="AR299" i="2"/>
  <c r="AQ299" i="2"/>
  <c r="AP299" i="2"/>
  <c r="AO299" i="2"/>
  <c r="AN299" i="2"/>
  <c r="AM299" i="2"/>
  <c r="AL299" i="2"/>
  <c r="AK299" i="2"/>
  <c r="AJ299" i="2"/>
  <c r="AI299" i="2"/>
  <c r="AH299" i="2"/>
  <c r="AG299" i="2"/>
  <c r="AF299" i="2"/>
  <c r="AE299" i="2"/>
  <c r="AD299" i="2"/>
  <c r="AC299" i="2"/>
  <c r="AB299" i="2"/>
  <c r="AA299" i="2"/>
  <c r="Z299" i="2"/>
  <c r="Y299" i="2"/>
  <c r="X299" i="2"/>
  <c r="W299" i="2"/>
  <c r="V299" i="2"/>
  <c r="U299" i="2"/>
  <c r="T299" i="2"/>
  <c r="S299" i="2"/>
  <c r="R299" i="2"/>
  <c r="Q299" i="2"/>
  <c r="P299" i="2"/>
  <c r="O299" i="2"/>
  <c r="N299" i="2"/>
  <c r="M299" i="2"/>
  <c r="L299" i="2"/>
  <c r="K299" i="2"/>
  <c r="J299" i="2"/>
  <c r="I299" i="2"/>
  <c r="H299" i="2"/>
  <c r="G299" i="2"/>
  <c r="F299" i="2"/>
  <c r="E299" i="2"/>
  <c r="D299" i="2"/>
  <c r="C299" i="2"/>
  <c r="BF298" i="2"/>
  <c r="BE298" i="2"/>
  <c r="BD298" i="2"/>
  <c r="BC298" i="2"/>
  <c r="BB298" i="2"/>
  <c r="BA298" i="2"/>
  <c r="AZ298" i="2"/>
  <c r="AY298" i="2"/>
  <c r="AX298" i="2"/>
  <c r="AW298" i="2"/>
  <c r="AV298" i="2"/>
  <c r="AU298" i="2"/>
  <c r="AT298" i="2"/>
  <c r="AS298" i="2"/>
  <c r="AR298" i="2"/>
  <c r="AQ298" i="2"/>
  <c r="AP298" i="2"/>
  <c r="AO298" i="2"/>
  <c r="AN298" i="2"/>
  <c r="AM298" i="2"/>
  <c r="AL298" i="2"/>
  <c r="AK298" i="2"/>
  <c r="AJ298" i="2"/>
  <c r="AI298" i="2"/>
  <c r="AH298" i="2"/>
  <c r="AG298" i="2"/>
  <c r="AF298" i="2"/>
  <c r="AE298" i="2"/>
  <c r="AD298" i="2"/>
  <c r="AC298" i="2"/>
  <c r="AB298" i="2"/>
  <c r="AA298" i="2"/>
  <c r="Z298" i="2"/>
  <c r="Y298" i="2"/>
  <c r="X298" i="2"/>
  <c r="W298" i="2"/>
  <c r="V298" i="2"/>
  <c r="U298" i="2"/>
  <c r="T298" i="2"/>
  <c r="S298" i="2"/>
  <c r="R298" i="2"/>
  <c r="Q298" i="2"/>
  <c r="P298" i="2"/>
  <c r="O298" i="2"/>
  <c r="N298" i="2"/>
  <c r="M298" i="2"/>
  <c r="L298" i="2"/>
  <c r="K298" i="2"/>
  <c r="J298" i="2"/>
  <c r="I298" i="2"/>
  <c r="H298" i="2"/>
  <c r="G298" i="2"/>
  <c r="F298" i="2"/>
  <c r="E298" i="2"/>
  <c r="D298" i="2"/>
  <c r="C298" i="2"/>
  <c r="BF297" i="2"/>
  <c r="BE297" i="2"/>
  <c r="BD297" i="2"/>
  <c r="BC297" i="2"/>
  <c r="BB297" i="2"/>
  <c r="BA297" i="2"/>
  <c r="AZ297" i="2"/>
  <c r="AY297" i="2"/>
  <c r="AX297" i="2"/>
  <c r="AW297" i="2"/>
  <c r="AV297" i="2"/>
  <c r="AU297" i="2"/>
  <c r="AT297" i="2"/>
  <c r="AS297" i="2"/>
  <c r="AR297" i="2"/>
  <c r="AQ297" i="2"/>
  <c r="AP297" i="2"/>
  <c r="AO297" i="2"/>
  <c r="AN297" i="2"/>
  <c r="AM297" i="2"/>
  <c r="AL297" i="2"/>
  <c r="AK297" i="2"/>
  <c r="AJ297" i="2"/>
  <c r="AI297" i="2"/>
  <c r="AH297" i="2"/>
  <c r="AG297" i="2"/>
  <c r="AF297" i="2"/>
  <c r="AE297" i="2"/>
  <c r="AD297" i="2"/>
  <c r="AC297" i="2"/>
  <c r="AB297" i="2"/>
  <c r="AA297" i="2"/>
  <c r="Z297" i="2"/>
  <c r="Y297" i="2"/>
  <c r="X297" i="2"/>
  <c r="W297" i="2"/>
  <c r="V297" i="2"/>
  <c r="U297" i="2"/>
  <c r="T297" i="2"/>
  <c r="S297" i="2"/>
  <c r="R297" i="2"/>
  <c r="Q297" i="2"/>
  <c r="P297" i="2"/>
  <c r="O297" i="2"/>
  <c r="N297" i="2"/>
  <c r="M297" i="2"/>
  <c r="L297" i="2"/>
  <c r="K297" i="2"/>
  <c r="J297" i="2"/>
  <c r="I297" i="2"/>
  <c r="H297" i="2"/>
  <c r="G297" i="2"/>
  <c r="F297" i="2"/>
  <c r="E297" i="2"/>
  <c r="D297" i="2"/>
  <c r="C297" i="2"/>
  <c r="BF277" i="2"/>
  <c r="BE277" i="2"/>
  <c r="BD277" i="2"/>
  <c r="BC277" i="2"/>
  <c r="BB277" i="2"/>
  <c r="BA277" i="2"/>
  <c r="AZ277" i="2"/>
  <c r="AY277" i="2"/>
  <c r="AX277" i="2"/>
  <c r="AW277" i="2"/>
  <c r="AV277" i="2"/>
  <c r="AU277" i="2"/>
  <c r="AT277" i="2"/>
  <c r="AS277" i="2"/>
  <c r="AR277" i="2"/>
  <c r="AQ277" i="2"/>
  <c r="AP277" i="2"/>
  <c r="AO277" i="2"/>
  <c r="AN277" i="2"/>
  <c r="AM277" i="2"/>
  <c r="AL277" i="2"/>
  <c r="AK277" i="2"/>
  <c r="AJ277" i="2"/>
  <c r="AI277" i="2"/>
  <c r="AH277" i="2"/>
  <c r="AG277" i="2"/>
  <c r="AF277" i="2"/>
  <c r="AE277" i="2"/>
  <c r="AD277" i="2"/>
  <c r="AC277" i="2"/>
  <c r="AB277" i="2"/>
  <c r="AA277" i="2"/>
  <c r="Z277" i="2"/>
  <c r="Y277" i="2"/>
  <c r="X277" i="2"/>
  <c r="W277" i="2"/>
  <c r="V277" i="2"/>
  <c r="U277" i="2"/>
  <c r="T277" i="2"/>
  <c r="S277" i="2"/>
  <c r="R277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BF276" i="2"/>
  <c r="BE276" i="2"/>
  <c r="BD276" i="2"/>
  <c r="BC276" i="2"/>
  <c r="BB276" i="2"/>
  <c r="BA276" i="2"/>
  <c r="AZ276" i="2"/>
  <c r="AY276" i="2"/>
  <c r="AX276" i="2"/>
  <c r="AW276" i="2"/>
  <c r="AV276" i="2"/>
  <c r="AU276" i="2"/>
  <c r="AT276" i="2"/>
  <c r="AS276" i="2"/>
  <c r="AR276" i="2"/>
  <c r="AQ276" i="2"/>
  <c r="AP276" i="2"/>
  <c r="AO276" i="2"/>
  <c r="AN276" i="2"/>
  <c r="AM276" i="2"/>
  <c r="AL276" i="2"/>
  <c r="AK276" i="2"/>
  <c r="AJ276" i="2"/>
  <c r="AI276" i="2"/>
  <c r="AH276" i="2"/>
  <c r="AG276" i="2"/>
  <c r="AF276" i="2"/>
  <c r="AE276" i="2"/>
  <c r="AD276" i="2"/>
  <c r="AC276" i="2"/>
  <c r="AB276" i="2"/>
  <c r="AA276" i="2"/>
  <c r="Z276" i="2"/>
  <c r="Y276" i="2"/>
  <c r="X276" i="2"/>
  <c r="W276" i="2"/>
  <c r="V276" i="2"/>
  <c r="U276" i="2"/>
  <c r="T276" i="2"/>
  <c r="S276" i="2"/>
  <c r="R276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E276" i="2"/>
  <c r="D276" i="2"/>
  <c r="C276" i="2"/>
  <c r="BF275" i="2"/>
  <c r="BE275" i="2"/>
  <c r="BD275" i="2"/>
  <c r="BC275" i="2"/>
  <c r="BB275" i="2"/>
  <c r="BA275" i="2"/>
  <c r="AZ275" i="2"/>
  <c r="AY275" i="2"/>
  <c r="AX275" i="2"/>
  <c r="AW275" i="2"/>
  <c r="AV275" i="2"/>
  <c r="AU275" i="2"/>
  <c r="AT275" i="2"/>
  <c r="AS275" i="2"/>
  <c r="AR275" i="2"/>
  <c r="AQ275" i="2"/>
  <c r="AP275" i="2"/>
  <c r="AO275" i="2"/>
  <c r="AN275" i="2"/>
  <c r="AM275" i="2"/>
  <c r="AL275" i="2"/>
  <c r="AK275" i="2"/>
  <c r="AJ275" i="2"/>
  <c r="AI275" i="2"/>
  <c r="AH275" i="2"/>
  <c r="AG275" i="2"/>
  <c r="AF275" i="2"/>
  <c r="AE275" i="2"/>
  <c r="AD275" i="2"/>
  <c r="AC275" i="2"/>
  <c r="AB275" i="2"/>
  <c r="AA275" i="2"/>
  <c r="Z275" i="2"/>
  <c r="Y275" i="2"/>
  <c r="X275" i="2"/>
  <c r="W275" i="2"/>
  <c r="V275" i="2"/>
  <c r="U275" i="2"/>
  <c r="T275" i="2"/>
  <c r="S275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E275" i="2"/>
  <c r="D275" i="2"/>
  <c r="C275" i="2"/>
  <c r="BF274" i="2"/>
  <c r="BE274" i="2"/>
  <c r="BD274" i="2"/>
  <c r="BC274" i="2"/>
  <c r="BB274" i="2"/>
  <c r="BA274" i="2"/>
  <c r="AZ274" i="2"/>
  <c r="AY274" i="2"/>
  <c r="AX274" i="2"/>
  <c r="AW274" i="2"/>
  <c r="AV274" i="2"/>
  <c r="AU274" i="2"/>
  <c r="AT274" i="2"/>
  <c r="AS274" i="2"/>
  <c r="AR274" i="2"/>
  <c r="AQ274" i="2"/>
  <c r="AP274" i="2"/>
  <c r="AO274" i="2"/>
  <c r="AN274" i="2"/>
  <c r="AM274" i="2"/>
  <c r="AL274" i="2"/>
  <c r="AK274" i="2"/>
  <c r="AJ274" i="2"/>
  <c r="AI274" i="2"/>
  <c r="AH274" i="2"/>
  <c r="AG274" i="2"/>
  <c r="AF274" i="2"/>
  <c r="AE274" i="2"/>
  <c r="AD274" i="2"/>
  <c r="AC274" i="2"/>
  <c r="AB274" i="2"/>
  <c r="AA274" i="2"/>
  <c r="Z274" i="2"/>
  <c r="Y274" i="2"/>
  <c r="X274" i="2"/>
  <c r="W274" i="2"/>
  <c r="V274" i="2"/>
  <c r="U274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BF273" i="2"/>
  <c r="BE273" i="2"/>
  <c r="BD273" i="2"/>
  <c r="BC273" i="2"/>
  <c r="BB273" i="2"/>
  <c r="BA273" i="2"/>
  <c r="AZ273" i="2"/>
  <c r="AY273" i="2"/>
  <c r="AX273" i="2"/>
  <c r="AW273" i="2"/>
  <c r="AV273" i="2"/>
  <c r="AU273" i="2"/>
  <c r="AT273" i="2"/>
  <c r="AS273" i="2"/>
  <c r="AR273" i="2"/>
  <c r="AQ273" i="2"/>
  <c r="AP273" i="2"/>
  <c r="AO273" i="2"/>
  <c r="AN273" i="2"/>
  <c r="AM273" i="2"/>
  <c r="AL273" i="2"/>
  <c r="AK273" i="2"/>
  <c r="AJ273" i="2"/>
  <c r="AI273" i="2"/>
  <c r="AH273" i="2"/>
  <c r="AG273" i="2"/>
  <c r="AF273" i="2"/>
  <c r="AE273" i="2"/>
  <c r="AD273" i="2"/>
  <c r="AC273" i="2"/>
  <c r="AB273" i="2"/>
  <c r="AA273" i="2"/>
  <c r="Z273" i="2"/>
  <c r="Y273" i="2"/>
  <c r="X273" i="2"/>
  <c r="W273" i="2"/>
  <c r="V273" i="2"/>
  <c r="U273" i="2"/>
  <c r="T273" i="2"/>
  <c r="S273" i="2"/>
  <c r="R273" i="2"/>
  <c r="Q273" i="2"/>
  <c r="P273" i="2"/>
  <c r="O273" i="2"/>
  <c r="N273" i="2"/>
  <c r="M273" i="2"/>
  <c r="L273" i="2"/>
  <c r="K273" i="2"/>
  <c r="J273" i="2"/>
  <c r="I273" i="2"/>
  <c r="H273" i="2"/>
  <c r="G273" i="2"/>
  <c r="F273" i="2"/>
  <c r="E273" i="2"/>
  <c r="D273" i="2"/>
  <c r="C273" i="2"/>
  <c r="BF272" i="2"/>
  <c r="BE272" i="2"/>
  <c r="BD272" i="2"/>
  <c r="BC272" i="2"/>
  <c r="BB272" i="2"/>
  <c r="BA272" i="2"/>
  <c r="AZ272" i="2"/>
  <c r="AY272" i="2"/>
  <c r="AX272" i="2"/>
  <c r="AW272" i="2"/>
  <c r="AV272" i="2"/>
  <c r="AU272" i="2"/>
  <c r="AT272" i="2"/>
  <c r="AS272" i="2"/>
  <c r="AR272" i="2"/>
  <c r="AQ272" i="2"/>
  <c r="AP272" i="2"/>
  <c r="AO272" i="2"/>
  <c r="AN272" i="2"/>
  <c r="AM272" i="2"/>
  <c r="AL272" i="2"/>
  <c r="AK272" i="2"/>
  <c r="AJ272" i="2"/>
  <c r="AI272" i="2"/>
  <c r="AH272" i="2"/>
  <c r="AG272" i="2"/>
  <c r="AF272" i="2"/>
  <c r="AE272" i="2"/>
  <c r="AD272" i="2"/>
  <c r="AC272" i="2"/>
  <c r="AB272" i="2"/>
  <c r="AA272" i="2"/>
  <c r="Z272" i="2"/>
  <c r="Y272" i="2"/>
  <c r="X272" i="2"/>
  <c r="W272" i="2"/>
  <c r="V272" i="2"/>
  <c r="U272" i="2"/>
  <c r="T272" i="2"/>
  <c r="S272" i="2"/>
  <c r="R272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E272" i="2"/>
  <c r="D272" i="2"/>
  <c r="C272" i="2"/>
  <c r="BF271" i="2"/>
  <c r="BE271" i="2"/>
  <c r="BD271" i="2"/>
  <c r="BC271" i="2"/>
  <c r="BB271" i="2"/>
  <c r="BA271" i="2"/>
  <c r="AZ271" i="2"/>
  <c r="AY271" i="2"/>
  <c r="AX271" i="2"/>
  <c r="AW271" i="2"/>
  <c r="AV271" i="2"/>
  <c r="AU271" i="2"/>
  <c r="AT271" i="2"/>
  <c r="AS271" i="2"/>
  <c r="AR271" i="2"/>
  <c r="AQ271" i="2"/>
  <c r="AP271" i="2"/>
  <c r="AO271" i="2"/>
  <c r="AN271" i="2"/>
  <c r="AM271" i="2"/>
  <c r="AL271" i="2"/>
  <c r="AK271" i="2"/>
  <c r="AJ271" i="2"/>
  <c r="AI271" i="2"/>
  <c r="AH271" i="2"/>
  <c r="AG271" i="2"/>
  <c r="AF271" i="2"/>
  <c r="AE271" i="2"/>
  <c r="AD271" i="2"/>
  <c r="AC271" i="2"/>
  <c r="AB271" i="2"/>
  <c r="AA271" i="2"/>
  <c r="Z271" i="2"/>
  <c r="Y271" i="2"/>
  <c r="X271" i="2"/>
  <c r="W271" i="2"/>
  <c r="V271" i="2"/>
  <c r="U271" i="2"/>
  <c r="T271" i="2"/>
  <c r="S271" i="2"/>
  <c r="R271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E271" i="2"/>
  <c r="D271" i="2"/>
  <c r="C271" i="2"/>
  <c r="BF269" i="2"/>
  <c r="BE269" i="2"/>
  <c r="BD269" i="2"/>
  <c r="BC269" i="2"/>
  <c r="BB269" i="2"/>
  <c r="BA269" i="2"/>
  <c r="AZ269" i="2"/>
  <c r="AY269" i="2"/>
  <c r="AX269" i="2"/>
  <c r="AW269" i="2"/>
  <c r="AV269" i="2"/>
  <c r="AU269" i="2"/>
  <c r="AT269" i="2"/>
  <c r="AS269" i="2"/>
  <c r="AR269" i="2"/>
  <c r="AQ269" i="2"/>
  <c r="AP269" i="2"/>
  <c r="AO269" i="2"/>
  <c r="AN269" i="2"/>
  <c r="AM269" i="2"/>
  <c r="AL269" i="2"/>
  <c r="AK269" i="2"/>
  <c r="AJ269" i="2"/>
  <c r="AI269" i="2"/>
  <c r="AH269" i="2"/>
  <c r="AG269" i="2"/>
  <c r="AF269" i="2"/>
  <c r="AE269" i="2"/>
  <c r="AD269" i="2"/>
  <c r="AC269" i="2"/>
  <c r="AB269" i="2"/>
  <c r="AA269" i="2"/>
  <c r="Z269" i="2"/>
  <c r="Y269" i="2"/>
  <c r="X269" i="2"/>
  <c r="W269" i="2"/>
  <c r="V269" i="2"/>
  <c r="U269" i="2"/>
  <c r="T269" i="2"/>
  <c r="S269" i="2"/>
  <c r="R269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E269" i="2"/>
  <c r="D269" i="2"/>
  <c r="C269" i="2"/>
  <c r="BF268" i="2"/>
  <c r="BE268" i="2"/>
  <c r="BD268" i="2"/>
  <c r="BC268" i="2"/>
  <c r="BB268" i="2"/>
  <c r="BA268" i="2"/>
  <c r="AZ268" i="2"/>
  <c r="AY268" i="2"/>
  <c r="AX268" i="2"/>
  <c r="AW268" i="2"/>
  <c r="AV268" i="2"/>
  <c r="AU268" i="2"/>
  <c r="AT268" i="2"/>
  <c r="AS268" i="2"/>
  <c r="AR268" i="2"/>
  <c r="AQ268" i="2"/>
  <c r="AP268" i="2"/>
  <c r="AO268" i="2"/>
  <c r="AN268" i="2"/>
  <c r="AM268" i="2"/>
  <c r="AL268" i="2"/>
  <c r="AK268" i="2"/>
  <c r="AJ268" i="2"/>
  <c r="AI268" i="2"/>
  <c r="AH268" i="2"/>
  <c r="AG268" i="2"/>
  <c r="AF268" i="2"/>
  <c r="AE268" i="2"/>
  <c r="AD268" i="2"/>
  <c r="AC268" i="2"/>
  <c r="AB268" i="2"/>
  <c r="AA268" i="2"/>
  <c r="Z268" i="2"/>
  <c r="Y268" i="2"/>
  <c r="X268" i="2"/>
  <c r="W268" i="2"/>
  <c r="V268" i="2"/>
  <c r="U268" i="2"/>
  <c r="T268" i="2"/>
  <c r="S268" i="2"/>
  <c r="R268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BF267" i="2"/>
  <c r="BE267" i="2"/>
  <c r="BD267" i="2"/>
  <c r="BC267" i="2"/>
  <c r="BB267" i="2"/>
  <c r="BA267" i="2"/>
  <c r="AZ267" i="2"/>
  <c r="AY267" i="2"/>
  <c r="AX267" i="2"/>
  <c r="AW267" i="2"/>
  <c r="AV267" i="2"/>
  <c r="AU267" i="2"/>
  <c r="AT267" i="2"/>
  <c r="AS267" i="2"/>
  <c r="AR267" i="2"/>
  <c r="AQ267" i="2"/>
  <c r="AP267" i="2"/>
  <c r="AO267" i="2"/>
  <c r="AN267" i="2"/>
  <c r="AM267" i="2"/>
  <c r="AL267" i="2"/>
  <c r="AK267" i="2"/>
  <c r="AJ267" i="2"/>
  <c r="AI267" i="2"/>
  <c r="AH267" i="2"/>
  <c r="AG267" i="2"/>
  <c r="AF267" i="2"/>
  <c r="AE267" i="2"/>
  <c r="AD267" i="2"/>
  <c r="AC267" i="2"/>
  <c r="AB267" i="2"/>
  <c r="AA267" i="2"/>
  <c r="Z267" i="2"/>
  <c r="Y267" i="2"/>
  <c r="X267" i="2"/>
  <c r="W267" i="2"/>
  <c r="V267" i="2"/>
  <c r="U267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BF266" i="2"/>
  <c r="BE266" i="2"/>
  <c r="BD266" i="2"/>
  <c r="BC266" i="2"/>
  <c r="BB266" i="2"/>
  <c r="BA266" i="2"/>
  <c r="AZ266" i="2"/>
  <c r="AY266" i="2"/>
  <c r="AX266" i="2"/>
  <c r="AW266" i="2"/>
  <c r="AV266" i="2"/>
  <c r="AU266" i="2"/>
  <c r="AT266" i="2"/>
  <c r="AS266" i="2"/>
  <c r="AR266" i="2"/>
  <c r="AQ266" i="2"/>
  <c r="AP266" i="2"/>
  <c r="AO266" i="2"/>
  <c r="AN266" i="2"/>
  <c r="AM266" i="2"/>
  <c r="AL266" i="2"/>
  <c r="AK266" i="2"/>
  <c r="AJ266" i="2"/>
  <c r="AI266" i="2"/>
  <c r="AH266" i="2"/>
  <c r="AG266" i="2"/>
  <c r="AF266" i="2"/>
  <c r="AE266" i="2"/>
  <c r="AD266" i="2"/>
  <c r="AC266" i="2"/>
  <c r="AB266" i="2"/>
  <c r="AA266" i="2"/>
  <c r="Z266" i="2"/>
  <c r="Y266" i="2"/>
  <c r="X266" i="2"/>
  <c r="W266" i="2"/>
  <c r="V266" i="2"/>
  <c r="U266" i="2"/>
  <c r="T266" i="2"/>
  <c r="S266" i="2"/>
  <c r="R266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BF265" i="2"/>
  <c r="BE265" i="2"/>
  <c r="BD265" i="2"/>
  <c r="BC265" i="2"/>
  <c r="BB265" i="2"/>
  <c r="BA265" i="2"/>
  <c r="AZ265" i="2"/>
  <c r="AY265" i="2"/>
  <c r="AX265" i="2"/>
  <c r="AW265" i="2"/>
  <c r="AV265" i="2"/>
  <c r="AU265" i="2"/>
  <c r="AT265" i="2"/>
  <c r="AS265" i="2"/>
  <c r="AR265" i="2"/>
  <c r="AQ265" i="2"/>
  <c r="AP265" i="2"/>
  <c r="AO265" i="2"/>
  <c r="AN265" i="2"/>
  <c r="AM265" i="2"/>
  <c r="AL265" i="2"/>
  <c r="AK265" i="2"/>
  <c r="AJ265" i="2"/>
  <c r="AI265" i="2"/>
  <c r="AH265" i="2"/>
  <c r="AG265" i="2"/>
  <c r="AF265" i="2"/>
  <c r="AE265" i="2"/>
  <c r="AD265" i="2"/>
  <c r="AC265" i="2"/>
  <c r="AB265" i="2"/>
  <c r="AA265" i="2"/>
  <c r="Z265" i="2"/>
  <c r="Y265" i="2"/>
  <c r="X265" i="2"/>
  <c r="W265" i="2"/>
  <c r="V265" i="2"/>
  <c r="U265" i="2"/>
  <c r="T265" i="2"/>
  <c r="S265" i="2"/>
  <c r="R265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BF264" i="2"/>
  <c r="BE264" i="2"/>
  <c r="BD264" i="2"/>
  <c r="BC264" i="2"/>
  <c r="BB264" i="2"/>
  <c r="BA264" i="2"/>
  <c r="AZ264" i="2"/>
  <c r="AY264" i="2"/>
  <c r="AX264" i="2"/>
  <c r="AW264" i="2"/>
  <c r="AV264" i="2"/>
  <c r="AU264" i="2"/>
  <c r="AT264" i="2"/>
  <c r="AS264" i="2"/>
  <c r="AR264" i="2"/>
  <c r="AQ264" i="2"/>
  <c r="AP264" i="2"/>
  <c r="AO264" i="2"/>
  <c r="AN264" i="2"/>
  <c r="AM264" i="2"/>
  <c r="AL264" i="2"/>
  <c r="AK264" i="2"/>
  <c r="AJ264" i="2"/>
  <c r="AI264" i="2"/>
  <c r="AH264" i="2"/>
  <c r="AG264" i="2"/>
  <c r="AF264" i="2"/>
  <c r="AE264" i="2"/>
  <c r="AD264" i="2"/>
  <c r="AC264" i="2"/>
  <c r="AB264" i="2"/>
  <c r="AA264" i="2"/>
  <c r="Z264" i="2"/>
  <c r="Y264" i="2"/>
  <c r="X264" i="2"/>
  <c r="W264" i="2"/>
  <c r="V264" i="2"/>
  <c r="U264" i="2"/>
  <c r="T264" i="2"/>
  <c r="S264" i="2"/>
  <c r="R264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BF263" i="2"/>
  <c r="BE263" i="2"/>
  <c r="BD263" i="2"/>
  <c r="BC263" i="2"/>
  <c r="BB263" i="2"/>
  <c r="BA263" i="2"/>
  <c r="AZ263" i="2"/>
  <c r="AY263" i="2"/>
  <c r="AX263" i="2"/>
  <c r="AW263" i="2"/>
  <c r="AV263" i="2"/>
  <c r="AU263" i="2"/>
  <c r="AT263" i="2"/>
  <c r="AS263" i="2"/>
  <c r="AR263" i="2"/>
  <c r="AQ263" i="2"/>
  <c r="AP263" i="2"/>
  <c r="AO263" i="2"/>
  <c r="AN263" i="2"/>
  <c r="AM263" i="2"/>
  <c r="AL263" i="2"/>
  <c r="AK263" i="2"/>
  <c r="AJ263" i="2"/>
  <c r="AI263" i="2"/>
  <c r="AH263" i="2"/>
  <c r="AG263" i="2"/>
  <c r="AF263" i="2"/>
  <c r="AE263" i="2"/>
  <c r="AD263" i="2"/>
  <c r="AC263" i="2"/>
  <c r="AB263" i="2"/>
  <c r="AA263" i="2"/>
  <c r="Z263" i="2"/>
  <c r="Y263" i="2"/>
  <c r="X263" i="2"/>
  <c r="W263" i="2"/>
  <c r="V263" i="2"/>
  <c r="U263" i="2"/>
  <c r="T263" i="2"/>
  <c r="S263" i="2"/>
  <c r="R263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E263" i="2"/>
  <c r="D263" i="2"/>
  <c r="C263" i="2"/>
  <c r="BF251" i="2"/>
  <c r="BE251" i="2"/>
  <c r="BD251" i="2"/>
  <c r="BC251" i="2"/>
  <c r="BB251" i="2"/>
  <c r="BA251" i="2"/>
  <c r="AZ251" i="2"/>
  <c r="AY251" i="2"/>
  <c r="AX251" i="2"/>
  <c r="AW251" i="2"/>
  <c r="AV251" i="2"/>
  <c r="AU251" i="2"/>
  <c r="AT251" i="2"/>
  <c r="AS251" i="2"/>
  <c r="AR251" i="2"/>
  <c r="AQ251" i="2"/>
  <c r="AP251" i="2"/>
  <c r="AO251" i="2"/>
  <c r="AN251" i="2"/>
  <c r="AM251" i="2"/>
  <c r="AL251" i="2"/>
  <c r="AK251" i="2"/>
  <c r="AJ251" i="2"/>
  <c r="AI251" i="2"/>
  <c r="AH251" i="2"/>
  <c r="AG251" i="2"/>
  <c r="AF251" i="2"/>
  <c r="AE251" i="2"/>
  <c r="AD251" i="2"/>
  <c r="AC251" i="2"/>
  <c r="AB251" i="2"/>
  <c r="AA251" i="2"/>
  <c r="Z251" i="2"/>
  <c r="Y251" i="2"/>
  <c r="X251" i="2"/>
  <c r="W251" i="2"/>
  <c r="V251" i="2"/>
  <c r="U251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BF250" i="2"/>
  <c r="BE250" i="2"/>
  <c r="BD250" i="2"/>
  <c r="BC250" i="2"/>
  <c r="BB250" i="2"/>
  <c r="BA250" i="2"/>
  <c r="AZ250" i="2"/>
  <c r="AY250" i="2"/>
  <c r="AX250" i="2"/>
  <c r="AW250" i="2"/>
  <c r="AV250" i="2"/>
  <c r="AU250" i="2"/>
  <c r="AT250" i="2"/>
  <c r="AS250" i="2"/>
  <c r="AR250" i="2"/>
  <c r="AQ250" i="2"/>
  <c r="AP250" i="2"/>
  <c r="AO250" i="2"/>
  <c r="AN250" i="2"/>
  <c r="AM250" i="2"/>
  <c r="AL250" i="2"/>
  <c r="AK250" i="2"/>
  <c r="AJ250" i="2"/>
  <c r="AI250" i="2"/>
  <c r="AH250" i="2"/>
  <c r="AG250" i="2"/>
  <c r="AF250" i="2"/>
  <c r="AE250" i="2"/>
  <c r="AD250" i="2"/>
  <c r="AC250" i="2"/>
  <c r="AB250" i="2"/>
  <c r="AA250" i="2"/>
  <c r="Z250" i="2"/>
  <c r="Y250" i="2"/>
  <c r="X250" i="2"/>
  <c r="W250" i="2"/>
  <c r="V250" i="2"/>
  <c r="U250" i="2"/>
  <c r="T250" i="2"/>
  <c r="S250" i="2"/>
  <c r="R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BF249" i="2"/>
  <c r="BE249" i="2"/>
  <c r="BD249" i="2"/>
  <c r="BC249" i="2"/>
  <c r="BB249" i="2"/>
  <c r="BA249" i="2"/>
  <c r="AZ249" i="2"/>
  <c r="AY249" i="2"/>
  <c r="AX249" i="2"/>
  <c r="AW249" i="2"/>
  <c r="AV249" i="2"/>
  <c r="AU249" i="2"/>
  <c r="AT249" i="2"/>
  <c r="AS249" i="2"/>
  <c r="AR249" i="2"/>
  <c r="AQ249" i="2"/>
  <c r="AP249" i="2"/>
  <c r="AO249" i="2"/>
  <c r="AN249" i="2"/>
  <c r="AM249" i="2"/>
  <c r="AL249" i="2"/>
  <c r="AK249" i="2"/>
  <c r="AJ249" i="2"/>
  <c r="AI249" i="2"/>
  <c r="AH249" i="2"/>
  <c r="AG249" i="2"/>
  <c r="AF249" i="2"/>
  <c r="AE249" i="2"/>
  <c r="AD249" i="2"/>
  <c r="AC249" i="2"/>
  <c r="AB249" i="2"/>
  <c r="AA249" i="2"/>
  <c r="Z249" i="2"/>
  <c r="Y249" i="2"/>
  <c r="X249" i="2"/>
  <c r="W249" i="2"/>
  <c r="V249" i="2"/>
  <c r="U249" i="2"/>
  <c r="T249" i="2"/>
  <c r="S249" i="2"/>
  <c r="R249" i="2"/>
  <c r="Q249" i="2"/>
  <c r="P249" i="2"/>
  <c r="O249" i="2"/>
  <c r="N249" i="2"/>
  <c r="M249" i="2"/>
  <c r="L249" i="2"/>
  <c r="K249" i="2"/>
  <c r="J249" i="2"/>
  <c r="I249" i="2"/>
  <c r="H249" i="2"/>
  <c r="G249" i="2"/>
  <c r="F249" i="2"/>
  <c r="E249" i="2"/>
  <c r="D249" i="2"/>
  <c r="C249" i="2"/>
  <c r="BF248" i="2"/>
  <c r="BE248" i="2"/>
  <c r="BD248" i="2"/>
  <c r="BC248" i="2"/>
  <c r="BB248" i="2"/>
  <c r="BA248" i="2"/>
  <c r="AZ248" i="2"/>
  <c r="AY248" i="2"/>
  <c r="AX248" i="2"/>
  <c r="AW248" i="2"/>
  <c r="AV248" i="2"/>
  <c r="AU248" i="2"/>
  <c r="AT248" i="2"/>
  <c r="AS248" i="2"/>
  <c r="AR248" i="2"/>
  <c r="AQ248" i="2"/>
  <c r="AP248" i="2"/>
  <c r="AO248" i="2"/>
  <c r="AN248" i="2"/>
  <c r="AM248" i="2"/>
  <c r="AL248" i="2"/>
  <c r="AK248" i="2"/>
  <c r="AJ248" i="2"/>
  <c r="AI248" i="2"/>
  <c r="AH248" i="2"/>
  <c r="AG248" i="2"/>
  <c r="AF248" i="2"/>
  <c r="AE248" i="2"/>
  <c r="AD248" i="2"/>
  <c r="AC248" i="2"/>
  <c r="AB248" i="2"/>
  <c r="AA248" i="2"/>
  <c r="Z248" i="2"/>
  <c r="Y248" i="2"/>
  <c r="X248" i="2"/>
  <c r="W248" i="2"/>
  <c r="V248" i="2"/>
  <c r="U248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BF247" i="2"/>
  <c r="BE247" i="2"/>
  <c r="BD247" i="2"/>
  <c r="BC247" i="2"/>
  <c r="BB247" i="2"/>
  <c r="BA247" i="2"/>
  <c r="AZ247" i="2"/>
  <c r="AY247" i="2"/>
  <c r="AX247" i="2"/>
  <c r="AW247" i="2"/>
  <c r="AV247" i="2"/>
  <c r="AU247" i="2"/>
  <c r="AT247" i="2"/>
  <c r="AS247" i="2"/>
  <c r="AR247" i="2"/>
  <c r="AQ247" i="2"/>
  <c r="AP247" i="2"/>
  <c r="AO247" i="2"/>
  <c r="AN247" i="2"/>
  <c r="AM247" i="2"/>
  <c r="AL247" i="2"/>
  <c r="AK247" i="2"/>
  <c r="AJ247" i="2"/>
  <c r="AI247" i="2"/>
  <c r="AH247" i="2"/>
  <c r="AG247" i="2"/>
  <c r="AF247" i="2"/>
  <c r="AE247" i="2"/>
  <c r="AD247" i="2"/>
  <c r="AC247" i="2"/>
  <c r="AB247" i="2"/>
  <c r="AA247" i="2"/>
  <c r="Z247" i="2"/>
  <c r="Y247" i="2"/>
  <c r="X247" i="2"/>
  <c r="W247" i="2"/>
  <c r="V247" i="2"/>
  <c r="U247" i="2"/>
  <c r="T247" i="2"/>
  <c r="S247" i="2"/>
  <c r="R247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BF246" i="2"/>
  <c r="BE246" i="2"/>
  <c r="BD246" i="2"/>
  <c r="BC246" i="2"/>
  <c r="BB246" i="2"/>
  <c r="BA246" i="2"/>
  <c r="AZ246" i="2"/>
  <c r="AY246" i="2"/>
  <c r="AX246" i="2"/>
  <c r="AW246" i="2"/>
  <c r="AV246" i="2"/>
  <c r="AU246" i="2"/>
  <c r="AT246" i="2"/>
  <c r="AS246" i="2"/>
  <c r="AR246" i="2"/>
  <c r="AQ246" i="2"/>
  <c r="AP246" i="2"/>
  <c r="AO246" i="2"/>
  <c r="AN246" i="2"/>
  <c r="AM246" i="2"/>
  <c r="AL246" i="2"/>
  <c r="AK246" i="2"/>
  <c r="AJ246" i="2"/>
  <c r="AI246" i="2"/>
  <c r="AH246" i="2"/>
  <c r="AG246" i="2"/>
  <c r="AF246" i="2"/>
  <c r="AE246" i="2"/>
  <c r="AD246" i="2"/>
  <c r="AC246" i="2"/>
  <c r="AB246" i="2"/>
  <c r="AA246" i="2"/>
  <c r="Z246" i="2"/>
  <c r="Y246" i="2"/>
  <c r="X246" i="2"/>
  <c r="W246" i="2"/>
  <c r="V246" i="2"/>
  <c r="U246" i="2"/>
  <c r="T246" i="2"/>
  <c r="S246" i="2"/>
  <c r="R246" i="2"/>
  <c r="Q246" i="2"/>
  <c r="P246" i="2"/>
  <c r="O246" i="2"/>
  <c r="N246" i="2"/>
  <c r="M246" i="2"/>
  <c r="L246" i="2"/>
  <c r="K246" i="2"/>
  <c r="J246" i="2"/>
  <c r="I246" i="2"/>
  <c r="H246" i="2"/>
  <c r="G246" i="2"/>
  <c r="F246" i="2"/>
  <c r="E246" i="2"/>
  <c r="D246" i="2"/>
  <c r="C246" i="2"/>
  <c r="BF245" i="2"/>
  <c r="BE245" i="2"/>
  <c r="BD245" i="2"/>
  <c r="BC245" i="2"/>
  <c r="BB245" i="2"/>
  <c r="BA245" i="2"/>
  <c r="AZ245" i="2"/>
  <c r="AY245" i="2"/>
  <c r="AX245" i="2"/>
  <c r="AW245" i="2"/>
  <c r="AV245" i="2"/>
  <c r="AU245" i="2"/>
  <c r="AT245" i="2"/>
  <c r="AS245" i="2"/>
  <c r="AR245" i="2"/>
  <c r="AQ245" i="2"/>
  <c r="AP245" i="2"/>
  <c r="AO245" i="2"/>
  <c r="AN245" i="2"/>
  <c r="AM245" i="2"/>
  <c r="AL245" i="2"/>
  <c r="AK245" i="2"/>
  <c r="AJ245" i="2"/>
  <c r="AI245" i="2"/>
  <c r="AH245" i="2"/>
  <c r="AG245" i="2"/>
  <c r="AF245" i="2"/>
  <c r="AE245" i="2"/>
  <c r="AD245" i="2"/>
  <c r="AC245" i="2"/>
  <c r="AB245" i="2"/>
  <c r="AA245" i="2"/>
  <c r="Z245" i="2"/>
  <c r="Y245" i="2"/>
  <c r="X245" i="2"/>
  <c r="W245" i="2"/>
  <c r="V245" i="2"/>
  <c r="U245" i="2"/>
  <c r="T245" i="2"/>
  <c r="S245" i="2"/>
  <c r="R245" i="2"/>
  <c r="Q245" i="2"/>
  <c r="P245" i="2"/>
  <c r="O245" i="2"/>
  <c r="N245" i="2"/>
  <c r="M245" i="2"/>
  <c r="L245" i="2"/>
  <c r="K245" i="2"/>
  <c r="J245" i="2"/>
  <c r="I245" i="2"/>
  <c r="H245" i="2"/>
  <c r="G245" i="2"/>
  <c r="F245" i="2"/>
  <c r="E245" i="2"/>
  <c r="D245" i="2"/>
  <c r="C245" i="2"/>
  <c r="BF242" i="2"/>
  <c r="BE242" i="2"/>
  <c r="BD242" i="2"/>
  <c r="BC242" i="2"/>
  <c r="BB242" i="2"/>
  <c r="BA242" i="2"/>
  <c r="AZ242" i="2"/>
  <c r="AY242" i="2"/>
  <c r="AX242" i="2"/>
  <c r="AW242" i="2"/>
  <c r="AV242" i="2"/>
  <c r="AU242" i="2"/>
  <c r="AT242" i="2"/>
  <c r="AS242" i="2"/>
  <c r="AR242" i="2"/>
  <c r="AQ242" i="2"/>
  <c r="AP242" i="2"/>
  <c r="AO242" i="2"/>
  <c r="AN242" i="2"/>
  <c r="AM242" i="2"/>
  <c r="AL242" i="2"/>
  <c r="AK242" i="2"/>
  <c r="AJ242" i="2"/>
  <c r="AI242" i="2"/>
  <c r="AH242" i="2"/>
  <c r="AG242" i="2"/>
  <c r="AF242" i="2"/>
  <c r="AE242" i="2"/>
  <c r="AD242" i="2"/>
  <c r="AC242" i="2"/>
  <c r="AB242" i="2"/>
  <c r="AA242" i="2"/>
  <c r="Z242" i="2"/>
  <c r="Y242" i="2"/>
  <c r="X242" i="2"/>
  <c r="W242" i="2"/>
  <c r="V242" i="2"/>
  <c r="U242" i="2"/>
  <c r="T242" i="2"/>
  <c r="S242" i="2"/>
  <c r="R242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BF241" i="2"/>
  <c r="BE241" i="2"/>
  <c r="BD241" i="2"/>
  <c r="BC241" i="2"/>
  <c r="BB241" i="2"/>
  <c r="BA241" i="2"/>
  <c r="AZ241" i="2"/>
  <c r="AY241" i="2"/>
  <c r="AX241" i="2"/>
  <c r="AW241" i="2"/>
  <c r="AV241" i="2"/>
  <c r="AU241" i="2"/>
  <c r="AT241" i="2"/>
  <c r="AS241" i="2"/>
  <c r="AR241" i="2"/>
  <c r="AQ241" i="2"/>
  <c r="AP241" i="2"/>
  <c r="AO241" i="2"/>
  <c r="AN241" i="2"/>
  <c r="AM241" i="2"/>
  <c r="AL241" i="2"/>
  <c r="AK241" i="2"/>
  <c r="AJ241" i="2"/>
  <c r="AI241" i="2"/>
  <c r="AH241" i="2"/>
  <c r="AG241" i="2"/>
  <c r="AF241" i="2"/>
  <c r="AE241" i="2"/>
  <c r="AD241" i="2"/>
  <c r="AC241" i="2"/>
  <c r="AB241" i="2"/>
  <c r="AA241" i="2"/>
  <c r="Z241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BF240" i="2"/>
  <c r="BE240" i="2"/>
  <c r="BD240" i="2"/>
  <c r="BC240" i="2"/>
  <c r="BB240" i="2"/>
  <c r="BA240" i="2"/>
  <c r="AZ240" i="2"/>
  <c r="AY240" i="2"/>
  <c r="AX240" i="2"/>
  <c r="AW240" i="2"/>
  <c r="AV240" i="2"/>
  <c r="AU240" i="2"/>
  <c r="AT240" i="2"/>
  <c r="AS240" i="2"/>
  <c r="AR240" i="2"/>
  <c r="AQ240" i="2"/>
  <c r="AP240" i="2"/>
  <c r="AO240" i="2"/>
  <c r="AN240" i="2"/>
  <c r="AM240" i="2"/>
  <c r="AL240" i="2"/>
  <c r="AK240" i="2"/>
  <c r="AJ240" i="2"/>
  <c r="AI240" i="2"/>
  <c r="AH240" i="2"/>
  <c r="AG240" i="2"/>
  <c r="AF240" i="2"/>
  <c r="AE240" i="2"/>
  <c r="AD240" i="2"/>
  <c r="AC240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H240" i="2"/>
  <c r="G240" i="2"/>
  <c r="F240" i="2"/>
  <c r="E240" i="2"/>
  <c r="D240" i="2"/>
  <c r="C240" i="2"/>
  <c r="BF239" i="2"/>
  <c r="BE239" i="2"/>
  <c r="BD239" i="2"/>
  <c r="BC239" i="2"/>
  <c r="BB239" i="2"/>
  <c r="BA239" i="2"/>
  <c r="AZ239" i="2"/>
  <c r="AY239" i="2"/>
  <c r="AX239" i="2"/>
  <c r="AW239" i="2"/>
  <c r="AV239" i="2"/>
  <c r="AU239" i="2"/>
  <c r="AT239" i="2"/>
  <c r="AS239" i="2"/>
  <c r="AR239" i="2"/>
  <c r="AQ239" i="2"/>
  <c r="AP239" i="2"/>
  <c r="AO239" i="2"/>
  <c r="AN239" i="2"/>
  <c r="AM239" i="2"/>
  <c r="AL239" i="2"/>
  <c r="AK239" i="2"/>
  <c r="AJ239" i="2"/>
  <c r="AI239" i="2"/>
  <c r="AH239" i="2"/>
  <c r="AG239" i="2"/>
  <c r="AF239" i="2"/>
  <c r="AE239" i="2"/>
  <c r="AD239" i="2"/>
  <c r="AC239" i="2"/>
  <c r="AB239" i="2"/>
  <c r="AA239" i="2"/>
  <c r="Z239" i="2"/>
  <c r="Y239" i="2"/>
  <c r="X239" i="2"/>
  <c r="W239" i="2"/>
  <c r="V239" i="2"/>
  <c r="U239" i="2"/>
  <c r="T239" i="2"/>
  <c r="S239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BF238" i="2"/>
  <c r="BE238" i="2"/>
  <c r="BD238" i="2"/>
  <c r="BC238" i="2"/>
  <c r="BB238" i="2"/>
  <c r="BA238" i="2"/>
  <c r="AZ238" i="2"/>
  <c r="AY238" i="2"/>
  <c r="AX238" i="2"/>
  <c r="AW238" i="2"/>
  <c r="AV238" i="2"/>
  <c r="AU238" i="2"/>
  <c r="AT238" i="2"/>
  <c r="AS238" i="2"/>
  <c r="AR238" i="2"/>
  <c r="AQ238" i="2"/>
  <c r="AP238" i="2"/>
  <c r="AO238" i="2"/>
  <c r="AN238" i="2"/>
  <c r="AM238" i="2"/>
  <c r="AL238" i="2"/>
  <c r="AK238" i="2"/>
  <c r="AJ238" i="2"/>
  <c r="AI238" i="2"/>
  <c r="AH238" i="2"/>
  <c r="AG238" i="2"/>
  <c r="AF238" i="2"/>
  <c r="AE238" i="2"/>
  <c r="AD238" i="2"/>
  <c r="AC238" i="2"/>
  <c r="AB238" i="2"/>
  <c r="AA238" i="2"/>
  <c r="Z238" i="2"/>
  <c r="Y238" i="2"/>
  <c r="X238" i="2"/>
  <c r="W238" i="2"/>
  <c r="V238" i="2"/>
  <c r="U238" i="2"/>
  <c r="T238" i="2"/>
  <c r="S238" i="2"/>
  <c r="R238" i="2"/>
  <c r="Q238" i="2"/>
  <c r="P238" i="2"/>
  <c r="O238" i="2"/>
  <c r="N238" i="2"/>
  <c r="M238" i="2"/>
  <c r="L238" i="2"/>
  <c r="K238" i="2"/>
  <c r="J238" i="2"/>
  <c r="I238" i="2"/>
  <c r="H238" i="2"/>
  <c r="G238" i="2"/>
  <c r="F238" i="2"/>
  <c r="E238" i="2"/>
  <c r="D238" i="2"/>
  <c r="C238" i="2"/>
  <c r="BF237" i="2"/>
  <c r="BE237" i="2"/>
  <c r="BD237" i="2"/>
  <c r="BC237" i="2"/>
  <c r="BB237" i="2"/>
  <c r="BA237" i="2"/>
  <c r="AZ237" i="2"/>
  <c r="AY237" i="2"/>
  <c r="AX237" i="2"/>
  <c r="AW237" i="2"/>
  <c r="AV237" i="2"/>
  <c r="AU237" i="2"/>
  <c r="AT237" i="2"/>
  <c r="AS237" i="2"/>
  <c r="AR237" i="2"/>
  <c r="AQ237" i="2"/>
  <c r="AP237" i="2"/>
  <c r="AO237" i="2"/>
  <c r="AN237" i="2"/>
  <c r="AM237" i="2"/>
  <c r="AL237" i="2"/>
  <c r="AK237" i="2"/>
  <c r="AJ237" i="2"/>
  <c r="AI237" i="2"/>
  <c r="AH237" i="2"/>
  <c r="AG237" i="2"/>
  <c r="AF237" i="2"/>
  <c r="AE237" i="2"/>
  <c r="AD237" i="2"/>
  <c r="AC237" i="2"/>
  <c r="AB237" i="2"/>
  <c r="AA237" i="2"/>
  <c r="Z237" i="2"/>
  <c r="Y237" i="2"/>
  <c r="X237" i="2"/>
  <c r="W237" i="2"/>
  <c r="V237" i="2"/>
  <c r="U237" i="2"/>
  <c r="T237" i="2"/>
  <c r="S237" i="2"/>
  <c r="R237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D237" i="2"/>
  <c r="C237" i="2"/>
  <c r="BF236" i="2"/>
  <c r="BE236" i="2"/>
  <c r="BD236" i="2"/>
  <c r="BC236" i="2"/>
  <c r="BB236" i="2"/>
  <c r="BA236" i="2"/>
  <c r="AZ236" i="2"/>
  <c r="AY236" i="2"/>
  <c r="AX236" i="2"/>
  <c r="AW236" i="2"/>
  <c r="AV236" i="2"/>
  <c r="AU236" i="2"/>
  <c r="AT236" i="2"/>
  <c r="AS236" i="2"/>
  <c r="AR236" i="2"/>
  <c r="AQ236" i="2"/>
  <c r="AP236" i="2"/>
  <c r="AO236" i="2"/>
  <c r="AN236" i="2"/>
  <c r="AM236" i="2"/>
  <c r="AL236" i="2"/>
  <c r="AK236" i="2"/>
  <c r="AJ236" i="2"/>
  <c r="AI236" i="2"/>
  <c r="AH236" i="2"/>
  <c r="AG236" i="2"/>
  <c r="AF236" i="2"/>
  <c r="AE236" i="2"/>
  <c r="AD236" i="2"/>
  <c r="AC236" i="2"/>
  <c r="AB236" i="2"/>
  <c r="AA236" i="2"/>
  <c r="Z236" i="2"/>
  <c r="Y236" i="2"/>
  <c r="X236" i="2"/>
  <c r="W236" i="2"/>
  <c r="V236" i="2"/>
  <c r="U236" i="2"/>
  <c r="T236" i="2"/>
  <c r="S236" i="2"/>
  <c r="R236" i="2"/>
  <c r="Q236" i="2"/>
  <c r="P236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C236" i="2"/>
  <c r="BF214" i="2"/>
  <c r="BE214" i="2"/>
  <c r="BD214" i="2"/>
  <c r="BC214" i="2"/>
  <c r="BB214" i="2"/>
  <c r="BA214" i="2"/>
  <c r="AZ214" i="2"/>
  <c r="AY214" i="2"/>
  <c r="AX214" i="2"/>
  <c r="AW214" i="2"/>
  <c r="AV214" i="2"/>
  <c r="AU214" i="2"/>
  <c r="AT214" i="2"/>
  <c r="AS214" i="2"/>
  <c r="AR214" i="2"/>
  <c r="AQ214" i="2"/>
  <c r="AP214" i="2"/>
  <c r="AO214" i="2"/>
  <c r="AN214" i="2"/>
  <c r="AM214" i="2"/>
  <c r="AL214" i="2"/>
  <c r="AK214" i="2"/>
  <c r="AJ214" i="2"/>
  <c r="AI214" i="2"/>
  <c r="AH214" i="2"/>
  <c r="AG214" i="2"/>
  <c r="AF214" i="2"/>
  <c r="AE214" i="2"/>
  <c r="AD214" i="2"/>
  <c r="AC214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BF213" i="2"/>
  <c r="BE213" i="2"/>
  <c r="BD213" i="2"/>
  <c r="BC213" i="2"/>
  <c r="BB213" i="2"/>
  <c r="BA213" i="2"/>
  <c r="AZ213" i="2"/>
  <c r="AY213" i="2"/>
  <c r="AX213" i="2"/>
  <c r="AW213" i="2"/>
  <c r="AV213" i="2"/>
  <c r="AU213" i="2"/>
  <c r="AT213" i="2"/>
  <c r="AS213" i="2"/>
  <c r="AR213" i="2"/>
  <c r="AQ213" i="2"/>
  <c r="AP213" i="2"/>
  <c r="AO213" i="2"/>
  <c r="AN213" i="2"/>
  <c r="AM213" i="2"/>
  <c r="AL213" i="2"/>
  <c r="AK213" i="2"/>
  <c r="AJ213" i="2"/>
  <c r="AI213" i="2"/>
  <c r="AH213" i="2"/>
  <c r="AG213" i="2"/>
  <c r="AF213" i="2"/>
  <c r="AE213" i="2"/>
  <c r="AD213" i="2"/>
  <c r="AC213" i="2"/>
  <c r="AB213" i="2"/>
  <c r="AA213" i="2"/>
  <c r="Z213" i="2"/>
  <c r="Y213" i="2"/>
  <c r="X213" i="2"/>
  <c r="W213" i="2"/>
  <c r="V213" i="2"/>
  <c r="U213" i="2"/>
  <c r="T213" i="2"/>
  <c r="S213" i="2"/>
  <c r="R213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BF212" i="2"/>
  <c r="BE212" i="2"/>
  <c r="BD212" i="2"/>
  <c r="BC212" i="2"/>
  <c r="BB212" i="2"/>
  <c r="BA212" i="2"/>
  <c r="AZ212" i="2"/>
  <c r="AY212" i="2"/>
  <c r="AX212" i="2"/>
  <c r="AW212" i="2"/>
  <c r="AV212" i="2"/>
  <c r="AU212" i="2"/>
  <c r="AT212" i="2"/>
  <c r="AS212" i="2"/>
  <c r="AR212" i="2"/>
  <c r="AQ212" i="2"/>
  <c r="AP212" i="2"/>
  <c r="AO212" i="2"/>
  <c r="AN212" i="2"/>
  <c r="AM212" i="2"/>
  <c r="AL212" i="2"/>
  <c r="AK212" i="2"/>
  <c r="AJ212" i="2"/>
  <c r="AI212" i="2"/>
  <c r="AH212" i="2"/>
  <c r="AG212" i="2"/>
  <c r="AF212" i="2"/>
  <c r="AE212" i="2"/>
  <c r="AD212" i="2"/>
  <c r="AC212" i="2"/>
  <c r="AB212" i="2"/>
  <c r="AA212" i="2"/>
  <c r="Z212" i="2"/>
  <c r="Y212" i="2"/>
  <c r="X212" i="2"/>
  <c r="W212" i="2"/>
  <c r="V212" i="2"/>
  <c r="U212" i="2"/>
  <c r="T212" i="2"/>
  <c r="S212" i="2"/>
  <c r="R212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BF211" i="2"/>
  <c r="BE211" i="2"/>
  <c r="BD211" i="2"/>
  <c r="BC211" i="2"/>
  <c r="BB211" i="2"/>
  <c r="BA211" i="2"/>
  <c r="AZ211" i="2"/>
  <c r="AY211" i="2"/>
  <c r="AX211" i="2"/>
  <c r="AW211" i="2"/>
  <c r="AV211" i="2"/>
  <c r="AU211" i="2"/>
  <c r="AT211" i="2"/>
  <c r="AS211" i="2"/>
  <c r="AR211" i="2"/>
  <c r="AQ211" i="2"/>
  <c r="AP211" i="2"/>
  <c r="AO211" i="2"/>
  <c r="AN211" i="2"/>
  <c r="AM211" i="2"/>
  <c r="AL211" i="2"/>
  <c r="AK211" i="2"/>
  <c r="AJ211" i="2"/>
  <c r="AI211" i="2"/>
  <c r="AH211" i="2"/>
  <c r="AG211" i="2"/>
  <c r="AF211" i="2"/>
  <c r="AE211" i="2"/>
  <c r="AD211" i="2"/>
  <c r="AC211" i="2"/>
  <c r="AB211" i="2"/>
  <c r="AA211" i="2"/>
  <c r="Z211" i="2"/>
  <c r="Y211" i="2"/>
  <c r="X211" i="2"/>
  <c r="W211" i="2"/>
  <c r="V211" i="2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BF208" i="2"/>
  <c r="BE208" i="2"/>
  <c r="BD208" i="2"/>
  <c r="BC208" i="2"/>
  <c r="BB208" i="2"/>
  <c r="BA208" i="2"/>
  <c r="AZ208" i="2"/>
  <c r="AY208" i="2"/>
  <c r="AX208" i="2"/>
  <c r="AW208" i="2"/>
  <c r="AV208" i="2"/>
  <c r="AU208" i="2"/>
  <c r="AT208" i="2"/>
  <c r="AS208" i="2"/>
  <c r="AR208" i="2"/>
  <c r="AQ208" i="2"/>
  <c r="AP208" i="2"/>
  <c r="AO208" i="2"/>
  <c r="AN208" i="2"/>
  <c r="AM208" i="2"/>
  <c r="AL208" i="2"/>
  <c r="AK208" i="2"/>
  <c r="AJ208" i="2"/>
  <c r="AI208" i="2"/>
  <c r="AH208" i="2"/>
  <c r="AG208" i="2"/>
  <c r="AF208" i="2"/>
  <c r="AE208" i="2"/>
  <c r="AD208" i="2"/>
  <c r="AC208" i="2"/>
  <c r="AB208" i="2"/>
  <c r="AA208" i="2"/>
  <c r="Z208" i="2"/>
  <c r="Y208" i="2"/>
  <c r="X208" i="2"/>
  <c r="W208" i="2"/>
  <c r="V208" i="2"/>
  <c r="U208" i="2"/>
  <c r="T208" i="2"/>
  <c r="S208" i="2"/>
  <c r="R208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BF207" i="2"/>
  <c r="BE207" i="2"/>
  <c r="BD207" i="2"/>
  <c r="BC207" i="2"/>
  <c r="BB207" i="2"/>
  <c r="BA207" i="2"/>
  <c r="AZ207" i="2"/>
  <c r="AY207" i="2"/>
  <c r="AX207" i="2"/>
  <c r="AW207" i="2"/>
  <c r="AV207" i="2"/>
  <c r="AU207" i="2"/>
  <c r="AT207" i="2"/>
  <c r="AS207" i="2"/>
  <c r="AR207" i="2"/>
  <c r="AQ207" i="2"/>
  <c r="AP207" i="2"/>
  <c r="AO207" i="2"/>
  <c r="AN207" i="2"/>
  <c r="AM207" i="2"/>
  <c r="AL207" i="2"/>
  <c r="AK207" i="2"/>
  <c r="AJ207" i="2"/>
  <c r="AI207" i="2"/>
  <c r="AH207" i="2"/>
  <c r="AG207" i="2"/>
  <c r="AF207" i="2"/>
  <c r="AE207" i="2"/>
  <c r="AD207" i="2"/>
  <c r="AC207" i="2"/>
  <c r="AB207" i="2"/>
  <c r="AA207" i="2"/>
  <c r="Z207" i="2"/>
  <c r="Y207" i="2"/>
  <c r="X207" i="2"/>
  <c r="W207" i="2"/>
  <c r="V207" i="2"/>
  <c r="U207" i="2"/>
  <c r="T207" i="2"/>
  <c r="S207" i="2"/>
  <c r="R207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E207" i="2"/>
  <c r="D207" i="2"/>
  <c r="C207" i="2"/>
  <c r="BF206" i="2"/>
  <c r="BE206" i="2"/>
  <c r="BD206" i="2"/>
  <c r="BC206" i="2"/>
  <c r="BB206" i="2"/>
  <c r="BA206" i="2"/>
  <c r="AZ206" i="2"/>
  <c r="AY206" i="2"/>
  <c r="AX206" i="2"/>
  <c r="AW206" i="2"/>
  <c r="AV206" i="2"/>
  <c r="AU206" i="2"/>
  <c r="AT206" i="2"/>
  <c r="AS206" i="2"/>
  <c r="AR206" i="2"/>
  <c r="AQ206" i="2"/>
  <c r="AP206" i="2"/>
  <c r="AO206" i="2"/>
  <c r="AN206" i="2"/>
  <c r="AM206" i="2"/>
  <c r="AL206" i="2"/>
  <c r="AK206" i="2"/>
  <c r="AJ206" i="2"/>
  <c r="AI206" i="2"/>
  <c r="AH206" i="2"/>
  <c r="AG206" i="2"/>
  <c r="AF206" i="2"/>
  <c r="AE206" i="2"/>
  <c r="AD206" i="2"/>
  <c r="AC206" i="2"/>
  <c r="AB206" i="2"/>
  <c r="AA206" i="2"/>
  <c r="Z206" i="2"/>
  <c r="Y206" i="2"/>
  <c r="X206" i="2"/>
  <c r="W206" i="2"/>
  <c r="V206" i="2"/>
  <c r="U206" i="2"/>
  <c r="T206" i="2"/>
  <c r="S206" i="2"/>
  <c r="R206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E206" i="2"/>
  <c r="D206" i="2"/>
  <c r="C206" i="2"/>
  <c r="BF205" i="2"/>
  <c r="BE205" i="2"/>
  <c r="BD205" i="2"/>
  <c r="BC205" i="2"/>
  <c r="BB205" i="2"/>
  <c r="BA205" i="2"/>
  <c r="AZ205" i="2"/>
  <c r="AY205" i="2"/>
  <c r="AX205" i="2"/>
  <c r="AW205" i="2"/>
  <c r="AV205" i="2"/>
  <c r="AU205" i="2"/>
  <c r="AT205" i="2"/>
  <c r="AS205" i="2"/>
  <c r="AR205" i="2"/>
  <c r="AQ205" i="2"/>
  <c r="AP205" i="2"/>
  <c r="AO205" i="2"/>
  <c r="AN205" i="2"/>
  <c r="AM205" i="2"/>
  <c r="AL205" i="2"/>
  <c r="AK205" i="2"/>
  <c r="AJ205" i="2"/>
  <c r="AI205" i="2"/>
  <c r="AH205" i="2"/>
  <c r="AG205" i="2"/>
  <c r="AF205" i="2"/>
  <c r="AE205" i="2"/>
  <c r="AD205" i="2"/>
  <c r="AC205" i="2"/>
  <c r="AB205" i="2"/>
  <c r="AA205" i="2"/>
  <c r="Z205" i="2"/>
  <c r="Y205" i="2"/>
  <c r="X205" i="2"/>
  <c r="W205" i="2"/>
  <c r="V205" i="2"/>
  <c r="U205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BF204" i="2"/>
  <c r="BE204" i="2"/>
  <c r="BD204" i="2"/>
  <c r="BC204" i="2"/>
  <c r="BB204" i="2"/>
  <c r="BA204" i="2"/>
  <c r="AZ204" i="2"/>
  <c r="AY204" i="2"/>
  <c r="AX204" i="2"/>
  <c r="AW204" i="2"/>
  <c r="AV204" i="2"/>
  <c r="AU204" i="2"/>
  <c r="AT204" i="2"/>
  <c r="AS204" i="2"/>
  <c r="AR204" i="2"/>
  <c r="AQ204" i="2"/>
  <c r="AP204" i="2"/>
  <c r="AO204" i="2"/>
  <c r="AN204" i="2"/>
  <c r="AM204" i="2"/>
  <c r="AL204" i="2"/>
  <c r="AK204" i="2"/>
  <c r="AJ204" i="2"/>
  <c r="AI204" i="2"/>
  <c r="AH204" i="2"/>
  <c r="AG204" i="2"/>
  <c r="AF204" i="2"/>
  <c r="AE204" i="2"/>
  <c r="AD204" i="2"/>
  <c r="AC204" i="2"/>
  <c r="AB204" i="2"/>
  <c r="AA204" i="2"/>
  <c r="Z204" i="2"/>
  <c r="Y204" i="2"/>
  <c r="X204" i="2"/>
  <c r="W204" i="2"/>
  <c r="V204" i="2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BF202" i="2"/>
  <c r="BE202" i="2"/>
  <c r="BD202" i="2"/>
  <c r="BC202" i="2"/>
  <c r="BB202" i="2"/>
  <c r="BA202" i="2"/>
  <c r="AZ202" i="2"/>
  <c r="AY202" i="2"/>
  <c r="AX202" i="2"/>
  <c r="AW202" i="2"/>
  <c r="AV202" i="2"/>
  <c r="AU202" i="2"/>
  <c r="AT202" i="2"/>
  <c r="AS202" i="2"/>
  <c r="AR202" i="2"/>
  <c r="AQ202" i="2"/>
  <c r="AP202" i="2"/>
  <c r="AO202" i="2"/>
  <c r="AN202" i="2"/>
  <c r="AM202" i="2"/>
  <c r="AL202" i="2"/>
  <c r="AK202" i="2"/>
  <c r="AJ202" i="2"/>
  <c r="AI202" i="2"/>
  <c r="AH202" i="2"/>
  <c r="AG202" i="2"/>
  <c r="AF202" i="2"/>
  <c r="AE202" i="2"/>
  <c r="AD202" i="2"/>
  <c r="AC202" i="2"/>
  <c r="AB202" i="2"/>
  <c r="AA202" i="2"/>
  <c r="Z202" i="2"/>
  <c r="Y202" i="2"/>
  <c r="X202" i="2"/>
  <c r="W202" i="2"/>
  <c r="V202" i="2"/>
  <c r="U202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BF201" i="2"/>
  <c r="BE201" i="2"/>
  <c r="BD201" i="2"/>
  <c r="BC201" i="2"/>
  <c r="BB201" i="2"/>
  <c r="BA201" i="2"/>
  <c r="AZ201" i="2"/>
  <c r="AY201" i="2"/>
  <c r="AX201" i="2"/>
  <c r="AW201" i="2"/>
  <c r="AV201" i="2"/>
  <c r="AU201" i="2"/>
  <c r="AT201" i="2"/>
  <c r="AS201" i="2"/>
  <c r="AR201" i="2"/>
  <c r="AQ201" i="2"/>
  <c r="AP201" i="2"/>
  <c r="AO201" i="2"/>
  <c r="AN201" i="2"/>
  <c r="AM201" i="2"/>
  <c r="AL201" i="2"/>
  <c r="AK201" i="2"/>
  <c r="AJ201" i="2"/>
  <c r="AI201" i="2"/>
  <c r="AH201" i="2"/>
  <c r="AG201" i="2"/>
  <c r="AF201" i="2"/>
  <c r="AE201" i="2"/>
  <c r="AD201" i="2"/>
  <c r="AC201" i="2"/>
  <c r="AB201" i="2"/>
  <c r="AA201" i="2"/>
  <c r="Z201" i="2"/>
  <c r="Y201" i="2"/>
  <c r="X201" i="2"/>
  <c r="W201" i="2"/>
  <c r="V201" i="2"/>
  <c r="U201" i="2"/>
  <c r="T201" i="2"/>
  <c r="S201" i="2"/>
  <c r="R201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BF200" i="2"/>
  <c r="BE200" i="2"/>
  <c r="BD200" i="2"/>
  <c r="BC200" i="2"/>
  <c r="BB200" i="2"/>
  <c r="BA200" i="2"/>
  <c r="AZ200" i="2"/>
  <c r="AY200" i="2"/>
  <c r="AX200" i="2"/>
  <c r="AW200" i="2"/>
  <c r="AV200" i="2"/>
  <c r="AU200" i="2"/>
  <c r="AT200" i="2"/>
  <c r="AS200" i="2"/>
  <c r="AR200" i="2"/>
  <c r="AQ200" i="2"/>
  <c r="AP200" i="2"/>
  <c r="AO200" i="2"/>
  <c r="AN200" i="2"/>
  <c r="AM200" i="2"/>
  <c r="AL200" i="2"/>
  <c r="AK200" i="2"/>
  <c r="AJ200" i="2"/>
  <c r="AI200" i="2"/>
  <c r="AH200" i="2"/>
  <c r="AG200" i="2"/>
  <c r="AF200" i="2"/>
  <c r="AE200" i="2"/>
  <c r="AD200" i="2"/>
  <c r="AC200" i="2"/>
  <c r="AB200" i="2"/>
  <c r="AA200" i="2"/>
  <c r="Z200" i="2"/>
  <c r="Y200" i="2"/>
  <c r="X200" i="2"/>
  <c r="W200" i="2"/>
  <c r="V200" i="2"/>
  <c r="U200" i="2"/>
  <c r="T200" i="2"/>
  <c r="S200" i="2"/>
  <c r="R200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BF199" i="2"/>
  <c r="BE199" i="2"/>
  <c r="BD199" i="2"/>
  <c r="BC199" i="2"/>
  <c r="BB199" i="2"/>
  <c r="BA199" i="2"/>
  <c r="AZ199" i="2"/>
  <c r="AY199" i="2"/>
  <c r="AX199" i="2"/>
  <c r="AW199" i="2"/>
  <c r="AV199" i="2"/>
  <c r="AU199" i="2"/>
  <c r="AT199" i="2"/>
  <c r="AS199" i="2"/>
  <c r="AR199" i="2"/>
  <c r="AQ199" i="2"/>
  <c r="AP199" i="2"/>
  <c r="AO199" i="2"/>
  <c r="AN199" i="2"/>
  <c r="AM199" i="2"/>
  <c r="AL199" i="2"/>
  <c r="AK199" i="2"/>
  <c r="AJ199" i="2"/>
  <c r="AI199" i="2"/>
  <c r="AH199" i="2"/>
  <c r="AG199" i="2"/>
  <c r="AF199" i="2"/>
  <c r="AE199" i="2"/>
  <c r="AD199" i="2"/>
  <c r="AC199" i="2"/>
  <c r="AB199" i="2"/>
  <c r="AA199" i="2"/>
  <c r="Z199" i="2"/>
  <c r="Y199" i="2"/>
  <c r="X199" i="2"/>
  <c r="W199" i="2"/>
  <c r="V199" i="2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BF196" i="2"/>
  <c r="BE196" i="2"/>
  <c r="BD196" i="2"/>
  <c r="BC196" i="2"/>
  <c r="BB196" i="2"/>
  <c r="BA196" i="2"/>
  <c r="AZ196" i="2"/>
  <c r="AY196" i="2"/>
  <c r="AX196" i="2"/>
  <c r="AW196" i="2"/>
  <c r="AV196" i="2"/>
  <c r="AU196" i="2"/>
  <c r="AT196" i="2"/>
  <c r="AS196" i="2"/>
  <c r="AR196" i="2"/>
  <c r="AQ196" i="2"/>
  <c r="AP196" i="2"/>
  <c r="AO196" i="2"/>
  <c r="AN196" i="2"/>
  <c r="AM196" i="2"/>
  <c r="AL196" i="2"/>
  <c r="AK196" i="2"/>
  <c r="AJ196" i="2"/>
  <c r="AI196" i="2"/>
  <c r="AH196" i="2"/>
  <c r="AG196" i="2"/>
  <c r="AF196" i="2"/>
  <c r="AE196" i="2"/>
  <c r="AD196" i="2"/>
  <c r="AC196" i="2"/>
  <c r="AB196" i="2"/>
  <c r="AA196" i="2"/>
  <c r="Z196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BF195" i="2"/>
  <c r="BE195" i="2"/>
  <c r="BD195" i="2"/>
  <c r="BC195" i="2"/>
  <c r="BB195" i="2"/>
  <c r="BA195" i="2"/>
  <c r="AZ195" i="2"/>
  <c r="AY195" i="2"/>
  <c r="AX195" i="2"/>
  <c r="AW195" i="2"/>
  <c r="AV195" i="2"/>
  <c r="AU195" i="2"/>
  <c r="AT195" i="2"/>
  <c r="AS195" i="2"/>
  <c r="AR195" i="2"/>
  <c r="AQ195" i="2"/>
  <c r="AP195" i="2"/>
  <c r="AO195" i="2"/>
  <c r="AN195" i="2"/>
  <c r="AM195" i="2"/>
  <c r="AL195" i="2"/>
  <c r="AK195" i="2"/>
  <c r="AJ195" i="2"/>
  <c r="AI195" i="2"/>
  <c r="AH195" i="2"/>
  <c r="AG195" i="2"/>
  <c r="AF195" i="2"/>
  <c r="AE195" i="2"/>
  <c r="AD195" i="2"/>
  <c r="AC195" i="2"/>
  <c r="AB195" i="2"/>
  <c r="AA195" i="2"/>
  <c r="Z195" i="2"/>
  <c r="Y195" i="2"/>
  <c r="X195" i="2"/>
  <c r="W195" i="2"/>
  <c r="V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BF194" i="2"/>
  <c r="BE194" i="2"/>
  <c r="BD194" i="2"/>
  <c r="BC194" i="2"/>
  <c r="BB194" i="2"/>
  <c r="BA194" i="2"/>
  <c r="AZ194" i="2"/>
  <c r="AY194" i="2"/>
  <c r="AX194" i="2"/>
  <c r="AW194" i="2"/>
  <c r="AV194" i="2"/>
  <c r="AU194" i="2"/>
  <c r="AT194" i="2"/>
  <c r="AS194" i="2"/>
  <c r="AR194" i="2"/>
  <c r="AQ194" i="2"/>
  <c r="AP194" i="2"/>
  <c r="AO194" i="2"/>
  <c r="AN194" i="2"/>
  <c r="AM194" i="2"/>
  <c r="AL194" i="2"/>
  <c r="AK194" i="2"/>
  <c r="AJ194" i="2"/>
  <c r="AI194" i="2"/>
  <c r="AH194" i="2"/>
  <c r="AG194" i="2"/>
  <c r="AF194" i="2"/>
  <c r="AE194" i="2"/>
  <c r="AD194" i="2"/>
  <c r="AC194" i="2"/>
  <c r="AB194" i="2"/>
  <c r="AA194" i="2"/>
  <c r="Z194" i="2"/>
  <c r="Y194" i="2"/>
  <c r="X194" i="2"/>
  <c r="W194" i="2"/>
  <c r="V194" i="2"/>
  <c r="U194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BF193" i="2"/>
  <c r="BE193" i="2"/>
  <c r="BD193" i="2"/>
  <c r="BC193" i="2"/>
  <c r="BB193" i="2"/>
  <c r="BA193" i="2"/>
  <c r="AZ193" i="2"/>
  <c r="AY193" i="2"/>
  <c r="AX193" i="2"/>
  <c r="AW193" i="2"/>
  <c r="AV193" i="2"/>
  <c r="AU193" i="2"/>
  <c r="AT193" i="2"/>
  <c r="AS193" i="2"/>
  <c r="AR193" i="2"/>
  <c r="AQ193" i="2"/>
  <c r="AP193" i="2"/>
  <c r="AO193" i="2"/>
  <c r="AN193" i="2"/>
  <c r="AM193" i="2"/>
  <c r="AL193" i="2"/>
  <c r="AK193" i="2"/>
  <c r="AJ193" i="2"/>
  <c r="AI193" i="2"/>
  <c r="AH193" i="2"/>
  <c r="AG193" i="2"/>
  <c r="AF193" i="2"/>
  <c r="AE193" i="2"/>
  <c r="AD193" i="2"/>
  <c r="AC193" i="2"/>
  <c r="AB193" i="2"/>
  <c r="AA193" i="2"/>
  <c r="Z193" i="2"/>
  <c r="Y193" i="2"/>
  <c r="X193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BF192" i="2"/>
  <c r="BE192" i="2"/>
  <c r="BD192" i="2"/>
  <c r="BC192" i="2"/>
  <c r="BB192" i="2"/>
  <c r="BA192" i="2"/>
  <c r="AZ192" i="2"/>
  <c r="AY192" i="2"/>
  <c r="AX192" i="2"/>
  <c r="AW192" i="2"/>
  <c r="AV192" i="2"/>
  <c r="AU192" i="2"/>
  <c r="AT192" i="2"/>
  <c r="AS192" i="2"/>
  <c r="AR192" i="2"/>
  <c r="AQ192" i="2"/>
  <c r="AP192" i="2"/>
  <c r="AO192" i="2"/>
  <c r="AN192" i="2"/>
  <c r="AM192" i="2"/>
  <c r="AL192" i="2"/>
  <c r="AK192" i="2"/>
  <c r="AJ192" i="2"/>
  <c r="AI192" i="2"/>
  <c r="AH192" i="2"/>
  <c r="AG192" i="2"/>
  <c r="AF192" i="2"/>
  <c r="AE192" i="2"/>
  <c r="AD192" i="2"/>
  <c r="AC192" i="2"/>
  <c r="AB192" i="2"/>
  <c r="AA192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55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A24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A23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A14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A12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A10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A7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6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5" i="2"/>
  <c r="BF216" i="2" l="1"/>
  <c r="BE217" i="2"/>
  <c r="BF218" i="2"/>
  <c r="BF219" i="2"/>
  <c r="BE210" i="2"/>
  <c r="BE209" i="2" s="1"/>
  <c r="BF281" i="2"/>
  <c r="BF284" i="2"/>
  <c r="AM223" i="2"/>
  <c r="AU87" i="2"/>
  <c r="BD87" i="2"/>
  <c r="AP279" i="2"/>
  <c r="AT64" i="2"/>
  <c r="BF60" i="2"/>
  <c r="BF65" i="2"/>
  <c r="BE69" i="2"/>
  <c r="BD75" i="2"/>
  <c r="BF75" i="2"/>
  <c r="BF99" i="2"/>
  <c r="BF258" i="2"/>
  <c r="BF186" i="2"/>
  <c r="BE188" i="2"/>
  <c r="BF188" i="2"/>
  <c r="BD189" i="2"/>
  <c r="BE189" i="2"/>
  <c r="BE190" i="2"/>
  <c r="BF190" i="2"/>
  <c r="BD184" i="2"/>
  <c r="BE184" i="2"/>
  <c r="BF184" i="2"/>
  <c r="BD185" i="2"/>
  <c r="BE185" i="2"/>
  <c r="BF185" i="2"/>
  <c r="BD186" i="2"/>
  <c r="BE186" i="2"/>
  <c r="BD187" i="2"/>
  <c r="BE187" i="2"/>
  <c r="BF187" i="2"/>
  <c r="BD188" i="2"/>
  <c r="BF189" i="2"/>
  <c r="BD190" i="2"/>
  <c r="BE223" i="2"/>
  <c r="BE198" i="2"/>
  <c r="BE216" i="2"/>
  <c r="BE258" i="2"/>
  <c r="BF279" i="2"/>
  <c r="BE282" i="2"/>
  <c r="BF331" i="2"/>
  <c r="BD332" i="2"/>
  <c r="BE332" i="2"/>
  <c r="BE334" i="2"/>
  <c r="BF334" i="2"/>
  <c r="BD337" i="2"/>
  <c r="BE337" i="2"/>
  <c r="BF337" i="2"/>
  <c r="BF332" i="2"/>
  <c r="BD333" i="2"/>
  <c r="BE335" i="2"/>
  <c r="BF335" i="2"/>
  <c r="BD331" i="2"/>
  <c r="BE331" i="2"/>
  <c r="BF333" i="2"/>
  <c r="BD334" i="2"/>
  <c r="BD336" i="2"/>
  <c r="BE336" i="2"/>
  <c r="BF336" i="2"/>
  <c r="BE333" i="2"/>
  <c r="BD335" i="2"/>
  <c r="BD363" i="2"/>
  <c r="BE368" i="2"/>
  <c r="BE364" i="2"/>
  <c r="BF364" i="2"/>
  <c r="BE367" i="2"/>
  <c r="BF365" i="2"/>
  <c r="BD367" i="2"/>
  <c r="BD418" i="2"/>
  <c r="BF419" i="2"/>
  <c r="BD421" i="2"/>
  <c r="BD422" i="2"/>
  <c r="BE422" i="2"/>
  <c r="BD424" i="2"/>
  <c r="BE424" i="2"/>
  <c r="BF424" i="2"/>
  <c r="BD426" i="2"/>
  <c r="BF425" i="2"/>
  <c r="BE427" i="2"/>
  <c r="BE428" i="2"/>
  <c r="BF428" i="2"/>
  <c r="BD428" i="2"/>
  <c r="BF418" i="2"/>
  <c r="BE418" i="2"/>
  <c r="BD419" i="2"/>
  <c r="BE419" i="2"/>
  <c r="BD420" i="2"/>
  <c r="BE420" i="2"/>
  <c r="BF420" i="2"/>
  <c r="BE421" i="2"/>
  <c r="BF421" i="2"/>
  <c r="BF422" i="2"/>
  <c r="BF423" i="2"/>
  <c r="BD425" i="2"/>
  <c r="BE425" i="2"/>
  <c r="BE426" i="2"/>
  <c r="BF426" i="2"/>
  <c r="BF427" i="2"/>
  <c r="BF466" i="2"/>
  <c r="BF507" i="2"/>
  <c r="BE481" i="2"/>
  <c r="BF509" i="2"/>
  <c r="BE506" i="2"/>
  <c r="BF506" i="2"/>
  <c r="BD526" i="2"/>
  <c r="BE529" i="2"/>
  <c r="BD529" i="2"/>
  <c r="BD528" i="2"/>
  <c r="AO60" i="2"/>
  <c r="BA65" i="2"/>
  <c r="AO69" i="2"/>
  <c r="AP69" i="2"/>
  <c r="AW69" i="2"/>
  <c r="AX69" i="2"/>
  <c r="AM75" i="2"/>
  <c r="AN75" i="2"/>
  <c r="AO75" i="2"/>
  <c r="AR75" i="2"/>
  <c r="AT75" i="2"/>
  <c r="AU75" i="2"/>
  <c r="AV75" i="2"/>
  <c r="AW75" i="2"/>
  <c r="BB75" i="2"/>
  <c r="BC75" i="2"/>
  <c r="AS75" i="2"/>
  <c r="BA75" i="2"/>
  <c r="AZ75" i="2"/>
  <c r="AO87" i="2"/>
  <c r="AQ87" i="2"/>
  <c r="AR87" i="2"/>
  <c r="AR189" i="2"/>
  <c r="AZ189" i="2"/>
  <c r="BB189" i="2"/>
  <c r="BC189" i="2"/>
  <c r="AQ189" i="2"/>
  <c r="AY189" i="2"/>
  <c r="AP190" i="2"/>
  <c r="AQ190" i="2"/>
  <c r="AR190" i="2"/>
  <c r="AS190" i="2"/>
  <c r="AX190" i="2"/>
  <c r="AY190" i="2"/>
  <c r="AZ190" i="2"/>
  <c r="BA190" i="2"/>
  <c r="AM184" i="2"/>
  <c r="AN184" i="2"/>
  <c r="AO184" i="2"/>
  <c r="AP184" i="2"/>
  <c r="AQ184" i="2"/>
  <c r="AR184" i="2"/>
  <c r="AS184" i="2"/>
  <c r="AT184" i="2"/>
  <c r="AU184" i="2"/>
  <c r="AV184" i="2"/>
  <c r="AW184" i="2"/>
  <c r="AX184" i="2"/>
  <c r="AY184" i="2"/>
  <c r="AZ184" i="2"/>
  <c r="BA184" i="2"/>
  <c r="BB184" i="2"/>
  <c r="BC184" i="2"/>
  <c r="AM185" i="2"/>
  <c r="AN185" i="2"/>
  <c r="AO185" i="2"/>
  <c r="AP185" i="2"/>
  <c r="AQ185" i="2"/>
  <c r="AR185" i="2"/>
  <c r="AS185" i="2"/>
  <c r="AT185" i="2"/>
  <c r="AU185" i="2"/>
  <c r="AV185" i="2"/>
  <c r="AW185" i="2"/>
  <c r="AX185" i="2"/>
  <c r="AY185" i="2"/>
  <c r="AZ185" i="2"/>
  <c r="BA185" i="2"/>
  <c r="BB185" i="2"/>
  <c r="BC185" i="2"/>
  <c r="AM186" i="2"/>
  <c r="AN186" i="2"/>
  <c r="AO186" i="2"/>
  <c r="AP186" i="2"/>
  <c r="AQ186" i="2"/>
  <c r="AR186" i="2"/>
  <c r="AS186" i="2"/>
  <c r="AT186" i="2"/>
  <c r="AU186" i="2"/>
  <c r="AV186" i="2"/>
  <c r="AW186" i="2"/>
  <c r="AX186" i="2"/>
  <c r="AY186" i="2"/>
  <c r="AZ186" i="2"/>
  <c r="BA186" i="2"/>
  <c r="BB186" i="2"/>
  <c r="BC186" i="2"/>
  <c r="AM187" i="2"/>
  <c r="AN187" i="2"/>
  <c r="AO187" i="2"/>
  <c r="AP187" i="2"/>
  <c r="AQ187" i="2"/>
  <c r="AR187" i="2"/>
  <c r="AS187" i="2"/>
  <c r="AT187" i="2"/>
  <c r="AU187" i="2"/>
  <c r="AV187" i="2"/>
  <c r="AW187" i="2"/>
  <c r="AX187" i="2"/>
  <c r="AY187" i="2"/>
  <c r="AZ187" i="2"/>
  <c r="BA187" i="2"/>
  <c r="BB187" i="2"/>
  <c r="BC187" i="2"/>
  <c r="AM188" i="2"/>
  <c r="AN188" i="2"/>
  <c r="AO188" i="2"/>
  <c r="AP188" i="2"/>
  <c r="AQ188" i="2"/>
  <c r="AR188" i="2"/>
  <c r="AS188" i="2"/>
  <c r="AT188" i="2"/>
  <c r="AU188" i="2"/>
  <c r="AV188" i="2"/>
  <c r="AW188" i="2"/>
  <c r="AX188" i="2"/>
  <c r="AY188" i="2"/>
  <c r="AZ188" i="2"/>
  <c r="BA188" i="2"/>
  <c r="BB188" i="2"/>
  <c r="BC188" i="2"/>
  <c r="AM189" i="2"/>
  <c r="AN189" i="2"/>
  <c r="AO189" i="2"/>
  <c r="AP189" i="2"/>
  <c r="AT189" i="2"/>
  <c r="AU189" i="2"/>
  <c r="AV189" i="2"/>
  <c r="AW189" i="2"/>
  <c r="AX189" i="2"/>
  <c r="AM190" i="2"/>
  <c r="AN190" i="2"/>
  <c r="AO190" i="2"/>
  <c r="AT190" i="2"/>
  <c r="AU190" i="2"/>
  <c r="AV190" i="2"/>
  <c r="AW190" i="2"/>
  <c r="BB190" i="2"/>
  <c r="BC190" i="2"/>
  <c r="AR216" i="2"/>
  <c r="AN217" i="2"/>
  <c r="AV217" i="2"/>
  <c r="BC217" i="2"/>
  <c r="AX218" i="2"/>
  <c r="AV220" i="2"/>
  <c r="AW216" i="2"/>
  <c r="AT218" i="2"/>
  <c r="AZ218" i="2"/>
  <c r="AO219" i="2"/>
  <c r="BB219" i="2"/>
  <c r="AO216" i="2"/>
  <c r="AZ255" i="2"/>
  <c r="AT256" i="2"/>
  <c r="AR256" i="2"/>
  <c r="AZ257" i="2"/>
  <c r="AR258" i="2"/>
  <c r="BC258" i="2"/>
  <c r="AV259" i="2"/>
  <c r="AQ256" i="2"/>
  <c r="AT283" i="2"/>
  <c r="AZ331" i="2"/>
  <c r="AQ332" i="2"/>
  <c r="AR332" i="2"/>
  <c r="AY332" i="2"/>
  <c r="AP333" i="2"/>
  <c r="AX333" i="2"/>
  <c r="AY333" i="2"/>
  <c r="AO334" i="2"/>
  <c r="AW334" i="2"/>
  <c r="AN335" i="2"/>
  <c r="AO335" i="2"/>
  <c r="AV335" i="2"/>
  <c r="AM336" i="2"/>
  <c r="AN336" i="2"/>
  <c r="AU336" i="2"/>
  <c r="BC336" i="2"/>
  <c r="AT337" i="2"/>
  <c r="BB337" i="2"/>
  <c r="AR335" i="2"/>
  <c r="AZ335" i="2"/>
  <c r="AQ336" i="2"/>
  <c r="AY336" i="2"/>
  <c r="AP337" i="2"/>
  <c r="AU337" i="2"/>
  <c r="AX337" i="2"/>
  <c r="AZ337" i="2"/>
  <c r="AS331" i="2"/>
  <c r="AT331" i="2"/>
  <c r="BB331" i="2"/>
  <c r="AS332" i="2"/>
  <c r="BA332" i="2"/>
  <c r="AR333" i="2"/>
  <c r="AZ333" i="2"/>
  <c r="AQ334" i="2"/>
  <c r="AP335" i="2"/>
  <c r="AX335" i="2"/>
  <c r="AO336" i="2"/>
  <c r="AW336" i="2"/>
  <c r="AN337" i="2"/>
  <c r="AR331" i="2"/>
  <c r="AY334" i="2"/>
  <c r="AV337" i="2"/>
  <c r="AP362" i="2"/>
  <c r="AX362" i="2"/>
  <c r="AW363" i="2"/>
  <c r="AN364" i="2"/>
  <c r="AM365" i="2"/>
  <c r="AU365" i="2"/>
  <c r="BC365" i="2"/>
  <c r="AT366" i="2"/>
  <c r="AM362" i="2"/>
  <c r="AO362" i="2"/>
  <c r="AU362" i="2"/>
  <c r="BC362" i="2"/>
  <c r="AN363" i="2"/>
  <c r="AU363" i="2"/>
  <c r="AV363" i="2"/>
  <c r="BB363" i="2"/>
  <c r="AM364" i="2"/>
  <c r="AS364" i="2"/>
  <c r="AT364" i="2"/>
  <c r="BA364" i="2"/>
  <c r="BC364" i="2"/>
  <c r="AR365" i="2"/>
  <c r="AT365" i="2"/>
  <c r="AZ365" i="2"/>
  <c r="BB365" i="2"/>
  <c r="AQ366" i="2"/>
  <c r="AS366" i="2"/>
  <c r="AX366" i="2"/>
  <c r="AY366" i="2"/>
  <c r="BA366" i="2"/>
  <c r="AR367" i="2"/>
  <c r="AX367" i="2"/>
  <c r="AZ367" i="2"/>
  <c r="AO368" i="2"/>
  <c r="AQ368" i="2"/>
  <c r="AW368" i="2"/>
  <c r="AY368" i="2"/>
  <c r="AN362" i="2"/>
  <c r="AV362" i="2"/>
  <c r="AW362" i="2"/>
  <c r="AZ362" i="2"/>
  <c r="AM363" i="2"/>
  <c r="AO363" i="2"/>
  <c r="AT363" i="2"/>
  <c r="BC363" i="2"/>
  <c r="AU364" i="2"/>
  <c r="AV364" i="2"/>
  <c r="AX364" i="2"/>
  <c r="BB364" i="2"/>
  <c r="AS365" i="2"/>
  <c r="AW365" i="2"/>
  <c r="BA365" i="2"/>
  <c r="AR366" i="2"/>
  <c r="BB366" i="2"/>
  <c r="AP367" i="2"/>
  <c r="AU367" i="2"/>
  <c r="AY367" i="2"/>
  <c r="AR419" i="2"/>
  <c r="AS419" i="2"/>
  <c r="AT419" i="2"/>
  <c r="BA419" i="2"/>
  <c r="BB419" i="2"/>
  <c r="AN423" i="2"/>
  <c r="AM421" i="2"/>
  <c r="AP421" i="2"/>
  <c r="AT421" i="2"/>
  <c r="AU421" i="2"/>
  <c r="AV421" i="2"/>
  <c r="AW421" i="2"/>
  <c r="BB421" i="2"/>
  <c r="BC421" i="2"/>
  <c r="AM422" i="2"/>
  <c r="AN422" i="2"/>
  <c r="AP422" i="2"/>
  <c r="AR422" i="2"/>
  <c r="AT422" i="2"/>
  <c r="AV422" i="2"/>
  <c r="AX422" i="2"/>
  <c r="AZ422" i="2"/>
  <c r="BA422" i="2"/>
  <c r="BB422" i="2"/>
  <c r="BC422" i="2"/>
  <c r="AQ426" i="2"/>
  <c r="AN424" i="2"/>
  <c r="AO424" i="2"/>
  <c r="AP424" i="2"/>
  <c r="AQ424" i="2"/>
  <c r="AV424" i="2"/>
  <c r="AW424" i="2"/>
  <c r="AX424" i="2"/>
  <c r="AY424" i="2"/>
  <c r="BC424" i="2"/>
  <c r="AN426" i="2"/>
  <c r="AT426" i="2"/>
  <c r="AU426" i="2"/>
  <c r="AV426" i="2"/>
  <c r="AW426" i="2"/>
  <c r="BB426" i="2"/>
  <c r="AM425" i="2"/>
  <c r="AO425" i="2"/>
  <c r="AQ425" i="2"/>
  <c r="AS425" i="2"/>
  <c r="AT425" i="2"/>
  <c r="AU425" i="2"/>
  <c r="AV425" i="2"/>
  <c r="AW425" i="2"/>
  <c r="AY425" i="2"/>
  <c r="BA425" i="2"/>
  <c r="BC425" i="2"/>
  <c r="AT427" i="2"/>
  <c r="BB427" i="2"/>
  <c r="AM428" i="2"/>
  <c r="AU428" i="2"/>
  <c r="AY428" i="2"/>
  <c r="BC428" i="2"/>
  <c r="AN428" i="2"/>
  <c r="AP428" i="2"/>
  <c r="AV428" i="2"/>
  <c r="AX428" i="2"/>
  <c r="AX429" i="2"/>
  <c r="AZ429" i="2"/>
  <c r="AY418" i="2"/>
  <c r="AX427" i="2"/>
  <c r="AO418" i="2"/>
  <c r="AQ418" i="2"/>
  <c r="AS418" i="2"/>
  <c r="AU418" i="2"/>
  <c r="AW418" i="2"/>
  <c r="AM419" i="2"/>
  <c r="AN419" i="2"/>
  <c r="AO419" i="2"/>
  <c r="AP419" i="2"/>
  <c r="AQ419" i="2"/>
  <c r="AU419" i="2"/>
  <c r="AV419" i="2"/>
  <c r="AW419" i="2"/>
  <c r="AX419" i="2"/>
  <c r="AY419" i="2"/>
  <c r="AZ419" i="2"/>
  <c r="BC419" i="2"/>
  <c r="AM420" i="2"/>
  <c r="AS420" i="2"/>
  <c r="AU420" i="2"/>
  <c r="AW420" i="2"/>
  <c r="BA420" i="2"/>
  <c r="BC420" i="2"/>
  <c r="AN421" i="2"/>
  <c r="AO421" i="2"/>
  <c r="AQ421" i="2"/>
  <c r="AR421" i="2"/>
  <c r="AS421" i="2"/>
  <c r="AX421" i="2"/>
  <c r="AY421" i="2"/>
  <c r="AZ421" i="2"/>
  <c r="BA421" i="2"/>
  <c r="AO422" i="2"/>
  <c r="AQ422" i="2"/>
  <c r="AS422" i="2"/>
  <c r="AU422" i="2"/>
  <c r="AW422" i="2"/>
  <c r="AY422" i="2"/>
  <c r="AR423" i="2"/>
  <c r="AV423" i="2"/>
  <c r="AX423" i="2"/>
  <c r="AZ423" i="2"/>
  <c r="AM424" i="2"/>
  <c r="AR424" i="2"/>
  <c r="AS424" i="2"/>
  <c r="AT424" i="2"/>
  <c r="AU424" i="2"/>
  <c r="AZ424" i="2"/>
  <c r="BA424" i="2"/>
  <c r="BB424" i="2"/>
  <c r="AN425" i="2"/>
  <c r="AP425" i="2"/>
  <c r="AR425" i="2"/>
  <c r="AX425" i="2"/>
  <c r="AZ425" i="2"/>
  <c r="BB425" i="2"/>
  <c r="AM426" i="2"/>
  <c r="AO426" i="2"/>
  <c r="AS426" i="2"/>
  <c r="AY426" i="2"/>
  <c r="BA426" i="2"/>
  <c r="BC426" i="2"/>
  <c r="AP427" i="2"/>
  <c r="AQ428" i="2"/>
  <c r="AS428" i="2"/>
  <c r="AW428" i="2"/>
  <c r="AO481" i="2"/>
  <c r="AR487" i="2"/>
  <c r="AR509" i="2"/>
  <c r="AO494" i="2"/>
  <c r="BC494" i="2"/>
  <c r="AZ510" i="2"/>
  <c r="AQ500" i="2"/>
  <c r="AM526" i="2"/>
  <c r="AS526" i="2"/>
  <c r="AU526" i="2"/>
  <c r="BA526" i="2"/>
  <c r="AR529" i="2"/>
  <c r="AZ529" i="2"/>
  <c r="AQ528" i="2"/>
  <c r="AY528" i="2"/>
  <c r="AT527" i="2"/>
  <c r="AU527" i="2"/>
  <c r="BB527" i="2"/>
  <c r="BC527" i="2"/>
  <c r="AP529" i="2"/>
  <c r="AX529" i="2"/>
  <c r="AN527" i="2"/>
  <c r="AR526" i="2"/>
  <c r="AV527" i="2"/>
  <c r="AZ526" i="2"/>
  <c r="BB528" i="2"/>
  <c r="BC526" i="2"/>
  <c r="AM527" i="2"/>
  <c r="AS528" i="2"/>
  <c r="AT528" i="2"/>
  <c r="BA528" i="2"/>
  <c r="BE510" i="2" l="1"/>
  <c r="BE476" i="2"/>
  <c r="AV279" i="2"/>
  <c r="AV526" i="2"/>
  <c r="AT466" i="2"/>
  <c r="AO473" i="2"/>
  <c r="AY420" i="2"/>
  <c r="AQ420" i="2"/>
  <c r="AU368" i="2"/>
  <c r="AS362" i="2"/>
  <c r="AV366" i="2"/>
  <c r="AY363" i="2"/>
  <c r="BE500" i="2"/>
  <c r="BE507" i="2"/>
  <c r="BE466" i="2"/>
  <c r="BF429" i="2"/>
  <c r="BD423" i="2"/>
  <c r="AY527" i="2"/>
  <c r="AQ527" i="2"/>
  <c r="AZ528" i="2"/>
  <c r="AR528" i="2"/>
  <c r="BB526" i="2"/>
  <c r="AT526" i="2"/>
  <c r="BC529" i="2"/>
  <c r="AU529" i="2"/>
  <c r="AM529" i="2"/>
  <c r="AW528" i="2"/>
  <c r="AO528" i="2"/>
  <c r="AY526" i="2"/>
  <c r="AQ526" i="2"/>
  <c r="AO466" i="2"/>
  <c r="AO476" i="2"/>
  <c r="AX420" i="2"/>
  <c r="AP420" i="2"/>
  <c r="BB368" i="2"/>
  <c r="AT368" i="2"/>
  <c r="BC367" i="2"/>
  <c r="AM367" i="2"/>
  <c r="AN366" i="2"/>
  <c r="AO365" i="2"/>
  <c r="AP364" i="2"/>
  <c r="AQ363" i="2"/>
  <c r="AR362" i="2"/>
  <c r="AU69" i="2"/>
  <c r="AV69" i="2"/>
  <c r="AN69" i="2"/>
  <c r="BE527" i="2"/>
  <c r="BF527" i="2"/>
  <c r="BF529" i="2"/>
  <c r="BD527" i="2"/>
  <c r="BE526" i="2"/>
  <c r="BE429" i="2"/>
  <c r="BD427" i="2"/>
  <c r="BE423" i="2"/>
  <c r="AO453" i="2"/>
  <c r="AZ427" i="2"/>
  <c r="AR427" i="2"/>
  <c r="AO420" i="2"/>
  <c r="AP423" i="2"/>
  <c r="BA418" i="2"/>
  <c r="BC69" i="2"/>
  <c r="AM69" i="2"/>
  <c r="BD429" i="2"/>
  <c r="BD362" i="2"/>
  <c r="AN526" i="2"/>
  <c r="AP527" i="2"/>
  <c r="AS527" i="2"/>
  <c r="AT529" i="2"/>
  <c r="AV528" i="2"/>
  <c r="AW529" i="2"/>
  <c r="AX526" i="2"/>
  <c r="AW527" i="2"/>
  <c r="AO527" i="2"/>
  <c r="AX528" i="2"/>
  <c r="AP528" i="2"/>
  <c r="AY529" i="2"/>
  <c r="AQ529" i="2"/>
  <c r="BA529" i="2"/>
  <c r="AS529" i="2"/>
  <c r="BC528" i="2"/>
  <c r="AU528" i="2"/>
  <c r="AM528" i="2"/>
  <c r="AV529" i="2"/>
  <c r="AN529" i="2"/>
  <c r="AW526" i="2"/>
  <c r="AO526" i="2"/>
  <c r="AV500" i="2"/>
  <c r="BB69" i="2"/>
  <c r="AT69" i="2"/>
  <c r="BE528" i="2"/>
  <c r="BF260" i="2"/>
  <c r="AX527" i="2"/>
  <c r="BA527" i="2"/>
  <c r="BB529" i="2"/>
  <c r="AN528" i="2"/>
  <c r="AO529" i="2"/>
  <c r="AP526" i="2"/>
  <c r="AZ466" i="2"/>
  <c r="AT472" i="2"/>
  <c r="BA189" i="2"/>
  <c r="AS189" i="2"/>
  <c r="BE260" i="2"/>
  <c r="BE256" i="2"/>
  <c r="BE75" i="2"/>
  <c r="AR472" i="2"/>
  <c r="BC337" i="2"/>
  <c r="AM337" i="2"/>
  <c r="AV336" i="2"/>
  <c r="AW335" i="2"/>
  <c r="AX334" i="2"/>
  <c r="AP334" i="2"/>
  <c r="AQ333" i="2"/>
  <c r="AZ332" i="2"/>
  <c r="BA331" i="2"/>
  <c r="BF259" i="2"/>
  <c r="BF235" i="2"/>
  <c r="BF255" i="2"/>
  <c r="BE285" i="2"/>
  <c r="BE284" i="2"/>
  <c r="BE281" i="2"/>
  <c r="BE218" i="2"/>
  <c r="AR429" i="2"/>
  <c r="BB429" i="2"/>
  <c r="AT429" i="2"/>
  <c r="AO428" i="2"/>
  <c r="AY427" i="2"/>
  <c r="AQ427" i="2"/>
  <c r="AZ418" i="2"/>
  <c r="AR418" i="2"/>
  <c r="BA368" i="2"/>
  <c r="AS368" i="2"/>
  <c r="AZ368" i="2"/>
  <c r="AR368" i="2"/>
  <c r="BA367" i="2"/>
  <c r="AS367" i="2"/>
  <c r="AW258" i="2"/>
  <c r="AZ220" i="2"/>
  <c r="AR217" i="2"/>
  <c r="AT216" i="2"/>
  <c r="BC87" i="2"/>
  <c r="BC86" i="2" s="1"/>
  <c r="AN87" i="2"/>
  <c r="AN86" i="2" s="1"/>
  <c r="BF510" i="2"/>
  <c r="BF494" i="2"/>
  <c r="BF476" i="2"/>
  <c r="BF460" i="2"/>
  <c r="BE259" i="2"/>
  <c r="BE235" i="2"/>
  <c r="BF87" i="2"/>
  <c r="BF86" i="2" s="1"/>
  <c r="AZ472" i="2"/>
  <c r="BA337" i="2"/>
  <c r="AS337" i="2"/>
  <c r="BB336" i="2"/>
  <c r="AT336" i="2"/>
  <c r="BC335" i="2"/>
  <c r="AU335" i="2"/>
  <c r="AM335" i="2"/>
  <c r="AV334" i="2"/>
  <c r="AN334" i="2"/>
  <c r="AW333" i="2"/>
  <c r="AO333" i="2"/>
  <c r="AX332" i="2"/>
  <c r="AP332" i="2"/>
  <c r="AY331" i="2"/>
  <c r="AQ331" i="2"/>
  <c r="AR337" i="2"/>
  <c r="BA336" i="2"/>
  <c r="AS336" i="2"/>
  <c r="BB335" i="2"/>
  <c r="AT335" i="2"/>
  <c r="BC334" i="2"/>
  <c r="AU334" i="2"/>
  <c r="AM334" i="2"/>
  <c r="AV333" i="2"/>
  <c r="AN333" i="2"/>
  <c r="AW332" i="2"/>
  <c r="AO332" i="2"/>
  <c r="AX331" i="2"/>
  <c r="AP331" i="2"/>
  <c r="AY337" i="2"/>
  <c r="AQ337" i="2"/>
  <c r="AZ336" i="2"/>
  <c r="AR336" i="2"/>
  <c r="BA335" i="2"/>
  <c r="AS335" i="2"/>
  <c r="BB334" i="2"/>
  <c r="AT334" i="2"/>
  <c r="BC333" i="2"/>
  <c r="AU333" i="2"/>
  <c r="AM333" i="2"/>
  <c r="AV332" i="2"/>
  <c r="AN332" i="2"/>
  <c r="AW331" i="2"/>
  <c r="AO331" i="2"/>
  <c r="AW99" i="2"/>
  <c r="BA69" i="2"/>
  <c r="AS69" i="2"/>
  <c r="BE494" i="2"/>
  <c r="BE508" i="2" s="1"/>
  <c r="BE460" i="2"/>
  <c r="BF244" i="2"/>
  <c r="BE220" i="2"/>
  <c r="BF69" i="2"/>
  <c r="AY87" i="2"/>
  <c r="AP87" i="2"/>
  <c r="AP86" i="2" s="1"/>
  <c r="AR223" i="2"/>
  <c r="AV473" i="2"/>
  <c r="AT420" i="2"/>
  <c r="AX368" i="2"/>
  <c r="AP368" i="2"/>
  <c r="AQ367" i="2"/>
  <c r="AZ366" i="2"/>
  <c r="AR255" i="2"/>
  <c r="AU218" i="2"/>
  <c r="AT99" i="2"/>
  <c r="AT98" i="2" s="1"/>
  <c r="AZ87" i="2"/>
  <c r="AZ86" i="2" s="1"/>
  <c r="AY75" i="2"/>
  <c r="AQ75" i="2"/>
  <c r="AY69" i="2"/>
  <c r="AQ69" i="2"/>
  <c r="AZ69" i="2"/>
  <c r="AR69" i="2"/>
  <c r="BF473" i="2"/>
  <c r="BE366" i="2"/>
  <c r="BF363" i="2"/>
  <c r="BD368" i="2"/>
  <c r="BE365" i="2"/>
  <c r="BF362" i="2"/>
  <c r="BE244" i="2"/>
  <c r="BE219" i="2"/>
  <c r="AX87" i="2"/>
  <c r="AX86" i="2" s="1"/>
  <c r="BA334" i="2"/>
  <c r="AS334" i="2"/>
  <c r="BB333" i="2"/>
  <c r="AT333" i="2"/>
  <c r="BC332" i="2"/>
  <c r="AU332" i="2"/>
  <c r="AM332" i="2"/>
  <c r="AV331" i="2"/>
  <c r="AN331" i="2"/>
  <c r="AW337" i="2"/>
  <c r="AO337" i="2"/>
  <c r="AX336" i="2"/>
  <c r="AP336" i="2"/>
  <c r="AY335" i="2"/>
  <c r="AQ335" i="2"/>
  <c r="AZ334" i="2"/>
  <c r="AR334" i="2"/>
  <c r="BA333" i="2"/>
  <c r="AS333" i="2"/>
  <c r="BB332" i="2"/>
  <c r="AT332" i="2"/>
  <c r="BC331" i="2"/>
  <c r="AU331" i="2"/>
  <c r="AM331" i="2"/>
  <c r="AV257" i="2"/>
  <c r="AW87" i="2"/>
  <c r="AW86" i="2" s="1"/>
  <c r="AX75" i="2"/>
  <c r="AP75" i="2"/>
  <c r="BF368" i="2"/>
  <c r="BD366" i="2"/>
  <c r="BE363" i="2"/>
  <c r="BF367" i="2"/>
  <c r="BD365" i="2"/>
  <c r="BE362" i="2"/>
  <c r="BF366" i="2"/>
  <c r="BD364" i="2"/>
  <c r="BF261" i="2"/>
  <c r="BF257" i="2"/>
  <c r="BF98" i="2"/>
  <c r="BD69" i="2"/>
  <c r="AR284" i="2"/>
  <c r="AV429" i="2"/>
  <c r="AN429" i="2"/>
  <c r="AP429" i="2"/>
  <c r="AY429" i="2"/>
  <c r="AQ429" i="2"/>
  <c r="AZ428" i="2"/>
  <c r="AR428" i="2"/>
  <c r="BA428" i="2"/>
  <c r="BC427" i="2"/>
  <c r="AU427" i="2"/>
  <c r="AM427" i="2"/>
  <c r="AV427" i="2"/>
  <c r="AN427" i="2"/>
  <c r="AX426" i="2"/>
  <c r="AP426" i="2"/>
  <c r="BB423" i="2"/>
  <c r="AT423" i="2"/>
  <c r="BC418" i="2"/>
  <c r="AM418" i="2"/>
  <c r="AV418" i="2"/>
  <c r="AN418" i="2"/>
  <c r="AV368" i="2"/>
  <c r="AN368" i="2"/>
  <c r="AW367" i="2"/>
  <c r="AO367" i="2"/>
  <c r="AP366" i="2"/>
  <c r="AY365" i="2"/>
  <c r="AQ365" i="2"/>
  <c r="AZ364" i="2"/>
  <c r="AR364" i="2"/>
  <c r="BA363" i="2"/>
  <c r="AS363" i="2"/>
  <c r="BB362" i="2"/>
  <c r="AT362" i="2"/>
  <c r="BC368" i="2"/>
  <c r="AM368" i="2"/>
  <c r="AV367" i="2"/>
  <c r="AN367" i="2"/>
  <c r="AW366" i="2"/>
  <c r="AO366" i="2"/>
  <c r="AX365" i="2"/>
  <c r="AP365" i="2"/>
  <c r="AY364" i="2"/>
  <c r="AQ364" i="2"/>
  <c r="AZ363" i="2"/>
  <c r="AR363" i="2"/>
  <c r="BA362" i="2"/>
  <c r="AP220" i="2"/>
  <c r="BE261" i="2"/>
  <c r="BE257" i="2"/>
  <c r="BE99" i="2"/>
  <c r="AV87" i="2"/>
  <c r="AM87" i="2"/>
  <c r="BF64" i="2"/>
  <c r="BF283" i="2"/>
  <c r="BF210" i="2"/>
  <c r="BF209" i="2" s="1"/>
  <c r="BF223" i="2"/>
  <c r="BF220" i="2"/>
  <c r="BF217" i="2"/>
  <c r="BF285" i="2"/>
  <c r="BF280" i="2"/>
  <c r="BE197" i="2"/>
  <c r="BE221" i="2" s="1"/>
  <c r="BE283" i="2"/>
  <c r="BF256" i="2"/>
  <c r="BF472" i="2"/>
  <c r="BE447" i="2"/>
  <c r="BE87" i="2"/>
  <c r="BE86" i="2" s="1"/>
  <c r="BE64" i="2"/>
  <c r="BF453" i="2"/>
  <c r="BF477" i="2" s="1"/>
  <c r="BF447" i="2"/>
  <c r="BE280" i="2"/>
  <c r="BE509" i="2"/>
  <c r="BE472" i="2"/>
  <c r="BE487" i="2"/>
  <c r="BE255" i="2"/>
  <c r="BE453" i="2"/>
  <c r="BF282" i="2"/>
  <c r="BF487" i="2"/>
  <c r="BF500" i="2"/>
  <c r="BF481" i="2"/>
  <c r="BE279" i="2"/>
  <c r="BF198" i="2"/>
  <c r="BD64" i="2"/>
  <c r="BD510" i="2"/>
  <c r="BD506" i="2"/>
  <c r="BD509" i="2"/>
  <c r="BD460" i="2"/>
  <c r="BD261" i="2"/>
  <c r="BD256" i="2"/>
  <c r="AT284" i="2"/>
  <c r="AR198" i="2"/>
  <c r="AN261" i="2"/>
  <c r="BB99" i="2"/>
  <c r="BB98" i="2" s="1"/>
  <c r="AV507" i="2"/>
  <c r="AT475" i="2"/>
  <c r="AO258" i="2"/>
  <c r="AZ198" i="2"/>
  <c r="AZ197" i="2" s="1"/>
  <c r="AU60" i="2"/>
  <c r="AO509" i="2"/>
  <c r="AO487" i="2"/>
  <c r="AR466" i="2"/>
  <c r="AR99" i="2"/>
  <c r="AR98" i="2" s="1"/>
  <c r="AW60" i="2"/>
  <c r="AO500" i="2"/>
  <c r="AQ481" i="2"/>
  <c r="AV453" i="2"/>
  <c r="AR244" i="2"/>
  <c r="AN500" i="2"/>
  <c r="AY509" i="2"/>
  <c r="AT453" i="2"/>
  <c r="AZ475" i="2"/>
  <c r="AQ510" i="2"/>
  <c r="AQ453" i="2"/>
  <c r="AP283" i="2"/>
  <c r="BC223" i="2"/>
  <c r="AZ99" i="2"/>
  <c r="AZ487" i="2"/>
  <c r="AN260" i="2"/>
  <c r="AT494" i="2"/>
  <c r="AN453" i="2"/>
  <c r="BB280" i="2"/>
  <c r="AN259" i="2"/>
  <c r="AU217" i="2"/>
  <c r="AT281" i="2"/>
  <c r="AU257" i="2"/>
  <c r="BC466" i="2"/>
  <c r="BC453" i="2"/>
  <c r="AW500" i="2"/>
  <c r="BB259" i="2"/>
  <c r="AU487" i="2"/>
  <c r="AW487" i="2"/>
  <c r="BB256" i="2"/>
  <c r="BB261" i="2"/>
  <c r="BB260" i="2"/>
  <c r="AW481" i="2"/>
  <c r="AU481" i="2"/>
  <c r="BB472" i="2"/>
  <c r="AV256" i="2"/>
  <c r="AN257" i="2"/>
  <c r="AW466" i="2"/>
  <c r="AO281" i="2"/>
  <c r="AO244" i="2"/>
  <c r="AX99" i="2"/>
  <c r="AX98" i="2" s="1"/>
  <c r="AR86" i="2"/>
  <c r="AT282" i="2"/>
  <c r="AV506" i="2"/>
  <c r="AN475" i="2"/>
  <c r="AZ473" i="2"/>
  <c r="AR282" i="2"/>
  <c r="AT219" i="2"/>
  <c r="BC198" i="2"/>
  <c r="BC197" i="2" s="1"/>
  <c r="AZ217" i="2"/>
  <c r="AQ494" i="2"/>
  <c r="AV509" i="2"/>
  <c r="AR460" i="2"/>
  <c r="AV472" i="2"/>
  <c r="BC476" i="2"/>
  <c r="AY510" i="2"/>
  <c r="AU223" i="2"/>
  <c r="AX220" i="2"/>
  <c r="AV510" i="2"/>
  <c r="AN506" i="2"/>
  <c r="BC487" i="2"/>
  <c r="AT473" i="2"/>
  <c r="AR257" i="2"/>
  <c r="AT255" i="2"/>
  <c r="AP218" i="2"/>
  <c r="AZ216" i="2"/>
  <c r="AR220" i="2"/>
  <c r="AP510" i="2"/>
  <c r="AX472" i="2"/>
  <c r="AX509" i="2"/>
  <c r="BD65" i="2"/>
  <c r="AP60" i="2"/>
  <c r="AR261" i="2"/>
  <c r="BD283" i="2"/>
  <c r="BD280" i="2"/>
  <c r="AN280" i="2"/>
  <c r="AT285" i="2"/>
  <c r="BD284" i="2"/>
  <c r="AZ283" i="2"/>
  <c r="AY282" i="2"/>
  <c r="BB281" i="2"/>
  <c r="AP219" i="2"/>
  <c r="AM218" i="2"/>
  <c r="AT261" i="2"/>
  <c r="AO259" i="2"/>
  <c r="AN216" i="2"/>
  <c r="BD466" i="2"/>
  <c r="BD473" i="2"/>
  <c r="BD210" i="2"/>
  <c r="BD209" i="2" s="1"/>
  <c r="AM217" i="2"/>
  <c r="BB284" i="2"/>
  <c r="AV260" i="2"/>
  <c r="AW255" i="2"/>
  <c r="AR218" i="2"/>
  <c r="BC218" i="2"/>
  <c r="BD218" i="2"/>
  <c r="AT280" i="2"/>
  <c r="AO261" i="2"/>
  <c r="AN258" i="2"/>
  <c r="AT244" i="2"/>
  <c r="AZ256" i="2"/>
  <c r="AO256" i="2"/>
  <c r="BB216" i="2"/>
  <c r="AO99" i="2"/>
  <c r="AO98" i="2" s="1"/>
  <c r="AR64" i="2"/>
  <c r="BD472" i="2"/>
  <c r="AM244" i="2"/>
  <c r="AM258" i="2"/>
  <c r="AM261" i="2"/>
  <c r="AM466" i="2"/>
  <c r="AM453" i="2"/>
  <c r="AM487" i="2"/>
  <c r="AM494" i="2"/>
  <c r="AP285" i="2"/>
  <c r="AX60" i="2"/>
  <c r="AW509" i="2"/>
  <c r="AR506" i="2"/>
  <c r="AX475" i="2"/>
  <c r="AV475" i="2"/>
  <c r="AZ460" i="2"/>
  <c r="AX473" i="2"/>
  <c r="AW473" i="2"/>
  <c r="AN472" i="2"/>
  <c r="AP475" i="2"/>
  <c r="AZ285" i="2"/>
  <c r="BB282" i="2"/>
  <c r="AW281" i="2"/>
  <c r="AZ279" i="2"/>
  <c r="BC257" i="2"/>
  <c r="AN220" i="2"/>
  <c r="BB218" i="2"/>
  <c r="AV216" i="2"/>
  <c r="BD258" i="2"/>
  <c r="AW280" i="2"/>
  <c r="AO280" i="2"/>
  <c r="BA460" i="2"/>
  <c r="BA481" i="2"/>
  <c r="BA99" i="2"/>
  <c r="BA98" i="2" s="1"/>
  <c r="BA220" i="2"/>
  <c r="BA216" i="2"/>
  <c r="BA87" i="2"/>
  <c r="AS481" i="2"/>
  <c r="AS99" i="2"/>
  <c r="AS98" i="2" s="1"/>
  <c r="AS220" i="2"/>
  <c r="AS216" i="2"/>
  <c r="AS219" i="2"/>
  <c r="AS210" i="2"/>
  <c r="AS209" i="2" s="1"/>
  <c r="AS87" i="2"/>
  <c r="AS86" i="2" s="1"/>
  <c r="AN510" i="2"/>
  <c r="AN509" i="2"/>
  <c r="AZ506" i="2"/>
  <c r="AM476" i="2"/>
  <c r="AO279" i="2"/>
  <c r="AR260" i="2"/>
  <c r="AV261" i="2"/>
  <c r="BC259" i="2"/>
  <c r="AT258" i="2"/>
  <c r="AP255" i="2"/>
  <c r="AV99" i="2"/>
  <c r="AV98" i="2" s="1"/>
  <c r="AN282" i="2"/>
  <c r="AR279" i="2"/>
  <c r="AR510" i="2"/>
  <c r="AZ507" i="2"/>
  <c r="AW279" i="2"/>
  <c r="AN279" i="2"/>
  <c r="AT260" i="2"/>
  <c r="AT259" i="2"/>
  <c r="BB258" i="2"/>
  <c r="AO255" i="2"/>
  <c r="AZ223" i="2"/>
  <c r="AP65" i="2"/>
  <c r="AU64" i="2"/>
  <c r="AQ284" i="2"/>
  <c r="AV282" i="2"/>
  <c r="AQ210" i="2"/>
  <c r="AQ209" i="2" s="1"/>
  <c r="AY284" i="2"/>
  <c r="BD282" i="2"/>
  <c r="BD279" i="2"/>
  <c r="AY64" i="2"/>
  <c r="AY494" i="2"/>
  <c r="AQ507" i="2"/>
  <c r="AS281" i="2"/>
  <c r="AW244" i="2"/>
  <c r="AW256" i="2"/>
  <c r="AN256" i="2"/>
  <c r="AY210" i="2"/>
  <c r="AY209" i="2" s="1"/>
  <c r="AP210" i="2"/>
  <c r="AP209" i="2" s="1"/>
  <c r="AU198" i="2"/>
  <c r="AU197" i="2" s="1"/>
  <c r="AM198" i="2"/>
  <c r="AM197" i="2" s="1"/>
  <c r="AY65" i="2"/>
  <c r="AQ65" i="2"/>
  <c r="BA60" i="2"/>
  <c r="AS60" i="2"/>
  <c r="AU260" i="2"/>
  <c r="AM260" i="2"/>
  <c r="AY285" i="2"/>
  <c r="AY283" i="2"/>
  <c r="AQ283" i="2"/>
  <c r="BA281" i="2"/>
  <c r="AV281" i="2"/>
  <c r="AZ509" i="2"/>
  <c r="AY507" i="2"/>
  <c r="AU510" i="2"/>
  <c r="AR473" i="2"/>
  <c r="AQ473" i="2"/>
  <c r="AW283" i="2"/>
  <c r="AP281" i="2"/>
  <c r="AV280" i="2"/>
  <c r="BC244" i="2"/>
  <c r="AX258" i="2"/>
  <c r="AU235" i="2"/>
  <c r="AT235" i="2"/>
  <c r="AX210" i="2"/>
  <c r="AX209" i="2" s="1"/>
  <c r="AW260" i="2"/>
  <c r="AZ261" i="2"/>
  <c r="BD281" i="2"/>
  <c r="AX506" i="2"/>
  <c r="AO508" i="2"/>
  <c r="AR475" i="2"/>
  <c r="AR285" i="2"/>
  <c r="AN284" i="2"/>
  <c r="AZ281" i="2"/>
  <c r="BB255" i="2"/>
  <c r="AM257" i="2"/>
  <c r="AW65" i="2"/>
  <c r="AQ282" i="2"/>
  <c r="AY279" i="2"/>
  <c r="AQ279" i="2"/>
  <c r="AY99" i="2"/>
  <c r="AY98" i="2" s="1"/>
  <c r="AQ99" i="2"/>
  <c r="AQ98" i="2" s="1"/>
  <c r="AW210" i="2"/>
  <c r="AW209" i="2" s="1"/>
  <c r="AO210" i="2"/>
  <c r="AO209" i="2" s="1"/>
  <c r="AY220" i="2"/>
  <c r="AQ220" i="2"/>
  <c r="AQ217" i="2"/>
  <c r="AW223" i="2"/>
  <c r="AO223" i="2"/>
  <c r="AW220" i="2"/>
  <c r="AO220" i="2"/>
  <c r="AY219" i="2"/>
  <c r="AQ219" i="2"/>
  <c r="AY218" i="2"/>
  <c r="AQ218" i="2"/>
  <c r="AW217" i="2"/>
  <c r="AO217" i="2"/>
  <c r="AN99" i="2"/>
  <c r="AN98" i="2" s="1"/>
  <c r="BD223" i="2"/>
  <c r="AV223" i="2"/>
  <c r="BD220" i="2"/>
  <c r="AX219" i="2"/>
  <c r="BB223" i="2"/>
  <c r="BD198" i="2"/>
  <c r="BB220" i="2"/>
  <c r="AT220" i="2"/>
  <c r="BD219" i="2"/>
  <c r="AV218" i="2"/>
  <c r="AN218" i="2"/>
  <c r="BD216" i="2"/>
  <c r="AQ466" i="2"/>
  <c r="AY466" i="2"/>
  <c r="AY258" i="2"/>
  <c r="AQ258" i="2"/>
  <c r="AY257" i="2"/>
  <c r="AQ257" i="2"/>
  <c r="AW460" i="2"/>
  <c r="AO460" i="2"/>
  <c r="BC473" i="2"/>
  <c r="AU473" i="2"/>
  <c r="AM473" i="2"/>
  <c r="AY453" i="2"/>
  <c r="AW447" i="2"/>
  <c r="BC447" i="2"/>
  <c r="AU447" i="2"/>
  <c r="BC472" i="2"/>
  <c r="AU472" i="2"/>
  <c r="AM472" i="2"/>
  <c r="AY500" i="2"/>
  <c r="AW494" i="2"/>
  <c r="AU507" i="2"/>
  <c r="AY487" i="2"/>
  <c r="AQ487" i="2"/>
  <c r="AQ511" i="2" s="1"/>
  <c r="AY476" i="2"/>
  <c r="BC507" i="2"/>
  <c r="BC510" i="2"/>
  <c r="AM507" i="2"/>
  <c r="AM510" i="2"/>
  <c r="AX285" i="2"/>
  <c r="AX279" i="2"/>
  <c r="AY217" i="2"/>
  <c r="AU509" i="2"/>
  <c r="AO447" i="2"/>
  <c r="AO283" i="2"/>
  <c r="AV285" i="2"/>
  <c r="AS244" i="2"/>
  <c r="AM235" i="2"/>
  <c r="AM255" i="2"/>
  <c r="AM99" i="2"/>
  <c r="AM98" i="2" s="1"/>
  <c r="AQ244" i="2"/>
  <c r="BD60" i="2"/>
  <c r="BE60" i="2"/>
  <c r="AS235" i="2"/>
  <c r="AO472" i="2"/>
  <c r="AU460" i="2"/>
  <c r="BC460" i="2"/>
  <c r="AW259" i="2"/>
  <c r="BC235" i="2"/>
  <c r="BC255" i="2"/>
  <c r="AU99" i="2"/>
  <c r="AU98" i="2" s="1"/>
  <c r="AQ506" i="2"/>
  <c r="AT510" i="2"/>
  <c r="BB475" i="2"/>
  <c r="AN473" i="2"/>
  <c r="AV284" i="2"/>
  <c r="AX280" i="2"/>
  <c r="BA261" i="2"/>
  <c r="BB235" i="2"/>
  <c r="AX64" i="2"/>
  <c r="AS256" i="2"/>
  <c r="BA507" i="2"/>
  <c r="AQ285" i="2"/>
  <c r="AS65" i="2"/>
  <c r="AT65" i="2"/>
  <c r="BB64" i="2"/>
  <c r="BC64" i="2"/>
  <c r="AZ259" i="2"/>
  <c r="AZ260" i="2"/>
  <c r="AX284" i="2"/>
  <c r="AP284" i="2"/>
  <c r="AX282" i="2"/>
  <c r="AP282" i="2"/>
  <c r="BB285" i="2"/>
  <c r="BB283" i="2"/>
  <c r="AN281" i="2"/>
  <c r="AM509" i="2"/>
  <c r="BA219" i="2"/>
  <c r="AY244" i="2"/>
  <c r="BA235" i="2"/>
  <c r="AS261" i="2"/>
  <c r="AU259" i="2"/>
  <c r="AS507" i="2"/>
  <c r="AR507" i="2"/>
  <c r="AW261" i="2"/>
  <c r="AY506" i="2"/>
  <c r="AS473" i="2"/>
  <c r="AX283" i="2"/>
  <c r="AU255" i="2"/>
  <c r="AN507" i="2"/>
  <c r="AW507" i="2"/>
  <c r="AO507" i="2"/>
  <c r="AW472" i="2"/>
  <c r="AY460" i="2"/>
  <c r="AQ460" i="2"/>
  <c r="BA473" i="2"/>
  <c r="BB473" i="2"/>
  <c r="AV283" i="2"/>
  <c r="AS280" i="2"/>
  <c r="AS255" i="2"/>
  <c r="AU244" i="2"/>
  <c r="AU261" i="2"/>
  <c r="BC260" i="2"/>
  <c r="AX223" i="2"/>
  <c r="AO65" i="2"/>
  <c r="BA282" i="2"/>
  <c r="BC509" i="2"/>
  <c r="BB510" i="2"/>
  <c r="AW476" i="2"/>
  <c r="BC500" i="2"/>
  <c r="AU500" i="2"/>
  <c r="AM500" i="2"/>
  <c r="BC261" i="2"/>
  <c r="AZ284" i="2"/>
  <c r="AR281" i="2"/>
  <c r="AY280" i="2"/>
  <c r="AM259" i="2"/>
  <c r="AY256" i="2"/>
  <c r="AY198" i="2"/>
  <c r="AY197" i="2" s="1"/>
  <c r="AQ198" i="2"/>
  <c r="AQ197" i="2" s="1"/>
  <c r="AP223" i="2"/>
  <c r="BB60" i="2"/>
  <c r="BD260" i="2"/>
  <c r="BD257" i="2"/>
  <c r="AP64" i="2"/>
  <c r="AZ65" i="2"/>
  <c r="AR65" i="2"/>
  <c r="BC481" i="2"/>
  <c r="BC508" i="2" s="1"/>
  <c r="AM481" i="2"/>
  <c r="AM460" i="2"/>
  <c r="AV460" i="2"/>
  <c r="AN460" i="2"/>
  <c r="AY473" i="2"/>
  <c r="AV476" i="2"/>
  <c r="AN476" i="2"/>
  <c r="AW475" i="2"/>
  <c r="AO475" i="2"/>
  <c r="AY447" i="2"/>
  <c r="AQ447" i="2"/>
  <c r="AZ447" i="2"/>
  <c r="AR447" i="2"/>
  <c r="AN285" i="2"/>
  <c r="AW284" i="2"/>
  <c r="AO284" i="2"/>
  <c r="AN283" i="2"/>
  <c r="AW282" i="2"/>
  <c r="AO282" i="2"/>
  <c r="AX281" i="2"/>
  <c r="BB279" i="2"/>
  <c r="AT279" i="2"/>
  <c r="BB244" i="2"/>
  <c r="AU258" i="2"/>
  <c r="AV235" i="2"/>
  <c r="AN235" i="2"/>
  <c r="BA258" i="2"/>
  <c r="AS258" i="2"/>
  <c r="BB257" i="2"/>
  <c r="AT257" i="2"/>
  <c r="BC256" i="2"/>
  <c r="AU256" i="2"/>
  <c r="AM256" i="2"/>
  <c r="AV255" i="2"/>
  <c r="AN255" i="2"/>
  <c r="BB65" i="2"/>
  <c r="BD285" i="2"/>
  <c r="AN223" i="2"/>
  <c r="AT223" i="2"/>
  <c r="AS460" i="2"/>
  <c r="AZ282" i="2"/>
  <c r="BA280" i="2"/>
  <c r="AQ280" i="2"/>
  <c r="AP258" i="2"/>
  <c r="AP244" i="2"/>
  <c r="AR259" i="2"/>
  <c r="AZ258" i="2"/>
  <c r="AR235" i="2"/>
  <c r="BA210" i="2"/>
  <c r="BA209" i="2" s="1"/>
  <c r="BC99" i="2"/>
  <c r="BC98" i="2" s="1"/>
  <c r="AO260" i="2"/>
  <c r="AY481" i="2"/>
  <c r="AU453" i="2"/>
  <c r="AM447" i="2"/>
  <c r="AV447" i="2"/>
  <c r="AN447" i="2"/>
  <c r="AW285" i="2"/>
  <c r="AO285" i="2"/>
  <c r="AY281" i="2"/>
  <c r="AQ281" i="2"/>
  <c r="AZ280" i="2"/>
  <c r="AR280" i="2"/>
  <c r="AR283" i="2"/>
  <c r="AS282" i="2"/>
  <c r="AP280" i="2"/>
  <c r="AX244" i="2"/>
  <c r="AZ235" i="2"/>
  <c r="AW219" i="2"/>
  <c r="BC60" i="2"/>
  <c r="AT60" i="2"/>
  <c r="BD217" i="2"/>
  <c r="BD447" i="2"/>
  <c r="AX476" i="2"/>
  <c r="AP476" i="2"/>
  <c r="AS447" i="2"/>
  <c r="BB447" i="2"/>
  <c r="AT447" i="2"/>
  <c r="AV198" i="2"/>
  <c r="AV197" i="2" s="1"/>
  <c r="AN198" i="2"/>
  <c r="AN197" i="2" s="1"/>
  <c r="AW98" i="2"/>
  <c r="AX65" i="2"/>
  <c r="AQ64" i="2"/>
  <c r="BA64" i="2"/>
  <c r="AS64" i="2"/>
  <c r="AX460" i="2"/>
  <c r="AP460" i="2"/>
  <c r="AW453" i="2"/>
  <c r="AW477" i="2" s="1"/>
  <c r="AV258" i="2"/>
  <c r="AW235" i="2"/>
  <c r="AO235" i="2"/>
  <c r="AZ210" i="2"/>
  <c r="AZ209" i="2" s="1"/>
  <c r="AR210" i="2"/>
  <c r="AR209" i="2" s="1"/>
  <c r="AP99" i="2"/>
  <c r="AP98" i="2" s="1"/>
  <c r="AZ64" i="2"/>
  <c r="BD255" i="2"/>
  <c r="BD259" i="2"/>
  <c r="BB506" i="2"/>
  <c r="BB481" i="2"/>
  <c r="BB509" i="2"/>
  <c r="BB507" i="2"/>
  <c r="AT506" i="2"/>
  <c r="AT481" i="2"/>
  <c r="AT509" i="2"/>
  <c r="AT507" i="2"/>
  <c r="AZ219" i="2"/>
  <c r="AR219" i="2"/>
  <c r="BB217" i="2"/>
  <c r="AT217" i="2"/>
  <c r="BC216" i="2"/>
  <c r="AU216" i="2"/>
  <c r="AM216" i="2"/>
  <c r="AW198" i="2"/>
  <c r="AW197" i="2" s="1"/>
  <c r="AO198" i="2"/>
  <c r="AX198" i="2"/>
  <c r="AP198" i="2"/>
  <c r="AY223" i="2"/>
  <c r="AQ223" i="2"/>
  <c r="BC219" i="2"/>
  <c r="AU219" i="2"/>
  <c r="AM219" i="2"/>
  <c r="AX216" i="2"/>
  <c r="AP216" i="2"/>
  <c r="AZ98" i="2"/>
  <c r="BA86" i="2"/>
  <c r="BD476" i="2"/>
  <c r="BD99" i="2"/>
  <c r="BD98" i="2" s="1"/>
  <c r="BD86" i="2"/>
  <c r="BE65" i="2"/>
  <c r="AV210" i="2"/>
  <c r="AV209" i="2" s="1"/>
  <c r="AN210" i="2"/>
  <c r="AN209" i="2" s="1"/>
  <c r="BC220" i="2"/>
  <c r="AU220" i="2"/>
  <c r="AM220" i="2"/>
  <c r="AV219" i="2"/>
  <c r="AN219" i="2"/>
  <c r="AW218" i="2"/>
  <c r="AO218" i="2"/>
  <c r="AX217" i="2"/>
  <c r="AP217" i="2"/>
  <c r="AY216" i="2"/>
  <c r="AQ216" i="2"/>
  <c r="BB198" i="2"/>
  <c r="BB197" i="2" s="1"/>
  <c r="AT198" i="2"/>
  <c r="AT197" i="2" s="1"/>
  <c r="AY86" i="2"/>
  <c r="AQ86" i="2"/>
  <c r="BB210" i="2"/>
  <c r="AT210" i="2"/>
  <c r="AT209" i="2" s="1"/>
  <c r="BC210" i="2"/>
  <c r="BC209" i="2" s="1"/>
  <c r="AU210" i="2"/>
  <c r="AU209" i="2" s="1"/>
  <c r="AM210" i="2"/>
  <c r="AM209" i="2" s="1"/>
  <c r="BA198" i="2"/>
  <c r="BA197" i="2" s="1"/>
  <c r="AS198" i="2"/>
  <c r="AS197" i="2" s="1"/>
  <c r="AV86" i="2"/>
  <c r="BC65" i="2"/>
  <c r="AV60" i="2"/>
  <c r="AN60" i="2"/>
  <c r="BD475" i="2"/>
  <c r="BE222" i="2"/>
  <c r="BE98" i="2"/>
  <c r="BF526" i="2"/>
  <c r="BE473" i="2"/>
  <c r="BF475" i="2"/>
  <c r="BF528" i="2"/>
  <c r="BE475" i="2"/>
  <c r="AZ420" i="2"/>
  <c r="AR420" i="2"/>
  <c r="BA423" i="2"/>
  <c r="AS423" i="2"/>
  <c r="BB500" i="2"/>
  <c r="AT500" i="2"/>
  <c r="AZ494" i="2"/>
  <c r="AR494" i="2"/>
  <c r="AX487" i="2"/>
  <c r="AP487" i="2"/>
  <c r="AV481" i="2"/>
  <c r="AN481" i="2"/>
  <c r="AW429" i="2"/>
  <c r="AO429" i="2"/>
  <c r="BA427" i="2"/>
  <c r="AS427" i="2"/>
  <c r="AY423" i="2"/>
  <c r="AQ423" i="2"/>
  <c r="BB418" i="2"/>
  <c r="AT418" i="2"/>
  <c r="AZ527" i="2"/>
  <c r="AR527" i="2"/>
  <c r="AW510" i="2"/>
  <c r="AO510" i="2"/>
  <c r="AU476" i="2"/>
  <c r="BA472" i="2"/>
  <c r="AS472" i="2"/>
  <c r="AV466" i="2"/>
  <c r="AN466" i="2"/>
  <c r="BB460" i="2"/>
  <c r="AT460" i="2"/>
  <c r="AZ453" i="2"/>
  <c r="AZ477" i="2" s="1"/>
  <c r="AR453" i="2"/>
  <c r="BB476" i="2"/>
  <c r="AT476" i="2"/>
  <c r="BC475" i="2"/>
  <c r="AU475" i="2"/>
  <c r="AM475" i="2"/>
  <c r="AX447" i="2"/>
  <c r="AP447" i="2"/>
  <c r="BC279" i="2"/>
  <c r="BC281" i="2"/>
  <c r="BC282" i="2"/>
  <c r="BC283" i="2"/>
  <c r="BC280" i="2"/>
  <c r="AU279" i="2"/>
  <c r="AU281" i="2"/>
  <c r="AU282" i="2"/>
  <c r="AU283" i="2"/>
  <c r="AU280" i="2"/>
  <c r="AM279" i="2"/>
  <c r="AM281" i="2"/>
  <c r="AM282" i="2"/>
  <c r="AM283" i="2"/>
  <c r="AM280" i="2"/>
  <c r="AW506" i="2"/>
  <c r="AO506" i="2"/>
  <c r="AZ500" i="2"/>
  <c r="AZ511" i="2" s="1"/>
  <c r="AR500" i="2"/>
  <c r="AR511" i="2" s="1"/>
  <c r="AX494" i="2"/>
  <c r="AP494" i="2"/>
  <c r="AV487" i="2"/>
  <c r="AN487" i="2"/>
  <c r="AN511" i="2" s="1"/>
  <c r="AQ509" i="2"/>
  <c r="AS476" i="2"/>
  <c r="BC429" i="2"/>
  <c r="AU429" i="2"/>
  <c r="AM429" i="2"/>
  <c r="AV420" i="2"/>
  <c r="AN420" i="2"/>
  <c r="AW423" i="2"/>
  <c r="AO423" i="2"/>
  <c r="AQ476" i="2"/>
  <c r="AY472" i="2"/>
  <c r="AQ472" i="2"/>
  <c r="AZ476" i="2"/>
  <c r="AR476" i="2"/>
  <c r="BA475" i="2"/>
  <c r="AS475" i="2"/>
  <c r="BC506" i="2"/>
  <c r="AU506" i="2"/>
  <c r="AM506" i="2"/>
  <c r="AX500" i="2"/>
  <c r="AP500" i="2"/>
  <c r="AV494" i="2"/>
  <c r="AN494" i="2"/>
  <c r="BB487" i="2"/>
  <c r="AT487" i="2"/>
  <c r="AZ481" i="2"/>
  <c r="AR481" i="2"/>
  <c r="BA429" i="2"/>
  <c r="AS429" i="2"/>
  <c r="BB428" i="2"/>
  <c r="AT428" i="2"/>
  <c r="AW427" i="2"/>
  <c r="AO427" i="2"/>
  <c r="AZ426" i="2"/>
  <c r="AR426" i="2"/>
  <c r="BB420" i="2"/>
  <c r="BC423" i="2"/>
  <c r="AU423" i="2"/>
  <c r="AM423" i="2"/>
  <c r="AX418" i="2"/>
  <c r="AP418" i="2"/>
  <c r="AY475" i="2"/>
  <c r="AQ475" i="2"/>
  <c r="AW257" i="2"/>
  <c r="AV244" i="2"/>
  <c r="AN244" i="2"/>
  <c r="AX235" i="2"/>
  <c r="AP235" i="2"/>
  <c r="AY235" i="2"/>
  <c r="AQ235" i="2"/>
  <c r="AO86" i="2"/>
  <c r="AX259" i="2"/>
  <c r="AX260" i="2"/>
  <c r="AX261" i="2"/>
  <c r="AP259" i="2"/>
  <c r="AP260" i="2"/>
  <c r="AP261" i="2"/>
  <c r="AY60" i="2"/>
  <c r="AZ60" i="2"/>
  <c r="AY259" i="2"/>
  <c r="AY260" i="2"/>
  <c r="AY261" i="2"/>
  <c r="AQ60" i="2"/>
  <c r="AR60" i="2"/>
  <c r="AQ259" i="2"/>
  <c r="AQ260" i="2"/>
  <c r="AQ261" i="2"/>
  <c r="BA255" i="2"/>
  <c r="AU86" i="2"/>
  <c r="AM86" i="2"/>
  <c r="AQ255" i="2"/>
  <c r="AZ244" i="2"/>
  <c r="AR197" i="2"/>
  <c r="AU65" i="2"/>
  <c r="AV65" i="2"/>
  <c r="AN65" i="2"/>
  <c r="AV64" i="2"/>
  <c r="AW64" i="2"/>
  <c r="AN64" i="2"/>
  <c r="AO64" i="2"/>
  <c r="AY255" i="2"/>
  <c r="BB87" i="2"/>
  <c r="BB86" i="2" s="1"/>
  <c r="AT87" i="2"/>
  <c r="AT86" i="2" s="1"/>
  <c r="AX256" i="2"/>
  <c r="BB367" i="2"/>
  <c r="AT367" i="2"/>
  <c r="BC366" i="2"/>
  <c r="AU366" i="2"/>
  <c r="AM366" i="2"/>
  <c r="AV365" i="2"/>
  <c r="AN365" i="2"/>
  <c r="AW364" i="2"/>
  <c r="AO364" i="2"/>
  <c r="AX363" i="2"/>
  <c r="AP363" i="2"/>
  <c r="AY362" i="2"/>
  <c r="AQ362" i="2"/>
  <c r="BC285" i="2"/>
  <c r="AU285" i="2"/>
  <c r="AM285" i="2"/>
  <c r="BA283" i="2"/>
  <c r="BA284" i="2"/>
  <c r="BA285" i="2"/>
  <c r="BA279" i="2"/>
  <c r="AS283" i="2"/>
  <c r="AS284" i="2"/>
  <c r="AS285" i="2"/>
  <c r="AS279" i="2"/>
  <c r="BC284" i="2"/>
  <c r="AU284" i="2"/>
  <c r="AM284" i="2"/>
  <c r="AO257" i="2"/>
  <c r="I526" i="2"/>
  <c r="Q526" i="2"/>
  <c r="Y526" i="2"/>
  <c r="AG526" i="2"/>
  <c r="I528" i="2"/>
  <c r="Q528" i="2"/>
  <c r="Y528" i="2"/>
  <c r="AG528" i="2"/>
  <c r="E527" i="2"/>
  <c r="H527" i="2"/>
  <c r="M527" i="2"/>
  <c r="U527" i="2"/>
  <c r="AC527" i="2"/>
  <c r="AK527" i="2"/>
  <c r="BB474" i="2" l="1"/>
  <c r="AR254" i="2"/>
  <c r="BC511" i="2"/>
  <c r="AR474" i="2"/>
  <c r="AO477" i="2"/>
  <c r="AY254" i="2"/>
  <c r="AV254" i="2"/>
  <c r="AR221" i="2"/>
  <c r="AW508" i="2"/>
  <c r="AT477" i="2"/>
  <c r="AU474" i="2"/>
  <c r="AW474" i="2"/>
  <c r="BF222" i="2"/>
  <c r="BE474" i="2"/>
  <c r="BF511" i="2"/>
  <c r="AS254" i="2"/>
  <c r="AY222" i="2"/>
  <c r="AZ221" i="2"/>
  <c r="AV477" i="2"/>
  <c r="AU254" i="2"/>
  <c r="AP222" i="2"/>
  <c r="AM477" i="2"/>
  <c r="BF197" i="2"/>
  <c r="BF221" i="2" s="1"/>
  <c r="AP254" i="2"/>
  <c r="AT474" i="2"/>
  <c r="AT254" i="2"/>
  <c r="BE511" i="2"/>
  <c r="AR477" i="2"/>
  <c r="AX474" i="2"/>
  <c r="AZ474" i="2"/>
  <c r="BC477" i="2"/>
  <c r="AO511" i="2"/>
  <c r="AQ508" i="2"/>
  <c r="AR508" i="2"/>
  <c r="AY477" i="2"/>
  <c r="BF474" i="2"/>
  <c r="AY508" i="2"/>
  <c r="AM254" i="2"/>
  <c r="AY511" i="2"/>
  <c r="BC254" i="2"/>
  <c r="AS222" i="2"/>
  <c r="AQ477" i="2"/>
  <c r="AN474" i="2"/>
  <c r="AM508" i="2"/>
  <c r="AT508" i="2"/>
  <c r="BD222" i="2"/>
  <c r="BF508" i="2"/>
  <c r="AV511" i="2"/>
  <c r="AQ222" i="2"/>
  <c r="AN254" i="2"/>
  <c r="AN477" i="2"/>
  <c r="AM474" i="2"/>
  <c r="AM511" i="2"/>
  <c r="AO254" i="2"/>
  <c r="BE477" i="2"/>
  <c r="AW254" i="2"/>
  <c r="AU222" i="2"/>
  <c r="AY474" i="2"/>
  <c r="AS487" i="2"/>
  <c r="AW511" i="2"/>
  <c r="BF254" i="2"/>
  <c r="BE254" i="2"/>
  <c r="AP466" i="2"/>
  <c r="AP481" i="2"/>
  <c r="AP508" i="2" s="1"/>
  <c r="BD500" i="2"/>
  <c r="BD244" i="2"/>
  <c r="BD235" i="2"/>
  <c r="BD453" i="2"/>
  <c r="BD477" i="2" s="1"/>
  <c r="BD197" i="2"/>
  <c r="BD221" i="2" s="1"/>
  <c r="BD481" i="2"/>
  <c r="BD487" i="2"/>
  <c r="BD494" i="2"/>
  <c r="BD507" i="2"/>
  <c r="AX222" i="2"/>
  <c r="AU511" i="2"/>
  <c r="AQ474" i="2"/>
  <c r="AO474" i="2"/>
  <c r="BA494" i="2"/>
  <c r="BA508" i="2" s="1"/>
  <c r="AU494" i="2"/>
  <c r="AU508" i="2" s="1"/>
  <c r="AU466" i="2"/>
  <c r="AU477" i="2" s="1"/>
  <c r="AZ254" i="2"/>
  <c r="AO222" i="2"/>
  <c r="AX254" i="2"/>
  <c r="AW222" i="2"/>
  <c r="AV474" i="2"/>
  <c r="BC221" i="2"/>
  <c r="AS474" i="2"/>
  <c r="BA223" i="2"/>
  <c r="AX466" i="2"/>
  <c r="AP453" i="2"/>
  <c r="BC222" i="2"/>
  <c r="AP474" i="2"/>
  <c r="AX453" i="2"/>
  <c r="AX481" i="2"/>
  <c r="AX508" i="2" s="1"/>
  <c r="BA500" i="2"/>
  <c r="BB453" i="2"/>
  <c r="AS509" i="2"/>
  <c r="BA218" i="2"/>
  <c r="BB494" i="2"/>
  <c r="BB508" i="2" s="1"/>
  <c r="BB466" i="2"/>
  <c r="AW221" i="2"/>
  <c r="AQ254" i="2"/>
  <c r="BA222" i="2"/>
  <c r="AS453" i="2"/>
  <c r="AS500" i="2"/>
  <c r="BA487" i="2"/>
  <c r="AO197" i="2"/>
  <c r="AO221" i="2" s="1"/>
  <c r="AP506" i="2"/>
  <c r="AX507" i="2"/>
  <c r="AP507" i="2"/>
  <c r="AX257" i="2"/>
  <c r="AS223" i="2"/>
  <c r="AS259" i="2"/>
  <c r="AP472" i="2"/>
  <c r="BD474" i="2"/>
  <c r="BC474" i="2"/>
  <c r="AS506" i="2"/>
  <c r="AP256" i="2"/>
  <c r="AP257" i="2"/>
  <c r="AP509" i="2"/>
  <c r="AS221" i="2"/>
  <c r="BA257" i="2"/>
  <c r="BA466" i="2"/>
  <c r="AX255" i="2"/>
  <c r="AX510" i="2"/>
  <c r="AP473" i="2"/>
  <c r="AS218" i="2"/>
  <c r="AS494" i="2"/>
  <c r="AS508" i="2" s="1"/>
  <c r="BA506" i="2"/>
  <c r="AQ221" i="2"/>
  <c r="BB254" i="2"/>
  <c r="AY221" i="2"/>
  <c r="BA217" i="2"/>
  <c r="BA453" i="2"/>
  <c r="AT222" i="2"/>
  <c r="BA256" i="2"/>
  <c r="BB222" i="2"/>
  <c r="AS257" i="2"/>
  <c r="BA260" i="2"/>
  <c r="AS466" i="2"/>
  <c r="BA244" i="2"/>
  <c r="BA254" i="2" s="1"/>
  <c r="BA259" i="2"/>
  <c r="BA476" i="2"/>
  <c r="BA510" i="2"/>
  <c r="AM222" i="2"/>
  <c r="BA509" i="2"/>
  <c r="AU221" i="2"/>
  <c r="AS217" i="2"/>
  <c r="AS260" i="2"/>
  <c r="AS510" i="2"/>
  <c r="BA447" i="2"/>
  <c r="BA474" i="2" s="1"/>
  <c r="BB209" i="2"/>
  <c r="BB221" i="2" s="1"/>
  <c r="BB511" i="2"/>
  <c r="AN222" i="2"/>
  <c r="AN221" i="2"/>
  <c r="AM221" i="2"/>
  <c r="AV222" i="2"/>
  <c r="AX197" i="2"/>
  <c r="AX221" i="2" s="1"/>
  <c r="BA221" i="2"/>
  <c r="AP197" i="2"/>
  <c r="AP221" i="2" s="1"/>
  <c r="AZ222" i="2"/>
  <c r="AV221" i="2"/>
  <c r="AT221" i="2"/>
  <c r="AR222" i="2"/>
  <c r="AV508" i="2"/>
  <c r="AP511" i="2"/>
  <c r="AX511" i="2"/>
  <c r="AZ508" i="2"/>
  <c r="AT511" i="2"/>
  <c r="AN508" i="2"/>
  <c r="AL528" i="2"/>
  <c r="AD528" i="2"/>
  <c r="V528" i="2"/>
  <c r="N528" i="2"/>
  <c r="F528" i="2"/>
  <c r="AL526" i="2"/>
  <c r="AD526" i="2"/>
  <c r="V526" i="2"/>
  <c r="N526" i="2"/>
  <c r="F526" i="2"/>
  <c r="AK528" i="2"/>
  <c r="AC528" i="2"/>
  <c r="U528" i="2"/>
  <c r="M528" i="2"/>
  <c r="E528" i="2"/>
  <c r="X527" i="2"/>
  <c r="AF527" i="2"/>
  <c r="P527" i="2"/>
  <c r="AI528" i="2"/>
  <c r="AA528" i="2"/>
  <c r="S528" i="2"/>
  <c r="K528" i="2"/>
  <c r="C528" i="2"/>
  <c r="AI526" i="2"/>
  <c r="AA526" i="2"/>
  <c r="S526" i="2"/>
  <c r="K526" i="2"/>
  <c r="C526" i="2"/>
  <c r="AF528" i="2"/>
  <c r="X528" i="2"/>
  <c r="P528" i="2"/>
  <c r="H528" i="2"/>
  <c r="AF526" i="2"/>
  <c r="X526" i="2"/>
  <c r="P526" i="2"/>
  <c r="H526" i="2"/>
  <c r="AJ529" i="2"/>
  <c r="AB529" i="2"/>
  <c r="T529" i="2"/>
  <c r="L529" i="2"/>
  <c r="D529" i="2"/>
  <c r="AJ528" i="2"/>
  <c r="AB528" i="2"/>
  <c r="T528" i="2"/>
  <c r="L528" i="2"/>
  <c r="D528" i="2"/>
  <c r="AJ526" i="2"/>
  <c r="AB526" i="2"/>
  <c r="T526" i="2"/>
  <c r="L526" i="2"/>
  <c r="D526" i="2"/>
  <c r="AI529" i="2"/>
  <c r="AA529" i="2"/>
  <c r="S529" i="2"/>
  <c r="K529" i="2"/>
  <c r="C529" i="2"/>
  <c r="AE527" i="2"/>
  <c r="W527" i="2"/>
  <c r="O527" i="2"/>
  <c r="G527" i="2"/>
  <c r="AH529" i="2"/>
  <c r="Z529" i="2"/>
  <c r="R529" i="2"/>
  <c r="J529" i="2"/>
  <c r="AL527" i="2"/>
  <c r="AD527" i="2"/>
  <c r="V527" i="2"/>
  <c r="N527" i="2"/>
  <c r="F527" i="2"/>
  <c r="AH528" i="2"/>
  <c r="Z528" i="2"/>
  <c r="R528" i="2"/>
  <c r="J528" i="2"/>
  <c r="AH526" i="2"/>
  <c r="Z526" i="2"/>
  <c r="R526" i="2"/>
  <c r="J526" i="2"/>
  <c r="AG529" i="2"/>
  <c r="Y529" i="2"/>
  <c r="Q529" i="2"/>
  <c r="I529" i="2"/>
  <c r="AF529" i="2"/>
  <c r="X529" i="2"/>
  <c r="P529" i="2"/>
  <c r="H529" i="2"/>
  <c r="AJ527" i="2"/>
  <c r="AB527" i="2"/>
  <c r="T527" i="2"/>
  <c r="L527" i="2"/>
  <c r="D527" i="2"/>
  <c r="AE529" i="2"/>
  <c r="W529" i="2"/>
  <c r="O529" i="2"/>
  <c r="G529" i="2"/>
  <c r="AI527" i="2"/>
  <c r="AA527" i="2"/>
  <c r="S527" i="2"/>
  <c r="K527" i="2"/>
  <c r="C527" i="2"/>
  <c r="AE528" i="2"/>
  <c r="W528" i="2"/>
  <c r="O528" i="2"/>
  <c r="G528" i="2"/>
  <c r="AE526" i="2"/>
  <c r="W526" i="2"/>
  <c r="O526" i="2"/>
  <c r="G526" i="2"/>
  <c r="AL529" i="2"/>
  <c r="AD529" i="2"/>
  <c r="V529" i="2"/>
  <c r="N529" i="2"/>
  <c r="F529" i="2"/>
  <c r="AH527" i="2"/>
  <c r="Z527" i="2"/>
  <c r="R527" i="2"/>
  <c r="J527" i="2"/>
  <c r="AK529" i="2"/>
  <c r="AC529" i="2"/>
  <c r="U529" i="2"/>
  <c r="M529" i="2"/>
  <c r="E529" i="2"/>
  <c r="AG527" i="2"/>
  <c r="Y527" i="2"/>
  <c r="Q527" i="2"/>
  <c r="I527" i="2"/>
  <c r="AK526" i="2"/>
  <c r="AC526" i="2"/>
  <c r="U526" i="2"/>
  <c r="M526" i="2"/>
  <c r="E526" i="2"/>
  <c r="C506" i="2"/>
  <c r="G506" i="2"/>
  <c r="O506" i="2"/>
  <c r="W506" i="2"/>
  <c r="AE506" i="2"/>
  <c r="K510" i="2"/>
  <c r="BA511" i="2" l="1"/>
  <c r="AS511" i="2"/>
  <c r="AP477" i="2"/>
  <c r="BD254" i="2"/>
  <c r="BD508" i="2"/>
  <c r="BD511" i="2"/>
  <c r="AX477" i="2"/>
  <c r="BB477" i="2"/>
  <c r="BA477" i="2"/>
  <c r="AS477" i="2"/>
  <c r="F507" i="2"/>
  <c r="AF510" i="2"/>
  <c r="X510" i="2"/>
  <c r="P510" i="2"/>
  <c r="H510" i="2"/>
  <c r="AF506" i="2"/>
  <c r="X506" i="2"/>
  <c r="P506" i="2"/>
  <c r="H506" i="2"/>
  <c r="C509" i="2"/>
  <c r="AH509" i="2"/>
  <c r="R509" i="2"/>
  <c r="Z509" i="2"/>
  <c r="J509" i="2"/>
  <c r="AI510" i="2"/>
  <c r="AA510" i="2"/>
  <c r="S510" i="2"/>
  <c r="AI506" i="2"/>
  <c r="AA506" i="2"/>
  <c r="S506" i="2"/>
  <c r="K506" i="2"/>
  <c r="AD507" i="2"/>
  <c r="V507" i="2"/>
  <c r="N507" i="2"/>
  <c r="AG507" i="2"/>
  <c r="Y507" i="2"/>
  <c r="Q507" i="2"/>
  <c r="I507" i="2"/>
  <c r="AG510" i="2"/>
  <c r="Y510" i="2"/>
  <c r="Q510" i="2"/>
  <c r="I510" i="2"/>
  <c r="AK509" i="2"/>
  <c r="AC509" i="2"/>
  <c r="U509" i="2"/>
  <c r="M509" i="2"/>
  <c r="E509" i="2"/>
  <c r="AK507" i="2"/>
  <c r="AC507" i="2"/>
  <c r="U507" i="2"/>
  <c r="M507" i="2"/>
  <c r="E507" i="2"/>
  <c r="AG506" i="2"/>
  <c r="Y506" i="2"/>
  <c r="Q506" i="2"/>
  <c r="I506" i="2"/>
  <c r="AJ509" i="2"/>
  <c r="AB509" i="2"/>
  <c r="T509" i="2"/>
  <c r="L509" i="2"/>
  <c r="D509" i="2"/>
  <c r="AE510" i="2"/>
  <c r="W510" i="2"/>
  <c r="O510" i="2"/>
  <c r="G510" i="2"/>
  <c r="AI509" i="2"/>
  <c r="AA509" i="2"/>
  <c r="S509" i="2"/>
  <c r="K509" i="2"/>
  <c r="AI507" i="2"/>
  <c r="AA507" i="2"/>
  <c r="S507" i="2"/>
  <c r="K507" i="2"/>
  <c r="AD510" i="2"/>
  <c r="V510" i="2"/>
  <c r="N510" i="2"/>
  <c r="F510" i="2"/>
  <c r="AH507" i="2"/>
  <c r="Z507" i="2"/>
  <c r="R507" i="2"/>
  <c r="J507" i="2"/>
  <c r="AD506" i="2"/>
  <c r="V506" i="2"/>
  <c r="N506" i="2"/>
  <c r="F506" i="2"/>
  <c r="AK510" i="2"/>
  <c r="AC510" i="2"/>
  <c r="U510" i="2"/>
  <c r="M510" i="2"/>
  <c r="E510" i="2"/>
  <c r="AG509" i="2"/>
  <c r="Y509" i="2"/>
  <c r="Q509" i="2"/>
  <c r="I509" i="2"/>
  <c r="AK506" i="2"/>
  <c r="AC506" i="2"/>
  <c r="U506" i="2"/>
  <c r="M506" i="2"/>
  <c r="E506" i="2"/>
  <c r="AJ507" i="2"/>
  <c r="AB507" i="2"/>
  <c r="T507" i="2"/>
  <c r="L507" i="2"/>
  <c r="D507" i="2"/>
  <c r="AJ510" i="2"/>
  <c r="AB510" i="2"/>
  <c r="T510" i="2"/>
  <c r="L510" i="2"/>
  <c r="D510" i="2"/>
  <c r="AF509" i="2"/>
  <c r="X509" i="2"/>
  <c r="P509" i="2"/>
  <c r="H509" i="2"/>
  <c r="AF507" i="2"/>
  <c r="X507" i="2"/>
  <c r="P507" i="2"/>
  <c r="H507" i="2"/>
  <c r="AJ506" i="2"/>
  <c r="AB506" i="2"/>
  <c r="T506" i="2"/>
  <c r="L506" i="2"/>
  <c r="D506" i="2"/>
  <c r="C510" i="2"/>
  <c r="AE509" i="2"/>
  <c r="W509" i="2"/>
  <c r="O509" i="2"/>
  <c r="G509" i="2"/>
  <c r="AE507" i="2"/>
  <c r="W507" i="2"/>
  <c r="O507" i="2"/>
  <c r="G507" i="2"/>
  <c r="AH510" i="2"/>
  <c r="Z510" i="2"/>
  <c r="R510" i="2"/>
  <c r="J510" i="2"/>
  <c r="AD509" i="2"/>
  <c r="V509" i="2"/>
  <c r="N509" i="2"/>
  <c r="F509" i="2"/>
  <c r="AH506" i="2"/>
  <c r="Z506" i="2"/>
  <c r="R506" i="2"/>
  <c r="J506" i="2"/>
  <c r="C507" i="2"/>
  <c r="AH494" i="2"/>
  <c r="R500" i="2"/>
  <c r="M494" i="2"/>
  <c r="AJ500" i="2"/>
  <c r="AB500" i="2"/>
  <c r="T500" i="2"/>
  <c r="L500" i="2"/>
  <c r="D500" i="2"/>
  <c r="AI500" i="2"/>
  <c r="AA500" i="2"/>
  <c r="S500" i="2"/>
  <c r="K500" i="2"/>
  <c r="C500" i="2"/>
  <c r="AA487" i="2"/>
  <c r="AE481" i="2"/>
  <c r="J500" i="2"/>
  <c r="AG500" i="2"/>
  <c r="Y500" i="2"/>
  <c r="Q500" i="2"/>
  <c r="I500" i="2"/>
  <c r="AK494" i="2"/>
  <c r="AC494" i="2"/>
  <c r="U494" i="2"/>
  <c r="E494" i="2"/>
  <c r="AF500" i="2"/>
  <c r="X500" i="2"/>
  <c r="P500" i="2"/>
  <c r="H500" i="2"/>
  <c r="AE500" i="2"/>
  <c r="W500" i="2"/>
  <c r="O500" i="2"/>
  <c r="G500" i="2"/>
  <c r="Z500" i="2"/>
  <c r="AD500" i="2"/>
  <c r="V500" i="2"/>
  <c r="N500" i="2"/>
  <c r="F500" i="2"/>
  <c r="Z494" i="2"/>
  <c r="R494" i="2"/>
  <c r="J494" i="2"/>
  <c r="AH500" i="2"/>
  <c r="AK500" i="2"/>
  <c r="AC500" i="2"/>
  <c r="U500" i="2"/>
  <c r="M500" i="2"/>
  <c r="E500" i="2"/>
  <c r="AG494" i="2"/>
  <c r="Y494" i="2"/>
  <c r="Q494" i="2"/>
  <c r="I494" i="2"/>
  <c r="AI487" i="2"/>
  <c r="AD494" i="2"/>
  <c r="V494" i="2"/>
  <c r="N494" i="2"/>
  <c r="F494" i="2"/>
  <c r="S487" i="2"/>
  <c r="W494" i="2"/>
  <c r="G481" i="2"/>
  <c r="AJ494" i="2"/>
  <c r="AB494" i="2"/>
  <c r="T494" i="2"/>
  <c r="L494" i="2"/>
  <c r="D494" i="2"/>
  <c r="AE494" i="2"/>
  <c r="AI494" i="2"/>
  <c r="AA494" i="2"/>
  <c r="S494" i="2"/>
  <c r="K494" i="2"/>
  <c r="C494" i="2"/>
  <c r="C481" i="2"/>
  <c r="G494" i="2"/>
  <c r="O481" i="2"/>
  <c r="O494" i="2"/>
  <c r="W481" i="2"/>
  <c r="K487" i="2"/>
  <c r="AF494" i="2"/>
  <c r="X494" i="2"/>
  <c r="P494" i="2"/>
  <c r="H494" i="2"/>
  <c r="AF481" i="2"/>
  <c r="X481" i="2"/>
  <c r="P481" i="2"/>
  <c r="H481" i="2"/>
  <c r="AK487" i="2"/>
  <c r="AC487" i="2"/>
  <c r="U487" i="2"/>
  <c r="M487" i="2"/>
  <c r="E487" i="2"/>
  <c r="AG481" i="2"/>
  <c r="Y481" i="2"/>
  <c r="Q481" i="2"/>
  <c r="I481" i="2"/>
  <c r="AH487" i="2"/>
  <c r="Z487" i="2"/>
  <c r="R487" i="2"/>
  <c r="J487" i="2"/>
  <c r="AD481" i="2"/>
  <c r="V481" i="2"/>
  <c r="N481" i="2"/>
  <c r="F481" i="2"/>
  <c r="AG487" i="2"/>
  <c r="Y487" i="2"/>
  <c r="Q487" i="2"/>
  <c r="I487" i="2"/>
  <c r="AK481" i="2"/>
  <c r="AC481" i="2"/>
  <c r="U481" i="2"/>
  <c r="M481" i="2"/>
  <c r="E481" i="2"/>
  <c r="AJ487" i="2"/>
  <c r="AB487" i="2"/>
  <c r="T487" i="2"/>
  <c r="L487" i="2"/>
  <c r="AF487" i="2"/>
  <c r="X487" i="2"/>
  <c r="P487" i="2"/>
  <c r="H487" i="2"/>
  <c r="AJ481" i="2"/>
  <c r="AB481" i="2"/>
  <c r="T481" i="2"/>
  <c r="L481" i="2"/>
  <c r="D481" i="2"/>
  <c r="C487" i="2"/>
  <c r="AE487" i="2"/>
  <c r="W487" i="2"/>
  <c r="O487" i="2"/>
  <c r="G487" i="2"/>
  <c r="AI481" i="2"/>
  <c r="AA481" i="2"/>
  <c r="S481" i="2"/>
  <c r="K481" i="2"/>
  <c r="D487" i="2"/>
  <c r="AD487" i="2"/>
  <c r="V487" i="2"/>
  <c r="N487" i="2"/>
  <c r="F487" i="2"/>
  <c r="AH481" i="2"/>
  <c r="Z481" i="2"/>
  <c r="R481" i="2"/>
  <c r="J481" i="2"/>
  <c r="AE476" i="2"/>
  <c r="AD453" i="2"/>
  <c r="V453" i="2"/>
  <c r="N453" i="2"/>
  <c r="F453" i="2"/>
  <c r="AI472" i="2"/>
  <c r="AA472" i="2"/>
  <c r="S472" i="2"/>
  <c r="K472" i="2"/>
  <c r="AE473" i="2"/>
  <c r="W473" i="2"/>
  <c r="O473" i="2"/>
  <c r="G473" i="2"/>
  <c r="AH472" i="2"/>
  <c r="Z472" i="2"/>
  <c r="R472" i="2"/>
  <c r="J472" i="2"/>
  <c r="C472" i="2"/>
  <c r="C475" i="2"/>
  <c r="AI466" i="2"/>
  <c r="AA466" i="2"/>
  <c r="S466" i="2"/>
  <c r="K466" i="2"/>
  <c r="AD466" i="2"/>
  <c r="V466" i="2"/>
  <c r="N466" i="2"/>
  <c r="F466" i="2"/>
  <c r="AK460" i="2"/>
  <c r="AC460" i="2"/>
  <c r="U460" i="2"/>
  <c r="M460" i="2"/>
  <c r="E460" i="2"/>
  <c r="AJ453" i="2"/>
  <c r="AB453" i="2"/>
  <c r="T453" i="2"/>
  <c r="L453" i="2"/>
  <c r="D453" i="2"/>
  <c r="W476" i="2"/>
  <c r="O476" i="2"/>
  <c r="G476" i="2"/>
  <c r="AH475" i="2"/>
  <c r="Z475" i="2"/>
  <c r="R475" i="2"/>
  <c r="J475" i="2"/>
  <c r="AD473" i="2"/>
  <c r="V473" i="2"/>
  <c r="N473" i="2"/>
  <c r="F473" i="2"/>
  <c r="AG472" i="2"/>
  <c r="Y472" i="2"/>
  <c r="Q472" i="2"/>
  <c r="I472" i="2"/>
  <c r="AE475" i="2"/>
  <c r="W475" i="2"/>
  <c r="O475" i="2"/>
  <c r="G475" i="2"/>
  <c r="AD472" i="2"/>
  <c r="V472" i="2"/>
  <c r="N472" i="2"/>
  <c r="F472" i="2"/>
  <c r="AG476" i="2"/>
  <c r="Y476" i="2"/>
  <c r="Q476" i="2"/>
  <c r="I476" i="2"/>
  <c r="AJ475" i="2"/>
  <c r="AB475" i="2"/>
  <c r="T475" i="2"/>
  <c r="L475" i="2"/>
  <c r="D475" i="2"/>
  <c r="AF473" i="2"/>
  <c r="X473" i="2"/>
  <c r="P473" i="2"/>
  <c r="H473" i="2"/>
  <c r="C476" i="2"/>
  <c r="AD476" i="2"/>
  <c r="V476" i="2"/>
  <c r="N476" i="2"/>
  <c r="F476" i="2"/>
  <c r="AG475" i="2"/>
  <c r="Y475" i="2"/>
  <c r="Q475" i="2"/>
  <c r="I475" i="2"/>
  <c r="AK473" i="2"/>
  <c r="AC473" i="2"/>
  <c r="U473" i="2"/>
  <c r="M473" i="2"/>
  <c r="E473" i="2"/>
  <c r="AF472" i="2"/>
  <c r="X472" i="2"/>
  <c r="P472" i="2"/>
  <c r="H472" i="2"/>
  <c r="AJ473" i="2"/>
  <c r="AB473" i="2"/>
  <c r="T473" i="2"/>
  <c r="L473" i="2"/>
  <c r="D473" i="2"/>
  <c r="AE472" i="2"/>
  <c r="W472" i="2"/>
  <c r="O472" i="2"/>
  <c r="G472" i="2"/>
  <c r="AJ476" i="2"/>
  <c r="AB476" i="2"/>
  <c r="T476" i="2"/>
  <c r="L476" i="2"/>
  <c r="D476" i="2"/>
  <c r="AI473" i="2"/>
  <c r="AA473" i="2"/>
  <c r="S473" i="2"/>
  <c r="K473" i="2"/>
  <c r="AK476" i="2"/>
  <c r="U476" i="2"/>
  <c r="E476" i="2"/>
  <c r="X475" i="2"/>
  <c r="P475" i="2"/>
  <c r="AI476" i="2"/>
  <c r="AA476" i="2"/>
  <c r="S476" i="2"/>
  <c r="K476" i="2"/>
  <c r="AD475" i="2"/>
  <c r="V475" i="2"/>
  <c r="N475" i="2"/>
  <c r="F475" i="2"/>
  <c r="AH473" i="2"/>
  <c r="Z473" i="2"/>
  <c r="R473" i="2"/>
  <c r="J473" i="2"/>
  <c r="AK472" i="2"/>
  <c r="AC472" i="2"/>
  <c r="U472" i="2"/>
  <c r="M472" i="2"/>
  <c r="E472" i="2"/>
  <c r="AC476" i="2"/>
  <c r="M476" i="2"/>
  <c r="AF475" i="2"/>
  <c r="H475" i="2"/>
  <c r="AE453" i="2"/>
  <c r="W453" i="2"/>
  <c r="O453" i="2"/>
  <c r="G453" i="2"/>
  <c r="AH476" i="2"/>
  <c r="Z476" i="2"/>
  <c r="R476" i="2"/>
  <c r="J476" i="2"/>
  <c r="AK475" i="2"/>
  <c r="AC475" i="2"/>
  <c r="U475" i="2"/>
  <c r="M475" i="2"/>
  <c r="E475" i="2"/>
  <c r="AG473" i="2"/>
  <c r="Y473" i="2"/>
  <c r="Q473" i="2"/>
  <c r="I473" i="2"/>
  <c r="AJ472" i="2"/>
  <c r="AB472" i="2"/>
  <c r="T472" i="2"/>
  <c r="L472" i="2"/>
  <c r="D472" i="2"/>
  <c r="AF476" i="2"/>
  <c r="X476" i="2"/>
  <c r="P476" i="2"/>
  <c r="H476" i="2"/>
  <c r="AI475" i="2"/>
  <c r="AA475" i="2"/>
  <c r="S475" i="2"/>
  <c r="K475" i="2"/>
  <c r="AE466" i="2"/>
  <c r="W466" i="2"/>
  <c r="O466" i="2"/>
  <c r="G466" i="2"/>
  <c r="AH453" i="2"/>
  <c r="Z453" i="2"/>
  <c r="R453" i="2"/>
  <c r="J453" i="2"/>
  <c r="AK453" i="2"/>
  <c r="AC453" i="2"/>
  <c r="U453" i="2"/>
  <c r="M453" i="2"/>
  <c r="E453" i="2"/>
  <c r="AF466" i="2"/>
  <c r="AI453" i="2"/>
  <c r="AA453" i="2"/>
  <c r="S453" i="2"/>
  <c r="K453" i="2"/>
  <c r="H466" i="2"/>
  <c r="P466" i="2"/>
  <c r="C453" i="2"/>
  <c r="AG453" i="2"/>
  <c r="Y453" i="2"/>
  <c r="Q453" i="2"/>
  <c r="I453" i="2"/>
  <c r="AF453" i="2"/>
  <c r="X453" i="2"/>
  <c r="P453" i="2"/>
  <c r="H453" i="2"/>
  <c r="X466" i="2"/>
  <c r="C473" i="2"/>
  <c r="C466" i="2"/>
  <c r="AK466" i="2"/>
  <c r="AC466" i="2"/>
  <c r="U466" i="2"/>
  <c r="M466" i="2"/>
  <c r="E466" i="2"/>
  <c r="AJ460" i="2"/>
  <c r="AB460" i="2"/>
  <c r="T460" i="2"/>
  <c r="L460" i="2"/>
  <c r="D460" i="2"/>
  <c r="AJ466" i="2"/>
  <c r="AB466" i="2"/>
  <c r="T466" i="2"/>
  <c r="L466" i="2"/>
  <c r="D466" i="2"/>
  <c r="AH466" i="2"/>
  <c r="Z466" i="2"/>
  <c r="R466" i="2"/>
  <c r="J466" i="2"/>
  <c r="C447" i="2"/>
  <c r="AG466" i="2"/>
  <c r="Y466" i="2"/>
  <c r="Q466" i="2"/>
  <c r="I466" i="2"/>
  <c r="AI460" i="2"/>
  <c r="AA460" i="2"/>
  <c r="S460" i="2"/>
  <c r="K460" i="2"/>
  <c r="AE460" i="2"/>
  <c r="W460" i="2"/>
  <c r="O460" i="2"/>
  <c r="G460" i="2"/>
  <c r="AH460" i="2"/>
  <c r="Z460" i="2"/>
  <c r="R460" i="2"/>
  <c r="J460" i="2"/>
  <c r="AH447" i="2"/>
  <c r="Z447" i="2"/>
  <c r="R447" i="2"/>
  <c r="J447" i="2"/>
  <c r="AF447" i="2"/>
  <c r="X447" i="2"/>
  <c r="P447" i="2"/>
  <c r="H447" i="2"/>
  <c r="I460" i="2"/>
  <c r="H460" i="2"/>
  <c r="Y460" i="2"/>
  <c r="P460" i="2"/>
  <c r="AG460" i="2"/>
  <c r="Q460" i="2"/>
  <c r="AF460" i="2"/>
  <c r="X460" i="2"/>
  <c r="C460" i="2"/>
  <c r="AD460" i="2"/>
  <c r="V460" i="2"/>
  <c r="N460" i="2"/>
  <c r="F460" i="2"/>
  <c r="AE447" i="2"/>
  <c r="W447" i="2"/>
  <c r="O447" i="2"/>
  <c r="G447" i="2"/>
  <c r="AK447" i="2"/>
  <c r="AC447" i="2"/>
  <c r="U447" i="2"/>
  <c r="M447" i="2"/>
  <c r="E447" i="2"/>
  <c r="AD447" i="2"/>
  <c r="V447" i="2"/>
  <c r="N447" i="2"/>
  <c r="F447" i="2"/>
  <c r="AG447" i="2"/>
  <c r="Y447" i="2"/>
  <c r="Q447" i="2"/>
  <c r="I447" i="2"/>
  <c r="AJ447" i="2"/>
  <c r="AB447" i="2"/>
  <c r="T447" i="2"/>
  <c r="L447" i="2"/>
  <c r="D447" i="2"/>
  <c r="AI447" i="2"/>
  <c r="AA447" i="2"/>
  <c r="S447" i="2"/>
  <c r="K447" i="2"/>
  <c r="AI508" i="2" l="1"/>
  <c r="S508" i="2"/>
  <c r="E508" i="2"/>
  <c r="K508" i="2"/>
  <c r="AA508" i="2"/>
  <c r="M508" i="2"/>
  <c r="P511" i="2"/>
  <c r="I508" i="2"/>
  <c r="AK511" i="2"/>
  <c r="AD511" i="2"/>
  <c r="AC511" i="2"/>
  <c r="X511" i="2"/>
  <c r="AH508" i="2"/>
  <c r="D508" i="2"/>
  <c r="AF511" i="2"/>
  <c r="N508" i="2"/>
  <c r="Q508" i="2"/>
  <c r="L508" i="2"/>
  <c r="AG508" i="2"/>
  <c r="G511" i="2"/>
  <c r="J511" i="2"/>
  <c r="R508" i="2"/>
  <c r="D511" i="2"/>
  <c r="AH511" i="2"/>
  <c r="V508" i="2"/>
  <c r="H508" i="2"/>
  <c r="K511" i="2"/>
  <c r="L511" i="2"/>
  <c r="Z508" i="2"/>
  <c r="T508" i="2"/>
  <c r="I511" i="2"/>
  <c r="X508" i="2"/>
  <c r="C511" i="2"/>
  <c r="O511" i="2"/>
  <c r="AJ511" i="2"/>
  <c r="U508" i="2"/>
  <c r="AJ508" i="2"/>
  <c r="AE511" i="2"/>
  <c r="F508" i="2"/>
  <c r="AC508" i="2"/>
  <c r="F511" i="2"/>
  <c r="AK508" i="2"/>
  <c r="AD508" i="2"/>
  <c r="Y508" i="2"/>
  <c r="G508" i="2"/>
  <c r="AI511" i="2"/>
  <c r="N511" i="2"/>
  <c r="T511" i="2"/>
  <c r="V511" i="2"/>
  <c r="AB508" i="2"/>
  <c r="AB511" i="2"/>
  <c r="Q511" i="2"/>
  <c r="E511" i="2"/>
  <c r="AF508" i="2"/>
  <c r="O508" i="2"/>
  <c r="S511" i="2"/>
  <c r="J508" i="2"/>
  <c r="W511" i="2"/>
  <c r="H511" i="2"/>
  <c r="AG511" i="2"/>
  <c r="Z511" i="2"/>
  <c r="U511" i="2"/>
  <c r="C508" i="2"/>
  <c r="AE508" i="2"/>
  <c r="AA511" i="2"/>
  <c r="P508" i="2"/>
  <c r="W508" i="2"/>
  <c r="Y511" i="2"/>
  <c r="R511" i="2"/>
  <c r="M511" i="2"/>
  <c r="U474" i="2"/>
  <c r="T477" i="2"/>
  <c r="L477" i="2"/>
  <c r="P477" i="2"/>
  <c r="I477" i="2"/>
  <c r="S477" i="2"/>
  <c r="F477" i="2"/>
  <c r="M474" i="2"/>
  <c r="K477" i="2"/>
  <c r="N477" i="2"/>
  <c r="V477" i="2"/>
  <c r="AD477" i="2"/>
  <c r="AA474" i="2"/>
  <c r="Q474" i="2"/>
  <c r="E474" i="2"/>
  <c r="AJ477" i="2"/>
  <c r="O477" i="2"/>
  <c r="AE477" i="2"/>
  <c r="AA477" i="2"/>
  <c r="AK474" i="2"/>
  <c r="AI477" i="2"/>
  <c r="G477" i="2"/>
  <c r="W477" i="2"/>
  <c r="AC474" i="2"/>
  <c r="D477" i="2"/>
  <c r="Z474" i="2"/>
  <c r="K474" i="2"/>
  <c r="AB477" i="2"/>
  <c r="AG474" i="2"/>
  <c r="T474" i="2"/>
  <c r="AB474" i="2"/>
  <c r="V474" i="2"/>
  <c r="G474" i="2"/>
  <c r="AG477" i="2"/>
  <c r="Z477" i="2"/>
  <c r="C477" i="2"/>
  <c r="L474" i="2"/>
  <c r="AD474" i="2"/>
  <c r="AH474" i="2"/>
  <c r="AE474" i="2"/>
  <c r="P474" i="2"/>
  <c r="O474" i="2"/>
  <c r="AH477" i="2"/>
  <c r="AI474" i="2"/>
  <c r="Y474" i="2"/>
  <c r="X474" i="2"/>
  <c r="AJ474" i="2"/>
  <c r="H477" i="2"/>
  <c r="E477" i="2"/>
  <c r="S474" i="2"/>
  <c r="I474" i="2"/>
  <c r="W474" i="2"/>
  <c r="H474" i="2"/>
  <c r="C474" i="2"/>
  <c r="M477" i="2"/>
  <c r="AF474" i="2"/>
  <c r="AK477" i="2"/>
  <c r="U477" i="2"/>
  <c r="AF477" i="2"/>
  <c r="AC477" i="2"/>
  <c r="D474" i="2"/>
  <c r="F474" i="2"/>
  <c r="J474" i="2"/>
  <c r="Q477" i="2"/>
  <c r="J477" i="2"/>
  <c r="X477" i="2"/>
  <c r="N474" i="2"/>
  <c r="R474" i="2"/>
  <c r="Y477" i="2"/>
  <c r="R477" i="2"/>
  <c r="C419" i="2" l="1"/>
  <c r="D419" i="2"/>
  <c r="E419" i="2"/>
  <c r="F419" i="2"/>
  <c r="G419" i="2"/>
  <c r="H419" i="2"/>
  <c r="C433" i="2" s="1"/>
  <c r="I419" i="2"/>
  <c r="J419" i="2"/>
  <c r="K419" i="2"/>
  <c r="L419" i="2"/>
  <c r="M419" i="2"/>
  <c r="N419" i="2"/>
  <c r="O419" i="2"/>
  <c r="P419" i="2"/>
  <c r="Q419" i="2"/>
  <c r="R419" i="2"/>
  <c r="D433" i="2" s="1"/>
  <c r="S419" i="2"/>
  <c r="T419" i="2"/>
  <c r="U419" i="2"/>
  <c r="V419" i="2"/>
  <c r="W419" i="2"/>
  <c r="X419" i="2"/>
  <c r="Y419" i="2"/>
  <c r="Z419" i="2"/>
  <c r="AA419" i="2"/>
  <c r="AB419" i="2"/>
  <c r="E433" i="2" s="1"/>
  <c r="AC419" i="2"/>
  <c r="AD419" i="2"/>
  <c r="AE419" i="2"/>
  <c r="AF419" i="2"/>
  <c r="AG419" i="2"/>
  <c r="AH419" i="2"/>
  <c r="AI419" i="2"/>
  <c r="AJ419" i="2"/>
  <c r="AK419" i="2"/>
  <c r="AL419" i="2"/>
  <c r="F433" i="2" s="1"/>
  <c r="C421" i="2"/>
  <c r="D421" i="2"/>
  <c r="E421" i="2"/>
  <c r="F421" i="2"/>
  <c r="G421" i="2"/>
  <c r="H421" i="2"/>
  <c r="C435" i="2" s="1"/>
  <c r="I421" i="2"/>
  <c r="J421" i="2"/>
  <c r="K421" i="2"/>
  <c r="L421" i="2"/>
  <c r="M421" i="2"/>
  <c r="N421" i="2"/>
  <c r="O421" i="2"/>
  <c r="P421" i="2"/>
  <c r="Q421" i="2"/>
  <c r="R421" i="2"/>
  <c r="D435" i="2" s="1"/>
  <c r="S421" i="2"/>
  <c r="T421" i="2"/>
  <c r="U421" i="2"/>
  <c r="V421" i="2"/>
  <c r="W421" i="2"/>
  <c r="X421" i="2"/>
  <c r="Y421" i="2"/>
  <c r="Z421" i="2"/>
  <c r="AA421" i="2"/>
  <c r="AB421" i="2"/>
  <c r="E435" i="2" s="1"/>
  <c r="AC421" i="2"/>
  <c r="AD421" i="2"/>
  <c r="AE421" i="2"/>
  <c r="AF421" i="2"/>
  <c r="AG421" i="2"/>
  <c r="AH421" i="2"/>
  <c r="AI421" i="2"/>
  <c r="AJ421" i="2"/>
  <c r="AK421" i="2"/>
  <c r="AL421" i="2"/>
  <c r="F435" i="2" s="1"/>
  <c r="C422" i="2"/>
  <c r="D422" i="2"/>
  <c r="E422" i="2"/>
  <c r="F422" i="2"/>
  <c r="G422" i="2"/>
  <c r="H422" i="2"/>
  <c r="C436" i="2" s="1"/>
  <c r="I422" i="2"/>
  <c r="J422" i="2"/>
  <c r="K422" i="2"/>
  <c r="L422" i="2"/>
  <c r="M422" i="2"/>
  <c r="N422" i="2"/>
  <c r="O422" i="2"/>
  <c r="P422" i="2"/>
  <c r="Q422" i="2"/>
  <c r="R422" i="2"/>
  <c r="D436" i="2" s="1"/>
  <c r="S422" i="2"/>
  <c r="T422" i="2"/>
  <c r="U422" i="2"/>
  <c r="V422" i="2"/>
  <c r="W422" i="2"/>
  <c r="X422" i="2"/>
  <c r="Y422" i="2"/>
  <c r="Z422" i="2"/>
  <c r="AA422" i="2"/>
  <c r="AB422" i="2"/>
  <c r="E436" i="2" s="1"/>
  <c r="AC422" i="2"/>
  <c r="AD422" i="2"/>
  <c r="AE422" i="2"/>
  <c r="AF422" i="2"/>
  <c r="AG422" i="2"/>
  <c r="AH422" i="2"/>
  <c r="AI422" i="2"/>
  <c r="AJ422" i="2"/>
  <c r="AK422" i="2"/>
  <c r="AL422" i="2"/>
  <c r="F436" i="2" s="1"/>
  <c r="C424" i="2"/>
  <c r="D424" i="2"/>
  <c r="E424" i="2"/>
  <c r="F424" i="2"/>
  <c r="G424" i="2"/>
  <c r="H424" i="2"/>
  <c r="C438" i="2" s="1"/>
  <c r="I424" i="2"/>
  <c r="J424" i="2"/>
  <c r="K424" i="2"/>
  <c r="L424" i="2"/>
  <c r="M424" i="2"/>
  <c r="N424" i="2"/>
  <c r="O424" i="2"/>
  <c r="P424" i="2"/>
  <c r="Q424" i="2"/>
  <c r="R424" i="2"/>
  <c r="D438" i="2" s="1"/>
  <c r="S424" i="2"/>
  <c r="T424" i="2"/>
  <c r="U424" i="2"/>
  <c r="V424" i="2"/>
  <c r="W424" i="2"/>
  <c r="X424" i="2"/>
  <c r="Y424" i="2"/>
  <c r="Z424" i="2"/>
  <c r="AA424" i="2"/>
  <c r="AB424" i="2"/>
  <c r="E438" i="2" s="1"/>
  <c r="AC424" i="2"/>
  <c r="AD424" i="2"/>
  <c r="AE424" i="2"/>
  <c r="AF424" i="2"/>
  <c r="AG424" i="2"/>
  <c r="AH424" i="2"/>
  <c r="AI424" i="2"/>
  <c r="AJ424" i="2"/>
  <c r="AK424" i="2"/>
  <c r="AL424" i="2"/>
  <c r="F438" i="2" s="1"/>
  <c r="C426" i="2"/>
  <c r="D426" i="2"/>
  <c r="E426" i="2"/>
  <c r="F426" i="2"/>
  <c r="G426" i="2"/>
  <c r="H426" i="2"/>
  <c r="C440" i="2" s="1"/>
  <c r="I426" i="2"/>
  <c r="J426" i="2"/>
  <c r="K426" i="2"/>
  <c r="L426" i="2"/>
  <c r="M426" i="2"/>
  <c r="N426" i="2"/>
  <c r="O426" i="2"/>
  <c r="P426" i="2"/>
  <c r="Q426" i="2"/>
  <c r="R426" i="2"/>
  <c r="D440" i="2" s="1"/>
  <c r="S426" i="2"/>
  <c r="T426" i="2"/>
  <c r="U426" i="2"/>
  <c r="V426" i="2"/>
  <c r="W426" i="2"/>
  <c r="X426" i="2"/>
  <c r="Y426" i="2"/>
  <c r="Z426" i="2"/>
  <c r="AA426" i="2"/>
  <c r="AB426" i="2"/>
  <c r="E440" i="2" s="1"/>
  <c r="AC426" i="2"/>
  <c r="AD426" i="2"/>
  <c r="AE426" i="2"/>
  <c r="AF426" i="2"/>
  <c r="AG426" i="2"/>
  <c r="AH426" i="2"/>
  <c r="AI426" i="2"/>
  <c r="AJ426" i="2"/>
  <c r="AK426" i="2"/>
  <c r="AL426" i="2"/>
  <c r="F440" i="2" s="1"/>
  <c r="C425" i="2"/>
  <c r="D425" i="2"/>
  <c r="E425" i="2"/>
  <c r="F425" i="2"/>
  <c r="G425" i="2"/>
  <c r="H425" i="2"/>
  <c r="C439" i="2" s="1"/>
  <c r="I425" i="2"/>
  <c r="J425" i="2"/>
  <c r="K425" i="2"/>
  <c r="L425" i="2"/>
  <c r="M425" i="2"/>
  <c r="N425" i="2"/>
  <c r="O425" i="2"/>
  <c r="P425" i="2"/>
  <c r="Q425" i="2"/>
  <c r="R425" i="2"/>
  <c r="D439" i="2" s="1"/>
  <c r="S425" i="2"/>
  <c r="T425" i="2"/>
  <c r="U425" i="2"/>
  <c r="V425" i="2"/>
  <c r="W425" i="2"/>
  <c r="X425" i="2"/>
  <c r="Y425" i="2"/>
  <c r="Z425" i="2"/>
  <c r="AA425" i="2"/>
  <c r="AB425" i="2"/>
  <c r="E439" i="2" s="1"/>
  <c r="AC425" i="2"/>
  <c r="AD425" i="2"/>
  <c r="AE425" i="2"/>
  <c r="AF425" i="2"/>
  <c r="AG425" i="2"/>
  <c r="AH425" i="2"/>
  <c r="AI425" i="2"/>
  <c r="AJ425" i="2"/>
  <c r="AK425" i="2"/>
  <c r="AL425" i="2"/>
  <c r="F439" i="2" s="1"/>
  <c r="AJ428" i="2" l="1"/>
  <c r="AB428" i="2"/>
  <c r="E442" i="2" s="1"/>
  <c r="T428" i="2"/>
  <c r="L428" i="2"/>
  <c r="D428" i="2"/>
  <c r="AL428" i="2"/>
  <c r="F442" i="2" s="1"/>
  <c r="AD428" i="2"/>
  <c r="V428" i="2"/>
  <c r="N428" i="2"/>
  <c r="F428" i="2"/>
  <c r="AH427" i="2"/>
  <c r="Z427" i="2"/>
  <c r="R427" i="2"/>
  <c r="D441" i="2" s="1"/>
  <c r="J427" i="2"/>
  <c r="AH418" i="2"/>
  <c r="J418" i="2"/>
  <c r="AI428" i="2"/>
  <c r="AA428" i="2"/>
  <c r="S428" i="2"/>
  <c r="K428" i="2"/>
  <c r="C428" i="2"/>
  <c r="AE427" i="2"/>
  <c r="W427" i="2"/>
  <c r="O427" i="2"/>
  <c r="G427" i="2"/>
  <c r="AK429" i="2"/>
  <c r="AC429" i="2"/>
  <c r="U429" i="2"/>
  <c r="M429" i="2"/>
  <c r="E429" i="2"/>
  <c r="AK428" i="2"/>
  <c r="AC428" i="2"/>
  <c r="U428" i="2"/>
  <c r="M428" i="2"/>
  <c r="E428" i="2"/>
  <c r="AG427" i="2"/>
  <c r="Y427" i="2"/>
  <c r="Q427" i="2"/>
  <c r="I427" i="2"/>
  <c r="AG420" i="2"/>
  <c r="Y420" i="2"/>
  <c r="Q420" i="2"/>
  <c r="I420" i="2"/>
  <c r="AK423" i="2"/>
  <c r="AC423" i="2"/>
  <c r="U423" i="2"/>
  <c r="M423" i="2"/>
  <c r="E423" i="2"/>
  <c r="AG418" i="2"/>
  <c r="Y418" i="2"/>
  <c r="Q418" i="2"/>
  <c r="I418" i="2"/>
  <c r="V429" i="2"/>
  <c r="Z420" i="2"/>
  <c r="AD423" i="2"/>
  <c r="AJ429" i="2"/>
  <c r="AB429" i="2"/>
  <c r="E443" i="2" s="1"/>
  <c r="T429" i="2"/>
  <c r="L429" i="2"/>
  <c r="D429" i="2"/>
  <c r="AF427" i="2"/>
  <c r="X427" i="2"/>
  <c r="P427" i="2"/>
  <c r="H427" i="2"/>
  <c r="C441" i="2" s="1"/>
  <c r="AF420" i="2"/>
  <c r="X420" i="2"/>
  <c r="P420" i="2"/>
  <c r="H420" i="2"/>
  <c r="C434" i="2" s="1"/>
  <c r="AJ423" i="2"/>
  <c r="AB423" i="2"/>
  <c r="E437" i="2" s="1"/>
  <c r="T423" i="2"/>
  <c r="L423" i="2"/>
  <c r="D423" i="2"/>
  <c r="AF418" i="2"/>
  <c r="X418" i="2"/>
  <c r="P418" i="2"/>
  <c r="H418" i="2"/>
  <c r="C432" i="2" s="1"/>
  <c r="AI429" i="2"/>
  <c r="K429" i="2"/>
  <c r="AE420" i="2"/>
  <c r="O420" i="2"/>
  <c r="AI423" i="2"/>
  <c r="S423" i="2"/>
  <c r="K423" i="2"/>
  <c r="AE418" i="2"/>
  <c r="G418" i="2"/>
  <c r="AL429" i="2"/>
  <c r="F443" i="2" s="1"/>
  <c r="F429" i="2"/>
  <c r="AH420" i="2"/>
  <c r="AL423" i="2"/>
  <c r="F437" i="2" s="1"/>
  <c r="F423" i="2"/>
  <c r="S429" i="2"/>
  <c r="W420" i="2"/>
  <c r="G420" i="2"/>
  <c r="AA423" i="2"/>
  <c r="C423" i="2"/>
  <c r="O418" i="2"/>
  <c r="AH429" i="2"/>
  <c r="Z429" i="2"/>
  <c r="R429" i="2"/>
  <c r="D443" i="2" s="1"/>
  <c r="J429" i="2"/>
  <c r="AH428" i="2"/>
  <c r="Z428" i="2"/>
  <c r="R428" i="2"/>
  <c r="D442" i="2" s="1"/>
  <c r="J428" i="2"/>
  <c r="AL427" i="2"/>
  <c r="F441" i="2" s="1"/>
  <c r="AD427" i="2"/>
  <c r="V427" i="2"/>
  <c r="N427" i="2"/>
  <c r="F427" i="2"/>
  <c r="AL420" i="2"/>
  <c r="F434" i="2" s="1"/>
  <c r="AD420" i="2"/>
  <c r="V420" i="2"/>
  <c r="N420" i="2"/>
  <c r="F420" i="2"/>
  <c r="AH423" i="2"/>
  <c r="Z423" i="2"/>
  <c r="R423" i="2"/>
  <c r="D437" i="2" s="1"/>
  <c r="J423" i="2"/>
  <c r="AL418" i="2"/>
  <c r="F432" i="2" s="1"/>
  <c r="AD418" i="2"/>
  <c r="V418" i="2"/>
  <c r="N418" i="2"/>
  <c r="F418" i="2"/>
  <c r="AD429" i="2"/>
  <c r="J420" i="2"/>
  <c r="N423" i="2"/>
  <c r="R418" i="2"/>
  <c r="D432" i="2" s="1"/>
  <c r="AA429" i="2"/>
  <c r="C429" i="2"/>
  <c r="W418" i="2"/>
  <c r="AG429" i="2"/>
  <c r="Y429" i="2"/>
  <c r="Q429" i="2"/>
  <c r="I429" i="2"/>
  <c r="AG428" i="2"/>
  <c r="Y428" i="2"/>
  <c r="Q428" i="2"/>
  <c r="I428" i="2"/>
  <c r="AK427" i="2"/>
  <c r="AC427" i="2"/>
  <c r="U427" i="2"/>
  <c r="M427" i="2"/>
  <c r="E427" i="2"/>
  <c r="AK420" i="2"/>
  <c r="AC420" i="2"/>
  <c r="U420" i="2"/>
  <c r="M420" i="2"/>
  <c r="E420" i="2"/>
  <c r="AG423" i="2"/>
  <c r="Y423" i="2"/>
  <c r="Q423" i="2"/>
  <c r="I423" i="2"/>
  <c r="AK418" i="2"/>
  <c r="AC418" i="2"/>
  <c r="U418" i="2"/>
  <c r="M418" i="2"/>
  <c r="E418" i="2"/>
  <c r="AF429" i="2"/>
  <c r="X429" i="2"/>
  <c r="P429" i="2"/>
  <c r="H429" i="2"/>
  <c r="C443" i="2" s="1"/>
  <c r="AF428" i="2"/>
  <c r="X428" i="2"/>
  <c r="P428" i="2"/>
  <c r="H428" i="2"/>
  <c r="C442" i="2" s="1"/>
  <c r="AJ427" i="2"/>
  <c r="AB427" i="2"/>
  <c r="E441" i="2" s="1"/>
  <c r="T427" i="2"/>
  <c r="L427" i="2"/>
  <c r="D427" i="2"/>
  <c r="AJ420" i="2"/>
  <c r="AB420" i="2"/>
  <c r="E434" i="2" s="1"/>
  <c r="T420" i="2"/>
  <c r="L420" i="2"/>
  <c r="D420" i="2"/>
  <c r="AF423" i="2"/>
  <c r="X423" i="2"/>
  <c r="P423" i="2"/>
  <c r="H423" i="2"/>
  <c r="C437" i="2" s="1"/>
  <c r="AJ418" i="2"/>
  <c r="AB418" i="2"/>
  <c r="E432" i="2" s="1"/>
  <c r="T418" i="2"/>
  <c r="L418" i="2"/>
  <c r="D418" i="2"/>
  <c r="N429" i="2"/>
  <c r="R420" i="2"/>
  <c r="D434" i="2" s="1"/>
  <c r="V423" i="2"/>
  <c r="Z418" i="2"/>
  <c r="AE429" i="2"/>
  <c r="W429" i="2"/>
  <c r="O429" i="2"/>
  <c r="G429" i="2"/>
  <c r="AE428" i="2"/>
  <c r="W428" i="2"/>
  <c r="O428" i="2"/>
  <c r="G428" i="2"/>
  <c r="AI427" i="2"/>
  <c r="AA427" i="2"/>
  <c r="S427" i="2"/>
  <c r="K427" i="2"/>
  <c r="C427" i="2"/>
  <c r="AI420" i="2"/>
  <c r="AA420" i="2"/>
  <c r="S420" i="2"/>
  <c r="K420" i="2"/>
  <c r="C420" i="2"/>
  <c r="AE423" i="2"/>
  <c r="W423" i="2"/>
  <c r="O423" i="2"/>
  <c r="G423" i="2"/>
  <c r="AI418" i="2"/>
  <c r="AA418" i="2"/>
  <c r="S418" i="2"/>
  <c r="K418" i="2"/>
  <c r="C418" i="2"/>
  <c r="D362" i="2"/>
  <c r="T365" i="2"/>
  <c r="L367" i="2"/>
  <c r="AB363" i="2"/>
  <c r="X368" i="2"/>
  <c r="P368" i="2"/>
  <c r="AJ367" i="2"/>
  <c r="AB367" i="2"/>
  <c r="T367" i="2"/>
  <c r="AF366" i="2"/>
  <c r="X366" i="2"/>
  <c r="H366" i="2"/>
  <c r="AJ365" i="2"/>
  <c r="AB365" i="2"/>
  <c r="D365" i="2"/>
  <c r="AF364" i="2"/>
  <c r="P364" i="2"/>
  <c r="H364" i="2"/>
  <c r="AJ363" i="2"/>
  <c r="L363" i="2"/>
  <c r="D363" i="2"/>
  <c r="X362" i="2"/>
  <c r="P362" i="2"/>
  <c r="H362" i="2"/>
  <c r="AF368" i="2"/>
  <c r="H368" i="2"/>
  <c r="D367" i="2"/>
  <c r="P366" i="2"/>
  <c r="L365" i="2"/>
  <c r="X364" i="2"/>
  <c r="T363" i="2"/>
  <c r="AF362" i="2"/>
  <c r="AE362" i="2"/>
  <c r="W362" i="2"/>
  <c r="O362" i="2"/>
  <c r="G362" i="2"/>
  <c r="AI368" i="2"/>
  <c r="AA368" i="2"/>
  <c r="S368" i="2"/>
  <c r="K368" i="2"/>
  <c r="C368" i="2"/>
  <c r="AE367" i="2"/>
  <c r="W367" i="2"/>
  <c r="O367" i="2"/>
  <c r="G367" i="2"/>
  <c r="AI366" i="2"/>
  <c r="AA366" i="2"/>
  <c r="S366" i="2"/>
  <c r="K366" i="2"/>
  <c r="C366" i="2"/>
  <c r="AE365" i="2"/>
  <c r="W365" i="2"/>
  <c r="O365" i="2"/>
  <c r="G365" i="2"/>
  <c r="AI364" i="2"/>
  <c r="AA364" i="2"/>
  <c r="S364" i="2"/>
  <c r="K364" i="2"/>
  <c r="C364" i="2"/>
  <c r="AE363" i="2"/>
  <c r="W363" i="2"/>
  <c r="O363" i="2"/>
  <c r="G363" i="2"/>
  <c r="AI362" i="2"/>
  <c r="AA362" i="2"/>
  <c r="S362" i="2"/>
  <c r="K362" i="2"/>
  <c r="AH368" i="2"/>
  <c r="Z368" i="2"/>
  <c r="R368" i="2"/>
  <c r="J368" i="2"/>
  <c r="AL367" i="2"/>
  <c r="AD367" i="2"/>
  <c r="V367" i="2"/>
  <c r="N367" i="2"/>
  <c r="F367" i="2"/>
  <c r="AH366" i="2"/>
  <c r="Z366" i="2"/>
  <c r="R366" i="2"/>
  <c r="J366" i="2"/>
  <c r="AL365" i="2"/>
  <c r="AD365" i="2"/>
  <c r="V365" i="2"/>
  <c r="N365" i="2"/>
  <c r="F365" i="2"/>
  <c r="AH364" i="2"/>
  <c r="Z364" i="2"/>
  <c r="R364" i="2"/>
  <c r="J364" i="2"/>
  <c r="AL363" i="2"/>
  <c r="AD363" i="2"/>
  <c r="V363" i="2"/>
  <c r="N363" i="2"/>
  <c r="F363" i="2"/>
  <c r="AH362" i="2"/>
  <c r="Z362" i="2"/>
  <c r="R362" i="2"/>
  <c r="J362" i="2"/>
  <c r="AG368" i="2"/>
  <c r="Y368" i="2"/>
  <c r="Q368" i="2"/>
  <c r="I368" i="2"/>
  <c r="AK367" i="2"/>
  <c r="AC367" i="2"/>
  <c r="U367" i="2"/>
  <c r="M367" i="2"/>
  <c r="E367" i="2"/>
  <c r="AG366" i="2"/>
  <c r="Y366" i="2"/>
  <c r="Q366" i="2"/>
  <c r="I366" i="2"/>
  <c r="AK365" i="2"/>
  <c r="AC365" i="2"/>
  <c r="U365" i="2"/>
  <c r="M365" i="2"/>
  <c r="E365" i="2"/>
  <c r="AG364" i="2"/>
  <c r="Y364" i="2"/>
  <c r="Q364" i="2"/>
  <c r="I364" i="2"/>
  <c r="AK363" i="2"/>
  <c r="AC363" i="2"/>
  <c r="U363" i="2"/>
  <c r="M363" i="2"/>
  <c r="E363" i="2"/>
  <c r="AG362" i="2"/>
  <c r="Y362" i="2"/>
  <c r="Q362" i="2"/>
  <c r="I362" i="2"/>
  <c r="AJ364" i="2"/>
  <c r="AB364" i="2"/>
  <c r="T364" i="2"/>
  <c r="L364" i="2"/>
  <c r="D364" i="2"/>
  <c r="AF363" i="2"/>
  <c r="X363" i="2"/>
  <c r="P363" i="2"/>
  <c r="H363" i="2"/>
  <c r="AJ362" i="2"/>
  <c r="AB362" i="2"/>
  <c r="T362" i="2"/>
  <c r="L362" i="2"/>
  <c r="C362" i="2"/>
  <c r="AE368" i="2"/>
  <c r="W368" i="2"/>
  <c r="O368" i="2"/>
  <c r="G368" i="2"/>
  <c r="AI367" i="2"/>
  <c r="AA367" i="2"/>
  <c r="S367" i="2"/>
  <c r="K367" i="2"/>
  <c r="C367" i="2"/>
  <c r="AE366" i="2"/>
  <c r="W366" i="2"/>
  <c r="O366" i="2"/>
  <c r="G366" i="2"/>
  <c r="AI365" i="2"/>
  <c r="AA365" i="2"/>
  <c r="S365" i="2"/>
  <c r="K365" i="2"/>
  <c r="C365" i="2"/>
  <c r="AE364" i="2"/>
  <c r="W364" i="2"/>
  <c r="O364" i="2"/>
  <c r="G364" i="2"/>
  <c r="AI363" i="2"/>
  <c r="AA363" i="2"/>
  <c r="S363" i="2"/>
  <c r="K363" i="2"/>
  <c r="C363" i="2"/>
  <c r="AL368" i="2"/>
  <c r="AD368" i="2"/>
  <c r="V368" i="2"/>
  <c r="N368" i="2"/>
  <c r="F368" i="2"/>
  <c r="AH367" i="2"/>
  <c r="Z367" i="2"/>
  <c r="R367" i="2"/>
  <c r="J367" i="2"/>
  <c r="AL366" i="2"/>
  <c r="AD366" i="2"/>
  <c r="V366" i="2"/>
  <c r="N366" i="2"/>
  <c r="F366" i="2"/>
  <c r="AH365" i="2"/>
  <c r="Z365" i="2"/>
  <c r="R365" i="2"/>
  <c r="J365" i="2"/>
  <c r="AL364" i="2"/>
  <c r="AD364" i="2"/>
  <c r="V364" i="2"/>
  <c r="N364" i="2"/>
  <c r="F364" i="2"/>
  <c r="AH363" i="2"/>
  <c r="Z363" i="2"/>
  <c r="R363" i="2"/>
  <c r="J363" i="2"/>
  <c r="AL362" i="2"/>
  <c r="AD362" i="2"/>
  <c r="V362" i="2"/>
  <c r="N362" i="2"/>
  <c r="F362" i="2"/>
  <c r="AK368" i="2"/>
  <c r="AC368" i="2"/>
  <c r="U368" i="2"/>
  <c r="M368" i="2"/>
  <c r="E368" i="2"/>
  <c r="AG367" i="2"/>
  <c r="Y367" i="2"/>
  <c r="Q367" i="2"/>
  <c r="I367" i="2"/>
  <c r="AK366" i="2"/>
  <c r="AC366" i="2"/>
  <c r="U366" i="2"/>
  <c r="M366" i="2"/>
  <c r="E366" i="2"/>
  <c r="AG365" i="2"/>
  <c r="Y365" i="2"/>
  <c r="Q365" i="2"/>
  <c r="I365" i="2"/>
  <c r="AK364" i="2"/>
  <c r="AC364" i="2"/>
  <c r="U364" i="2"/>
  <c r="M364" i="2"/>
  <c r="E364" i="2"/>
  <c r="AG363" i="2"/>
  <c r="Y363" i="2"/>
  <c r="Q363" i="2"/>
  <c r="I363" i="2"/>
  <c r="AK362" i="2"/>
  <c r="AC362" i="2"/>
  <c r="U362" i="2"/>
  <c r="M362" i="2"/>
  <c r="E362" i="2"/>
  <c r="AJ368" i="2"/>
  <c r="AB368" i="2"/>
  <c r="T368" i="2"/>
  <c r="L368" i="2"/>
  <c r="D368" i="2"/>
  <c r="AF367" i="2"/>
  <c r="X367" i="2"/>
  <c r="P367" i="2"/>
  <c r="H367" i="2"/>
  <c r="AJ366" i="2"/>
  <c r="AB366" i="2"/>
  <c r="T366" i="2"/>
  <c r="L366" i="2"/>
  <c r="D366" i="2"/>
  <c r="AF365" i="2"/>
  <c r="X365" i="2"/>
  <c r="P365" i="2"/>
  <c r="H365" i="2"/>
  <c r="AF337" i="2"/>
  <c r="X337" i="2"/>
  <c r="P337" i="2"/>
  <c r="H337" i="2"/>
  <c r="AJ336" i="2"/>
  <c r="AB336" i="2"/>
  <c r="T336" i="2"/>
  <c r="L336" i="2"/>
  <c r="D336" i="2"/>
  <c r="AF335" i="2"/>
  <c r="X335" i="2"/>
  <c r="P335" i="2"/>
  <c r="H335" i="2"/>
  <c r="AJ334" i="2"/>
  <c r="AB334" i="2"/>
  <c r="T334" i="2"/>
  <c r="L334" i="2"/>
  <c r="D334" i="2"/>
  <c r="AF333" i="2"/>
  <c r="X333" i="2"/>
  <c r="P333" i="2"/>
  <c r="H333" i="2"/>
  <c r="O334" i="2"/>
  <c r="AI333" i="2"/>
  <c r="U336" i="2"/>
  <c r="M336" i="2"/>
  <c r="E336" i="2"/>
  <c r="AG335" i="2"/>
  <c r="Y335" i="2"/>
  <c r="Q335" i="2"/>
  <c r="I335" i="2"/>
  <c r="AK334" i="2"/>
  <c r="AC334" i="2"/>
  <c r="U334" i="2"/>
  <c r="M334" i="2"/>
  <c r="E334" i="2"/>
  <c r="AG333" i="2"/>
  <c r="Y333" i="2"/>
  <c r="Q333" i="2"/>
  <c r="I333" i="2"/>
  <c r="AK332" i="2"/>
  <c r="AC332" i="2"/>
  <c r="U332" i="2"/>
  <c r="M332" i="2"/>
  <c r="E332" i="2"/>
  <c r="AG331" i="2"/>
  <c r="Y331" i="2"/>
  <c r="Q331" i="2"/>
  <c r="I331" i="2"/>
  <c r="S337" i="2"/>
  <c r="K337" i="2"/>
  <c r="W332" i="2"/>
  <c r="G332" i="2"/>
  <c r="G336" i="2"/>
  <c r="AA335" i="2"/>
  <c r="S335" i="2"/>
  <c r="AA333" i="2"/>
  <c r="AI331" i="2"/>
  <c r="AI337" i="2"/>
  <c r="AA337" i="2"/>
  <c r="C337" i="2"/>
  <c r="AE336" i="2"/>
  <c r="W336" i="2"/>
  <c r="O336" i="2"/>
  <c r="AI335" i="2"/>
  <c r="K335" i="2"/>
  <c r="C335" i="2"/>
  <c r="AE334" i="2"/>
  <c r="W334" i="2"/>
  <c r="G334" i="2"/>
  <c r="S333" i="2"/>
  <c r="K333" i="2"/>
  <c r="C333" i="2"/>
  <c r="AE332" i="2"/>
  <c r="O332" i="2"/>
  <c r="AA331" i="2"/>
  <c r="S331" i="2"/>
  <c r="K331" i="2"/>
  <c r="C331" i="2"/>
  <c r="AL331" i="2"/>
  <c r="V337" i="2"/>
  <c r="Z336" i="2"/>
  <c r="AD335" i="2"/>
  <c r="N335" i="2"/>
  <c r="J334" i="2"/>
  <c r="V333" i="2"/>
  <c r="AH332" i="2"/>
  <c r="J332" i="2"/>
  <c r="N331" i="2"/>
  <c r="AK337" i="2"/>
  <c r="AC337" i="2"/>
  <c r="U337" i="2"/>
  <c r="M337" i="2"/>
  <c r="E337" i="2"/>
  <c r="AG336" i="2"/>
  <c r="Y336" i="2"/>
  <c r="Q336" i="2"/>
  <c r="I336" i="2"/>
  <c r="AK335" i="2"/>
  <c r="AC335" i="2"/>
  <c r="U335" i="2"/>
  <c r="M335" i="2"/>
  <c r="E335" i="2"/>
  <c r="F337" i="2"/>
  <c r="J336" i="2"/>
  <c r="AH334" i="2"/>
  <c r="AL333" i="2"/>
  <c r="Z332" i="2"/>
  <c r="N337" i="2"/>
  <c r="R336" i="2"/>
  <c r="V335" i="2"/>
  <c r="F335" i="2"/>
  <c r="R334" i="2"/>
  <c r="AD333" i="2"/>
  <c r="F333" i="2"/>
  <c r="R332" i="2"/>
  <c r="F331" i="2"/>
  <c r="AL337" i="2"/>
  <c r="AD331" i="2"/>
  <c r="AD337" i="2"/>
  <c r="AH336" i="2"/>
  <c r="AL335" i="2"/>
  <c r="Z334" i="2"/>
  <c r="N333" i="2"/>
  <c r="V331" i="2"/>
  <c r="AG334" i="2"/>
  <c r="Y334" i="2"/>
  <c r="Q334" i="2"/>
  <c r="I334" i="2"/>
  <c r="AK333" i="2"/>
  <c r="AC333" i="2"/>
  <c r="U333" i="2"/>
  <c r="M333" i="2"/>
  <c r="E333" i="2"/>
  <c r="AG332" i="2"/>
  <c r="Y332" i="2"/>
  <c r="Q332" i="2"/>
  <c r="I332" i="2"/>
  <c r="AK331" i="2"/>
  <c r="AC331" i="2"/>
  <c r="U331" i="2"/>
  <c r="M331" i="2"/>
  <c r="E331" i="2"/>
  <c r="AJ337" i="2"/>
  <c r="AB337" i="2"/>
  <c r="T337" i="2"/>
  <c r="L337" i="2"/>
  <c r="D337" i="2"/>
  <c r="AF336" i="2"/>
  <c r="X336" i="2"/>
  <c r="P336" i="2"/>
  <c r="H336" i="2"/>
  <c r="AJ335" i="2"/>
  <c r="AB335" i="2"/>
  <c r="T335" i="2"/>
  <c r="L335" i="2"/>
  <c r="D335" i="2"/>
  <c r="AF334" i="2"/>
  <c r="X334" i="2"/>
  <c r="P334" i="2"/>
  <c r="H334" i="2"/>
  <c r="AJ333" i="2"/>
  <c r="AB333" i="2"/>
  <c r="T333" i="2"/>
  <c r="L333" i="2"/>
  <c r="D333" i="2"/>
  <c r="AF332" i="2"/>
  <c r="X332" i="2"/>
  <c r="P332" i="2"/>
  <c r="H332" i="2"/>
  <c r="AJ331" i="2"/>
  <c r="AB331" i="2"/>
  <c r="T331" i="2"/>
  <c r="L331" i="2"/>
  <c r="D331" i="2"/>
  <c r="AH337" i="2"/>
  <c r="Z337" i="2"/>
  <c r="R337" i="2"/>
  <c r="J337" i="2"/>
  <c r="AL336" i="2"/>
  <c r="AD336" i="2"/>
  <c r="V336" i="2"/>
  <c r="N336" i="2"/>
  <c r="F336" i="2"/>
  <c r="AH335" i="2"/>
  <c r="Z335" i="2"/>
  <c r="R335" i="2"/>
  <c r="J335" i="2"/>
  <c r="AL334" i="2"/>
  <c r="AD334" i="2"/>
  <c r="V334" i="2"/>
  <c r="N334" i="2"/>
  <c r="F334" i="2"/>
  <c r="AH333" i="2"/>
  <c r="Z333" i="2"/>
  <c r="R333" i="2"/>
  <c r="J333" i="2"/>
  <c r="AL332" i="2"/>
  <c r="AD332" i="2"/>
  <c r="V332" i="2"/>
  <c r="N332" i="2"/>
  <c r="F332" i="2"/>
  <c r="AH331" i="2"/>
  <c r="Z331" i="2"/>
  <c r="R331" i="2"/>
  <c r="J331" i="2"/>
  <c r="AG337" i="2"/>
  <c r="Y337" i="2"/>
  <c r="Q337" i="2"/>
  <c r="I337" i="2"/>
  <c r="AK336" i="2"/>
  <c r="AC336" i="2"/>
  <c r="AE337" i="2"/>
  <c r="W337" i="2"/>
  <c r="O337" i="2"/>
  <c r="G337" i="2"/>
  <c r="AI336" i="2"/>
  <c r="AA336" i="2"/>
  <c r="S336" i="2"/>
  <c r="K336" i="2"/>
  <c r="C336" i="2"/>
  <c r="AE335" i="2"/>
  <c r="W335" i="2"/>
  <c r="O335" i="2"/>
  <c r="G335" i="2"/>
  <c r="AI334" i="2"/>
  <c r="AA334" i="2"/>
  <c r="S334" i="2"/>
  <c r="K334" i="2"/>
  <c r="C334" i="2"/>
  <c r="AE333" i="2"/>
  <c r="W333" i="2"/>
  <c r="O333" i="2"/>
  <c r="G333" i="2"/>
  <c r="AI332" i="2"/>
  <c r="AA332" i="2"/>
  <c r="S332" i="2"/>
  <c r="K332" i="2"/>
  <c r="C332" i="2"/>
  <c r="G331" i="2"/>
  <c r="O331" i="2"/>
  <c r="W331" i="2"/>
  <c r="AE331" i="2"/>
  <c r="H331" i="2"/>
  <c r="P331" i="2"/>
  <c r="X331" i="2"/>
  <c r="AF331" i="2"/>
  <c r="D332" i="2"/>
  <c r="L332" i="2"/>
  <c r="T332" i="2"/>
  <c r="AB332" i="2"/>
  <c r="AJ332" i="2"/>
  <c r="C283" i="2"/>
  <c r="AE283" i="2"/>
  <c r="W283" i="2"/>
  <c r="O283" i="2"/>
  <c r="G283" i="2"/>
  <c r="AI279" i="2"/>
  <c r="AA279" i="2"/>
  <c r="S279" i="2"/>
  <c r="K279" i="2"/>
  <c r="AI280" i="2"/>
  <c r="S280" i="2"/>
  <c r="K280" i="2"/>
  <c r="C281" i="2"/>
  <c r="C279" i="2"/>
  <c r="AH280" i="2"/>
  <c r="Z280" i="2"/>
  <c r="R280" i="2"/>
  <c r="C289" i="2" s="1"/>
  <c r="J280" i="2"/>
  <c r="AH282" i="2"/>
  <c r="Z282" i="2"/>
  <c r="R282" i="2"/>
  <c r="C291" i="2" s="1"/>
  <c r="J282" i="2"/>
  <c r="C284" i="2"/>
  <c r="AI284" i="2"/>
  <c r="AA284" i="2"/>
  <c r="S284" i="2"/>
  <c r="K284" i="2"/>
  <c r="AD283" i="2"/>
  <c r="V283" i="2"/>
  <c r="N283" i="2"/>
  <c r="F283" i="2"/>
  <c r="AH279" i="2"/>
  <c r="Z279" i="2"/>
  <c r="R279" i="2"/>
  <c r="C288" i="2" s="1"/>
  <c r="J279" i="2"/>
  <c r="AH284" i="2"/>
  <c r="AG285" i="2"/>
  <c r="Y285" i="2"/>
  <c r="Q285" i="2"/>
  <c r="I285" i="2"/>
  <c r="AF280" i="2"/>
  <c r="X280" i="2"/>
  <c r="P280" i="2"/>
  <c r="H280" i="2"/>
  <c r="AF285" i="2"/>
  <c r="X285" i="2"/>
  <c r="P285" i="2"/>
  <c r="H285" i="2"/>
  <c r="AG282" i="2"/>
  <c r="Y282" i="2"/>
  <c r="Q282" i="2"/>
  <c r="I282" i="2"/>
  <c r="C285" i="2"/>
  <c r="Z284" i="2"/>
  <c r="R284" i="2"/>
  <c r="C293" i="2" s="1"/>
  <c r="J284" i="2"/>
  <c r="AK283" i="2"/>
  <c r="AC283" i="2"/>
  <c r="U283" i="2"/>
  <c r="M283" i="2"/>
  <c r="E283" i="2"/>
  <c r="AF282" i="2"/>
  <c r="X282" i="2"/>
  <c r="P282" i="2"/>
  <c r="H282" i="2"/>
  <c r="AI281" i="2"/>
  <c r="AA281" i="2"/>
  <c r="S281" i="2"/>
  <c r="K281" i="2"/>
  <c r="AG279" i="2"/>
  <c r="Y279" i="2"/>
  <c r="Q279" i="2"/>
  <c r="I279" i="2"/>
  <c r="AG284" i="2"/>
  <c r="Y284" i="2"/>
  <c r="Q284" i="2"/>
  <c r="I284" i="2"/>
  <c r="AJ283" i="2"/>
  <c r="AB283" i="2"/>
  <c r="D292" i="2" s="1"/>
  <c r="T283" i="2"/>
  <c r="L283" i="2"/>
  <c r="D283" i="2"/>
  <c r="AE282" i="2"/>
  <c r="W282" i="2"/>
  <c r="O282" i="2"/>
  <c r="G282" i="2"/>
  <c r="AH281" i="2"/>
  <c r="Z281" i="2"/>
  <c r="R281" i="2"/>
  <c r="C290" i="2" s="1"/>
  <c r="J281" i="2"/>
  <c r="AK280" i="2"/>
  <c r="AC280" i="2"/>
  <c r="U280" i="2"/>
  <c r="M280" i="2"/>
  <c r="E280" i="2"/>
  <c r="AF279" i="2"/>
  <c r="X279" i="2"/>
  <c r="P279" i="2"/>
  <c r="H279" i="2"/>
  <c r="AF284" i="2"/>
  <c r="X284" i="2"/>
  <c r="P284" i="2"/>
  <c r="H284" i="2"/>
  <c r="AI283" i="2"/>
  <c r="AA283" i="2"/>
  <c r="S283" i="2"/>
  <c r="K283" i="2"/>
  <c r="AG281" i="2"/>
  <c r="Y281" i="2"/>
  <c r="Q281" i="2"/>
  <c r="I281" i="2"/>
  <c r="AE279" i="2"/>
  <c r="W279" i="2"/>
  <c r="O279" i="2"/>
  <c r="G279" i="2"/>
  <c r="C282" i="2"/>
  <c r="AJ281" i="2"/>
  <c r="AB281" i="2"/>
  <c r="D290" i="2" s="1"/>
  <c r="T281" i="2"/>
  <c r="L281" i="2"/>
  <c r="D281" i="2"/>
  <c r="AE280" i="2"/>
  <c r="W280" i="2"/>
  <c r="O280" i="2"/>
  <c r="G280" i="2"/>
  <c r="AA280" i="2"/>
  <c r="AK285" i="2"/>
  <c r="AC285" i="2"/>
  <c r="U285" i="2"/>
  <c r="M285" i="2"/>
  <c r="E285" i="2"/>
  <c r="AD282" i="2"/>
  <c r="V282" i="2"/>
  <c r="N282" i="2"/>
  <c r="F282" i="2"/>
  <c r="AJ280" i="2"/>
  <c r="AB280" i="2"/>
  <c r="D289" i="2" s="1"/>
  <c r="T280" i="2"/>
  <c r="L280" i="2"/>
  <c r="D280" i="2"/>
  <c r="AJ285" i="2"/>
  <c r="AB285" i="2"/>
  <c r="D294" i="2" s="1"/>
  <c r="T285" i="2"/>
  <c r="L285" i="2"/>
  <c r="D285" i="2"/>
  <c r="AE284" i="2"/>
  <c r="W284" i="2"/>
  <c r="O284" i="2"/>
  <c r="G284" i="2"/>
  <c r="AH283" i="2"/>
  <c r="Z283" i="2"/>
  <c r="R283" i="2"/>
  <c r="C292" i="2" s="1"/>
  <c r="J283" i="2"/>
  <c r="AK282" i="2"/>
  <c r="AC282" i="2"/>
  <c r="U282" i="2"/>
  <c r="M282" i="2"/>
  <c r="E282" i="2"/>
  <c r="AF281" i="2"/>
  <c r="X281" i="2"/>
  <c r="P281" i="2"/>
  <c r="H281" i="2"/>
  <c r="AD279" i="2"/>
  <c r="V279" i="2"/>
  <c r="N279" i="2"/>
  <c r="F279" i="2"/>
  <c r="AI285" i="2"/>
  <c r="AA285" i="2"/>
  <c r="S285" i="2"/>
  <c r="K285" i="2"/>
  <c r="AD284" i="2"/>
  <c r="V284" i="2"/>
  <c r="N284" i="2"/>
  <c r="F284" i="2"/>
  <c r="AG283" i="2"/>
  <c r="Y283" i="2"/>
  <c r="Q283" i="2"/>
  <c r="I283" i="2"/>
  <c r="AJ282" i="2"/>
  <c r="AB282" i="2"/>
  <c r="D291" i="2" s="1"/>
  <c r="T282" i="2"/>
  <c r="L282" i="2"/>
  <c r="D282" i="2"/>
  <c r="AK279" i="2"/>
  <c r="AC279" i="2"/>
  <c r="U279" i="2"/>
  <c r="M279" i="2"/>
  <c r="E279" i="2"/>
  <c r="AH285" i="2"/>
  <c r="Z285" i="2"/>
  <c r="R285" i="2"/>
  <c r="C294" i="2" s="1"/>
  <c r="J285" i="2"/>
  <c r="AK284" i="2"/>
  <c r="AC284" i="2"/>
  <c r="U284" i="2"/>
  <c r="M284" i="2"/>
  <c r="E284" i="2"/>
  <c r="AF283" i="2"/>
  <c r="X283" i="2"/>
  <c r="P283" i="2"/>
  <c r="H283" i="2"/>
  <c r="AI282" i="2"/>
  <c r="AA282" i="2"/>
  <c r="S282" i="2"/>
  <c r="K282" i="2"/>
  <c r="AD281" i="2"/>
  <c r="V281" i="2"/>
  <c r="N281" i="2"/>
  <c r="F281" i="2"/>
  <c r="AG280" i="2"/>
  <c r="Y280" i="2"/>
  <c r="Q280" i="2"/>
  <c r="I280" i="2"/>
  <c r="AJ279" i="2"/>
  <c r="AB279" i="2"/>
  <c r="D288" i="2" s="1"/>
  <c r="T279" i="2"/>
  <c r="L279" i="2"/>
  <c r="D279" i="2"/>
  <c r="AD285" i="2"/>
  <c r="V285" i="2"/>
  <c r="N285" i="2"/>
  <c r="F285" i="2"/>
  <c r="AJ284" i="2"/>
  <c r="AB284" i="2"/>
  <c r="D293" i="2" s="1"/>
  <c r="T284" i="2"/>
  <c r="L284" i="2"/>
  <c r="D284" i="2"/>
  <c r="AK281" i="2"/>
  <c r="AC281" i="2"/>
  <c r="U281" i="2"/>
  <c r="M281" i="2"/>
  <c r="E281" i="2"/>
  <c r="C280" i="2"/>
  <c r="AE285" i="2"/>
  <c r="W285" i="2"/>
  <c r="O285" i="2"/>
  <c r="G285" i="2"/>
  <c r="AD280" i="2"/>
  <c r="V280" i="2"/>
  <c r="N280" i="2"/>
  <c r="F280" i="2"/>
  <c r="G281" i="2"/>
  <c r="O281" i="2"/>
  <c r="W281" i="2"/>
  <c r="AE281" i="2"/>
  <c r="F69" i="2" l="1"/>
  <c r="J69" i="2"/>
  <c r="N69" i="2"/>
  <c r="R69" i="2"/>
  <c r="V69" i="2"/>
  <c r="Z69" i="2"/>
  <c r="AD69" i="2"/>
  <c r="AH69" i="2"/>
  <c r="AL69" i="2"/>
  <c r="G69" i="2"/>
  <c r="K69" i="2"/>
  <c r="O69" i="2"/>
  <c r="S69" i="2"/>
  <c r="W69" i="2"/>
  <c r="AA69" i="2"/>
  <c r="AE69" i="2"/>
  <c r="AI69" i="2"/>
  <c r="D69" i="2"/>
  <c r="H69" i="2"/>
  <c r="L69" i="2"/>
  <c r="P69" i="2"/>
  <c r="T69" i="2"/>
  <c r="X69" i="2"/>
  <c r="AB69" i="2"/>
  <c r="AF69" i="2"/>
  <c r="AJ69" i="2"/>
  <c r="E69" i="2"/>
  <c r="I69" i="2"/>
  <c r="M69" i="2"/>
  <c r="Q69" i="2"/>
  <c r="U69" i="2"/>
  <c r="Y69" i="2"/>
  <c r="AC69" i="2"/>
  <c r="AG69" i="2"/>
  <c r="AK69" i="2"/>
  <c r="C69" i="2"/>
  <c r="AL190" i="2" l="1"/>
  <c r="AK190" i="2"/>
  <c r="AJ190" i="2"/>
  <c r="AI190" i="2"/>
  <c r="AH190" i="2"/>
  <c r="AG190" i="2"/>
  <c r="AF190" i="2"/>
  <c r="AE190" i="2"/>
  <c r="AD190" i="2"/>
  <c r="AC190" i="2"/>
  <c r="AB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AL189" i="2"/>
  <c r="AK189" i="2"/>
  <c r="AJ189" i="2"/>
  <c r="AI189" i="2"/>
  <c r="AH189" i="2"/>
  <c r="AG189" i="2"/>
  <c r="AF189" i="2"/>
  <c r="AE189" i="2"/>
  <c r="AD189" i="2"/>
  <c r="AC189" i="2"/>
  <c r="AB189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AL188" i="2"/>
  <c r="AK188" i="2"/>
  <c r="AJ188" i="2"/>
  <c r="AI188" i="2"/>
  <c r="AH188" i="2"/>
  <c r="AG188" i="2"/>
  <c r="AF188" i="2"/>
  <c r="AE188" i="2"/>
  <c r="AD188" i="2"/>
  <c r="AC188" i="2"/>
  <c r="AB188" i="2"/>
  <c r="AA188" i="2"/>
  <c r="Z188" i="2"/>
  <c r="Y188" i="2"/>
  <c r="X188" i="2"/>
  <c r="W188" i="2"/>
  <c r="V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AL187" i="2"/>
  <c r="AK187" i="2"/>
  <c r="AJ187" i="2"/>
  <c r="AI187" i="2"/>
  <c r="AH187" i="2"/>
  <c r="AG187" i="2"/>
  <c r="AF187" i="2"/>
  <c r="AE187" i="2"/>
  <c r="AD187" i="2"/>
  <c r="AC187" i="2"/>
  <c r="AB187" i="2"/>
  <c r="AA187" i="2"/>
  <c r="Z187" i="2"/>
  <c r="Y187" i="2"/>
  <c r="X187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AL186" i="2"/>
  <c r="AK186" i="2"/>
  <c r="AJ186" i="2"/>
  <c r="AI186" i="2"/>
  <c r="AH186" i="2"/>
  <c r="AG186" i="2"/>
  <c r="AF186" i="2"/>
  <c r="AE186" i="2"/>
  <c r="AD186" i="2"/>
  <c r="AC186" i="2"/>
  <c r="AB186" i="2"/>
  <c r="AA186" i="2"/>
  <c r="Z186" i="2"/>
  <c r="Y186" i="2"/>
  <c r="X186" i="2"/>
  <c r="W186" i="2"/>
  <c r="V186" i="2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AL185" i="2"/>
  <c r="AK185" i="2"/>
  <c r="AJ185" i="2"/>
  <c r="AI185" i="2"/>
  <c r="AH185" i="2"/>
  <c r="AG185" i="2"/>
  <c r="AF185" i="2"/>
  <c r="AE185" i="2"/>
  <c r="AD185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AL184" i="2"/>
  <c r="AK184" i="2"/>
  <c r="AJ184" i="2"/>
  <c r="AI184" i="2"/>
  <c r="AH184" i="2"/>
  <c r="AG184" i="2"/>
  <c r="AF184" i="2"/>
  <c r="AE184" i="2"/>
  <c r="AD184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90" i="2"/>
  <c r="C189" i="2"/>
  <c r="C188" i="2"/>
  <c r="C187" i="2"/>
  <c r="C186" i="2"/>
  <c r="C185" i="2"/>
  <c r="C184" i="2"/>
  <c r="D146" i="2"/>
  <c r="C151" i="2"/>
  <c r="D147" i="2" l="1"/>
  <c r="D152" i="2"/>
  <c r="C152" i="2"/>
  <c r="E151" i="2"/>
  <c r="D153" i="2"/>
  <c r="E152" i="2"/>
  <c r="C146" i="2"/>
  <c r="E146" i="2"/>
  <c r="D149" i="2" l="1"/>
  <c r="D151" i="2"/>
  <c r="C147" i="2"/>
  <c r="E148" i="2"/>
  <c r="C149" i="2"/>
  <c r="E150" i="2"/>
  <c r="C153" i="2"/>
  <c r="D148" i="2"/>
  <c r="D150" i="2"/>
  <c r="E147" i="2"/>
  <c r="C148" i="2"/>
  <c r="E149" i="2"/>
  <c r="C150" i="2"/>
  <c r="E153" i="2"/>
  <c r="AL75" i="2"/>
  <c r="R75" i="2"/>
  <c r="F75" i="2" l="1"/>
  <c r="AJ75" i="2"/>
  <c r="AB75" i="2"/>
  <c r="V75" i="2"/>
  <c r="AH75" i="2"/>
  <c r="T75" i="2"/>
  <c r="Z75" i="2"/>
  <c r="J75" i="2"/>
  <c r="AK75" i="2"/>
  <c r="M75" i="2"/>
  <c r="AF75" i="2"/>
  <c r="X75" i="2"/>
  <c r="P75" i="2"/>
  <c r="H75" i="2"/>
  <c r="C75" i="2"/>
  <c r="L75" i="2"/>
  <c r="D75" i="2"/>
  <c r="AE75" i="2"/>
  <c r="W75" i="2"/>
  <c r="O75" i="2"/>
  <c r="G75" i="2"/>
  <c r="AD75" i="2"/>
  <c r="N75" i="2"/>
  <c r="K75" i="2"/>
  <c r="AI75" i="2"/>
  <c r="S75" i="2"/>
  <c r="AG75" i="2"/>
  <c r="Y75" i="2"/>
  <c r="Q75" i="2"/>
  <c r="I75" i="2"/>
  <c r="AA75" i="2"/>
  <c r="AC75" i="2"/>
  <c r="U75" i="2"/>
  <c r="E75" i="2"/>
  <c r="E159" i="2" l="1"/>
  <c r="C157" i="2"/>
  <c r="E161" i="2"/>
  <c r="D161" i="2"/>
  <c r="C161" i="2"/>
  <c r="E160" i="2"/>
  <c r="C160" i="2"/>
  <c r="C159" i="2"/>
  <c r="E158" i="2"/>
  <c r="D158" i="2"/>
  <c r="C158" i="2"/>
  <c r="E157" i="2"/>
  <c r="D157" i="2"/>
  <c r="C156" i="2"/>
  <c r="D160" i="2"/>
  <c r="D156" i="2"/>
  <c r="E156" i="2" l="1"/>
  <c r="D159" i="2"/>
  <c r="B65" i="2" l="1"/>
  <c r="B73" i="2" s="1"/>
  <c r="B64" i="2"/>
  <c r="B67" i="2" s="1"/>
  <c r="AD216" i="2" l="1"/>
  <c r="AD99" i="2"/>
  <c r="AD198" i="2"/>
  <c r="Z217" i="2"/>
  <c r="R218" i="2"/>
  <c r="C228" i="2" s="1"/>
  <c r="R259" i="2"/>
  <c r="J220" i="2"/>
  <c r="J198" i="2"/>
  <c r="F219" i="2"/>
  <c r="AG210" i="2"/>
  <c r="AG256" i="2"/>
  <c r="Y256" i="2"/>
  <c r="Y258" i="2"/>
  <c r="Q220" i="2"/>
  <c r="Q210" i="2"/>
  <c r="Q209" i="2" s="1"/>
  <c r="Q258" i="2"/>
  <c r="Q256" i="2"/>
  <c r="E256" i="2"/>
  <c r="AJ219" i="2"/>
  <c r="AJ210" i="2"/>
  <c r="AF223" i="2"/>
  <c r="AF210" i="2"/>
  <c r="AF260" i="2"/>
  <c r="AF257" i="2"/>
  <c r="AF256" i="2"/>
  <c r="AF258" i="2"/>
  <c r="P257" i="2"/>
  <c r="P256" i="2"/>
  <c r="P258" i="2"/>
  <c r="H261" i="2"/>
  <c r="H257" i="2"/>
  <c r="H256" i="2"/>
  <c r="H258" i="2"/>
  <c r="D99" i="2"/>
  <c r="AH60" i="2"/>
  <c r="AH65" i="2"/>
  <c r="AH64" i="2"/>
  <c r="V198" i="2"/>
  <c r="AK60" i="2"/>
  <c r="AK65" i="2"/>
  <c r="AK64" i="2"/>
  <c r="AC60" i="2"/>
  <c r="AC65" i="2"/>
  <c r="AC64" i="2"/>
  <c r="U60" i="2"/>
  <c r="U65" i="2"/>
  <c r="U64" i="2"/>
  <c r="U210" i="2"/>
  <c r="M60" i="2"/>
  <c r="M65" i="2"/>
  <c r="M64" i="2"/>
  <c r="I60" i="2"/>
  <c r="I65" i="2"/>
  <c r="I64" i="2"/>
  <c r="I257" i="2"/>
  <c r="AI60" i="2"/>
  <c r="AI65" i="2"/>
  <c r="AI64" i="2"/>
  <c r="AE60" i="2"/>
  <c r="AE65" i="2"/>
  <c r="AE64" i="2"/>
  <c r="AA60" i="2"/>
  <c r="AA65" i="2"/>
  <c r="AA64" i="2"/>
  <c r="W60" i="2"/>
  <c r="W65" i="2"/>
  <c r="W64" i="2"/>
  <c r="S60" i="2"/>
  <c r="S65" i="2"/>
  <c r="S64" i="2"/>
  <c r="O60" i="2"/>
  <c r="O65" i="2"/>
  <c r="O64" i="2"/>
  <c r="K60" i="2"/>
  <c r="K65" i="2"/>
  <c r="K64" i="2"/>
  <c r="G65" i="2"/>
  <c r="G64" i="2"/>
  <c r="C219" i="2"/>
  <c r="AJ261" i="2" l="1"/>
  <c r="H260" i="2"/>
  <c r="AB258" i="2"/>
  <c r="AF261" i="2"/>
  <c r="AJ256" i="2"/>
  <c r="E257" i="2"/>
  <c r="AG99" i="2"/>
  <c r="AG98" i="2" s="1"/>
  <c r="AG216" i="2"/>
  <c r="F259" i="2"/>
  <c r="F210" i="2"/>
  <c r="F209" i="2" s="1"/>
  <c r="Z216" i="2"/>
  <c r="AD98" i="2"/>
  <c r="P260" i="2"/>
  <c r="T260" i="2"/>
  <c r="AF209" i="2"/>
  <c r="AF220" i="2"/>
  <c r="C259" i="2"/>
  <c r="K260" i="2"/>
  <c r="E218" i="2"/>
  <c r="Y257" i="2"/>
  <c r="Z259" i="2"/>
  <c r="AD244" i="2"/>
  <c r="AD223" i="2"/>
  <c r="O218" i="2"/>
  <c r="I261" i="2"/>
  <c r="P261" i="2"/>
  <c r="AJ209" i="2"/>
  <c r="AG218" i="2"/>
  <c r="C258" i="2"/>
  <c r="C220" i="2"/>
  <c r="S210" i="2"/>
  <c r="S209" i="2" s="1"/>
  <c r="W223" i="2"/>
  <c r="AE218" i="2"/>
  <c r="AI99" i="2"/>
  <c r="AI98" i="2" s="1"/>
  <c r="AC198" i="2"/>
  <c r="AC197" i="2" s="1"/>
  <c r="AC218" i="2"/>
  <c r="V259" i="2"/>
  <c r="D98" i="2"/>
  <c r="J218" i="2"/>
  <c r="AA256" i="2"/>
  <c r="F216" i="2"/>
  <c r="F223" i="2"/>
  <c r="Z210" i="2"/>
  <c r="Z209" i="2" s="1"/>
  <c r="Q261" i="2"/>
  <c r="J210" i="2"/>
  <c r="J222" i="2" s="1"/>
  <c r="J259" i="2"/>
  <c r="G223" i="2"/>
  <c r="U260" i="2"/>
  <c r="J219" i="2"/>
  <c r="Z244" i="2"/>
  <c r="K223" i="2"/>
  <c r="D198" i="2"/>
  <c r="D197" i="2" s="1"/>
  <c r="C210" i="2"/>
  <c r="G261" i="2"/>
  <c r="AE210" i="2"/>
  <c r="AE209" i="2" s="1"/>
  <c r="AE217" i="2"/>
  <c r="M99" i="2"/>
  <c r="M98" i="2" s="1"/>
  <c r="O99" i="2"/>
  <c r="O98" i="2" s="1"/>
  <c r="W218" i="2"/>
  <c r="AE259" i="2"/>
  <c r="U258" i="2"/>
  <c r="AC261" i="2"/>
  <c r="AK256" i="2"/>
  <c r="N217" i="2"/>
  <c r="Y220" i="2"/>
  <c r="O198" i="2"/>
  <c r="O197" i="2" s="1"/>
  <c r="L256" i="2"/>
  <c r="L217" i="2"/>
  <c r="P223" i="2"/>
  <c r="T261" i="2"/>
  <c r="X256" i="2"/>
  <c r="AG257" i="2"/>
  <c r="W256" i="2"/>
  <c r="AC220" i="2"/>
  <c r="D260" i="2"/>
  <c r="H217" i="2"/>
  <c r="AB257" i="2"/>
  <c r="AB223" i="2"/>
  <c r="D233" i="2" s="1"/>
  <c r="AJ260" i="2"/>
  <c r="AD219" i="2"/>
  <c r="K256" i="2"/>
  <c r="O210" i="2"/>
  <c r="O209" i="2" s="1"/>
  <c r="AA260" i="2"/>
  <c r="I223" i="2"/>
  <c r="U223" i="2"/>
  <c r="U209" i="2"/>
  <c r="U219" i="2"/>
  <c r="U216" i="2"/>
  <c r="AC260" i="2"/>
  <c r="AK210" i="2"/>
  <c r="AK209" i="2" s="1"/>
  <c r="N256" i="2"/>
  <c r="V257" i="2"/>
  <c r="V218" i="2"/>
  <c r="AH244" i="2"/>
  <c r="D218" i="2"/>
  <c r="P198" i="2"/>
  <c r="P197" i="2" s="1"/>
  <c r="X219" i="2"/>
  <c r="AB218" i="2"/>
  <c r="D228" i="2" s="1"/>
  <c r="Q219" i="2"/>
  <c r="Q218" i="2"/>
  <c r="Y261" i="2"/>
  <c r="U259" i="2"/>
  <c r="G256" i="2"/>
  <c r="K99" i="2"/>
  <c r="K98" i="2" s="1"/>
  <c r="O259" i="2"/>
  <c r="O219" i="2"/>
  <c r="AA99" i="2"/>
  <c r="AA98" i="2" s="1"/>
  <c r="AE219" i="2"/>
  <c r="I258" i="2"/>
  <c r="I210" i="2"/>
  <c r="I209" i="2" s="1"/>
  <c r="AK260" i="2"/>
  <c r="AK218" i="2"/>
  <c r="V256" i="2"/>
  <c r="V210" i="2"/>
  <c r="V209" i="2" s="1"/>
  <c r="AH99" i="2"/>
  <c r="AH98" i="2" s="1"/>
  <c r="AH223" i="2"/>
  <c r="D219" i="2"/>
  <c r="D223" i="2"/>
  <c r="L258" i="2"/>
  <c r="C198" i="2"/>
  <c r="C197" i="2" s="1"/>
  <c r="O261" i="2"/>
  <c r="H198" i="2"/>
  <c r="H197" i="2" s="1"/>
  <c r="H218" i="2"/>
  <c r="L261" i="2"/>
  <c r="T219" i="2"/>
  <c r="C218" i="2"/>
  <c r="G259" i="2"/>
  <c r="G217" i="2"/>
  <c r="G218" i="2"/>
  <c r="K210" i="2"/>
  <c r="K209" i="2" s="1"/>
  <c r="O216" i="2"/>
  <c r="W257" i="2"/>
  <c r="W219" i="2"/>
  <c r="W210" i="2"/>
  <c r="W209" i="2" s="1"/>
  <c r="AA223" i="2"/>
  <c r="AE261" i="2"/>
  <c r="AE198" i="2"/>
  <c r="AE197" i="2" s="1"/>
  <c r="AI257" i="2"/>
  <c r="AI198" i="2"/>
  <c r="AI197" i="2" s="1"/>
  <c r="I260" i="2"/>
  <c r="I256" i="2"/>
  <c r="M256" i="2"/>
  <c r="M244" i="2"/>
  <c r="M216" i="2"/>
  <c r="U261" i="2"/>
  <c r="U244" i="2"/>
  <c r="AC223" i="2"/>
  <c r="AC99" i="2"/>
  <c r="AC98" i="2" s="1"/>
  <c r="AK261" i="2"/>
  <c r="AK99" i="2"/>
  <c r="AK98" i="2" s="1"/>
  <c r="N258" i="2"/>
  <c r="N219" i="2"/>
  <c r="N210" i="2"/>
  <c r="N209" i="2" s="1"/>
  <c r="V216" i="2"/>
  <c r="V220" i="2"/>
  <c r="AH256" i="2"/>
  <c r="D261" i="2"/>
  <c r="H216" i="2"/>
  <c r="AB259" i="2"/>
  <c r="E210" i="2"/>
  <c r="E209" i="2" s="1"/>
  <c r="Q223" i="2"/>
  <c r="Y99" i="2"/>
  <c r="Y98" i="2" s="1"/>
  <c r="Y198" i="2"/>
  <c r="Y197" i="2" s="1"/>
  <c r="R220" i="2"/>
  <c r="C230" i="2" s="1"/>
  <c r="AD259" i="2"/>
  <c r="S99" i="2"/>
  <c r="S98" i="2" s="1"/>
  <c r="X217" i="2"/>
  <c r="AC257" i="2"/>
  <c r="L259" i="2"/>
  <c r="P218" i="2"/>
  <c r="T218" i="2"/>
  <c r="X99" i="2"/>
  <c r="X98" i="2" s="1"/>
  <c r="AB261" i="2"/>
  <c r="Z198" i="2"/>
  <c r="C256" i="2"/>
  <c r="S220" i="2"/>
  <c r="AA217" i="2"/>
  <c r="AI223" i="2"/>
  <c r="I244" i="2"/>
  <c r="I220" i="2"/>
  <c r="I219" i="2"/>
  <c r="M198" i="2"/>
  <c r="M197" i="2" s="1"/>
  <c r="AK223" i="2"/>
  <c r="AH210" i="2"/>
  <c r="AH209" i="2" s="1"/>
  <c r="D210" i="2"/>
  <c r="D209" i="2" s="1"/>
  <c r="P244" i="2"/>
  <c r="AB210" i="2"/>
  <c r="AB209" i="2" s="1"/>
  <c r="AB216" i="2"/>
  <c r="D226" i="2" s="1"/>
  <c r="E258" i="2"/>
  <c r="Q260" i="2"/>
  <c r="AG220" i="2"/>
  <c r="O258" i="2"/>
  <c r="S258" i="2"/>
  <c r="M223" i="2"/>
  <c r="AK257" i="2"/>
  <c r="AH258" i="2"/>
  <c r="L219" i="2"/>
  <c r="P219" i="2"/>
  <c r="X258" i="2"/>
  <c r="AB244" i="2"/>
  <c r="AB99" i="2"/>
  <c r="AB98" i="2" s="1"/>
  <c r="E223" i="2"/>
  <c r="C99" i="2"/>
  <c r="C98" i="2" s="1"/>
  <c r="O257" i="2"/>
  <c r="O220" i="2"/>
  <c r="AI220" i="2"/>
  <c r="R223" i="2"/>
  <c r="C233" i="2" s="1"/>
  <c r="AD220" i="2"/>
  <c r="AD217" i="2"/>
  <c r="C261" i="2"/>
  <c r="C257" i="2"/>
  <c r="C255" i="2"/>
  <c r="C235" i="2"/>
  <c r="C216" i="2"/>
  <c r="G219" i="2"/>
  <c r="G210" i="2"/>
  <c r="G209" i="2" s="1"/>
  <c r="G198" i="2"/>
  <c r="G197" i="2" s="1"/>
  <c r="K259" i="2"/>
  <c r="K217" i="2"/>
  <c r="K219" i="2"/>
  <c r="O244" i="2"/>
  <c r="S259" i="2"/>
  <c r="S261" i="2"/>
  <c r="S244" i="2"/>
  <c r="S217" i="2"/>
  <c r="S198" i="2"/>
  <c r="S216" i="2"/>
  <c r="W258" i="2"/>
  <c r="AA258" i="2"/>
  <c r="AA219" i="2"/>
  <c r="AA210" i="2"/>
  <c r="AA209" i="2" s="1"/>
  <c r="AE257" i="2"/>
  <c r="AE244" i="2"/>
  <c r="AE220" i="2"/>
  <c r="AI258" i="2"/>
  <c r="AI244" i="2"/>
  <c r="AI216" i="2"/>
  <c r="I255" i="2"/>
  <c r="I235" i="2"/>
  <c r="I99" i="2"/>
  <c r="I98" i="2" s="1"/>
  <c r="M258" i="2"/>
  <c r="M218" i="2"/>
  <c r="AC210" i="2"/>
  <c r="AC209" i="2" s="1"/>
  <c r="AK259" i="2"/>
  <c r="N198" i="2"/>
  <c r="N218" i="2"/>
  <c r="V244" i="2"/>
  <c r="V99" i="2"/>
  <c r="V98" i="2" s="1"/>
  <c r="V65" i="2"/>
  <c r="AH259" i="2"/>
  <c r="AH261" i="2"/>
  <c r="AH220" i="2"/>
  <c r="D257" i="2"/>
  <c r="D220" i="2"/>
  <c r="H259" i="2"/>
  <c r="P210" i="2"/>
  <c r="P209" i="2" s="1"/>
  <c r="P217" i="2"/>
  <c r="P60" i="2"/>
  <c r="T257" i="2"/>
  <c r="X261" i="2"/>
  <c r="X244" i="2"/>
  <c r="X210" i="2"/>
  <c r="X209" i="2" s="1"/>
  <c r="X220" i="2"/>
  <c r="X218" i="2"/>
  <c r="X64" i="2"/>
  <c r="X60" i="2"/>
  <c r="AB255" i="2"/>
  <c r="AB235" i="2"/>
  <c r="AB198" i="2"/>
  <c r="AB217" i="2"/>
  <c r="D227" i="2" s="1"/>
  <c r="AF99" i="2"/>
  <c r="AF98" i="2" s="1"/>
  <c r="AF219" i="2"/>
  <c r="AJ257" i="2"/>
  <c r="AJ99" i="2"/>
  <c r="AJ98" i="2" s="1"/>
  <c r="AJ220" i="2"/>
  <c r="AJ217" i="2"/>
  <c r="E260" i="2"/>
  <c r="E244" i="2"/>
  <c r="E65" i="2"/>
  <c r="Q257" i="2"/>
  <c r="Q217" i="2"/>
  <c r="Y260" i="2"/>
  <c r="Y210" i="2"/>
  <c r="Y209" i="2" s="1"/>
  <c r="Y219" i="2"/>
  <c r="Y216" i="2"/>
  <c r="Y65" i="2"/>
  <c r="AG260" i="2"/>
  <c r="AG209" i="2"/>
  <c r="AG198" i="2"/>
  <c r="AG222" i="2" s="1"/>
  <c r="F260" i="2"/>
  <c r="F218" i="2"/>
  <c r="J258" i="2"/>
  <c r="J216" i="2"/>
  <c r="J223" i="2"/>
  <c r="J64" i="2"/>
  <c r="J65" i="2"/>
  <c r="R258" i="2"/>
  <c r="R219" i="2"/>
  <c r="C229" i="2" s="1"/>
  <c r="Z260" i="2"/>
  <c r="AD218" i="2"/>
  <c r="C244" i="2"/>
  <c r="AI87" i="2"/>
  <c r="AI86" i="2" s="1"/>
  <c r="S87" i="2"/>
  <c r="S86" i="2" s="1"/>
  <c r="C87" i="2"/>
  <c r="C86" i="2" s="1"/>
  <c r="AH87" i="2"/>
  <c r="AH86" i="2" s="1"/>
  <c r="Z87" i="2"/>
  <c r="Z86" i="2" s="1"/>
  <c r="R87" i="2"/>
  <c r="R86" i="2" s="1"/>
  <c r="J87" i="2"/>
  <c r="J86" i="2" s="1"/>
  <c r="AG87" i="2"/>
  <c r="AG86" i="2" s="1"/>
  <c r="Y87" i="2"/>
  <c r="Y86" i="2" s="1"/>
  <c r="AF87" i="2"/>
  <c r="AF86" i="2" s="1"/>
  <c r="X87" i="2"/>
  <c r="X86" i="2" s="1"/>
  <c r="P87" i="2"/>
  <c r="P86" i="2" s="1"/>
  <c r="AE87" i="2"/>
  <c r="AE86" i="2" s="1"/>
  <c r="W87" i="2"/>
  <c r="W86" i="2" s="1"/>
  <c r="O87" i="2"/>
  <c r="O86" i="2" s="1"/>
  <c r="G87" i="2"/>
  <c r="G86" i="2" s="1"/>
  <c r="AD87" i="2"/>
  <c r="AD86" i="2" s="1"/>
  <c r="V87" i="2"/>
  <c r="V86" i="2" s="1"/>
  <c r="N87" i="2"/>
  <c r="N86" i="2" s="1"/>
  <c r="AK87" i="2"/>
  <c r="AK86" i="2" s="1"/>
  <c r="AC87" i="2"/>
  <c r="AC86" i="2" s="1"/>
  <c r="U87" i="2"/>
  <c r="U86" i="2" s="1"/>
  <c r="M87" i="2"/>
  <c r="M86" i="2" s="1"/>
  <c r="AJ87" i="2"/>
  <c r="AJ86" i="2" s="1"/>
  <c r="AB87" i="2"/>
  <c r="D87" i="2"/>
  <c r="D86" i="2" s="1"/>
  <c r="G99" i="2"/>
  <c r="G98" i="2" s="1"/>
  <c r="K258" i="2"/>
  <c r="O256" i="2"/>
  <c r="S256" i="2"/>
  <c r="AA259" i="2"/>
  <c r="AA257" i="2"/>
  <c r="AI259" i="2"/>
  <c r="U255" i="2"/>
  <c r="U235" i="2"/>
  <c r="N259" i="2"/>
  <c r="V255" i="2"/>
  <c r="V235" i="2"/>
  <c r="AH217" i="2"/>
  <c r="D244" i="2"/>
  <c r="D64" i="2"/>
  <c r="H65" i="2"/>
  <c r="L210" i="2"/>
  <c r="L209" i="2" s="1"/>
  <c r="P99" i="2"/>
  <c r="P98" i="2" s="1"/>
  <c r="T259" i="2"/>
  <c r="T244" i="2"/>
  <c r="T87" i="2"/>
  <c r="T86" i="2" s="1"/>
  <c r="T210" i="2"/>
  <c r="T209" i="2" s="1"/>
  <c r="T64" i="2"/>
  <c r="X216" i="2"/>
  <c r="AF217" i="2"/>
  <c r="E87" i="2"/>
  <c r="E86" i="2" s="1"/>
  <c r="Q60" i="2"/>
  <c r="F99" i="2"/>
  <c r="F98" i="2" s="1"/>
  <c r="F64" i="2"/>
  <c r="J257" i="2"/>
  <c r="R257" i="2"/>
  <c r="R99" i="2"/>
  <c r="AD255" i="2"/>
  <c r="AD235" i="2"/>
  <c r="AD197" i="2"/>
  <c r="G255" i="2"/>
  <c r="G235" i="2"/>
  <c r="G216" i="2"/>
  <c r="K257" i="2"/>
  <c r="O260" i="2"/>
  <c r="S260" i="2"/>
  <c r="W261" i="2"/>
  <c r="W99" i="2"/>
  <c r="W98" i="2" s="1"/>
  <c r="AA261" i="2"/>
  <c r="AA244" i="2"/>
  <c r="AE256" i="2"/>
  <c r="AI261" i="2"/>
  <c r="AI217" i="2"/>
  <c r="I259" i="2"/>
  <c r="M255" i="2"/>
  <c r="M235" i="2"/>
  <c r="U257" i="2"/>
  <c r="AC219" i="2"/>
  <c r="AK220" i="2"/>
  <c r="AK217" i="2"/>
  <c r="N257" i="2"/>
  <c r="N223" i="2"/>
  <c r="AH260" i="2"/>
  <c r="AH218" i="2"/>
  <c r="D259" i="2"/>
  <c r="D256" i="2"/>
  <c r="D65" i="2"/>
  <c r="H87" i="2"/>
  <c r="H86" i="2" s="1"/>
  <c r="H210" i="2"/>
  <c r="H209" i="2" s="1"/>
  <c r="L260" i="2"/>
  <c r="L99" i="2"/>
  <c r="L98" i="2" s="1"/>
  <c r="L223" i="2"/>
  <c r="T256" i="2"/>
  <c r="T99" i="2"/>
  <c r="T98" i="2" s="1"/>
  <c r="T198" i="2"/>
  <c r="X260" i="2"/>
  <c r="X65" i="2"/>
  <c r="D110" i="2"/>
  <c r="D119" i="2"/>
  <c r="D108" i="2"/>
  <c r="D117" i="2"/>
  <c r="AF259" i="2"/>
  <c r="AJ244" i="2"/>
  <c r="Q65" i="2"/>
  <c r="Q64" i="2"/>
  <c r="F255" i="2"/>
  <c r="F235" i="2"/>
  <c r="F87" i="2"/>
  <c r="F86" i="2" s="1"/>
  <c r="F65" i="2"/>
  <c r="J261" i="2"/>
  <c r="R261" i="2"/>
  <c r="R217" i="2"/>
  <c r="C227" i="2" s="1"/>
  <c r="R64" i="2"/>
  <c r="R65" i="2"/>
  <c r="Z255" i="2"/>
  <c r="Z235" i="2"/>
  <c r="C223" i="2"/>
  <c r="G258" i="2"/>
  <c r="G244" i="2"/>
  <c r="G220" i="2"/>
  <c r="K261" i="2"/>
  <c r="K244" i="2"/>
  <c r="K87" i="2"/>
  <c r="K86" i="2" s="1"/>
  <c r="K218" i="2"/>
  <c r="S219" i="2"/>
  <c r="S223" i="2"/>
  <c r="W244" i="2"/>
  <c r="W217" i="2"/>
  <c r="AA220" i="2"/>
  <c r="AA218" i="2"/>
  <c r="AE260" i="2"/>
  <c r="AE216" i="2"/>
  <c r="AI256" i="2"/>
  <c r="AI219" i="2"/>
  <c r="I87" i="2"/>
  <c r="I86" i="2" s="1"/>
  <c r="M260" i="2"/>
  <c r="M261" i="2"/>
  <c r="M220" i="2"/>
  <c r="U218" i="2"/>
  <c r="AC259" i="2"/>
  <c r="AC216" i="2"/>
  <c r="AK258" i="2"/>
  <c r="N261" i="2"/>
  <c r="N99" i="2"/>
  <c r="N98" i="2" s="1"/>
  <c r="V258" i="2"/>
  <c r="V217" i="2"/>
  <c r="AH216" i="2"/>
  <c r="H99" i="2"/>
  <c r="H98" i="2" s="1"/>
  <c r="H219" i="2"/>
  <c r="H223" i="2"/>
  <c r="L244" i="2"/>
  <c r="L64" i="2"/>
  <c r="L60" i="2"/>
  <c r="P220" i="2"/>
  <c r="P64" i="2"/>
  <c r="T65" i="2"/>
  <c r="T60" i="2"/>
  <c r="D114" i="2"/>
  <c r="D122" i="2"/>
  <c r="AJ64" i="2"/>
  <c r="AJ65" i="2"/>
  <c r="AJ60" i="2"/>
  <c r="Y255" i="2"/>
  <c r="Y235" i="2"/>
  <c r="Y259" i="2"/>
  <c r="Y217" i="2"/>
  <c r="Y64" i="2"/>
  <c r="AG259" i="2"/>
  <c r="AG64" i="2"/>
  <c r="F244" i="2"/>
  <c r="J244" i="2"/>
  <c r="J256" i="2"/>
  <c r="R256" i="2"/>
  <c r="C109" i="2"/>
  <c r="C118" i="2"/>
  <c r="R60" i="2"/>
  <c r="Z99" i="2"/>
  <c r="Z98" i="2" s="1"/>
  <c r="Z60" i="2"/>
  <c r="AD258" i="2"/>
  <c r="G257" i="2"/>
  <c r="K220" i="2"/>
  <c r="K216" i="2"/>
  <c r="O255" i="2"/>
  <c r="O235" i="2"/>
  <c r="O217" i="2"/>
  <c r="S255" i="2"/>
  <c r="S235" i="2"/>
  <c r="W259" i="2"/>
  <c r="W260" i="2"/>
  <c r="W220" i="2"/>
  <c r="AA87" i="2"/>
  <c r="AA86" i="2" s="1"/>
  <c r="AA216" i="2"/>
  <c r="AI260" i="2"/>
  <c r="AI210" i="2"/>
  <c r="AI209" i="2" s="1"/>
  <c r="U256" i="2"/>
  <c r="U99" i="2"/>
  <c r="U98" i="2" s="1"/>
  <c r="U198" i="2"/>
  <c r="U222" i="2" s="1"/>
  <c r="N220" i="2"/>
  <c r="V60" i="2"/>
  <c r="AH255" i="2"/>
  <c r="AH235" i="2"/>
  <c r="H255" i="2"/>
  <c r="H235" i="2"/>
  <c r="H244" i="2"/>
  <c r="L255" i="2"/>
  <c r="L235" i="2"/>
  <c r="L87" i="2"/>
  <c r="L86" i="2" s="1"/>
  <c r="L220" i="2"/>
  <c r="L218" i="2"/>
  <c r="X255" i="2"/>
  <c r="X235" i="2"/>
  <c r="X198" i="2"/>
  <c r="X197" i="2" s="1"/>
  <c r="AJ198" i="2"/>
  <c r="Q244" i="2"/>
  <c r="Q198" i="2"/>
  <c r="Q222" i="2" s="1"/>
  <c r="Y244" i="2"/>
  <c r="AG223" i="2"/>
  <c r="F258" i="2"/>
  <c r="J260" i="2"/>
  <c r="J217" i="2"/>
  <c r="R260" i="2"/>
  <c r="C110" i="2"/>
  <c r="C119" i="2"/>
  <c r="C108" i="2"/>
  <c r="C117" i="2"/>
  <c r="R216" i="2"/>
  <c r="C226" i="2" s="1"/>
  <c r="Z258" i="2"/>
  <c r="Z219" i="2"/>
  <c r="Z223" i="2"/>
  <c r="Z65" i="2"/>
  <c r="AD257" i="2"/>
  <c r="AD210" i="2"/>
  <c r="AD209" i="2" s="1"/>
  <c r="AD60" i="2"/>
  <c r="K198" i="2"/>
  <c r="K197" i="2" s="1"/>
  <c r="O223" i="2"/>
  <c r="AA198" i="2"/>
  <c r="AA197" i="2" s="1"/>
  <c r="AE255" i="2"/>
  <c r="AE235" i="2"/>
  <c r="I218" i="2"/>
  <c r="M217" i="2"/>
  <c r="U220" i="2"/>
  <c r="U217" i="2"/>
  <c r="AC256" i="2"/>
  <c r="AC255" i="2"/>
  <c r="AC235" i="2"/>
  <c r="AC217" i="2"/>
  <c r="AK255" i="2"/>
  <c r="AK235" i="2"/>
  <c r="N244" i="2"/>
  <c r="N260" i="2"/>
  <c r="N60" i="2"/>
  <c r="V261" i="2"/>
  <c r="V197" i="2"/>
  <c r="AH198" i="2"/>
  <c r="D255" i="2"/>
  <c r="D235" i="2"/>
  <c r="D216" i="2"/>
  <c r="H220" i="2"/>
  <c r="L216" i="2"/>
  <c r="P259" i="2"/>
  <c r="P255" i="2"/>
  <c r="P235" i="2"/>
  <c r="P216" i="2"/>
  <c r="T255" i="2"/>
  <c r="T235" i="2"/>
  <c r="T223" i="2"/>
  <c r="T216" i="2"/>
  <c r="X259" i="2"/>
  <c r="AB256" i="2"/>
  <c r="D109" i="2"/>
  <c r="D118" i="2"/>
  <c r="D111" i="2"/>
  <c r="D120" i="2"/>
  <c r="AB220" i="2"/>
  <c r="D230" i="2" s="1"/>
  <c r="AB64" i="2"/>
  <c r="AB65" i="2"/>
  <c r="AF218" i="2"/>
  <c r="AJ255" i="2"/>
  <c r="AJ235" i="2"/>
  <c r="AJ218" i="2"/>
  <c r="E64" i="2"/>
  <c r="Q259" i="2"/>
  <c r="Q216" i="2"/>
  <c r="Y223" i="2"/>
  <c r="AG255" i="2"/>
  <c r="AG235" i="2"/>
  <c r="AG258" i="2"/>
  <c r="AG244" i="2"/>
  <c r="AG217" i="2"/>
  <c r="AG60" i="2"/>
  <c r="F257" i="2"/>
  <c r="F198" i="2"/>
  <c r="F220" i="2"/>
  <c r="R244" i="2"/>
  <c r="C107" i="2"/>
  <c r="C114" i="2"/>
  <c r="C122" i="2"/>
  <c r="Z257" i="2"/>
  <c r="AD261" i="2"/>
  <c r="AD65" i="2"/>
  <c r="W255" i="2"/>
  <c r="W235" i="2"/>
  <c r="AA255" i="2"/>
  <c r="AA235" i="2"/>
  <c r="AE223" i="2"/>
  <c r="AI255" i="2"/>
  <c r="AI235" i="2"/>
  <c r="I216" i="2"/>
  <c r="AC258" i="2"/>
  <c r="N64" i="2"/>
  <c r="N65" i="2"/>
  <c r="L65" i="2"/>
  <c r="P65" i="2"/>
  <c r="X223" i="2"/>
  <c r="AB260" i="2"/>
  <c r="AB219" i="2"/>
  <c r="D229" i="2" s="1"/>
  <c r="D107" i="2"/>
  <c r="AF255" i="2"/>
  <c r="AF235" i="2"/>
  <c r="AF244" i="2"/>
  <c r="AF198" i="2"/>
  <c r="AF222" i="2" s="1"/>
  <c r="AF216" i="2"/>
  <c r="AF64" i="2"/>
  <c r="AF65" i="2"/>
  <c r="AF60" i="2"/>
  <c r="AJ259" i="2"/>
  <c r="AJ223" i="2"/>
  <c r="AJ216" i="2"/>
  <c r="E255" i="2"/>
  <c r="E235" i="2"/>
  <c r="E259" i="2"/>
  <c r="E198" i="2"/>
  <c r="E216" i="2"/>
  <c r="Q255" i="2"/>
  <c r="Q235" i="2"/>
  <c r="Q87" i="2"/>
  <c r="Q86" i="2" s="1"/>
  <c r="Q99" i="2"/>
  <c r="Q98" i="2" s="1"/>
  <c r="Y60" i="2"/>
  <c r="AG261" i="2"/>
  <c r="AG65" i="2"/>
  <c r="F261" i="2"/>
  <c r="F217" i="2"/>
  <c r="J255" i="2"/>
  <c r="J235" i="2"/>
  <c r="J99" i="2"/>
  <c r="J98" i="2" s="1"/>
  <c r="R255" i="2"/>
  <c r="R235" i="2"/>
  <c r="R198" i="2"/>
  <c r="R197" i="2" s="1"/>
  <c r="R210" i="2"/>
  <c r="R209" i="2" s="1"/>
  <c r="Z261" i="2"/>
  <c r="Z218" i="2"/>
  <c r="Z220" i="2"/>
  <c r="AD256" i="2"/>
  <c r="C217" i="2"/>
  <c r="G260" i="2"/>
  <c r="K255" i="2"/>
  <c r="K235" i="2"/>
  <c r="S257" i="2"/>
  <c r="S218" i="2"/>
  <c r="W198" i="2"/>
  <c r="W222" i="2" s="1"/>
  <c r="W216" i="2"/>
  <c r="AE258" i="2"/>
  <c r="AE99" i="2"/>
  <c r="AE98" i="2" s="1"/>
  <c r="AI218" i="2"/>
  <c r="I198" i="2"/>
  <c r="I217" i="2"/>
  <c r="M257" i="2"/>
  <c r="M259" i="2"/>
  <c r="M210" i="2"/>
  <c r="M209" i="2" s="1"/>
  <c r="M219" i="2"/>
  <c r="AC244" i="2"/>
  <c r="AK244" i="2"/>
  <c r="AK198" i="2"/>
  <c r="AK219" i="2"/>
  <c r="AK216" i="2"/>
  <c r="N255" i="2"/>
  <c r="N235" i="2"/>
  <c r="N216" i="2"/>
  <c r="V260" i="2"/>
  <c r="V219" i="2"/>
  <c r="V223" i="2"/>
  <c r="V64" i="2"/>
  <c r="AH257" i="2"/>
  <c r="AH219" i="2"/>
  <c r="D258" i="2"/>
  <c r="D217" i="2"/>
  <c r="H64" i="2"/>
  <c r="H60" i="2"/>
  <c r="L257" i="2"/>
  <c r="L198" i="2"/>
  <c r="L197" i="2" s="1"/>
  <c r="T258" i="2"/>
  <c r="T220" i="2"/>
  <c r="T217" i="2"/>
  <c r="X257" i="2"/>
  <c r="AB60" i="2"/>
  <c r="AJ258" i="2"/>
  <c r="E261" i="2"/>
  <c r="E220" i="2"/>
  <c r="E99" i="2"/>
  <c r="E98" i="2" s="1"/>
  <c r="E219" i="2"/>
  <c r="E217" i="2"/>
  <c r="Y218" i="2"/>
  <c r="AG219" i="2"/>
  <c r="F256" i="2"/>
  <c r="J197" i="2"/>
  <c r="J60" i="2"/>
  <c r="C111" i="2"/>
  <c r="C120" i="2"/>
  <c r="Z256" i="2"/>
  <c r="Z64" i="2"/>
  <c r="AD260" i="2"/>
  <c r="AD64" i="2"/>
  <c r="C260" i="2"/>
  <c r="AD254" i="2" l="1"/>
  <c r="F222" i="2"/>
  <c r="Z222" i="2"/>
  <c r="AE254" i="2"/>
  <c r="N222" i="2"/>
  <c r="AE222" i="2"/>
  <c r="AB222" i="2"/>
  <c r="D232" i="2" s="1"/>
  <c r="J209" i="2"/>
  <c r="J221" i="2" s="1"/>
  <c r="V221" i="2"/>
  <c r="AC221" i="2"/>
  <c r="X221" i="2"/>
  <c r="I254" i="2"/>
  <c r="Z254" i="2"/>
  <c r="C222" i="2"/>
  <c r="AB254" i="2"/>
  <c r="D221" i="2"/>
  <c r="E254" i="2"/>
  <c r="P254" i="2"/>
  <c r="X222" i="2"/>
  <c r="S222" i="2"/>
  <c r="D222" i="2"/>
  <c r="AH222" i="2"/>
  <c r="Y254" i="2"/>
  <c r="AC222" i="2"/>
  <c r="C209" i="2"/>
  <c r="C221" i="2" s="1"/>
  <c r="I222" i="2"/>
  <c r="H254" i="2"/>
  <c r="AI221" i="2"/>
  <c r="M254" i="2"/>
  <c r="AD222" i="2"/>
  <c r="M222" i="2"/>
  <c r="AE221" i="2"/>
  <c r="J254" i="2"/>
  <c r="T222" i="2"/>
  <c r="V222" i="2"/>
  <c r="AK222" i="2"/>
  <c r="AG254" i="2"/>
  <c r="AA254" i="2"/>
  <c r="T254" i="2"/>
  <c r="S197" i="2"/>
  <c r="S221" i="2" s="1"/>
  <c r="N197" i="2"/>
  <c r="N221" i="2" s="1"/>
  <c r="K254" i="2"/>
  <c r="O221" i="2"/>
  <c r="W254" i="2"/>
  <c r="K222" i="2"/>
  <c r="P222" i="2"/>
  <c r="O254" i="2"/>
  <c r="U254" i="2"/>
  <c r="W197" i="2"/>
  <c r="W221" i="2" s="1"/>
  <c r="E222" i="2"/>
  <c r="N254" i="2"/>
  <c r="Y221" i="2"/>
  <c r="AI254" i="2"/>
  <c r="AH254" i="2"/>
  <c r="H221" i="2"/>
  <c r="O222" i="2"/>
  <c r="AH197" i="2"/>
  <c r="AH221" i="2" s="1"/>
  <c r="Q197" i="2"/>
  <c r="Q221" i="2" s="1"/>
  <c r="V254" i="2"/>
  <c r="E197" i="2"/>
  <c r="E221" i="2" s="1"/>
  <c r="AJ254" i="2"/>
  <c r="X254" i="2"/>
  <c r="AB197" i="2"/>
  <c r="AB221" i="2" s="1"/>
  <c r="D231" i="2" s="1"/>
  <c r="AI222" i="2"/>
  <c r="Z197" i="2"/>
  <c r="Z221" i="2" s="1"/>
  <c r="H222" i="2"/>
  <c r="AB86" i="2"/>
  <c r="D112" i="2" s="1"/>
  <c r="D113" i="2"/>
  <c r="R221" i="2"/>
  <c r="C231" i="2" s="1"/>
  <c r="R254" i="2"/>
  <c r="AF197" i="2"/>
  <c r="AF221" i="2" s="1"/>
  <c r="P221" i="2"/>
  <c r="AK197" i="2"/>
  <c r="AK221" i="2" s="1"/>
  <c r="U197" i="2"/>
  <c r="U221" i="2" s="1"/>
  <c r="T197" i="2"/>
  <c r="T221" i="2" s="1"/>
  <c r="I197" i="2"/>
  <c r="I221" i="2" s="1"/>
  <c r="D254" i="2"/>
  <c r="L254" i="2"/>
  <c r="G221" i="2"/>
  <c r="AK254" i="2"/>
  <c r="AD221" i="2"/>
  <c r="Y222" i="2"/>
  <c r="G254" i="2"/>
  <c r="AC254" i="2"/>
  <c r="AJ197" i="2"/>
  <c r="AJ221" i="2" s="1"/>
  <c r="AJ222" i="2"/>
  <c r="C113" i="2"/>
  <c r="R222" i="2"/>
  <c r="C232" i="2" s="1"/>
  <c r="R98" i="2"/>
  <c r="Q254" i="2"/>
  <c r="AF254" i="2"/>
  <c r="K221" i="2"/>
  <c r="S254" i="2"/>
  <c r="L221" i="2"/>
  <c r="L222" i="2"/>
  <c r="AA221" i="2"/>
  <c r="AG197" i="2"/>
  <c r="AG221" i="2" s="1"/>
  <c r="AA222" i="2"/>
  <c r="C254" i="2"/>
  <c r="M221" i="2"/>
  <c r="F254" i="2"/>
  <c r="F197" i="2"/>
  <c r="F221" i="2" s="1"/>
  <c r="G222" i="2"/>
  <c r="D121" i="2" l="1"/>
  <c r="C112" i="2"/>
  <c r="C121" i="2"/>
  <c r="AL198" i="2" l="1"/>
  <c r="AL87" i="2"/>
  <c r="AL259" i="2"/>
  <c r="AL447" i="2"/>
  <c r="AL460" i="2" l="1"/>
  <c r="AL474" i="2" s="1"/>
  <c r="AL216" i="2"/>
  <c r="E226" i="2" s="1"/>
  <c r="AL220" i="2"/>
  <c r="E230" i="2" s="1"/>
  <c r="AL285" i="2"/>
  <c r="E294" i="2" s="1"/>
  <c r="AL284" i="2"/>
  <c r="E293" i="2" s="1"/>
  <c r="AL99" i="2"/>
  <c r="AL98" i="2" s="1"/>
  <c r="AL218" i="2"/>
  <c r="E228" i="2" s="1"/>
  <c r="AL453" i="2"/>
  <c r="AL473" i="2"/>
  <c r="AL86" i="2"/>
  <c r="AL280" i="2"/>
  <c r="E289" i="2" s="1"/>
  <c r="AL466" i="2"/>
  <c r="AL472" i="2"/>
  <c r="AL258" i="2"/>
  <c r="E119" i="2"/>
  <c r="E110" i="2"/>
  <c r="AM65" i="2"/>
  <c r="AL65" i="2"/>
  <c r="AL509" i="2"/>
  <c r="AL257" i="2"/>
  <c r="E107" i="2"/>
  <c r="AL244" i="2"/>
  <c r="AL510" i="2"/>
  <c r="AL494" i="2"/>
  <c r="AL261" i="2"/>
  <c r="E108" i="2"/>
  <c r="E117" i="2"/>
  <c r="AL282" i="2"/>
  <c r="E291" i="2" s="1"/>
  <c r="AL283" i="2"/>
  <c r="E292" i="2" s="1"/>
  <c r="AM60" i="2"/>
  <c r="AL60" i="2"/>
  <c r="AL481" i="2"/>
  <c r="AL508" i="2" s="1"/>
  <c r="AL256" i="2"/>
  <c r="E114" i="2"/>
  <c r="E122" i="2"/>
  <c r="AL217" i="2"/>
  <c r="E227" i="2" s="1"/>
  <c r="AL475" i="2"/>
  <c r="AL500" i="2"/>
  <c r="AL506" i="2"/>
  <c r="AL260" i="2"/>
  <c r="AL197" i="2"/>
  <c r="AL487" i="2"/>
  <c r="AL507" i="2"/>
  <c r="E120" i="2"/>
  <c r="E111" i="2"/>
  <c r="AL210" i="2"/>
  <c r="AL209" i="2" s="1"/>
  <c r="AL281" i="2"/>
  <c r="E290" i="2" s="1"/>
  <c r="AL476" i="2"/>
  <c r="AL255" i="2"/>
  <c r="AL235" i="2"/>
  <c r="E118" i="2"/>
  <c r="E109" i="2"/>
  <c r="AL219" i="2"/>
  <c r="E229" i="2" s="1"/>
  <c r="AL223" i="2"/>
  <c r="E233" i="2" s="1"/>
  <c r="AL279" i="2"/>
  <c r="E288" i="2" s="1"/>
  <c r="AM64" i="2"/>
  <c r="AL64" i="2"/>
  <c r="E113" i="2" l="1"/>
  <c r="AL477" i="2"/>
  <c r="AL222" i="2"/>
  <c r="E232" i="2" s="1"/>
  <c r="AL254" i="2"/>
  <c r="AL221" i="2"/>
  <c r="E231" i="2" s="1"/>
  <c r="E121" i="2"/>
  <c r="E112" i="2"/>
  <c r="AL511" i="2"/>
</calcChain>
</file>

<file path=xl/sharedStrings.xml><?xml version="1.0" encoding="utf-8"?>
<sst xmlns="http://schemas.openxmlformats.org/spreadsheetml/2006/main" count="400" uniqueCount="106">
  <si>
    <t>Macro</t>
  </si>
  <si>
    <t>Inflation</t>
  </si>
  <si>
    <t>Emissions</t>
  </si>
  <si>
    <t>IPC</t>
  </si>
  <si>
    <t>Baseline</t>
  </si>
  <si>
    <t>Scénario 2</t>
  </si>
  <si>
    <t>NZ50</t>
  </si>
  <si>
    <t>Agriculture</t>
  </si>
  <si>
    <t>Industrie</t>
  </si>
  <si>
    <t>Transports</t>
  </si>
  <si>
    <t>Services</t>
  </si>
  <si>
    <t>Electricité</t>
  </si>
  <si>
    <t>Pétrole et gaz</t>
  </si>
  <si>
    <t>VA</t>
  </si>
  <si>
    <t>Année</t>
  </si>
  <si>
    <t>2030</t>
  </si>
  <si>
    <t>2040</t>
  </si>
  <si>
    <t>2050</t>
  </si>
  <si>
    <t>GDP</t>
  </si>
  <si>
    <t>Consumption</t>
  </si>
  <si>
    <t>Net exports</t>
  </si>
  <si>
    <t>Investment</t>
  </si>
  <si>
    <t>Exports</t>
  </si>
  <si>
    <t>Imports</t>
  </si>
  <si>
    <t>Production</t>
  </si>
  <si>
    <t>Households</t>
  </si>
  <si>
    <t>Firms</t>
  </si>
  <si>
    <t>Total</t>
  </si>
  <si>
    <t>Transport</t>
  </si>
  <si>
    <t>Oil&amp;Gas</t>
  </si>
  <si>
    <t>Industry</t>
  </si>
  <si>
    <t>Oil &amp; Gas</t>
  </si>
  <si>
    <t>Renewable Oil &amp; Gas</t>
  </si>
  <si>
    <t>Electricity</t>
  </si>
  <si>
    <t>biogas</t>
  </si>
  <si>
    <t>biofuel</t>
  </si>
  <si>
    <t>Renewable Oil&amp;Gas</t>
  </si>
  <si>
    <t>total oil&amp;gas</t>
  </si>
  <si>
    <t>baseline</t>
  </si>
  <si>
    <t>shock</t>
  </si>
  <si>
    <t>Average</t>
  </si>
  <si>
    <t>Capital</t>
  </si>
  <si>
    <t>Capital intensity</t>
  </si>
  <si>
    <t>Energy intensity</t>
  </si>
  <si>
    <t>Ménages</t>
  </si>
  <si>
    <t>Ménages (logement)</t>
  </si>
  <si>
    <t>Ménages (transport)</t>
  </si>
  <si>
    <t>Households (housing)</t>
  </si>
  <si>
    <t>Households (transport)</t>
  </si>
  <si>
    <t>Consommation</t>
  </si>
  <si>
    <t>CI</t>
  </si>
  <si>
    <t>Y</t>
  </si>
  <si>
    <t>MAT</t>
  </si>
  <si>
    <t>Fuel</t>
  </si>
  <si>
    <t>Gas</t>
  </si>
  <si>
    <t>Electric</t>
  </si>
  <si>
    <t>Vehicles</t>
  </si>
  <si>
    <t>A</t>
  </si>
  <si>
    <t>B</t>
  </si>
  <si>
    <t>C</t>
  </si>
  <si>
    <t>D</t>
  </si>
  <si>
    <t>E</t>
  </si>
  <si>
    <t>F</t>
  </si>
  <si>
    <t>G</t>
  </si>
  <si>
    <t>Food</t>
  </si>
  <si>
    <t>Glass</t>
  </si>
  <si>
    <t>Chemicals</t>
  </si>
  <si>
    <t>Metal</t>
  </si>
  <si>
    <t>Road transport</t>
  </si>
  <si>
    <t>Air transport</t>
  </si>
  <si>
    <t>Other transport</t>
  </si>
  <si>
    <t>Other industry</t>
  </si>
  <si>
    <t>2020</t>
  </si>
  <si>
    <t>CF toe</t>
  </si>
  <si>
    <t>Carburant</t>
  </si>
  <si>
    <t>Autre</t>
  </si>
  <si>
    <t>Charbon</t>
  </si>
  <si>
    <t>Consommation énergétique</t>
  </si>
  <si>
    <t>Valeur ajoutée sectorielle</t>
  </si>
  <si>
    <t>VA graphique</t>
  </si>
  <si>
    <t>%deviation</t>
  </si>
  <si>
    <t>share evolution</t>
  </si>
  <si>
    <t>Production sectorielle</t>
  </si>
  <si>
    <t>Production graphique</t>
  </si>
  <si>
    <t>%share</t>
  </si>
  <si>
    <t>%deviation from baseline</t>
  </si>
  <si>
    <t>Employment</t>
  </si>
  <si>
    <t>deviation in thousands</t>
  </si>
  <si>
    <t>%deviation + contributions</t>
  </si>
  <si>
    <t>Vehicles stock by energy</t>
  </si>
  <si>
    <t>Vehicles stock by class</t>
  </si>
  <si>
    <t>Buildings by class</t>
  </si>
  <si>
    <t>Firms' CO2 emissions</t>
  </si>
  <si>
    <t>Final energy</t>
  </si>
  <si>
    <t>Primary energy</t>
  </si>
  <si>
    <t>%deviation + contribution</t>
  </si>
  <si>
    <t>AUTO_CA_0</t>
  </si>
  <si>
    <t>AUTO_CB_0</t>
  </si>
  <si>
    <t>AUTO_CC_0</t>
  </si>
  <si>
    <t>AUTO_CD_0</t>
  </si>
  <si>
    <t>AUTO_CE_0</t>
  </si>
  <si>
    <t>AUTO_CF_0</t>
  </si>
  <si>
    <t>AUTO_CG_0</t>
  </si>
  <si>
    <t>Households' consumption</t>
  </si>
  <si>
    <t>Firms' consumption</t>
  </si>
  <si>
    <t>Net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</si>
</sst>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quotePrefix="1"/>
    <xf numFmtId="0" fontId="0" fillId="0" borderId="0" xfId="0" applyAlignment="1">
      <alignment horizontal="center" vertical="center"/>
    </xf>
    <xf numFmtId="9" fontId="0" fillId="0" borderId="0" xfId="0" applyNumberFormat="1"/>
    <xf numFmtId="165" fontId="0" fillId="0" borderId="0" xfId="0" quotePrefix="1" applyNumberFormat="1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hartsheet" Target="chartsheets/sheet12.xml"/><Relationship Id="rId18" Type="http://schemas.openxmlformats.org/officeDocument/2006/relationships/chartsheet" Target="chartsheets/sheet17.xml"/><Relationship Id="rId26" Type="http://schemas.openxmlformats.org/officeDocument/2006/relationships/sharedStrings" Target="sharedStrings.xml"/><Relationship Id="rId3" Type="http://schemas.openxmlformats.org/officeDocument/2006/relationships/chartsheet" Target="chartsheets/sheet2.xml"/><Relationship Id="rId21" Type="http://schemas.openxmlformats.org/officeDocument/2006/relationships/chartsheet" Target="chartsheets/sheet20.xml"/><Relationship Id="rId7" Type="http://schemas.openxmlformats.org/officeDocument/2006/relationships/chartsheet" Target="chartsheets/sheet6.xml"/><Relationship Id="rId12" Type="http://schemas.openxmlformats.org/officeDocument/2006/relationships/chartsheet" Target="chartsheets/sheet11.xml"/><Relationship Id="rId17" Type="http://schemas.openxmlformats.org/officeDocument/2006/relationships/chartsheet" Target="chartsheets/sheet16.xml"/><Relationship Id="rId25" Type="http://schemas.openxmlformats.org/officeDocument/2006/relationships/styles" Target="styles.xml"/><Relationship Id="rId2" Type="http://schemas.openxmlformats.org/officeDocument/2006/relationships/chartsheet" Target="chartsheets/sheet1.xml"/><Relationship Id="rId16" Type="http://schemas.openxmlformats.org/officeDocument/2006/relationships/chartsheet" Target="chartsheets/sheet15.xml"/><Relationship Id="rId20" Type="http://schemas.openxmlformats.org/officeDocument/2006/relationships/chartsheet" Target="chartsheets/sheet19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hartsheet" Target="chartsheets/sheet10.xml"/><Relationship Id="rId24" Type="http://schemas.openxmlformats.org/officeDocument/2006/relationships/theme" Target="theme/theme1.xml"/><Relationship Id="rId5" Type="http://schemas.openxmlformats.org/officeDocument/2006/relationships/chartsheet" Target="chartsheets/sheet4.xml"/><Relationship Id="rId15" Type="http://schemas.openxmlformats.org/officeDocument/2006/relationships/chartsheet" Target="chartsheets/sheet14.xml"/><Relationship Id="rId23" Type="http://schemas.openxmlformats.org/officeDocument/2006/relationships/externalLink" Target="externalLinks/externalLink1.xml"/><Relationship Id="rId10" Type="http://schemas.openxmlformats.org/officeDocument/2006/relationships/chartsheet" Target="chartsheets/sheet9.xml"/><Relationship Id="rId19" Type="http://schemas.openxmlformats.org/officeDocument/2006/relationships/chartsheet" Target="chartsheets/sheet18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Relationship Id="rId14" Type="http://schemas.openxmlformats.org/officeDocument/2006/relationships/chartsheet" Target="chartsheets/sheet13.xml"/><Relationship Id="rId22" Type="http://schemas.openxmlformats.org/officeDocument/2006/relationships/chartsheet" Target="chart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1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Impact</a:t>
            </a:r>
            <a:r>
              <a:rPr lang="fr-FR" sz="2400" baseline="0"/>
              <a:t> on GDP - </a:t>
            </a:r>
            <a:r>
              <a:rPr lang="fr-FR" sz="2400" b="1" u="sng" baseline="0"/>
              <a:t>Physical damages of a 3°C Scenario </a:t>
            </a:r>
            <a:r>
              <a:rPr lang="fr-FR" sz="1600" baseline="0"/>
              <a:t>(% deviation from status quo)</a:t>
            </a:r>
            <a:endParaRPr lang="fr-FR" sz="16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947418400168892E-2"/>
          <c:y val="0.1493210735688186"/>
          <c:w val="0.91901351933111586"/>
          <c:h val="0.67157921974535428"/>
        </c:manualLayout>
      </c:layout>
      <c:barChart>
        <c:barDir val="col"/>
        <c:grouping val="stacked"/>
        <c:varyColors val="0"/>
        <c:ser>
          <c:idx val="2"/>
          <c:order val="2"/>
          <c:tx>
            <c:strRef>
              <c:f>Données!$B$7</c:f>
              <c:strCache>
                <c:ptCount val="1"/>
                <c:pt idx="0">
                  <c:v>Consumption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Données!$C$4:$BF$4</c:f>
              <c:numCache>
                <c:formatCode>m/d/yyyy</c:formatCode>
                <c:ptCount val="5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</c:numCache>
            </c:numRef>
          </c:cat>
          <c:val>
            <c:numRef>
              <c:f>Données!$C$7:$BF$7</c:f>
              <c:numCache>
                <c:formatCode>#\ ##0.0</c:formatCode>
                <c:ptCount val="56"/>
                <c:pt idx="0">
                  <c:v>-0.30977196104206356</c:v>
                </c:pt>
                <c:pt idx="1">
                  <c:v>-0.67771498387398077</c:v>
                </c:pt>
                <c:pt idx="2">
                  <c:v>-1.0190822948049283</c:v>
                </c:pt>
                <c:pt idx="3">
                  <c:v>-1.3112557282225505</c:v>
                </c:pt>
                <c:pt idx="4">
                  <c:v>-1.5513744974401908</c:v>
                </c:pt>
                <c:pt idx="5">
                  <c:v>-1.7434709199454019</c:v>
                </c:pt>
                <c:pt idx="6">
                  <c:v>-1.8949359070708625</c:v>
                </c:pt>
                <c:pt idx="7">
                  <c:v>-2.0118124736849978</c:v>
                </c:pt>
                <c:pt idx="8">
                  <c:v>-2.1007740594923376</c:v>
                </c:pt>
                <c:pt idx="9">
                  <c:v>-2.1678502342813486</c:v>
                </c:pt>
                <c:pt idx="10">
                  <c:v>-2.2168754988156754</c:v>
                </c:pt>
                <c:pt idx="11">
                  <c:v>-2.2559219280085361</c:v>
                </c:pt>
                <c:pt idx="12">
                  <c:v>-2.2861056851632511</c:v>
                </c:pt>
                <c:pt idx="13">
                  <c:v>-2.3092321001192162</c:v>
                </c:pt>
                <c:pt idx="14">
                  <c:v>-2.3266204380380588</c:v>
                </c:pt>
                <c:pt idx="15">
                  <c:v>-2.3393275230242647</c:v>
                </c:pt>
                <c:pt idx="16">
                  <c:v>-2.3493043706222565</c:v>
                </c:pt>
                <c:pt idx="17">
                  <c:v>-2.3574643405384297</c:v>
                </c:pt>
                <c:pt idx="18">
                  <c:v>-2.3643803413223368</c:v>
                </c:pt>
                <c:pt idx="19">
                  <c:v>-2.3705397200672849</c:v>
                </c:pt>
                <c:pt idx="20">
                  <c:v>-2.3772211435586601</c:v>
                </c:pt>
                <c:pt idx="21">
                  <c:v>-2.3827615326648921</c:v>
                </c:pt>
                <c:pt idx="22">
                  <c:v>-2.3888007908457132</c:v>
                </c:pt>
                <c:pt idx="23">
                  <c:v>-2.3957353796493321</c:v>
                </c:pt>
                <c:pt idx="24">
                  <c:v>-2.4038347657817765</c:v>
                </c:pt>
                <c:pt idx="25">
                  <c:v>-2.4154162408209472</c:v>
                </c:pt>
                <c:pt idx="26">
                  <c:v>-2.4255355013020923</c:v>
                </c:pt>
                <c:pt idx="27">
                  <c:v>-2.435993136754445</c:v>
                </c:pt>
                <c:pt idx="28">
                  <c:v>-2.4470602506352872</c:v>
                </c:pt>
                <c:pt idx="29">
                  <c:v>-2.4589330740952855</c:v>
                </c:pt>
                <c:pt idx="30">
                  <c:v>-2.4717035480405189</c:v>
                </c:pt>
                <c:pt idx="31">
                  <c:v>-2.4851835634989174</c:v>
                </c:pt>
                <c:pt idx="32">
                  <c:v>-2.4993304812516168</c:v>
                </c:pt>
                <c:pt idx="33">
                  <c:v>-2.5141306235077381</c:v>
                </c:pt>
                <c:pt idx="34">
                  <c:v>-2.5295615400376454</c:v>
                </c:pt>
                <c:pt idx="35">
                  <c:v>-2.5455884243409446</c:v>
                </c:pt>
                <c:pt idx="36">
                  <c:v>-2.560922643724215</c:v>
                </c:pt>
                <c:pt idx="37">
                  <c:v>-2.5747175920164613</c:v>
                </c:pt>
                <c:pt idx="38">
                  <c:v>-2.5873440034831847</c:v>
                </c:pt>
                <c:pt idx="39">
                  <c:v>-2.5992362874105046</c:v>
                </c:pt>
                <c:pt idx="40">
                  <c:v>-2.6107542164942674</c:v>
                </c:pt>
                <c:pt idx="41">
                  <c:v>-2.6219187354802997</c:v>
                </c:pt>
                <c:pt idx="42">
                  <c:v>-2.6329437011242711</c:v>
                </c:pt>
                <c:pt idx="43">
                  <c:v>-2.6440720438858221</c:v>
                </c:pt>
                <c:pt idx="44">
                  <c:v>-2.6555164797152244</c:v>
                </c:pt>
                <c:pt idx="45">
                  <c:v>-2.6674491167842489</c:v>
                </c:pt>
                <c:pt idx="46">
                  <c:v>-2.6791495818767985</c:v>
                </c:pt>
                <c:pt idx="47">
                  <c:v>-2.690793082480845</c:v>
                </c:pt>
                <c:pt idx="48">
                  <c:v>-2.7026893413201285</c:v>
                </c:pt>
                <c:pt idx="49">
                  <c:v>-2.7151008576994049</c:v>
                </c:pt>
                <c:pt idx="50">
                  <c:v>-2.7281968814820607</c:v>
                </c:pt>
                <c:pt idx="51">
                  <c:v>-2.7415853051396639</c:v>
                </c:pt>
                <c:pt idx="52">
                  <c:v>-2.7553314922540926</c:v>
                </c:pt>
                <c:pt idx="53">
                  <c:v>-2.7696118476262148</c:v>
                </c:pt>
                <c:pt idx="54">
                  <c:v>-2.7845792297308205</c:v>
                </c:pt>
                <c:pt idx="55">
                  <c:v>-2.8003346706662153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F-4FA2-B0C9-EB7B6F86A366}"/>
            </c:ext>
          </c:extLst>
        </c:ser>
        <c:ser>
          <c:idx val="5"/>
          <c:order val="5"/>
          <c:tx>
            <c:strRef>
              <c:f>Données!$B$10</c:f>
              <c:strCache>
                <c:ptCount val="1"/>
                <c:pt idx="0">
                  <c:v>Investment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Données!$C$4:$BF$4</c:f>
              <c:numCache>
                <c:formatCode>m/d/yyyy</c:formatCode>
                <c:ptCount val="5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</c:numCache>
            </c:numRef>
          </c:cat>
          <c:val>
            <c:numRef>
              <c:f>Données!$C$10:$BF$10</c:f>
              <c:numCache>
                <c:formatCode>#\ ##0.0</c:formatCode>
                <c:ptCount val="56"/>
                <c:pt idx="0">
                  <c:v>-0.25560542584534335</c:v>
                </c:pt>
                <c:pt idx="1">
                  <c:v>-0.42098075215452346</c:v>
                </c:pt>
                <c:pt idx="2">
                  <c:v>-0.53715993419685293</c:v>
                </c:pt>
                <c:pt idx="3">
                  <c:v>-0.62972826115271874</c:v>
                </c:pt>
                <c:pt idx="4">
                  <c:v>-0.71039472087487687</c:v>
                </c:pt>
                <c:pt idx="5">
                  <c:v>-0.78440555988328431</c:v>
                </c:pt>
                <c:pt idx="6">
                  <c:v>-0.85458883228431526</c:v>
                </c:pt>
                <c:pt idx="7">
                  <c:v>-0.92165583342753221</c:v>
                </c:pt>
                <c:pt idx="8">
                  <c:v>-0.98620017255078141</c:v>
                </c:pt>
                <c:pt idx="9">
                  <c:v>-1.0486676415519391</c:v>
                </c:pt>
                <c:pt idx="10">
                  <c:v>-1.1088938947199907</c:v>
                </c:pt>
                <c:pt idx="11">
                  <c:v>-1.1693443900294664</c:v>
                </c:pt>
                <c:pt idx="12">
                  <c:v>-1.2290642615922347</c:v>
                </c:pt>
                <c:pt idx="13">
                  <c:v>-1.287934641528431</c:v>
                </c:pt>
                <c:pt idx="14">
                  <c:v>-1.3458454260922621</c:v>
                </c:pt>
                <c:pt idx="15">
                  <c:v>-1.4026791956896589</c:v>
                </c:pt>
                <c:pt idx="16">
                  <c:v>-1.4591902298907216</c:v>
                </c:pt>
                <c:pt idx="17">
                  <c:v>-1.514873761871347</c:v>
                </c:pt>
                <c:pt idx="18">
                  <c:v>-1.5693992318911152</c:v>
                </c:pt>
                <c:pt idx="19">
                  <c:v>-1.622555449596641</c:v>
                </c:pt>
                <c:pt idx="20">
                  <c:v>-1.6747333637776716</c:v>
                </c:pt>
                <c:pt idx="21">
                  <c:v>-1.72458086391531</c:v>
                </c:pt>
                <c:pt idx="22">
                  <c:v>-1.7727510429712563</c:v>
                </c:pt>
                <c:pt idx="23">
                  <c:v>-1.8191685295744646</c:v>
                </c:pt>
                <c:pt idx="24">
                  <c:v>-1.8637917671922712</c:v>
                </c:pt>
                <c:pt idx="25">
                  <c:v>-1.9082206501024022</c:v>
                </c:pt>
                <c:pt idx="26">
                  <c:v>-1.949105251476652</c:v>
                </c:pt>
                <c:pt idx="27">
                  <c:v>-1.9877769773094707</c:v>
                </c:pt>
                <c:pt idx="28">
                  <c:v>-2.0242564573724318</c:v>
                </c:pt>
                <c:pt idx="29">
                  <c:v>-2.0585661832965205</c:v>
                </c:pt>
                <c:pt idx="30">
                  <c:v>-2.0907274006633272</c:v>
                </c:pt>
                <c:pt idx="31">
                  <c:v>-2.1205962877563551</c:v>
                </c:pt>
                <c:pt idx="32">
                  <c:v>-2.1482611386020056</c:v>
                </c:pt>
                <c:pt idx="33">
                  <c:v>-2.1737908223807714</c:v>
                </c:pt>
                <c:pt idx="34">
                  <c:v>-2.197243580572243</c:v>
                </c:pt>
                <c:pt idx="35">
                  <c:v>-2.2186752934683933</c:v>
                </c:pt>
                <c:pt idx="36">
                  <c:v>-2.2371584245525553</c:v>
                </c:pt>
                <c:pt idx="37">
                  <c:v>-2.2527610507416163</c:v>
                </c:pt>
                <c:pt idx="38">
                  <c:v>-2.2659090358426512</c:v>
                </c:pt>
                <c:pt idx="39">
                  <c:v>-2.2768752314798739</c:v>
                </c:pt>
                <c:pt idx="40">
                  <c:v>-2.2858558920687506</c:v>
                </c:pt>
                <c:pt idx="41">
                  <c:v>-2.2927959540345522</c:v>
                </c:pt>
                <c:pt idx="42">
                  <c:v>-2.2979046001533816</c:v>
                </c:pt>
                <c:pt idx="43">
                  <c:v>-2.3013561590048948</c:v>
                </c:pt>
                <c:pt idx="44">
                  <c:v>-2.3033028584592921</c:v>
                </c:pt>
                <c:pt idx="45">
                  <c:v>-2.3038857702407531</c:v>
                </c:pt>
                <c:pt idx="46">
                  <c:v>-2.3025378056357066</c:v>
                </c:pt>
                <c:pt idx="47">
                  <c:v>-2.2996778235411668</c:v>
                </c:pt>
                <c:pt idx="48">
                  <c:v>-2.2956044644385161</c:v>
                </c:pt>
                <c:pt idx="49">
                  <c:v>-2.2905473205007714</c:v>
                </c:pt>
                <c:pt idx="50">
                  <c:v>-2.2846893594032034</c:v>
                </c:pt>
                <c:pt idx="51">
                  <c:v>-2.2777836405710601</c:v>
                </c:pt>
                <c:pt idx="52">
                  <c:v>-2.2701028047945724</c:v>
                </c:pt>
                <c:pt idx="53">
                  <c:v>-2.2618678989873446</c:v>
                </c:pt>
                <c:pt idx="54">
                  <c:v>-2.2532579897976501</c:v>
                </c:pt>
                <c:pt idx="55">
                  <c:v>-2.2444226554997391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DF-4FA2-B0C9-EB7B6F86A366}"/>
            </c:ext>
          </c:extLst>
        </c:ser>
        <c:ser>
          <c:idx val="7"/>
          <c:order val="7"/>
          <c:tx>
            <c:strRef>
              <c:f>Données!$B$12</c:f>
              <c:strCache>
                <c:ptCount val="1"/>
                <c:pt idx="0">
                  <c:v>Net exports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Données!$C$4:$BF$4</c:f>
              <c:numCache>
                <c:formatCode>m/d/yyyy</c:formatCode>
                <c:ptCount val="5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</c:numCache>
            </c:numRef>
          </c:cat>
          <c:val>
            <c:numRef>
              <c:f>Données!$C$12:$BF$12</c:f>
              <c:numCache>
                <c:formatCode>#\ ##0.0</c:formatCode>
                <c:ptCount val="56"/>
                <c:pt idx="0">
                  <c:v>-1.138257262476043</c:v>
                </c:pt>
                <c:pt idx="1">
                  <c:v>-0.99708014717926707</c:v>
                </c:pt>
                <c:pt idx="2">
                  <c:v>-0.89771661307740158</c:v>
                </c:pt>
                <c:pt idx="3">
                  <c:v>-0.81321507833736084</c:v>
                </c:pt>
                <c:pt idx="4">
                  <c:v>-0.74109871376330738</c:v>
                </c:pt>
                <c:pt idx="5">
                  <c:v>-0.68098251518079511</c:v>
                </c:pt>
                <c:pt idx="6">
                  <c:v>-0.63253065754143489</c:v>
                </c:pt>
                <c:pt idx="7">
                  <c:v>-0.59443699915280512</c:v>
                </c:pt>
                <c:pt idx="8">
                  <c:v>-0.56562369240734545</c:v>
                </c:pt>
                <c:pt idx="9">
                  <c:v>-0.54514481284581251</c:v>
                </c:pt>
                <c:pt idx="10">
                  <c:v>-0.53354791823090153</c:v>
                </c:pt>
                <c:pt idx="11">
                  <c:v>-0.53112127431056</c:v>
                </c:pt>
                <c:pt idx="12">
                  <c:v>-0.53454901183874037</c:v>
                </c:pt>
                <c:pt idx="13">
                  <c:v>-0.54364231831203957</c:v>
                </c:pt>
                <c:pt idx="14">
                  <c:v>-0.55809705696416567</c:v>
                </c:pt>
                <c:pt idx="15">
                  <c:v>-0.57753830641392545</c:v>
                </c:pt>
                <c:pt idx="16">
                  <c:v>-0.60541998784362283</c:v>
                </c:pt>
                <c:pt idx="17">
                  <c:v>-0.63649656006952071</c:v>
                </c:pt>
                <c:pt idx="18">
                  <c:v>-0.67049681704824771</c:v>
                </c:pt>
                <c:pt idx="19">
                  <c:v>-0.70699337186897671</c:v>
                </c:pt>
                <c:pt idx="20">
                  <c:v>-0.74447636042890464</c:v>
                </c:pt>
                <c:pt idx="21">
                  <c:v>-0.78509946709381584</c:v>
                </c:pt>
                <c:pt idx="22">
                  <c:v>-0.82677071481664788</c:v>
                </c:pt>
                <c:pt idx="23">
                  <c:v>-0.86917060056920725</c:v>
                </c:pt>
                <c:pt idx="24">
                  <c:v>-0.91198467597847621</c:v>
                </c:pt>
                <c:pt idx="25">
                  <c:v>-0.95181750012141686</c:v>
                </c:pt>
                <c:pt idx="26">
                  <c:v>-0.99353086836478743</c:v>
                </c:pt>
                <c:pt idx="27">
                  <c:v>-1.0357848338724622</c:v>
                </c:pt>
                <c:pt idx="28">
                  <c:v>-1.0783292767389692</c:v>
                </c:pt>
                <c:pt idx="29">
                  <c:v>-1.1209599828188579</c:v>
                </c:pt>
                <c:pt idx="30">
                  <c:v>-1.1635266485451918</c:v>
                </c:pt>
                <c:pt idx="31">
                  <c:v>-1.2052266085826582</c:v>
                </c:pt>
                <c:pt idx="32">
                  <c:v>-1.2468306890596397</c:v>
                </c:pt>
                <c:pt idx="33">
                  <c:v>-1.2882524529857649</c:v>
                </c:pt>
                <c:pt idx="34">
                  <c:v>-1.3294508845318633</c:v>
                </c:pt>
                <c:pt idx="35">
                  <c:v>-1.3704054428492172</c:v>
                </c:pt>
                <c:pt idx="36">
                  <c:v>-1.4045992010117003</c:v>
                </c:pt>
                <c:pt idx="37">
                  <c:v>-1.4401263090220437</c:v>
                </c:pt>
                <c:pt idx="38">
                  <c:v>-1.4764969345708234</c:v>
                </c:pt>
                <c:pt idx="39">
                  <c:v>-1.5134973043921964</c:v>
                </c:pt>
                <c:pt idx="40">
                  <c:v>-1.5509871201786343</c:v>
                </c:pt>
                <c:pt idx="41">
                  <c:v>-1.5879854650052092</c:v>
                </c:pt>
                <c:pt idx="42">
                  <c:v>-1.6254125970404059</c:v>
                </c:pt>
                <c:pt idx="43">
                  <c:v>-1.6631172615948429</c:v>
                </c:pt>
                <c:pt idx="44">
                  <c:v>-1.7009859748119136</c:v>
                </c:pt>
                <c:pt idx="45">
                  <c:v>-1.7389177569305088</c:v>
                </c:pt>
                <c:pt idx="46">
                  <c:v>-1.7741140875224315</c:v>
                </c:pt>
                <c:pt idx="47">
                  <c:v>-1.8096050415975733</c:v>
                </c:pt>
                <c:pt idx="48">
                  <c:v>-1.8451413229544347</c:v>
                </c:pt>
                <c:pt idx="49">
                  <c:v>-1.8805709752161506</c:v>
                </c:pt>
                <c:pt idx="50">
                  <c:v>-1.9157847941665223</c:v>
                </c:pt>
                <c:pt idx="51">
                  <c:v>-1.9490688719402973</c:v>
                </c:pt>
                <c:pt idx="52">
                  <c:v>-1.9822377291010707</c:v>
                </c:pt>
                <c:pt idx="53">
                  <c:v>-2.0151135969043419</c:v>
                </c:pt>
                <c:pt idx="54">
                  <c:v>-2.0475875581410414</c:v>
                </c:pt>
                <c:pt idx="55">
                  <c:v>-2.0795739190559628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8260000"/>
        <c:axId val="6982609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Données!$B$6</c15:sqref>
                        </c15:formulaRef>
                      </c:ext>
                    </c:extLst>
                    <c:strCache>
                      <c:ptCount val="1"/>
                      <c:pt idx="0">
                        <c:v>VA du secteur marchand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Données!$C$4:$BF$4</c15:sqref>
                        </c15:formulaRef>
                      </c:ext>
                    </c:extLst>
                    <c:numCache>
                      <c:formatCode>m/d/yyyy</c:formatCode>
                      <c:ptCount val="5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Données!$C$6:$BF$6</c15:sqref>
                        </c15:formulaRef>
                      </c:ext>
                    </c:extLst>
                    <c:numCache>
                      <c:formatCode>#\ ##0.0</c:formatCode>
                      <c:ptCount val="56"/>
                      <c:pt idx="0">
                        <c:v>-2.1315513192873059</c:v>
                      </c:pt>
                      <c:pt idx="1">
                        <c:v>-2.5494055126711213</c:v>
                      </c:pt>
                      <c:pt idx="2">
                        <c:v>-2.9407448068585973</c:v>
                      </c:pt>
                      <c:pt idx="3">
                        <c:v>-3.2688583703867402</c:v>
                      </c:pt>
                      <c:pt idx="4">
                        <c:v>-3.5409085567739362</c:v>
                      </c:pt>
                      <c:pt idx="5">
                        <c:v>-3.767100744083629</c:v>
                      </c:pt>
                      <c:pt idx="6">
                        <c:v>-3.9584497314320788</c:v>
                      </c:pt>
                      <c:pt idx="7">
                        <c:v>-4.1210490318764119</c:v>
                      </c:pt>
                      <c:pt idx="8">
                        <c:v>-4.2616634682572148</c:v>
                      </c:pt>
                      <c:pt idx="9">
                        <c:v>-4.3863288843606574</c:v>
                      </c:pt>
                      <c:pt idx="10">
                        <c:v>-4.5000495695643465</c:v>
                      </c:pt>
                      <c:pt idx="11">
                        <c:v>-4.6146073011458899</c:v>
                      </c:pt>
                      <c:pt idx="12">
                        <c:v>-4.726122801329069</c:v>
                      </c:pt>
                      <c:pt idx="13">
                        <c:v>-4.8362035630922229</c:v>
                      </c:pt>
                      <c:pt idx="14">
                        <c:v>-4.9457646687089074</c:v>
                      </c:pt>
                      <c:pt idx="15">
                        <c:v>-5.0553254887453996</c:v>
                      </c:pt>
                      <c:pt idx="16">
                        <c:v>-5.1724348004847931</c:v>
                      </c:pt>
                      <c:pt idx="17">
                        <c:v>-5.2906203696591376</c:v>
                      </c:pt>
                      <c:pt idx="18">
                        <c:v>-5.4097727718272921</c:v>
                      </c:pt>
                      <c:pt idx="19">
                        <c:v>-5.5296013853128549</c:v>
                      </c:pt>
                      <c:pt idx="20">
                        <c:v>-5.649843531368548</c:v>
                      </c:pt>
                      <c:pt idx="21">
                        <c:v>-5.7702410095839207</c:v>
                      </c:pt>
                      <c:pt idx="22">
                        <c:v>-5.8903630517352701</c:v>
                      </c:pt>
                      <c:pt idx="23">
                        <c:v>-6.0101570988849939</c:v>
                      </c:pt>
                      <c:pt idx="24">
                        <c:v>-6.1294606055549821</c:v>
                      </c:pt>
                      <c:pt idx="25">
                        <c:v>-6.2478500800485897</c:v>
                      </c:pt>
                      <c:pt idx="26">
                        <c:v>-6.3631804087930677</c:v>
                      </c:pt>
                      <c:pt idx="27">
                        <c:v>-6.4767836544715411</c:v>
                      </c:pt>
                      <c:pt idx="28">
                        <c:v>-6.5886699983497721</c:v>
                      </c:pt>
                      <c:pt idx="29">
                        <c:v>-6.6988150442253813</c:v>
                      </c:pt>
                      <c:pt idx="30">
                        <c:v>-6.8071479268891677</c:v>
                      </c:pt>
                      <c:pt idx="31">
                        <c:v>-6.912243083791858</c:v>
                      </c:pt>
                      <c:pt idx="32">
                        <c:v>-7.015170916553604</c:v>
                      </c:pt>
                      <c:pt idx="33">
                        <c:v>-7.1158896614011979</c:v>
                      </c:pt>
                      <c:pt idx="34">
                        <c:v>-7.2144021982448621</c:v>
                      </c:pt>
                      <c:pt idx="35">
                        <c:v>-7.3107225453500568</c:v>
                      </c:pt>
                      <c:pt idx="36">
                        <c:v>-7.3937098258851535</c:v>
                      </c:pt>
                      <c:pt idx="37">
                        <c:v>-7.4732726077731186</c:v>
                      </c:pt>
                      <c:pt idx="38">
                        <c:v>-7.5496380597716577</c:v>
                      </c:pt>
                      <c:pt idx="39">
                        <c:v>-7.6233378459035883</c:v>
                      </c:pt>
                      <c:pt idx="40">
                        <c:v>-7.6948285153670799</c:v>
                      </c:pt>
                      <c:pt idx="41">
                        <c:v>-7.7627934834324623</c:v>
                      </c:pt>
                      <c:pt idx="42">
                        <c:v>-7.8289242723786128</c:v>
                      </c:pt>
                      <c:pt idx="43">
                        <c:v>-7.8934997139873175</c:v>
                      </c:pt>
                      <c:pt idx="44">
                        <c:v>-7.9567949672891158</c:v>
                      </c:pt>
                      <c:pt idx="45">
                        <c:v>-8.0190449631349576</c:v>
                      </c:pt>
                      <c:pt idx="46">
                        <c:v>-8.0751526852177449</c:v>
                      </c:pt>
                      <c:pt idx="47">
                        <c:v>-8.1297567443866079</c:v>
                      </c:pt>
                      <c:pt idx="48">
                        <c:v>-8.183234735677603</c:v>
                      </c:pt>
                      <c:pt idx="49">
                        <c:v>-8.2359561197726912</c:v>
                      </c:pt>
                      <c:pt idx="50">
                        <c:v>-8.2881870657310781</c:v>
                      </c:pt>
                      <c:pt idx="51">
                        <c:v>-8.3369692135554789</c:v>
                      </c:pt>
                      <c:pt idx="52">
                        <c:v>-8.3850724177476632</c:v>
                      </c:pt>
                      <c:pt idx="53">
                        <c:v>-8.4327198840908437</c:v>
                      </c:pt>
                      <c:pt idx="54">
                        <c:v>-8.4801582269554476</c:v>
                      </c:pt>
                      <c:pt idx="55">
                        <c:v>-8.5275707768680107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DF-4FA2-B0C9-EB7B6F86A36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Données!$B$8</c15:sqref>
                        </c15:formulaRef>
                      </c:ext>
                    </c:extLst>
                    <c:strCache>
                      <c:ptCount val="1"/>
                      <c:pt idx="0">
                        <c:v>Consommation des ménages automobile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Données!$C$4:$BF$4</c15:sqref>
                        </c15:formulaRef>
                      </c:ext>
                    </c:extLst>
                    <c:numCache>
                      <c:formatCode>m/d/yyyy</c:formatCode>
                      <c:ptCount val="5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Données!$C$8:$BF$8</c15:sqref>
                        </c15:formulaRef>
                      </c:ext>
                    </c:extLst>
                    <c:numCache>
                      <c:formatCode>#\ ##0.0</c:formatCode>
                      <c:ptCount val="56"/>
                      <c:pt idx="0">
                        <c:v>-2.7082338318940431E-4</c:v>
                      </c:pt>
                      <c:pt idx="1">
                        <c:v>-2.4837670974877664E-2</c:v>
                      </c:pt>
                      <c:pt idx="2">
                        <c:v>-5.4794164015276842E-2</c:v>
                      </c:pt>
                      <c:pt idx="3">
                        <c:v>-7.9641941963128238E-2</c:v>
                      </c:pt>
                      <c:pt idx="4">
                        <c:v>-9.6498626520301722E-2</c:v>
                      </c:pt>
                      <c:pt idx="5">
                        <c:v>-0.10593120323777125</c:v>
                      </c:pt>
                      <c:pt idx="6">
                        <c:v>-0.10981930601611445</c:v>
                      </c:pt>
                      <c:pt idx="7">
                        <c:v>-0.11000665976183205</c:v>
                      </c:pt>
                      <c:pt idx="8">
                        <c:v>-0.1080375265134197</c:v>
                      </c:pt>
                      <c:pt idx="9">
                        <c:v>-0.10499607006868145</c:v>
                      </c:pt>
                      <c:pt idx="10">
                        <c:v>-0.10151138343833255</c:v>
                      </c:pt>
                      <c:pt idx="11">
                        <c:v>-9.8187151956097868E-2</c:v>
                      </c:pt>
                      <c:pt idx="12">
                        <c:v>-9.5067795767351249E-2</c:v>
                      </c:pt>
                      <c:pt idx="13">
                        <c:v>-9.2164547785134915E-2</c:v>
                      </c:pt>
                      <c:pt idx="14">
                        <c:v>-8.9460563625866699E-2</c:v>
                      </c:pt>
                      <c:pt idx="15">
                        <c:v>-8.6940031837016526E-2</c:v>
                      </c:pt>
                      <c:pt idx="16">
                        <c:v>-8.4708160995368056E-2</c:v>
                      </c:pt>
                      <c:pt idx="17">
                        <c:v>-8.2747851916885828E-2</c:v>
                      </c:pt>
                      <c:pt idx="18">
                        <c:v>-8.1026618281545587E-2</c:v>
                      </c:pt>
                      <c:pt idx="19">
                        <c:v>-7.9525844373623242E-2</c:v>
                      </c:pt>
                      <c:pt idx="20">
                        <c:v>-7.8257531045451856E-2</c:v>
                      </c:pt>
                      <c:pt idx="21">
                        <c:v>-7.7150140744110057E-2</c:v>
                      </c:pt>
                      <c:pt idx="22">
                        <c:v>-7.6254116644317055E-2</c:v>
                      </c:pt>
                      <c:pt idx="23">
                        <c:v>-7.5564124796296428E-2</c:v>
                      </c:pt>
                      <c:pt idx="24">
                        <c:v>-7.5064598847150693E-2</c:v>
                      </c:pt>
                      <c:pt idx="25">
                        <c:v>-7.478106635406144E-2</c:v>
                      </c:pt>
                      <c:pt idx="26">
                        <c:v>-7.450310042635451E-2</c:v>
                      </c:pt>
                      <c:pt idx="27">
                        <c:v>-7.4308184696555132E-2</c:v>
                      </c:pt>
                      <c:pt idx="28">
                        <c:v>-7.421491542985871E-2</c:v>
                      </c:pt>
                      <c:pt idx="29">
                        <c:v>-7.4223366681414396E-2</c:v>
                      </c:pt>
                      <c:pt idx="30">
                        <c:v>-7.4321820390698762E-2</c:v>
                      </c:pt>
                      <c:pt idx="31">
                        <c:v>-7.4476104768873438E-2</c:v>
                      </c:pt>
                      <c:pt idx="32">
                        <c:v>-7.4674992667924656E-2</c:v>
                      </c:pt>
                      <c:pt idx="33">
                        <c:v>-7.4914001631082874E-2</c:v>
                      </c:pt>
                      <c:pt idx="34">
                        <c:v>-7.5188671278758695E-2</c:v>
                      </c:pt>
                      <c:pt idx="35">
                        <c:v>-7.5494294539650744E-2</c:v>
                      </c:pt>
                      <c:pt idx="36">
                        <c:v>-7.5685941175010776E-2</c:v>
                      </c:pt>
                      <c:pt idx="37">
                        <c:v>-7.5766197143590397E-2</c:v>
                      </c:pt>
                      <c:pt idx="38">
                        <c:v>-7.5805968302940396E-2</c:v>
                      </c:pt>
                      <c:pt idx="39">
                        <c:v>-7.5854994413319152E-2</c:v>
                      </c:pt>
                      <c:pt idx="40">
                        <c:v>-7.5938474355405003E-2</c:v>
                      </c:pt>
                      <c:pt idx="41">
                        <c:v>-7.6046557785808405E-2</c:v>
                      </c:pt>
                      <c:pt idx="42">
                        <c:v>-7.6189303647827306E-2</c:v>
                      </c:pt>
                      <c:pt idx="43">
                        <c:v>-7.638080093356428E-2</c:v>
                      </c:pt>
                      <c:pt idx="44">
                        <c:v>-7.6631024964454467E-2</c:v>
                      </c:pt>
                      <c:pt idx="45">
                        <c:v>-7.6946062557927991E-2</c:v>
                      </c:pt>
                      <c:pt idx="46">
                        <c:v>-7.7265627846047416E-2</c:v>
                      </c:pt>
                      <c:pt idx="47">
                        <c:v>-7.7608139920097255E-2</c:v>
                      </c:pt>
                      <c:pt idx="48">
                        <c:v>-7.8007217799170969E-2</c:v>
                      </c:pt>
                      <c:pt idx="49">
                        <c:v>-7.8481970277575266E-2</c:v>
                      </c:pt>
                      <c:pt idx="50">
                        <c:v>-7.9038619669928825E-2</c:v>
                      </c:pt>
                      <c:pt idx="51">
                        <c:v>-7.9641512057209429E-2</c:v>
                      </c:pt>
                      <c:pt idx="52">
                        <c:v>-8.0298177761476477E-2</c:v>
                      </c:pt>
                      <c:pt idx="53">
                        <c:v>-8.1027828046212114E-2</c:v>
                      </c:pt>
                      <c:pt idx="54">
                        <c:v>-8.184283671900644E-2</c:v>
                      </c:pt>
                      <c:pt idx="55">
                        <c:v>-8.2748596111253334E-2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DF-4FA2-B0C9-EB7B6F86A36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Données!$B$9</c15:sqref>
                        </c15:formulaRef>
                      </c:ext>
                    </c:extLst>
                    <c:strCache>
                      <c:ptCount val="1"/>
                      <c:pt idx="0">
                        <c:v>Dépenses publiques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Données!$C$4:$BF$4</c15:sqref>
                        </c15:formulaRef>
                      </c:ext>
                    </c:extLst>
                    <c:numCache>
                      <c:formatCode>m/d/yyyy</c:formatCode>
                      <c:ptCount val="5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Données!$C$9:$BF$9</c15:sqref>
                        </c15:formulaRef>
                      </c:ext>
                    </c:extLst>
                    <c:numCache>
                      <c:formatCode>#\ ##0.0</c:formatCode>
                      <c:ptCount val="5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4DF-4FA2-B0C9-EB7B6F86A36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Données!$B$11</c15:sqref>
                        </c15:formulaRef>
                      </c:ext>
                    </c:extLst>
                    <c:strCache>
                      <c:ptCount val="1"/>
                      <c:pt idx="0">
                        <c:v>Variations de stocks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Données!$C$4:$BF$4</c15:sqref>
                        </c15:formulaRef>
                      </c:ext>
                    </c:extLst>
                    <c:numCache>
                      <c:formatCode>m/d/yyyy</c:formatCode>
                      <c:ptCount val="5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Données!$C$11:$BF$11</c15:sqref>
                        </c15:formulaRef>
                      </c:ext>
                    </c:extLst>
                    <c:numCache>
                      <c:formatCode>#\ ##0.0</c:formatCode>
                      <c:ptCount val="5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4DF-4FA2-B0C9-EB7B6F86A36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Données!$B$5</c:f>
              <c:strCache>
                <c:ptCount val="1"/>
                <c:pt idx="0">
                  <c:v>GDP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Données!$C$4:$BF$4</c:f>
              <c:numCache>
                <c:formatCode>m/d/yyyy</c:formatCode>
                <c:ptCount val="5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</c:numCache>
            </c:numRef>
          </c:cat>
          <c:val>
            <c:numRef>
              <c:f>Données!$C$5:$BF$5</c:f>
              <c:numCache>
                <c:formatCode>#\ ##0.0</c:formatCode>
                <c:ptCount val="56"/>
                <c:pt idx="0">
                  <c:v>-1.7036346357309995</c:v>
                </c:pt>
                <c:pt idx="1">
                  <c:v>-2.0957758832077622</c:v>
                </c:pt>
                <c:pt idx="2">
                  <c:v>-2.453958824374125</c:v>
                </c:pt>
                <c:pt idx="3">
                  <c:v>-2.7541990328077359</c:v>
                </c:pt>
                <c:pt idx="4">
                  <c:v>-3.0028678933924358</c:v>
                </c:pt>
                <c:pt idx="5">
                  <c:v>-3.2088589823111913</c:v>
                </c:pt>
                <c:pt idx="6">
                  <c:v>-3.3820554010658976</c:v>
                </c:pt>
                <c:pt idx="7">
                  <c:v>-3.5279053021591067</c:v>
                </c:pt>
                <c:pt idx="8">
                  <c:v>-3.6525979163630873</c:v>
                </c:pt>
                <c:pt idx="9">
                  <c:v>-3.7616626926608832</c:v>
                </c:pt>
                <c:pt idx="10">
                  <c:v>-3.8593173352646781</c:v>
                </c:pt>
                <c:pt idx="11">
                  <c:v>-3.9563875692188777</c:v>
                </c:pt>
                <c:pt idx="12">
                  <c:v>-4.0497189813623162</c:v>
                </c:pt>
                <c:pt idx="13">
                  <c:v>-4.1408090749020188</c:v>
                </c:pt>
                <c:pt idx="14">
                  <c:v>-4.2305629247721193</c:v>
                </c:pt>
                <c:pt idx="15">
                  <c:v>-4.319544978057122</c:v>
                </c:pt>
                <c:pt idx="16">
                  <c:v>-4.4139146097471489</c:v>
                </c:pt>
                <c:pt idx="17">
                  <c:v>-4.5088346449273065</c:v>
                </c:pt>
                <c:pt idx="18">
                  <c:v>-4.6042763833483047</c:v>
                </c:pt>
                <c:pt idx="19">
                  <c:v>-4.7000885381289663</c:v>
                </c:pt>
                <c:pt idx="20">
                  <c:v>-4.7964308543476104</c:v>
                </c:pt>
                <c:pt idx="21">
                  <c:v>-4.8924418702819938</c:v>
                </c:pt>
                <c:pt idx="22">
                  <c:v>-4.9883225421250676</c:v>
                </c:pt>
                <c:pt idx="23">
                  <c:v>-5.0840745097930125</c:v>
                </c:pt>
                <c:pt idx="24">
                  <c:v>-5.1796112278934325</c:v>
                </c:pt>
                <c:pt idx="25">
                  <c:v>-5.275454391044776</c:v>
                </c:pt>
                <c:pt idx="26">
                  <c:v>-5.3681715965679828</c:v>
                </c:pt>
                <c:pt idx="27">
                  <c:v>-5.4595549509663055</c:v>
                </c:pt>
                <c:pt idx="28">
                  <c:v>-5.5496459937126819</c:v>
                </c:pt>
                <c:pt idx="29">
                  <c:v>-5.6384592195742105</c:v>
                </c:pt>
                <c:pt idx="30">
                  <c:v>-5.7259575885249099</c:v>
                </c:pt>
                <c:pt idx="31">
                  <c:v>-5.8110064454952042</c:v>
                </c:pt>
                <c:pt idx="32">
                  <c:v>-5.8944223513563987</c:v>
                </c:pt>
                <c:pt idx="33">
                  <c:v>-5.9761738458447233</c:v>
                </c:pt>
                <c:pt idx="34">
                  <c:v>-6.0562559748587823</c:v>
                </c:pt>
                <c:pt idx="35">
                  <c:v>-6.1346691606585679</c:v>
                </c:pt>
                <c:pt idx="36">
                  <c:v>-6.2026802826856242</c:v>
                </c:pt>
                <c:pt idx="37">
                  <c:v>-6.2676049464918222</c:v>
                </c:pt>
                <c:pt idx="38">
                  <c:v>-6.3297499321441686</c:v>
                </c:pt>
                <c:pt idx="39">
                  <c:v>-6.3896088078294833</c:v>
                </c:pt>
                <c:pt idx="40">
                  <c:v>-6.4475972414518745</c:v>
                </c:pt>
                <c:pt idx="41">
                  <c:v>-6.502700172083598</c:v>
                </c:pt>
                <c:pt idx="42">
                  <c:v>-6.556260895841481</c:v>
                </c:pt>
                <c:pt idx="43">
                  <c:v>-6.6085454498184699</c:v>
                </c:pt>
                <c:pt idx="44">
                  <c:v>-6.6598052960962555</c:v>
                </c:pt>
                <c:pt idx="45">
                  <c:v>-6.7102526296655469</c:v>
                </c:pt>
                <c:pt idx="46">
                  <c:v>-6.7558014891395679</c:v>
                </c:pt>
                <c:pt idx="47">
                  <c:v>-6.8000759638614072</c:v>
                </c:pt>
                <c:pt idx="48">
                  <c:v>-6.8434351195525434</c:v>
                </c:pt>
                <c:pt idx="49">
                  <c:v>-6.886219151155915</c:v>
                </c:pt>
                <c:pt idx="50">
                  <c:v>-6.928671017203591</c:v>
                </c:pt>
                <c:pt idx="51">
                  <c:v>-6.9684378484795477</c:v>
                </c:pt>
                <c:pt idx="52">
                  <c:v>-7.0076720630980471</c:v>
                </c:pt>
                <c:pt idx="53">
                  <c:v>-7.0465933671150394</c:v>
                </c:pt>
                <c:pt idx="54">
                  <c:v>-7.0854247903734731</c:v>
                </c:pt>
                <c:pt idx="55">
                  <c:v>-7.1243312096950229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60000"/>
        <c:axId val="698260984"/>
      </c:lineChart>
      <c:dateAx>
        <c:axId val="698260000"/>
        <c:scaling>
          <c:orientation val="minMax"/>
          <c:max val="62094"/>
          <c:min val="42005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5"/>
        <c:majorTimeUnit val="years"/>
      </c:dateAx>
      <c:valAx>
        <c:axId val="698260984"/>
        <c:scaling>
          <c:orientation val="minMax"/>
          <c:min val="-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558026074095319"/>
          <c:y val="0.92307178193558292"/>
          <c:w val="0.7488393708655362"/>
          <c:h val="5.8065941725962647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Inflation (%)</a:t>
            </a:r>
          </a:p>
        </c:rich>
      </c:tx>
      <c:layout>
        <c:manualLayout>
          <c:xMode val="edge"/>
          <c:yMode val="edge"/>
          <c:x val="0.4109619154318111"/>
          <c:y val="2.51497017846056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ysClr val="windowText" lastClr="000000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537262156476636E-2"/>
          <c:y val="0.12992444857958643"/>
          <c:w val="0.91942367557480809"/>
          <c:h val="0.68678422777048564"/>
        </c:manualLayout>
      </c:layout>
      <c:lineChart>
        <c:grouping val="standard"/>
        <c:varyColors val="0"/>
        <c:ser>
          <c:idx val="0"/>
          <c:order val="0"/>
          <c:tx>
            <c:v>Constant 1 degree scenario</c:v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Données!$C$64:$AL$64</c:f>
              <c:numCache>
                <c:formatCode>#\ ##0.0</c:formatCode>
                <c:ptCount val="36"/>
                <c:pt idx="1">
                  <c:v>1.8719265438425836</c:v>
                </c:pt>
                <c:pt idx="2">
                  <c:v>1.8515359276547461</c:v>
                </c:pt>
                <c:pt idx="3">
                  <c:v>1.8599594700459576</c:v>
                </c:pt>
                <c:pt idx="4">
                  <c:v>1.8864125886808081</c:v>
                </c:pt>
                <c:pt idx="5">
                  <c:v>1.9215294526616411</c:v>
                </c:pt>
                <c:pt idx="6">
                  <c:v>1.956406804102806</c:v>
                </c:pt>
                <c:pt idx="7">
                  <c:v>1.9891643552577554</c:v>
                </c:pt>
                <c:pt idx="8">
                  <c:v>2.0189656562267233</c:v>
                </c:pt>
                <c:pt idx="9">
                  <c:v>2.0454423903320196</c:v>
                </c:pt>
                <c:pt idx="10">
                  <c:v>2.0729334662360044</c:v>
                </c:pt>
                <c:pt idx="11">
                  <c:v>2.0943680280928412</c:v>
                </c:pt>
                <c:pt idx="12">
                  <c:v>2.1109108400304555</c:v>
                </c:pt>
                <c:pt idx="13">
                  <c:v>2.1232535941098307</c:v>
                </c:pt>
                <c:pt idx="14">
                  <c:v>2.1317417694592056</c:v>
                </c:pt>
                <c:pt idx="15">
                  <c:v>2.1366040113667495</c:v>
                </c:pt>
                <c:pt idx="16">
                  <c:v>2.1380948879524686</c:v>
                </c:pt>
                <c:pt idx="17">
                  <c:v>2.1365432204981216</c:v>
                </c:pt>
                <c:pt idx="18">
                  <c:v>2.1323448586699323</c:v>
                </c:pt>
                <c:pt idx="19">
                  <c:v>2.1259323957138809</c:v>
                </c:pt>
                <c:pt idx="20">
                  <c:v>2.1149344243180712</c:v>
                </c:pt>
                <c:pt idx="21">
                  <c:v>2.1040529957081722</c:v>
                </c:pt>
                <c:pt idx="22">
                  <c:v>2.0930088447644435</c:v>
                </c:pt>
                <c:pt idx="23">
                  <c:v>2.0817488033760601</c:v>
                </c:pt>
                <c:pt idx="24">
                  <c:v>2.0704219081775666</c:v>
                </c:pt>
                <c:pt idx="25">
                  <c:v>2.0517693462535513</c:v>
                </c:pt>
                <c:pt idx="26">
                  <c:v>2.0338125648229788</c:v>
                </c:pt>
                <c:pt idx="27">
                  <c:v>2.016806320016129</c:v>
                </c:pt>
                <c:pt idx="28">
                  <c:v>2.0007831147561328</c:v>
                </c:pt>
                <c:pt idx="29">
                  <c:v>1.9858795091345804</c:v>
                </c:pt>
                <c:pt idx="30">
                  <c:v>1.9722988938862596</c:v>
                </c:pt>
                <c:pt idx="31">
                  <c:v>1.9602320251535188</c:v>
                </c:pt>
                <c:pt idx="32">
                  <c:v>1.9498046981170081</c:v>
                </c:pt>
                <c:pt idx="33">
                  <c:v>1.9410601819815909</c:v>
                </c:pt>
                <c:pt idx="34">
                  <c:v>1.9339652356008763</c:v>
                </c:pt>
                <c:pt idx="35">
                  <c:v>1.9284275686784591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B1-4F3D-B713-AB83A709E486}"/>
            </c:ext>
          </c:extLst>
        </c:ser>
        <c:ser>
          <c:idx val="1"/>
          <c:order val="1"/>
          <c:tx>
            <c:v>3 degrees scenario</c:v>
          </c:tx>
          <c:spPr>
            <a:ln w="444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Données!$C$65:$AL$65</c:f>
              <c:numCache>
                <c:formatCode>#\ ##0.0</c:formatCode>
                <c:ptCount val="36"/>
                <c:pt idx="1">
                  <c:v>1.5379473559832491</c:v>
                </c:pt>
                <c:pt idx="2">
                  <c:v>1.4817897232931809</c:v>
                </c:pt>
                <c:pt idx="3">
                  <c:v>1.4909685372509918</c:v>
                </c:pt>
                <c:pt idx="4">
                  <c:v>1.5333815914653437</c:v>
                </c:pt>
                <c:pt idx="5">
                  <c:v>1.5901214854376011</c:v>
                </c:pt>
                <c:pt idx="6">
                  <c:v>1.6486917184981298</c:v>
                </c:pt>
                <c:pt idx="7">
                  <c:v>1.7066332316048705</c:v>
                </c:pt>
                <c:pt idx="8">
                  <c:v>1.763130916171507</c:v>
                </c:pt>
                <c:pt idx="9">
                  <c:v>1.8175902268449784</c:v>
                </c:pt>
                <c:pt idx="10">
                  <c:v>1.8740440507938327</c:v>
                </c:pt>
                <c:pt idx="11">
                  <c:v>1.9235805495279035</c:v>
                </c:pt>
                <c:pt idx="12">
                  <c:v>1.9668826131022499</c:v>
                </c:pt>
                <c:pt idx="13">
                  <c:v>2.0043805306031226</c:v>
                </c:pt>
                <c:pt idx="14">
                  <c:v>2.0361348629551745</c:v>
                </c:pt>
                <c:pt idx="15">
                  <c:v>2.0621329896873819</c:v>
                </c:pt>
                <c:pt idx="16">
                  <c:v>2.082180367601949</c:v>
                </c:pt>
                <c:pt idx="17">
                  <c:v>2.0963752924550549</c:v>
                </c:pt>
                <c:pt idx="18">
                  <c:v>2.1054172127644488</c:v>
                </c:pt>
                <c:pt idx="19">
                  <c:v>2.1099767930191415</c:v>
                </c:pt>
                <c:pt idx="20">
                  <c:v>2.1076655767877206</c:v>
                </c:pt>
                <c:pt idx="21">
                  <c:v>2.1038590285584524</c:v>
                </c:pt>
                <c:pt idx="22">
                  <c:v>2.098276441784841</c:v>
                </c:pt>
                <c:pt idx="23">
                  <c:v>2.0910067550152345</c:v>
                </c:pt>
                <c:pt idx="24">
                  <c:v>2.0823641981253527</c:v>
                </c:pt>
                <c:pt idx="25">
                  <c:v>2.0646919266317454</c:v>
                </c:pt>
                <c:pt idx="26">
                  <c:v>2.0471555427414856</c:v>
                </c:pt>
                <c:pt idx="27">
                  <c:v>2.030277332275654</c:v>
                </c:pt>
                <c:pt idx="28">
                  <c:v>2.0140939491532617</c:v>
                </c:pt>
                <c:pt idx="29">
                  <c:v>1.9987488292678268</c:v>
                </c:pt>
                <c:pt idx="30">
                  <c:v>1.9844797233850908</c:v>
                </c:pt>
                <c:pt idx="31">
                  <c:v>1.9714819048851862</c:v>
                </c:pt>
                <c:pt idx="32">
                  <c:v>1.9601279302367658</c:v>
                </c:pt>
                <c:pt idx="33">
                  <c:v>1.9504734206889029</c:v>
                </c:pt>
                <c:pt idx="34">
                  <c:v>1.9425046556206471</c:v>
                </c:pt>
                <c:pt idx="35">
                  <c:v>1.9361544669700637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B1-4F3D-B713-AB83A709E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Marianne Light" panose="02000000000000000000" pitchFamily="50" charset="0"/>
        </a:defRPr>
      </a:pPr>
      <a:endParaRPr lang="fr-F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CO2 emissions (MtCO2/y)</a:t>
            </a:r>
          </a:p>
        </c:rich>
      </c:tx>
      <c:layout>
        <c:manualLayout>
          <c:xMode val="edge"/>
          <c:yMode val="edge"/>
          <c:x val="0.2902562701424663"/>
          <c:y val="2.72455102666561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6296873672845803E-2"/>
          <c:y val="0.12425008837050726"/>
          <c:w val="0.90139843901638717"/>
          <c:h val="0.70629059391251803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Données!$B$67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Données!$C$67:$AL$67</c:f>
              <c:numCache>
                <c:formatCode>#,##0</c:formatCode>
                <c:ptCount val="36"/>
                <c:pt idx="0">
                  <c:v>350.5914343</c:v>
                </c:pt>
                <c:pt idx="1">
                  <c:v>352.95918829999999</c:v>
                </c:pt>
                <c:pt idx="2">
                  <c:v>355.1013524</c:v>
                </c:pt>
                <c:pt idx="3">
                  <c:v>357.50077920000001</c:v>
                </c:pt>
                <c:pt idx="4">
                  <c:v>360.28418249999999</c:v>
                </c:pt>
                <c:pt idx="5">
                  <c:v>363.50913229999998</c:v>
                </c:pt>
                <c:pt idx="6">
                  <c:v>366.97360450000002</c:v>
                </c:pt>
                <c:pt idx="7">
                  <c:v>370.70665650000001</c:v>
                </c:pt>
                <c:pt idx="8">
                  <c:v>374.6667769</c:v>
                </c:pt>
                <c:pt idx="9">
                  <c:v>378.8064996</c:v>
                </c:pt>
                <c:pt idx="10">
                  <c:v>383.39145619999999</c:v>
                </c:pt>
                <c:pt idx="11">
                  <c:v>387.92491530000001</c:v>
                </c:pt>
                <c:pt idx="12">
                  <c:v>392.50193359999997</c:v>
                </c:pt>
                <c:pt idx="13">
                  <c:v>397.13402439999999</c:v>
                </c:pt>
                <c:pt idx="14">
                  <c:v>401.81830129999997</c:v>
                </c:pt>
                <c:pt idx="15">
                  <c:v>406.55097360000002</c:v>
                </c:pt>
                <c:pt idx="16">
                  <c:v>411.32977269999998</c:v>
                </c:pt>
                <c:pt idx="17">
                  <c:v>416.15408669999999</c:v>
                </c:pt>
                <c:pt idx="18">
                  <c:v>421.02463870000003</c:v>
                </c:pt>
                <c:pt idx="19">
                  <c:v>425.9431252</c:v>
                </c:pt>
                <c:pt idx="20">
                  <c:v>430.68878239999998</c:v>
                </c:pt>
                <c:pt idx="21">
                  <c:v>435.60816030000001</c:v>
                </c:pt>
                <c:pt idx="22">
                  <c:v>440.61967650000003</c:v>
                </c:pt>
                <c:pt idx="23">
                  <c:v>445.70789300000001</c:v>
                </c:pt>
                <c:pt idx="24">
                  <c:v>450.8708087</c:v>
                </c:pt>
                <c:pt idx="25">
                  <c:v>455.46838939999998</c:v>
                </c:pt>
                <c:pt idx="26">
                  <c:v>460.1846501</c:v>
                </c:pt>
                <c:pt idx="27">
                  <c:v>464.93809199999998</c:v>
                </c:pt>
                <c:pt idx="28">
                  <c:v>469.7240132</c:v>
                </c:pt>
                <c:pt idx="29">
                  <c:v>474.55095189999997</c:v>
                </c:pt>
                <c:pt idx="30">
                  <c:v>479.42876719999998</c:v>
                </c:pt>
                <c:pt idx="31">
                  <c:v>484.3659576</c:v>
                </c:pt>
                <c:pt idx="32">
                  <c:v>489.36906800000003</c:v>
                </c:pt>
                <c:pt idx="33">
                  <c:v>494.4427632</c:v>
                </c:pt>
                <c:pt idx="34">
                  <c:v>499.59011720000001</c:v>
                </c:pt>
                <c:pt idx="35">
                  <c:v>504.8129629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C8-4867-AD43-ECA314AA01DF}"/>
            </c:ext>
          </c:extLst>
        </c:ser>
        <c:ser>
          <c:idx val="1"/>
          <c:order val="1"/>
          <c:tx>
            <c:strRef>
              <c:f>Données!$B$73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Données!$C$73:$AL$73</c:f>
              <c:numCache>
                <c:formatCode>#,##0</c:formatCode>
                <c:ptCount val="36"/>
                <c:pt idx="0">
                  <c:v>345.58961720000002</c:v>
                </c:pt>
                <c:pt idx="1">
                  <c:v>345.92322380000002</c:v>
                </c:pt>
                <c:pt idx="2">
                  <c:v>346.58629710000002</c:v>
                </c:pt>
                <c:pt idx="3">
                  <c:v>347.71144170000002</c:v>
                </c:pt>
                <c:pt idx="4">
                  <c:v>349.39695390000003</c:v>
                </c:pt>
                <c:pt idx="5">
                  <c:v>351.61959250000001</c:v>
                </c:pt>
                <c:pt idx="6">
                  <c:v>354.12025469999998</c:v>
                </c:pt>
                <c:pt idx="7">
                  <c:v>356.93289520000002</c:v>
                </c:pt>
                <c:pt idx="8">
                  <c:v>360.03364399999998</c:v>
                </c:pt>
                <c:pt idx="9">
                  <c:v>363.38118270000001</c:v>
                </c:pt>
                <c:pt idx="10">
                  <c:v>367.21994260000002</c:v>
                </c:pt>
                <c:pt idx="11">
                  <c:v>371.04173530000003</c:v>
                </c:pt>
                <c:pt idx="12">
                  <c:v>374.9353686</c:v>
                </c:pt>
                <c:pt idx="13">
                  <c:v>378.90098160000002</c:v>
                </c:pt>
                <c:pt idx="14">
                  <c:v>382.92431970000001</c:v>
                </c:pt>
                <c:pt idx="15">
                  <c:v>386.99285370000001</c:v>
                </c:pt>
                <c:pt idx="16">
                  <c:v>391.07643489999998</c:v>
                </c:pt>
                <c:pt idx="17">
                  <c:v>395.18436359999998</c:v>
                </c:pt>
                <c:pt idx="18">
                  <c:v>399.3165899</c:v>
                </c:pt>
                <c:pt idx="19">
                  <c:v>403.47310169999997</c:v>
                </c:pt>
                <c:pt idx="20">
                  <c:v>407.445311</c:v>
                </c:pt>
                <c:pt idx="21">
                  <c:v>411.55857029999999</c:v>
                </c:pt>
                <c:pt idx="22">
                  <c:v>415.73658970000002</c:v>
                </c:pt>
                <c:pt idx="23">
                  <c:v>419.96477040000002</c:v>
                </c:pt>
                <c:pt idx="24">
                  <c:v>424.24164619999999</c:v>
                </c:pt>
                <c:pt idx="25">
                  <c:v>427.97142830000001</c:v>
                </c:pt>
                <c:pt idx="26">
                  <c:v>431.80167440000002</c:v>
                </c:pt>
                <c:pt idx="27">
                  <c:v>435.6536365</c:v>
                </c:pt>
                <c:pt idx="28">
                  <c:v>439.52335820000002</c:v>
                </c:pt>
                <c:pt idx="29">
                  <c:v>443.42022220000001</c:v>
                </c:pt>
                <c:pt idx="30">
                  <c:v>447.35429579999999</c:v>
                </c:pt>
                <c:pt idx="31">
                  <c:v>451.33951259999998</c:v>
                </c:pt>
                <c:pt idx="32">
                  <c:v>455.38038649999999</c:v>
                </c:pt>
                <c:pt idx="33">
                  <c:v>459.48248339999998</c:v>
                </c:pt>
                <c:pt idx="34">
                  <c:v>463.6502294</c:v>
                </c:pt>
                <c:pt idx="35">
                  <c:v>467.88667570000001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C8-4867-AD43-ECA314AA01DF}"/>
            </c:ext>
          </c:extLst>
        </c:ser>
        <c:ser>
          <c:idx val="4"/>
          <c:order val="2"/>
          <c:tx>
            <c:v>Baseline - Households</c:v>
          </c:tx>
          <c:spPr>
            <a:ln w="3810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Données!$C$68:$AL$68</c:f>
              <c:numCache>
                <c:formatCode>#,##0</c:formatCode>
                <c:ptCount val="36"/>
                <c:pt idx="0">
                  <c:v>119.490486</c:v>
                </c:pt>
                <c:pt idx="1">
                  <c:v>119.269642</c:v>
                </c:pt>
                <c:pt idx="2">
                  <c:v>118.66364110000001</c:v>
                </c:pt>
                <c:pt idx="3">
                  <c:v>118.08609060000001</c:v>
                </c:pt>
                <c:pt idx="4">
                  <c:v>117.6365855</c:v>
                </c:pt>
                <c:pt idx="5">
                  <c:v>117.3825184</c:v>
                </c:pt>
                <c:pt idx="6">
                  <c:v>117.2909868</c:v>
                </c:pt>
                <c:pt idx="7">
                  <c:v>117.3363152</c:v>
                </c:pt>
                <c:pt idx="8">
                  <c:v>117.48245900000001</c:v>
                </c:pt>
                <c:pt idx="9">
                  <c:v>117.6976947</c:v>
                </c:pt>
                <c:pt idx="10">
                  <c:v>118.0047015</c:v>
                </c:pt>
                <c:pt idx="11">
                  <c:v>118.3229047</c:v>
                </c:pt>
                <c:pt idx="12">
                  <c:v>118.6525498</c:v>
                </c:pt>
                <c:pt idx="13">
                  <c:v>118.9917221</c:v>
                </c:pt>
                <c:pt idx="14">
                  <c:v>119.3380827</c:v>
                </c:pt>
                <c:pt idx="15">
                  <c:v>119.68951079999999</c:v>
                </c:pt>
                <c:pt idx="16">
                  <c:v>120.0442742</c:v>
                </c:pt>
                <c:pt idx="17">
                  <c:v>120.4010183</c:v>
                </c:pt>
                <c:pt idx="18">
                  <c:v>120.75870140000001</c:v>
                </c:pt>
                <c:pt idx="19">
                  <c:v>121.11652719999999</c:v>
                </c:pt>
                <c:pt idx="20">
                  <c:v>121.443412</c:v>
                </c:pt>
                <c:pt idx="21">
                  <c:v>121.7824784</c:v>
                </c:pt>
                <c:pt idx="22">
                  <c:v>122.1267637</c:v>
                </c:pt>
                <c:pt idx="23">
                  <c:v>122.47306330000001</c:v>
                </c:pt>
                <c:pt idx="24">
                  <c:v>122.8199402</c:v>
                </c:pt>
                <c:pt idx="25">
                  <c:v>123.08314540000001</c:v>
                </c:pt>
                <c:pt idx="26">
                  <c:v>123.3424022</c:v>
                </c:pt>
                <c:pt idx="27">
                  <c:v>123.5962273</c:v>
                </c:pt>
                <c:pt idx="28">
                  <c:v>123.8446953</c:v>
                </c:pt>
                <c:pt idx="29">
                  <c:v>124.0881741</c:v>
                </c:pt>
                <c:pt idx="30">
                  <c:v>124.32754060000001</c:v>
                </c:pt>
                <c:pt idx="31">
                  <c:v>124.5639115</c:v>
                </c:pt>
                <c:pt idx="32">
                  <c:v>124.798383</c:v>
                </c:pt>
                <c:pt idx="33">
                  <c:v>125.0319279</c:v>
                </c:pt>
                <c:pt idx="34">
                  <c:v>125.26537190000001</c:v>
                </c:pt>
                <c:pt idx="35">
                  <c:v>125.4994057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75-4A82-96A0-76304CD4EC78}"/>
            </c:ext>
          </c:extLst>
        </c:ser>
        <c:ser>
          <c:idx val="2"/>
          <c:order val="3"/>
          <c:tx>
            <c:v>NZ50 - Households</c:v>
          </c:tx>
          <c:spPr>
            <a:ln w="381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Données!$C$74:$AL$74</c:f>
              <c:numCache>
                <c:formatCode>#,##0</c:formatCode>
                <c:ptCount val="36"/>
                <c:pt idx="0">
                  <c:v>119.490486</c:v>
                </c:pt>
                <c:pt idx="1">
                  <c:v>119.2109703</c:v>
                </c:pt>
                <c:pt idx="2">
                  <c:v>118.52103459999999</c:v>
                </c:pt>
                <c:pt idx="3">
                  <c:v>117.8567559</c:v>
                </c:pt>
                <c:pt idx="4">
                  <c:v>117.34549989999999</c:v>
                </c:pt>
                <c:pt idx="5">
                  <c:v>116.9913622</c:v>
                </c:pt>
                <c:pt idx="6">
                  <c:v>116.7264114</c:v>
                </c:pt>
                <c:pt idx="7">
                  <c:v>116.557461</c:v>
                </c:pt>
                <c:pt idx="8">
                  <c:v>116.4877072</c:v>
                </c:pt>
                <c:pt idx="9">
                  <c:v>116.5089675</c:v>
                </c:pt>
                <c:pt idx="10">
                  <c:v>116.6519059</c:v>
                </c:pt>
                <c:pt idx="11">
                  <c:v>116.8355839</c:v>
                </c:pt>
                <c:pt idx="12">
                  <c:v>117.0559585</c:v>
                </c:pt>
                <c:pt idx="13">
                  <c:v>117.305997</c:v>
                </c:pt>
                <c:pt idx="14">
                  <c:v>117.57753529999999</c:v>
                </c:pt>
                <c:pt idx="15">
                  <c:v>117.86398459999999</c:v>
                </c:pt>
                <c:pt idx="16">
                  <c:v>118.1601904</c:v>
                </c:pt>
                <c:pt idx="17">
                  <c:v>118.4620455</c:v>
                </c:pt>
                <c:pt idx="18">
                  <c:v>118.7663594</c:v>
                </c:pt>
                <c:pt idx="19">
                  <c:v>119.0706182</c:v>
                </c:pt>
                <c:pt idx="20">
                  <c:v>119.34246400000001</c:v>
                </c:pt>
                <c:pt idx="21">
                  <c:v>119.62345670000001</c:v>
                </c:pt>
                <c:pt idx="22">
                  <c:v>119.90547290000001</c:v>
                </c:pt>
                <c:pt idx="23">
                  <c:v>120.1844127</c:v>
                </c:pt>
                <c:pt idx="24">
                  <c:v>120.4583238</c:v>
                </c:pt>
                <c:pt idx="25">
                  <c:v>120.64325479999999</c:v>
                </c:pt>
                <c:pt idx="26">
                  <c:v>120.81834139999999</c:v>
                </c:pt>
                <c:pt idx="27">
                  <c:v>120.9816915</c:v>
                </c:pt>
                <c:pt idx="28">
                  <c:v>121.1329657</c:v>
                </c:pt>
                <c:pt idx="29">
                  <c:v>121.27281290000001</c:v>
                </c:pt>
                <c:pt idx="30">
                  <c:v>121.4020222</c:v>
                </c:pt>
                <c:pt idx="31">
                  <c:v>121.5222471</c:v>
                </c:pt>
                <c:pt idx="32">
                  <c:v>121.63558449999999</c:v>
                </c:pt>
                <c:pt idx="33">
                  <c:v>121.7442518</c:v>
                </c:pt>
                <c:pt idx="34">
                  <c:v>121.85034280000001</c:v>
                </c:pt>
                <c:pt idx="35">
                  <c:v>121.9556414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F9-419D-90DC-C3E392523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  <c:extLst>
          <c:ext xmlns:c15="http://schemas.microsoft.com/office/drawing/2012/chart" uri="{02D57815-91ED-43cb-92C2-25804820EDAC}">
            <c15:filteredLineSeries>
              <c15:ser>
                <c:idx val="3"/>
                <c:order val="4"/>
                <c:tx>
                  <c:strRef>
                    <c:extLst>
                      <c:ext uri="{02D57815-91ED-43cb-92C2-25804820EDAC}">
                        <c15:formulaRef>
                          <c15:sqref>Données!$B$75</c15:sqref>
                        </c15:formulaRef>
                      </c:ext>
                    </c:extLst>
                    <c:strCache>
                      <c:ptCount val="1"/>
                      <c:pt idx="0">
                        <c:v>Firms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75000"/>
                      </a:schemeClr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Données!$C$4:$AL$4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Données!$C$75:$AL$75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226.09913117630001</c:v>
                      </c:pt>
                      <c:pt idx="1">
                        <c:v>226.71225344140001</c:v>
                      </c:pt>
                      <c:pt idx="2">
                        <c:v>228.0652625283</c:v>
                      </c:pt>
                      <c:pt idx="3">
                        <c:v>229.85468573560001</c:v>
                      </c:pt>
                      <c:pt idx="4">
                        <c:v>232.05145395849999</c:v>
                      </c:pt>
                      <c:pt idx="5">
                        <c:v>234.6282303255</c:v>
                      </c:pt>
                      <c:pt idx="6">
                        <c:v>237.39384332899999</c:v>
                      </c:pt>
                      <c:pt idx="7">
                        <c:v>240.37543426549999</c:v>
                      </c:pt>
                      <c:pt idx="8">
                        <c:v>243.54593674310001</c:v>
                      </c:pt>
                      <c:pt idx="9">
                        <c:v>246.87221508049998</c:v>
                      </c:pt>
                      <c:pt idx="10">
                        <c:v>250.56803671969999</c:v>
                      </c:pt>
                      <c:pt idx="11">
                        <c:v>254.20615138469998</c:v>
                      </c:pt>
                      <c:pt idx="12">
                        <c:v>257.87941003989999</c:v>
                      </c:pt>
                      <c:pt idx="13">
                        <c:v>261.59498464540002</c:v>
                      </c:pt>
                      <c:pt idx="14">
                        <c:v>265.34678442649999</c:v>
                      </c:pt>
                      <c:pt idx="15">
                        <c:v>269.12886905469998</c:v>
                      </c:pt>
                      <c:pt idx="16">
                        <c:v>272.91624446610001</c:v>
                      </c:pt>
                      <c:pt idx="17">
                        <c:v>276.72231814200001</c:v>
                      </c:pt>
                      <c:pt idx="18">
                        <c:v>280.55023052199999</c:v>
                      </c:pt>
                      <c:pt idx="19">
                        <c:v>284.40248345289996</c:v>
                      </c:pt>
                      <c:pt idx="20">
                        <c:v>288.10284699559998</c:v>
                      </c:pt>
                      <c:pt idx="21">
                        <c:v>291.93511354029999</c:v>
                      </c:pt>
                      <c:pt idx="22">
                        <c:v>295.83111683209995</c:v>
                      </c:pt>
                      <c:pt idx="23">
                        <c:v>299.78035769510007</c:v>
                      </c:pt>
                      <c:pt idx="24">
                        <c:v>303.78332242519997</c:v>
                      </c:pt>
                      <c:pt idx="25">
                        <c:v>307.32817350749997</c:v>
                      </c:pt>
                      <c:pt idx="26">
                        <c:v>310.98333306649994</c:v>
                      </c:pt>
                      <c:pt idx="27">
                        <c:v>314.67194509559999</c:v>
                      </c:pt>
                      <c:pt idx="28">
                        <c:v>318.39039252949999</c:v>
                      </c:pt>
                      <c:pt idx="29">
                        <c:v>322.14740926879995</c:v>
                      </c:pt>
                      <c:pt idx="30">
                        <c:v>325.952273547</c:v>
                      </c:pt>
                      <c:pt idx="31">
                        <c:v>329.81726548269995</c:v>
                      </c:pt>
                      <c:pt idx="32">
                        <c:v>333.74480199470003</c:v>
                      </c:pt>
                      <c:pt idx="33">
                        <c:v>337.73823160640001</c:v>
                      </c:pt>
                      <c:pt idx="34">
                        <c:v>341.79988666409997</c:v>
                      </c:pt>
                      <c:pt idx="35">
                        <c:v>345.93103425740003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7F9-419D-90DC-C3E392523E4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Données!$B$69</c15:sqref>
                        </c15:formulaRef>
                      </c:ext>
                    </c:extLst>
                    <c:strCache>
                      <c:ptCount val="1"/>
                      <c:pt idx="0">
                        <c:v>Firms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Données!$C$69:$AL$69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231.10094830930001</c:v>
                      </c:pt>
                      <c:pt idx="1">
                        <c:v>233.68954631899999</c:v>
                      </c:pt>
                      <c:pt idx="2">
                        <c:v>236.43771130190001</c:v>
                      </c:pt>
                      <c:pt idx="3">
                        <c:v>239.41468863419999</c:v>
                      </c:pt>
                      <c:pt idx="4">
                        <c:v>242.64759703319999</c:v>
                      </c:pt>
                      <c:pt idx="5">
                        <c:v>246.12661398239999</c:v>
                      </c:pt>
                      <c:pt idx="6">
                        <c:v>249.68261759519999</c:v>
                      </c:pt>
                      <c:pt idx="7">
                        <c:v>253.37034132990001</c:v>
                      </c:pt>
                      <c:pt idx="8">
                        <c:v>257.18431785310003</c:v>
                      </c:pt>
                      <c:pt idx="9">
                        <c:v>261.1088048954</c:v>
                      </c:pt>
                      <c:pt idx="10">
                        <c:v>265.38675468010001</c:v>
                      </c:pt>
                      <c:pt idx="11">
                        <c:v>269.60201057649999</c:v>
                      </c:pt>
                      <c:pt idx="12">
                        <c:v>273.8493838096</c:v>
                      </c:pt>
                      <c:pt idx="13">
                        <c:v>278.14230224260001</c:v>
                      </c:pt>
                      <c:pt idx="14">
                        <c:v>282.48021868180001</c:v>
                      </c:pt>
                      <c:pt idx="15">
                        <c:v>286.86146275389996</c:v>
                      </c:pt>
                      <c:pt idx="16">
                        <c:v>291.28549857120004</c:v>
                      </c:pt>
                      <c:pt idx="17">
                        <c:v>295.75306840989998</c:v>
                      </c:pt>
                      <c:pt idx="18">
                        <c:v>300.26593725250001</c:v>
                      </c:pt>
                      <c:pt idx="19">
                        <c:v>304.82659805640003</c:v>
                      </c:pt>
                      <c:pt idx="20">
                        <c:v>309.24537039289999</c:v>
                      </c:pt>
                      <c:pt idx="21">
                        <c:v>313.82568193860004</c:v>
                      </c:pt>
                      <c:pt idx="22">
                        <c:v>318.49291285359999</c:v>
                      </c:pt>
                      <c:pt idx="23">
                        <c:v>323.23482972670001</c:v>
                      </c:pt>
                      <c:pt idx="24">
                        <c:v>328.05086847910002</c:v>
                      </c:pt>
                      <c:pt idx="25">
                        <c:v>332.38524401090001</c:v>
                      </c:pt>
                      <c:pt idx="26">
                        <c:v>336.84224792340001</c:v>
                      </c:pt>
                      <c:pt idx="27">
                        <c:v>341.34186477079999</c:v>
                      </c:pt>
                      <c:pt idx="28">
                        <c:v>345.87931791980003</c:v>
                      </c:pt>
                      <c:pt idx="29">
                        <c:v>350.46277778360002</c:v>
                      </c:pt>
                      <c:pt idx="30">
                        <c:v>355.10122652370001</c:v>
                      </c:pt>
                      <c:pt idx="31">
                        <c:v>359.80204605789999</c:v>
                      </c:pt>
                      <c:pt idx="32">
                        <c:v>364.57068498799998</c:v>
                      </c:pt>
                      <c:pt idx="33">
                        <c:v>369.41083531390001</c:v>
                      </c:pt>
                      <c:pt idx="34">
                        <c:v>374.32474532200001</c:v>
                      </c:pt>
                      <c:pt idx="35">
                        <c:v>379.31355715259997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775-4A82-96A0-76304CD4EC78}"/>
                  </c:ext>
                </c:extLst>
              </c15:ser>
            </c15:filteredLineSeries>
          </c:ext>
        </c:extLst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Consommation énergétique (Mtep)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Données!$B$473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Données!$C$473:$AL$473</c:f>
              <c:numCache>
                <c:formatCode>0.0%</c:formatCode>
                <c:ptCount val="36"/>
                <c:pt idx="0">
                  <c:v>-1.0712166806890648E-3</c:v>
                </c:pt>
                <c:pt idx="1">
                  <c:v>-1.3863793990293088E-3</c:v>
                </c:pt>
                <c:pt idx="2">
                  <c:v>-1.5567991530889597E-3</c:v>
                </c:pt>
                <c:pt idx="3">
                  <c:v>-1.689069661604783E-3</c:v>
                </c:pt>
                <c:pt idx="4">
                  <c:v>-1.8038278687868348E-3</c:v>
                </c:pt>
                <c:pt idx="5">
                  <c:v>-1.9067910825906152E-3</c:v>
                </c:pt>
                <c:pt idx="6">
                  <c:v>-2.001375820823451E-3</c:v>
                </c:pt>
                <c:pt idx="7">
                  <c:v>-2.0890145811879065E-3</c:v>
                </c:pt>
                <c:pt idx="8">
                  <c:v>-2.171296181178211E-3</c:v>
                </c:pt>
                <c:pt idx="9">
                  <c:v>-2.2498288244720654E-3</c:v>
                </c:pt>
                <c:pt idx="10">
                  <c:v>-2.3267537413060018E-3</c:v>
                </c:pt>
                <c:pt idx="11">
                  <c:v>-2.4061018502714222E-3</c:v>
                </c:pt>
                <c:pt idx="12">
                  <c:v>-2.4862465270836663E-3</c:v>
                </c:pt>
                <c:pt idx="13">
                  <c:v>-2.5673387148415663E-3</c:v>
                </c:pt>
                <c:pt idx="14">
                  <c:v>-2.6496800328043055E-3</c:v>
                </c:pt>
                <c:pt idx="15">
                  <c:v>-2.733458570080477E-3</c:v>
                </c:pt>
                <c:pt idx="16">
                  <c:v>-2.8226682402826032E-3</c:v>
                </c:pt>
                <c:pt idx="17">
                  <c:v>-2.9140821785008605E-3</c:v>
                </c:pt>
                <c:pt idx="18">
                  <c:v>-3.0069620055044937E-3</c:v>
                </c:pt>
                <c:pt idx="19">
                  <c:v>-3.100989117102861E-3</c:v>
                </c:pt>
                <c:pt idx="20">
                  <c:v>-3.1954013724699343E-3</c:v>
                </c:pt>
                <c:pt idx="21">
                  <c:v>-3.2909322214469731E-3</c:v>
                </c:pt>
                <c:pt idx="22">
                  <c:v>-3.3868549480839923E-3</c:v>
                </c:pt>
                <c:pt idx="23">
                  <c:v>-3.4828891622092099E-3</c:v>
                </c:pt>
                <c:pt idx="24">
                  <c:v>-3.5788247436106067E-3</c:v>
                </c:pt>
                <c:pt idx="25">
                  <c:v>-3.6729265662319823E-3</c:v>
                </c:pt>
                <c:pt idx="26">
                  <c:v>-3.7660081411699038E-3</c:v>
                </c:pt>
                <c:pt idx="27">
                  <c:v>-3.8583133793135449E-3</c:v>
                </c:pt>
                <c:pt idx="28">
                  <c:v>-3.9497538546231356E-3</c:v>
                </c:pt>
                <c:pt idx="29">
                  <c:v>-4.0402076079370207E-3</c:v>
                </c:pt>
                <c:pt idx="30">
                  <c:v>-4.129557712242795E-3</c:v>
                </c:pt>
                <c:pt idx="31">
                  <c:v>-4.2169461883970263E-3</c:v>
                </c:pt>
                <c:pt idx="32">
                  <c:v>-4.3028739185076974E-3</c:v>
                </c:pt>
                <c:pt idx="33">
                  <c:v>-4.3873763982624978E-3</c:v>
                </c:pt>
                <c:pt idx="34">
                  <c:v>-4.4704197183910018E-3</c:v>
                </c:pt>
                <c:pt idx="35">
                  <c:v>-4.5519711225085729E-3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74-494A-BB6C-F115A0D57B8C}"/>
            </c:ext>
          </c:extLst>
        </c:ser>
        <c:ser>
          <c:idx val="2"/>
          <c:order val="2"/>
          <c:tx>
            <c:strRef>
              <c:f>Données!$B$474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Données!$C$474:$AL$474</c:f>
              <c:numCache>
                <c:formatCode>0.0%</c:formatCode>
                <c:ptCount val="36"/>
                <c:pt idx="0">
                  <c:v>-4.3359086396116209E-3</c:v>
                </c:pt>
                <c:pt idx="1">
                  <c:v>-6.1175441403423193E-3</c:v>
                </c:pt>
                <c:pt idx="2">
                  <c:v>-7.4700078681156686E-3</c:v>
                </c:pt>
                <c:pt idx="3">
                  <c:v>-8.6681314339727578E-3</c:v>
                </c:pt>
                <c:pt idx="4">
                  <c:v>-9.7168746949871185E-3</c:v>
                </c:pt>
                <c:pt idx="5">
                  <c:v>-1.0657608431910328E-2</c:v>
                </c:pt>
                <c:pt idx="6">
                  <c:v>-1.1522886979326288E-2</c:v>
                </c:pt>
                <c:pt idx="7">
                  <c:v>-1.2302704723070493E-2</c:v>
                </c:pt>
                <c:pt idx="8">
                  <c:v>-1.2986834313130144E-2</c:v>
                </c:pt>
                <c:pt idx="9">
                  <c:v>-1.3577464409970518E-2</c:v>
                </c:pt>
                <c:pt idx="10">
                  <c:v>-1.4086394721096705E-2</c:v>
                </c:pt>
                <c:pt idx="11">
                  <c:v>-1.4546797536052022E-2</c:v>
                </c:pt>
                <c:pt idx="12">
                  <c:v>-1.4963080211864013E-2</c:v>
                </c:pt>
                <c:pt idx="13">
                  <c:v>-1.5346170967980778E-2</c:v>
                </c:pt>
                <c:pt idx="14">
                  <c:v>-1.5706644719407185E-2</c:v>
                </c:pt>
                <c:pt idx="15">
                  <c:v>-1.6052894572506839E-2</c:v>
                </c:pt>
                <c:pt idx="16">
                  <c:v>-1.6407558361863091E-2</c:v>
                </c:pt>
                <c:pt idx="17">
                  <c:v>-1.6763821599105326E-2</c:v>
                </c:pt>
                <c:pt idx="18">
                  <c:v>-1.7122838343402443E-2</c:v>
                </c:pt>
                <c:pt idx="19">
                  <c:v>-1.7486337087684184E-2</c:v>
                </c:pt>
                <c:pt idx="20">
                  <c:v>-1.7855812142036801E-2</c:v>
                </c:pt>
                <c:pt idx="21">
                  <c:v>-1.8231526312824563E-2</c:v>
                </c:pt>
                <c:pt idx="22">
                  <c:v>-1.8613851363313207E-2</c:v>
                </c:pt>
                <c:pt idx="23">
                  <c:v>-1.9003263938192558E-2</c:v>
                </c:pt>
                <c:pt idx="24">
                  <c:v>-1.9399743147644036E-2</c:v>
                </c:pt>
                <c:pt idx="25">
                  <c:v>-1.9802791684687984E-2</c:v>
                </c:pt>
                <c:pt idx="26">
                  <c:v>-2.0205601411058996E-2</c:v>
                </c:pt>
                <c:pt idx="27">
                  <c:v>-2.0610599325537236E-2</c:v>
                </c:pt>
                <c:pt idx="28">
                  <c:v>-2.1017926186973047E-2</c:v>
                </c:pt>
                <c:pt idx="29">
                  <c:v>-2.142700852361815E-2</c:v>
                </c:pt>
                <c:pt idx="30">
                  <c:v>-2.1837416307145217E-2</c:v>
                </c:pt>
                <c:pt idx="31">
                  <c:v>-2.2245281142136749E-2</c:v>
                </c:pt>
                <c:pt idx="32">
                  <c:v>-2.2651741694338978E-2</c:v>
                </c:pt>
                <c:pt idx="33">
                  <c:v>-2.3056130580104122E-2</c:v>
                </c:pt>
                <c:pt idx="34">
                  <c:v>-2.3457583486754342E-2</c:v>
                </c:pt>
                <c:pt idx="35">
                  <c:v>-2.3855386457618227E-2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74-494A-BB6C-F115A0D57B8C}"/>
            </c:ext>
          </c:extLst>
        </c:ser>
        <c:ser>
          <c:idx val="3"/>
          <c:order val="3"/>
          <c:tx>
            <c:strRef>
              <c:f>Données!$B$475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Données!$C$475:$AL$475</c:f>
              <c:numCache>
                <c:formatCode>0.0%</c:formatCode>
                <c:ptCount val="36"/>
                <c:pt idx="0">
                  <c:v>-3.145522240174023E-3</c:v>
                </c:pt>
                <c:pt idx="1">
                  <c:v>-4.4380432234045562E-3</c:v>
                </c:pt>
                <c:pt idx="2">
                  <c:v>-5.3672007952593427E-3</c:v>
                </c:pt>
                <c:pt idx="3">
                  <c:v>-6.1272965135809321E-3</c:v>
                </c:pt>
                <c:pt idx="4">
                  <c:v>-6.721889150442615E-3</c:v>
                </c:pt>
                <c:pt idx="5">
                  <c:v>-7.248255308339965E-3</c:v>
                </c:pt>
                <c:pt idx="6">
                  <c:v>-7.7725615425076576E-3</c:v>
                </c:pt>
                <c:pt idx="7">
                  <c:v>-8.261728087201237E-3</c:v>
                </c:pt>
                <c:pt idx="8">
                  <c:v>-8.6981020546344646E-3</c:v>
                </c:pt>
                <c:pt idx="9">
                  <c:v>-9.0779808182578289E-3</c:v>
                </c:pt>
                <c:pt idx="10">
                  <c:v>-9.4082826458813749E-3</c:v>
                </c:pt>
                <c:pt idx="11">
                  <c:v>-9.7066431389659733E-3</c:v>
                </c:pt>
                <c:pt idx="12">
                  <c:v>-9.9761904241429718E-3</c:v>
                </c:pt>
                <c:pt idx="13">
                  <c:v>-1.0224470792326279E-2</c:v>
                </c:pt>
                <c:pt idx="14">
                  <c:v>-1.0460666525807343E-2</c:v>
                </c:pt>
                <c:pt idx="15">
                  <c:v>-1.0690973937312371E-2</c:v>
                </c:pt>
                <c:pt idx="16">
                  <c:v>-1.0930656170543984E-2</c:v>
                </c:pt>
                <c:pt idx="17">
                  <c:v>-1.1174343107774288E-2</c:v>
                </c:pt>
                <c:pt idx="18">
                  <c:v>-1.1422419414175638E-2</c:v>
                </c:pt>
                <c:pt idx="19">
                  <c:v>-1.1675590291795197E-2</c:v>
                </c:pt>
                <c:pt idx="20">
                  <c:v>-1.1932925867998172E-2</c:v>
                </c:pt>
                <c:pt idx="21">
                  <c:v>-1.2196591148882795E-2</c:v>
                </c:pt>
                <c:pt idx="22">
                  <c:v>-1.2465339064603786E-2</c:v>
                </c:pt>
                <c:pt idx="23">
                  <c:v>-1.2738758955971815E-2</c:v>
                </c:pt>
                <c:pt idx="24">
                  <c:v>-1.3016317449509528E-2</c:v>
                </c:pt>
                <c:pt idx="25">
                  <c:v>-1.3293458722957232E-2</c:v>
                </c:pt>
                <c:pt idx="26">
                  <c:v>-1.3570495784368742E-2</c:v>
                </c:pt>
                <c:pt idx="27">
                  <c:v>-1.3847845318216275E-2</c:v>
                </c:pt>
                <c:pt idx="28">
                  <c:v>-1.4125006792792924E-2</c:v>
                </c:pt>
                <c:pt idx="29">
                  <c:v>-1.4400604127762602E-2</c:v>
                </c:pt>
                <c:pt idx="30">
                  <c:v>-1.467451228534431E-2</c:v>
                </c:pt>
                <c:pt idx="31">
                  <c:v>-1.4944177265657598E-2</c:v>
                </c:pt>
                <c:pt idx="32">
                  <c:v>-1.5210440366279157E-2</c:v>
                </c:pt>
                <c:pt idx="33">
                  <c:v>-1.5472792918081337E-2</c:v>
                </c:pt>
                <c:pt idx="34">
                  <c:v>-1.5730585558442561E-2</c:v>
                </c:pt>
                <c:pt idx="35">
                  <c:v>-1.5983275017862231E-2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74-494A-BB6C-F115A0D57B8C}"/>
            </c:ext>
          </c:extLst>
        </c:ser>
        <c:ser>
          <c:idx val="4"/>
          <c:order val="4"/>
          <c:tx>
            <c:strRef>
              <c:f>Données!$B$476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Données!$C$476:$AL$476</c:f>
              <c:numCache>
                <c:formatCode>0.0%</c:formatCode>
                <c:ptCount val="36"/>
                <c:pt idx="0">
                  <c:v>-3.3439331426400216E-3</c:v>
                </c:pt>
                <c:pt idx="1">
                  <c:v>-4.6735555210628988E-3</c:v>
                </c:pt>
                <c:pt idx="2">
                  <c:v>-5.5358995285262466E-3</c:v>
                </c:pt>
                <c:pt idx="3">
                  <c:v>-6.1570789093106596E-3</c:v>
                </c:pt>
                <c:pt idx="4">
                  <c:v>-6.5733650012484608E-3</c:v>
                </c:pt>
                <c:pt idx="5">
                  <c:v>-6.8738988538459625E-3</c:v>
                </c:pt>
                <c:pt idx="6">
                  <c:v>-7.1281908996468921E-3</c:v>
                </c:pt>
                <c:pt idx="7">
                  <c:v>-7.347525337824061E-3</c:v>
                </c:pt>
                <c:pt idx="8">
                  <c:v>-7.5213899143411799E-3</c:v>
                </c:pt>
                <c:pt idx="9">
                  <c:v>-7.6484229119437247E-3</c:v>
                </c:pt>
                <c:pt idx="10">
                  <c:v>-7.7403057745110658E-3</c:v>
                </c:pt>
                <c:pt idx="11">
                  <c:v>-7.8222273934234216E-3</c:v>
                </c:pt>
                <c:pt idx="12">
                  <c:v>-7.8997053097035232E-3</c:v>
                </c:pt>
                <c:pt idx="13">
                  <c:v>-7.9817643624247921E-3</c:v>
                </c:pt>
                <c:pt idx="14">
                  <c:v>-8.0756687326968713E-3</c:v>
                </c:pt>
                <c:pt idx="15">
                  <c:v>-8.1863556343535829E-3</c:v>
                </c:pt>
                <c:pt idx="16">
                  <c:v>-8.3290918316568513E-3</c:v>
                </c:pt>
                <c:pt idx="17">
                  <c:v>-8.4966438641827045E-3</c:v>
                </c:pt>
                <c:pt idx="18">
                  <c:v>-8.6875098858779313E-3</c:v>
                </c:pt>
                <c:pt idx="19">
                  <c:v>-8.9005122862020891E-3</c:v>
                </c:pt>
                <c:pt idx="20">
                  <c:v>-9.1335808209968075E-3</c:v>
                </c:pt>
                <c:pt idx="21">
                  <c:v>-9.3857161874024136E-3</c:v>
                </c:pt>
                <c:pt idx="22">
                  <c:v>-9.6544646151938505E-3</c:v>
                </c:pt>
                <c:pt idx="23">
                  <c:v>-9.9378037348286357E-3</c:v>
                </c:pt>
                <c:pt idx="24">
                  <c:v>-1.0233536868660287E-2</c:v>
                </c:pt>
                <c:pt idx="25">
                  <c:v>-1.053755299359398E-2</c:v>
                </c:pt>
                <c:pt idx="26">
                  <c:v>-1.0845551369412808E-2</c:v>
                </c:pt>
                <c:pt idx="27">
                  <c:v>-1.1157728822766952E-2</c:v>
                </c:pt>
                <c:pt idx="28">
                  <c:v>-1.1472924310173577E-2</c:v>
                </c:pt>
                <c:pt idx="29">
                  <c:v>-1.1789868601177863E-2</c:v>
                </c:pt>
                <c:pt idx="30">
                  <c:v>-1.2107224435649823E-2</c:v>
                </c:pt>
                <c:pt idx="31">
                  <c:v>-1.2421235710999208E-2</c:v>
                </c:pt>
                <c:pt idx="32">
                  <c:v>-1.2731948613369803E-2</c:v>
                </c:pt>
                <c:pt idx="33">
                  <c:v>-1.3038118587778855E-2</c:v>
                </c:pt>
                <c:pt idx="34">
                  <c:v>-1.3338442280458468E-2</c:v>
                </c:pt>
                <c:pt idx="35">
                  <c:v>-1.3631849353192303E-2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74-494A-BB6C-F115A0D57B8C}"/>
            </c:ext>
          </c:extLst>
        </c:ser>
        <c:ser>
          <c:idx val="5"/>
          <c:order val="5"/>
          <c:tx>
            <c:strRef>
              <c:f>Données!$B$477</c:f>
              <c:strCache>
                <c:ptCount val="1"/>
                <c:pt idx="0">
                  <c:v>Autre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Données!$C$477:$AL$477</c:f>
              <c:numCache>
                <c:formatCode>0.0%</c:formatCode>
                <c:ptCount val="36"/>
                <c:pt idx="0">
                  <c:v>-2.4575698747142066E-3</c:v>
                </c:pt>
                <c:pt idx="1">
                  <c:v>-3.1414602054715638E-3</c:v>
                </c:pt>
                <c:pt idx="2">
                  <c:v>-3.5237966532561714E-3</c:v>
                </c:pt>
                <c:pt idx="3">
                  <c:v>-3.8137921664447749E-3</c:v>
                </c:pt>
                <c:pt idx="4">
                  <c:v>-4.042470813443568E-3</c:v>
                </c:pt>
                <c:pt idx="5">
                  <c:v>-4.2090762733945214E-3</c:v>
                </c:pt>
                <c:pt idx="6">
                  <c:v>-4.3393805480052648E-3</c:v>
                </c:pt>
                <c:pt idx="7">
                  <c:v>-4.4647586818593E-3</c:v>
                </c:pt>
                <c:pt idx="8">
                  <c:v>-4.5876054089247897E-3</c:v>
                </c:pt>
                <c:pt idx="9">
                  <c:v>-4.7056572026387506E-3</c:v>
                </c:pt>
                <c:pt idx="10">
                  <c:v>-4.8205667173494638E-3</c:v>
                </c:pt>
                <c:pt idx="11">
                  <c:v>-4.9399163290364785E-3</c:v>
                </c:pt>
                <c:pt idx="12">
                  <c:v>-5.060151856011887E-3</c:v>
                </c:pt>
                <c:pt idx="13">
                  <c:v>-5.1824734280807522E-3</c:v>
                </c:pt>
                <c:pt idx="14">
                  <c:v>-5.3084365881804528E-3</c:v>
                </c:pt>
                <c:pt idx="15">
                  <c:v>-5.439232666032752E-3</c:v>
                </c:pt>
                <c:pt idx="16">
                  <c:v>-5.584773683613594E-3</c:v>
                </c:pt>
                <c:pt idx="17">
                  <c:v>-5.7380653749817762E-3</c:v>
                </c:pt>
                <c:pt idx="18">
                  <c:v>-5.8979606756758233E-3</c:v>
                </c:pt>
                <c:pt idx="19">
                  <c:v>-6.0639279558015553E-3</c:v>
                </c:pt>
                <c:pt idx="20">
                  <c:v>-6.2340170474994875E-3</c:v>
                </c:pt>
                <c:pt idx="21">
                  <c:v>-6.4103037128828786E-3</c:v>
                </c:pt>
                <c:pt idx="22">
                  <c:v>-6.5908217988289997E-3</c:v>
                </c:pt>
                <c:pt idx="23">
                  <c:v>-6.7748264312519789E-3</c:v>
                </c:pt>
                <c:pt idx="24">
                  <c:v>-6.9616675429014421E-3</c:v>
                </c:pt>
                <c:pt idx="25">
                  <c:v>-7.1463747112163519E-3</c:v>
                </c:pt>
                <c:pt idx="26">
                  <c:v>-7.3317391189535661E-3</c:v>
                </c:pt>
                <c:pt idx="27">
                  <c:v>-7.5178780143961748E-3</c:v>
                </c:pt>
                <c:pt idx="28">
                  <c:v>-7.704505555485788E-3</c:v>
                </c:pt>
                <c:pt idx="29">
                  <c:v>-7.8912416769208807E-3</c:v>
                </c:pt>
                <c:pt idx="30">
                  <c:v>-8.0778262587308768E-3</c:v>
                </c:pt>
                <c:pt idx="31">
                  <c:v>-8.2622045297329558E-3</c:v>
                </c:pt>
                <c:pt idx="32">
                  <c:v>-8.4454334958233377E-3</c:v>
                </c:pt>
                <c:pt idx="33">
                  <c:v>-8.6273952890620117E-3</c:v>
                </c:pt>
                <c:pt idx="34">
                  <c:v>-8.8078287734777005E-3</c:v>
                </c:pt>
                <c:pt idx="35">
                  <c:v>-8.9865028637338643E-3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74-494A-BB6C-F115A0D57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4799288"/>
        <c:axId val="724799616"/>
      </c:barChart>
      <c:lineChart>
        <c:grouping val="standard"/>
        <c:varyColors val="0"/>
        <c:ser>
          <c:idx val="0"/>
          <c:order val="0"/>
          <c:tx>
            <c:strRef>
              <c:f>Données!$B$472</c:f>
              <c:strCache>
                <c:ptCount val="1"/>
                <c:pt idx="0">
                  <c:v>Consommation énergétique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Données!$C$472:$AL$472</c:f>
              <c:numCache>
                <c:formatCode>0.0%</c:formatCode>
                <c:ptCount val="36"/>
                <c:pt idx="0">
                  <c:v>-1.4354150585221603E-2</c:v>
                </c:pt>
                <c:pt idx="1">
                  <c:v>-1.9756982496042075E-2</c:v>
                </c:pt>
                <c:pt idx="2">
                  <c:v>-2.3453703941677451E-2</c:v>
                </c:pt>
                <c:pt idx="3">
                  <c:v>-2.6455368735066931E-2</c:v>
                </c:pt>
                <c:pt idx="4">
                  <c:v>-2.8858427273428577E-2</c:v>
                </c:pt>
                <c:pt idx="5">
                  <c:v>-3.0895629592729401E-2</c:v>
                </c:pt>
                <c:pt idx="6">
                  <c:v>-3.276439582507451E-2</c:v>
                </c:pt>
                <c:pt idx="7">
                  <c:v>-3.4465731669093613E-2</c:v>
                </c:pt>
                <c:pt idx="8">
                  <c:v>-3.5965227836387781E-2</c:v>
                </c:pt>
                <c:pt idx="9">
                  <c:v>-3.7259354055783067E-2</c:v>
                </c:pt>
                <c:pt idx="10">
                  <c:v>-3.8382303426024555E-2</c:v>
                </c:pt>
                <c:pt idx="11">
                  <c:v>-3.9421686265640909E-2</c:v>
                </c:pt>
                <c:pt idx="12">
                  <c:v>-4.0385374088252601E-2</c:v>
                </c:pt>
                <c:pt idx="13">
                  <c:v>-4.1302218192908469E-2</c:v>
                </c:pt>
                <c:pt idx="14">
                  <c:v>-4.2201096446873976E-2</c:v>
                </c:pt>
                <c:pt idx="15">
                  <c:v>-4.3102915529051433E-2</c:v>
                </c:pt>
                <c:pt idx="16">
                  <c:v>-4.4074748482753945E-2</c:v>
                </c:pt>
                <c:pt idx="17">
                  <c:v>-4.5086956003590584E-2</c:v>
                </c:pt>
                <c:pt idx="18">
                  <c:v>-4.6137690388346586E-2</c:v>
                </c:pt>
                <c:pt idx="19">
                  <c:v>-4.7227356685296984E-2</c:v>
                </c:pt>
                <c:pt idx="20">
                  <c:v>-4.8351737228686575E-2</c:v>
                </c:pt>
                <c:pt idx="21">
                  <c:v>-4.9515069660718058E-2</c:v>
                </c:pt>
                <c:pt idx="22">
                  <c:v>-5.0711331786052027E-2</c:v>
                </c:pt>
                <c:pt idx="23">
                  <c:v>-5.1937542272062487E-2</c:v>
                </c:pt>
                <c:pt idx="24">
                  <c:v>-5.3190089326190959E-2</c:v>
                </c:pt>
                <c:pt idx="25">
                  <c:v>-5.4453104431276933E-2</c:v>
                </c:pt>
                <c:pt idx="26">
                  <c:v>-5.5719396022808954E-2</c:v>
                </c:pt>
                <c:pt idx="27">
                  <c:v>-5.6992364831900288E-2</c:v>
                </c:pt>
                <c:pt idx="28">
                  <c:v>-5.8270116838938235E-2</c:v>
                </c:pt>
                <c:pt idx="29">
                  <c:v>-5.9548930177544701E-2</c:v>
                </c:pt>
                <c:pt idx="30">
                  <c:v>-6.0826536952325871E-2</c:v>
                </c:pt>
                <c:pt idx="31">
                  <c:v>-6.2089844701099461E-2</c:v>
                </c:pt>
                <c:pt idx="32">
                  <c:v>-6.3342438057279793E-2</c:v>
                </c:pt>
                <c:pt idx="33">
                  <c:v>-6.4581813665047449E-2</c:v>
                </c:pt>
                <c:pt idx="34">
                  <c:v>-6.5804859736812271E-2</c:v>
                </c:pt>
                <c:pt idx="35">
                  <c:v>-6.7008984555967155E-2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74-494A-BB6C-F115A0D57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799288"/>
        <c:axId val="724799616"/>
      </c:lineChart>
      <c:dateAx>
        <c:axId val="724799288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616"/>
        <c:crosses val="autoZero"/>
        <c:auto val="1"/>
        <c:lblOffset val="100"/>
        <c:baseTimeUnit val="years"/>
        <c:majorUnit val="5"/>
        <c:majorTimeUnit val="years"/>
      </c:dateAx>
      <c:valAx>
        <c:axId val="72479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5.9274551549754362E-2"/>
          <c:y val="0.83157658690065972"/>
          <c:w val="0.91015582410303764"/>
          <c:h val="0.155849883942365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Marianne Light" panose="02000000000000000000" pitchFamily="50" charset="0"/>
        </a:defRPr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Net energy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Données!$B$527</c:f>
              <c:strCache>
                <c:ptCount val="1"/>
                <c:pt idx="0">
                  <c:v>Households' consumption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Données!$C$525:$AL$525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Données!$C$527:$AL$527</c:f>
              <c:numCache>
                <c:formatCode>0%</c:formatCode>
                <c:ptCount val="36"/>
                <c:pt idx="0">
                  <c:v>0</c:v>
                </c:pt>
                <c:pt idx="1">
                  <c:v>-1.6850555324975715E-4</c:v>
                </c:pt>
                <c:pt idx="2">
                  <c:v>-3.9780513124487195E-4</c:v>
                </c:pt>
                <c:pt idx="3">
                  <c:v>-6.1516410864424981E-4</c:v>
                </c:pt>
                <c:pt idx="4">
                  <c:v>-7.2653354202427899E-4</c:v>
                </c:pt>
                <c:pt idx="5">
                  <c:v>-9.2000552617571823E-4</c:v>
                </c:pt>
                <c:pt idx="6">
                  <c:v>-1.3282887903753641E-3</c:v>
                </c:pt>
                <c:pt idx="7">
                  <c:v>-1.8717579490070597E-3</c:v>
                </c:pt>
                <c:pt idx="8">
                  <c:v>-2.4291632623239558E-3</c:v>
                </c:pt>
                <c:pt idx="9">
                  <c:v>-2.9241060281301056E-3</c:v>
                </c:pt>
                <c:pt idx="10">
                  <c:v>-3.3276392373749533E-3</c:v>
                </c:pt>
                <c:pt idx="11">
                  <c:v>-3.6443995336630304E-3</c:v>
                </c:pt>
                <c:pt idx="12">
                  <c:v>-3.8853026899994818E-3</c:v>
                </c:pt>
                <c:pt idx="13">
                  <c:v>-4.0652533641197123E-3</c:v>
                </c:pt>
                <c:pt idx="14">
                  <c:v>-4.2016021950751631E-3</c:v>
                </c:pt>
                <c:pt idx="15">
                  <c:v>-4.3074700261247637E-3</c:v>
                </c:pt>
                <c:pt idx="16">
                  <c:v>-4.3927526024424212E-3</c:v>
                </c:pt>
                <c:pt idx="17">
                  <c:v>-4.4649704424473101E-3</c:v>
                </c:pt>
                <c:pt idx="18">
                  <c:v>-4.5298009282435173E-3</c:v>
                </c:pt>
                <c:pt idx="19">
                  <c:v>-4.5916541406564723E-3</c:v>
                </c:pt>
                <c:pt idx="20">
                  <c:v>-4.6563805033058153E-3</c:v>
                </c:pt>
                <c:pt idx="21">
                  <c:v>-4.7231759773482644E-3</c:v>
                </c:pt>
                <c:pt idx="22">
                  <c:v>-4.7961573742656659E-3</c:v>
                </c:pt>
                <c:pt idx="23">
                  <c:v>-4.8773453203433655E-3</c:v>
                </c:pt>
                <c:pt idx="24">
                  <c:v>-4.9676737858417638E-3</c:v>
                </c:pt>
                <c:pt idx="25">
                  <c:v>-5.0741366282541197E-3</c:v>
                </c:pt>
                <c:pt idx="26">
                  <c:v>-5.1882318639845685E-3</c:v>
                </c:pt>
                <c:pt idx="27">
                  <c:v>-5.3124979567924779E-3</c:v>
                </c:pt>
                <c:pt idx="28">
                  <c:v>-5.4475431343494847E-3</c:v>
                </c:pt>
                <c:pt idx="29">
                  <c:v>-5.5920598262064383E-3</c:v>
                </c:pt>
                <c:pt idx="30">
                  <c:v>-5.7460071816925482E-3</c:v>
                </c:pt>
                <c:pt idx="31">
                  <c:v>-5.9078870858858086E-3</c:v>
                </c:pt>
                <c:pt idx="32">
                  <c:v>-6.0752085156344547E-3</c:v>
                </c:pt>
                <c:pt idx="33">
                  <c:v>-6.2450314828190511E-3</c:v>
                </c:pt>
                <c:pt idx="34">
                  <c:v>-6.4144604723082024E-3</c:v>
                </c:pt>
                <c:pt idx="35">
                  <c:v>-6.5810588421804563E-3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2D-49AA-BF88-C168E58AAE98}"/>
            </c:ext>
          </c:extLst>
        </c:ser>
        <c:ser>
          <c:idx val="2"/>
          <c:order val="2"/>
          <c:tx>
            <c:strRef>
              <c:f>Données!$B$528</c:f>
              <c:strCache>
                <c:ptCount val="1"/>
                <c:pt idx="0">
                  <c:v>Firms' consumption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Données!$C$525:$AL$525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Données!$C$528:$AL$528</c:f>
              <c:numCache>
                <c:formatCode>0%</c:formatCode>
                <c:ptCount val="36"/>
                <c:pt idx="0">
                  <c:v>-3.1123610583912879E-2</c:v>
                </c:pt>
                <c:pt idx="1">
                  <c:v>-4.1898660761611646E-2</c:v>
                </c:pt>
                <c:pt idx="2">
                  <c:v>-4.8570095612926092E-2</c:v>
                </c:pt>
                <c:pt idx="3">
                  <c:v>-5.3908371714051745E-2</c:v>
                </c:pt>
                <c:pt idx="4">
                  <c:v>-5.8365015961631239E-2</c:v>
                </c:pt>
                <c:pt idx="5">
                  <c:v>-6.2090503421624706E-2</c:v>
                </c:pt>
                <c:pt idx="6">
                  <c:v>-6.5261640483934041E-2</c:v>
                </c:pt>
                <c:pt idx="7">
                  <c:v>-6.7991042740022101E-2</c:v>
                </c:pt>
                <c:pt idx="8">
                  <c:v>-7.0370266463256281E-2</c:v>
                </c:pt>
                <c:pt idx="9">
                  <c:v>-7.2479861347760396E-2</c:v>
                </c:pt>
                <c:pt idx="10">
                  <c:v>-7.4404326345877611E-2</c:v>
                </c:pt>
                <c:pt idx="11">
                  <c:v>-7.6318499824809635E-2</c:v>
                </c:pt>
                <c:pt idx="12">
                  <c:v>-7.8190430978687067E-2</c:v>
                </c:pt>
                <c:pt idx="13">
                  <c:v>-8.0047714674486015E-2</c:v>
                </c:pt>
                <c:pt idx="14">
                  <c:v>-8.191751051954306E-2</c:v>
                </c:pt>
                <c:pt idx="15">
                  <c:v>-8.3819739123045925E-2</c:v>
                </c:pt>
                <c:pt idx="16">
                  <c:v>-8.588090763594354E-2</c:v>
                </c:pt>
                <c:pt idx="17">
                  <c:v>-8.8022303660729107E-2</c:v>
                </c:pt>
                <c:pt idx="18">
                  <c:v>-9.0229564013908303E-2</c:v>
                </c:pt>
                <c:pt idx="19">
                  <c:v>-9.2497654964265916E-2</c:v>
                </c:pt>
                <c:pt idx="20">
                  <c:v>-9.4814952090371371E-2</c:v>
                </c:pt>
                <c:pt idx="21">
                  <c:v>-9.7181334266691843E-2</c:v>
                </c:pt>
                <c:pt idx="22">
                  <c:v>-9.9590572499084096E-2</c:v>
                </c:pt>
                <c:pt idx="23">
                  <c:v>-0.10203390999396553</c:v>
                </c:pt>
                <c:pt idx="24">
                  <c:v>-0.1045044091056673</c:v>
                </c:pt>
                <c:pt idx="25">
                  <c:v>-0.10697424548437577</c:v>
                </c:pt>
                <c:pt idx="26">
                  <c:v>-0.10941008425891112</c:v>
                </c:pt>
                <c:pt idx="27">
                  <c:v>-0.11183959976578059</c:v>
                </c:pt>
                <c:pt idx="28">
                  <c:v>-0.11425839391575948</c:v>
                </c:pt>
                <c:pt idx="29">
                  <c:v>-0.11666204203968657</c:v>
                </c:pt>
                <c:pt idx="30">
                  <c:v>-0.11904713379296751</c:v>
                </c:pt>
                <c:pt idx="31">
                  <c:v>-0.1213891716427546</c:v>
                </c:pt>
                <c:pt idx="32">
                  <c:v>-0.12370156761759567</c:v>
                </c:pt>
                <c:pt idx="33">
                  <c:v>-0.12598508578126535</c:v>
                </c:pt>
                <c:pt idx="34">
                  <c:v>-0.12823861557466174</c:v>
                </c:pt>
                <c:pt idx="35">
                  <c:v>-0.13046116789214038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2D-49AA-BF88-C168E58AAE98}"/>
            </c:ext>
          </c:extLst>
        </c:ser>
        <c:ser>
          <c:idx val="3"/>
          <c:order val="3"/>
          <c:tx>
            <c:strRef>
              <c:f>Données!$B$529</c:f>
              <c:strCache>
                <c:ptCount val="1"/>
                <c:pt idx="0">
                  <c:v>Net exports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Données!$C$525:$AL$525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Données!$C$529:$AL$529</c:f>
              <c:numCache>
                <c:formatCode>0%</c:formatCode>
                <c:ptCount val="36"/>
                <c:pt idx="0">
                  <c:v>9.6122856580074696E-3</c:v>
                </c:pt>
                <c:pt idx="1">
                  <c:v>1.5751228109306452E-2</c:v>
                </c:pt>
                <c:pt idx="2">
                  <c:v>1.9355164003776865E-2</c:v>
                </c:pt>
                <c:pt idx="3">
                  <c:v>2.2243672090293529E-2</c:v>
                </c:pt>
                <c:pt idx="4">
                  <c:v>2.464687690534131E-2</c:v>
                </c:pt>
                <c:pt idx="5">
                  <c:v>2.6726087793252251E-2</c:v>
                </c:pt>
                <c:pt idx="6">
                  <c:v>2.8611646668769915E-2</c:v>
                </c:pt>
                <c:pt idx="7">
                  <c:v>3.0296219184888912E-2</c:v>
                </c:pt>
                <c:pt idx="8">
                  <c:v>3.1770501544549537E-2</c:v>
                </c:pt>
                <c:pt idx="9">
                  <c:v>3.304405667363846E-2</c:v>
                </c:pt>
                <c:pt idx="10">
                  <c:v>3.4139615575473188E-2</c:v>
                </c:pt>
                <c:pt idx="11">
                  <c:v>3.5146331517312605E-2</c:v>
                </c:pt>
                <c:pt idx="12">
                  <c:v>3.6068052167733317E-2</c:v>
                </c:pt>
                <c:pt idx="13">
                  <c:v>3.692687407175578E-2</c:v>
                </c:pt>
                <c:pt idx="14">
                  <c:v>3.7747720383181534E-2</c:v>
                </c:pt>
                <c:pt idx="15">
                  <c:v>3.854970049960664E-2</c:v>
                </c:pt>
                <c:pt idx="16">
                  <c:v>3.9381394321949724E-2</c:v>
                </c:pt>
                <c:pt idx="17">
                  <c:v>4.0235807961770668E-2</c:v>
                </c:pt>
                <c:pt idx="18">
                  <c:v>4.1108423235703774E-2</c:v>
                </c:pt>
                <c:pt idx="19">
                  <c:v>4.2000655629041282E-2</c:v>
                </c:pt>
                <c:pt idx="20">
                  <c:v>4.291846876900187E-2</c:v>
                </c:pt>
                <c:pt idx="21">
                  <c:v>4.3845812853574466E-2</c:v>
                </c:pt>
                <c:pt idx="22">
                  <c:v>4.4795263576900758E-2</c:v>
                </c:pt>
                <c:pt idx="23">
                  <c:v>4.5763413740955439E-2</c:v>
                </c:pt>
                <c:pt idx="24">
                  <c:v>4.6748258886288051E-2</c:v>
                </c:pt>
                <c:pt idx="25">
                  <c:v>4.7761461093794214E-2</c:v>
                </c:pt>
                <c:pt idx="26">
                  <c:v>4.8747881589494925E-2</c:v>
                </c:pt>
                <c:pt idx="27">
                  <c:v>4.9735666802197237E-2</c:v>
                </c:pt>
                <c:pt idx="28">
                  <c:v>5.0722632991174521E-2</c:v>
                </c:pt>
                <c:pt idx="29">
                  <c:v>5.1706056383507323E-2</c:v>
                </c:pt>
                <c:pt idx="30">
                  <c:v>5.2684898147994035E-2</c:v>
                </c:pt>
                <c:pt idx="31">
                  <c:v>5.3651087119701416E-2</c:v>
                </c:pt>
                <c:pt idx="32">
                  <c:v>5.4605717049798816E-2</c:v>
                </c:pt>
                <c:pt idx="33">
                  <c:v>5.5548685361157091E-2</c:v>
                </c:pt>
                <c:pt idx="34">
                  <c:v>5.6478495512772273E-2</c:v>
                </c:pt>
                <c:pt idx="35">
                  <c:v>5.7393771419295352E-2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2D-49AA-BF88-C168E58AA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78449744"/>
        <c:axId val="778454336"/>
      </c:barChart>
      <c:lineChart>
        <c:grouping val="standard"/>
        <c:varyColors val="0"/>
        <c:ser>
          <c:idx val="0"/>
          <c:order val="0"/>
          <c:tx>
            <c:strRef>
              <c:f>Données!$B$526</c:f>
              <c:strCache>
                <c:ptCount val="1"/>
                <c:pt idx="0">
                  <c:v>Net production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Données!$C$525:$AL$525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Données!$C$526:$AL$526</c:f>
              <c:numCache>
                <c:formatCode>0%</c:formatCode>
                <c:ptCount val="36"/>
                <c:pt idx="0">
                  <c:v>-2.1511324854274649E-2</c:v>
                </c:pt>
                <c:pt idx="1">
                  <c:v>-2.6315938205555112E-2</c:v>
                </c:pt>
                <c:pt idx="2">
                  <c:v>-2.9612737869137207E-2</c:v>
                </c:pt>
                <c:pt idx="3">
                  <c:v>-3.2279863942403231E-2</c:v>
                </c:pt>
                <c:pt idx="4">
                  <c:v>-3.4444672459502335E-2</c:v>
                </c:pt>
                <c:pt idx="5">
                  <c:v>-3.62844208107439E-2</c:v>
                </c:pt>
                <c:pt idx="6">
                  <c:v>-3.7978283422851256E-2</c:v>
                </c:pt>
                <c:pt idx="7">
                  <c:v>-3.9566581504140497E-2</c:v>
                </c:pt>
                <c:pt idx="8">
                  <c:v>-4.1028928314527091E-2</c:v>
                </c:pt>
                <c:pt idx="9">
                  <c:v>-4.2359911032515241E-2</c:v>
                </c:pt>
                <c:pt idx="10">
                  <c:v>-4.3592350334257457E-2</c:v>
                </c:pt>
                <c:pt idx="11">
                  <c:v>-4.4816568164076198E-2</c:v>
                </c:pt>
                <c:pt idx="12">
                  <c:v>-4.6007681117653965E-2</c:v>
                </c:pt>
                <c:pt idx="13">
                  <c:v>-4.7186093714078337E-2</c:v>
                </c:pt>
                <c:pt idx="14">
                  <c:v>-4.8371392393948054E-2</c:v>
                </c:pt>
                <c:pt idx="15">
                  <c:v>-4.957750840220787E-2</c:v>
                </c:pt>
                <c:pt idx="16">
                  <c:v>-5.0892265977611317E-2</c:v>
                </c:pt>
                <c:pt idx="17">
                  <c:v>-5.2251466928158297E-2</c:v>
                </c:pt>
                <c:pt idx="18">
                  <c:v>-5.3650941886061343E-2</c:v>
                </c:pt>
                <c:pt idx="19">
                  <c:v>-5.5088653831260159E-2</c:v>
                </c:pt>
                <c:pt idx="20">
                  <c:v>-5.6552864235084543E-2</c:v>
                </c:pt>
                <c:pt idx="21">
                  <c:v>-5.8058697448476138E-2</c:v>
                </c:pt>
                <c:pt idx="22">
                  <c:v>-5.9591465722531045E-2</c:v>
                </c:pt>
                <c:pt idx="23">
                  <c:v>-6.1147840948819976E-2</c:v>
                </c:pt>
                <c:pt idx="24">
                  <c:v>-6.2723823668244361E-2</c:v>
                </c:pt>
                <c:pt idx="25">
                  <c:v>-6.428692090754895E-2</c:v>
                </c:pt>
                <c:pt idx="26">
                  <c:v>-6.5850433706840739E-2</c:v>
                </c:pt>
                <c:pt idx="27">
                  <c:v>-6.7416430320134779E-2</c:v>
                </c:pt>
                <c:pt idx="28">
                  <c:v>-6.8983303788763828E-2</c:v>
                </c:pt>
                <c:pt idx="29">
                  <c:v>-7.054804548238558E-2</c:v>
                </c:pt>
                <c:pt idx="30">
                  <c:v>-7.2108243144518247E-2</c:v>
                </c:pt>
                <c:pt idx="31">
                  <c:v>-7.3645971871182936E-2</c:v>
                </c:pt>
                <c:pt idx="32">
                  <c:v>-7.5171058927660406E-2</c:v>
                </c:pt>
                <c:pt idx="33">
                  <c:v>-7.6681432571126917E-2</c:v>
                </c:pt>
                <c:pt idx="34">
                  <c:v>-7.8174581093853113E-2</c:v>
                </c:pt>
                <c:pt idx="35">
                  <c:v>-7.9648455365382897E-2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2D-49AA-BF88-C168E58AA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8449744"/>
        <c:axId val="778454336"/>
      </c:lineChart>
      <c:dateAx>
        <c:axId val="77844974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78454336"/>
        <c:crosses val="autoZero"/>
        <c:auto val="1"/>
        <c:lblOffset val="100"/>
        <c:baseTimeUnit val="years"/>
        <c:majorUnit val="5"/>
        <c:majorTimeUnit val="years"/>
      </c:dateAx>
      <c:valAx>
        <c:axId val="77845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784497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Primary energy (Mtep)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Données!$B$507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Données!$C$507:$AL$507</c:f>
              <c:numCache>
                <c:formatCode>0.0%</c:formatCode>
                <c:ptCount val="36"/>
                <c:pt idx="0">
                  <c:v>-5.296217736689428E-4</c:v>
                </c:pt>
                <c:pt idx="1">
                  <c:v>-6.7320236183570053E-4</c:v>
                </c:pt>
                <c:pt idx="2">
                  <c:v>-7.4557236755296897E-4</c:v>
                </c:pt>
                <c:pt idx="3">
                  <c:v>-8.0363891573164879E-4</c:v>
                </c:pt>
                <c:pt idx="4">
                  <c:v>-8.5748252509986551E-4</c:v>
                </c:pt>
                <c:pt idx="5">
                  <c:v>-9.0935069957205324E-4</c:v>
                </c:pt>
                <c:pt idx="6">
                  <c:v>-9.5994637252742312E-4</c:v>
                </c:pt>
                <c:pt idx="7">
                  <c:v>-1.0085918968099025E-3</c:v>
                </c:pt>
                <c:pt idx="8">
                  <c:v>-1.0552705700363216E-3</c:v>
                </c:pt>
                <c:pt idx="9">
                  <c:v>-1.1002737523991193E-3</c:v>
                </c:pt>
                <c:pt idx="10">
                  <c:v>-1.1442136645156654E-3</c:v>
                </c:pt>
                <c:pt idx="11">
                  <c:v>-1.1890682363740789E-3</c:v>
                </c:pt>
                <c:pt idx="12">
                  <c:v>-1.2336739673047634E-3</c:v>
                </c:pt>
                <c:pt idx="13">
                  <c:v>-1.2780401597721393E-3</c:v>
                </c:pt>
                <c:pt idx="14">
                  <c:v>-1.3222992884453643E-3</c:v>
                </c:pt>
                <c:pt idx="15">
                  <c:v>-1.3665542274882074E-3</c:v>
                </c:pt>
                <c:pt idx="16">
                  <c:v>-1.4127982194806349E-3</c:v>
                </c:pt>
                <c:pt idx="17">
                  <c:v>-1.459443248104091E-3</c:v>
                </c:pt>
                <c:pt idx="18">
                  <c:v>-1.506171473585428E-3</c:v>
                </c:pt>
                <c:pt idx="19">
                  <c:v>-1.5528943364566726E-3</c:v>
                </c:pt>
                <c:pt idx="20">
                  <c:v>-1.5993881783455501E-3</c:v>
                </c:pt>
                <c:pt idx="21">
                  <c:v>-1.645880904352675E-3</c:v>
                </c:pt>
                <c:pt idx="22">
                  <c:v>-1.6922461983746838E-3</c:v>
                </c:pt>
                <c:pt idx="23">
                  <c:v>-1.738387793001031E-3</c:v>
                </c:pt>
                <c:pt idx="24">
                  <c:v>-1.7842601627991153E-3</c:v>
                </c:pt>
                <c:pt idx="25">
                  <c:v>-1.8293154304979563E-3</c:v>
                </c:pt>
                <c:pt idx="26">
                  <c:v>-1.8734570945726737E-3</c:v>
                </c:pt>
                <c:pt idx="27">
                  <c:v>-1.9171888268562048E-3</c:v>
                </c:pt>
                <c:pt idx="28">
                  <c:v>-1.9604789194458501E-3</c:v>
                </c:pt>
                <c:pt idx="29">
                  <c:v>-2.0032899731003227E-3</c:v>
                </c:pt>
                <c:pt idx="30">
                  <c:v>-2.0455909219592281E-3</c:v>
                </c:pt>
                <c:pt idx="31">
                  <c:v>-2.0869799772485144E-3</c:v>
                </c:pt>
                <c:pt idx="32">
                  <c:v>-2.1277317762309618E-3</c:v>
                </c:pt>
                <c:pt idx="33">
                  <c:v>-2.1678812820155329E-3</c:v>
                </c:pt>
                <c:pt idx="34">
                  <c:v>-2.2074235611680886E-3</c:v>
                </c:pt>
                <c:pt idx="35">
                  <c:v>-2.2463518834322941E-3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DB-4269-9B2A-85A0A366EDCC}"/>
            </c:ext>
          </c:extLst>
        </c:ser>
        <c:ser>
          <c:idx val="2"/>
          <c:order val="2"/>
          <c:tx>
            <c:strRef>
              <c:f>Données!$B$508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Données!$C$508:$AL$508</c:f>
              <c:numCache>
                <c:formatCode>0.0%</c:formatCode>
                <c:ptCount val="36"/>
                <c:pt idx="0">
                  <c:v>-0.45539388162039468</c:v>
                </c:pt>
                <c:pt idx="1">
                  <c:v>-8.9622503654168476E-3</c:v>
                </c:pt>
                <c:pt idx="2">
                  <c:v>-1.0201998588619374E-2</c:v>
                </c:pt>
                <c:pt idx="3">
                  <c:v>-1.1317934552117995E-2</c:v>
                </c:pt>
                <c:pt idx="4">
                  <c:v>-1.2330803023038581E-2</c:v>
                </c:pt>
                <c:pt idx="5">
                  <c:v>-1.3263360984464772E-2</c:v>
                </c:pt>
                <c:pt idx="6">
                  <c:v>-1.4136820265241875E-2</c:v>
                </c:pt>
                <c:pt idx="7">
                  <c:v>-1.4945140214797713E-2</c:v>
                </c:pt>
                <c:pt idx="8">
                  <c:v>-1.5684669728897305E-2</c:v>
                </c:pt>
                <c:pt idx="9">
                  <c:v>-1.6358946896374356E-2</c:v>
                </c:pt>
                <c:pt idx="10">
                  <c:v>-1.6980198184704681E-2</c:v>
                </c:pt>
                <c:pt idx="11">
                  <c:v>-1.7580160458019321E-2</c:v>
                </c:pt>
                <c:pt idx="12">
                  <c:v>-1.8149697521981482E-2</c:v>
                </c:pt>
                <c:pt idx="13">
                  <c:v>-1.8695479691369272E-2</c:v>
                </c:pt>
                <c:pt idx="14">
                  <c:v>-1.9224215042616882E-2</c:v>
                </c:pt>
                <c:pt idx="15">
                  <c:v>-1.9741296659647536E-2</c:v>
                </c:pt>
                <c:pt idx="16">
                  <c:v>-2.0277687495172166E-2</c:v>
                </c:pt>
                <c:pt idx="17">
                  <c:v>-2.0812790500239545E-2</c:v>
                </c:pt>
                <c:pt idx="18">
                  <c:v>-2.1346927863755878E-2</c:v>
                </c:pt>
                <c:pt idx="19">
                  <c:v>-2.1881157484454964E-2</c:v>
                </c:pt>
                <c:pt idx="20">
                  <c:v>-2.2413601371267227E-2</c:v>
                </c:pt>
                <c:pt idx="21">
                  <c:v>-2.2950497725526754E-2</c:v>
                </c:pt>
                <c:pt idx="22">
                  <c:v>-2.3488458186481036E-2</c:v>
                </c:pt>
                <c:pt idx="23">
                  <c:v>-2.402796894828637E-2</c:v>
                </c:pt>
                <c:pt idx="24">
                  <c:v>-2.4569142347020172E-2</c:v>
                </c:pt>
                <c:pt idx="25">
                  <c:v>-2.5103206497441747E-2</c:v>
                </c:pt>
                <c:pt idx="26">
                  <c:v>-2.5634715486381267E-2</c:v>
                </c:pt>
                <c:pt idx="27">
                  <c:v>-2.6165060996913993E-2</c:v>
                </c:pt>
                <c:pt idx="28">
                  <c:v>-2.6694439490385934E-2</c:v>
                </c:pt>
                <c:pt idx="29">
                  <c:v>-2.7222508470428671E-2</c:v>
                </c:pt>
                <c:pt idx="30">
                  <c:v>-2.7748956655120876E-2</c:v>
                </c:pt>
                <c:pt idx="31">
                  <c:v>-2.8268158277298835E-2</c:v>
                </c:pt>
                <c:pt idx="32">
                  <c:v>-2.8784003737444719E-2</c:v>
                </c:pt>
                <c:pt idx="33">
                  <c:v>-2.9296251297309138E-2</c:v>
                </c:pt>
                <c:pt idx="34">
                  <c:v>-2.980448304165877E-2</c:v>
                </c:pt>
                <c:pt idx="35">
                  <c:v>-3.0308368679634365E-2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DB-4269-9B2A-85A0A366EDCC}"/>
            </c:ext>
          </c:extLst>
        </c:ser>
        <c:ser>
          <c:idx val="3"/>
          <c:order val="3"/>
          <c:tx>
            <c:strRef>
              <c:f>Données!$B$509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Données!$C$509:$AL$509</c:f>
              <c:numCache>
                <c:formatCode>0.0%</c:formatCode>
                <c:ptCount val="36"/>
                <c:pt idx="0">
                  <c:v>-1.4759599138209091E-3</c:v>
                </c:pt>
                <c:pt idx="1">
                  <c:v>-1.3371511983992954E-3</c:v>
                </c:pt>
                <c:pt idx="2">
                  <c:v>-1.3182146160588507E-3</c:v>
                </c:pt>
                <c:pt idx="3">
                  <c:v>-1.3154790459914247E-3</c:v>
                </c:pt>
                <c:pt idx="4">
                  <c:v>-1.3049418805566948E-3</c:v>
                </c:pt>
                <c:pt idx="5">
                  <c:v>-1.3353397811334087E-3</c:v>
                </c:pt>
                <c:pt idx="6">
                  <c:v>-1.4325268402564522E-3</c:v>
                </c:pt>
                <c:pt idx="7">
                  <c:v>-1.5652014373792103E-3</c:v>
                </c:pt>
                <c:pt idx="8">
                  <c:v>-1.7106333311287898E-3</c:v>
                </c:pt>
                <c:pt idx="9">
                  <c:v>-1.8559690542172005E-3</c:v>
                </c:pt>
                <c:pt idx="10">
                  <c:v>-1.9977195047754708E-3</c:v>
                </c:pt>
                <c:pt idx="11">
                  <c:v>-2.1340247621747291E-3</c:v>
                </c:pt>
                <c:pt idx="12">
                  <c:v>-2.2620714149338057E-3</c:v>
                </c:pt>
                <c:pt idx="13">
                  <c:v>-2.382838298437228E-3</c:v>
                </c:pt>
                <c:pt idx="14">
                  <c:v>-2.4984694528206192E-3</c:v>
                </c:pt>
                <c:pt idx="15">
                  <c:v>-2.6101537070761156E-3</c:v>
                </c:pt>
                <c:pt idx="16">
                  <c:v>-2.7238086807264122E-3</c:v>
                </c:pt>
                <c:pt idx="17">
                  <c:v>-2.833345608019558E-3</c:v>
                </c:pt>
                <c:pt idx="18">
                  <c:v>-2.9395757555992137E-3</c:v>
                </c:pt>
                <c:pt idx="19">
                  <c:v>-3.0428744074973194E-3</c:v>
                </c:pt>
                <c:pt idx="20">
                  <c:v>-3.1416371088588638E-3</c:v>
                </c:pt>
                <c:pt idx="21">
                  <c:v>-3.2409107703378483E-3</c:v>
                </c:pt>
                <c:pt idx="22">
                  <c:v>-3.3378160265495949E-3</c:v>
                </c:pt>
                <c:pt idx="23">
                  <c:v>-3.4329137832351552E-3</c:v>
                </c:pt>
                <c:pt idx="24">
                  <c:v>-3.5264421708405174E-3</c:v>
                </c:pt>
                <c:pt idx="25">
                  <c:v>-3.6129053433635095E-3</c:v>
                </c:pt>
                <c:pt idx="26">
                  <c:v>-3.7020343032574989E-3</c:v>
                </c:pt>
                <c:pt idx="27">
                  <c:v>-3.7907592488476177E-3</c:v>
                </c:pt>
                <c:pt idx="28">
                  <c:v>-3.8793594565955914E-3</c:v>
                </c:pt>
                <c:pt idx="29">
                  <c:v>-3.9674424489619005E-3</c:v>
                </c:pt>
                <c:pt idx="30">
                  <c:v>-4.0551564722509665E-3</c:v>
                </c:pt>
                <c:pt idx="31">
                  <c:v>-4.1413680707490944E-3</c:v>
                </c:pt>
                <c:pt idx="32">
                  <c:v>-4.2270685233211491E-3</c:v>
                </c:pt>
                <c:pt idx="33">
                  <c:v>-4.3118595546104794E-3</c:v>
                </c:pt>
                <c:pt idx="34">
                  <c:v>-4.3954294243442405E-3</c:v>
                </c:pt>
                <c:pt idx="35">
                  <c:v>-4.4775357509433383E-3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DB-4269-9B2A-85A0A366EDCC}"/>
            </c:ext>
          </c:extLst>
        </c:ser>
        <c:ser>
          <c:idx val="4"/>
          <c:order val="4"/>
          <c:tx>
            <c:strRef>
              <c:f>Données!$B$510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Données!$C$510:$AL$510</c:f>
              <c:numCache>
                <c:formatCode>0.0%</c:formatCode>
                <c:ptCount val="36"/>
                <c:pt idx="0">
                  <c:v>-0.47982595414650042</c:v>
                </c:pt>
                <c:pt idx="1">
                  <c:v>-9.8110971131381789E-3</c:v>
                </c:pt>
                <c:pt idx="2">
                  <c:v>-1.1141377929377904E-2</c:v>
                </c:pt>
                <c:pt idx="3">
                  <c:v>-1.2086961491353704E-2</c:v>
                </c:pt>
                <c:pt idx="4">
                  <c:v>-1.2722434180455067E-2</c:v>
                </c:pt>
                <c:pt idx="5">
                  <c:v>-1.3185376078931147E-2</c:v>
                </c:pt>
                <c:pt idx="6">
                  <c:v>-1.3585730867893464E-2</c:v>
                </c:pt>
                <c:pt idx="7">
                  <c:v>-1.3943151137008973E-2</c:v>
                </c:pt>
                <c:pt idx="8">
                  <c:v>-1.4244930947369991E-2</c:v>
                </c:pt>
                <c:pt idx="9">
                  <c:v>-1.4489729258055379E-2</c:v>
                </c:pt>
                <c:pt idx="10">
                  <c:v>-1.4695715502460276E-2</c:v>
                </c:pt>
                <c:pt idx="11">
                  <c:v>-1.4908506236806991E-2</c:v>
                </c:pt>
                <c:pt idx="12">
                  <c:v>-1.5125427758706015E-2</c:v>
                </c:pt>
                <c:pt idx="13">
                  <c:v>-1.5358843651327135E-2</c:v>
                </c:pt>
                <c:pt idx="14">
                  <c:v>-1.5618493704217088E-2</c:v>
                </c:pt>
                <c:pt idx="15">
                  <c:v>-1.5910658457804022E-2</c:v>
                </c:pt>
                <c:pt idx="16">
                  <c:v>-1.626733931294861E-2</c:v>
                </c:pt>
                <c:pt idx="17">
                  <c:v>-1.6665842698704966E-2</c:v>
                </c:pt>
                <c:pt idx="18">
                  <c:v>-1.7102777853168064E-2</c:v>
                </c:pt>
                <c:pt idx="19">
                  <c:v>-1.7575436271934686E-2</c:v>
                </c:pt>
                <c:pt idx="20">
                  <c:v>-1.8078945483642778E-2</c:v>
                </c:pt>
                <c:pt idx="21">
                  <c:v>-1.8612933063562907E-2</c:v>
                </c:pt>
                <c:pt idx="22">
                  <c:v>-1.9172310275631189E-2</c:v>
                </c:pt>
                <c:pt idx="23">
                  <c:v>-1.9753633504789384E-2</c:v>
                </c:pt>
                <c:pt idx="24">
                  <c:v>-2.035326046275697E-2</c:v>
                </c:pt>
                <c:pt idx="25">
                  <c:v>-2.0961835153955728E-2</c:v>
                </c:pt>
                <c:pt idx="26">
                  <c:v>-2.157328886596328E-2</c:v>
                </c:pt>
                <c:pt idx="27">
                  <c:v>-2.219035489689089E-2</c:v>
                </c:pt>
                <c:pt idx="28">
                  <c:v>-2.2811294513962042E-2</c:v>
                </c:pt>
                <c:pt idx="29">
                  <c:v>-2.3434200110789991E-2</c:v>
                </c:pt>
                <c:pt idx="30">
                  <c:v>-2.4057070153395109E-2</c:v>
                </c:pt>
                <c:pt idx="31">
                  <c:v>-2.4672319277275964E-2</c:v>
                </c:pt>
                <c:pt idx="32">
                  <c:v>-2.5282086593925626E-2</c:v>
                </c:pt>
                <c:pt idx="33">
                  <c:v>-2.5884585643557816E-2</c:v>
                </c:pt>
                <c:pt idx="34">
                  <c:v>-2.6477927559713892E-2</c:v>
                </c:pt>
                <c:pt idx="35">
                  <c:v>-2.7060557738250484E-2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DB-4269-9B2A-85A0A366EDCC}"/>
            </c:ext>
          </c:extLst>
        </c:ser>
        <c:ser>
          <c:idx val="5"/>
          <c:order val="5"/>
          <c:tx>
            <c:strRef>
              <c:f>Données!$B$511</c:f>
              <c:strCache>
                <c:ptCount val="1"/>
                <c:pt idx="0">
                  <c:v>Autre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Données!$C$511:$AL$511</c:f>
              <c:numCache>
                <c:formatCode>0.0%</c:formatCode>
                <c:ptCount val="36"/>
                <c:pt idx="0">
                  <c:v>-1.3231851851297161E-2</c:v>
                </c:pt>
                <c:pt idx="1">
                  <c:v>-5.5628647746584804E-3</c:v>
                </c:pt>
                <c:pt idx="2">
                  <c:v>-6.1845294129992548E-3</c:v>
                </c:pt>
                <c:pt idx="3">
                  <c:v>-6.6871320120065816E-3</c:v>
                </c:pt>
                <c:pt idx="4">
                  <c:v>-7.1095616982186759E-3</c:v>
                </c:pt>
                <c:pt idx="5">
                  <c:v>-7.4316408742148322E-3</c:v>
                </c:pt>
                <c:pt idx="6">
                  <c:v>-7.6836154665858563E-3</c:v>
                </c:pt>
                <c:pt idx="7">
                  <c:v>-7.9167320866372036E-3</c:v>
                </c:pt>
                <c:pt idx="8">
                  <c:v>-8.1443153692713662E-3</c:v>
                </c:pt>
                <c:pt idx="9">
                  <c:v>-8.3680741484518303E-3</c:v>
                </c:pt>
                <c:pt idx="10">
                  <c:v>-8.5919874920353523E-3</c:v>
                </c:pt>
                <c:pt idx="11">
                  <c:v>-8.8281503497446394E-3</c:v>
                </c:pt>
                <c:pt idx="12">
                  <c:v>-9.0666642616183558E-3</c:v>
                </c:pt>
                <c:pt idx="13">
                  <c:v>-9.3079869404296637E-3</c:v>
                </c:pt>
                <c:pt idx="14">
                  <c:v>-9.5533189215216124E-3</c:v>
                </c:pt>
                <c:pt idx="15">
                  <c:v>-9.8036929911827324E-3</c:v>
                </c:pt>
                <c:pt idx="16">
                  <c:v>-1.0076581926522794E-2</c:v>
                </c:pt>
                <c:pt idx="17">
                  <c:v>-1.0357627591809691E-2</c:v>
                </c:pt>
                <c:pt idx="18">
                  <c:v>-1.0645318760555949E-2</c:v>
                </c:pt>
                <c:pt idx="19">
                  <c:v>-1.0938898173366247E-2</c:v>
                </c:pt>
                <c:pt idx="20">
                  <c:v>-1.1234896776413344E-2</c:v>
                </c:pt>
                <c:pt idx="21">
                  <c:v>-1.1537731248588486E-2</c:v>
                </c:pt>
                <c:pt idx="22">
                  <c:v>-1.1843759790610309E-2</c:v>
                </c:pt>
                <c:pt idx="23">
                  <c:v>-1.2152145105766319E-2</c:v>
                </c:pt>
                <c:pt idx="24">
                  <c:v>-1.2462176691477145E-2</c:v>
                </c:pt>
                <c:pt idx="25">
                  <c:v>-1.2764901643755442E-2</c:v>
                </c:pt>
                <c:pt idx="26">
                  <c:v>-1.3066377013558651E-2</c:v>
                </c:pt>
                <c:pt idx="27">
                  <c:v>-1.3366812835376572E-2</c:v>
                </c:pt>
                <c:pt idx="28">
                  <c:v>-1.3665873554874511E-2</c:v>
                </c:pt>
                <c:pt idx="29">
                  <c:v>-1.3963107557145693E-2</c:v>
                </c:pt>
                <c:pt idx="30">
                  <c:v>-1.4258356069482636E-2</c:v>
                </c:pt>
                <c:pt idx="31">
                  <c:v>-1.4548289970095565E-2</c:v>
                </c:pt>
                <c:pt idx="32">
                  <c:v>-1.4835605019958929E-2</c:v>
                </c:pt>
                <c:pt idx="33">
                  <c:v>-1.5120514822566454E-2</c:v>
                </c:pt>
                <c:pt idx="34">
                  <c:v>-1.5403055123866706E-2</c:v>
                </c:pt>
                <c:pt idx="35">
                  <c:v>-1.568324548254646E-2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DB-4269-9B2A-85A0A366E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4799288"/>
        <c:axId val="724799616"/>
      </c:barChart>
      <c:lineChart>
        <c:grouping val="standard"/>
        <c:varyColors val="0"/>
        <c:ser>
          <c:idx val="0"/>
          <c:order val="0"/>
          <c:tx>
            <c:strRef>
              <c:f>Données!$B$506</c:f>
              <c:strCache>
                <c:ptCount val="1"/>
                <c:pt idx="0">
                  <c:v>Primary energy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Données!$C$506:$AL$506</c:f>
              <c:numCache>
                <c:formatCode>0.0%</c:formatCode>
                <c:ptCount val="36"/>
                <c:pt idx="0">
                  <c:v>-2.164096963449702E-2</c:v>
                </c:pt>
                <c:pt idx="1">
                  <c:v>-2.6346565846794845E-2</c:v>
                </c:pt>
                <c:pt idx="2">
                  <c:v>-2.959169336480949E-2</c:v>
                </c:pt>
                <c:pt idx="3">
                  <c:v>-3.2211146155163628E-2</c:v>
                </c:pt>
                <c:pt idx="4">
                  <c:v>-3.4325223033761953E-2</c:v>
                </c:pt>
                <c:pt idx="5">
                  <c:v>-3.6125068457043774E-2</c:v>
                </c:pt>
                <c:pt idx="6">
                  <c:v>-3.7798639882841711E-2</c:v>
                </c:pt>
                <c:pt idx="7">
                  <c:v>-3.9378816924598214E-2</c:v>
                </c:pt>
                <c:pt idx="8">
                  <c:v>-4.0839820134747629E-2</c:v>
                </c:pt>
                <c:pt idx="9">
                  <c:v>-4.2172992985424762E-2</c:v>
                </c:pt>
                <c:pt idx="10">
                  <c:v>-4.3409834317824414E-2</c:v>
                </c:pt>
                <c:pt idx="11">
                  <c:v>-4.463990964874387E-2</c:v>
                </c:pt>
                <c:pt idx="12">
                  <c:v>-4.5837535032588028E-2</c:v>
                </c:pt>
                <c:pt idx="13">
                  <c:v>-4.7023188907610591E-2</c:v>
                </c:pt>
                <c:pt idx="14">
                  <c:v>-4.8216796192238953E-2</c:v>
                </c:pt>
                <c:pt idx="15">
                  <c:v>-4.9432356176893566E-2</c:v>
                </c:pt>
                <c:pt idx="16">
                  <c:v>-5.0758215623348257E-2</c:v>
                </c:pt>
                <c:pt idx="17">
                  <c:v>-5.2129049840348718E-2</c:v>
                </c:pt>
                <c:pt idx="18">
                  <c:v>-5.3540771667253795E-2</c:v>
                </c:pt>
                <c:pt idx="19">
                  <c:v>-5.4991260551158327E-2</c:v>
                </c:pt>
                <c:pt idx="20">
                  <c:v>-5.6468468736538546E-2</c:v>
                </c:pt>
                <c:pt idx="21">
                  <c:v>-5.7987953799684577E-2</c:v>
                </c:pt>
                <c:pt idx="22">
                  <c:v>-5.9534590731431858E-2</c:v>
                </c:pt>
                <c:pt idx="23">
                  <c:v>-6.1105048996177191E-2</c:v>
                </c:pt>
                <c:pt idx="24">
                  <c:v>-6.2695281644624123E-2</c:v>
                </c:pt>
                <c:pt idx="25">
                  <c:v>-6.4272163943325356E-2</c:v>
                </c:pt>
                <c:pt idx="26">
                  <c:v>-6.5849872898591566E-2</c:v>
                </c:pt>
                <c:pt idx="27">
                  <c:v>-6.7430177190152096E-2</c:v>
                </c:pt>
                <c:pt idx="28">
                  <c:v>-6.901144570125195E-2</c:v>
                </c:pt>
                <c:pt idx="29">
                  <c:v>-7.059054826823552E-2</c:v>
                </c:pt>
                <c:pt idx="30">
                  <c:v>-7.2165130601451022E-2</c:v>
                </c:pt>
                <c:pt idx="31">
                  <c:v>-7.3717115636880215E-2</c:v>
                </c:pt>
                <c:pt idx="32">
                  <c:v>-7.5256495802484058E-2</c:v>
                </c:pt>
                <c:pt idx="33">
                  <c:v>-7.678109253227805E-2</c:v>
                </c:pt>
                <c:pt idx="34">
                  <c:v>-7.8288318504662224E-2</c:v>
                </c:pt>
                <c:pt idx="35">
                  <c:v>-7.9776059122064313E-2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EDB-4269-9B2A-85A0A366E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799288"/>
        <c:axId val="724799616"/>
      </c:lineChart>
      <c:dateAx>
        <c:axId val="724799288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616"/>
        <c:crosses val="autoZero"/>
        <c:auto val="1"/>
        <c:lblOffset val="100"/>
        <c:baseTimeUnit val="years"/>
        <c:majorUnit val="5"/>
        <c:majorTimeUnit val="years"/>
      </c:dateAx>
      <c:valAx>
        <c:axId val="72479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Marianne Light" panose="02000000000000000000" pitchFamily="50" charset="0"/>
        </a:defRPr>
      </a:pPr>
      <a:endParaRPr lang="fr-F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Buildings by class (baseline)</a:t>
            </a:r>
          </a:p>
          <a:p>
            <a:pPr>
              <a:defRPr/>
            </a:pPr>
            <a:r>
              <a:rPr lang="fr-FR" sz="1800" i="1"/>
              <a:t>thousands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Données!$B$380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Données!$C$380:$AL$380</c:f>
              <c:numCache>
                <c:formatCode>#,##0</c:formatCode>
                <c:ptCount val="36"/>
                <c:pt idx="0">
                  <c:v>3.476542051</c:v>
                </c:pt>
                <c:pt idx="1">
                  <c:v>5.7227175580000003</c:v>
                </c:pt>
                <c:pt idx="2">
                  <c:v>7.9150343330000004</c:v>
                </c:pt>
                <c:pt idx="3">
                  <c:v>9.8028884529999996</c:v>
                </c:pt>
                <c:pt idx="4">
                  <c:v>11.15595845</c:v>
                </c:pt>
                <c:pt idx="5">
                  <c:v>16.284895769999999</c:v>
                </c:pt>
                <c:pt idx="6">
                  <c:v>22.964123730000001</c:v>
                </c:pt>
                <c:pt idx="7">
                  <c:v>30.052260350000001</c:v>
                </c:pt>
                <c:pt idx="8">
                  <c:v>37.20088715</c:v>
                </c:pt>
                <c:pt idx="9">
                  <c:v>44.335393959999998</c:v>
                </c:pt>
                <c:pt idx="10">
                  <c:v>51.493059279999997</c:v>
                </c:pt>
                <c:pt idx="11">
                  <c:v>58.603516159999998</c:v>
                </c:pt>
                <c:pt idx="12">
                  <c:v>65.708702489999993</c:v>
                </c:pt>
                <c:pt idx="13">
                  <c:v>72.804982789999997</c:v>
                </c:pt>
                <c:pt idx="14">
                  <c:v>79.885927730000006</c:v>
                </c:pt>
                <c:pt idx="15">
                  <c:v>86.944265079999994</c:v>
                </c:pt>
                <c:pt idx="16">
                  <c:v>93.972977729999997</c:v>
                </c:pt>
                <c:pt idx="17">
                  <c:v>100.96592</c:v>
                </c:pt>
                <c:pt idx="18">
                  <c:v>107.9181615</c:v>
                </c:pt>
                <c:pt idx="19">
                  <c:v>114.8261469</c:v>
                </c:pt>
                <c:pt idx="20">
                  <c:v>121.65976550000001</c:v>
                </c:pt>
                <c:pt idx="21">
                  <c:v>128.4675527</c:v>
                </c:pt>
                <c:pt idx="22">
                  <c:v>135.2218422</c:v>
                </c:pt>
                <c:pt idx="23">
                  <c:v>141.9238732</c:v>
                </c:pt>
                <c:pt idx="24">
                  <c:v>148.5764436</c:v>
                </c:pt>
                <c:pt idx="25">
                  <c:v>155.10651139999999</c:v>
                </c:pt>
                <c:pt idx="26">
                  <c:v>161.6159882</c:v>
                </c:pt>
                <c:pt idx="27">
                  <c:v>168.05819959999999</c:v>
                </c:pt>
                <c:pt idx="28">
                  <c:v>174.4262808</c:v>
                </c:pt>
                <c:pt idx="29">
                  <c:v>180.71546430000001</c:v>
                </c:pt>
                <c:pt idx="30">
                  <c:v>186.9234438</c:v>
                </c:pt>
                <c:pt idx="31">
                  <c:v>193.049609</c:v>
                </c:pt>
                <c:pt idx="32">
                  <c:v>199.09405630000001</c:v>
                </c:pt>
                <c:pt idx="33">
                  <c:v>205.05673379999999</c:v>
                </c:pt>
                <c:pt idx="34">
                  <c:v>210.93670599999999</c:v>
                </c:pt>
                <c:pt idx="35">
                  <c:v>216.73156090000001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B-4BFF-9D6E-7891C58785EB}"/>
            </c:ext>
          </c:extLst>
        </c:ser>
        <c:ser>
          <c:idx val="1"/>
          <c:order val="1"/>
          <c:tx>
            <c:strRef>
              <c:f>Données!$B$381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Données!$C$381:$AL$381</c:f>
              <c:numCache>
                <c:formatCode>#,##0</c:formatCode>
                <c:ptCount val="36"/>
                <c:pt idx="0">
                  <c:v>68.80476281</c:v>
                </c:pt>
                <c:pt idx="1">
                  <c:v>77.184615829999998</c:v>
                </c:pt>
                <c:pt idx="2">
                  <c:v>86.226500130000005</c:v>
                </c:pt>
                <c:pt idx="3">
                  <c:v>95.792891040000001</c:v>
                </c:pt>
                <c:pt idx="4">
                  <c:v>106.74449970000001</c:v>
                </c:pt>
                <c:pt idx="5">
                  <c:v>114.8133211</c:v>
                </c:pt>
                <c:pt idx="6">
                  <c:v>120.3170899</c:v>
                </c:pt>
                <c:pt idx="7">
                  <c:v>124.82552200000001</c:v>
                </c:pt>
                <c:pt idx="8">
                  <c:v>128.830072</c:v>
                </c:pt>
                <c:pt idx="9">
                  <c:v>132.56907000000001</c:v>
                </c:pt>
                <c:pt idx="10">
                  <c:v>137.1972801</c:v>
                </c:pt>
                <c:pt idx="11">
                  <c:v>140.7008926</c:v>
                </c:pt>
                <c:pt idx="12">
                  <c:v>144.14773070000001</c:v>
                </c:pt>
                <c:pt idx="13">
                  <c:v>147.55778470000001</c:v>
                </c:pt>
                <c:pt idx="14">
                  <c:v>150.94395159999999</c:v>
                </c:pt>
                <c:pt idx="15">
                  <c:v>154.31506580000001</c:v>
                </c:pt>
                <c:pt idx="16">
                  <c:v>157.6774753</c:v>
                </c:pt>
                <c:pt idx="17">
                  <c:v>161.03585709999999</c:v>
                </c:pt>
                <c:pt idx="18">
                  <c:v>164.3936405</c:v>
                </c:pt>
                <c:pt idx="19">
                  <c:v>167.75324380000001</c:v>
                </c:pt>
                <c:pt idx="20">
                  <c:v>170.42983699999999</c:v>
                </c:pt>
                <c:pt idx="21">
                  <c:v>173.79780690000001</c:v>
                </c:pt>
                <c:pt idx="22">
                  <c:v>177.1732351</c:v>
                </c:pt>
                <c:pt idx="23">
                  <c:v>180.55595629999999</c:v>
                </c:pt>
                <c:pt idx="24">
                  <c:v>183.94505029999999</c:v>
                </c:pt>
                <c:pt idx="25">
                  <c:v>185.46562059999999</c:v>
                </c:pt>
                <c:pt idx="26">
                  <c:v>187.98597659999999</c:v>
                </c:pt>
                <c:pt idx="27">
                  <c:v>190.5167113</c:v>
                </c:pt>
                <c:pt idx="28">
                  <c:v>193.06131669999999</c:v>
                </c:pt>
                <c:pt idx="29">
                  <c:v>195.6223933</c:v>
                </c:pt>
                <c:pt idx="30">
                  <c:v>198.20143999999999</c:v>
                </c:pt>
                <c:pt idx="31">
                  <c:v>200.79917090000001</c:v>
                </c:pt>
                <c:pt idx="32">
                  <c:v>203.41594119999999</c:v>
                </c:pt>
                <c:pt idx="33">
                  <c:v>206.0521301</c:v>
                </c:pt>
                <c:pt idx="34">
                  <c:v>208.70848050000001</c:v>
                </c:pt>
                <c:pt idx="35">
                  <c:v>211.38638539999999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6B-4BFF-9D6E-7891C58785EB}"/>
            </c:ext>
          </c:extLst>
        </c:ser>
        <c:ser>
          <c:idx val="2"/>
          <c:order val="2"/>
          <c:tx>
            <c:strRef>
              <c:f>Données!$B$382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Données!$C$382:$AL$382</c:f>
              <c:numCache>
                <c:formatCode>#,##0</c:formatCode>
                <c:ptCount val="36"/>
                <c:pt idx="0">
                  <c:v>408.28039699999999</c:v>
                </c:pt>
                <c:pt idx="1">
                  <c:v>425.47099270000001</c:v>
                </c:pt>
                <c:pt idx="2">
                  <c:v>444.58497019999999</c:v>
                </c:pt>
                <c:pt idx="3">
                  <c:v>464.58604120000001</c:v>
                </c:pt>
                <c:pt idx="4">
                  <c:v>486.66937150000001</c:v>
                </c:pt>
                <c:pt idx="5">
                  <c:v>503.40871809999999</c:v>
                </c:pt>
                <c:pt idx="6">
                  <c:v>515.14709359999995</c:v>
                </c:pt>
                <c:pt idx="7">
                  <c:v>525.29698399999995</c:v>
                </c:pt>
                <c:pt idx="8">
                  <c:v>534.6699208</c:v>
                </c:pt>
                <c:pt idx="9">
                  <c:v>543.64614389999997</c:v>
                </c:pt>
                <c:pt idx="10">
                  <c:v>555.32218209999996</c:v>
                </c:pt>
                <c:pt idx="11">
                  <c:v>563.96911890000001</c:v>
                </c:pt>
                <c:pt idx="12">
                  <c:v>572.54162459999998</c:v>
                </c:pt>
                <c:pt idx="13">
                  <c:v>581.06934260000003</c:v>
                </c:pt>
                <c:pt idx="14">
                  <c:v>589.57116440000004</c:v>
                </c:pt>
                <c:pt idx="15">
                  <c:v>598.05991770000003</c:v>
                </c:pt>
                <c:pt idx="16">
                  <c:v>606.54476850000003</c:v>
                </c:pt>
                <c:pt idx="17">
                  <c:v>615.03244419999999</c:v>
                </c:pt>
                <c:pt idx="18">
                  <c:v>623.52785080000001</c:v>
                </c:pt>
                <c:pt idx="19">
                  <c:v>632.03440379999995</c:v>
                </c:pt>
                <c:pt idx="20">
                  <c:v>638.62618010000006</c:v>
                </c:pt>
                <c:pt idx="21">
                  <c:v>647.15852900000004</c:v>
                </c:pt>
                <c:pt idx="22">
                  <c:v>655.70989510000004</c:v>
                </c:pt>
                <c:pt idx="23">
                  <c:v>664.27969399999995</c:v>
                </c:pt>
                <c:pt idx="24">
                  <c:v>672.86614580000003</c:v>
                </c:pt>
                <c:pt idx="25">
                  <c:v>676.20398720000003</c:v>
                </c:pt>
                <c:pt idx="26">
                  <c:v>682.34079080000004</c:v>
                </c:pt>
                <c:pt idx="27">
                  <c:v>688.49362810000002</c:v>
                </c:pt>
                <c:pt idx="28">
                  <c:v>694.66764869999997</c:v>
                </c:pt>
                <c:pt idx="29">
                  <c:v>700.86658999999997</c:v>
                </c:pt>
                <c:pt idx="30">
                  <c:v>707.09249460000001</c:v>
                </c:pt>
                <c:pt idx="31">
                  <c:v>713.34618420000004</c:v>
                </c:pt>
                <c:pt idx="32">
                  <c:v>719.62793959999999</c:v>
                </c:pt>
                <c:pt idx="33">
                  <c:v>725.93812339999999</c:v>
                </c:pt>
                <c:pt idx="34">
                  <c:v>732.27773939999997</c:v>
                </c:pt>
                <c:pt idx="35">
                  <c:v>738.64890800000001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6B-4BFF-9D6E-7891C58785EB}"/>
            </c:ext>
          </c:extLst>
        </c:ser>
        <c:ser>
          <c:idx val="3"/>
          <c:order val="3"/>
          <c:tx>
            <c:strRef>
              <c:f>Données!$B$383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Données!$C$383:$AL$383</c:f>
              <c:numCache>
                <c:formatCode>#,##0</c:formatCode>
                <c:ptCount val="36"/>
                <c:pt idx="0">
                  <c:v>954.38155940000001</c:v>
                </c:pt>
                <c:pt idx="1">
                  <c:v>947.69777150000004</c:v>
                </c:pt>
                <c:pt idx="2">
                  <c:v>940.93763560000002</c:v>
                </c:pt>
                <c:pt idx="3">
                  <c:v>933.32371699999999</c:v>
                </c:pt>
                <c:pt idx="4">
                  <c:v>923.43122419999997</c:v>
                </c:pt>
                <c:pt idx="5">
                  <c:v>915.16062929999998</c:v>
                </c:pt>
                <c:pt idx="6">
                  <c:v>908.60447980000004</c:v>
                </c:pt>
                <c:pt idx="7">
                  <c:v>903.13097219999997</c:v>
                </c:pt>
                <c:pt idx="8">
                  <c:v>898.27586099999996</c:v>
                </c:pt>
                <c:pt idx="9">
                  <c:v>893.76580379999996</c:v>
                </c:pt>
                <c:pt idx="10">
                  <c:v>889.45009579999999</c:v>
                </c:pt>
                <c:pt idx="11">
                  <c:v>885.24813830000005</c:v>
                </c:pt>
                <c:pt idx="12">
                  <c:v>881.11616630000003</c:v>
                </c:pt>
                <c:pt idx="13">
                  <c:v>877.03083119999997</c:v>
                </c:pt>
                <c:pt idx="14">
                  <c:v>872.97938650000003</c:v>
                </c:pt>
                <c:pt idx="15">
                  <c:v>868.95471320000001</c:v>
                </c:pt>
                <c:pt idx="16">
                  <c:v>864.95270259999995</c:v>
                </c:pt>
                <c:pt idx="17">
                  <c:v>860.97088310000004</c:v>
                </c:pt>
                <c:pt idx="18">
                  <c:v>857.00770090000003</c:v>
                </c:pt>
                <c:pt idx="19">
                  <c:v>853.06214139999997</c:v>
                </c:pt>
                <c:pt idx="20">
                  <c:v>849.13346460000002</c:v>
                </c:pt>
                <c:pt idx="21">
                  <c:v>845.22078529999999</c:v>
                </c:pt>
                <c:pt idx="22">
                  <c:v>841.32393219999994</c:v>
                </c:pt>
                <c:pt idx="23">
                  <c:v>837.44266679999998</c:v>
                </c:pt>
                <c:pt idx="24">
                  <c:v>833.57691599999998</c:v>
                </c:pt>
                <c:pt idx="25">
                  <c:v>829.72653679999996</c:v>
                </c:pt>
                <c:pt idx="26">
                  <c:v>825.89032150000003</c:v>
                </c:pt>
                <c:pt idx="27">
                  <c:v>822.06798739999999</c:v>
                </c:pt>
                <c:pt idx="28">
                  <c:v>818.25882390000004</c:v>
                </c:pt>
                <c:pt idx="29">
                  <c:v>814.46216709999999</c:v>
                </c:pt>
                <c:pt idx="30">
                  <c:v>810.67747229999998</c:v>
                </c:pt>
                <c:pt idx="31">
                  <c:v>806.90431550000005</c:v>
                </c:pt>
                <c:pt idx="32">
                  <c:v>803.14235580000002</c:v>
                </c:pt>
                <c:pt idx="33">
                  <c:v>799.39127970000004</c:v>
                </c:pt>
                <c:pt idx="34">
                  <c:v>795.65073299999995</c:v>
                </c:pt>
                <c:pt idx="35">
                  <c:v>791.92024489999994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6B-4BFF-9D6E-7891C58785EB}"/>
            </c:ext>
          </c:extLst>
        </c:ser>
        <c:ser>
          <c:idx val="4"/>
          <c:order val="4"/>
          <c:tx>
            <c:strRef>
              <c:f>Données!$B$384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Données!$C$384:$AL$384</c:f>
              <c:numCache>
                <c:formatCode>#,##0</c:formatCode>
                <c:ptCount val="36"/>
                <c:pt idx="0">
                  <c:v>878.79999729999997</c:v>
                </c:pt>
                <c:pt idx="1">
                  <c:v>867.97061580000002</c:v>
                </c:pt>
                <c:pt idx="2">
                  <c:v>857.17684689999999</c:v>
                </c:pt>
                <c:pt idx="3">
                  <c:v>846.13862789999996</c:v>
                </c:pt>
                <c:pt idx="4">
                  <c:v>834.45323340000004</c:v>
                </c:pt>
                <c:pt idx="5">
                  <c:v>825.60426399999994</c:v>
                </c:pt>
                <c:pt idx="6">
                  <c:v>818.66441029999999</c:v>
                </c:pt>
                <c:pt idx="7">
                  <c:v>812.81115150000005</c:v>
                </c:pt>
                <c:pt idx="8">
                  <c:v>807.55775070000004</c:v>
                </c:pt>
                <c:pt idx="9">
                  <c:v>802.63672459999998</c:v>
                </c:pt>
                <c:pt idx="10">
                  <c:v>797.90480179999997</c:v>
                </c:pt>
                <c:pt idx="11">
                  <c:v>793.28651500000001</c:v>
                </c:pt>
                <c:pt idx="12">
                  <c:v>788.74111530000005</c:v>
                </c:pt>
                <c:pt idx="13">
                  <c:v>784.24689690000002</c:v>
                </c:pt>
                <c:pt idx="14">
                  <c:v>779.79194540000003</c:v>
                </c:pt>
                <c:pt idx="15">
                  <c:v>775.36951320000003</c:v>
                </c:pt>
                <c:pt idx="16">
                  <c:v>770.97561180000002</c:v>
                </c:pt>
                <c:pt idx="17">
                  <c:v>766.60776439999995</c:v>
                </c:pt>
                <c:pt idx="18">
                  <c:v>762.26436360000002</c:v>
                </c:pt>
                <c:pt idx="19">
                  <c:v>757.94434109999997</c:v>
                </c:pt>
                <c:pt idx="20">
                  <c:v>753.64688200000001</c:v>
                </c:pt>
                <c:pt idx="21">
                  <c:v>749.37099690000002</c:v>
                </c:pt>
                <c:pt idx="22">
                  <c:v>745.11651849999998</c:v>
                </c:pt>
                <c:pt idx="23">
                  <c:v>740.88332419999995</c:v>
                </c:pt>
                <c:pt idx="24">
                  <c:v>736.67153499999995</c:v>
                </c:pt>
                <c:pt idx="25">
                  <c:v>732.48109509999995</c:v>
                </c:pt>
                <c:pt idx="26">
                  <c:v>728.31061190000003</c:v>
                </c:pt>
                <c:pt idx="27">
                  <c:v>724.15960210000003</c:v>
                </c:pt>
                <c:pt idx="28">
                  <c:v>720.02723709999998</c:v>
                </c:pt>
                <c:pt idx="29">
                  <c:v>715.91284529999996</c:v>
                </c:pt>
                <c:pt idx="30">
                  <c:v>711.81598329999997</c:v>
                </c:pt>
                <c:pt idx="31">
                  <c:v>707.73641569999995</c:v>
                </c:pt>
                <c:pt idx="32">
                  <c:v>703.6740393</c:v>
                </c:pt>
                <c:pt idx="33">
                  <c:v>699.62879290000001</c:v>
                </c:pt>
                <c:pt idx="34">
                  <c:v>695.60056059999999</c:v>
                </c:pt>
                <c:pt idx="35">
                  <c:v>691.58907850000003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6B-4BFF-9D6E-7891C58785EB}"/>
            </c:ext>
          </c:extLst>
        </c:ser>
        <c:ser>
          <c:idx val="5"/>
          <c:order val="5"/>
          <c:tx>
            <c:strRef>
              <c:f>Données!$B$385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Données!$C$385:$AL$385</c:f>
              <c:numCache>
                <c:formatCode>#,##0</c:formatCode>
                <c:ptCount val="36"/>
                <c:pt idx="0">
                  <c:v>139.85209269999999</c:v>
                </c:pt>
                <c:pt idx="1">
                  <c:v>137.95542620000001</c:v>
                </c:pt>
                <c:pt idx="2">
                  <c:v>136.0868151</c:v>
                </c:pt>
                <c:pt idx="3">
                  <c:v>134.2500221</c:v>
                </c:pt>
                <c:pt idx="4">
                  <c:v>132.44730100000001</c:v>
                </c:pt>
                <c:pt idx="5">
                  <c:v>130.6786276</c:v>
                </c:pt>
                <c:pt idx="6">
                  <c:v>128.94239920000001</c:v>
                </c:pt>
                <c:pt idx="7">
                  <c:v>127.23581470000001</c:v>
                </c:pt>
                <c:pt idx="8">
                  <c:v>125.55580550000001</c:v>
                </c:pt>
                <c:pt idx="9">
                  <c:v>123.8997037</c:v>
                </c:pt>
                <c:pt idx="10">
                  <c:v>122.26555</c:v>
                </c:pt>
                <c:pt idx="11">
                  <c:v>120.6520087</c:v>
                </c:pt>
                <c:pt idx="12">
                  <c:v>119.0581193</c:v>
                </c:pt>
                <c:pt idx="13">
                  <c:v>117.4832194</c:v>
                </c:pt>
                <c:pt idx="14">
                  <c:v>115.9268713</c:v>
                </c:pt>
                <c:pt idx="15">
                  <c:v>114.38879660000001</c:v>
                </c:pt>
                <c:pt idx="16">
                  <c:v>112.8688291</c:v>
                </c:pt>
                <c:pt idx="17">
                  <c:v>111.36688289999999</c:v>
                </c:pt>
                <c:pt idx="18">
                  <c:v>109.88293109999999</c:v>
                </c:pt>
                <c:pt idx="19">
                  <c:v>108.4169892</c:v>
                </c:pt>
                <c:pt idx="20">
                  <c:v>106.96906989999999</c:v>
                </c:pt>
                <c:pt idx="21">
                  <c:v>105.5391838</c:v>
                </c:pt>
                <c:pt idx="22">
                  <c:v>104.1273893</c:v>
                </c:pt>
                <c:pt idx="23">
                  <c:v>102.73375369999999</c:v>
                </c:pt>
                <c:pt idx="24">
                  <c:v>101.35832480000001</c:v>
                </c:pt>
                <c:pt idx="25">
                  <c:v>100.0010434</c:v>
                </c:pt>
                <c:pt idx="26">
                  <c:v>98.661739850000004</c:v>
                </c:pt>
                <c:pt idx="27">
                  <c:v>97.340268539999997</c:v>
                </c:pt>
                <c:pt idx="28">
                  <c:v>96.036500680000003</c:v>
                </c:pt>
                <c:pt idx="29">
                  <c:v>94.750307160000006</c:v>
                </c:pt>
                <c:pt idx="30">
                  <c:v>93.481543189999996</c:v>
                </c:pt>
                <c:pt idx="31">
                  <c:v>92.230042900000001</c:v>
                </c:pt>
                <c:pt idx="32">
                  <c:v>90.995615439999995</c:v>
                </c:pt>
                <c:pt idx="33">
                  <c:v>89.778041959999996</c:v>
                </c:pt>
                <c:pt idx="34">
                  <c:v>88.577074820000007</c:v>
                </c:pt>
                <c:pt idx="35">
                  <c:v>87.392439749999994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6B-4BFF-9D6E-7891C58785EB}"/>
            </c:ext>
          </c:extLst>
        </c:ser>
        <c:ser>
          <c:idx val="6"/>
          <c:order val="6"/>
          <c:tx>
            <c:strRef>
              <c:f>Données!$B$386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Données!$C$386:$AL$386</c:f>
              <c:numCache>
                <c:formatCode>#,##0</c:formatCode>
                <c:ptCount val="36"/>
                <c:pt idx="0">
                  <c:v>3.874567114</c:v>
                </c:pt>
                <c:pt idx="1">
                  <c:v>3.7242339819999999</c:v>
                </c:pt>
                <c:pt idx="2">
                  <c:v>3.5803045760000001</c:v>
                </c:pt>
                <c:pt idx="3">
                  <c:v>3.4427972160000002</c:v>
                </c:pt>
                <c:pt idx="4">
                  <c:v>3.3116253869999999</c:v>
                </c:pt>
                <c:pt idx="5">
                  <c:v>3.1865472050000001</c:v>
                </c:pt>
                <c:pt idx="6">
                  <c:v>3.0671962060000002</c:v>
                </c:pt>
                <c:pt idx="7">
                  <c:v>2.9531470999999998</c:v>
                </c:pt>
                <c:pt idx="8">
                  <c:v>2.843983218</c:v>
                </c:pt>
                <c:pt idx="9">
                  <c:v>2.7393390050000002</c:v>
                </c:pt>
                <c:pt idx="10">
                  <c:v>2.6389157519999999</c:v>
                </c:pt>
                <c:pt idx="11">
                  <c:v>2.5424707340000001</c:v>
                </c:pt>
                <c:pt idx="12">
                  <c:v>2.4497966789999999</c:v>
                </c:pt>
                <c:pt idx="13">
                  <c:v>2.3607140210000002</c:v>
                </c:pt>
                <c:pt idx="14">
                  <c:v>2.2750643959999999</c:v>
                </c:pt>
                <c:pt idx="15">
                  <c:v>2.1927053079999999</c:v>
                </c:pt>
                <c:pt idx="16">
                  <c:v>2.113506288</c:v>
                </c:pt>
                <c:pt idx="17">
                  <c:v>2.0373462839999998</c:v>
                </c:pt>
                <c:pt idx="18">
                  <c:v>1.9641118689999999</c:v>
                </c:pt>
                <c:pt idx="19">
                  <c:v>1.893695881</c:v>
                </c:pt>
                <c:pt idx="20">
                  <c:v>1.8259947059999999</c:v>
                </c:pt>
                <c:pt idx="21">
                  <c:v>1.7609081680000001</c:v>
                </c:pt>
                <c:pt idx="22">
                  <c:v>1.698342016</c:v>
                </c:pt>
                <c:pt idx="23">
                  <c:v>1.638205935</c:v>
                </c:pt>
                <c:pt idx="24">
                  <c:v>1.5804121010000001</c:v>
                </c:pt>
                <c:pt idx="25">
                  <c:v>1.5248709760000001</c:v>
                </c:pt>
                <c:pt idx="26">
                  <c:v>1.471491307</c:v>
                </c:pt>
                <c:pt idx="27">
                  <c:v>1.420186401</c:v>
                </c:pt>
                <c:pt idx="28">
                  <c:v>1.370873939</c:v>
                </c:pt>
                <c:pt idx="29">
                  <c:v>1.323475202</c:v>
                </c:pt>
                <c:pt idx="30">
                  <c:v>1.2779144229999999</c:v>
                </c:pt>
                <c:pt idx="31">
                  <c:v>1.2341184620000001</c:v>
                </c:pt>
                <c:pt idx="32">
                  <c:v>1.192016446</c:v>
                </c:pt>
                <c:pt idx="33">
                  <c:v>1.151539528</c:v>
                </c:pt>
                <c:pt idx="34">
                  <c:v>1.1126207749999999</c:v>
                </c:pt>
                <c:pt idx="35">
                  <c:v>1.0751951799999999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6B-4BFF-9D6E-7891C5878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Buildings by class (baseline)</a:t>
            </a:r>
          </a:p>
          <a:p>
            <a:pPr>
              <a:defRPr/>
            </a:pPr>
            <a:r>
              <a:rPr lang="fr-FR" sz="1800" i="1"/>
              <a:t>thousands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Données!$B$371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Données!$C$371:$AL$371</c:f>
              <c:numCache>
                <c:formatCode>#,##0</c:formatCode>
                <c:ptCount val="36"/>
                <c:pt idx="0">
                  <c:v>3.476542051</c:v>
                </c:pt>
                <c:pt idx="1">
                  <c:v>6.3126721699999999</c:v>
                </c:pt>
                <c:pt idx="2">
                  <c:v>9.5300235480000008</c:v>
                </c:pt>
                <c:pt idx="3">
                  <c:v>12.722456810000001</c:v>
                </c:pt>
                <c:pt idx="4">
                  <c:v>15.637005500000001</c:v>
                </c:pt>
                <c:pt idx="5">
                  <c:v>18.098824619999998</c:v>
                </c:pt>
                <c:pt idx="6">
                  <c:v>19.913918290000002</c:v>
                </c:pt>
                <c:pt idx="7">
                  <c:v>24.598826939999999</c:v>
                </c:pt>
                <c:pt idx="8">
                  <c:v>30.431781139999998</c:v>
                </c:pt>
                <c:pt idx="9">
                  <c:v>36.720337620000002</c:v>
                </c:pt>
                <c:pt idx="10">
                  <c:v>43.207835209999999</c:v>
                </c:pt>
                <c:pt idx="11">
                  <c:v>49.69076802</c:v>
                </c:pt>
                <c:pt idx="12">
                  <c:v>56.153197179999999</c:v>
                </c:pt>
                <c:pt idx="13">
                  <c:v>62.56813691</c:v>
                </c:pt>
                <c:pt idx="14">
                  <c:v>68.921140699999995</c:v>
                </c:pt>
                <c:pt idx="15">
                  <c:v>75.203815710000001</c:v>
                </c:pt>
                <c:pt idx="16">
                  <c:v>81.410406800000004</c:v>
                </c:pt>
                <c:pt idx="17">
                  <c:v>87.536157209999999</c:v>
                </c:pt>
                <c:pt idx="18">
                  <c:v>93.577185459999995</c:v>
                </c:pt>
                <c:pt idx="19">
                  <c:v>99.530701640000004</c:v>
                </c:pt>
                <c:pt idx="20">
                  <c:v>105.3672803</c:v>
                </c:pt>
                <c:pt idx="21">
                  <c:v>111.1361528</c:v>
                </c:pt>
                <c:pt idx="22">
                  <c:v>116.81095980000001</c:v>
                </c:pt>
                <c:pt idx="23">
                  <c:v>122.3950036</c:v>
                </c:pt>
                <c:pt idx="24">
                  <c:v>127.8943355</c:v>
                </c:pt>
                <c:pt idx="25">
                  <c:v>133.2391987</c:v>
                </c:pt>
                <c:pt idx="26">
                  <c:v>138.53314900000001</c:v>
                </c:pt>
                <c:pt idx="27">
                  <c:v>143.73335460000001</c:v>
                </c:pt>
                <c:pt idx="28">
                  <c:v>148.8393639</c:v>
                </c:pt>
                <c:pt idx="29">
                  <c:v>153.85482590000001</c:v>
                </c:pt>
                <c:pt idx="30">
                  <c:v>158.7872586</c:v>
                </c:pt>
                <c:pt idx="31">
                  <c:v>163.6479946</c:v>
                </c:pt>
                <c:pt idx="32">
                  <c:v>168.4501257</c:v>
                </c:pt>
                <c:pt idx="33">
                  <c:v>173.20651620000001</c:v>
                </c:pt>
                <c:pt idx="34">
                  <c:v>177.92777269999999</c:v>
                </c:pt>
                <c:pt idx="35">
                  <c:v>182.6208881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F-4D83-A0F0-AAB37D9DB6AC}"/>
            </c:ext>
          </c:extLst>
        </c:ser>
        <c:ser>
          <c:idx val="1"/>
          <c:order val="1"/>
          <c:tx>
            <c:strRef>
              <c:f>Données!$B$372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Données!$C$372:$AL$372</c:f>
              <c:numCache>
                <c:formatCode>#,##0</c:formatCode>
                <c:ptCount val="36"/>
                <c:pt idx="0">
                  <c:v>68.80476281</c:v>
                </c:pt>
                <c:pt idx="1">
                  <c:v>76.439123620000004</c:v>
                </c:pt>
                <c:pt idx="2">
                  <c:v>83.934815599999993</c:v>
                </c:pt>
                <c:pt idx="3">
                  <c:v>91.081188449999999</c:v>
                </c:pt>
                <c:pt idx="4">
                  <c:v>98.288672140000003</c:v>
                </c:pt>
                <c:pt idx="5">
                  <c:v>105.9967458</c:v>
                </c:pt>
                <c:pt idx="6">
                  <c:v>114.20770899999999</c:v>
                </c:pt>
                <c:pt idx="7">
                  <c:v>120.29955219999999</c:v>
                </c:pt>
                <c:pt idx="8">
                  <c:v>125.29063979999999</c:v>
                </c:pt>
                <c:pt idx="9">
                  <c:v>129.65961010000001</c:v>
                </c:pt>
                <c:pt idx="10">
                  <c:v>134.70458070000001</c:v>
                </c:pt>
                <c:pt idx="11">
                  <c:v>138.5014419</c:v>
                </c:pt>
                <c:pt idx="12">
                  <c:v>142.17486779999999</c:v>
                </c:pt>
                <c:pt idx="13">
                  <c:v>145.78127699999999</c:v>
                </c:pt>
                <c:pt idx="14">
                  <c:v>149.3573518</c:v>
                </c:pt>
                <c:pt idx="15">
                  <c:v>152.9277563</c:v>
                </c:pt>
                <c:pt idx="16">
                  <c:v>156.51004130000001</c:v>
                </c:pt>
                <c:pt idx="17">
                  <c:v>160.11772629999999</c:v>
                </c:pt>
                <c:pt idx="18">
                  <c:v>163.76182879999999</c:v>
                </c:pt>
                <c:pt idx="19">
                  <c:v>167.45151770000001</c:v>
                </c:pt>
                <c:pt idx="20">
                  <c:v>170.50820970000001</c:v>
                </c:pt>
                <c:pt idx="21">
                  <c:v>174.3124037</c:v>
                </c:pt>
                <c:pt idx="22">
                  <c:v>178.18490389999999</c:v>
                </c:pt>
                <c:pt idx="23">
                  <c:v>182.12759360000001</c:v>
                </c:pt>
                <c:pt idx="24">
                  <c:v>186.13798650000001</c:v>
                </c:pt>
                <c:pt idx="25">
                  <c:v>188.33825289999999</c:v>
                </c:pt>
                <c:pt idx="26">
                  <c:v>191.59683279999999</c:v>
                </c:pt>
                <c:pt idx="27">
                  <c:v>194.92479109999999</c:v>
                </c:pt>
                <c:pt idx="28">
                  <c:v>198.3239135</c:v>
                </c:pt>
                <c:pt idx="29">
                  <c:v>201.79155689999999</c:v>
                </c:pt>
                <c:pt idx="30">
                  <c:v>205.31996219999999</c:v>
                </c:pt>
                <c:pt idx="31">
                  <c:v>208.896083</c:v>
                </c:pt>
                <c:pt idx="32">
                  <c:v>212.5033809</c:v>
                </c:pt>
                <c:pt idx="33">
                  <c:v>216.12420729999999</c:v>
                </c:pt>
                <c:pt idx="34">
                  <c:v>219.7424048</c:v>
                </c:pt>
                <c:pt idx="35">
                  <c:v>223.34537929999999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4F-4D83-A0F0-AAB37D9DB6AC}"/>
            </c:ext>
          </c:extLst>
        </c:ser>
        <c:ser>
          <c:idx val="2"/>
          <c:order val="2"/>
          <c:tx>
            <c:strRef>
              <c:f>Données!$B$373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Données!$C$373:$AL$373</c:f>
              <c:numCache>
                <c:formatCode>#,##0</c:formatCode>
                <c:ptCount val="36"/>
                <c:pt idx="0">
                  <c:v>408.28039699999999</c:v>
                </c:pt>
                <c:pt idx="1">
                  <c:v>424.39375380000001</c:v>
                </c:pt>
                <c:pt idx="2">
                  <c:v>441.17755249999999</c:v>
                </c:pt>
                <c:pt idx="3">
                  <c:v>457.50304349999999</c:v>
                </c:pt>
                <c:pt idx="4">
                  <c:v>474.0857426</c:v>
                </c:pt>
                <c:pt idx="5">
                  <c:v>491.73626030000003</c:v>
                </c:pt>
                <c:pt idx="6">
                  <c:v>509.68852199999998</c:v>
                </c:pt>
                <c:pt idx="7">
                  <c:v>525.32740579999995</c:v>
                </c:pt>
                <c:pt idx="8">
                  <c:v>539.16040120000002</c:v>
                </c:pt>
                <c:pt idx="9">
                  <c:v>551.70896800000003</c:v>
                </c:pt>
                <c:pt idx="10">
                  <c:v>566.32454240000004</c:v>
                </c:pt>
                <c:pt idx="11">
                  <c:v>577.49615540000002</c:v>
                </c:pt>
                <c:pt idx="12">
                  <c:v>588.34145820000003</c:v>
                </c:pt>
                <c:pt idx="13">
                  <c:v>599.006304</c:v>
                </c:pt>
                <c:pt idx="14">
                  <c:v>609.59185609999997</c:v>
                </c:pt>
                <c:pt idx="15">
                  <c:v>620.16954799999996</c:v>
                </c:pt>
                <c:pt idx="16">
                  <c:v>630.79224420000003</c:v>
                </c:pt>
                <c:pt idx="17">
                  <c:v>641.50195589999998</c:v>
                </c:pt>
                <c:pt idx="18">
                  <c:v>652.33367940000005</c:v>
                </c:pt>
                <c:pt idx="19">
                  <c:v>663.31696669999997</c:v>
                </c:pt>
                <c:pt idx="20">
                  <c:v>672.55033100000003</c:v>
                </c:pt>
                <c:pt idx="21">
                  <c:v>683.91340109999999</c:v>
                </c:pt>
                <c:pt idx="22">
                  <c:v>695.50212939999994</c:v>
                </c:pt>
                <c:pt idx="23">
                  <c:v>707.32263049999995</c:v>
                </c:pt>
                <c:pt idx="24">
                  <c:v>719.36658729999999</c:v>
                </c:pt>
                <c:pt idx="25">
                  <c:v>726.36017140000001</c:v>
                </c:pt>
                <c:pt idx="26">
                  <c:v>736.35767050000004</c:v>
                </c:pt>
                <c:pt idx="27">
                  <c:v>746.58433170000001</c:v>
                </c:pt>
                <c:pt idx="28">
                  <c:v>757.04529730000002</c:v>
                </c:pt>
                <c:pt idx="29">
                  <c:v>767.73112590000005</c:v>
                </c:pt>
                <c:pt idx="30">
                  <c:v>778.61559980000004</c:v>
                </c:pt>
                <c:pt idx="31">
                  <c:v>789.65526190000003</c:v>
                </c:pt>
                <c:pt idx="32">
                  <c:v>800.79528289999996</c:v>
                </c:pt>
                <c:pt idx="33">
                  <c:v>811.97730100000001</c:v>
                </c:pt>
                <c:pt idx="34">
                  <c:v>823.14797759999999</c:v>
                </c:pt>
                <c:pt idx="35">
                  <c:v>834.26580230000002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4F-4D83-A0F0-AAB37D9DB6AC}"/>
            </c:ext>
          </c:extLst>
        </c:ser>
        <c:ser>
          <c:idx val="3"/>
          <c:order val="3"/>
          <c:tx>
            <c:strRef>
              <c:f>Données!$B$374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Données!$C$374:$AL$374</c:f>
              <c:numCache>
                <c:formatCode>#,##0</c:formatCode>
                <c:ptCount val="36"/>
                <c:pt idx="0">
                  <c:v>954.38155940000001</c:v>
                </c:pt>
                <c:pt idx="1">
                  <c:v>948.70481119999999</c:v>
                </c:pt>
                <c:pt idx="2">
                  <c:v>944.06577930000003</c:v>
                </c:pt>
                <c:pt idx="3">
                  <c:v>939.88511510000001</c:v>
                </c:pt>
                <c:pt idx="4">
                  <c:v>935.61201779999999</c:v>
                </c:pt>
                <c:pt idx="5">
                  <c:v>930.63656609999998</c:v>
                </c:pt>
                <c:pt idx="6">
                  <c:v>924.04043630000001</c:v>
                </c:pt>
                <c:pt idx="7">
                  <c:v>918.5499284</c:v>
                </c:pt>
                <c:pt idx="8">
                  <c:v>913.69275549999998</c:v>
                </c:pt>
                <c:pt idx="9">
                  <c:v>909.1841455</c:v>
                </c:pt>
                <c:pt idx="10">
                  <c:v>904.86845830000004</c:v>
                </c:pt>
                <c:pt idx="11">
                  <c:v>900.66251590000002</c:v>
                </c:pt>
                <c:pt idx="12">
                  <c:v>896.52180129999999</c:v>
                </c:pt>
                <c:pt idx="13">
                  <c:v>892.42332390000001</c:v>
                </c:pt>
                <c:pt idx="14">
                  <c:v>888.35519469999997</c:v>
                </c:pt>
                <c:pt idx="15">
                  <c:v>884.31128590000003</c:v>
                </c:pt>
                <c:pt idx="16">
                  <c:v>880.28842039999995</c:v>
                </c:pt>
                <c:pt idx="17">
                  <c:v>876.28491659999997</c:v>
                </c:pt>
                <c:pt idx="18">
                  <c:v>872.29984509999997</c:v>
                </c:pt>
                <c:pt idx="19">
                  <c:v>868.33265429999994</c:v>
                </c:pt>
                <c:pt idx="20">
                  <c:v>864.3829839</c:v>
                </c:pt>
                <c:pt idx="21">
                  <c:v>860.45030350000002</c:v>
                </c:pt>
                <c:pt idx="22">
                  <c:v>856.53466619999995</c:v>
                </c:pt>
                <c:pt idx="23">
                  <c:v>852.63590350000004</c:v>
                </c:pt>
                <c:pt idx="24">
                  <c:v>848.75388109999994</c:v>
                </c:pt>
                <c:pt idx="25">
                  <c:v>844.88848770000004</c:v>
                </c:pt>
                <c:pt idx="26">
                  <c:v>841.0388888</c:v>
                </c:pt>
                <c:pt idx="27">
                  <c:v>837.20535610000002</c:v>
                </c:pt>
                <c:pt idx="28">
                  <c:v>833.38779460000001</c:v>
                </c:pt>
                <c:pt idx="29">
                  <c:v>829.5861337</c:v>
                </c:pt>
                <c:pt idx="30">
                  <c:v>825.80032900000003</c:v>
                </c:pt>
                <c:pt idx="31">
                  <c:v>822.03036350000002</c:v>
                </c:pt>
                <c:pt idx="32">
                  <c:v>818.27623649999998</c:v>
                </c:pt>
                <c:pt idx="33">
                  <c:v>814.53795700000001</c:v>
                </c:pt>
                <c:pt idx="34">
                  <c:v>810.81553799999995</c:v>
                </c:pt>
                <c:pt idx="35">
                  <c:v>807.10899300000005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4F-4D83-A0F0-AAB37D9DB6AC}"/>
            </c:ext>
          </c:extLst>
        </c:ser>
        <c:ser>
          <c:idx val="4"/>
          <c:order val="4"/>
          <c:tx>
            <c:strRef>
              <c:f>Données!$B$375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Données!$C$375:$AL$375</c:f>
              <c:numCache>
                <c:formatCode>#,##0</c:formatCode>
                <c:ptCount val="36"/>
                <c:pt idx="0">
                  <c:v>878.79999729999997</c:v>
                </c:pt>
                <c:pt idx="1">
                  <c:v>868.20180119999998</c:v>
                </c:pt>
                <c:pt idx="2">
                  <c:v>858.14469659999997</c:v>
                </c:pt>
                <c:pt idx="3">
                  <c:v>848.46725049999998</c:v>
                </c:pt>
                <c:pt idx="4">
                  <c:v>838.84195850000003</c:v>
                </c:pt>
                <c:pt idx="5">
                  <c:v>828.80253919999996</c:v>
                </c:pt>
                <c:pt idx="6">
                  <c:v>817.82604709999998</c:v>
                </c:pt>
                <c:pt idx="7">
                  <c:v>807.29467339999997</c:v>
                </c:pt>
                <c:pt idx="8">
                  <c:v>797.88181340000006</c:v>
                </c:pt>
                <c:pt idx="9">
                  <c:v>789.56941089999998</c:v>
                </c:pt>
                <c:pt idx="10">
                  <c:v>782.11646210000004</c:v>
                </c:pt>
                <c:pt idx="11">
                  <c:v>775.27696170000002</c:v>
                </c:pt>
                <c:pt idx="12">
                  <c:v>768.85010509999995</c:v>
                </c:pt>
                <c:pt idx="13">
                  <c:v>762.68544369999995</c:v>
                </c:pt>
                <c:pt idx="14">
                  <c:v>756.67282609999995</c:v>
                </c:pt>
                <c:pt idx="15">
                  <c:v>750.73164780000002</c:v>
                </c:pt>
                <c:pt idx="16">
                  <c:v>744.80108729999995</c:v>
                </c:pt>
                <c:pt idx="17">
                  <c:v>738.83246959999997</c:v>
                </c:pt>
                <c:pt idx="18">
                  <c:v>732.78481290000002</c:v>
                </c:pt>
                <c:pt idx="19">
                  <c:v>726.62280469999996</c:v>
                </c:pt>
                <c:pt idx="20">
                  <c:v>720.31367209999996</c:v>
                </c:pt>
                <c:pt idx="21">
                  <c:v>713.82471640000006</c:v>
                </c:pt>
                <c:pt idx="22">
                  <c:v>707.13169900000003</c:v>
                </c:pt>
                <c:pt idx="23">
                  <c:v>700.22328979999998</c:v>
                </c:pt>
                <c:pt idx="24">
                  <c:v>693.10419279999996</c:v>
                </c:pt>
                <c:pt idx="25">
                  <c:v>685.78222010000002</c:v>
                </c:pt>
                <c:pt idx="26">
                  <c:v>678.24681999999996</c:v>
                </c:pt>
                <c:pt idx="27">
                  <c:v>670.48417459999996</c:v>
                </c:pt>
                <c:pt idx="28">
                  <c:v>662.48786949999999</c:v>
                </c:pt>
                <c:pt idx="29">
                  <c:v>654.26640450000002</c:v>
                </c:pt>
                <c:pt idx="30">
                  <c:v>645.84632360000001</c:v>
                </c:pt>
                <c:pt idx="31">
                  <c:v>637.27291579999996</c:v>
                </c:pt>
                <c:pt idx="32">
                  <c:v>628.60461420000001</c:v>
                </c:pt>
                <c:pt idx="33">
                  <c:v>619.90476579999995</c:v>
                </c:pt>
                <c:pt idx="34">
                  <c:v>611.23250680000001</c:v>
                </c:pt>
                <c:pt idx="35">
                  <c:v>602.6352402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4F-4D83-A0F0-AAB37D9DB6AC}"/>
            </c:ext>
          </c:extLst>
        </c:ser>
        <c:ser>
          <c:idx val="5"/>
          <c:order val="5"/>
          <c:tx>
            <c:strRef>
              <c:f>Données!$B$376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Données!$C$376:$AL$376</c:f>
              <c:numCache>
                <c:formatCode>#,##0</c:formatCode>
                <c:ptCount val="36"/>
                <c:pt idx="0">
                  <c:v>139.85209269999999</c:v>
                </c:pt>
                <c:pt idx="1">
                  <c:v>137.95044630000001</c:v>
                </c:pt>
                <c:pt idx="2">
                  <c:v>136.07601829999999</c:v>
                </c:pt>
                <c:pt idx="3">
                  <c:v>134.23667570000001</c:v>
                </c:pt>
                <c:pt idx="4">
                  <c:v>132.4378107</c:v>
                </c:pt>
                <c:pt idx="5">
                  <c:v>130.6807431</c:v>
                </c:pt>
                <c:pt idx="6">
                  <c:v>128.96334909999999</c:v>
                </c:pt>
                <c:pt idx="7">
                  <c:v>127.28150650000001</c:v>
                </c:pt>
                <c:pt idx="8">
                  <c:v>125.6306503</c:v>
                </c:pt>
                <c:pt idx="9">
                  <c:v>124.0065385</c:v>
                </c:pt>
                <c:pt idx="10">
                  <c:v>122.4056673</c:v>
                </c:pt>
                <c:pt idx="11">
                  <c:v>120.8253952</c:v>
                </c:pt>
                <c:pt idx="12">
                  <c:v>119.2636775</c:v>
                </c:pt>
                <c:pt idx="13">
                  <c:v>117.71899310000001</c:v>
                </c:pt>
                <c:pt idx="14">
                  <c:v>116.190269</c:v>
                </c:pt>
                <c:pt idx="15">
                  <c:v>114.67678909999999</c:v>
                </c:pt>
                <c:pt idx="16">
                  <c:v>113.1781242</c:v>
                </c:pt>
                <c:pt idx="17">
                  <c:v>111.6940718</c:v>
                </c:pt>
                <c:pt idx="18">
                  <c:v>110.22461199999999</c:v>
                </c:pt>
                <c:pt idx="19">
                  <c:v>108.7698699</c:v>
                </c:pt>
                <c:pt idx="20">
                  <c:v>107.33004560000001</c:v>
                </c:pt>
                <c:pt idx="21">
                  <c:v>105.905394</c:v>
                </c:pt>
                <c:pt idx="22">
                  <c:v>104.4962601</c:v>
                </c:pt>
                <c:pt idx="23">
                  <c:v>103.1030164</c:v>
                </c:pt>
                <c:pt idx="24">
                  <c:v>101.7260185</c:v>
                </c:pt>
                <c:pt idx="25">
                  <c:v>100.365503</c:v>
                </c:pt>
                <c:pt idx="26">
                  <c:v>99.02158068</c:v>
                </c:pt>
                <c:pt idx="27">
                  <c:v>97.694382520000005</c:v>
                </c:pt>
                <c:pt idx="28">
                  <c:v>96.38403864</c:v>
                </c:pt>
                <c:pt idx="29">
                  <c:v>95.090650719999999</c:v>
                </c:pt>
                <c:pt idx="30">
                  <c:v>93.814272970000005</c:v>
                </c:pt>
                <c:pt idx="31">
                  <c:v>92.554899590000005</c:v>
                </c:pt>
                <c:pt idx="32">
                  <c:v>91.312467769999998</c:v>
                </c:pt>
                <c:pt idx="33">
                  <c:v>90.086861450000001</c:v>
                </c:pt>
                <c:pt idx="34">
                  <c:v>88.877913879999994</c:v>
                </c:pt>
                <c:pt idx="35">
                  <c:v>87.685412310000004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4F-4D83-A0F0-AAB37D9DB6AC}"/>
            </c:ext>
          </c:extLst>
        </c:ser>
        <c:ser>
          <c:idx val="6"/>
          <c:order val="6"/>
          <c:tx>
            <c:strRef>
              <c:f>Données!$B$377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Données!$C$377:$AL$377</c:f>
              <c:numCache>
                <c:formatCode>#,##0</c:formatCode>
                <c:ptCount val="36"/>
                <c:pt idx="0">
                  <c:v>3.874567114</c:v>
                </c:pt>
                <c:pt idx="1">
                  <c:v>3.7237652689999998</c:v>
                </c:pt>
                <c:pt idx="2">
                  <c:v>3.5792210679999998</c:v>
                </c:pt>
                <c:pt idx="3">
                  <c:v>3.4412548319999998</c:v>
                </c:pt>
                <c:pt idx="4">
                  <c:v>3.3100063660000001</c:v>
                </c:pt>
                <c:pt idx="5">
                  <c:v>3.1853211030000002</c:v>
                </c:pt>
                <c:pt idx="6">
                  <c:v>3.0668081470000002</c:v>
                </c:pt>
                <c:pt idx="7">
                  <c:v>2.953955884</c:v>
                </c:pt>
                <c:pt idx="8">
                  <c:v>2.8462362649999999</c:v>
                </c:pt>
                <c:pt idx="9">
                  <c:v>2.743165624</c:v>
                </c:pt>
                <c:pt idx="10">
                  <c:v>2.644335978</c:v>
                </c:pt>
                <c:pt idx="11">
                  <c:v>2.5494195180000001</c:v>
                </c:pt>
                <c:pt idx="12">
                  <c:v>2.4581453849999999</c:v>
                </c:pt>
                <c:pt idx="13">
                  <c:v>2.3702903050000002</c:v>
                </c:pt>
                <c:pt idx="14">
                  <c:v>2.2856700980000002</c:v>
                </c:pt>
                <c:pt idx="15">
                  <c:v>2.2041312749999999</c:v>
                </c:pt>
                <c:pt idx="16">
                  <c:v>2.1255443199999999</c:v>
                </c:pt>
                <c:pt idx="17">
                  <c:v>2.0497977540000001</c:v>
                </c:pt>
                <c:pt idx="18">
                  <c:v>1.976793676</c:v>
                </c:pt>
                <c:pt idx="19">
                  <c:v>1.906444526</c:v>
                </c:pt>
                <c:pt idx="20">
                  <c:v>1.8386685810000001</c:v>
                </c:pt>
                <c:pt idx="21">
                  <c:v>1.773388486</c:v>
                </c:pt>
                <c:pt idx="22">
                  <c:v>1.7105330050000001</c:v>
                </c:pt>
                <c:pt idx="23">
                  <c:v>1.6500337549999999</c:v>
                </c:pt>
                <c:pt idx="24">
                  <c:v>1.5918230310000001</c:v>
                </c:pt>
                <c:pt idx="25">
                  <c:v>1.5358289650000001</c:v>
                </c:pt>
                <c:pt idx="26">
                  <c:v>1.4819755459999999</c:v>
                </c:pt>
                <c:pt idx="27">
                  <c:v>1.430189884</c:v>
                </c:pt>
                <c:pt idx="28">
                  <c:v>1.380401652</c:v>
                </c:pt>
                <c:pt idx="29">
                  <c:v>1.3325419679999999</c:v>
                </c:pt>
                <c:pt idx="30">
                  <c:v>1.2865426719999999</c:v>
                </c:pt>
                <c:pt idx="31">
                  <c:v>1.2423359650000001</c:v>
                </c:pt>
                <c:pt idx="32">
                  <c:v>1.199854494</c:v>
                </c:pt>
                <c:pt idx="33">
                  <c:v>1.159031479</c:v>
                </c:pt>
                <c:pt idx="34">
                  <c:v>1.1198008239999999</c:v>
                </c:pt>
                <c:pt idx="35">
                  <c:v>1.082097351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4F-4D83-A0F0-AAB37D9DB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Vehicles by class (baseline)</a:t>
            </a:r>
          </a:p>
          <a:p>
            <a:pPr>
              <a:defRPr/>
            </a:pPr>
            <a:r>
              <a:rPr lang="fr-FR" sz="1800" i="1"/>
              <a:t>thousands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Données!$B$362</c:f>
              <c:strCache>
                <c:ptCount val="1"/>
                <c:pt idx="0">
                  <c:v>AUTO_CA_0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Données!$C$362:$AL$362</c:f>
              <c:numCache>
                <c:formatCode>#,##0</c:formatCode>
                <c:ptCount val="36"/>
                <c:pt idx="0">
                  <c:v>7105.9689965623002</c:v>
                </c:pt>
                <c:pt idx="1">
                  <c:v>7160.6497681199999</c:v>
                </c:pt>
                <c:pt idx="2">
                  <c:v>7267.0218339951998</c:v>
                </c:pt>
                <c:pt idx="3">
                  <c:v>7408.2740046971003</c:v>
                </c:pt>
                <c:pt idx="4">
                  <c:v>7573.2387139170005</c:v>
                </c:pt>
                <c:pt idx="5">
                  <c:v>7754.6723144057996</c:v>
                </c:pt>
                <c:pt idx="6">
                  <c:v>7946.7417244479002</c:v>
                </c:pt>
                <c:pt idx="7">
                  <c:v>8146.3988626212004</c:v>
                </c:pt>
                <c:pt idx="8">
                  <c:v>8351.6196386540996</c:v>
                </c:pt>
                <c:pt idx="9">
                  <c:v>8561.0175149338993</c:v>
                </c:pt>
                <c:pt idx="10">
                  <c:v>8775.7139469201993</c:v>
                </c:pt>
                <c:pt idx="11">
                  <c:v>8992.7592967043001</c:v>
                </c:pt>
                <c:pt idx="12">
                  <c:v>9211.5018659216003</c:v>
                </c:pt>
                <c:pt idx="13">
                  <c:v>9431.3736216702</c:v>
                </c:pt>
                <c:pt idx="14">
                  <c:v>9651.9099030667985</c:v>
                </c:pt>
                <c:pt idx="15">
                  <c:v>9872.7421410147999</c:v>
                </c:pt>
                <c:pt idx="16">
                  <c:v>10093.582851203499</c:v>
                </c:pt>
                <c:pt idx="17">
                  <c:v>10314.2102484396</c:v>
                </c:pt>
                <c:pt idx="18">
                  <c:v>10534.4554563415</c:v>
                </c:pt>
                <c:pt idx="19">
                  <c:v>10754.1930883068</c:v>
                </c:pt>
                <c:pt idx="20">
                  <c:v>10971.670640467999</c:v>
                </c:pt>
                <c:pt idx="21">
                  <c:v>11188.586057535</c:v>
                </c:pt>
                <c:pt idx="22">
                  <c:v>11404.950032997</c:v>
                </c:pt>
                <c:pt idx="23">
                  <c:v>11620.816143582999</c:v>
                </c:pt>
                <c:pt idx="24">
                  <c:v>11836.243911501</c:v>
                </c:pt>
                <c:pt idx="25">
                  <c:v>12046.420553889</c:v>
                </c:pt>
                <c:pt idx="26">
                  <c:v>12254.240109097</c:v>
                </c:pt>
                <c:pt idx="27">
                  <c:v>12459.975402997001</c:v>
                </c:pt>
                <c:pt idx="28">
                  <c:v>12664.003533495999</c:v>
                </c:pt>
                <c:pt idx="29">
                  <c:v>12866.725806429</c:v>
                </c:pt>
                <c:pt idx="30">
                  <c:v>13068.527880080001</c:v>
                </c:pt>
                <c:pt idx="31">
                  <c:v>13269.762200902001</c:v>
                </c:pt>
                <c:pt idx="32">
                  <c:v>13470.743578614998</c:v>
                </c:pt>
                <c:pt idx="33">
                  <c:v>13671.752178909001</c:v>
                </c:pt>
                <c:pt idx="34">
                  <c:v>13873.039530516999</c:v>
                </c:pt>
                <c:pt idx="35">
                  <c:v>14074.835080921999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3B-46A1-8D5E-7BC161373771}"/>
            </c:ext>
          </c:extLst>
        </c:ser>
        <c:ser>
          <c:idx val="1"/>
          <c:order val="1"/>
          <c:tx>
            <c:strRef>
              <c:f>Données!$B$363</c:f>
              <c:strCache>
                <c:ptCount val="1"/>
                <c:pt idx="0">
                  <c:v>AUTO_CB_0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Données!$C$363:$AL$363</c:f>
              <c:numCache>
                <c:formatCode>#,##0</c:formatCode>
                <c:ptCount val="36"/>
                <c:pt idx="0">
                  <c:v>8263.1971436354015</c:v>
                </c:pt>
                <c:pt idx="1">
                  <c:v>8202.9699847938991</c:v>
                </c:pt>
                <c:pt idx="2">
                  <c:v>8199.9926202888</c:v>
                </c:pt>
                <c:pt idx="3">
                  <c:v>8237.1856900154999</c:v>
                </c:pt>
                <c:pt idx="4">
                  <c:v>8303.0509479114007</c:v>
                </c:pt>
                <c:pt idx="5">
                  <c:v>8389.9666175414986</c:v>
                </c:pt>
                <c:pt idx="6">
                  <c:v>8491.7567487001998</c:v>
                </c:pt>
                <c:pt idx="7">
                  <c:v>8604.971887285601</c:v>
                </c:pt>
                <c:pt idx="8">
                  <c:v>8727.1942912302002</c:v>
                </c:pt>
                <c:pt idx="9">
                  <c:v>8856.6591204246997</c:v>
                </c:pt>
                <c:pt idx="10">
                  <c:v>8993.9961942533009</c:v>
                </c:pt>
                <c:pt idx="11">
                  <c:v>9136.0468474987993</c:v>
                </c:pt>
                <c:pt idx="12">
                  <c:v>9281.8489629205014</c:v>
                </c:pt>
                <c:pt idx="13">
                  <c:v>9430.5500715906001</c:v>
                </c:pt>
                <c:pt idx="14">
                  <c:v>9581.4221305076007</c:v>
                </c:pt>
                <c:pt idx="15">
                  <c:v>9733.8515032108007</c:v>
                </c:pt>
                <c:pt idx="16">
                  <c:v>9887.3222542834992</c:v>
                </c:pt>
                <c:pt idx="17">
                  <c:v>10041.399502427701</c:v>
                </c:pt>
                <c:pt idx="18">
                  <c:v>10195.715453832699</c:v>
                </c:pt>
                <c:pt idx="19">
                  <c:v>10349.9587942053</c:v>
                </c:pt>
                <c:pt idx="20">
                  <c:v>10502.357602291901</c:v>
                </c:pt>
                <c:pt idx="21">
                  <c:v>10654.2929336691</c:v>
                </c:pt>
                <c:pt idx="22">
                  <c:v>10805.6175376996</c:v>
                </c:pt>
                <c:pt idx="23">
                  <c:v>10956.231568776</c:v>
                </c:pt>
                <c:pt idx="24">
                  <c:v>11106.048523240001</c:v>
                </c:pt>
                <c:pt idx="25">
                  <c:v>11250.652227618</c:v>
                </c:pt>
                <c:pt idx="26">
                  <c:v>11392.533742494999</c:v>
                </c:pt>
                <c:pt idx="27">
                  <c:v>11531.841422435999</c:v>
                </c:pt>
                <c:pt idx="28">
                  <c:v>11668.817076521002</c:v>
                </c:pt>
                <c:pt idx="29">
                  <c:v>11803.723660286001</c:v>
                </c:pt>
                <c:pt idx="30">
                  <c:v>11936.809808827</c:v>
                </c:pt>
                <c:pt idx="31">
                  <c:v>12068.294208509</c:v>
                </c:pt>
                <c:pt idx="32">
                  <c:v>12198.361864241</c:v>
                </c:pt>
                <c:pt idx="33">
                  <c:v>12327.166715373</c:v>
                </c:pt>
                <c:pt idx="34">
                  <c:v>12454.836958229</c:v>
                </c:pt>
                <c:pt idx="35">
                  <c:v>12581.480736172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13B-46A1-8D5E-7BC161373771}"/>
            </c:ext>
          </c:extLst>
        </c:ser>
        <c:ser>
          <c:idx val="2"/>
          <c:order val="2"/>
          <c:tx>
            <c:strRef>
              <c:f>Données!$B$364</c:f>
              <c:strCache>
                <c:ptCount val="1"/>
                <c:pt idx="0">
                  <c:v>AUTO_CC_0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Données!$C$364:$AL$364</c:f>
              <c:numCache>
                <c:formatCode>#,##0</c:formatCode>
                <c:ptCount val="36"/>
                <c:pt idx="0">
                  <c:v>6787.4105911386005</c:v>
                </c:pt>
                <c:pt idx="1">
                  <c:v>6662.2406310622</c:v>
                </c:pt>
                <c:pt idx="2">
                  <c:v>6582.408196777199</c:v>
                </c:pt>
                <c:pt idx="3">
                  <c:v>6535.4142459024997</c:v>
                </c:pt>
                <c:pt idx="4">
                  <c:v>6512.7391945229001</c:v>
                </c:pt>
                <c:pt idx="5">
                  <c:v>6508.6252929436005</c:v>
                </c:pt>
                <c:pt idx="6">
                  <c:v>6518.3813096073</c:v>
                </c:pt>
                <c:pt idx="7">
                  <c:v>6539.2420466244002</c:v>
                </c:pt>
                <c:pt idx="8">
                  <c:v>6569.1921338142993</c:v>
                </c:pt>
                <c:pt idx="9">
                  <c:v>6606.6982884145</c:v>
                </c:pt>
                <c:pt idx="10">
                  <c:v>6651.8786761391993</c:v>
                </c:pt>
                <c:pt idx="11">
                  <c:v>6702.3120269124001</c:v>
                </c:pt>
                <c:pt idx="12">
                  <c:v>6757.0932893151994</c:v>
                </c:pt>
                <c:pt idx="13">
                  <c:v>6815.4150731393001</c:v>
                </c:pt>
                <c:pt idx="14">
                  <c:v>6876.574992848</c:v>
                </c:pt>
                <c:pt idx="15">
                  <c:v>6939.9665790175004</c:v>
                </c:pt>
                <c:pt idx="16">
                  <c:v>7005.0660825348004</c:v>
                </c:pt>
                <c:pt idx="17">
                  <c:v>7071.4195984757998</c:v>
                </c:pt>
                <c:pt idx="18">
                  <c:v>7138.6321879858006</c:v>
                </c:pt>
                <c:pt idx="19">
                  <c:v>7206.3593575684999</c:v>
                </c:pt>
                <c:pt idx="20">
                  <c:v>7273.3130888136002</c:v>
                </c:pt>
                <c:pt idx="21">
                  <c:v>7340.2857880620004</c:v>
                </c:pt>
                <c:pt idx="22">
                  <c:v>7407.0731619073995</c:v>
                </c:pt>
                <c:pt idx="23">
                  <c:v>7473.5093905049998</c:v>
                </c:pt>
                <c:pt idx="24">
                  <c:v>7539.4443974781998</c:v>
                </c:pt>
                <c:pt idx="25">
                  <c:v>7601.9537567602001</c:v>
                </c:pt>
                <c:pt idx="26">
                  <c:v>7662.5813395080995</c:v>
                </c:pt>
                <c:pt idx="27">
                  <c:v>7721.3617957726001</c:v>
                </c:pt>
                <c:pt idx="28">
                  <c:v>7778.3917488904999</c:v>
                </c:pt>
                <c:pt idx="29">
                  <c:v>7833.7827234606002</c:v>
                </c:pt>
                <c:pt idx="30">
                  <c:v>7887.6383029076005</c:v>
                </c:pt>
                <c:pt idx="31">
                  <c:v>7940.0442322403997</c:v>
                </c:pt>
                <c:pt idx="32">
                  <c:v>7991.0660653944997</c:v>
                </c:pt>
                <c:pt idx="33">
                  <c:v>8040.7508801795993</c:v>
                </c:pt>
                <c:pt idx="34">
                  <c:v>8089.1306902685001</c:v>
                </c:pt>
                <c:pt idx="35">
                  <c:v>8136.2260781089999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13B-46A1-8D5E-7BC161373771}"/>
            </c:ext>
          </c:extLst>
        </c:ser>
        <c:ser>
          <c:idx val="3"/>
          <c:order val="3"/>
          <c:tx>
            <c:strRef>
              <c:f>Données!$B$365</c:f>
              <c:strCache>
                <c:ptCount val="1"/>
                <c:pt idx="0">
                  <c:v>AUTO_CD_0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Données!$C$365:$AL$365</c:f>
              <c:numCache>
                <c:formatCode>#,##0</c:formatCode>
                <c:ptCount val="36"/>
                <c:pt idx="0">
                  <c:v>4165.6835237371006</c:v>
                </c:pt>
                <c:pt idx="1">
                  <c:v>4063.7549312126998</c:v>
                </c:pt>
                <c:pt idx="2">
                  <c:v>3987.4894742157003</c:v>
                </c:pt>
                <c:pt idx="3">
                  <c:v>3929.3510947748996</c:v>
                </c:pt>
                <c:pt idx="4">
                  <c:v>3884.2335703505996</c:v>
                </c:pt>
                <c:pt idx="5">
                  <c:v>3848.6928202886002</c:v>
                </c:pt>
                <c:pt idx="6">
                  <c:v>3819.9769017040999</c:v>
                </c:pt>
                <c:pt idx="7">
                  <c:v>3796.4372700671001</c:v>
                </c:pt>
                <c:pt idx="8">
                  <c:v>3776.8724886792997</c:v>
                </c:pt>
                <c:pt idx="9">
                  <c:v>3760.3696771077998</c:v>
                </c:pt>
                <c:pt idx="10">
                  <c:v>3746.8693233879999</c:v>
                </c:pt>
                <c:pt idx="11">
                  <c:v>3735.0603296155</c:v>
                </c:pt>
                <c:pt idx="12">
                  <c:v>3724.4200972351</c:v>
                </c:pt>
                <c:pt idx="13">
                  <c:v>3714.4942391886002</c:v>
                </c:pt>
                <c:pt idx="14">
                  <c:v>3704.8966054786001</c:v>
                </c:pt>
                <c:pt idx="15">
                  <c:v>3695.3018230854</c:v>
                </c:pt>
                <c:pt idx="16">
                  <c:v>3685.4365557341002</c:v>
                </c:pt>
                <c:pt idx="17">
                  <c:v>3675.0714551869</c:v>
                </c:pt>
                <c:pt idx="18">
                  <c:v>3664.0143816596001</c:v>
                </c:pt>
                <c:pt idx="19">
                  <c:v>3652.1049565212998</c:v>
                </c:pt>
                <c:pt idx="20">
                  <c:v>3638.7871663597002</c:v>
                </c:pt>
                <c:pt idx="21">
                  <c:v>3624.4161796577</c:v>
                </c:pt>
                <c:pt idx="22">
                  <c:v>3608.9135885689998</c:v>
                </c:pt>
                <c:pt idx="23">
                  <c:v>3592.2203274353997</c:v>
                </c:pt>
                <c:pt idx="24">
                  <c:v>3574.2871060585999</c:v>
                </c:pt>
                <c:pt idx="25">
                  <c:v>3553.9751266213998</c:v>
                </c:pt>
                <c:pt idx="26">
                  <c:v>3531.9539945519</c:v>
                </c:pt>
                <c:pt idx="27">
                  <c:v>3508.2824564746998</c:v>
                </c:pt>
                <c:pt idx="28">
                  <c:v>3483.0399053597998</c:v>
                </c:pt>
                <c:pt idx="29">
                  <c:v>3456.3075712504001</c:v>
                </c:pt>
                <c:pt idx="30">
                  <c:v>3428.1603081853</c:v>
                </c:pt>
                <c:pt idx="31">
                  <c:v>3398.6636331867994</c:v>
                </c:pt>
                <c:pt idx="32">
                  <c:v>3367.8736210207999</c:v>
                </c:pt>
                <c:pt idx="33">
                  <c:v>3335.8382386571998</c:v>
                </c:pt>
                <c:pt idx="34">
                  <c:v>3302.5992092141996</c:v>
                </c:pt>
                <c:pt idx="35">
                  <c:v>3268.1938677042999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13B-46A1-8D5E-7BC161373771}"/>
            </c:ext>
          </c:extLst>
        </c:ser>
        <c:ser>
          <c:idx val="4"/>
          <c:order val="4"/>
          <c:tx>
            <c:strRef>
              <c:f>Données!$B$366</c:f>
              <c:strCache>
                <c:ptCount val="1"/>
                <c:pt idx="0">
                  <c:v>AUTO_CE_0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Données!$C$366:$AL$366</c:f>
              <c:numCache>
                <c:formatCode>#,##0</c:formatCode>
                <c:ptCount val="36"/>
                <c:pt idx="0">
                  <c:v>2507.3524895615005</c:v>
                </c:pt>
                <c:pt idx="1">
                  <c:v>2448.3068137218997</c:v>
                </c:pt>
                <c:pt idx="2">
                  <c:v>2403.6767763337998</c:v>
                </c:pt>
                <c:pt idx="3">
                  <c:v>2368.6467408938001</c:v>
                </c:pt>
                <c:pt idx="4">
                  <c:v>2340.0152312186001</c:v>
                </c:pt>
                <c:pt idx="5">
                  <c:v>2315.6699052243998</c:v>
                </c:pt>
                <c:pt idx="6">
                  <c:v>2293.9727409157003</c:v>
                </c:pt>
                <c:pt idx="7">
                  <c:v>2273.9774610468999</c:v>
                </c:pt>
                <c:pt idx="8">
                  <c:v>2255.0232710637997</c:v>
                </c:pt>
                <c:pt idx="9">
                  <c:v>2236.6319747365001</c:v>
                </c:pt>
                <c:pt idx="10">
                  <c:v>2218.8139146436001</c:v>
                </c:pt>
                <c:pt idx="11">
                  <c:v>2200.8828094053997</c:v>
                </c:pt>
                <c:pt idx="12">
                  <c:v>2182.6055835697002</c:v>
                </c:pt>
                <c:pt idx="13">
                  <c:v>2163.7928095627003</c:v>
                </c:pt>
                <c:pt idx="14">
                  <c:v>2144.2968655786999</c:v>
                </c:pt>
                <c:pt idx="15">
                  <c:v>2124.0063164955</c:v>
                </c:pt>
                <c:pt idx="16">
                  <c:v>2102.8400188717997</c:v>
                </c:pt>
                <c:pt idx="17">
                  <c:v>2080.7418772645997</c:v>
                </c:pt>
                <c:pt idx="18">
                  <c:v>2057.6764724975997</c:v>
                </c:pt>
                <c:pt idx="19">
                  <c:v>2033.6255231077998</c:v>
                </c:pt>
                <c:pt idx="20">
                  <c:v>2008.3786897514999</c:v>
                </c:pt>
                <c:pt idx="21">
                  <c:v>1982.1758285309002</c:v>
                </c:pt>
                <c:pt idx="22">
                  <c:v>1955.0394272589999</c:v>
                </c:pt>
                <c:pt idx="23">
                  <c:v>1926.9998674843</c:v>
                </c:pt>
                <c:pt idx="24">
                  <c:v>1898.0909425955997</c:v>
                </c:pt>
                <c:pt idx="25">
                  <c:v>1867.8528454844002</c:v>
                </c:pt>
                <c:pt idx="26">
                  <c:v>1836.6603912229998</c:v>
                </c:pt>
                <c:pt idx="27">
                  <c:v>1804.6023801721001</c:v>
                </c:pt>
                <c:pt idx="28">
                  <c:v>1771.7726013876002</c:v>
                </c:pt>
                <c:pt idx="29">
                  <c:v>1738.2614750951</c:v>
                </c:pt>
                <c:pt idx="30">
                  <c:v>1704.1528732953</c:v>
                </c:pt>
                <c:pt idx="31">
                  <c:v>1669.5233380437001</c:v>
                </c:pt>
                <c:pt idx="32">
                  <c:v>1634.4425057889</c:v>
                </c:pt>
                <c:pt idx="33">
                  <c:v>1598.9740877784</c:v>
                </c:pt>
                <c:pt idx="34">
                  <c:v>1563.1770031669998</c:v>
                </c:pt>
                <c:pt idx="35">
                  <c:v>1527.106437591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13B-46A1-8D5E-7BC161373771}"/>
            </c:ext>
          </c:extLst>
        </c:ser>
        <c:ser>
          <c:idx val="5"/>
          <c:order val="5"/>
          <c:tx>
            <c:strRef>
              <c:f>Données!$B$367</c:f>
              <c:strCache>
                <c:ptCount val="1"/>
                <c:pt idx="0">
                  <c:v>AUTO_CF_0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Données!$C$367:$AL$367</c:f>
              <c:numCache>
                <c:formatCode>#,##0</c:formatCode>
                <c:ptCount val="36"/>
                <c:pt idx="0">
                  <c:v>1245.466605953</c:v>
                </c:pt>
                <c:pt idx="1">
                  <c:v>1213.2724268428999</c:v>
                </c:pt>
                <c:pt idx="2">
                  <c:v>1186.5363146694001</c:v>
                </c:pt>
                <c:pt idx="3">
                  <c:v>1162.6456731578999</c:v>
                </c:pt>
                <c:pt idx="4">
                  <c:v>1139.9931489905002</c:v>
                </c:pt>
                <c:pt idx="5">
                  <c:v>1117.6232972870998</c:v>
                </c:pt>
                <c:pt idx="6">
                  <c:v>1094.8958476012001</c:v>
                </c:pt>
                <c:pt idx="7">
                  <c:v>1071.5278904305001</c:v>
                </c:pt>
                <c:pt idx="8">
                  <c:v>1047.3896679329</c:v>
                </c:pt>
                <c:pt idx="9">
                  <c:v>1022.4439905227999</c:v>
                </c:pt>
                <c:pt idx="10">
                  <c:v>996.83492411790007</c:v>
                </c:pt>
                <c:pt idx="11">
                  <c:v>970.46755090939996</c:v>
                </c:pt>
                <c:pt idx="12">
                  <c:v>943.41276745129994</c:v>
                </c:pt>
                <c:pt idx="13">
                  <c:v>915.7563366254999</c:v>
                </c:pt>
                <c:pt idx="14">
                  <c:v>887.59500158039998</c:v>
                </c:pt>
                <c:pt idx="15">
                  <c:v>859.03219574320008</c:v>
                </c:pt>
                <c:pt idx="16">
                  <c:v>830.17442770799994</c:v>
                </c:pt>
                <c:pt idx="17">
                  <c:v>801.12842757110002</c:v>
                </c:pt>
                <c:pt idx="18">
                  <c:v>771.99895219179996</c:v>
                </c:pt>
                <c:pt idx="19">
                  <c:v>742.88713089260011</c:v>
                </c:pt>
                <c:pt idx="20">
                  <c:v>713.84565499479993</c:v>
                </c:pt>
                <c:pt idx="21">
                  <c:v>685.01795697090006</c:v>
                </c:pt>
                <c:pt idx="22">
                  <c:v>656.48872346580004</c:v>
                </c:pt>
                <c:pt idx="23">
                  <c:v>628.33529654559993</c:v>
                </c:pt>
                <c:pt idx="24">
                  <c:v>600.6272638160001</c:v>
                </c:pt>
                <c:pt idx="25">
                  <c:v>573.34682453540006</c:v>
                </c:pt>
                <c:pt idx="26">
                  <c:v>546.61286028550001</c:v>
                </c:pt>
                <c:pt idx="27">
                  <c:v>520.48513704900006</c:v>
                </c:pt>
                <c:pt idx="28">
                  <c:v>495.01518926510005</c:v>
                </c:pt>
                <c:pt idx="29">
                  <c:v>470.24577074619998</c:v>
                </c:pt>
                <c:pt idx="30">
                  <c:v>446.2112884078</c:v>
                </c:pt>
                <c:pt idx="31">
                  <c:v>422.93855404169994</c:v>
                </c:pt>
                <c:pt idx="32">
                  <c:v>400.44761471570001</c:v>
                </c:pt>
                <c:pt idx="33">
                  <c:v>378.75256003229998</c:v>
                </c:pt>
                <c:pt idx="34">
                  <c:v>357.86225864730005</c:v>
                </c:pt>
                <c:pt idx="35">
                  <c:v>337.78100732659999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13B-46A1-8D5E-7BC161373771}"/>
            </c:ext>
          </c:extLst>
        </c:ser>
        <c:ser>
          <c:idx val="6"/>
          <c:order val="6"/>
          <c:tx>
            <c:strRef>
              <c:f>Données!$B$368</c:f>
              <c:strCache>
                <c:ptCount val="1"/>
                <c:pt idx="0">
                  <c:v>AUTO_CG_0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Données!$C$368:$AL$368</c:f>
              <c:numCache>
                <c:formatCode>#,##0</c:formatCode>
                <c:ptCount val="36"/>
                <c:pt idx="0">
                  <c:v>2242.8616504070001</c:v>
                </c:pt>
                <c:pt idx="1">
                  <c:v>2188.0868112458998</c:v>
                </c:pt>
                <c:pt idx="2">
                  <c:v>2140.3306695104998</c:v>
                </c:pt>
                <c:pt idx="3">
                  <c:v>2094.4834888422001</c:v>
                </c:pt>
                <c:pt idx="4">
                  <c:v>2047.7041713189001</c:v>
                </c:pt>
                <c:pt idx="5">
                  <c:v>1998.5710242766002</c:v>
                </c:pt>
                <c:pt idx="6">
                  <c:v>1946.3664740929</c:v>
                </c:pt>
                <c:pt idx="7">
                  <c:v>1891.0505607513999</c:v>
                </c:pt>
                <c:pt idx="8">
                  <c:v>1832.8599649848002</c:v>
                </c:pt>
                <c:pt idx="9">
                  <c:v>1772.1758840527</c:v>
                </c:pt>
                <c:pt idx="10">
                  <c:v>1709.6186978733001</c:v>
                </c:pt>
                <c:pt idx="11">
                  <c:v>1645.4443571631</c:v>
                </c:pt>
                <c:pt idx="12">
                  <c:v>1580.1172831264003</c:v>
                </c:pt>
                <c:pt idx="13">
                  <c:v>1514.0874288207999</c:v>
                </c:pt>
                <c:pt idx="14">
                  <c:v>1447.7819668556999</c:v>
                </c:pt>
                <c:pt idx="15">
                  <c:v>1381.598347997</c:v>
                </c:pt>
                <c:pt idx="16">
                  <c:v>1315.8997674242</c:v>
                </c:pt>
                <c:pt idx="17">
                  <c:v>1251.0126558219001</c:v>
                </c:pt>
                <c:pt idx="18">
                  <c:v>1187.2256985460999</c:v>
                </c:pt>
                <c:pt idx="19">
                  <c:v>1124.790004017</c:v>
                </c:pt>
                <c:pt idx="20">
                  <c:v>1063.8806411195001</c:v>
                </c:pt>
                <c:pt idx="21">
                  <c:v>1004.7279218385</c:v>
                </c:pt>
                <c:pt idx="22">
                  <c:v>947.47821002399996</c:v>
                </c:pt>
                <c:pt idx="23">
                  <c:v>892.24645223269999</c:v>
                </c:pt>
                <c:pt idx="24">
                  <c:v>839.11884306080003</c:v>
                </c:pt>
                <c:pt idx="25">
                  <c:v>788.09888642100009</c:v>
                </c:pt>
                <c:pt idx="26">
                  <c:v>739.27533417489997</c:v>
                </c:pt>
                <c:pt idx="27">
                  <c:v>692.67508397239999</c:v>
                </c:pt>
                <c:pt idx="28">
                  <c:v>648.30447196320006</c:v>
                </c:pt>
                <c:pt idx="29">
                  <c:v>606.15150901269999</c:v>
                </c:pt>
                <c:pt idx="30">
                  <c:v>566.1886146539</c:v>
                </c:pt>
                <c:pt idx="31">
                  <c:v>528.37527012020007</c:v>
                </c:pt>
                <c:pt idx="32">
                  <c:v>492.66042535039998</c:v>
                </c:pt>
                <c:pt idx="33">
                  <c:v>458.98462141850001</c:v>
                </c:pt>
                <c:pt idx="34">
                  <c:v>427.28183305190004</c:v>
                </c:pt>
                <c:pt idx="35">
                  <c:v>397.48105208599998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13B-46A1-8D5E-7BC161373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Vehicles by class (shock)</a:t>
            </a:r>
          </a:p>
          <a:p>
            <a:pPr>
              <a:defRPr/>
            </a:pPr>
            <a:r>
              <a:rPr lang="fr-FR" sz="1800" i="1"/>
              <a:t>thousands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Données!$B$331</c:f>
              <c:strCache>
                <c:ptCount val="1"/>
                <c:pt idx="0">
                  <c:v>AUTO_CA_0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Données!$C$331:$AL$331</c:f>
              <c:numCache>
                <c:formatCode>#,##0</c:formatCode>
                <c:ptCount val="36"/>
                <c:pt idx="0">
                  <c:v>7105.9689965623002</c:v>
                </c:pt>
                <c:pt idx="1">
                  <c:v>7150.7394210254997</c:v>
                </c:pt>
                <c:pt idx="2">
                  <c:v>7239.5049696030992</c:v>
                </c:pt>
                <c:pt idx="3">
                  <c:v>7358.4920676304992</c:v>
                </c:pt>
                <c:pt idx="4">
                  <c:v>7498.8122425214005</c:v>
                </c:pt>
                <c:pt idx="5">
                  <c:v>7654.8829914080998</c:v>
                </c:pt>
                <c:pt idx="6">
                  <c:v>7822.0037412604997</c:v>
                </c:pt>
                <c:pt idx="7">
                  <c:v>7997.8285661197997</c:v>
                </c:pt>
                <c:pt idx="8">
                  <c:v>8180.7143975640993</c:v>
                </c:pt>
                <c:pt idx="9">
                  <c:v>8369.4403738332003</c:v>
                </c:pt>
                <c:pt idx="10">
                  <c:v>8565.1203253193999</c:v>
                </c:pt>
                <c:pt idx="11">
                  <c:v>8764.7458238938998</c:v>
                </c:pt>
                <c:pt idx="12">
                  <c:v>8967.5904035346011</c:v>
                </c:pt>
                <c:pt idx="13">
                  <c:v>9173.0076152146994</c:v>
                </c:pt>
                <c:pt idx="14">
                  <c:v>9380.4475977597995</c:v>
                </c:pt>
                <c:pt idx="15">
                  <c:v>9589.4487776599017</c:v>
                </c:pt>
                <c:pt idx="16">
                  <c:v>9799.5611017728988</c:v>
                </c:pt>
                <c:pt idx="17">
                  <c:v>10010.4284719609</c:v>
                </c:pt>
                <c:pt idx="18">
                  <c:v>10221.7578698366</c:v>
                </c:pt>
                <c:pt idx="19">
                  <c:v>10433.301188143601</c:v>
                </c:pt>
                <c:pt idx="20">
                  <c:v>10643.2144152697</c:v>
                </c:pt>
                <c:pt idx="21">
                  <c:v>10853.0590836586</c:v>
                </c:pt>
                <c:pt idx="22">
                  <c:v>11062.721721538999</c:v>
                </c:pt>
                <c:pt idx="23">
                  <c:v>11272.141849952</c:v>
                </c:pt>
                <c:pt idx="24">
                  <c:v>11481.276966473999</c:v>
                </c:pt>
                <c:pt idx="25">
                  <c:v>11685.313885291001</c:v>
                </c:pt>
                <c:pt idx="26">
                  <c:v>11887.093910239002</c:v>
                </c:pt>
                <c:pt idx="27">
                  <c:v>12086.826294403998</c:v>
                </c:pt>
                <c:pt idx="28">
                  <c:v>12284.822705442</c:v>
                </c:pt>
                <c:pt idx="29">
                  <c:v>12481.427874857001</c:v>
                </c:pt>
                <c:pt idx="30">
                  <c:v>12676.982216035</c:v>
                </c:pt>
                <c:pt idx="31">
                  <c:v>12871.817330162001</c:v>
                </c:pt>
                <c:pt idx="32">
                  <c:v>13066.226794980999</c:v>
                </c:pt>
                <c:pt idx="33">
                  <c:v>13260.471734706</c:v>
                </c:pt>
                <c:pt idx="34">
                  <c:v>13454.788988543001</c:v>
                </c:pt>
                <c:pt idx="35">
                  <c:v>13649.397518990001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9-4604-817E-AE29F1EB4142}"/>
            </c:ext>
          </c:extLst>
        </c:ser>
        <c:ser>
          <c:idx val="1"/>
          <c:order val="1"/>
          <c:tx>
            <c:strRef>
              <c:f>Données!$B$332</c:f>
              <c:strCache>
                <c:ptCount val="1"/>
                <c:pt idx="0">
                  <c:v>AUTO_CB_0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Données!$C$332:$AL$332</c:f>
              <c:numCache>
                <c:formatCode>#,##0</c:formatCode>
                <c:ptCount val="36"/>
                <c:pt idx="0">
                  <c:v>8263.1971436354015</c:v>
                </c:pt>
                <c:pt idx="1">
                  <c:v>8193.5769926868998</c:v>
                </c:pt>
                <c:pt idx="2">
                  <c:v>8174.0344486463</c:v>
                </c:pt>
                <c:pt idx="3">
                  <c:v>8190.4430561993995</c:v>
                </c:pt>
                <c:pt idx="4">
                  <c:v>8233.4872318721991</c:v>
                </c:pt>
                <c:pt idx="5">
                  <c:v>8297.1142367129996</c:v>
                </c:pt>
                <c:pt idx="6">
                  <c:v>8376.2022128042008</c:v>
                </c:pt>
                <c:pt idx="7">
                  <c:v>8467.9453326803996</c:v>
                </c:pt>
                <c:pt idx="8">
                  <c:v>8570.2650635452992</c:v>
                </c:pt>
                <c:pt idx="9">
                  <c:v>8681.5328406303997</c:v>
                </c:pt>
                <c:pt idx="10">
                  <c:v>8802.3564970497991</c:v>
                </c:pt>
                <c:pt idx="11">
                  <c:v>8929.5002514350017</c:v>
                </c:pt>
                <c:pt idx="12">
                  <c:v>9061.9153790008986</c:v>
                </c:pt>
                <c:pt idx="13">
                  <c:v>9198.6607294173009</c:v>
                </c:pt>
                <c:pt idx="14">
                  <c:v>9338.9146417269021</c:v>
                </c:pt>
                <c:pt idx="15">
                  <c:v>9481.964078712499</c:v>
                </c:pt>
                <c:pt idx="16">
                  <c:v>9627.1313782713005</c:v>
                </c:pt>
                <c:pt idx="17">
                  <c:v>9773.8485647316993</c:v>
                </c:pt>
                <c:pt idx="18">
                  <c:v>9921.6264040860005</c:v>
                </c:pt>
                <c:pt idx="19">
                  <c:v>10070.0354073407</c:v>
                </c:pt>
                <c:pt idx="20">
                  <c:v>10217.211673722599</c:v>
                </c:pt>
                <c:pt idx="21">
                  <c:v>10364.413312734499</c:v>
                </c:pt>
                <c:pt idx="22">
                  <c:v>10511.378766903701</c:v>
                </c:pt>
                <c:pt idx="23">
                  <c:v>10657.904659948099</c:v>
                </c:pt>
                <c:pt idx="24">
                  <c:v>10803.813252440999</c:v>
                </c:pt>
                <c:pt idx="25">
                  <c:v>10944.676967144</c:v>
                </c:pt>
                <c:pt idx="26">
                  <c:v>11082.948413102002</c:v>
                </c:pt>
                <c:pt idx="27">
                  <c:v>11218.721643299999</c:v>
                </c:pt>
                <c:pt idx="28">
                  <c:v>11352.183210170999</c:v>
                </c:pt>
                <c:pt idx="29">
                  <c:v>11483.549143924</c:v>
                </c:pt>
                <c:pt idx="30">
                  <c:v>11613.031486018001</c:v>
                </c:pt>
                <c:pt idx="31">
                  <c:v>11740.834091624998</c:v>
                </c:pt>
                <c:pt idx="32">
                  <c:v>11867.126831607</c:v>
                </c:pt>
                <c:pt idx="33">
                  <c:v>11992.050468683999</c:v>
                </c:pt>
                <c:pt idx="34">
                  <c:v>12115.723763008</c:v>
                </c:pt>
                <c:pt idx="35">
                  <c:v>12238.249047610001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69-4604-817E-AE29F1EB4142}"/>
            </c:ext>
          </c:extLst>
        </c:ser>
        <c:ser>
          <c:idx val="2"/>
          <c:order val="2"/>
          <c:tx>
            <c:strRef>
              <c:f>Données!$B$333</c:f>
              <c:strCache>
                <c:ptCount val="1"/>
                <c:pt idx="0">
                  <c:v>AUTO_CC_0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Données!$C$333:$AL$333</c:f>
              <c:numCache>
                <c:formatCode>#,##0</c:formatCode>
                <c:ptCount val="36"/>
                <c:pt idx="0">
                  <c:v>6787.4105911386005</c:v>
                </c:pt>
                <c:pt idx="1">
                  <c:v>6655.8218957142999</c:v>
                </c:pt>
                <c:pt idx="2">
                  <c:v>6564.7535072785995</c:v>
                </c:pt>
                <c:pt idx="3">
                  <c:v>6503.7741928212999</c:v>
                </c:pt>
                <c:pt idx="4">
                  <c:v>6465.8701217802009</c:v>
                </c:pt>
                <c:pt idx="5">
                  <c:v>6446.3507000660002</c:v>
                </c:pt>
                <c:pt idx="6">
                  <c:v>6441.2304973716</c:v>
                </c:pt>
                <c:pt idx="7">
                  <c:v>6448.1680172961997</c:v>
                </c:pt>
                <c:pt idx="8">
                  <c:v>6465.3636790785004</c:v>
                </c:pt>
                <c:pt idx="9">
                  <c:v>6491.3622674422004</c:v>
                </c:pt>
                <c:pt idx="10">
                  <c:v>6526.2560108765001</c:v>
                </c:pt>
                <c:pt idx="11">
                  <c:v>6567.5557624104003</c:v>
                </c:pt>
                <c:pt idx="12">
                  <c:v>6614.2860250378999</c:v>
                </c:pt>
                <c:pt idx="13">
                  <c:v>6665.5686019340001</c:v>
                </c:pt>
                <c:pt idx="14">
                  <c:v>6720.6280310511993</c:v>
                </c:pt>
                <c:pt idx="15">
                  <c:v>6778.7819960033003</c:v>
                </c:pt>
                <c:pt idx="16">
                  <c:v>6839.3907607696992</c:v>
                </c:pt>
                <c:pt idx="17">
                  <c:v>6901.9052712786997</c:v>
                </c:pt>
                <c:pt idx="18">
                  <c:v>6965.8447512834009</c:v>
                </c:pt>
                <c:pt idx="19">
                  <c:v>7030.782418160099</c:v>
                </c:pt>
                <c:pt idx="20">
                  <c:v>7095.3637123813005</c:v>
                </c:pt>
                <c:pt idx="21">
                  <c:v>7160.3007136102997</c:v>
                </c:pt>
                <c:pt idx="22">
                  <c:v>7225.3128134842009</c:v>
                </c:pt>
                <c:pt idx="23">
                  <c:v>7290.1659809841003</c:v>
                </c:pt>
                <c:pt idx="24">
                  <c:v>7354.6508458648004</c:v>
                </c:pt>
                <c:pt idx="25">
                  <c:v>7415.8281085755998</c:v>
                </c:pt>
                <c:pt idx="26">
                  <c:v>7475.2220568597995</c:v>
                </c:pt>
                <c:pt idx="27">
                  <c:v>7532.8335425579999</c:v>
                </c:pt>
                <c:pt idx="28">
                  <c:v>7588.7251315561998</c:v>
                </c:pt>
                <c:pt idx="29">
                  <c:v>7642.9798743621004</c:v>
                </c:pt>
                <c:pt idx="30">
                  <c:v>7695.6797063705999</c:v>
                </c:pt>
                <c:pt idx="31">
                  <c:v>7746.902570552701</c:v>
                </c:pt>
                <c:pt idx="32">
                  <c:v>7796.7060706230004</c:v>
                </c:pt>
                <c:pt idx="33">
                  <c:v>7845.1305267943999</c:v>
                </c:pt>
                <c:pt idx="34">
                  <c:v>7892.2034812543998</c:v>
                </c:pt>
                <c:pt idx="35">
                  <c:v>7937.9432529671994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69-4604-817E-AE29F1EB4142}"/>
            </c:ext>
          </c:extLst>
        </c:ser>
        <c:ser>
          <c:idx val="3"/>
          <c:order val="3"/>
          <c:tx>
            <c:strRef>
              <c:f>Données!$B$334</c:f>
              <c:strCache>
                <c:ptCount val="1"/>
                <c:pt idx="0">
                  <c:v>AUTO_CD_0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Données!$C$334:$AL$334</c:f>
              <c:numCache>
                <c:formatCode>#,##0</c:formatCode>
                <c:ptCount val="36"/>
                <c:pt idx="0">
                  <c:v>4165.6835237371006</c:v>
                </c:pt>
                <c:pt idx="1">
                  <c:v>4060.4036219651002</c:v>
                </c:pt>
                <c:pt idx="2">
                  <c:v>3978.4784612477001</c:v>
                </c:pt>
                <c:pt idx="3">
                  <c:v>3913.5688524375</c:v>
                </c:pt>
                <c:pt idx="4">
                  <c:v>3861.3807581103001</c:v>
                </c:pt>
                <c:pt idx="5">
                  <c:v>3819.0053420413005</c:v>
                </c:pt>
                <c:pt idx="6">
                  <c:v>3784.0150434270004</c:v>
                </c:pt>
                <c:pt idx="7">
                  <c:v>3754.9358678586004</c:v>
                </c:pt>
                <c:pt idx="8">
                  <c:v>3730.634152133</c:v>
                </c:pt>
                <c:pt idx="9">
                  <c:v>3710.1966034659999</c:v>
                </c:pt>
                <c:pt idx="10">
                  <c:v>3693.5196784367004</c:v>
                </c:pt>
                <c:pt idx="11">
                  <c:v>3679.218096175</c:v>
                </c:pt>
                <c:pt idx="12">
                  <c:v>3666.7037737409005</c:v>
                </c:pt>
                <c:pt idx="13">
                  <c:v>3655.4600585136</c:v>
                </c:pt>
                <c:pt idx="14">
                  <c:v>3645.0407262303002</c:v>
                </c:pt>
                <c:pt idx="15">
                  <c:v>3635.0622679225999</c:v>
                </c:pt>
                <c:pt idx="16">
                  <c:v>3625.1782927597001</c:v>
                </c:pt>
                <c:pt idx="17">
                  <c:v>3615.1004394178999</c:v>
                </c:pt>
                <c:pt idx="18">
                  <c:v>3604.5856201733</c:v>
                </c:pt>
                <c:pt idx="19">
                  <c:v>3593.4273322285003</c:v>
                </c:pt>
                <c:pt idx="20">
                  <c:v>3581.0277627944001</c:v>
                </c:pt>
                <c:pt idx="21">
                  <c:v>3567.7078155997997</c:v>
                </c:pt>
                <c:pt idx="22">
                  <c:v>3553.3531794389005</c:v>
                </c:pt>
                <c:pt idx="23">
                  <c:v>3537.8744552621001</c:v>
                </c:pt>
                <c:pt idx="24">
                  <c:v>3521.1975451142998</c:v>
                </c:pt>
                <c:pt idx="25">
                  <c:v>3502.1629487317996</c:v>
                </c:pt>
                <c:pt idx="26">
                  <c:v>3481.4429196382002</c:v>
                </c:pt>
                <c:pt idx="27">
                  <c:v>3459.0850777846999</c:v>
                </c:pt>
                <c:pt idx="28">
                  <c:v>3435.1581899608</c:v>
                </c:pt>
                <c:pt idx="29">
                  <c:v>3409.7354284058001</c:v>
                </c:pt>
                <c:pt idx="30">
                  <c:v>3382.8864922124999</c:v>
                </c:pt>
                <c:pt idx="31">
                  <c:v>3354.6770083962997</c:v>
                </c:pt>
                <c:pt idx="32">
                  <c:v>3325.1630951784</c:v>
                </c:pt>
                <c:pt idx="33">
                  <c:v>3294.3931046697999</c:v>
                </c:pt>
                <c:pt idx="34">
                  <c:v>3262.4098676870999</c:v>
                </c:pt>
                <c:pt idx="35">
                  <c:v>3229.2525024658003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69-4604-817E-AE29F1EB4142}"/>
            </c:ext>
          </c:extLst>
        </c:ser>
        <c:ser>
          <c:idx val="4"/>
          <c:order val="4"/>
          <c:tx>
            <c:strRef>
              <c:f>Données!$B$335</c:f>
              <c:strCache>
                <c:ptCount val="1"/>
                <c:pt idx="0">
                  <c:v>AUTO_CE_0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Données!$C$335:$AL$335</c:f>
              <c:numCache>
                <c:formatCode>#,##0</c:formatCode>
                <c:ptCount val="36"/>
                <c:pt idx="0">
                  <c:v>2507.3524895615005</c:v>
                </c:pt>
                <c:pt idx="1">
                  <c:v>2446.3594065092998</c:v>
                </c:pt>
                <c:pt idx="2">
                  <c:v>2398.5574306240001</c:v>
                </c:pt>
                <c:pt idx="3">
                  <c:v>2359.8881728093997</c:v>
                </c:pt>
                <c:pt idx="4">
                  <c:v>2327.6300893723001</c:v>
                </c:pt>
                <c:pt idx="5">
                  <c:v>2299.9626631140004</c:v>
                </c:pt>
                <c:pt idx="6">
                  <c:v>2275.4055297567998</c:v>
                </c:pt>
                <c:pt idx="7">
                  <c:v>2253.0826660203998</c:v>
                </c:pt>
                <c:pt idx="8">
                  <c:v>2232.3435344732002</c:v>
                </c:pt>
                <c:pt idx="9">
                  <c:v>2212.6836274148</c:v>
                </c:pt>
                <c:pt idx="10">
                  <c:v>2194.0680043515999</c:v>
                </c:pt>
                <c:pt idx="11">
                  <c:v>2175.7445238443997</c:v>
                </c:pt>
                <c:pt idx="12">
                  <c:v>2157.4253234922003</c:v>
                </c:pt>
                <c:pt idx="13">
                  <c:v>2138.8706281863997</c:v>
                </c:pt>
                <c:pt idx="14">
                  <c:v>2119.8861541284</c:v>
                </c:pt>
                <c:pt idx="15">
                  <c:v>2100.3172389337001</c:v>
                </c:pt>
                <c:pt idx="16">
                  <c:v>2080.0341889191004</c:v>
                </c:pt>
                <c:pt idx="17">
                  <c:v>2058.9423931452002</c:v>
                </c:pt>
                <c:pt idx="18">
                  <c:v>2036.9743481311</c:v>
                </c:pt>
                <c:pt idx="19">
                  <c:v>2014.0840258481999</c:v>
                </c:pt>
                <c:pt idx="20">
                  <c:v>1990.0347889957</c:v>
                </c:pt>
                <c:pt idx="21">
                  <c:v>1965.0501506431999</c:v>
                </c:pt>
                <c:pt idx="22">
                  <c:v>1939.1340227915</c:v>
                </c:pt>
                <c:pt idx="23">
                  <c:v>1912.3019096663002</c:v>
                </c:pt>
                <c:pt idx="24">
                  <c:v>1884.5761654682001</c:v>
                </c:pt>
                <c:pt idx="25">
                  <c:v>1855.4822058200002</c:v>
                </c:pt>
                <c:pt idx="26">
                  <c:v>1825.4010384733001</c:v>
                </c:pt>
                <c:pt idx="27">
                  <c:v>1794.4179545899001</c:v>
                </c:pt>
                <c:pt idx="28">
                  <c:v>1762.6235732969999</c:v>
                </c:pt>
                <c:pt idx="29">
                  <c:v>1730.1063127327002</c:v>
                </c:pt>
                <c:pt idx="30">
                  <c:v>1696.9492996302001</c:v>
                </c:pt>
                <c:pt idx="31">
                  <c:v>1663.2305105345999</c:v>
                </c:pt>
                <c:pt idx="32">
                  <c:v>1629.0208589512999</c:v>
                </c:pt>
                <c:pt idx="33">
                  <c:v>1594.3853341930001</c:v>
                </c:pt>
                <c:pt idx="34">
                  <c:v>1559.3842930019</c:v>
                </c:pt>
                <c:pt idx="35">
                  <c:v>1524.0745032018001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69-4604-817E-AE29F1EB4142}"/>
            </c:ext>
          </c:extLst>
        </c:ser>
        <c:ser>
          <c:idx val="5"/>
          <c:order val="5"/>
          <c:tx>
            <c:strRef>
              <c:f>Données!$B$336</c:f>
              <c:strCache>
                <c:ptCount val="1"/>
                <c:pt idx="0">
                  <c:v>AUTO_CF_0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Données!$C$336:$AL$336</c:f>
              <c:numCache>
                <c:formatCode>#,##0</c:formatCode>
                <c:ptCount val="36"/>
                <c:pt idx="0">
                  <c:v>1245.466605953</c:v>
                </c:pt>
                <c:pt idx="1">
                  <c:v>1212.5206961864001</c:v>
                </c:pt>
                <c:pt idx="2">
                  <c:v>1184.7506683709</c:v>
                </c:pt>
                <c:pt idx="3">
                  <c:v>1159.9218834489002</c:v>
                </c:pt>
                <c:pt idx="4">
                  <c:v>1136.6038754790002</c:v>
                </c:pt>
                <c:pt idx="5">
                  <c:v>1113.9024654266</c:v>
                </c:pt>
                <c:pt idx="6">
                  <c:v>1091.1725600308998</c:v>
                </c:pt>
                <c:pt idx="7">
                  <c:v>1068.0971411826999</c:v>
                </c:pt>
                <c:pt idx="8">
                  <c:v>1044.4971361298999</c:v>
                </c:pt>
                <c:pt idx="9">
                  <c:v>1020.2809143571</c:v>
                </c:pt>
                <c:pt idx="10">
                  <c:v>995.54311597909998</c:v>
                </c:pt>
                <c:pt idx="11">
                  <c:v>970.13167672029999</c:v>
                </c:pt>
                <c:pt idx="12">
                  <c:v>944.07568331800007</c:v>
                </c:pt>
                <c:pt idx="13">
                  <c:v>917.42679122369998</c:v>
                </c:pt>
                <c:pt idx="14">
                  <c:v>890.25424266929997</c:v>
                </c:pt>
                <c:pt idx="15">
                  <c:v>862.63974654779997</c:v>
                </c:pt>
                <c:pt idx="16">
                  <c:v>834.67098828949997</c:v>
                </c:pt>
                <c:pt idx="17">
                  <c:v>806.44256292449995</c:v>
                </c:pt>
                <c:pt idx="18">
                  <c:v>778.05183294559993</c:v>
                </c:pt>
                <c:pt idx="19">
                  <c:v>749.5959174454</c:v>
                </c:pt>
                <c:pt idx="20">
                  <c:v>721.12382631399998</c:v>
                </c:pt>
                <c:pt idx="21">
                  <c:v>692.78273655960004</c:v>
                </c:pt>
                <c:pt idx="22">
                  <c:v>664.65927774809995</c:v>
                </c:pt>
                <c:pt idx="23">
                  <c:v>636.83407724940002</c:v>
                </c:pt>
                <c:pt idx="24">
                  <c:v>609.3810064534</c:v>
                </c:pt>
                <c:pt idx="25">
                  <c:v>582.28265437269999</c:v>
                </c:pt>
                <c:pt idx="26">
                  <c:v>555.6681511841</c:v>
                </c:pt>
                <c:pt idx="27">
                  <c:v>529.60320403899993</c:v>
                </c:pt>
                <c:pt idx="28">
                  <c:v>504.14495008759997</c:v>
                </c:pt>
                <c:pt idx="29">
                  <c:v>479.34150091950005</c:v>
                </c:pt>
                <c:pt idx="30">
                  <c:v>455.23238550529999</c:v>
                </c:pt>
                <c:pt idx="31">
                  <c:v>431.84940687239998</c:v>
                </c:pt>
                <c:pt idx="32">
                  <c:v>409.2171739899</c:v>
                </c:pt>
                <c:pt idx="33">
                  <c:v>387.35395219899999</c:v>
                </c:pt>
                <c:pt idx="34">
                  <c:v>366.27245077809999</c:v>
                </c:pt>
                <c:pt idx="35">
                  <c:v>345.98049764789999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69-4604-817E-AE29F1EB4142}"/>
            </c:ext>
          </c:extLst>
        </c:ser>
        <c:ser>
          <c:idx val="6"/>
          <c:order val="6"/>
          <c:tx>
            <c:strRef>
              <c:f>Données!$B$337</c:f>
              <c:strCache>
                <c:ptCount val="1"/>
                <c:pt idx="0">
                  <c:v>AUTO_CG_0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Données!$C$337:$AL$337</c:f>
              <c:numCache>
                <c:formatCode>#,##0</c:formatCode>
                <c:ptCount val="36"/>
                <c:pt idx="0">
                  <c:v>2242.8616504070001</c:v>
                </c:pt>
                <c:pt idx="1">
                  <c:v>2186.9766319523001</c:v>
                </c:pt>
                <c:pt idx="2">
                  <c:v>2138.0357346708001</c:v>
                </c:pt>
                <c:pt idx="3">
                  <c:v>2091.6075157621003</c:v>
                </c:pt>
                <c:pt idx="4">
                  <c:v>2045.0526211874001</c:v>
                </c:pt>
                <c:pt idx="5">
                  <c:v>1996.9107047559</c:v>
                </c:pt>
                <c:pt idx="6">
                  <c:v>1946.3165213501002</c:v>
                </c:pt>
                <c:pt idx="7">
                  <c:v>1893.0609870208</c:v>
                </c:pt>
                <c:pt idx="8">
                  <c:v>1837.2149731333</c:v>
                </c:pt>
                <c:pt idx="9">
                  <c:v>1779.0113644467001</c:v>
                </c:pt>
                <c:pt idx="10">
                  <c:v>1718.9559374780999</c:v>
                </c:pt>
                <c:pt idx="11">
                  <c:v>1657.1875858525</c:v>
                </c:pt>
                <c:pt idx="12">
                  <c:v>1594.0970392283998</c:v>
                </c:pt>
                <c:pt idx="13">
                  <c:v>1530.0838278357999</c:v>
                </c:pt>
                <c:pt idx="14">
                  <c:v>1465.5434435524999</c:v>
                </c:pt>
                <c:pt idx="15">
                  <c:v>1400.8567219911999</c:v>
                </c:pt>
                <c:pt idx="16">
                  <c:v>1336.3799215075999</c:v>
                </c:pt>
                <c:pt idx="17">
                  <c:v>1272.444719012</c:v>
                </c:pt>
                <c:pt idx="18">
                  <c:v>1209.3529867968002</c:v>
                </c:pt>
                <c:pt idx="19">
                  <c:v>1147.373903183</c:v>
                </c:pt>
                <c:pt idx="20">
                  <c:v>1086.6999671244</c:v>
                </c:pt>
                <c:pt idx="21">
                  <c:v>1027.5888663097001</c:v>
                </c:pt>
                <c:pt idx="22">
                  <c:v>970.20961300930003</c:v>
                </c:pt>
                <c:pt idx="23">
                  <c:v>914.69961363070001</c:v>
                </c:pt>
                <c:pt idx="24">
                  <c:v>861.1667698504001</c:v>
                </c:pt>
                <c:pt idx="25">
                  <c:v>809.62954161589994</c:v>
                </c:pt>
                <c:pt idx="26">
                  <c:v>760.20162014490006</c:v>
                </c:pt>
                <c:pt idx="27">
                  <c:v>712.92796403069997</c:v>
                </c:pt>
                <c:pt idx="28">
                  <c:v>667.83082635630001</c:v>
                </c:pt>
                <c:pt idx="29">
                  <c:v>624.91220616110002</c:v>
                </c:pt>
                <c:pt idx="30">
                  <c:v>584.15675865430001</c:v>
                </c:pt>
                <c:pt idx="31">
                  <c:v>545.53466475879998</c:v>
                </c:pt>
                <c:pt idx="32">
                  <c:v>509.00401542739996</c:v>
                </c:pt>
                <c:pt idx="33">
                  <c:v>474.51311110929998</c:v>
                </c:pt>
                <c:pt idx="34">
                  <c:v>442.0024718789</c:v>
                </c:pt>
                <c:pt idx="35">
                  <c:v>411.4065598121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69-4604-817E-AE29F1EB4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Vehicles by energy</a:t>
            </a:r>
            <a:r>
              <a:rPr lang="fr-FR" sz="2800" baseline="0"/>
              <a:t> (shock)</a:t>
            </a:r>
          </a:p>
          <a:p>
            <a:pPr>
              <a:defRPr sz="2800"/>
            </a:pPr>
            <a:r>
              <a:rPr lang="fr-FR" sz="1800" i="1" baseline="0"/>
              <a:t>thousands</a:t>
            </a:r>
            <a:endParaRPr lang="fr-FR" sz="1800" i="1"/>
          </a:p>
        </c:rich>
      </c:tx>
      <c:layout>
        <c:manualLayout>
          <c:xMode val="edge"/>
          <c:yMode val="edge"/>
          <c:x val="0.29110930698597887"/>
          <c:y val="1.8860293735461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Données!$B$298</c:f>
              <c:strCache>
                <c:ptCount val="1"/>
                <c:pt idx="0">
                  <c:v>Fuel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Données!$C$296:$AL$296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Données!$C$298:$AL$298</c:f>
              <c:numCache>
                <c:formatCode>#,##0</c:formatCode>
                <c:ptCount val="36"/>
                <c:pt idx="0">
                  <c:v>32271.24</c:v>
                </c:pt>
                <c:pt idx="1">
                  <c:v>31842.17467</c:v>
                </c:pt>
                <c:pt idx="2">
                  <c:v>31595.630379999999</c:v>
                </c:pt>
                <c:pt idx="3">
                  <c:v>31476.583119999999</c:v>
                </c:pt>
                <c:pt idx="4">
                  <c:v>31448.948619999999</c:v>
                </c:pt>
                <c:pt idx="5">
                  <c:v>31489.437539999999</c:v>
                </c:pt>
                <c:pt idx="6">
                  <c:v>31578.92266</c:v>
                </c:pt>
                <c:pt idx="7">
                  <c:v>31707.065040000001</c:v>
                </c:pt>
                <c:pt idx="8">
                  <c:v>31866.463390000001</c:v>
                </c:pt>
                <c:pt idx="9">
                  <c:v>32051.53875</c:v>
                </c:pt>
                <c:pt idx="10">
                  <c:v>32264.497609999999</c:v>
                </c:pt>
                <c:pt idx="11">
                  <c:v>32494.51786</c:v>
                </c:pt>
                <c:pt idx="12">
                  <c:v>32738.38582</c:v>
                </c:pt>
                <c:pt idx="13">
                  <c:v>32993.321649999998</c:v>
                </c:pt>
                <c:pt idx="14">
                  <c:v>33256.990879999998</c:v>
                </c:pt>
                <c:pt idx="15">
                  <c:v>33527.446109999997</c:v>
                </c:pt>
                <c:pt idx="16">
                  <c:v>33802.871829999996</c:v>
                </c:pt>
                <c:pt idx="17">
                  <c:v>34081.818299999999</c:v>
                </c:pt>
                <c:pt idx="18">
                  <c:v>34363.087800000001</c:v>
                </c:pt>
                <c:pt idx="19">
                  <c:v>34645.663249999998</c:v>
                </c:pt>
                <c:pt idx="20">
                  <c:v>34923.91347</c:v>
                </c:pt>
                <c:pt idx="21">
                  <c:v>35202.23128</c:v>
                </c:pt>
                <c:pt idx="22">
                  <c:v>35480.068440000003</c:v>
                </c:pt>
                <c:pt idx="23">
                  <c:v>35757.029090000004</c:v>
                </c:pt>
                <c:pt idx="24">
                  <c:v>36032.768129999997</c:v>
                </c:pt>
                <c:pt idx="25">
                  <c:v>36293.589139999996</c:v>
                </c:pt>
                <c:pt idx="26">
                  <c:v>36547.462650000001</c:v>
                </c:pt>
                <c:pt idx="27">
                  <c:v>36794.875079999998</c:v>
                </c:pt>
                <c:pt idx="28">
                  <c:v>37036.556620000003</c:v>
                </c:pt>
                <c:pt idx="29">
                  <c:v>37273.287369999998</c:v>
                </c:pt>
                <c:pt idx="30">
                  <c:v>37505.79823</c:v>
                </c:pt>
                <c:pt idx="31">
                  <c:v>37734.7624</c:v>
                </c:pt>
                <c:pt idx="32">
                  <c:v>37960.720410000002</c:v>
                </c:pt>
                <c:pt idx="33">
                  <c:v>38184.099240000003</c:v>
                </c:pt>
                <c:pt idx="34">
                  <c:v>38405.237730000001</c:v>
                </c:pt>
                <c:pt idx="35">
                  <c:v>38624.406799999997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2B-4332-9B45-E28FEF7596CF}"/>
            </c:ext>
          </c:extLst>
        </c:ser>
        <c:ser>
          <c:idx val="2"/>
          <c:order val="2"/>
          <c:tx>
            <c:strRef>
              <c:f>Données!$B$299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Données!$C$296:$AL$296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Données!$C$299:$AL$299</c:f>
              <c:numCache>
                <c:formatCode>#,##0</c:formatCode>
                <c:ptCount val="36"/>
                <c:pt idx="0">
                  <c:v>1.9359999999999999</c:v>
                </c:pt>
                <c:pt idx="1">
                  <c:v>1.9899373739999999</c:v>
                </c:pt>
                <c:pt idx="2">
                  <c:v>2.0530322829999998</c:v>
                </c:pt>
                <c:pt idx="3">
                  <c:v>2.1212830509999998</c:v>
                </c:pt>
                <c:pt idx="4">
                  <c:v>2.1921695140000002</c:v>
                </c:pt>
                <c:pt idx="5">
                  <c:v>2.264168019</c:v>
                </c:pt>
                <c:pt idx="6">
                  <c:v>2.3360475470000002</c:v>
                </c:pt>
                <c:pt idx="7">
                  <c:v>2.4072672769999999</c:v>
                </c:pt>
                <c:pt idx="8">
                  <c:v>2.4774993900000002</c:v>
                </c:pt>
                <c:pt idx="9">
                  <c:v>2.5465412650000001</c:v>
                </c:pt>
                <c:pt idx="10">
                  <c:v>2.6148205340000001</c:v>
                </c:pt>
                <c:pt idx="11">
                  <c:v>2.6816579790000001</c:v>
                </c:pt>
                <c:pt idx="12">
                  <c:v>2.7469852750000001</c:v>
                </c:pt>
                <c:pt idx="13">
                  <c:v>2.8107538029999999</c:v>
                </c:pt>
                <c:pt idx="14">
                  <c:v>2.8729372249999998</c:v>
                </c:pt>
                <c:pt idx="15">
                  <c:v>2.9335281019999999</c:v>
                </c:pt>
                <c:pt idx="16">
                  <c:v>2.9925178140000002</c:v>
                </c:pt>
                <c:pt idx="17">
                  <c:v>3.0499171349999998</c:v>
                </c:pt>
                <c:pt idx="18">
                  <c:v>3.1057478600000001</c:v>
                </c:pt>
                <c:pt idx="19">
                  <c:v>3.160037768</c:v>
                </c:pt>
                <c:pt idx="20">
                  <c:v>3.2124186180000001</c:v>
                </c:pt>
                <c:pt idx="21">
                  <c:v>3.2633504929999999</c:v>
                </c:pt>
                <c:pt idx="22">
                  <c:v>3.3128783369999999</c:v>
                </c:pt>
                <c:pt idx="23">
                  <c:v>3.3610535060000002</c:v>
                </c:pt>
                <c:pt idx="24">
                  <c:v>3.4079258160000001</c:v>
                </c:pt>
                <c:pt idx="25">
                  <c:v>3.4524180599999998</c:v>
                </c:pt>
                <c:pt idx="26">
                  <c:v>3.495251074</c:v>
                </c:pt>
                <c:pt idx="27">
                  <c:v>3.5365240020000002</c:v>
                </c:pt>
                <c:pt idx="28">
                  <c:v>3.5763534520000002</c:v>
                </c:pt>
                <c:pt idx="29">
                  <c:v>3.6148577120000001</c:v>
                </c:pt>
                <c:pt idx="30">
                  <c:v>3.6521486419999998</c:v>
                </c:pt>
                <c:pt idx="31">
                  <c:v>3.6883310410000001</c:v>
                </c:pt>
                <c:pt idx="32">
                  <c:v>3.7234964169999998</c:v>
                </c:pt>
                <c:pt idx="33">
                  <c:v>3.7577245499999998</c:v>
                </c:pt>
                <c:pt idx="34">
                  <c:v>3.7910856220000002</c:v>
                </c:pt>
                <c:pt idx="35">
                  <c:v>3.8236419389999998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2B-4332-9B45-E28FEF7596CF}"/>
            </c:ext>
          </c:extLst>
        </c:ser>
        <c:ser>
          <c:idx val="3"/>
          <c:order val="3"/>
          <c:tx>
            <c:strRef>
              <c:f>Données!$B$300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Données!$C$296:$AL$296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Données!$C$300:$AL$300</c:f>
              <c:numCache>
                <c:formatCode>#,##0</c:formatCode>
                <c:ptCount val="36"/>
                <c:pt idx="0">
                  <c:v>44.765000000000001</c:v>
                </c:pt>
                <c:pt idx="1">
                  <c:v>62.234058670000003</c:v>
                </c:pt>
                <c:pt idx="2">
                  <c:v>80.431810150000004</c:v>
                </c:pt>
                <c:pt idx="3">
                  <c:v>98.991343069999999</c:v>
                </c:pt>
                <c:pt idx="4">
                  <c:v>117.6961518</c:v>
                </c:pt>
                <c:pt idx="5">
                  <c:v>136.42739950000001</c:v>
                </c:pt>
                <c:pt idx="6">
                  <c:v>155.08739750000001</c:v>
                </c:pt>
                <c:pt idx="7">
                  <c:v>173.6462659</c:v>
                </c:pt>
                <c:pt idx="8">
                  <c:v>192.0920447</c:v>
                </c:pt>
                <c:pt idx="9">
                  <c:v>210.42270429999999</c:v>
                </c:pt>
                <c:pt idx="10">
                  <c:v>228.70713860000001</c:v>
                </c:pt>
                <c:pt idx="11">
                  <c:v>246.8842028</c:v>
                </c:pt>
                <c:pt idx="12">
                  <c:v>264.96082699999999</c:v>
                </c:pt>
                <c:pt idx="13">
                  <c:v>282.94584550000002</c:v>
                </c:pt>
                <c:pt idx="14">
                  <c:v>300.85101520000001</c:v>
                </c:pt>
                <c:pt idx="15">
                  <c:v>318.69119139999998</c:v>
                </c:pt>
                <c:pt idx="16">
                  <c:v>336.48228549999999</c:v>
                </c:pt>
                <c:pt idx="17">
                  <c:v>354.24420329999998</c:v>
                </c:pt>
                <c:pt idx="18">
                  <c:v>372.00026350000002</c:v>
                </c:pt>
                <c:pt idx="19">
                  <c:v>389.77690619999998</c:v>
                </c:pt>
                <c:pt idx="20">
                  <c:v>407.55026090000001</c:v>
                </c:pt>
                <c:pt idx="21">
                  <c:v>425.40805999999998</c:v>
                </c:pt>
                <c:pt idx="22">
                  <c:v>443.38807939999998</c:v>
                </c:pt>
                <c:pt idx="23">
                  <c:v>461.53239639999998</c:v>
                </c:pt>
                <c:pt idx="24">
                  <c:v>479.88648569999998</c:v>
                </c:pt>
                <c:pt idx="25">
                  <c:v>498.33474849999999</c:v>
                </c:pt>
                <c:pt idx="26">
                  <c:v>517.02020530000004</c:v>
                </c:pt>
                <c:pt idx="27">
                  <c:v>536.00407689999997</c:v>
                </c:pt>
                <c:pt idx="28">
                  <c:v>555.35561259999997</c:v>
                </c:pt>
                <c:pt idx="29">
                  <c:v>575.15011070000003</c:v>
                </c:pt>
                <c:pt idx="30">
                  <c:v>595.46796700000004</c:v>
                </c:pt>
                <c:pt idx="31">
                  <c:v>616.39485179999997</c:v>
                </c:pt>
                <c:pt idx="32">
                  <c:v>638.0209241</c:v>
                </c:pt>
                <c:pt idx="33">
                  <c:v>660.44126789999996</c:v>
                </c:pt>
                <c:pt idx="34">
                  <c:v>683.75650629999996</c:v>
                </c:pt>
                <c:pt idx="35">
                  <c:v>708.0734387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2B-4332-9B45-E28FEF759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616"/>
        <c:axId val="749190272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Données!$B$297</c15:sqref>
                        </c15:formulaRef>
                      </c:ext>
                    </c:extLst>
                    <c:strCache>
                      <c:ptCount val="1"/>
                      <c:pt idx="0">
                        <c:v>Vehicles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Données!$C$296:$AL$296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Données!$C$297:$AL$297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32317.940999999999</c:v>
                      </c:pt>
                      <c:pt idx="1">
                        <c:v>31906.398669999999</c:v>
                      </c:pt>
                      <c:pt idx="2">
                        <c:v>31678.11522</c:v>
                      </c:pt>
                      <c:pt idx="3">
                        <c:v>31577.695739999999</c:v>
                      </c:pt>
                      <c:pt idx="4">
                        <c:v>31568.836940000001</c:v>
                      </c:pt>
                      <c:pt idx="5">
                        <c:v>31628.129099999998</c:v>
                      </c:pt>
                      <c:pt idx="6">
                        <c:v>31736.346099999999</c:v>
                      </c:pt>
                      <c:pt idx="7">
                        <c:v>31883.118579999998</c:v>
                      </c:pt>
                      <c:pt idx="8">
                        <c:v>32061.032930000001</c:v>
                      </c:pt>
                      <c:pt idx="9">
                        <c:v>32264.507989999998</c:v>
                      </c:pt>
                      <c:pt idx="10">
                        <c:v>32495.81957</c:v>
                      </c:pt>
                      <c:pt idx="11">
                        <c:v>32744.083719999999</c:v>
                      </c:pt>
                      <c:pt idx="12">
                        <c:v>33006.09362</c:v>
                      </c:pt>
                      <c:pt idx="13">
                        <c:v>33279.078249999999</c:v>
                      </c:pt>
                      <c:pt idx="14">
                        <c:v>33560.714829999997</c:v>
                      </c:pt>
                      <c:pt idx="15">
                        <c:v>33849.070820000001</c:v>
                      </c:pt>
                      <c:pt idx="16">
                        <c:v>34142.34663</c:v>
                      </c:pt>
                      <c:pt idx="17">
                        <c:v>34439.112419999998</c:v>
                      </c:pt>
                      <c:pt idx="18">
                        <c:v>34738.193809999997</c:v>
                      </c:pt>
                      <c:pt idx="19">
                        <c:v>35038.600189999997</c:v>
                      </c:pt>
                      <c:pt idx="20">
                        <c:v>35334.676149999999</c:v>
                      </c:pt>
                      <c:pt idx="21">
                        <c:v>35630.902679999999</c:v>
                      </c:pt>
                      <c:pt idx="22">
                        <c:v>35926.769390000001</c:v>
                      </c:pt>
                      <c:pt idx="23">
                        <c:v>36221.92254</c:v>
                      </c:pt>
                      <c:pt idx="24">
                        <c:v>36516.062539999999</c:v>
                      </c:pt>
                      <c:pt idx="25">
                        <c:v>36795.376300000004</c:v>
                      </c:pt>
                      <c:pt idx="26">
                        <c:v>37067.9781</c:v>
                      </c:pt>
                      <c:pt idx="27">
                        <c:v>37334.415670000002</c:v>
                      </c:pt>
                      <c:pt idx="28">
                        <c:v>37595.488579999997</c:v>
                      </c:pt>
                      <c:pt idx="29">
                        <c:v>37852.052340000002</c:v>
                      </c:pt>
                      <c:pt idx="30">
                        <c:v>38104.91835</c:v>
                      </c:pt>
                      <c:pt idx="31">
                        <c:v>38354.845580000001</c:v>
                      </c:pt>
                      <c:pt idx="32">
                        <c:v>38602.464829999997</c:v>
                      </c:pt>
                      <c:pt idx="33">
                        <c:v>38848.29823</c:v>
                      </c:pt>
                      <c:pt idx="34">
                        <c:v>39092.785309999999</c:v>
                      </c:pt>
                      <c:pt idx="35">
                        <c:v>39336.303879999999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DA2B-4332-9B45-E28FEF7596CF}"/>
                  </c:ext>
                </c:extLst>
              </c15:ser>
            </c15:filteredAreaSeries>
          </c:ext>
        </c:extLst>
      </c:areaChart>
      <c:dateAx>
        <c:axId val="749189616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90272"/>
        <c:crosses val="autoZero"/>
        <c:auto val="1"/>
        <c:lblOffset val="100"/>
        <c:baseTimeUnit val="years"/>
        <c:majorUnit val="5"/>
        <c:majorTimeUnit val="years"/>
      </c:dateAx>
      <c:valAx>
        <c:axId val="74919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89616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Vehicles by energy</a:t>
            </a:r>
            <a:r>
              <a:rPr lang="fr-FR" sz="2800" baseline="0"/>
              <a:t> (baseline)</a:t>
            </a:r>
          </a:p>
          <a:p>
            <a:pPr>
              <a:defRPr sz="2800"/>
            </a:pPr>
            <a:r>
              <a:rPr lang="fr-FR" sz="1800" i="1" baseline="0"/>
              <a:t>thousands</a:t>
            </a:r>
            <a:endParaRPr lang="fr-FR" sz="1800" i="1"/>
          </a:p>
        </c:rich>
      </c:tx>
      <c:layout>
        <c:manualLayout>
          <c:xMode val="edge"/>
          <c:yMode val="edge"/>
          <c:x val="0.28700858772412563"/>
          <c:y val="2.0955881928290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Données!$B$304</c:f>
              <c:strCache>
                <c:ptCount val="1"/>
                <c:pt idx="0">
                  <c:v>Fuel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Données!$C$302:$AL$302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Données!$C$304:$AL$304</c:f>
              <c:numCache>
                <c:formatCode>#,##0</c:formatCode>
                <c:ptCount val="36"/>
                <c:pt idx="0">
                  <c:v>32271.24</c:v>
                </c:pt>
                <c:pt idx="1">
                  <c:v>31874.761320000001</c:v>
                </c:pt>
                <c:pt idx="2">
                  <c:v>31684.176350000002</c:v>
                </c:pt>
                <c:pt idx="3">
                  <c:v>31633.507610000001</c:v>
                </c:pt>
                <c:pt idx="4">
                  <c:v>31679.119449999998</c:v>
                </c:pt>
                <c:pt idx="5">
                  <c:v>31792.640329999998</c:v>
                </c:pt>
                <c:pt idx="6">
                  <c:v>31951.767909999999</c:v>
                </c:pt>
                <c:pt idx="7">
                  <c:v>32144.38623</c:v>
                </c:pt>
                <c:pt idx="8">
                  <c:v>32362.319530000001</c:v>
                </c:pt>
                <c:pt idx="9">
                  <c:v>32599.85628</c:v>
                </c:pt>
                <c:pt idx="10">
                  <c:v>32859.527329999997</c:v>
                </c:pt>
                <c:pt idx="11">
                  <c:v>33131.036699999997</c:v>
                </c:pt>
                <c:pt idx="12">
                  <c:v>33411.648309999997</c:v>
                </c:pt>
                <c:pt idx="13">
                  <c:v>33699.027450000001</c:v>
                </c:pt>
                <c:pt idx="14">
                  <c:v>33991.267720000003</c:v>
                </c:pt>
                <c:pt idx="15">
                  <c:v>34286.840490000002</c:v>
                </c:pt>
                <c:pt idx="16">
                  <c:v>34584.527499999997</c:v>
                </c:pt>
                <c:pt idx="17">
                  <c:v>34883.357629999999</c:v>
                </c:pt>
                <c:pt idx="18">
                  <c:v>35182.555249999998</c:v>
                </c:pt>
                <c:pt idx="19">
                  <c:v>35481.501320000003</c:v>
                </c:pt>
                <c:pt idx="20">
                  <c:v>35774.879970000002</c:v>
                </c:pt>
                <c:pt idx="21">
                  <c:v>36067.467900000003</c:v>
                </c:pt>
                <c:pt idx="22">
                  <c:v>36359.082439999998</c:v>
                </c:pt>
                <c:pt idx="23">
                  <c:v>36649.656459999998</c:v>
                </c:pt>
                <c:pt idx="24">
                  <c:v>36939.133889999997</c:v>
                </c:pt>
                <c:pt idx="25">
                  <c:v>37213.86666</c:v>
                </c:pt>
                <c:pt idx="26">
                  <c:v>37481.938450000001</c:v>
                </c:pt>
                <c:pt idx="27">
                  <c:v>37744.012260000003</c:v>
                </c:pt>
                <c:pt idx="28">
                  <c:v>38001.003349999999</c:v>
                </c:pt>
                <c:pt idx="29">
                  <c:v>38253.85658</c:v>
                </c:pt>
                <c:pt idx="30">
                  <c:v>38503.441059999997</c:v>
                </c:pt>
                <c:pt idx="31">
                  <c:v>38750.507210000003</c:v>
                </c:pt>
                <c:pt idx="32">
                  <c:v>38995.679940000002</c:v>
                </c:pt>
                <c:pt idx="33">
                  <c:v>39239.471120000002</c:v>
                </c:pt>
                <c:pt idx="34">
                  <c:v>39482.299709999999</c:v>
                </c:pt>
                <c:pt idx="35">
                  <c:v>39724.51251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4-4D49-89F4-ABF65BD94CDB}"/>
            </c:ext>
          </c:extLst>
        </c:ser>
        <c:ser>
          <c:idx val="2"/>
          <c:order val="2"/>
          <c:tx>
            <c:strRef>
              <c:f>Données!$B$305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Données!$C$302:$AL$302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Données!$C$305:$AL$305</c:f>
              <c:numCache>
                <c:formatCode>#,##0</c:formatCode>
                <c:ptCount val="36"/>
                <c:pt idx="0">
                  <c:v>1.9359999999999999</c:v>
                </c:pt>
                <c:pt idx="1">
                  <c:v>1.992675011</c:v>
                </c:pt>
                <c:pt idx="2">
                  <c:v>2.0605130620000001</c:v>
                </c:pt>
                <c:pt idx="3">
                  <c:v>2.134619727</c:v>
                </c:pt>
                <c:pt idx="4">
                  <c:v>2.2118520890000002</c:v>
                </c:pt>
                <c:pt idx="5">
                  <c:v>2.2902607370000001</c:v>
                </c:pt>
                <c:pt idx="6">
                  <c:v>2.3683424870000001</c:v>
                </c:pt>
                <c:pt idx="7">
                  <c:v>2.4453980660000001</c:v>
                </c:pt>
                <c:pt idx="8">
                  <c:v>2.5210237119999999</c:v>
                </c:pt>
                <c:pt idx="9">
                  <c:v>2.5949944700000001</c:v>
                </c:pt>
                <c:pt idx="10">
                  <c:v>2.6677545519999999</c:v>
                </c:pt>
                <c:pt idx="11">
                  <c:v>2.7386593609999998</c:v>
                </c:pt>
                <c:pt idx="12">
                  <c:v>2.8076723879999999</c:v>
                </c:pt>
                <c:pt idx="13">
                  <c:v>2.874775235</c:v>
                </c:pt>
                <c:pt idx="14">
                  <c:v>2.9399713759999999</c:v>
                </c:pt>
                <c:pt idx="15">
                  <c:v>3.0032833390000002</c:v>
                </c:pt>
                <c:pt idx="16">
                  <c:v>3.0647483260000001</c:v>
                </c:pt>
                <c:pt idx="17">
                  <c:v>3.1244140109999998</c:v>
                </c:pt>
                <c:pt idx="18">
                  <c:v>3.1823351600000001</c:v>
                </c:pt>
                <c:pt idx="19">
                  <c:v>3.238571205</c:v>
                </c:pt>
                <c:pt idx="20">
                  <c:v>3.2927792290000002</c:v>
                </c:pt>
                <c:pt idx="21">
                  <c:v>3.34545088</c:v>
                </c:pt>
                <c:pt idx="22">
                  <c:v>3.3966616630000002</c:v>
                </c:pt>
                <c:pt idx="23">
                  <c:v>3.446490882</c:v>
                </c:pt>
                <c:pt idx="24">
                  <c:v>3.495013369</c:v>
                </c:pt>
                <c:pt idx="25">
                  <c:v>3.5411570389999998</c:v>
                </c:pt>
                <c:pt idx="26">
                  <c:v>3.585653288</c:v>
                </c:pt>
                <c:pt idx="27">
                  <c:v>3.6286172300000001</c:v>
                </c:pt>
                <c:pt idx="28">
                  <c:v>3.6701823130000002</c:v>
                </c:pt>
                <c:pt idx="29">
                  <c:v>3.7104821139999999</c:v>
                </c:pt>
                <c:pt idx="30">
                  <c:v>3.749641676</c:v>
                </c:pt>
                <c:pt idx="31">
                  <c:v>3.7877739359999998</c:v>
                </c:pt>
                <c:pt idx="32">
                  <c:v>3.8249791360000001</c:v>
                </c:pt>
                <c:pt idx="33">
                  <c:v>3.8613458409999999</c:v>
                </c:pt>
                <c:pt idx="34">
                  <c:v>3.8969526220000001</c:v>
                </c:pt>
                <c:pt idx="35">
                  <c:v>3.9318698150000002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D4-4D49-89F4-ABF65BD94CDB}"/>
            </c:ext>
          </c:extLst>
        </c:ser>
        <c:ser>
          <c:idx val="3"/>
          <c:order val="3"/>
          <c:tx>
            <c:strRef>
              <c:f>Données!$B$306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00B050"/>
            </a:solidFill>
            <a:ln w="25400">
              <a:noFill/>
            </a:ln>
            <a:effectLst/>
          </c:spPr>
          <c:cat>
            <c:numRef>
              <c:f>Données!$C$302:$AL$302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Données!$C$306:$AL$306</c:f>
              <c:numCache>
                <c:formatCode>#,##0</c:formatCode>
                <c:ptCount val="36"/>
                <c:pt idx="0">
                  <c:v>44.765000000000001</c:v>
                </c:pt>
                <c:pt idx="1">
                  <c:v>62.527370990000001</c:v>
                </c:pt>
                <c:pt idx="2">
                  <c:v>81.219025740000006</c:v>
                </c:pt>
                <c:pt idx="3">
                  <c:v>100.35870559999999</c:v>
                </c:pt>
                <c:pt idx="4">
                  <c:v>119.6436751</c:v>
                </c:pt>
                <c:pt idx="5">
                  <c:v>138.89068019999999</c:v>
                </c:pt>
                <c:pt idx="6">
                  <c:v>157.95549159999999</c:v>
                </c:pt>
                <c:pt idx="7">
                  <c:v>176.77435180000001</c:v>
                </c:pt>
                <c:pt idx="8">
                  <c:v>195.31090470000001</c:v>
                </c:pt>
                <c:pt idx="9">
                  <c:v>213.54517670000001</c:v>
                </c:pt>
                <c:pt idx="10">
                  <c:v>231.5305913</c:v>
                </c:pt>
                <c:pt idx="11">
                  <c:v>249.19786329999999</c:v>
                </c:pt>
                <c:pt idx="12">
                  <c:v>266.5438638</c:v>
                </c:pt>
                <c:pt idx="13">
                  <c:v>283.5673577</c:v>
                </c:pt>
                <c:pt idx="14">
                  <c:v>300.26977640000001</c:v>
                </c:pt>
                <c:pt idx="15">
                  <c:v>316.65513579999998</c:v>
                </c:pt>
                <c:pt idx="16">
                  <c:v>332.72971469999999</c:v>
                </c:pt>
                <c:pt idx="17">
                  <c:v>348.50172029999999</c:v>
                </c:pt>
                <c:pt idx="18">
                  <c:v>363.98101969999999</c:v>
                </c:pt>
                <c:pt idx="19">
                  <c:v>379.17895759999999</c:v>
                </c:pt>
                <c:pt idx="20">
                  <c:v>394.06073989999999</c:v>
                </c:pt>
                <c:pt idx="21">
                  <c:v>408.68932150000001</c:v>
                </c:pt>
                <c:pt idx="22">
                  <c:v>423.08158839999999</c:v>
                </c:pt>
                <c:pt idx="23">
                  <c:v>437.25609789999999</c:v>
                </c:pt>
                <c:pt idx="24">
                  <c:v>451.23207839999998</c:v>
                </c:pt>
                <c:pt idx="25">
                  <c:v>464.89240810000001</c:v>
                </c:pt>
                <c:pt idx="26">
                  <c:v>478.33367120000003</c:v>
                </c:pt>
                <c:pt idx="27">
                  <c:v>491.58281099999999</c:v>
                </c:pt>
                <c:pt idx="28">
                  <c:v>504.67099969999998</c:v>
                </c:pt>
                <c:pt idx="29">
                  <c:v>517.63145610000004</c:v>
                </c:pt>
                <c:pt idx="30">
                  <c:v>530.49837490000004</c:v>
                </c:pt>
                <c:pt idx="31">
                  <c:v>543.30645010000001</c:v>
                </c:pt>
                <c:pt idx="32">
                  <c:v>556.09075259999997</c:v>
                </c:pt>
                <c:pt idx="33">
                  <c:v>568.8868152</c:v>
                </c:pt>
                <c:pt idx="34">
                  <c:v>581.73082839999995</c:v>
                </c:pt>
                <c:pt idx="35">
                  <c:v>594.65988319999997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D4-4D49-89F4-ABF65BD94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616"/>
        <c:axId val="749190272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Données!$B$303</c15:sqref>
                        </c15:formulaRef>
                      </c:ext>
                    </c:extLst>
                    <c:strCache>
                      <c:ptCount val="1"/>
                      <c:pt idx="0">
                        <c:v>Vehicles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 w="25400"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Données!$C$302:$AL$302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Données!$C$303:$AL$303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32317.940999999999</c:v>
                      </c:pt>
                      <c:pt idx="1">
                        <c:v>31939.281360000001</c:v>
                      </c:pt>
                      <c:pt idx="2">
                        <c:v>31767.455880000001</c:v>
                      </c:pt>
                      <c:pt idx="3">
                        <c:v>31736.000940000002</c:v>
                      </c:pt>
                      <c:pt idx="4">
                        <c:v>31800.974979999999</c:v>
                      </c:pt>
                      <c:pt idx="5">
                        <c:v>31933.82127</c:v>
                      </c:pt>
                      <c:pt idx="6">
                        <c:v>32112.09174</c:v>
                      </c:pt>
                      <c:pt idx="7">
                        <c:v>32323.60598</c:v>
                      </c:pt>
                      <c:pt idx="8">
                        <c:v>32560.151460000001</c:v>
                      </c:pt>
                      <c:pt idx="9">
                        <c:v>32815.996449999999</c:v>
                      </c:pt>
                      <c:pt idx="10">
                        <c:v>33093.725680000003</c:v>
                      </c:pt>
                      <c:pt idx="11">
                        <c:v>33382.97322</c:v>
                      </c:pt>
                      <c:pt idx="12">
                        <c:v>33680.99985</c:v>
                      </c:pt>
                      <c:pt idx="13">
                        <c:v>33985.469579999997</c:v>
                      </c:pt>
                      <c:pt idx="14">
                        <c:v>34294.477460000002</c:v>
                      </c:pt>
                      <c:pt idx="15">
                        <c:v>34606.498899999999</c:v>
                      </c:pt>
                      <c:pt idx="16">
                        <c:v>34920.321960000001</c:v>
                      </c:pt>
                      <c:pt idx="17">
                        <c:v>35234.983769999999</c:v>
                      </c:pt>
                      <c:pt idx="18">
                        <c:v>35549.7186</c:v>
                      </c:pt>
                      <c:pt idx="19">
                        <c:v>35863.918850000002</c:v>
                      </c:pt>
                      <c:pt idx="20">
                        <c:v>36172.233489999999</c:v>
                      </c:pt>
                      <c:pt idx="21">
                        <c:v>36479.502670000002</c:v>
                      </c:pt>
                      <c:pt idx="22">
                        <c:v>36785.560689999998</c:v>
                      </c:pt>
                      <c:pt idx="23">
                        <c:v>37090.359049999999</c:v>
                      </c:pt>
                      <c:pt idx="24">
                        <c:v>37393.860979999998</c:v>
                      </c:pt>
                      <c:pt idx="25">
                        <c:v>37682.300219999997</c:v>
                      </c:pt>
                      <c:pt idx="26">
                        <c:v>37963.857770000002</c:v>
                      </c:pt>
                      <c:pt idx="27">
                        <c:v>38239.223680000003</c:v>
                      </c:pt>
                      <c:pt idx="28">
                        <c:v>38509.344530000002</c:v>
                      </c:pt>
                      <c:pt idx="29">
                        <c:v>38775.198510000002</c:v>
                      </c:pt>
                      <c:pt idx="30">
                        <c:v>39037.68907</c:v>
                      </c:pt>
                      <c:pt idx="31">
                        <c:v>39297.601430000002</c:v>
                      </c:pt>
                      <c:pt idx="32">
                        <c:v>39555.595670000002</c:v>
                      </c:pt>
                      <c:pt idx="33">
                        <c:v>39812.219279999998</c:v>
                      </c:pt>
                      <c:pt idx="34">
                        <c:v>40067.927490000002</c:v>
                      </c:pt>
                      <c:pt idx="35">
                        <c:v>40323.10426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5BD4-4D49-89F4-ABF65BD94CDB}"/>
                  </c:ext>
                </c:extLst>
              </c15:ser>
            </c15:filteredAreaSeries>
          </c:ext>
        </c:extLst>
      </c:areaChart>
      <c:dateAx>
        <c:axId val="749189616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90272"/>
        <c:crosses val="autoZero"/>
        <c:auto val="1"/>
        <c:lblOffset val="100"/>
        <c:baseTimeUnit val="years"/>
        <c:majorUnit val="5"/>
        <c:majorTimeUnit val="years"/>
      </c:dateAx>
      <c:valAx>
        <c:axId val="74919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89616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Employment</a:t>
            </a:r>
          </a:p>
          <a:p>
            <a:pPr>
              <a:defRPr/>
            </a:pPr>
            <a:r>
              <a:rPr lang="fr-FR" sz="1800" baseline="0"/>
              <a:t>(deviation in thousands)</a:t>
            </a:r>
          </a:p>
          <a:p>
            <a:pPr>
              <a:defRPr/>
            </a:pPr>
            <a:endParaRPr lang="fr-FR"/>
          </a:p>
        </c:rich>
      </c:tx>
      <c:layout>
        <c:manualLayout>
          <c:xMode val="edge"/>
          <c:yMode val="edge"/>
          <c:x val="0.36442019357368427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311456623915506E-2"/>
          <c:y val="0.15388432122165863"/>
          <c:w val="0.90465257274928901"/>
          <c:h val="0.57456985577238018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Données!$B$227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Données!$C$227:$E$227</c:f>
              <c:numCache>
                <c:formatCode>#,##0</c:formatCode>
                <c:ptCount val="3"/>
                <c:pt idx="0">
                  <c:v>-38.752685000000042</c:v>
                </c:pt>
                <c:pt idx="1">
                  <c:v>-44.800345099999959</c:v>
                </c:pt>
                <c:pt idx="2">
                  <c:v>-51.176362799999993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16-4F95-8245-39FB8CC2FEA0}"/>
            </c:ext>
          </c:extLst>
        </c:ser>
        <c:ser>
          <c:idx val="2"/>
          <c:order val="2"/>
          <c:tx>
            <c:strRef>
              <c:f>Données!$B$228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Données!$C$228:$E$228</c:f>
              <c:numCache>
                <c:formatCode>#,##0</c:formatCode>
                <c:ptCount val="3"/>
                <c:pt idx="0">
                  <c:v>-261.64053200000035</c:v>
                </c:pt>
                <c:pt idx="1">
                  <c:v>-345.98624500000005</c:v>
                </c:pt>
                <c:pt idx="2">
                  <c:v>-406.44591599999967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16-4F95-8245-39FB8CC2FEA0}"/>
            </c:ext>
          </c:extLst>
        </c:ser>
        <c:ser>
          <c:idx val="3"/>
          <c:order val="3"/>
          <c:tx>
            <c:strRef>
              <c:f>Données!$B$229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Données!$C$229:$E$229</c:f>
              <c:numCache>
                <c:formatCode>#,##0</c:formatCode>
                <c:ptCount val="3"/>
                <c:pt idx="0">
                  <c:v>-35.639796700000034</c:v>
                </c:pt>
                <c:pt idx="1">
                  <c:v>-42.815304900000001</c:v>
                </c:pt>
                <c:pt idx="2">
                  <c:v>-49.809272599999986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16-4F95-8245-39FB8CC2FEA0}"/>
            </c:ext>
          </c:extLst>
        </c:ser>
        <c:ser>
          <c:idx val="4"/>
          <c:order val="4"/>
          <c:tx>
            <c:strRef>
              <c:f>Données!$B$230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Données!$C$230:$E$230</c:f>
              <c:numCache>
                <c:formatCode>#,##0</c:formatCode>
                <c:ptCount val="3"/>
                <c:pt idx="0">
                  <c:v>-731.76348999999755</c:v>
                </c:pt>
                <c:pt idx="1">
                  <c:v>-833.64324000000124</c:v>
                </c:pt>
                <c:pt idx="2">
                  <c:v>-919.89952999999878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16-4F95-8245-39FB8CC2FEA0}"/>
            </c:ext>
          </c:extLst>
        </c:ser>
        <c:ser>
          <c:idx val="5"/>
          <c:order val="5"/>
          <c:tx>
            <c:strRef>
              <c:f>Données!$B$231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Données!$C$231:$E$231</c:f>
              <c:numCache>
                <c:formatCode>#\ ##0.0</c:formatCode>
                <c:ptCount val="3"/>
                <c:pt idx="0">
                  <c:v>-0.62640962799999755</c:v>
                </c:pt>
                <c:pt idx="1">
                  <c:v>-0.76705434850000209</c:v>
                </c:pt>
                <c:pt idx="2">
                  <c:v>-0.88909725330000455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616-4F95-8245-39FB8CC2FEA0}"/>
            </c:ext>
          </c:extLst>
        </c:ser>
        <c:ser>
          <c:idx val="6"/>
          <c:order val="6"/>
          <c:tx>
            <c:strRef>
              <c:f>Données!$B$232</c:f>
              <c:strCache>
                <c:ptCount val="1"/>
                <c:pt idx="0">
                  <c:v>Renewable Oil &amp; Gas</c:v>
                </c:pt>
              </c:strCache>
            </c:strRef>
          </c:tx>
          <c:spPr>
            <a:pattFill prst="narHorz">
              <a:fgClr>
                <a:srgbClr val="7030A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Données!$C$232:$E$232</c:f>
              <c:numCache>
                <c:formatCode>#\ ##0.0</c:formatCode>
                <c:ptCount val="3"/>
                <c:pt idx="0">
                  <c:v>-0.41945168200000005</c:v>
                </c:pt>
                <c:pt idx="1">
                  <c:v>-0.50597349149999982</c:v>
                </c:pt>
                <c:pt idx="2">
                  <c:v>-0.57695587669999959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16-4F95-8245-39FB8CC2FEA0}"/>
            </c:ext>
          </c:extLst>
        </c:ser>
        <c:ser>
          <c:idx val="7"/>
          <c:order val="7"/>
          <c:tx>
            <c:strRef>
              <c:f>Données!$B$233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Données!$C$233:$E$233</c:f>
              <c:numCache>
                <c:formatCode>#\ ##0.0</c:formatCode>
                <c:ptCount val="3"/>
                <c:pt idx="0">
                  <c:v>-2.3441867299999899</c:v>
                </c:pt>
                <c:pt idx="1">
                  <c:v>-2.8166408099999956</c:v>
                </c:pt>
                <c:pt idx="2">
                  <c:v>-3.4331188099999963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Données!$B$226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Données!$C$226:$E$226</c:f>
              <c:numCache>
                <c:formatCode>#,##0</c:formatCode>
                <c:ptCount val="3"/>
                <c:pt idx="0">
                  <c:v>-1071.1865499999985</c:v>
                </c:pt>
                <c:pt idx="1">
                  <c:v>-1271.3348100000003</c:v>
                </c:pt>
                <c:pt idx="2">
                  <c:v>-1432.2302500000005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Investment </a:t>
            </a:r>
            <a:r>
              <a:rPr lang="fr-FR" sz="1800"/>
              <a:t>(%deviation</a:t>
            </a:r>
            <a:r>
              <a:rPr lang="fr-FR" sz="1800" baseline="0"/>
              <a:t> from baseline</a:t>
            </a:r>
            <a:r>
              <a:rPr lang="fr-FR" sz="2800" baseline="0"/>
              <a:t>)</a:t>
            </a:r>
            <a:endParaRPr lang="fr-FR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Données!$B$289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Données!$C$289:$E$289</c:f>
              <c:numCache>
                <c:formatCode>0.0%</c:formatCode>
                <c:ptCount val="3"/>
                <c:pt idx="0">
                  <c:v>-5.7050935322369711E-4</c:v>
                </c:pt>
                <c:pt idx="1">
                  <c:v>-6.7490002507161696E-4</c:v>
                </c:pt>
                <c:pt idx="2">
                  <c:v>-7.5012506012137384E-4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FE-477E-A9C8-4FC424910435}"/>
            </c:ext>
          </c:extLst>
        </c:ser>
        <c:ser>
          <c:idx val="2"/>
          <c:order val="2"/>
          <c:tx>
            <c:strRef>
              <c:f>Données!$B$290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Données!$C$290:$E$290</c:f>
              <c:numCache>
                <c:formatCode>0.0%</c:formatCode>
                <c:ptCount val="3"/>
                <c:pt idx="0">
                  <c:v>-3.7854559556099177E-2</c:v>
                </c:pt>
                <c:pt idx="1">
                  <c:v>-5.2916511605939402E-2</c:v>
                </c:pt>
                <c:pt idx="2">
                  <c:v>-6.1359611803780009E-2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FE-477E-A9C8-4FC424910435}"/>
            </c:ext>
          </c:extLst>
        </c:ser>
        <c:ser>
          <c:idx val="3"/>
          <c:order val="3"/>
          <c:tx>
            <c:strRef>
              <c:f>Données!$B$291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Données!$C$291:$E$291</c:f>
              <c:numCache>
                <c:formatCode>0.0%</c:formatCode>
                <c:ptCount val="3"/>
                <c:pt idx="0">
                  <c:v>-1.1985153934740568E-3</c:v>
                </c:pt>
                <c:pt idx="1">
                  <c:v>-1.5116502261526919E-3</c:v>
                </c:pt>
                <c:pt idx="2">
                  <c:v>-1.7514143138658176E-3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FE-477E-A9C8-4FC424910435}"/>
            </c:ext>
          </c:extLst>
        </c:ser>
        <c:ser>
          <c:idx val="4"/>
          <c:order val="4"/>
          <c:tx>
            <c:strRef>
              <c:f>Données!$B$292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Données!$C$292:$E$292</c:f>
              <c:numCache>
                <c:formatCode>0.0%</c:formatCode>
                <c:ptCount val="3"/>
                <c:pt idx="0">
                  <c:v>-2.3932635867788637E-2</c:v>
                </c:pt>
                <c:pt idx="1">
                  <c:v>-2.9494168432694749E-2</c:v>
                </c:pt>
                <c:pt idx="2">
                  <c:v>-3.2738943387867259E-2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FE-477E-A9C8-4FC424910435}"/>
            </c:ext>
          </c:extLst>
        </c:ser>
        <c:ser>
          <c:idx val="5"/>
          <c:order val="5"/>
          <c:tx>
            <c:strRef>
              <c:f>Données!$B$293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Données!$C$293:$E$293</c:f>
              <c:numCache>
                <c:formatCode>0.0%</c:formatCode>
                <c:ptCount val="3"/>
                <c:pt idx="0">
                  <c:v>-3.5247621823448046E-4</c:v>
                </c:pt>
                <c:pt idx="1">
                  <c:v>-4.2372606228431993E-4</c:v>
                </c:pt>
                <c:pt idx="2">
                  <c:v>-4.7121226747792104E-4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CFE-477E-A9C8-4FC424910435}"/>
            </c:ext>
          </c:extLst>
        </c:ser>
        <c:ser>
          <c:idx val="6"/>
          <c:order val="6"/>
          <c:tx>
            <c:strRef>
              <c:f>Données!$B$294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Données!$C$294:$E$294</c:f>
              <c:numCache>
                <c:formatCode>0.0%</c:formatCode>
                <c:ptCount val="3"/>
                <c:pt idx="0">
                  <c:v>-2.8393132609924994E-4</c:v>
                </c:pt>
                <c:pt idx="1">
                  <c:v>-3.2903369311337069E-4</c:v>
                </c:pt>
                <c:pt idx="2">
                  <c:v>-3.8497214454281589E-4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CFE-477E-A9C8-4FC424910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4"/>
        <c:overlap val="100"/>
        <c:axId val="750236624"/>
        <c:axId val="750231704"/>
      </c:barChart>
      <c:lineChart>
        <c:grouping val="standard"/>
        <c:varyColors val="0"/>
        <c:ser>
          <c:idx val="0"/>
          <c:order val="0"/>
          <c:tx>
            <c:strRef>
              <c:f>Données!$B$288</c:f>
              <c:strCache>
                <c:ptCount val="1"/>
                <c:pt idx="0">
                  <c:v>Firms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Données!$C$288:$E$288</c:f>
              <c:numCache>
                <c:formatCode>0.0%</c:formatCode>
                <c:ptCount val="3"/>
                <c:pt idx="0">
                  <c:v>-6.4192627806056723E-2</c:v>
                </c:pt>
                <c:pt idx="1">
                  <c:v>-8.5349989922653524E-2</c:v>
                </c:pt>
                <c:pt idx="2">
                  <c:v>-9.7456279096932441E-2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FE-477E-A9C8-4FC424910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0236624"/>
        <c:axId val="750231704"/>
      </c:lineChart>
      <c:catAx>
        <c:axId val="75023662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50231704"/>
        <c:crosses val="autoZero"/>
        <c:auto val="1"/>
        <c:lblAlgn val="ctr"/>
        <c:lblOffset val="100"/>
        <c:tickLblSkip val="10"/>
        <c:noMultiLvlLbl val="0"/>
      </c:catAx>
      <c:valAx>
        <c:axId val="750231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5023662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Firms' CO2</a:t>
            </a:r>
            <a:r>
              <a:rPr lang="fr-FR" sz="2800" baseline="0"/>
              <a:t> emissions</a:t>
            </a:r>
          </a:p>
          <a:p>
            <a:pPr>
              <a:defRPr/>
            </a:pPr>
            <a:r>
              <a:rPr lang="fr-FR" i="1" baseline="0"/>
              <a:t>MtCO2/y</a:t>
            </a:r>
            <a:endParaRPr lang="fr-FR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Données!$B$432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Données!$C$432:$F$432</c:f>
              <c:numCache>
                <c:formatCode>#,##0</c:formatCode>
                <c:ptCount val="4"/>
                <c:pt idx="0">
                  <c:v>14.833418393699999</c:v>
                </c:pt>
                <c:pt idx="1">
                  <c:v>17.065605591499999</c:v>
                </c:pt>
                <c:pt idx="2">
                  <c:v>19.61757484</c:v>
                </c:pt>
                <c:pt idx="3">
                  <c:v>22.1189163996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4-46BD-89B3-C66A209FCBCA}"/>
            </c:ext>
          </c:extLst>
        </c:ser>
        <c:ser>
          <c:idx val="1"/>
          <c:order val="1"/>
          <c:tx>
            <c:strRef>
              <c:f>Données!$B$433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Données!$C$433:$F$433</c:f>
              <c:numCache>
                <c:formatCode>#,##0</c:formatCode>
                <c:ptCount val="4"/>
                <c:pt idx="0">
                  <c:v>8.8011979109999992</c:v>
                </c:pt>
                <c:pt idx="1">
                  <c:v>10.248141499999999</c:v>
                </c:pt>
                <c:pt idx="2">
                  <c:v>11.89572628</c:v>
                </c:pt>
                <c:pt idx="3">
                  <c:v>13.45462663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84-46BD-89B3-C66A209FCBCA}"/>
            </c:ext>
          </c:extLst>
        </c:ser>
        <c:ser>
          <c:idx val="2"/>
          <c:order val="2"/>
          <c:tx>
            <c:strRef>
              <c:f>Données!$B$434</c:f>
              <c:strCache>
                <c:ptCount val="1"/>
                <c:pt idx="0">
                  <c:v>Glass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Données!$C$434:$F$434</c:f>
              <c:numCache>
                <c:formatCode>#,##0</c:formatCode>
                <c:ptCount val="4"/>
                <c:pt idx="0">
                  <c:v>19.359938659999997</c:v>
                </c:pt>
                <c:pt idx="1">
                  <c:v>22.352858214999998</c:v>
                </c:pt>
                <c:pt idx="2">
                  <c:v>25.799617079999997</c:v>
                </c:pt>
                <c:pt idx="3">
                  <c:v>29.526065410000001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84-46BD-89B3-C66A209FCBCA}"/>
            </c:ext>
          </c:extLst>
        </c:ser>
        <c:ser>
          <c:idx val="3"/>
          <c:order val="3"/>
          <c:tx>
            <c:strRef>
              <c:f>Données!$B$435</c:f>
              <c:strCache>
                <c:ptCount val="1"/>
                <c:pt idx="0">
                  <c:v>Chemicals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Données!$C$435:$F$435</c:f>
              <c:numCache>
                <c:formatCode>#,##0</c:formatCode>
                <c:ptCount val="4"/>
                <c:pt idx="0">
                  <c:v>13.810766620000001</c:v>
                </c:pt>
                <c:pt idx="1">
                  <c:v>15.882808430000001</c:v>
                </c:pt>
                <c:pt idx="2">
                  <c:v>18.000339050000001</c:v>
                </c:pt>
                <c:pt idx="3">
                  <c:v>20.272489239999999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84-46BD-89B3-C66A209FCBCA}"/>
            </c:ext>
          </c:extLst>
        </c:ser>
        <c:ser>
          <c:idx val="4"/>
          <c:order val="4"/>
          <c:tx>
            <c:strRef>
              <c:f>Données!$B$436</c:f>
              <c:strCache>
                <c:ptCount val="1"/>
                <c:pt idx="0">
                  <c:v>Metal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Données!$C$436:$F$436</c:f>
              <c:numCache>
                <c:formatCode>#,##0</c:formatCode>
                <c:ptCount val="4"/>
                <c:pt idx="0">
                  <c:v>20.009544529999999</c:v>
                </c:pt>
                <c:pt idx="1">
                  <c:v>22.82820044</c:v>
                </c:pt>
                <c:pt idx="2">
                  <c:v>25.939115449999999</c:v>
                </c:pt>
                <c:pt idx="3">
                  <c:v>29.33708635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84-46BD-89B3-C66A209FCBCA}"/>
            </c:ext>
          </c:extLst>
        </c:ser>
        <c:ser>
          <c:idx val="5"/>
          <c:order val="5"/>
          <c:tx>
            <c:strRef>
              <c:f>Données!$B$437</c:f>
              <c:strCache>
                <c:ptCount val="1"/>
                <c:pt idx="0">
                  <c:v>Other industry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Données!$C$437:$F$437</c:f>
              <c:numCache>
                <c:formatCode>#,##0</c:formatCode>
                <c:ptCount val="4"/>
                <c:pt idx="0">
                  <c:v>16.168479192</c:v>
                </c:pt>
                <c:pt idx="1">
                  <c:v>19.131634519999999</c:v>
                </c:pt>
                <c:pt idx="2">
                  <c:v>22.488338053</c:v>
                </c:pt>
                <c:pt idx="3">
                  <c:v>25.527257491999997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84-46BD-89B3-C66A209FCBCA}"/>
            </c:ext>
          </c:extLst>
        </c:ser>
        <c:ser>
          <c:idx val="6"/>
          <c:order val="6"/>
          <c:tx>
            <c:strRef>
              <c:f>Données!$B$438</c:f>
              <c:strCache>
                <c:ptCount val="1"/>
                <c:pt idx="0">
                  <c:v>Road transport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Données!$C$438:$F$438</c:f>
              <c:numCache>
                <c:formatCode>#,##0</c:formatCode>
                <c:ptCount val="4"/>
                <c:pt idx="0">
                  <c:v>17.78891286</c:v>
                </c:pt>
                <c:pt idx="1">
                  <c:v>20.223580290000001</c:v>
                </c:pt>
                <c:pt idx="2">
                  <c:v>22.84168785</c:v>
                </c:pt>
                <c:pt idx="3">
                  <c:v>25.512844090000002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84-46BD-89B3-C66A209FCBCA}"/>
            </c:ext>
          </c:extLst>
        </c:ser>
        <c:ser>
          <c:idx val="7"/>
          <c:order val="7"/>
          <c:tx>
            <c:strRef>
              <c:f>Données!$B$439</c:f>
              <c:strCache>
                <c:ptCount val="1"/>
                <c:pt idx="0">
                  <c:v>Air transport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Données!$C$439:$F$439</c:f>
              <c:numCache>
                <c:formatCode>#,##0</c:formatCode>
                <c:ptCount val="4"/>
                <c:pt idx="0">
                  <c:v>19.916239600000001</c:v>
                </c:pt>
                <c:pt idx="1">
                  <c:v>23.579269629999999</c:v>
                </c:pt>
                <c:pt idx="2">
                  <c:v>27.5305359</c:v>
                </c:pt>
                <c:pt idx="3">
                  <c:v>31.665300640000002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C84-46BD-89B3-C66A209FCBCA}"/>
            </c:ext>
          </c:extLst>
        </c:ser>
        <c:ser>
          <c:idx val="8"/>
          <c:order val="8"/>
          <c:tx>
            <c:strRef>
              <c:f>Données!$B$440</c:f>
              <c:strCache>
                <c:ptCount val="1"/>
                <c:pt idx="0">
                  <c:v>Other transport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Données!$C$440:$F$440</c:f>
              <c:numCache>
                <c:formatCode>#,##0</c:formatCode>
                <c:ptCount val="4"/>
                <c:pt idx="0">
                  <c:v>5.654498341</c:v>
                </c:pt>
                <c:pt idx="1">
                  <c:v>6.4549210199999996</c:v>
                </c:pt>
                <c:pt idx="2">
                  <c:v>7.2390007250000004</c:v>
                </c:pt>
                <c:pt idx="3">
                  <c:v>8.0905811239999998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84-46BD-89B3-C66A209FCBCA}"/>
            </c:ext>
          </c:extLst>
        </c:ser>
        <c:ser>
          <c:idx val="9"/>
          <c:order val="9"/>
          <c:tx>
            <c:strRef>
              <c:f>Données!$B$441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Données!$C$441:$F$441</c:f>
              <c:numCache>
                <c:formatCode>#,##0</c:formatCode>
                <c:ptCount val="4"/>
                <c:pt idx="0">
                  <c:v>51.305366231000001</c:v>
                </c:pt>
                <c:pt idx="1">
                  <c:v>59.745331525999994</c:v>
                </c:pt>
                <c:pt idx="2">
                  <c:v>69.441964013000003</c:v>
                </c:pt>
                <c:pt idx="3">
                  <c:v>78.967853974999997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C84-46BD-89B3-C66A209FCBCA}"/>
            </c:ext>
          </c:extLst>
        </c:ser>
        <c:ser>
          <c:idx val="10"/>
          <c:order val="10"/>
          <c:tx>
            <c:strRef>
              <c:f>Données!$B$442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Données!$C$442:$F$442</c:f>
              <c:numCache>
                <c:formatCode>#,##0</c:formatCode>
                <c:ptCount val="4"/>
                <c:pt idx="0">
                  <c:v>21.518354344000002</c:v>
                </c:pt>
                <c:pt idx="1">
                  <c:v>23.854409312000001</c:v>
                </c:pt>
                <c:pt idx="2">
                  <c:v>26.498902883</c:v>
                </c:pt>
                <c:pt idx="3">
                  <c:v>29.150668621999998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C84-46BD-89B3-C66A209FCBCA}"/>
            </c:ext>
          </c:extLst>
        </c:ser>
        <c:ser>
          <c:idx val="11"/>
          <c:order val="11"/>
          <c:tx>
            <c:strRef>
              <c:f>Données!$B$443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Données!$C$443:$F$443</c:f>
              <c:numCache>
                <c:formatCode>#,##0</c:formatCode>
                <c:ptCount val="4"/>
                <c:pt idx="0">
                  <c:v>25.461513605</c:v>
                </c:pt>
                <c:pt idx="1">
                  <c:v>27.762108595999997</c:v>
                </c:pt>
                <c:pt idx="2">
                  <c:v>30.035371387000001</c:v>
                </c:pt>
                <c:pt idx="3">
                  <c:v>32.307344254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C84-46BD-89B3-C66A209FC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6882840"/>
        <c:axId val="956883496"/>
      </c:barChart>
      <c:catAx>
        <c:axId val="956882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3496"/>
        <c:crosses val="autoZero"/>
        <c:auto val="1"/>
        <c:lblAlgn val="ctr"/>
        <c:lblOffset val="100"/>
        <c:noMultiLvlLbl val="0"/>
      </c:catAx>
      <c:valAx>
        <c:axId val="956883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284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Capital intensity</a:t>
            </a:r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deviation from baseline)</a:t>
            </a:r>
            <a:endParaRPr lang="fr-FR" sz="1800"/>
          </a:p>
        </c:rich>
      </c:tx>
      <c:layout>
        <c:manualLayout>
          <c:xMode val="edge"/>
          <c:yMode val="edge"/>
          <c:x val="0.35804858323293964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Données!$B$185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Données!$C$185:$AL$185</c:f>
              <c:numCache>
                <c:formatCode>0%</c:formatCode>
                <c:ptCount val="36"/>
                <c:pt idx="0">
                  <c:v>2.0779828735517203E-2</c:v>
                </c:pt>
                <c:pt idx="1">
                  <c:v>2.5298669273953189E-2</c:v>
                </c:pt>
                <c:pt idx="2">
                  <c:v>2.7800350821654884E-2</c:v>
                </c:pt>
                <c:pt idx="3">
                  <c:v>2.9090693907502407E-2</c:v>
                </c:pt>
                <c:pt idx="4">
                  <c:v>2.9444582742712999E-2</c:v>
                </c:pt>
                <c:pt idx="5">
                  <c:v>2.9084860600971263E-2</c:v>
                </c:pt>
                <c:pt idx="6">
                  <c:v>2.8212729388889413E-2</c:v>
                </c:pt>
                <c:pt idx="7">
                  <c:v>2.6950344392216996E-2</c:v>
                </c:pt>
                <c:pt idx="8">
                  <c:v>2.5400941111186404E-2</c:v>
                </c:pt>
                <c:pt idx="9">
                  <c:v>2.3660681102910974E-2</c:v>
                </c:pt>
                <c:pt idx="10">
                  <c:v>2.1815974320463338E-2</c:v>
                </c:pt>
                <c:pt idx="11">
                  <c:v>2.0012225092369551E-2</c:v>
                </c:pt>
                <c:pt idx="12">
                  <c:v>1.8237947355901785E-2</c:v>
                </c:pt>
                <c:pt idx="13">
                  <c:v>1.6521356126180775E-2</c:v>
                </c:pt>
                <c:pt idx="14">
                  <c:v>1.4882540519865817E-2</c:v>
                </c:pt>
                <c:pt idx="15">
                  <c:v>1.3334253143865604E-2</c:v>
                </c:pt>
                <c:pt idx="16">
                  <c:v>1.1958881187778214E-2</c:v>
                </c:pt>
                <c:pt idx="17">
                  <c:v>1.0692877833732295E-2</c:v>
                </c:pt>
                <c:pt idx="18">
                  <c:v>9.5305539801717742E-3</c:v>
                </c:pt>
                <c:pt idx="19">
                  <c:v>8.467994850303695E-3</c:v>
                </c:pt>
                <c:pt idx="20">
                  <c:v>7.4993734004353829E-3</c:v>
                </c:pt>
                <c:pt idx="21">
                  <c:v>6.6275089547136457E-3</c:v>
                </c:pt>
                <c:pt idx="22">
                  <c:v>5.8415055663672E-3</c:v>
                </c:pt>
                <c:pt idx="23">
                  <c:v>5.1378424140382517E-3</c:v>
                </c:pt>
                <c:pt idx="24">
                  <c:v>4.5121258129485753E-3</c:v>
                </c:pt>
                <c:pt idx="25">
                  <c:v>3.9495913719616027E-3</c:v>
                </c:pt>
                <c:pt idx="26">
                  <c:v>3.443720541405515E-3</c:v>
                </c:pt>
                <c:pt idx="27">
                  <c:v>2.9982766361593693E-3</c:v>
                </c:pt>
                <c:pt idx="28">
                  <c:v>2.6103718907910523E-3</c:v>
                </c:pt>
                <c:pt idx="29">
                  <c:v>2.2761390688628147E-3</c:v>
                </c:pt>
                <c:pt idx="30">
                  <c:v>1.9909513093996356E-3</c:v>
                </c:pt>
                <c:pt idx="31">
                  <c:v>1.7359491130779503E-3</c:v>
                </c:pt>
                <c:pt idx="32">
                  <c:v>1.5182314664621277E-3</c:v>
                </c:pt>
                <c:pt idx="33">
                  <c:v>1.3344050611350244E-3</c:v>
                </c:pt>
                <c:pt idx="34">
                  <c:v>1.1808393621033364E-3</c:v>
                </c:pt>
                <c:pt idx="35">
                  <c:v>1.0541597651128054E-3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BC-46A1-8051-5FF16B24E7D2}"/>
            </c:ext>
          </c:extLst>
        </c:ser>
        <c:ser>
          <c:idx val="2"/>
          <c:order val="2"/>
          <c:tx>
            <c:strRef>
              <c:f>Données!$B$186</c:f>
              <c:strCache>
                <c:ptCount val="1"/>
                <c:pt idx="0">
                  <c:v>Industry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Données!$C$186:$AL$186</c:f>
              <c:numCache>
                <c:formatCode>0%</c:formatCode>
                <c:ptCount val="36"/>
                <c:pt idx="0">
                  <c:v>2.6639400872807473E-2</c:v>
                </c:pt>
                <c:pt idx="1">
                  <c:v>3.0456161410931992E-2</c:v>
                </c:pt>
                <c:pt idx="2">
                  <c:v>3.2286065711995438E-2</c:v>
                </c:pt>
                <c:pt idx="3">
                  <c:v>3.3043468506091411E-2</c:v>
                </c:pt>
                <c:pt idx="4">
                  <c:v>3.3115568301988585E-2</c:v>
                </c:pt>
                <c:pt idx="5">
                  <c:v>3.2707819940363425E-2</c:v>
                </c:pt>
                <c:pt idx="6">
                  <c:v>3.1971368451790827E-2</c:v>
                </c:pt>
                <c:pt idx="7">
                  <c:v>3.0972020599673078E-2</c:v>
                </c:pt>
                <c:pt idx="8">
                  <c:v>2.9774773806700683E-2</c:v>
                </c:pt>
                <c:pt idx="9">
                  <c:v>2.8434050089820806E-2</c:v>
                </c:pt>
                <c:pt idx="10">
                  <c:v>2.6995363579837228E-2</c:v>
                </c:pt>
                <c:pt idx="11">
                  <c:v>2.5589758094110682E-2</c:v>
                </c:pt>
                <c:pt idx="12">
                  <c:v>2.4152672511452256E-2</c:v>
                </c:pt>
                <c:pt idx="13">
                  <c:v>2.2693254298933541E-2</c:v>
                </c:pt>
                <c:pt idx="14">
                  <c:v>2.1219807827769888E-2</c:v>
                </c:pt>
                <c:pt idx="15">
                  <c:v>1.9738832616169821E-2</c:v>
                </c:pt>
                <c:pt idx="16">
                  <c:v>1.8351563224425327E-2</c:v>
                </c:pt>
                <c:pt idx="17">
                  <c:v>1.696992642360029E-2</c:v>
                </c:pt>
                <c:pt idx="18">
                  <c:v>1.5590556835837877E-2</c:v>
                </c:pt>
                <c:pt idx="19">
                  <c:v>1.4214143272976987E-2</c:v>
                </c:pt>
                <c:pt idx="20">
                  <c:v>1.2843127434883694E-2</c:v>
                </c:pt>
                <c:pt idx="21">
                  <c:v>1.148293791656374E-2</c:v>
                </c:pt>
                <c:pt idx="22">
                  <c:v>1.0134186286468561E-2</c:v>
                </c:pt>
                <c:pt idx="23">
                  <c:v>8.8027405330772801E-3</c:v>
                </c:pt>
                <c:pt idx="24">
                  <c:v>7.4938690416566089E-3</c:v>
                </c:pt>
                <c:pt idx="25">
                  <c:v>6.209933672823631E-3</c:v>
                </c:pt>
                <c:pt idx="26">
                  <c:v>4.9329729906639752E-3</c:v>
                </c:pt>
                <c:pt idx="27">
                  <c:v>3.6908748791208978E-3</c:v>
                </c:pt>
                <c:pt idx="28">
                  <c:v>2.491079764156412E-3</c:v>
                </c:pt>
                <c:pt idx="29">
                  <c:v>1.3392277200792169E-3</c:v>
                </c:pt>
                <c:pt idx="30">
                  <c:v>2.3982983504877708E-4</c:v>
                </c:pt>
                <c:pt idx="31">
                  <c:v>-8.2081395429434156E-4</c:v>
                </c:pt>
                <c:pt idx="32">
                  <c:v>-1.8231476016004056E-3</c:v>
                </c:pt>
                <c:pt idx="33">
                  <c:v>-2.7627961980939419E-3</c:v>
                </c:pt>
                <c:pt idx="34">
                  <c:v>-3.6363230220924914E-3</c:v>
                </c:pt>
                <c:pt idx="35">
                  <c:v>-4.4408701007816465E-3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BC-46A1-8051-5FF16B24E7D2}"/>
            </c:ext>
          </c:extLst>
        </c:ser>
        <c:ser>
          <c:idx val="3"/>
          <c:order val="3"/>
          <c:tx>
            <c:strRef>
              <c:f>Données!$B$187</c:f>
              <c:strCache>
                <c:ptCount val="1"/>
                <c:pt idx="0">
                  <c:v>Transports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Données!$C$187:$AL$187</c:f>
              <c:numCache>
                <c:formatCode>0%</c:formatCode>
                <c:ptCount val="36"/>
                <c:pt idx="0">
                  <c:v>2.4815658904113969E-2</c:v>
                </c:pt>
                <c:pt idx="1">
                  <c:v>2.6628600041296302E-2</c:v>
                </c:pt>
                <c:pt idx="2">
                  <c:v>2.6968497400379432E-2</c:v>
                </c:pt>
                <c:pt idx="3">
                  <c:v>2.6530507666503444E-2</c:v>
                </c:pt>
                <c:pt idx="4">
                  <c:v>2.5539407696778538E-2</c:v>
                </c:pt>
                <c:pt idx="5">
                  <c:v>2.4126508216226306E-2</c:v>
                </c:pt>
                <c:pt idx="6">
                  <c:v>2.2426157878325137E-2</c:v>
                </c:pt>
                <c:pt idx="7">
                  <c:v>2.0515446244520286E-2</c:v>
                </c:pt>
                <c:pt idx="8">
                  <c:v>1.8479773740938787E-2</c:v>
                </c:pt>
                <c:pt idx="9">
                  <c:v>1.6392126313494959E-2</c:v>
                </c:pt>
                <c:pt idx="10">
                  <c:v>1.4312860381521464E-2</c:v>
                </c:pt>
                <c:pt idx="11">
                  <c:v>1.2370756840998531E-2</c:v>
                </c:pt>
                <c:pt idx="12">
                  <c:v>1.0502473154732961E-2</c:v>
                </c:pt>
                <c:pt idx="13">
                  <c:v>8.7170302940313693E-3</c:v>
                </c:pt>
                <c:pt idx="14">
                  <c:v>7.0197164026526426E-3</c:v>
                </c:pt>
                <c:pt idx="15">
                  <c:v>5.4118204778159651E-3</c:v>
                </c:pt>
                <c:pt idx="16">
                  <c:v>3.9833288307362658E-3</c:v>
                </c:pt>
                <c:pt idx="17">
                  <c:v>2.6371991269460437E-3</c:v>
                </c:pt>
                <c:pt idx="18">
                  <c:v>1.363566680532724E-3</c:v>
                </c:pt>
                <c:pt idx="19">
                  <c:v>1.5576353304447288E-4</c:v>
                </c:pt>
                <c:pt idx="20">
                  <c:v>-9.955127123698615E-4</c:v>
                </c:pt>
                <c:pt idx="21">
                  <c:v>-2.086004235594352E-3</c:v>
                </c:pt>
                <c:pt idx="22">
                  <c:v>-3.1268453265456131E-3</c:v>
                </c:pt>
                <c:pt idx="23">
                  <c:v>-4.1210683084726973E-3</c:v>
                </c:pt>
                <c:pt idx="24">
                  <c:v>-5.0719534097857233E-3</c:v>
                </c:pt>
                <c:pt idx="25">
                  <c:v>-5.9967730359284932E-3</c:v>
                </c:pt>
                <c:pt idx="26">
                  <c:v>-6.90176522713426E-3</c:v>
                </c:pt>
                <c:pt idx="27">
                  <c:v>-7.7703316565539415E-3</c:v>
                </c:pt>
                <c:pt idx="28">
                  <c:v>-8.6027417110116078E-3</c:v>
                </c:pt>
                <c:pt idx="29">
                  <c:v>-9.4004910625953286E-3</c:v>
                </c:pt>
                <c:pt idx="30">
                  <c:v>-1.0165467914203585E-2</c:v>
                </c:pt>
                <c:pt idx="31">
                  <c:v>-1.0916547972547819E-2</c:v>
                </c:pt>
                <c:pt idx="32">
                  <c:v>-1.163861415685552E-2</c:v>
                </c:pt>
                <c:pt idx="33">
                  <c:v>-1.2332077535802011E-2</c:v>
                </c:pt>
                <c:pt idx="34">
                  <c:v>-1.2997737912329055E-2</c:v>
                </c:pt>
                <c:pt idx="35">
                  <c:v>-1.363641601749277E-2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BC-46A1-8051-5FF16B24E7D2}"/>
            </c:ext>
          </c:extLst>
        </c:ser>
        <c:ser>
          <c:idx val="4"/>
          <c:order val="4"/>
          <c:tx>
            <c:strRef>
              <c:f>Données!$B$188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Données!$C$188:$AL$188</c:f>
              <c:numCache>
                <c:formatCode>0%</c:formatCode>
                <c:ptCount val="36"/>
                <c:pt idx="0">
                  <c:v>1.3883457964856127E-2</c:v>
                </c:pt>
                <c:pt idx="1">
                  <c:v>1.7853025593997041E-2</c:v>
                </c:pt>
                <c:pt idx="2">
                  <c:v>1.9958496649260749E-2</c:v>
                </c:pt>
                <c:pt idx="3">
                  <c:v>2.1029998099800329E-2</c:v>
                </c:pt>
                <c:pt idx="4">
                  <c:v>2.1374155344367818E-2</c:v>
                </c:pt>
                <c:pt idx="5">
                  <c:v>2.1153770382545733E-2</c:v>
                </c:pt>
                <c:pt idx="6">
                  <c:v>2.0506429983263574E-2</c:v>
                </c:pt>
                <c:pt idx="7">
                  <c:v>1.9523598774417561E-2</c:v>
                </c:pt>
                <c:pt idx="8">
                  <c:v>1.8299497455408265E-2</c:v>
                </c:pt>
                <c:pt idx="9">
                  <c:v>1.6915818380804248E-2</c:v>
                </c:pt>
                <c:pt idx="10">
                  <c:v>1.5431062084421132E-2</c:v>
                </c:pt>
                <c:pt idx="11">
                  <c:v>1.3962767603166393E-2</c:v>
                </c:pt>
                <c:pt idx="12">
                  <c:v>1.2497096023423859E-2</c:v>
                </c:pt>
                <c:pt idx="13">
                  <c:v>1.105096350029644E-2</c:v>
                </c:pt>
                <c:pt idx="14">
                  <c:v>9.6375968767494768E-3</c:v>
                </c:pt>
                <c:pt idx="15">
                  <c:v>8.2665875491854113E-3</c:v>
                </c:pt>
                <c:pt idx="16">
                  <c:v>6.99322980448569E-3</c:v>
                </c:pt>
                <c:pt idx="17">
                  <c:v>5.7828013893992392E-3</c:v>
                </c:pt>
                <c:pt idx="18">
                  <c:v>4.6320254899414603E-3</c:v>
                </c:pt>
                <c:pt idx="19">
                  <c:v>3.5402683273366709E-3</c:v>
                </c:pt>
                <c:pt idx="20">
                  <c:v>2.51217724177355E-3</c:v>
                </c:pt>
                <c:pt idx="21">
                  <c:v>1.5371499785259424E-3</c:v>
                </c:pt>
                <c:pt idx="22">
                  <c:v>6.2051513619065801E-4</c:v>
                </c:pt>
                <c:pt idx="23">
                  <c:v>-2.3771172626751991E-4</c:v>
                </c:pt>
                <c:pt idx="24">
                  <c:v>-1.0383625510463901E-3</c:v>
                </c:pt>
                <c:pt idx="25">
                  <c:v>-1.7720739848386957E-3</c:v>
                </c:pt>
                <c:pt idx="26">
                  <c:v>-2.4778398727638429E-3</c:v>
                </c:pt>
                <c:pt idx="27">
                  <c:v>-3.136992854629983E-3</c:v>
                </c:pt>
                <c:pt idx="28">
                  <c:v>-3.7487903361881347E-3</c:v>
                </c:pt>
                <c:pt idx="29">
                  <c:v>-4.3140101951609777E-3</c:v>
                </c:pt>
                <c:pt idx="30">
                  <c:v>-4.8344512625609903E-3</c:v>
                </c:pt>
                <c:pt idx="31">
                  <c:v>-5.3213255036015372E-3</c:v>
                </c:pt>
                <c:pt idx="32">
                  <c:v>-5.7701594836048198E-3</c:v>
                </c:pt>
                <c:pt idx="33">
                  <c:v>-6.1821496454657066E-3</c:v>
                </c:pt>
                <c:pt idx="34">
                  <c:v>-6.5590487155411381E-3</c:v>
                </c:pt>
                <c:pt idx="35">
                  <c:v>-6.902777123618975E-3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BC-46A1-8051-5FF16B24E7D2}"/>
            </c:ext>
          </c:extLst>
        </c:ser>
        <c:ser>
          <c:idx val="5"/>
          <c:order val="5"/>
          <c:tx>
            <c:strRef>
              <c:f>Données!$B$189</c:f>
              <c:strCache>
                <c:ptCount val="1"/>
                <c:pt idx="0">
                  <c:v>Oil&amp;Gas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Données!$C$189:$AL$189</c:f>
              <c:numCache>
                <c:formatCode>0%</c:formatCode>
                <c:ptCount val="36"/>
                <c:pt idx="0">
                  <c:v>2.4755192374219526E-2</c:v>
                </c:pt>
                <c:pt idx="1">
                  <c:v>2.7842299623819455E-2</c:v>
                </c:pt>
                <c:pt idx="2">
                  <c:v>2.9025751291900992E-2</c:v>
                </c:pt>
                <c:pt idx="3">
                  <c:v>2.9533542851254868E-2</c:v>
                </c:pt>
                <c:pt idx="4">
                  <c:v>2.9530491668167125E-2</c:v>
                </c:pt>
                <c:pt idx="5">
                  <c:v>2.9140822036113345E-2</c:v>
                </c:pt>
                <c:pt idx="6">
                  <c:v>2.847418793298262E-2</c:v>
                </c:pt>
                <c:pt idx="7">
                  <c:v>2.7542043693870699E-2</c:v>
                </c:pt>
                <c:pt idx="8">
                  <c:v>2.6365156770998599E-2</c:v>
                </c:pt>
                <c:pt idx="9">
                  <c:v>2.4982612945400717E-2</c:v>
                </c:pt>
                <c:pt idx="10">
                  <c:v>2.3459084038703892E-2</c:v>
                </c:pt>
                <c:pt idx="11">
                  <c:v>2.1914637052361075E-2</c:v>
                </c:pt>
                <c:pt idx="12">
                  <c:v>2.0319006228152414E-2</c:v>
                </c:pt>
                <c:pt idx="13">
                  <c:v>1.8703858913743598E-2</c:v>
                </c:pt>
                <c:pt idx="14">
                  <c:v>1.7098997880504063E-2</c:v>
                </c:pt>
                <c:pt idx="15">
                  <c:v>1.5527153584459441E-2</c:v>
                </c:pt>
                <c:pt idx="16">
                  <c:v>1.4098447692790561E-2</c:v>
                </c:pt>
                <c:pt idx="17">
                  <c:v>1.2731597172188192E-2</c:v>
                </c:pt>
                <c:pt idx="18">
                  <c:v>1.1426441183581382E-2</c:v>
                </c:pt>
                <c:pt idx="19">
                  <c:v>1.0185890315720147E-2</c:v>
                </c:pt>
                <c:pt idx="20">
                  <c:v>9.0001919859112878E-3</c:v>
                </c:pt>
                <c:pt idx="21">
                  <c:v>7.8949503712997249E-3</c:v>
                </c:pt>
                <c:pt idx="22">
                  <c:v>6.8555675227361945E-3</c:v>
                </c:pt>
                <c:pt idx="23">
                  <c:v>5.8806997290419272E-3</c:v>
                </c:pt>
                <c:pt idx="24">
                  <c:v>4.9684422386226945E-3</c:v>
                </c:pt>
                <c:pt idx="25">
                  <c:v>4.079797436131738E-3</c:v>
                </c:pt>
                <c:pt idx="26">
                  <c:v>3.2419558485994315E-3</c:v>
                </c:pt>
                <c:pt idx="27">
                  <c:v>2.4624176052654434E-3</c:v>
                </c:pt>
                <c:pt idx="28">
                  <c:v>1.7394252963152113E-3</c:v>
                </c:pt>
                <c:pt idx="29">
                  <c:v>1.0693692759697893E-3</c:v>
                </c:pt>
                <c:pt idx="30">
                  <c:v>4.4913207138197464E-4</c:v>
                </c:pt>
                <c:pt idx="31">
                  <c:v>-1.4243058973784084E-4</c:v>
                </c:pt>
                <c:pt idx="32">
                  <c:v>-6.9156563314676234E-4</c:v>
                </c:pt>
                <c:pt idx="33">
                  <c:v>-1.200263968384685E-3</c:v>
                </c:pt>
                <c:pt idx="34">
                  <c:v>-1.6712441070321216E-3</c:v>
                </c:pt>
                <c:pt idx="35">
                  <c:v>-2.1069154743058593E-3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BC-46A1-8051-5FF16B24E7D2}"/>
            </c:ext>
          </c:extLst>
        </c:ser>
        <c:ser>
          <c:idx val="6"/>
          <c:order val="6"/>
          <c:tx>
            <c:strRef>
              <c:f>Données!$B$190</c:f>
              <c:strCache>
                <c:ptCount val="1"/>
                <c:pt idx="0">
                  <c:v>Electricity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Données!$C$190:$AL$190</c:f>
              <c:numCache>
                <c:formatCode>0%</c:formatCode>
                <c:ptCount val="36"/>
                <c:pt idx="0">
                  <c:v>1.4054227650075912E-2</c:v>
                </c:pt>
                <c:pt idx="1">
                  <c:v>1.7565650631935714E-2</c:v>
                </c:pt>
                <c:pt idx="2">
                  <c:v>1.889220438014072E-2</c:v>
                </c:pt>
                <c:pt idx="3">
                  <c:v>1.913121062831924E-2</c:v>
                </c:pt>
                <c:pt idx="4">
                  <c:v>1.8548521025650189E-2</c:v>
                </c:pt>
                <c:pt idx="5">
                  <c:v>1.7470439770353785E-2</c:v>
                </c:pt>
                <c:pt idx="6">
                  <c:v>1.6220593370292358E-2</c:v>
                </c:pt>
                <c:pt idx="7">
                  <c:v>1.4933743893862594E-2</c:v>
                </c:pt>
                <c:pt idx="8">
                  <c:v>1.3597073288341699E-2</c:v>
                </c:pt>
                <c:pt idx="9">
                  <c:v>1.2206333234707545E-2</c:v>
                </c:pt>
                <c:pt idx="10">
                  <c:v>1.0801861120389944E-2</c:v>
                </c:pt>
                <c:pt idx="11">
                  <c:v>9.4759682983336369E-3</c:v>
                </c:pt>
                <c:pt idx="12">
                  <c:v>8.2314238325509326E-3</c:v>
                </c:pt>
                <c:pt idx="13">
                  <c:v>7.0922727495161819E-3</c:v>
                </c:pt>
                <c:pt idx="14">
                  <c:v>6.0760905365522255E-3</c:v>
                </c:pt>
                <c:pt idx="15">
                  <c:v>5.1916387849690881E-3</c:v>
                </c:pt>
                <c:pt idx="16">
                  <c:v>4.494832611520172E-3</c:v>
                </c:pt>
                <c:pt idx="17">
                  <c:v>3.9349573487874601E-3</c:v>
                </c:pt>
                <c:pt idx="18">
                  <c:v>3.4954206163522183E-3</c:v>
                </c:pt>
                <c:pt idx="19">
                  <c:v>3.1624584234053454E-3</c:v>
                </c:pt>
                <c:pt idx="20">
                  <c:v>2.9188423971389099E-3</c:v>
                </c:pt>
                <c:pt idx="21">
                  <c:v>2.7576298988598591E-3</c:v>
                </c:pt>
                <c:pt idx="22">
                  <c:v>2.6606482665985087E-3</c:v>
                </c:pt>
                <c:pt idx="23">
                  <c:v>2.6153187651569709E-3</c:v>
                </c:pt>
                <c:pt idx="24">
                  <c:v>2.6094530885896194E-3</c:v>
                </c:pt>
                <c:pt idx="25">
                  <c:v>2.6205140119048842E-3</c:v>
                </c:pt>
                <c:pt idx="26">
                  <c:v>2.6372505252634237E-3</c:v>
                </c:pt>
                <c:pt idx="27">
                  <c:v>2.6592057329097862E-3</c:v>
                </c:pt>
                <c:pt idx="28">
                  <c:v>2.6816448855546682E-3</c:v>
                </c:pt>
                <c:pt idx="29">
                  <c:v>2.6995991159697308E-3</c:v>
                </c:pt>
                <c:pt idx="30">
                  <c:v>2.7086872256905092E-3</c:v>
                </c:pt>
                <c:pt idx="31">
                  <c:v>2.6938211523670486E-3</c:v>
                </c:pt>
                <c:pt idx="32">
                  <c:v>2.6596571358865617E-3</c:v>
                </c:pt>
                <c:pt idx="33">
                  <c:v>2.6038467394393638E-3</c:v>
                </c:pt>
                <c:pt idx="34">
                  <c:v>2.5239125476934632E-3</c:v>
                </c:pt>
                <c:pt idx="35">
                  <c:v>2.4183520066536346E-3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BC-46A1-8051-5FF16B24E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Données!$B$184</c15:sqref>
                        </c15:formulaRef>
                      </c:ext>
                    </c:extLst>
                    <c:strCache>
                      <c:ptCount val="1"/>
                      <c:pt idx="0">
                        <c:v>Average</c:v>
                      </c:pt>
                    </c:strCache>
                  </c:strRef>
                </c:tx>
                <c:spPr>
                  <a:ln w="38100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Données!$C$183:$AL$183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Données!$C$184:$AL$184</c15:sqref>
                        </c15:formulaRef>
                      </c:ext>
                    </c:extLst>
                    <c:numCache>
                      <c:formatCode>0%</c:formatCode>
                      <c:ptCount val="36"/>
                      <c:pt idx="0">
                        <c:v>1.7669816273271577E-2</c:v>
                      </c:pt>
                      <c:pt idx="1">
                        <c:v>2.1471295631525944E-2</c:v>
                      </c:pt>
                      <c:pt idx="2">
                        <c:v>2.3367328796139786E-2</c:v>
                      </c:pt>
                      <c:pt idx="3">
                        <c:v>2.4214219073043441E-2</c:v>
                      </c:pt>
                      <c:pt idx="4">
                        <c:v>2.4332977794974564E-2</c:v>
                      </c:pt>
                      <c:pt idx="5">
                        <c:v>2.3898130691635711E-2</c:v>
                      </c:pt>
                      <c:pt idx="6">
                        <c:v>2.3052441696321146E-2</c:v>
                      </c:pt>
                      <c:pt idx="7">
                        <c:v>2.1878574083665558E-2</c:v>
                      </c:pt>
                      <c:pt idx="8">
                        <c:v>2.0458734194109374E-2</c:v>
                      </c:pt>
                      <c:pt idx="9">
                        <c:v>1.8864661797890037E-2</c:v>
                      </c:pt>
                      <c:pt idx="10">
                        <c:v>1.715126917240406E-2</c:v>
                      </c:pt>
                      <c:pt idx="11">
                        <c:v>1.5440109192900398E-2</c:v>
                      </c:pt>
                      <c:pt idx="12">
                        <c:v>1.3704011735488297E-2</c:v>
                      </c:pt>
                      <c:pt idx="13">
                        <c:v>1.1959263558847466E-2</c:v>
                      </c:pt>
                      <c:pt idx="14">
                        <c:v>1.0219402086957263E-2</c:v>
                      </c:pt>
                      <c:pt idx="15">
                        <c:v>8.4948411610676899E-3</c:v>
                      </c:pt>
                      <c:pt idx="16">
                        <c:v>6.8560551458138885E-3</c:v>
                      </c:pt>
                      <c:pt idx="17">
                        <c:v>5.2538283881955472E-3</c:v>
                      </c:pt>
                      <c:pt idx="18">
                        <c:v>3.6865594156365589E-3</c:v>
                      </c:pt>
                      <c:pt idx="19">
                        <c:v>2.1557437523926914E-3</c:v>
                      </c:pt>
                      <c:pt idx="20">
                        <c:v>6.6684364108815508E-4</c:v>
                      </c:pt>
                      <c:pt idx="21">
                        <c:v>-7.834718738185531E-4</c:v>
                      </c:pt>
                      <c:pt idx="22">
                        <c:v>-2.190213746856684E-3</c:v>
                      </c:pt>
                      <c:pt idx="23">
                        <c:v>-3.5499902215636592E-3</c:v>
                      </c:pt>
                      <c:pt idx="24">
                        <c:v>-4.8602256017993284E-3</c:v>
                      </c:pt>
                      <c:pt idx="25">
                        <c:v>-6.1127979653304854E-3</c:v>
                      </c:pt>
                      <c:pt idx="26">
                        <c:v>-7.3368028030020849E-3</c:v>
                      </c:pt>
                      <c:pt idx="27">
                        <c:v>-8.5103147269929291E-3</c:v>
                      </c:pt>
                      <c:pt idx="28">
                        <c:v>-9.6292764032864797E-3</c:v>
                      </c:pt>
                      <c:pt idx="29">
                        <c:v>-1.0691318565472452E-2</c:v>
                      </c:pt>
                      <c:pt idx="30">
                        <c:v>-1.1695168034907888E-2</c:v>
                      </c:pt>
                      <c:pt idx="31">
                        <c:v>-1.2651582468246048E-2</c:v>
                      </c:pt>
                      <c:pt idx="32">
                        <c:v>-1.3550538058948125E-2</c:v>
                      </c:pt>
                      <c:pt idx="33">
                        <c:v>-1.4390635719898959E-2</c:v>
                      </c:pt>
                      <c:pt idx="34">
                        <c:v>-1.5171237498899148E-2</c:v>
                      </c:pt>
                      <c:pt idx="35">
                        <c:v>-1.5892076551685008E-2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7BC-46A1-8051-5FF16B24E7D2}"/>
                  </c:ext>
                </c:extLst>
              </c15:ser>
            </c15:filteredLineSeries>
          </c:ext>
        </c:extLst>
      </c:lineChart>
      <c:dateAx>
        <c:axId val="1008477712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5"/>
        <c:majorTimeUnit val="years"/>
      </c:dateAx>
      <c:valAx>
        <c:axId val="1008474760"/>
        <c:scaling>
          <c:orientation val="minMax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Energy intensity</a:t>
            </a:r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deviation from baseline)</a:t>
            </a:r>
            <a:endParaRPr lang="fr-FR" sz="1800"/>
          </a:p>
        </c:rich>
      </c:tx>
      <c:layout>
        <c:manualLayout>
          <c:xMode val="edge"/>
          <c:yMode val="edge"/>
          <c:x val="0.35804858323293964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Données!$B$254</c:f>
              <c:strCache>
                <c:ptCount val="1"/>
                <c:pt idx="0">
                  <c:v>Firms</c:v>
                </c:pt>
              </c:strCache>
            </c:strRef>
          </c:tx>
          <c:spPr>
            <a:ln w="412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Données!$C$254:$AL$254</c:f>
              <c:numCache>
                <c:formatCode>0%</c:formatCode>
                <c:ptCount val="36"/>
                <c:pt idx="0">
                  <c:v>-5.4495294717566978E-3</c:v>
                </c:pt>
                <c:pt idx="1">
                  <c:v>-8.8097886002367343E-3</c:v>
                </c:pt>
                <c:pt idx="2">
                  <c:v>-1.0630082298235255E-2</c:v>
                </c:pt>
                <c:pt idx="3">
                  <c:v>-1.2039032240561354E-2</c:v>
                </c:pt>
                <c:pt idx="4">
                  <c:v>-1.3109524622837987E-2</c:v>
                </c:pt>
                <c:pt idx="5">
                  <c:v>-1.3851571972181564E-2</c:v>
                </c:pt>
                <c:pt idx="6">
                  <c:v>-1.4312869346422064E-2</c:v>
                </c:pt>
                <c:pt idx="7">
                  <c:v>-1.4554116821433039E-2</c:v>
                </c:pt>
                <c:pt idx="8">
                  <c:v>-1.4632999270195235E-2</c:v>
                </c:pt>
                <c:pt idx="9">
                  <c:v>-1.4599160961196289E-2</c:v>
                </c:pt>
                <c:pt idx="10">
                  <c:v>-1.4496195330434669E-2</c:v>
                </c:pt>
                <c:pt idx="11">
                  <c:v>-1.4368002317918238E-2</c:v>
                </c:pt>
                <c:pt idx="12">
                  <c:v>-1.4236613036798906E-2</c:v>
                </c:pt>
                <c:pt idx="13">
                  <c:v>-1.4117320556495283E-2</c:v>
                </c:pt>
                <c:pt idx="14">
                  <c:v>-1.4025059911003668E-2</c:v>
                </c:pt>
                <c:pt idx="15">
                  <c:v>-1.3970546521507532E-2</c:v>
                </c:pt>
                <c:pt idx="16">
                  <c:v>-1.3979260218363265E-2</c:v>
                </c:pt>
                <c:pt idx="17">
                  <c:v>-1.4044450185461854E-2</c:v>
                </c:pt>
                <c:pt idx="18">
                  <c:v>-1.4161167309890366E-2</c:v>
                </c:pt>
                <c:pt idx="19">
                  <c:v>-1.432729603738192E-2</c:v>
                </c:pt>
                <c:pt idx="20">
                  <c:v>-1.4536445419149668E-2</c:v>
                </c:pt>
                <c:pt idx="21">
                  <c:v>-1.4790552667166668E-2</c:v>
                </c:pt>
                <c:pt idx="22">
                  <c:v>-1.5079473798555121E-2</c:v>
                </c:pt>
                <c:pt idx="23">
                  <c:v>-1.5397143312782968E-2</c:v>
                </c:pt>
                <c:pt idx="24">
                  <c:v>-1.5738125219358357E-2</c:v>
                </c:pt>
                <c:pt idx="25">
                  <c:v>-1.6088492569811708E-2</c:v>
                </c:pt>
                <c:pt idx="26">
                  <c:v>-1.6454225651701182E-2</c:v>
                </c:pt>
                <c:pt idx="27">
                  <c:v>-1.6826946108874807E-2</c:v>
                </c:pt>
                <c:pt idx="28">
                  <c:v>-1.7202368607071583E-2</c:v>
                </c:pt>
                <c:pt idx="29">
                  <c:v>-1.7576128703180149E-2</c:v>
                </c:pt>
                <c:pt idx="30">
                  <c:v>-1.7945101209465908E-2</c:v>
                </c:pt>
                <c:pt idx="31">
                  <c:v>-1.8304138340499487E-2</c:v>
                </c:pt>
                <c:pt idx="32">
                  <c:v>-1.8653710471083773E-2</c:v>
                </c:pt>
                <c:pt idx="33">
                  <c:v>-1.8993744318021477E-2</c:v>
                </c:pt>
                <c:pt idx="34">
                  <c:v>-1.932363320947672E-2</c:v>
                </c:pt>
                <c:pt idx="35">
                  <c:v>-1.9643054569444263E-2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044A-4877-A4A9-C7609B9F9543}"/>
            </c:ext>
          </c:extLst>
        </c:ser>
        <c:ser>
          <c:idx val="1"/>
          <c:order val="1"/>
          <c:tx>
            <c:strRef>
              <c:f>Données!$B$255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Données!$C$255:$AL$255</c:f>
              <c:numCache>
                <c:formatCode>0%</c:formatCode>
                <c:ptCount val="36"/>
                <c:pt idx="0">
                  <c:v>4.9521209694902701E-4</c:v>
                </c:pt>
                <c:pt idx="1">
                  <c:v>-2.5284680152569683E-3</c:v>
                </c:pt>
                <c:pt idx="2">
                  <c:v>-4.4001539567565251E-3</c:v>
                </c:pt>
                <c:pt idx="3">
                  <c:v>-5.9314067421913919E-3</c:v>
                </c:pt>
                <c:pt idx="4">
                  <c:v>-7.1857063078160088E-3</c:v>
                </c:pt>
                <c:pt idx="5">
                  <c:v>-8.1386455726658591E-3</c:v>
                </c:pt>
                <c:pt idx="6">
                  <c:v>-8.805469541867228E-3</c:v>
                </c:pt>
                <c:pt idx="7">
                  <c:v>-9.2407324064369689E-3</c:v>
                </c:pt>
                <c:pt idx="8">
                  <c:v>-9.5066087889209561E-3</c:v>
                </c:pt>
                <c:pt idx="9">
                  <c:v>-9.6518961813963911E-3</c:v>
                </c:pt>
                <c:pt idx="10">
                  <c:v>-9.7085457876935344E-3</c:v>
                </c:pt>
                <c:pt idx="11">
                  <c:v>-9.6992246312208596E-3</c:v>
                </c:pt>
                <c:pt idx="12">
                  <c:v>-9.6549690387283116E-3</c:v>
                </c:pt>
                <c:pt idx="13">
                  <c:v>-9.5858163804934948E-3</c:v>
                </c:pt>
                <c:pt idx="14">
                  <c:v>-9.5018551630783321E-3</c:v>
                </c:pt>
                <c:pt idx="15">
                  <c:v>-9.4110761413341848E-3</c:v>
                </c:pt>
                <c:pt idx="16">
                  <c:v>-9.3155297187588193E-3</c:v>
                </c:pt>
                <c:pt idx="17">
                  <c:v>-9.2326700244821369E-3</c:v>
                </c:pt>
                <c:pt idx="18">
                  <c:v>-9.1608896712114252E-3</c:v>
                </c:pt>
                <c:pt idx="19">
                  <c:v>-9.1011344533175054E-3</c:v>
                </c:pt>
                <c:pt idx="20">
                  <c:v>-9.0547608017027548E-3</c:v>
                </c:pt>
                <c:pt idx="21">
                  <c:v>-9.0193404598815086E-3</c:v>
                </c:pt>
                <c:pt idx="22">
                  <c:v>-8.9945087487917075E-3</c:v>
                </c:pt>
                <c:pt idx="23">
                  <c:v>-8.9780606968056231E-3</c:v>
                </c:pt>
                <c:pt idx="24">
                  <c:v>-8.968681742981377E-3</c:v>
                </c:pt>
                <c:pt idx="25">
                  <c:v>-8.9682496590705041E-3</c:v>
                </c:pt>
                <c:pt idx="26">
                  <c:v>-8.9731219885582636E-3</c:v>
                </c:pt>
                <c:pt idx="27">
                  <c:v>-8.9792766605568675E-3</c:v>
                </c:pt>
                <c:pt idx="28">
                  <c:v>-8.9842754573727923E-3</c:v>
                </c:pt>
                <c:pt idx="29">
                  <c:v>-8.9861280619915052E-3</c:v>
                </c:pt>
                <c:pt idx="30">
                  <c:v>-8.9837064126954136E-3</c:v>
                </c:pt>
                <c:pt idx="31">
                  <c:v>-8.9777365899800232E-3</c:v>
                </c:pt>
                <c:pt idx="32">
                  <c:v>-8.9656873768276801E-3</c:v>
                </c:pt>
                <c:pt idx="33">
                  <c:v>-8.9484343928567522E-3</c:v>
                </c:pt>
                <c:pt idx="34">
                  <c:v>-8.9263058442698995E-3</c:v>
                </c:pt>
                <c:pt idx="35">
                  <c:v>-8.8996093808273447E-3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4A-4877-A4A9-C7609B9F9543}"/>
            </c:ext>
          </c:extLst>
        </c:ser>
        <c:ser>
          <c:idx val="2"/>
          <c:order val="2"/>
          <c:tx>
            <c:strRef>
              <c:f>Données!$B$256</c:f>
              <c:strCache>
                <c:ptCount val="1"/>
                <c:pt idx="0">
                  <c:v>Industry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Données!$C$256:$AL$256</c:f>
              <c:numCache>
                <c:formatCode>0%</c:formatCode>
                <c:ptCount val="36"/>
                <c:pt idx="0">
                  <c:v>-3.8337579047970083E-3</c:v>
                </c:pt>
                <c:pt idx="1">
                  <c:v>-8.325536252078436E-3</c:v>
                </c:pt>
                <c:pt idx="2">
                  <c:v>-1.0464570559729602E-2</c:v>
                </c:pt>
                <c:pt idx="3">
                  <c:v>-1.20430977439141E-2</c:v>
                </c:pt>
                <c:pt idx="4">
                  <c:v>-1.318196168003094E-2</c:v>
                </c:pt>
                <c:pt idx="5">
                  <c:v>-1.3886057573773147E-2</c:v>
                </c:pt>
                <c:pt idx="6">
                  <c:v>-1.4208667324079327E-2</c:v>
                </c:pt>
                <c:pt idx="7">
                  <c:v>-1.422146785341305E-2</c:v>
                </c:pt>
                <c:pt idx="8">
                  <c:v>-1.3995863157035049E-2</c:v>
                </c:pt>
                <c:pt idx="9">
                  <c:v>-1.359631744541967E-2</c:v>
                </c:pt>
                <c:pt idx="10">
                  <c:v>-1.3075937492562639E-2</c:v>
                </c:pt>
                <c:pt idx="11">
                  <c:v>-1.2495863580124222E-2</c:v>
                </c:pt>
                <c:pt idx="12">
                  <c:v>-1.1893146834564883E-2</c:v>
                </c:pt>
                <c:pt idx="13">
                  <c:v>-1.1290466849741443E-2</c:v>
                </c:pt>
                <c:pt idx="14">
                  <c:v>-1.0711128002117154E-2</c:v>
                </c:pt>
                <c:pt idx="15">
                  <c:v>-1.0172963290074111E-2</c:v>
                </c:pt>
                <c:pt idx="16">
                  <c:v>-9.7000575288929136E-3</c:v>
                </c:pt>
                <c:pt idx="17">
                  <c:v>-9.3011992585120273E-3</c:v>
                </c:pt>
                <c:pt idx="18">
                  <c:v>-8.9722903052478209E-3</c:v>
                </c:pt>
                <c:pt idx="19">
                  <c:v>-8.7136574633314146E-3</c:v>
                </c:pt>
                <c:pt idx="20">
                  <c:v>-8.5237232762238602E-3</c:v>
                </c:pt>
                <c:pt idx="21">
                  <c:v>-8.3975468508460382E-3</c:v>
                </c:pt>
                <c:pt idx="22">
                  <c:v>-8.3303687878566457E-3</c:v>
                </c:pt>
                <c:pt idx="23">
                  <c:v>-8.3155490302477819E-3</c:v>
                </c:pt>
                <c:pt idx="24">
                  <c:v>-8.3470281009072611E-3</c:v>
                </c:pt>
                <c:pt idx="25">
                  <c:v>-8.4189783179180466E-3</c:v>
                </c:pt>
                <c:pt idx="26">
                  <c:v>-8.5208590435363885E-3</c:v>
                </c:pt>
                <c:pt idx="27">
                  <c:v>-8.6482706485375704E-3</c:v>
                </c:pt>
                <c:pt idx="28">
                  <c:v>-8.796521671252111E-3</c:v>
                </c:pt>
                <c:pt idx="29">
                  <c:v>-8.9602152314547379E-3</c:v>
                </c:pt>
                <c:pt idx="30">
                  <c:v>-9.1353298731293719E-3</c:v>
                </c:pt>
                <c:pt idx="31">
                  <c:v>-9.3173979181848665E-3</c:v>
                </c:pt>
                <c:pt idx="32">
                  <c:v>-9.5042998444748727E-3</c:v>
                </c:pt>
                <c:pt idx="33">
                  <c:v>-9.6958306999939126E-3</c:v>
                </c:pt>
                <c:pt idx="34">
                  <c:v>-9.8908030239110989E-3</c:v>
                </c:pt>
                <c:pt idx="35">
                  <c:v>-1.0088321307649029E-2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4A-4877-A4A9-C7609B9F9543}"/>
            </c:ext>
          </c:extLst>
        </c:ser>
        <c:ser>
          <c:idx val="3"/>
          <c:order val="3"/>
          <c:tx>
            <c:strRef>
              <c:f>Données!$B$257</c:f>
              <c:strCache>
                <c:ptCount val="1"/>
                <c:pt idx="0">
                  <c:v>Transport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Données!$C$257:$AL$257</c:f>
              <c:numCache>
                <c:formatCode>0%</c:formatCode>
                <c:ptCount val="36"/>
                <c:pt idx="0">
                  <c:v>6.0492490775982954E-3</c:v>
                </c:pt>
                <c:pt idx="1">
                  <c:v>3.8678232704059123E-3</c:v>
                </c:pt>
                <c:pt idx="2">
                  <c:v>3.2654414887474115E-3</c:v>
                </c:pt>
                <c:pt idx="3">
                  <c:v>2.9589211871188237E-3</c:v>
                </c:pt>
                <c:pt idx="4">
                  <c:v>2.759818181145679E-3</c:v>
                </c:pt>
                <c:pt idx="5">
                  <c:v>2.640230888318662E-3</c:v>
                </c:pt>
                <c:pt idx="6">
                  <c:v>2.5959308426908301E-3</c:v>
                </c:pt>
                <c:pt idx="7">
                  <c:v>2.6085227811720735E-3</c:v>
                </c:pt>
                <c:pt idx="8">
                  <c:v>2.6687277526173947E-3</c:v>
                </c:pt>
                <c:pt idx="9">
                  <c:v>2.7674571563904848E-3</c:v>
                </c:pt>
                <c:pt idx="10">
                  <c:v>2.8982364239609204E-3</c:v>
                </c:pt>
                <c:pt idx="11">
                  <c:v>3.0746914198798159E-3</c:v>
                </c:pt>
                <c:pt idx="12">
                  <c:v>3.2597267570553257E-3</c:v>
                </c:pt>
                <c:pt idx="13">
                  <c:v>3.4546842908429465E-3</c:v>
                </c:pt>
                <c:pt idx="14">
                  <c:v>3.6569718005818874E-3</c:v>
                </c:pt>
                <c:pt idx="15">
                  <c:v>3.8638726746613727E-3</c:v>
                </c:pt>
                <c:pt idx="16">
                  <c:v>4.0957345686507551E-3</c:v>
                </c:pt>
                <c:pt idx="17">
                  <c:v>4.3183780793289994E-3</c:v>
                </c:pt>
                <c:pt idx="18">
                  <c:v>4.5369149270195752E-3</c:v>
                </c:pt>
                <c:pt idx="19">
                  <c:v>4.7514416175842289E-3</c:v>
                </c:pt>
                <c:pt idx="20">
                  <c:v>4.9601960972547321E-3</c:v>
                </c:pt>
                <c:pt idx="21">
                  <c:v>5.1659437587854296E-3</c:v>
                </c:pt>
                <c:pt idx="22">
                  <c:v>5.3662470401225626E-3</c:v>
                </c:pt>
                <c:pt idx="23">
                  <c:v>5.5617634201354793E-3</c:v>
                </c:pt>
                <c:pt idx="24">
                  <c:v>5.752564359142287E-3</c:v>
                </c:pt>
                <c:pt idx="25">
                  <c:v>5.9346283925536536E-3</c:v>
                </c:pt>
                <c:pt idx="26">
                  <c:v>6.1090670232313293E-3</c:v>
                </c:pt>
                <c:pt idx="27">
                  <c:v>6.2824184449636888E-3</c:v>
                </c:pt>
                <c:pt idx="28">
                  <c:v>6.4538693079303489E-3</c:v>
                </c:pt>
                <c:pt idx="29">
                  <c:v>6.623478907980429E-3</c:v>
                </c:pt>
                <c:pt idx="30">
                  <c:v>6.7913997356989775E-3</c:v>
                </c:pt>
                <c:pt idx="31">
                  <c:v>6.9534790257637091E-3</c:v>
                </c:pt>
                <c:pt idx="32">
                  <c:v>7.1157725153268014E-3</c:v>
                </c:pt>
                <c:pt idx="33">
                  <c:v>7.2772401302725331E-3</c:v>
                </c:pt>
                <c:pt idx="34">
                  <c:v>7.4378247823849719E-3</c:v>
                </c:pt>
                <c:pt idx="35">
                  <c:v>7.5976050509685145E-3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4A-4877-A4A9-C7609B9F9543}"/>
            </c:ext>
          </c:extLst>
        </c:ser>
        <c:ser>
          <c:idx val="4"/>
          <c:order val="4"/>
          <c:tx>
            <c:strRef>
              <c:f>Données!$B$258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Données!$C$258:$AL$258</c:f>
              <c:numCache>
                <c:formatCode>0%</c:formatCode>
                <c:ptCount val="36"/>
                <c:pt idx="0">
                  <c:v>1.1516443693992962E-4</c:v>
                </c:pt>
                <c:pt idx="1">
                  <c:v>-3.0729130561396589E-3</c:v>
                </c:pt>
                <c:pt idx="2">
                  <c:v>-5.8658800032849179E-3</c:v>
                </c:pt>
                <c:pt idx="3">
                  <c:v>-8.2209131405498459E-3</c:v>
                </c:pt>
                <c:pt idx="4">
                  <c:v>-1.00158284790276E-2</c:v>
                </c:pt>
                <c:pt idx="5">
                  <c:v>-1.125109351780551E-2</c:v>
                </c:pt>
                <c:pt idx="6">
                  <c:v>-1.2005913498058018E-2</c:v>
                </c:pt>
                <c:pt idx="7">
                  <c:v>-1.2384523094555844E-2</c:v>
                </c:pt>
                <c:pt idx="8">
                  <c:v>-1.2478983999253734E-2</c:v>
                </c:pt>
                <c:pt idx="9">
                  <c:v>-1.2365745474412493E-2</c:v>
                </c:pt>
                <c:pt idx="10">
                  <c:v>-1.2104315237956742E-2</c:v>
                </c:pt>
                <c:pt idx="11">
                  <c:v>-1.1742177271143572E-2</c:v>
                </c:pt>
                <c:pt idx="12">
                  <c:v>-1.133483975523597E-2</c:v>
                </c:pt>
                <c:pt idx="13">
                  <c:v>-1.0913051566043275E-2</c:v>
                </c:pt>
                <c:pt idx="14">
                  <c:v>-1.0500705918630948E-2</c:v>
                </c:pt>
                <c:pt idx="15">
                  <c:v>-1.0114875862023531E-2</c:v>
                </c:pt>
                <c:pt idx="16">
                  <c:v>-9.7637177438474332E-3</c:v>
                </c:pt>
                <c:pt idx="17">
                  <c:v>-9.4660892801081697E-3</c:v>
                </c:pt>
                <c:pt idx="18">
                  <c:v>-9.2246667330522225E-3</c:v>
                </c:pt>
                <c:pt idx="19">
                  <c:v>-9.0395211972541523E-3</c:v>
                </c:pt>
                <c:pt idx="20">
                  <c:v>-8.9090207694668688E-3</c:v>
                </c:pt>
                <c:pt idx="21">
                  <c:v>-8.8283271584954637E-3</c:v>
                </c:pt>
                <c:pt idx="22">
                  <c:v>-8.7894221408085782E-3</c:v>
                </c:pt>
                <c:pt idx="23">
                  <c:v>-8.786386030779525E-3</c:v>
                </c:pt>
                <c:pt idx="24">
                  <c:v>-8.8134158822318343E-3</c:v>
                </c:pt>
                <c:pt idx="25">
                  <c:v>-8.8679891174275882E-3</c:v>
                </c:pt>
                <c:pt idx="26">
                  <c:v>-8.947274715718101E-3</c:v>
                </c:pt>
                <c:pt idx="27">
                  <c:v>-9.0369020977648651E-3</c:v>
                </c:pt>
                <c:pt idx="28">
                  <c:v>-9.130463782438536E-3</c:v>
                </c:pt>
                <c:pt idx="29">
                  <c:v>-9.2226202767691223E-3</c:v>
                </c:pt>
                <c:pt idx="30">
                  <c:v>-9.3097973714945104E-3</c:v>
                </c:pt>
                <c:pt idx="31">
                  <c:v>-9.391016810673003E-3</c:v>
                </c:pt>
                <c:pt idx="32">
                  <c:v>-9.4625579270508631E-3</c:v>
                </c:pt>
                <c:pt idx="33">
                  <c:v>-9.5231984349258836E-3</c:v>
                </c:pt>
                <c:pt idx="34">
                  <c:v>-9.5720450530125678E-3</c:v>
                </c:pt>
                <c:pt idx="35">
                  <c:v>-9.6086831801676098E-3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4A-4877-A4A9-C7609B9F9543}"/>
            </c:ext>
          </c:extLst>
        </c:ser>
        <c:ser>
          <c:idx val="5"/>
          <c:order val="5"/>
          <c:tx>
            <c:strRef>
              <c:f>Données!$B$259</c:f>
              <c:strCache>
                <c:ptCount val="1"/>
                <c:pt idx="0">
                  <c:v>Households</c:v>
                </c:pt>
              </c:strCache>
            </c:strRef>
          </c:tx>
          <c:spPr>
            <a:ln w="412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Données!$C$259:$AL$259</c:f>
              <c:numCache>
                <c:formatCode>0%</c:formatCode>
                <c:ptCount val="36"/>
                <c:pt idx="0">
                  <c:v>5.6989771048814308E-3</c:v>
                </c:pt>
                <c:pt idx="1">
                  <c:v>1.2177025733646651E-2</c:v>
                </c:pt>
                <c:pt idx="2">
                  <c:v>1.8098579216347055E-2</c:v>
                </c:pt>
                <c:pt idx="3">
                  <c:v>2.3172098588182033E-2</c:v>
                </c:pt>
                <c:pt idx="4">
                  <c:v>2.7535682295631414E-2</c:v>
                </c:pt>
                <c:pt idx="5">
                  <c:v>3.0805966781427774E-2</c:v>
                </c:pt>
                <c:pt idx="6">
                  <c:v>3.2770712654013323E-2</c:v>
                </c:pt>
                <c:pt idx="7">
                  <c:v>3.3719930888813421E-2</c:v>
                </c:pt>
                <c:pt idx="8">
                  <c:v>3.4062770079190896E-2</c:v>
                </c:pt>
                <c:pt idx="9">
                  <c:v>3.4102581267420939E-2</c:v>
                </c:pt>
                <c:pt idx="10">
                  <c:v>3.4001145987948123E-2</c:v>
                </c:pt>
                <c:pt idx="11">
                  <c:v>3.3878657251963817E-2</c:v>
                </c:pt>
                <c:pt idx="12">
                  <c:v>3.3762786954151913E-2</c:v>
                </c:pt>
                <c:pt idx="13">
                  <c:v>3.3656071046149316E-2</c:v>
                </c:pt>
                <c:pt idx="14">
                  <c:v>3.354407328075748E-2</c:v>
                </c:pt>
                <c:pt idx="15">
                  <c:v>3.3416512369478513E-2</c:v>
                </c:pt>
                <c:pt idx="16">
                  <c:v>3.3287948573214265E-2</c:v>
                </c:pt>
                <c:pt idx="17">
                  <c:v>3.3157722548268653E-2</c:v>
                </c:pt>
                <c:pt idx="18">
                  <c:v>3.3022640588611596E-2</c:v>
                </c:pt>
                <c:pt idx="19">
                  <c:v>3.2880691101266235E-2</c:v>
                </c:pt>
                <c:pt idx="20">
                  <c:v>3.2735197287169226E-2</c:v>
                </c:pt>
                <c:pt idx="21">
                  <c:v>3.2575687834243361E-2</c:v>
                </c:pt>
                <c:pt idx="22">
                  <c:v>3.2405450068762054E-2</c:v>
                </c:pt>
                <c:pt idx="23">
                  <c:v>3.2226487716507046E-2</c:v>
                </c:pt>
                <c:pt idx="24">
                  <c:v>3.2040798405271298E-2</c:v>
                </c:pt>
                <c:pt idx="25">
                  <c:v>3.1858808565633279E-2</c:v>
                </c:pt>
                <c:pt idx="26">
                  <c:v>3.1652795190987737E-2</c:v>
                </c:pt>
                <c:pt idx="27">
                  <c:v>3.1422869666379638E-2</c:v>
                </c:pt>
                <c:pt idx="28">
                  <c:v>3.117012318985446E-2</c:v>
                </c:pt>
                <c:pt idx="29">
                  <c:v>3.0899451951687418E-2</c:v>
                </c:pt>
                <c:pt idx="30">
                  <c:v>3.0610356854435583E-2</c:v>
                </c:pt>
                <c:pt idx="31">
                  <c:v>3.0301604236356416E-2</c:v>
                </c:pt>
                <c:pt idx="32">
                  <c:v>2.9978413890941136E-2</c:v>
                </c:pt>
                <c:pt idx="33">
                  <c:v>2.9648502589352255E-2</c:v>
                </c:pt>
                <c:pt idx="34">
                  <c:v>2.9319777432249339E-2</c:v>
                </c:pt>
                <c:pt idx="35">
                  <c:v>2.8998895822357484E-2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4A-4877-A4A9-C7609B9F9543}"/>
            </c:ext>
          </c:extLst>
        </c:ser>
        <c:ser>
          <c:idx val="6"/>
          <c:order val="6"/>
          <c:tx>
            <c:strRef>
              <c:f>Données!$B$260</c:f>
              <c:strCache>
                <c:ptCount val="1"/>
                <c:pt idx="0">
                  <c:v>Households (housing)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Données!$C$260:$AL$260</c:f>
              <c:numCache>
                <c:formatCode>0%</c:formatCode>
                <c:ptCount val="36"/>
                <c:pt idx="0">
                  <c:v>5.6989771048814308E-3</c:v>
                </c:pt>
                <c:pt idx="1">
                  <c:v>1.2501857789987358E-2</c:v>
                </c:pt>
                <c:pt idx="2">
                  <c:v>1.9050617030705208E-2</c:v>
                </c:pt>
                <c:pt idx="3">
                  <c:v>2.4965959756431122E-2</c:v>
                </c:pt>
                <c:pt idx="4">
                  <c:v>3.0377697264584391E-2</c:v>
                </c:pt>
                <c:pt idx="5">
                  <c:v>3.4597057650378682E-2</c:v>
                </c:pt>
                <c:pt idx="6">
                  <c:v>3.7185567013247267E-2</c:v>
                </c:pt>
                <c:pt idx="7">
                  <c:v>3.8482846761784817E-2</c:v>
                </c:pt>
                <c:pt idx="8">
                  <c:v>3.9028772394408495E-2</c:v>
                </c:pt>
                <c:pt idx="9">
                  <c:v>3.9222919481149976E-2</c:v>
                </c:pt>
                <c:pt idx="10">
                  <c:v>3.9269270903928621E-2</c:v>
                </c:pt>
                <c:pt idx="11">
                  <c:v>3.9306597653197439E-2</c:v>
                </c:pt>
                <c:pt idx="12">
                  <c:v>3.9359414391614722E-2</c:v>
                </c:pt>
                <c:pt idx="13">
                  <c:v>3.942181389346211E-2</c:v>
                </c:pt>
                <c:pt idx="14">
                  <c:v>3.9465898929395227E-2</c:v>
                </c:pt>
                <c:pt idx="15">
                  <c:v>3.9472279230332363E-2</c:v>
                </c:pt>
                <c:pt idx="16">
                  <c:v>3.9452981195236658E-2</c:v>
                </c:pt>
                <c:pt idx="17">
                  <c:v>3.940527718197151E-2</c:v>
                </c:pt>
                <c:pt idx="18">
                  <c:v>3.9324948410308203E-2</c:v>
                </c:pt>
                <c:pt idx="19">
                  <c:v>3.9209905190270788E-2</c:v>
                </c:pt>
                <c:pt idx="20">
                  <c:v>3.9065076603311155E-2</c:v>
                </c:pt>
                <c:pt idx="21">
                  <c:v>3.8877647088407352E-2</c:v>
                </c:pt>
                <c:pt idx="22">
                  <c:v>3.8652230587727709E-2</c:v>
                </c:pt>
                <c:pt idx="23">
                  <c:v>3.839225091233911E-2</c:v>
                </c:pt>
                <c:pt idx="24">
                  <c:v>3.8101788156250871E-2</c:v>
                </c:pt>
                <c:pt idx="25">
                  <c:v>3.7795836780899261E-2</c:v>
                </c:pt>
                <c:pt idx="26">
                  <c:v>3.7442070569851937E-2</c:v>
                </c:pt>
                <c:pt idx="27">
                  <c:v>3.7041123279540011E-2</c:v>
                </c:pt>
                <c:pt idx="28">
                  <c:v>3.6594545871083906E-2</c:v>
                </c:pt>
                <c:pt idx="29">
                  <c:v>3.6110559318776492E-2</c:v>
                </c:pt>
                <c:pt idx="30">
                  <c:v>3.5589167836530322E-2</c:v>
                </c:pt>
                <c:pt idx="31">
                  <c:v>3.5031369182044747E-2</c:v>
                </c:pt>
                <c:pt idx="32">
                  <c:v>3.4446880463228302E-2</c:v>
                </c:pt>
                <c:pt idx="33">
                  <c:v>3.3849143106459811E-2</c:v>
                </c:pt>
                <c:pt idx="34">
                  <c:v>3.32519945329115E-2</c:v>
                </c:pt>
                <c:pt idx="35">
                  <c:v>3.2667375122694686E-2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44A-4877-A4A9-C7609B9F9543}"/>
            </c:ext>
          </c:extLst>
        </c:ser>
        <c:ser>
          <c:idx val="7"/>
          <c:order val="7"/>
          <c:tx>
            <c:strRef>
              <c:f>Données!$B$261</c:f>
              <c:strCache>
                <c:ptCount val="1"/>
                <c:pt idx="0">
                  <c:v>Households (transport)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Données!$C$261:$AL$261</c:f>
              <c:numCache>
                <c:formatCode>0%</c:formatCode>
                <c:ptCount val="36"/>
                <c:pt idx="0">
                  <c:v>5.6989771048814308E-3</c:v>
                </c:pt>
                <c:pt idx="1">
                  <c:v>1.1531337341188497E-2</c:v>
                </c:pt>
                <c:pt idx="2">
                  <c:v>1.6199265935374907E-2</c:v>
                </c:pt>
                <c:pt idx="3">
                  <c:v>1.9604173446651663E-2</c:v>
                </c:pt>
                <c:pt idx="4">
                  <c:v>2.1919322428554766E-2</c:v>
                </c:pt>
                <c:pt idx="5">
                  <c:v>2.3371763454724137E-2</c:v>
                </c:pt>
                <c:pt idx="6">
                  <c:v>2.4184917150655405E-2</c:v>
                </c:pt>
                <c:pt idx="7">
                  <c:v>2.4534721313957508E-2</c:v>
                </c:pt>
                <c:pt idx="8">
                  <c:v>2.4566225392630647E-2</c:v>
                </c:pt>
                <c:pt idx="9">
                  <c:v>2.4393689905154003E-2</c:v>
                </c:pt>
                <c:pt idx="10">
                  <c:v>2.4093677948647363E-2</c:v>
                </c:pt>
                <c:pt idx="11">
                  <c:v>2.3758694470171537E-2</c:v>
                </c:pt>
                <c:pt idx="12">
                  <c:v>2.3420963593708377E-2</c:v>
                </c:pt>
                <c:pt idx="13">
                  <c:v>2.309775910924361E-2</c:v>
                </c:pt>
                <c:pt idx="14">
                  <c:v>2.2798298679884477E-2</c:v>
                </c:pt>
                <c:pt idx="15">
                  <c:v>2.2527448667131189E-2</c:v>
                </c:pt>
                <c:pt idx="16">
                  <c:v>2.2302747204769879E-2</c:v>
                </c:pt>
                <c:pt idx="17">
                  <c:v>2.2125643764166147E-2</c:v>
                </c:pt>
                <c:pt idx="18">
                  <c:v>2.1993198290650495E-2</c:v>
                </c:pt>
                <c:pt idx="19">
                  <c:v>2.1902044555258238E-2</c:v>
                </c:pt>
                <c:pt idx="20">
                  <c:v>2.1854250128526598E-2</c:v>
                </c:pt>
                <c:pt idx="21">
                  <c:v>2.1836785519452118E-2</c:v>
                </c:pt>
                <c:pt idx="22">
                  <c:v>2.1850867775669025E-2</c:v>
                </c:pt>
                <c:pt idx="23">
                  <c:v>2.1895690263390222E-2</c:v>
                </c:pt>
                <c:pt idx="24">
                  <c:v>2.1969103217367003E-2</c:v>
                </c:pt>
                <c:pt idx="25">
                  <c:v>2.2080483262806982E-2</c:v>
                </c:pt>
                <c:pt idx="26">
                  <c:v>2.21990014702933E-2</c:v>
                </c:pt>
                <c:pt idx="27">
                  <c:v>2.2323987939501189E-2</c:v>
                </c:pt>
                <c:pt idx="28">
                  <c:v>2.2455703454446807E-2</c:v>
                </c:pt>
                <c:pt idx="29">
                  <c:v>2.2593577047603119E-2</c:v>
                </c:pt>
                <c:pt idx="30">
                  <c:v>2.2736127692249974E-2</c:v>
                </c:pt>
                <c:pt idx="31">
                  <c:v>2.2878345020024282E-2</c:v>
                </c:pt>
                <c:pt idx="32">
                  <c:v>2.3018174498877109E-2</c:v>
                </c:pt>
                <c:pt idx="33">
                  <c:v>2.3154328200561736E-2</c:v>
                </c:pt>
                <c:pt idx="34">
                  <c:v>2.3285621074040641E-2</c:v>
                </c:pt>
                <c:pt idx="35">
                  <c:v>2.3410845151175197E-2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44A-4877-A4A9-C7609B9F9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/>
      </c:lineChart>
      <c:dateAx>
        <c:axId val="1008477712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5"/>
        <c:majorTimeUnit val="years"/>
      </c:dateAx>
      <c:valAx>
        <c:axId val="100847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  <c:majorUnit val="4.0000000000000008E-2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Sectoral value</a:t>
            </a:r>
            <a:r>
              <a:rPr lang="fr-FR" sz="2800" baseline="0"/>
              <a:t> added</a:t>
            </a:r>
          </a:p>
          <a:p>
            <a:pPr>
              <a:defRPr/>
            </a:pPr>
            <a:r>
              <a:rPr lang="fr-FR" sz="1800" i="0" baseline="0"/>
              <a:t>(% deviation from baseline</a:t>
            </a:r>
            <a:r>
              <a:rPr lang="fr-FR" baseline="0"/>
              <a:t>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498092735021525E-2"/>
          <c:y val="0.17564708710766092"/>
          <c:w val="0.88919974947941849"/>
          <c:h val="0.655305443529590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Données!$B$108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Données!$C$108:$E$108</c:f>
              <c:numCache>
                <c:formatCode>0.0%</c:formatCode>
                <c:ptCount val="3"/>
                <c:pt idx="0">
                  <c:v>-5.0395074553683673E-2</c:v>
                </c:pt>
                <c:pt idx="1">
                  <c:v>-6.1144198278742588E-2</c:v>
                </c:pt>
                <c:pt idx="2">
                  <c:v>-7.2872079923104835E-2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F-431D-9A51-747E617C00CC}"/>
            </c:ext>
          </c:extLst>
        </c:ser>
        <c:ser>
          <c:idx val="1"/>
          <c:order val="1"/>
          <c:tx>
            <c:strRef>
              <c:f>Données!$B$109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Données!$C$109:$E$109</c:f>
              <c:numCache>
                <c:formatCode>0.0%</c:formatCode>
                <c:ptCount val="3"/>
                <c:pt idx="0">
                  <c:v>-6.1225074214842037E-2</c:v>
                </c:pt>
                <c:pt idx="1">
                  <c:v>-8.0716307943719728E-2</c:v>
                </c:pt>
                <c:pt idx="2">
                  <c:v>-9.5290840235190147E-2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F-431D-9A51-747E617C00CC}"/>
            </c:ext>
          </c:extLst>
        </c:ser>
        <c:ser>
          <c:idx val="2"/>
          <c:order val="2"/>
          <c:tx>
            <c:strRef>
              <c:f>Données!$B$110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Données!$C$110:$E$110</c:f>
              <c:numCache>
                <c:formatCode>0.0%</c:formatCode>
                <c:ptCount val="3"/>
                <c:pt idx="0">
                  <c:v>-4.7661213931507879E-2</c:v>
                </c:pt>
                <c:pt idx="1">
                  <c:v>-5.9694106977493486E-2</c:v>
                </c:pt>
                <c:pt idx="2">
                  <c:v>-7.1817371216760822E-2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EF-431D-9A51-747E617C00CC}"/>
            </c:ext>
          </c:extLst>
        </c:ser>
        <c:ser>
          <c:idx val="3"/>
          <c:order val="3"/>
          <c:tx>
            <c:strRef>
              <c:f>Données!$B$111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Données!$C$111:$E$111</c:f>
              <c:numCache>
                <c:formatCode>0.0%</c:formatCode>
                <c:ptCount val="3"/>
                <c:pt idx="0">
                  <c:v>-3.8171772560379756E-2</c:v>
                </c:pt>
                <c:pt idx="1">
                  <c:v>-4.5776153245825693E-2</c:v>
                </c:pt>
                <c:pt idx="2">
                  <c:v>-5.2976195354255594E-2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EF-431D-9A51-747E617C00CC}"/>
            </c:ext>
          </c:extLst>
        </c:ser>
        <c:ser>
          <c:idx val="5"/>
          <c:order val="5"/>
          <c:tx>
            <c:strRef>
              <c:f>Données!$B$114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Données!$C$114:$E$114</c:f>
              <c:numCache>
                <c:formatCode>0.0%</c:formatCode>
                <c:ptCount val="3"/>
                <c:pt idx="0">
                  <c:v>-3.2456914580622706E-2</c:v>
                </c:pt>
                <c:pt idx="1">
                  <c:v>-4.2737694359088439E-2</c:v>
                </c:pt>
                <c:pt idx="2">
                  <c:v>-5.5710149087477914E-2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EF-431D-9A51-747E617C00CC}"/>
            </c:ext>
          </c:extLst>
        </c:ser>
        <c:ser>
          <c:idx val="6"/>
          <c:order val="6"/>
          <c:tx>
            <c:v>Average</c:v>
          </c:tx>
          <c:spPr>
            <a:solidFill>
              <a:schemeClr val="bg1"/>
            </a:solidFill>
            <a:ln w="25400">
              <a:solidFill>
                <a:schemeClr val="tx1"/>
              </a:solidFill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Données!$C$107:$E$107</c:f>
              <c:numCache>
                <c:formatCode>0.0%</c:formatCode>
                <c:ptCount val="3"/>
                <c:pt idx="0">
                  <c:v>-4.2396278684210247E-2</c:v>
                </c:pt>
                <c:pt idx="1">
                  <c:v>-5.2262659412179634E-2</c:v>
                </c:pt>
                <c:pt idx="2">
                  <c:v>-6.1070354842462406E-2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F7-4A45-A893-6FC38B935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Données!$B$112</c15:sqref>
                        </c15:formulaRef>
                      </c:ext>
                    </c:extLst>
                    <c:strCache>
                      <c:ptCount val="1"/>
                      <c:pt idx="0">
                        <c:v>Oil&amp;Gas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Données!$C$106:$E$106</c15:sqref>
                        </c15:formulaRef>
                      </c:ext>
                    </c:extLst>
                    <c:strCache>
                      <c:ptCount val="3"/>
                      <c:pt idx="0">
                        <c:v>2030</c:v>
                      </c:pt>
                      <c:pt idx="1">
                        <c:v>2040</c:v>
                      </c:pt>
                      <c:pt idx="2">
                        <c:v>2050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Données!$C$112:$E$112</c15:sqref>
                        </c15:formulaRef>
                      </c:ext>
                    </c:extLst>
                    <c:numCache>
                      <c:formatCode>0.0%</c:formatCode>
                      <c:ptCount val="3"/>
                      <c:pt idx="0">
                        <c:v>3.0909288203201674E-2</c:v>
                      </c:pt>
                      <c:pt idx="1">
                        <c:v>3.8924838248652199E-2</c:v>
                      </c:pt>
                      <c:pt idx="2">
                        <c:v>4.5055602497480411E-2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C3EF-431D-9A51-747E617C00CC}"/>
                  </c:ext>
                </c:extLst>
              </c15:ser>
            </c15:filteredBarSeries>
          </c:ext>
        </c:extLst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Données!$B$117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Données!$C$117:$E$117</c:f>
              <c:numCache>
                <c:formatCode>0.0%</c:formatCode>
                <c:ptCount val="3"/>
                <c:pt idx="0">
                  <c:v>-5.0395074553683639E-2</c:v>
                </c:pt>
                <c:pt idx="1">
                  <c:v>-6.1144198278742623E-2</c:v>
                </c:pt>
                <c:pt idx="2">
                  <c:v>-7.2872079923104849E-2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2-485E-9582-B510024133C5}"/>
            </c:ext>
          </c:extLst>
        </c:ser>
        <c:ser>
          <c:idx val="1"/>
          <c:order val="1"/>
          <c:tx>
            <c:strRef>
              <c:f>Données!$B$118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Données!$C$118:$E$118</c:f>
              <c:numCache>
                <c:formatCode>0.0%</c:formatCode>
                <c:ptCount val="3"/>
                <c:pt idx="0">
                  <c:v>-6.1225074214842024E-2</c:v>
                </c:pt>
                <c:pt idx="1">
                  <c:v>-8.0716307943719756E-2</c:v>
                </c:pt>
                <c:pt idx="2">
                  <c:v>-9.5290840235190188E-2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2-485E-9582-B510024133C5}"/>
            </c:ext>
          </c:extLst>
        </c:ser>
        <c:ser>
          <c:idx val="2"/>
          <c:order val="2"/>
          <c:tx>
            <c:strRef>
              <c:f>Données!$B$119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Données!$C$119:$E$119</c:f>
              <c:numCache>
                <c:formatCode>0.0%</c:formatCode>
                <c:ptCount val="3"/>
                <c:pt idx="0">
                  <c:v>-4.7661213931507906E-2</c:v>
                </c:pt>
                <c:pt idx="1">
                  <c:v>-5.9694106977493444E-2</c:v>
                </c:pt>
                <c:pt idx="2">
                  <c:v>-7.1817371216760795E-2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2-485E-9582-B510024133C5}"/>
            </c:ext>
          </c:extLst>
        </c:ser>
        <c:ser>
          <c:idx val="3"/>
          <c:order val="3"/>
          <c:tx>
            <c:strRef>
              <c:f>Données!$B$120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Données!$C$120:$E$120</c:f>
              <c:numCache>
                <c:formatCode>0.0%</c:formatCode>
                <c:ptCount val="3"/>
                <c:pt idx="0">
                  <c:v>-3.8171772560379735E-2</c:v>
                </c:pt>
                <c:pt idx="1">
                  <c:v>-4.5776153245825735E-2</c:v>
                </c:pt>
                <c:pt idx="2">
                  <c:v>-5.2976195354255573E-2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82-485E-9582-B510024133C5}"/>
            </c:ext>
          </c:extLst>
        </c:ser>
        <c:ser>
          <c:idx val="4"/>
          <c:order val="4"/>
          <c:tx>
            <c:strRef>
              <c:f>Données!$B$121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Données!$C$121:$E$121</c:f>
              <c:numCache>
                <c:formatCode>0.0%</c:formatCode>
                <c:ptCount val="3"/>
                <c:pt idx="0">
                  <c:v>3.0909288203201601E-2</c:v>
                </c:pt>
                <c:pt idx="1">
                  <c:v>3.8924838248652227E-2</c:v>
                </c:pt>
                <c:pt idx="2">
                  <c:v>4.5055602497480418E-2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82-485E-9582-B510024133C5}"/>
            </c:ext>
          </c:extLst>
        </c:ser>
        <c:ser>
          <c:idx val="5"/>
          <c:order val="5"/>
          <c:tx>
            <c:strRef>
              <c:f>Données!$B$122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Données!$C$122:$E$122</c:f>
              <c:numCache>
                <c:formatCode>0.0%</c:formatCode>
                <c:ptCount val="3"/>
                <c:pt idx="0">
                  <c:v>-3.245691458062272E-2</c:v>
                </c:pt>
                <c:pt idx="1">
                  <c:v>-4.2737694359088474E-2</c:v>
                </c:pt>
                <c:pt idx="2">
                  <c:v>-5.5710149087477956E-2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82-485E-9582-B51002413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Sectoral production</a:t>
            </a:r>
          </a:p>
          <a:p>
            <a:pPr>
              <a:defRPr/>
            </a:pPr>
            <a:r>
              <a:rPr lang="fr-FR" sz="1800" baseline="0"/>
              <a:t>(% deviation from baseline)</a:t>
            </a:r>
          </a:p>
          <a:p>
            <a:pPr>
              <a:defRPr/>
            </a:pPr>
            <a:endParaRPr lang="fr-FR"/>
          </a:p>
        </c:rich>
      </c:tx>
      <c:layout>
        <c:manualLayout>
          <c:xMode val="edge"/>
          <c:yMode val="edge"/>
          <c:x val="0.32042331569230875"/>
          <c:y val="1.25748508923028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1663560631932678E-2"/>
          <c:y val="0.16258101222189938"/>
          <c:w val="0.88919974947941849"/>
          <c:h val="0.578445451385989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Données!$B$147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Données!$C$147:$E$147</c:f>
              <c:numCache>
                <c:formatCode>0.0%</c:formatCode>
                <c:ptCount val="3"/>
                <c:pt idx="0">
                  <c:v>-5.3073767680340327E-2</c:v>
                </c:pt>
                <c:pt idx="1">
                  <c:v>-4.7639099011543583E-2</c:v>
                </c:pt>
                <c:pt idx="2">
                  <c:v>-7.4515945220433699E-2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D-4067-BD64-AD80378C548C}"/>
            </c:ext>
          </c:extLst>
        </c:ser>
        <c:ser>
          <c:idx val="1"/>
          <c:order val="1"/>
          <c:tx>
            <c:strRef>
              <c:f>Données!$B$148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Données!$C$148:$E$148</c:f>
              <c:numCache>
                <c:formatCode>0.0%</c:formatCode>
                <c:ptCount val="3"/>
                <c:pt idx="0">
                  <c:v>-6.2266754346104874E-2</c:v>
                </c:pt>
                <c:pt idx="1">
                  <c:v>-5.3977779711494846E-2</c:v>
                </c:pt>
                <c:pt idx="2">
                  <c:v>-9.6394354794717599E-2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D-4067-BD64-AD80378C548C}"/>
            </c:ext>
          </c:extLst>
        </c:ser>
        <c:ser>
          <c:idx val="2"/>
          <c:order val="2"/>
          <c:tx>
            <c:strRef>
              <c:f>Données!$B$149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Données!$C$149:$E$149</c:f>
              <c:numCache>
                <c:formatCode>0.0%</c:formatCode>
                <c:ptCount val="3"/>
                <c:pt idx="0">
                  <c:v>-5.1397674090105136E-2</c:v>
                </c:pt>
                <c:pt idx="1">
                  <c:v>-6.4220063674782696E-2</c:v>
                </c:pt>
                <c:pt idx="2">
                  <c:v>-7.825302738369766E-2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2D-4067-BD64-AD80378C548C}"/>
            </c:ext>
          </c:extLst>
        </c:ser>
        <c:ser>
          <c:idx val="3"/>
          <c:order val="3"/>
          <c:tx>
            <c:strRef>
              <c:f>Données!$B$150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Données!$C$150:$E$150</c:f>
              <c:numCache>
                <c:formatCode>0.0%</c:formatCode>
                <c:ptCount val="3"/>
                <c:pt idx="0">
                  <c:v>-4.0152905880961466E-2</c:v>
                </c:pt>
                <c:pt idx="1">
                  <c:v>-5.2610537122102577E-2</c:v>
                </c:pt>
                <c:pt idx="2">
                  <c:v>-5.571212162962224E-2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2D-4067-BD64-AD80378C548C}"/>
            </c:ext>
          </c:extLst>
        </c:ser>
        <c:ser>
          <c:idx val="4"/>
          <c:order val="4"/>
          <c:tx>
            <c:strRef>
              <c:f>Données!$B$151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Données!$C$151:$E$151</c:f>
              <c:numCache>
                <c:formatCode>0.0%</c:formatCode>
                <c:ptCount val="3"/>
                <c:pt idx="0">
                  <c:v>-6.4060887612781364E-2</c:v>
                </c:pt>
                <c:pt idx="1">
                  <c:v>-4.0908176631835366E-2</c:v>
                </c:pt>
                <c:pt idx="2">
                  <c:v>-9.7067751168215019E-2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2D-4067-BD64-AD80378C548C}"/>
            </c:ext>
          </c:extLst>
        </c:ser>
        <c:ser>
          <c:idx val="5"/>
          <c:order val="5"/>
          <c:tx>
            <c:strRef>
              <c:f>Données!$B$152</c:f>
              <c:strCache>
                <c:ptCount val="1"/>
                <c:pt idx="0">
                  <c:v>Renewable Oil&amp;Gas</c:v>
                </c:pt>
              </c:strCache>
            </c:strRef>
          </c:tx>
          <c:spPr>
            <a:pattFill prst="narHorz">
              <a:fgClr>
                <a:srgbClr val="7030A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Données!$C$152:$E$152</c:f>
              <c:numCache>
                <c:formatCode>0.0%</c:formatCode>
                <c:ptCount val="3"/>
                <c:pt idx="0">
                  <c:v>-6.1547837400839148E-2</c:v>
                </c:pt>
                <c:pt idx="1">
                  <c:v>-6.5749769117441334E-2</c:v>
                </c:pt>
                <c:pt idx="2">
                  <c:v>-9.1420183459713117E-2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2D-4067-BD64-AD80378C548C}"/>
            </c:ext>
          </c:extLst>
        </c:ser>
        <c:ser>
          <c:idx val="7"/>
          <c:order val="6"/>
          <c:tx>
            <c:strRef>
              <c:f>Données!$B$153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Données!$C$153:$E$153</c:f>
              <c:numCache>
                <c:formatCode>0.0%</c:formatCode>
                <c:ptCount val="3"/>
                <c:pt idx="0">
                  <c:v>-3.2352255414949217E-2</c:v>
                </c:pt>
                <c:pt idx="1">
                  <c:v>-6.3128346719110676E-2</c:v>
                </c:pt>
                <c:pt idx="2">
                  <c:v>-5.5555813689319333E-2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52-45B6-A986-EF05989A50E2}"/>
            </c:ext>
          </c:extLst>
        </c:ser>
        <c:ser>
          <c:idx val="6"/>
          <c:order val="7"/>
          <c:tx>
            <c:strRef>
              <c:f>Données!$B$146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bg1"/>
            </a:solidFill>
            <a:ln w="15875">
              <a:solidFill>
                <a:schemeClr val="tx1"/>
              </a:solidFill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Données!$C$146:$E$146</c:f>
              <c:numCache>
                <c:formatCode>0.0%</c:formatCode>
                <c:ptCount val="3"/>
                <c:pt idx="0">
                  <c:v>-4.6550539886075083E-2</c:v>
                </c:pt>
                <c:pt idx="1">
                  <c:v>0</c:v>
                </c:pt>
                <c:pt idx="2">
                  <c:v>-6.7718405655060224E-2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2-45B6-A986-EF05989A5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  <c:max val="4.0000000000000008E-2"/>
          <c:min val="-8.000000000000001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Données!$B$156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Données!$C$156:$E$156</c:f>
              <c:numCache>
                <c:formatCode>0.0%</c:formatCode>
                <c:ptCount val="3"/>
                <c:pt idx="0">
                  <c:v>-5.3073767680340334E-2</c:v>
                </c:pt>
                <c:pt idx="1">
                  <c:v>-6.3356937593247897E-2</c:v>
                </c:pt>
                <c:pt idx="2">
                  <c:v>-7.4515945220433699E-2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1-4B6A-9132-8653F2D77B61}"/>
            </c:ext>
          </c:extLst>
        </c:ser>
        <c:ser>
          <c:idx val="1"/>
          <c:order val="1"/>
          <c:tx>
            <c:strRef>
              <c:f>Données!$B$157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Données!$C$157:$E$157</c:f>
              <c:numCache>
                <c:formatCode>0.0%</c:formatCode>
                <c:ptCount val="3"/>
                <c:pt idx="0">
                  <c:v>-6.2266754346104847E-2</c:v>
                </c:pt>
                <c:pt idx="1">
                  <c:v>-8.1439793157755958E-2</c:v>
                </c:pt>
                <c:pt idx="2">
                  <c:v>-9.6394354794717585E-2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F1-4B6A-9132-8653F2D77B61}"/>
            </c:ext>
          </c:extLst>
        </c:ser>
        <c:ser>
          <c:idx val="2"/>
          <c:order val="2"/>
          <c:tx>
            <c:strRef>
              <c:f>Données!$B$158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Données!$C$158:$E$158</c:f>
              <c:numCache>
                <c:formatCode>0.0%</c:formatCode>
                <c:ptCount val="3"/>
                <c:pt idx="0">
                  <c:v>-5.1397674090105094E-2</c:v>
                </c:pt>
                <c:pt idx="1">
                  <c:v>-6.4871474366459014E-2</c:v>
                </c:pt>
                <c:pt idx="2">
                  <c:v>-7.825302738369766E-2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F1-4B6A-9132-8653F2D77B61}"/>
            </c:ext>
          </c:extLst>
        </c:ser>
        <c:ser>
          <c:idx val="3"/>
          <c:order val="3"/>
          <c:tx>
            <c:strRef>
              <c:f>Données!$B$159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Données!$C$159:$E$159</c:f>
              <c:numCache>
                <c:formatCode>0.0%</c:formatCode>
                <c:ptCount val="3"/>
                <c:pt idx="0">
                  <c:v>-4.0152905880961431E-2</c:v>
                </c:pt>
                <c:pt idx="1">
                  <c:v>-4.8120623750005698E-2</c:v>
                </c:pt>
                <c:pt idx="2">
                  <c:v>-5.5712121629622247E-2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F1-4B6A-9132-8653F2D77B61}"/>
            </c:ext>
          </c:extLst>
        </c:ser>
        <c:ser>
          <c:idx val="4"/>
          <c:order val="4"/>
          <c:tx>
            <c:strRef>
              <c:f>Données!$B$160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Données!$C$160:$E$160</c:f>
              <c:numCache>
                <c:formatCode>0.0%</c:formatCode>
                <c:ptCount val="3"/>
                <c:pt idx="0">
                  <c:v>-6.4060887612781392E-2</c:v>
                </c:pt>
                <c:pt idx="1">
                  <c:v>-8.0971124174844977E-2</c:v>
                </c:pt>
                <c:pt idx="2">
                  <c:v>-9.7067751168214977E-2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F1-4B6A-9132-8653F2D77B61}"/>
            </c:ext>
          </c:extLst>
        </c:ser>
        <c:ser>
          <c:idx val="5"/>
          <c:order val="5"/>
          <c:tx>
            <c:strRef>
              <c:f>Données!$B$161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Données!$C$161:$E$161</c:f>
              <c:numCache>
                <c:formatCode>0.0%</c:formatCode>
                <c:ptCount val="3"/>
                <c:pt idx="0">
                  <c:v>-3.2352255414949238E-2</c:v>
                </c:pt>
                <c:pt idx="1">
                  <c:v>-4.2596311961141775E-2</c:v>
                </c:pt>
                <c:pt idx="2">
                  <c:v>-5.5555813689319389E-2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F1-4B6A-9132-8653F2D77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Graphique2">
    <tabColor rgb="FFFF0000"/>
  </sheetPr>
  <sheetViews>
    <sheetView tabSelected="1" zoomScale="7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 codeName="Graphique3">
    <tabColor rgb="FFFF0000"/>
  </sheetPr>
  <sheetViews>
    <sheetView zoomScale="4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 codeName="Graphique4">
    <tabColor rgb="FFFF0000"/>
  </sheetPr>
  <sheetViews>
    <sheetView zoomScale="55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 codeName="Graphique5">
    <tabColor rgb="FFFF000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 codeName="Graphique6"/>
  <sheetViews>
    <sheetView zoomScale="70"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 codeName="Graphique7">
    <tabColor rgb="FFFF000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 codeName="Graphique8">
    <tabColor theme="7"/>
  </sheetPr>
  <sheetViews>
    <sheetView zoomScale="55" workbookViewId="0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 codeName="Graphique9">
    <tabColor theme="7"/>
  </sheetPr>
  <sheetViews>
    <sheetView zoomScale="55" workbookViewId="0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 codeName="Graphique10">
    <tabColor theme="7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 codeName="Graphique11">
    <tabColor theme="7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 codeName="Graphique12">
    <tabColor theme="7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 codeName="Graphique13">
    <tabColor theme="7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 codeName="Graphique14"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 codeName="Graphique15"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>
  <sheetPr codeName="Graphique16"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>
  <sheetPr codeName="Graphique17"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>
  <sheetPr codeName="Graphique18"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>
  <sheetPr codeName="Graphique19"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>
  <sheetPr codeName="Graphique20"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20.xml><?xml version="1.0" encoding="utf-8"?>
<chartsheet xmlns="http://schemas.openxmlformats.org/spreadsheetml/2006/main" xmlns:r="http://schemas.openxmlformats.org/officeDocument/2006/relationships">
  <sheetPr codeName="Graphique21">
    <tabColor rgb="FF7030A0"/>
  </sheetPr>
  <sheetViews>
    <sheetView zoomScale="70" workbookViewId="0"/>
  </sheetViews>
  <pageMargins left="0.7" right="0.7" top="0.75" bottom="0.75" header="0.3" footer="0.3"/>
  <drawing r:id="rId1"/>
</chartsheet>
</file>

<file path=xl/chartsheets/sheet21.xml><?xml version="1.0" encoding="utf-8"?>
<chartsheet xmlns="http://schemas.openxmlformats.org/spreadsheetml/2006/main" xmlns:r="http://schemas.openxmlformats.org/officeDocument/2006/relationships">
  <sheetPr codeName="Graphique22"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8012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0.85707</cdr:x>
      <cdr:y>0.69417</cdr:y>
    </cdr:from>
    <cdr:to>
      <cdr:x>0.94221</cdr:x>
      <cdr:y>0.74196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7963123" y="4206915"/>
          <a:ext cx="790965" cy="289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fr-FR" sz="2000" b="1">
            <a:latin typeface="Marianne Light" panose="02000000000000000000" pitchFamily="50" charset="0"/>
          </a:endParaRPr>
        </a:p>
      </cdr:txBody>
    </cdr:sp>
  </cdr:relSizeAnchor>
  <cdr:relSizeAnchor xmlns:cdr="http://schemas.openxmlformats.org/drawingml/2006/chartDrawing">
    <cdr:from>
      <cdr:x>0.86541</cdr:x>
      <cdr:y>0.19309</cdr:y>
    </cdr:from>
    <cdr:to>
      <cdr:x>0.98047</cdr:x>
      <cdr:y>0.26796</cdr:y>
    </cdr:to>
    <cdr:sp macro="" textlink="">
      <cdr:nvSpPr>
        <cdr:cNvPr id="4" name="ZoneTexte 3"/>
        <cdr:cNvSpPr txBox="1"/>
      </cdr:nvSpPr>
      <cdr:spPr>
        <a:xfrm xmlns:a="http://schemas.openxmlformats.org/drawingml/2006/main">
          <a:off x="8038886" y="1170088"/>
          <a:ext cx="1068828" cy="4536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800" b="0" i="0">
              <a:latin typeface="Marianne Light" panose="02000000000000000000" pitchFamily="50" charset="0"/>
            </a:rPr>
            <a:t>+500%</a:t>
          </a:r>
        </a:p>
      </cdr:txBody>
    </cdr:sp>
  </cdr:relSizeAnchor>
  <cdr:relSizeAnchor xmlns:cdr="http://schemas.openxmlformats.org/drawingml/2006/chartDrawing">
    <cdr:from>
      <cdr:x>0.78711</cdr:x>
      <cdr:y>0.67216</cdr:y>
    </cdr:from>
    <cdr:to>
      <cdr:x>0.88477</cdr:x>
      <cdr:y>0.73503</cdr:y>
    </cdr:to>
    <cdr:sp macro="" textlink="">
      <cdr:nvSpPr>
        <cdr:cNvPr id="5" name="ZoneTexte 4"/>
        <cdr:cNvSpPr txBox="1"/>
      </cdr:nvSpPr>
      <cdr:spPr>
        <a:xfrm xmlns:a="http://schemas.openxmlformats.org/drawingml/2006/main">
          <a:off x="7311571" y="4073072"/>
          <a:ext cx="907143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800" b="0">
              <a:latin typeface="Marianne Light" panose="02000000000000000000" pitchFamily="50" charset="0"/>
            </a:rPr>
            <a:t>-42%</a:t>
          </a:r>
        </a:p>
      </cdr:txBody>
    </cdr:sp>
  </cdr:relSizeAnchor>
</c:userShapes>
</file>

<file path=xl/drawings/drawing22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2-02-25_18-04-08_Result_Fr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ort"/>
      <sheetName val="Import"/>
      <sheetName val="Carbontax"/>
      <sheetName val="Production"/>
      <sheetName val="Capital"/>
      <sheetName val="PIB"/>
      <sheetName val="Results"/>
      <sheetName val="date"/>
      <sheetName val="Emissions"/>
      <sheetName val="Consumption"/>
      <sheetName val="Value_Added"/>
      <sheetName val="INV"/>
      <sheetName val="Labor"/>
      <sheetName val="Final_nrj"/>
      <sheetName val="Primary_nrj"/>
      <sheetName val="Energy_Mix"/>
      <sheetName val="Transports"/>
      <sheetName val="Hybrid"/>
      <sheetName val="Tab-macro"/>
      <sheetName val="Tab-baseline"/>
      <sheetName val="Macro"/>
      <sheetName val="Baseline"/>
      <sheetName val="produits-secteurs V2-V3"/>
      <sheetName val="Sect&amp;Com_V3"/>
    </sheetNames>
    <sheetDataSet>
      <sheetData sheetId="0"/>
      <sheetData sheetId="1"/>
      <sheetData sheetId="2"/>
      <sheetData sheetId="3">
        <row r="2">
          <cell r="B2">
            <v>3788269.57</v>
          </cell>
          <cell r="C2">
            <v>3815582.074</v>
          </cell>
          <cell r="D2">
            <v>3853125.0619999999</v>
          </cell>
          <cell r="E2">
            <v>3897003.355</v>
          </cell>
          <cell r="F2">
            <v>3945983.1490000002</v>
          </cell>
          <cell r="G2">
            <v>3999240.713</v>
          </cell>
          <cell r="H2">
            <v>4053515.091</v>
          </cell>
          <cell r="I2">
            <v>4109990.1310000001</v>
          </cell>
          <cell r="J2">
            <v>4168449.838</v>
          </cell>
          <cell r="K2">
            <v>4228632.7740000002</v>
          </cell>
          <cell r="L2">
            <v>4294720.7929999996</v>
          </cell>
          <cell r="M2">
            <v>4358836.4790000003</v>
          </cell>
          <cell r="N2">
            <v>4423544.4869999997</v>
          </cell>
          <cell r="O2">
            <v>4488907.6050000004</v>
          </cell>
          <cell r="P2">
            <v>4554917.0779999997</v>
          </cell>
          <cell r="Q2">
            <v>4621573.7630000003</v>
          </cell>
          <cell r="R2">
            <v>4688590.0750000002</v>
          </cell>
          <cell r="S2">
            <v>4756243.4589999998</v>
          </cell>
          <cell r="T2">
            <v>4824608.3540000003</v>
          </cell>
          <cell r="U2">
            <v>4893748.9720000001</v>
          </cell>
          <cell r="V2">
            <v>4960465.5980000002</v>
          </cell>
          <cell r="W2">
            <v>5030230.0750000002</v>
          </cell>
          <cell r="X2">
            <v>5101262.0970000001</v>
          </cell>
          <cell r="Y2">
            <v>5173492.8550000004</v>
          </cell>
          <cell r="Z2">
            <v>5246919.4110000003</v>
          </cell>
          <cell r="AA2">
            <v>5312183.7470000004</v>
          </cell>
          <cell r="AB2">
            <v>5380521.4989999998</v>
          </cell>
          <cell r="AC2">
            <v>5449473.4620000003</v>
          </cell>
          <cell r="AD2">
            <v>5519135.6780000003</v>
          </cell>
          <cell r="AE2">
            <v>5589657.2280000001</v>
          </cell>
          <cell r="AF2">
            <v>5661167.2570000002</v>
          </cell>
          <cell r="AG2">
            <v>5733830.2740000002</v>
          </cell>
          <cell r="AH2">
            <v>5807654.1679999996</v>
          </cell>
          <cell r="AI2">
            <v>5882665.3169999998</v>
          </cell>
          <cell r="AJ2">
            <v>5958873.0089999996</v>
          </cell>
          <cell r="AK2">
            <v>6036274.875</v>
          </cell>
          <cell r="AL2">
            <v>6113237.0520000001</v>
          </cell>
          <cell r="AM2">
            <v>6190736.3729999997</v>
          </cell>
          <cell r="AN2">
            <v>6268918.3449999997</v>
          </cell>
          <cell r="AO2">
            <v>6347879.7199999997</v>
          </cell>
          <cell r="AP2">
            <v>6427701.3559999997</v>
          </cell>
          <cell r="AQ2">
            <v>6508552.6129999999</v>
          </cell>
          <cell r="AR2">
            <v>6590415.9850000003</v>
          </cell>
          <cell r="AS2">
            <v>6673323.3499999996</v>
          </cell>
          <cell r="AT2">
            <v>6757297.4709999999</v>
          </cell>
          <cell r="AU2">
            <v>6842352.4929999998</v>
          </cell>
          <cell r="AV2">
            <v>6929039.8439999996</v>
          </cell>
          <cell r="AW2">
            <v>7016983.8480000002</v>
          </cell>
          <cell r="AX2">
            <v>7106132.4419999998</v>
          </cell>
          <cell r="AY2">
            <v>7196454.7300000004</v>
          </cell>
          <cell r="AZ2">
            <v>7287932.0070000002</v>
          </cell>
          <cell r="BA2">
            <v>7380770.8049999997</v>
          </cell>
          <cell r="BB2">
            <v>7474815.7110000001</v>
          </cell>
          <cell r="BC2">
            <v>7570050.7309999997</v>
          </cell>
          <cell r="BD2">
            <v>7666473.3609999996</v>
          </cell>
          <cell r="BE2">
            <v>7764089.8119999999</v>
          </cell>
        </row>
        <row r="3">
          <cell r="B3">
            <v>3859362.8769999999</v>
          </cell>
          <cell r="C3">
            <v>3908270.1009999998</v>
          </cell>
          <cell r="D3">
            <v>3962069.2280000001</v>
          </cell>
          <cell r="E3">
            <v>4019511.3679999998</v>
          </cell>
          <cell r="F3">
            <v>4080255.4759999998</v>
          </cell>
          <cell r="G3">
            <v>4143927.4419999998</v>
          </cell>
          <cell r="H3">
            <v>4207559.4890000001</v>
          </cell>
          <cell r="I3">
            <v>4272581.2709999997</v>
          </cell>
          <cell r="J3">
            <v>4339001.5159999998</v>
          </cell>
          <cell r="K3">
            <v>4406764.1670000004</v>
          </cell>
          <cell r="L3">
            <v>4480406.0319999997</v>
          </cell>
          <cell r="M3">
            <v>4552217.8279999997</v>
          </cell>
          <cell r="N3">
            <v>4624727.4230000004</v>
          </cell>
          <cell r="O3">
            <v>4698046.0669999998</v>
          </cell>
          <cell r="P3">
            <v>4772200.3470000001</v>
          </cell>
          <cell r="Q3">
            <v>4847214.2010000004</v>
          </cell>
          <cell r="R3">
            <v>4923123.2300000004</v>
          </cell>
          <cell r="S3">
            <v>4999973.13</v>
          </cell>
          <cell r="T3">
            <v>5077814.9979999997</v>
          </cell>
          <cell r="U3">
            <v>5156701.1009999998</v>
          </cell>
          <cell r="V3">
            <v>5233255.767</v>
          </cell>
          <cell r="W3">
            <v>5313205.6310000001</v>
          </cell>
          <cell r="X3">
            <v>5394678.602</v>
          </cell>
          <cell r="Y3">
            <v>5477598.7439999999</v>
          </cell>
          <cell r="Z3">
            <v>5561956.7209999999</v>
          </cell>
          <cell r="AA3">
            <v>5637837.6509999996</v>
          </cell>
          <cell r="AB3">
            <v>5716951.4340000004</v>
          </cell>
          <cell r="AC3">
            <v>5796788.8859999999</v>
          </cell>
          <cell r="AD3">
            <v>5877455.5640000002</v>
          </cell>
          <cell r="AE3">
            <v>5959108.4529999997</v>
          </cell>
          <cell r="AF3">
            <v>6041880.5719999997</v>
          </cell>
          <cell r="AG3">
            <v>6125866.5240000002</v>
          </cell>
          <cell r="AH3">
            <v>6211124.6909999996</v>
          </cell>
          <cell r="AI3">
            <v>6297684.6040000003</v>
          </cell>
          <cell r="AJ3">
            <v>6385555.3949999996</v>
          </cell>
          <cell r="AK3">
            <v>6474733.5049999999</v>
          </cell>
          <cell r="AL3">
            <v>6562799.7120000003</v>
          </cell>
          <cell r="AM3">
            <v>6651295.6129999999</v>
          </cell>
          <cell r="AN3">
            <v>6740437.5729999999</v>
          </cell>
          <cell r="AO3">
            <v>6830366.6529999999</v>
          </cell>
          <cell r="AP3">
            <v>6921197.2120000003</v>
          </cell>
          <cell r="AQ3">
            <v>7013024.5609999998</v>
          </cell>
          <cell r="AR3">
            <v>7105925.4680000003</v>
          </cell>
          <cell r="AS3">
            <v>7199958.9220000003</v>
          </cell>
          <cell r="AT3">
            <v>7295168.3430000003</v>
          </cell>
          <cell r="AU3">
            <v>7391584.9129999997</v>
          </cell>
          <cell r="AV3">
            <v>7489450.5499999998</v>
          </cell>
          <cell r="AW3">
            <v>7588641.148</v>
          </cell>
          <cell r="AX3">
            <v>7689151.8470000001</v>
          </cell>
          <cell r="AY3">
            <v>7790980.6090000002</v>
          </cell>
          <cell r="AZ3">
            <v>7894128.3969999999</v>
          </cell>
          <cell r="BA3">
            <v>7998601.0990000004</v>
          </cell>
          <cell r="BB3">
            <v>8104409.9289999995</v>
          </cell>
          <cell r="BC3">
            <v>8211571.0599999996</v>
          </cell>
          <cell r="BD3">
            <v>8320104.9079999998</v>
          </cell>
          <cell r="BE3">
            <v>8430035.3049999997</v>
          </cell>
        </row>
        <row r="4">
          <cell r="B4">
            <v>80000.368329999998</v>
          </cell>
          <cell r="C4">
            <v>80136.363230000003</v>
          </cell>
          <cell r="D4">
            <v>80535.741869999998</v>
          </cell>
          <cell r="E4">
            <v>81149.274940000003</v>
          </cell>
          <cell r="F4">
            <v>81950.820919999998</v>
          </cell>
          <cell r="G4">
            <v>82912.05098</v>
          </cell>
          <cell r="H4">
            <v>83954.79926</v>
          </cell>
          <cell r="I4">
            <v>85082.885020000002</v>
          </cell>
          <cell r="J4">
            <v>86280.89344</v>
          </cell>
          <cell r="K4">
            <v>87534.896559999994</v>
          </cell>
          <cell r="L4">
            <v>88918.887149999995</v>
          </cell>
          <cell r="M4">
            <v>90283.121769999998</v>
          </cell>
          <cell r="N4">
            <v>91663.121969999993</v>
          </cell>
          <cell r="O4">
            <v>93056.899380000003</v>
          </cell>
          <cell r="P4">
            <v>94462.064469999998</v>
          </cell>
          <cell r="Q4">
            <v>95877.226699999999</v>
          </cell>
          <cell r="R4">
            <v>97294.001329999999</v>
          </cell>
          <cell r="S4">
            <v>98718.865380000003</v>
          </cell>
          <cell r="T4">
            <v>100153.09359999999</v>
          </cell>
          <cell r="U4">
            <v>101597.9238</v>
          </cell>
          <cell r="V4">
            <v>102991.8116</v>
          </cell>
          <cell r="W4">
            <v>104433.20909999999</v>
          </cell>
          <cell r="X4">
            <v>105896.8655</v>
          </cell>
          <cell r="Y4">
            <v>107381.90180000001</v>
          </cell>
          <cell r="Z4">
            <v>108888.5144</v>
          </cell>
          <cell r="AA4">
            <v>110236.916</v>
          </cell>
          <cell r="AB4">
            <v>111623.0141</v>
          </cell>
          <cell r="AC4">
            <v>113014.6942</v>
          </cell>
          <cell r="AD4">
            <v>114416.4831</v>
          </cell>
          <cell r="AE4">
            <v>115833.57829999999</v>
          </cell>
          <cell r="AF4">
            <v>117270.26549999999</v>
          </cell>
          <cell r="AG4">
            <v>118731.4393</v>
          </cell>
          <cell r="AH4">
            <v>120217.74950000001</v>
          </cell>
          <cell r="AI4">
            <v>121730.2157</v>
          </cell>
          <cell r="AJ4">
            <v>123269.3018</v>
          </cell>
          <cell r="AK4">
            <v>124835.0956</v>
          </cell>
          <cell r="AL4">
            <v>126400.42200000001</v>
          </cell>
          <cell r="AM4">
            <v>127975.7108</v>
          </cell>
          <cell r="AN4">
            <v>129564.71120000001</v>
          </cell>
          <cell r="AO4">
            <v>131170.3371</v>
          </cell>
          <cell r="AP4">
            <v>132795.1263</v>
          </cell>
          <cell r="AQ4">
            <v>134443.79740000001</v>
          </cell>
          <cell r="AR4">
            <v>136116.1471</v>
          </cell>
          <cell r="AS4">
            <v>137813.196</v>
          </cell>
          <cell r="AT4">
            <v>139535.61499999999</v>
          </cell>
          <cell r="AU4">
            <v>141283.76449999999</v>
          </cell>
          <cell r="AV4">
            <v>143070.3033</v>
          </cell>
          <cell r="AW4">
            <v>144886.625</v>
          </cell>
          <cell r="AX4">
            <v>146731.3351</v>
          </cell>
          <cell r="AY4">
            <v>148603.45699999999</v>
          </cell>
          <cell r="AZ4">
            <v>150502.27239999999</v>
          </cell>
          <cell r="BA4">
            <v>152432.7965</v>
          </cell>
          <cell r="BB4">
            <v>154390.73190000001</v>
          </cell>
          <cell r="BC4">
            <v>156375.5171</v>
          </cell>
          <cell r="BD4">
            <v>158386.8989</v>
          </cell>
          <cell r="BE4">
            <v>160424.8205</v>
          </cell>
        </row>
        <row r="5">
          <cell r="B5">
            <v>81862.317689999996</v>
          </cell>
          <cell r="C5">
            <v>82566.293350000007</v>
          </cell>
          <cell r="D5">
            <v>83408.24712</v>
          </cell>
          <cell r="E5">
            <v>84394.135509999993</v>
          </cell>
          <cell r="F5">
            <v>85513.737280000001</v>
          </cell>
          <cell r="G5">
            <v>86747.141130000004</v>
          </cell>
          <cell r="H5">
            <v>88023.011859999999</v>
          </cell>
          <cell r="I5">
            <v>89352.745739999998</v>
          </cell>
          <cell r="J5">
            <v>90728.791649999999</v>
          </cell>
          <cell r="K5">
            <v>92144.440759999998</v>
          </cell>
          <cell r="L5">
            <v>93684.438429999995</v>
          </cell>
          <cell r="M5">
            <v>95204.281529999993</v>
          </cell>
          <cell r="N5">
            <v>96739.494120000003</v>
          </cell>
          <cell r="O5">
            <v>98290.115669999999</v>
          </cell>
          <cell r="P5">
            <v>99855.244149999999</v>
          </cell>
          <cell r="Q5">
            <v>101434.5433</v>
          </cell>
          <cell r="R5">
            <v>103028.3468</v>
          </cell>
          <cell r="S5">
            <v>104637.4743</v>
          </cell>
          <cell r="T5">
            <v>106263.03170000001</v>
          </cell>
          <cell r="U5">
            <v>107906.2585</v>
          </cell>
          <cell r="V5">
            <v>109501.3658</v>
          </cell>
          <cell r="W5">
            <v>111153.5938</v>
          </cell>
          <cell r="X5">
            <v>112835.3912</v>
          </cell>
          <cell r="Y5">
            <v>114545.8631</v>
          </cell>
          <cell r="Z5">
            <v>116285.1917</v>
          </cell>
          <cell r="AA5">
            <v>117859.6505</v>
          </cell>
          <cell r="AB5">
            <v>119477.60709999999</v>
          </cell>
          <cell r="AC5">
            <v>121105.554</v>
          </cell>
          <cell r="AD5">
            <v>122748.32090000001</v>
          </cell>
          <cell r="AE5">
            <v>124411.41009999999</v>
          </cell>
          <cell r="AF5">
            <v>126099.30869999999</v>
          </cell>
          <cell r="AG5">
            <v>127815.2175</v>
          </cell>
          <cell r="AH5">
            <v>129561.1896</v>
          </cell>
          <cell r="AI5">
            <v>131338.3829</v>
          </cell>
          <cell r="AJ5">
            <v>133147.32139999999</v>
          </cell>
          <cell r="AK5">
            <v>134988.1244</v>
          </cell>
          <cell r="AL5">
            <v>136813.6243</v>
          </cell>
          <cell r="AM5">
            <v>138648.9896</v>
          </cell>
          <cell r="AN5">
            <v>140499.5232</v>
          </cell>
          <cell r="AO5">
            <v>142369.18220000001</v>
          </cell>
          <cell r="AP5">
            <v>144261.37599999999</v>
          </cell>
          <cell r="AQ5">
            <v>146178.98439999999</v>
          </cell>
          <cell r="AR5">
            <v>148124.30129999999</v>
          </cell>
          <cell r="AS5">
            <v>150099.0387</v>
          </cell>
          <cell r="AT5">
            <v>152104.39550000001</v>
          </cell>
          <cell r="AU5">
            <v>154141.1678</v>
          </cell>
          <cell r="AV5">
            <v>156214.19450000001</v>
          </cell>
          <cell r="AW5">
            <v>158321.6134</v>
          </cell>
          <cell r="AX5">
            <v>160463.2115</v>
          </cell>
          <cell r="AY5">
            <v>162638.50140000001</v>
          </cell>
          <cell r="AZ5">
            <v>164847.02059999999</v>
          </cell>
          <cell r="BA5">
            <v>167088.5019</v>
          </cell>
          <cell r="BB5">
            <v>169362.867</v>
          </cell>
          <cell r="BC5">
            <v>171670.18119999999</v>
          </cell>
          <cell r="BD5">
            <v>174010.61499999999</v>
          </cell>
          <cell r="BE5">
            <v>176384.4148</v>
          </cell>
        </row>
        <row r="6">
          <cell r="B6">
            <v>6481.5422669999998</v>
          </cell>
          <cell r="C6">
            <v>6454.0891339999998</v>
          </cell>
          <cell r="D6">
            <v>6420.0926870000003</v>
          </cell>
          <cell r="E6">
            <v>6389.2303680000005</v>
          </cell>
          <cell r="F6">
            <v>6364.7890889999999</v>
          </cell>
          <cell r="G6">
            <v>6346.4733139999998</v>
          </cell>
          <cell r="H6">
            <v>6329.6071490000004</v>
          </cell>
          <cell r="I6">
            <v>6315.4809219999997</v>
          </cell>
          <cell r="J6">
            <v>6305.5610539999998</v>
          </cell>
          <cell r="K6">
            <v>6300.2763109999996</v>
          </cell>
          <cell r="L6">
            <v>6303.758116</v>
          </cell>
          <cell r="M6">
            <v>6307.4471080000003</v>
          </cell>
          <cell r="N6">
            <v>6312.811068</v>
          </cell>
          <cell r="O6">
            <v>6319.6700840000003</v>
          </cell>
          <cell r="P6">
            <v>6327.6992819999996</v>
          </cell>
          <cell r="Q6">
            <v>6336.5921289999997</v>
          </cell>
          <cell r="R6">
            <v>6345.8670080000002</v>
          </cell>
          <cell r="S6">
            <v>6355.5255239999997</v>
          </cell>
          <cell r="T6">
            <v>6365.4343950000002</v>
          </cell>
          <cell r="U6">
            <v>6375.5013239999998</v>
          </cell>
          <cell r="V6">
            <v>6382.5125250000001</v>
          </cell>
          <cell r="W6">
            <v>6391.6362900000004</v>
          </cell>
          <cell r="X6">
            <v>6401.3833489999997</v>
          </cell>
          <cell r="Y6">
            <v>6411.4053729999996</v>
          </cell>
          <cell r="Z6">
            <v>6421.5802329999997</v>
          </cell>
          <cell r="AA6">
            <v>6423.1149869999999</v>
          </cell>
          <cell r="AB6">
            <v>6426.4983590000002</v>
          </cell>
          <cell r="AC6">
            <v>6430.2367270000004</v>
          </cell>
          <cell r="AD6">
            <v>6434.1659870000003</v>
          </cell>
          <cell r="AE6">
            <v>6438.2490150000003</v>
          </cell>
          <cell r="AF6">
            <v>6442.5170850000004</v>
          </cell>
          <cell r="AG6">
            <v>6447.1021030000002</v>
          </cell>
          <cell r="AH6">
            <v>6452.0683779999999</v>
          </cell>
          <cell r="AI6">
            <v>6457.5374680000004</v>
          </cell>
          <cell r="AJ6">
            <v>6463.6293020000003</v>
          </cell>
          <cell r="AK6">
            <v>6470.4444469999999</v>
          </cell>
          <cell r="AL6">
            <v>6476.5462879999995</v>
          </cell>
          <cell r="AM6">
            <v>6482.8260300000002</v>
          </cell>
          <cell r="AN6">
            <v>6489.5839319999995</v>
          </cell>
          <cell r="AO6">
            <v>6496.9038339999997</v>
          </cell>
          <cell r="AP6">
            <v>6504.7686910000002</v>
          </cell>
          <cell r="AQ6">
            <v>6513.1880899999996</v>
          </cell>
          <cell r="AR6">
            <v>6522.0099989999999</v>
          </cell>
          <cell r="AS6">
            <v>6531.13159</v>
          </cell>
          <cell r="AT6">
            <v>6540.4465970000001</v>
          </cell>
          <cell r="AU6">
            <v>6549.8660179999997</v>
          </cell>
          <cell r="AV6">
            <v>6560.098927</v>
          </cell>
          <cell r="AW6">
            <v>6571.3283229999997</v>
          </cell>
          <cell r="AX6">
            <v>6583.9654600000003</v>
          </cell>
          <cell r="AY6">
            <v>6598.2629660000002</v>
          </cell>
          <cell r="AZ6">
            <v>6614.2992029999996</v>
          </cell>
          <cell r="BA6">
            <v>6632.1850629999999</v>
          </cell>
          <cell r="BB6">
            <v>6651.6688759999997</v>
          </cell>
          <cell r="BC6">
            <v>6672.5939429999999</v>
          </cell>
          <cell r="BD6">
            <v>6694.8057529999996</v>
          </cell>
          <cell r="BE6">
            <v>6718.1633789999996</v>
          </cell>
        </row>
        <row r="7">
          <cell r="B7">
            <v>6537.0436380000001</v>
          </cell>
          <cell r="C7">
            <v>6520.5894909999997</v>
          </cell>
          <cell r="D7">
            <v>6493.4031530000002</v>
          </cell>
          <cell r="E7">
            <v>6466.5478659999999</v>
          </cell>
          <cell r="F7">
            <v>6443.1967690000001</v>
          </cell>
          <cell r="G7">
            <v>6427.578794</v>
          </cell>
          <cell r="H7">
            <v>6417.7670719999996</v>
          </cell>
          <cell r="I7">
            <v>6414.4662550000003</v>
          </cell>
          <cell r="J7">
            <v>6416.5245100000002</v>
          </cell>
          <cell r="K7">
            <v>6422.5833259999999</v>
          </cell>
          <cell r="L7">
            <v>6436.2886070000004</v>
          </cell>
          <cell r="M7">
            <v>6449.0609960000002</v>
          </cell>
          <cell r="N7">
            <v>6462.559878</v>
          </cell>
          <cell r="O7">
            <v>6476.9383120000002</v>
          </cell>
          <cell r="P7">
            <v>6492.1744010000002</v>
          </cell>
          <cell r="Q7">
            <v>6508.2038119999997</v>
          </cell>
          <cell r="R7">
            <v>6524.9661299999998</v>
          </cell>
          <cell r="S7">
            <v>6542.4181509999999</v>
          </cell>
          <cell r="T7">
            <v>6560.5347519999996</v>
          </cell>
          <cell r="U7">
            <v>6579.3055610000001</v>
          </cell>
          <cell r="V7">
            <v>6595.4415520000002</v>
          </cell>
          <cell r="W7">
            <v>6614.4165759999996</v>
          </cell>
          <cell r="X7">
            <v>6634.6810249999999</v>
          </cell>
          <cell r="Y7">
            <v>6655.9050260000004</v>
          </cell>
          <cell r="Z7">
            <v>6677.9569879999999</v>
          </cell>
          <cell r="AA7">
            <v>6691.5640119999998</v>
          </cell>
          <cell r="AB7">
            <v>6707.7074940000002</v>
          </cell>
          <cell r="AC7">
            <v>6724.818483</v>
          </cell>
          <cell r="AD7">
            <v>6742.7438959999999</v>
          </cell>
          <cell r="AE7">
            <v>6761.437895</v>
          </cell>
          <cell r="AF7">
            <v>6780.8923949999999</v>
          </cell>
          <cell r="AG7">
            <v>6801.1092230000004</v>
          </cell>
          <cell r="AH7">
            <v>6822.089508</v>
          </cell>
          <cell r="AI7">
            <v>6843.8304900000003</v>
          </cell>
          <cell r="AJ7">
            <v>6866.3256060000003</v>
          </cell>
          <cell r="AK7">
            <v>6889.5658409999996</v>
          </cell>
          <cell r="AL7">
            <v>6911.44553</v>
          </cell>
          <cell r="AM7">
            <v>6933.3502959999996</v>
          </cell>
          <cell r="AN7">
            <v>6955.6450000000004</v>
          </cell>
          <cell r="AO7">
            <v>6978.4908509999996</v>
          </cell>
          <cell r="AP7">
            <v>7001.9660899999999</v>
          </cell>
          <cell r="AQ7">
            <v>7026.1137319999998</v>
          </cell>
          <cell r="AR7">
            <v>7050.9595959999997</v>
          </cell>
          <cell r="AS7">
            <v>7076.5145419999999</v>
          </cell>
          <cell r="AT7">
            <v>7102.7650649999996</v>
          </cell>
          <cell r="AU7">
            <v>7129.6327620000002</v>
          </cell>
          <cell r="AV7">
            <v>7156.9146010000004</v>
          </cell>
          <cell r="AW7">
            <v>7184.3946409999999</v>
          </cell>
          <cell r="AX7">
            <v>7212.1427370000001</v>
          </cell>
          <cell r="AY7">
            <v>7240.3718779999999</v>
          </cell>
          <cell r="AZ7">
            <v>7269.277223</v>
          </cell>
          <cell r="BA7">
            <v>7298.9347470000002</v>
          </cell>
          <cell r="BB7">
            <v>7329.3326489999999</v>
          </cell>
          <cell r="BC7">
            <v>7360.4266459999999</v>
          </cell>
          <cell r="BD7">
            <v>7392.1751089999998</v>
          </cell>
          <cell r="BE7">
            <v>7424.5521490000001</v>
          </cell>
        </row>
        <row r="8">
          <cell r="B8">
            <v>154888.28469999999</v>
          </cell>
          <cell r="C8">
            <v>155488.1237</v>
          </cell>
          <cell r="D8">
            <v>156482.28769999999</v>
          </cell>
          <cell r="E8">
            <v>157841.00520000001</v>
          </cell>
          <cell r="F8">
            <v>159534.01949999999</v>
          </cell>
          <cell r="G8">
            <v>161518.1827</v>
          </cell>
          <cell r="H8">
            <v>163652.7267</v>
          </cell>
          <cell r="I8">
            <v>165945.54550000001</v>
          </cell>
          <cell r="J8">
            <v>168369.848</v>
          </cell>
          <cell r="K8">
            <v>170901.18299999999</v>
          </cell>
          <cell r="L8">
            <v>173681.935</v>
          </cell>
          <cell r="M8">
            <v>176436.5968</v>
          </cell>
          <cell r="N8">
            <v>179224.67120000001</v>
          </cell>
          <cell r="O8">
            <v>182041.13620000001</v>
          </cell>
          <cell r="P8">
            <v>184881.20759999999</v>
          </cell>
          <cell r="Q8">
            <v>187742.17550000001</v>
          </cell>
          <cell r="R8">
            <v>190610.51949999999</v>
          </cell>
          <cell r="S8">
            <v>193495.7519</v>
          </cell>
          <cell r="T8">
            <v>196399.73790000001</v>
          </cell>
          <cell r="U8">
            <v>199324.51019999999</v>
          </cell>
          <cell r="V8">
            <v>202152.00700000001</v>
          </cell>
          <cell r="W8">
            <v>205065.57519999999</v>
          </cell>
          <cell r="X8">
            <v>208021.15470000001</v>
          </cell>
          <cell r="Y8">
            <v>211017.63769999999</v>
          </cell>
          <cell r="Z8">
            <v>214055.33189999999</v>
          </cell>
          <cell r="AA8">
            <v>216789.31359999999</v>
          </cell>
          <cell r="AB8">
            <v>219580.74400000001</v>
          </cell>
          <cell r="AC8">
            <v>222375.72349999999</v>
          </cell>
          <cell r="AD8">
            <v>225185.14619999999</v>
          </cell>
          <cell r="AE8">
            <v>228020.3192</v>
          </cell>
          <cell r="AF8">
            <v>230890.4234</v>
          </cell>
          <cell r="AG8">
            <v>233804.99100000001</v>
          </cell>
          <cell r="AH8">
            <v>236766.42139999999</v>
          </cell>
          <cell r="AI8">
            <v>239777.17730000001</v>
          </cell>
          <cell r="AJ8">
            <v>242838.5129</v>
          </cell>
          <cell r="AK8">
            <v>245950.90530000001</v>
          </cell>
          <cell r="AL8">
            <v>249057.2261</v>
          </cell>
          <cell r="AM8">
            <v>252179.99280000001</v>
          </cell>
          <cell r="AN8">
            <v>255327.11600000001</v>
          </cell>
          <cell r="AO8">
            <v>258504.88959999999</v>
          </cell>
          <cell r="AP8">
            <v>261718.9192</v>
          </cell>
          <cell r="AQ8">
            <v>264978.11109999998</v>
          </cell>
          <cell r="AR8">
            <v>268283.45909999998</v>
          </cell>
          <cell r="AS8">
            <v>271637.44579999999</v>
          </cell>
          <cell r="AT8">
            <v>275041.68890000001</v>
          </cell>
          <cell r="AU8">
            <v>278497.11070000002</v>
          </cell>
          <cell r="AV8">
            <v>282025.34779999999</v>
          </cell>
          <cell r="AW8">
            <v>285612.9558</v>
          </cell>
          <cell r="AX8">
            <v>289257.56430000003</v>
          </cell>
          <cell r="AY8">
            <v>292957.27529999998</v>
          </cell>
          <cell r="AZ8">
            <v>296710.6605</v>
          </cell>
          <cell r="BA8">
            <v>300525.55859999999</v>
          </cell>
          <cell r="BB8">
            <v>304395.41039999999</v>
          </cell>
          <cell r="BC8">
            <v>308319.28029999998</v>
          </cell>
          <cell r="BD8">
            <v>312296.65740000003</v>
          </cell>
          <cell r="BE8">
            <v>316327.40029999998</v>
          </cell>
        </row>
        <row r="9">
          <cell r="B9">
            <v>157864.05040000001</v>
          </cell>
          <cell r="C9">
            <v>159519.2034</v>
          </cell>
          <cell r="D9">
            <v>161394.6177</v>
          </cell>
          <cell r="E9">
            <v>163504.99280000001</v>
          </cell>
          <cell r="F9">
            <v>165840.0484</v>
          </cell>
          <cell r="G9">
            <v>168370.1183</v>
          </cell>
          <cell r="H9">
            <v>170966.9197</v>
          </cell>
          <cell r="I9">
            <v>173653.30300000001</v>
          </cell>
          <cell r="J9">
            <v>176418.4368</v>
          </cell>
          <cell r="K9">
            <v>179252.5105</v>
          </cell>
          <cell r="L9">
            <v>182317.94149999999</v>
          </cell>
          <cell r="M9">
            <v>185349.57930000001</v>
          </cell>
          <cell r="N9">
            <v>188408.7671</v>
          </cell>
          <cell r="O9">
            <v>191494.78899999999</v>
          </cell>
          <cell r="P9">
            <v>194605.95680000001</v>
          </cell>
          <cell r="Q9">
            <v>197741.82949999999</v>
          </cell>
          <cell r="R9">
            <v>200903.23319999999</v>
          </cell>
          <cell r="S9">
            <v>204091.86350000001</v>
          </cell>
          <cell r="T9">
            <v>207309.89920000001</v>
          </cell>
          <cell r="U9">
            <v>210559.7211</v>
          </cell>
          <cell r="V9">
            <v>213716.65770000001</v>
          </cell>
          <cell r="W9">
            <v>216974.95430000001</v>
          </cell>
          <cell r="X9">
            <v>220287.45509999999</v>
          </cell>
          <cell r="Y9">
            <v>223653.40729999999</v>
          </cell>
          <cell r="Z9">
            <v>227073.32709999999</v>
          </cell>
          <cell r="AA9">
            <v>230179.86369999999</v>
          </cell>
          <cell r="AB9">
            <v>233353.08739999999</v>
          </cell>
          <cell r="AC9">
            <v>236537.01569999999</v>
          </cell>
          <cell r="AD9">
            <v>239743.33540000001</v>
          </cell>
          <cell r="AE9">
            <v>242984.073</v>
          </cell>
          <cell r="AF9">
            <v>246268.87479999999</v>
          </cell>
          <cell r="AG9">
            <v>249604.6557</v>
          </cell>
          <cell r="AH9">
            <v>252995.94390000001</v>
          </cell>
          <cell r="AI9">
            <v>256445.4191</v>
          </cell>
          <cell r="AJ9">
            <v>259954.4564</v>
          </cell>
          <cell r="AK9">
            <v>263523.5955</v>
          </cell>
          <cell r="AL9">
            <v>267063.73249999998</v>
          </cell>
          <cell r="AM9">
            <v>270619.22659999999</v>
          </cell>
          <cell r="AN9">
            <v>274200.2757</v>
          </cell>
          <cell r="AO9">
            <v>277815.17</v>
          </cell>
          <cell r="AP9">
            <v>281471.26049999997</v>
          </cell>
          <cell r="AQ9">
            <v>285174.81770000001</v>
          </cell>
          <cell r="AR9">
            <v>288930.87300000002</v>
          </cell>
          <cell r="AS9">
            <v>292743.22029999999</v>
          </cell>
          <cell r="AT9">
            <v>296614.5613</v>
          </cell>
          <cell r="AU9">
            <v>300546.74290000001</v>
          </cell>
          <cell r="AV9">
            <v>304549.22220000002</v>
          </cell>
          <cell r="AW9">
            <v>308619.06189999997</v>
          </cell>
          <cell r="AX9">
            <v>312756.04599999997</v>
          </cell>
          <cell r="AY9">
            <v>316959.22320000001</v>
          </cell>
          <cell r="AZ9">
            <v>321227.69349999999</v>
          </cell>
          <cell r="BA9">
            <v>325560.97019999998</v>
          </cell>
          <cell r="BB9">
            <v>329958.94530000002</v>
          </cell>
          <cell r="BC9">
            <v>334421.78989999997</v>
          </cell>
          <cell r="BD9">
            <v>338949.87339999998</v>
          </cell>
          <cell r="BE9">
            <v>343543.70640000002</v>
          </cell>
        </row>
        <row r="10">
          <cell r="B10">
            <v>119867.0825</v>
          </cell>
          <cell r="C10">
            <v>121753.2031</v>
          </cell>
          <cell r="D10">
            <v>124081.1277</v>
          </cell>
          <cell r="E10">
            <v>126409.1078</v>
          </cell>
          <cell r="F10">
            <v>128625.83869999999</v>
          </cell>
          <cell r="G10">
            <v>130719.4779</v>
          </cell>
          <cell r="H10">
            <v>132591.2476</v>
          </cell>
          <cell r="I10">
            <v>134381.23629999999</v>
          </cell>
          <cell r="J10">
            <v>136121.1</v>
          </cell>
          <cell r="K10">
            <v>137830.9987</v>
          </cell>
          <cell r="L10">
            <v>139721.6807</v>
          </cell>
          <cell r="M10">
            <v>141391.0534</v>
          </cell>
          <cell r="N10">
            <v>143041.85740000001</v>
          </cell>
          <cell r="O10">
            <v>144686.19190000001</v>
          </cell>
          <cell r="P10">
            <v>146330.93179999999</v>
          </cell>
          <cell r="Q10">
            <v>147981.02050000001</v>
          </cell>
          <cell r="R10">
            <v>149613.51689999999</v>
          </cell>
          <cell r="S10">
            <v>151258.92739999999</v>
          </cell>
          <cell r="T10">
            <v>152921.54</v>
          </cell>
          <cell r="U10">
            <v>154604.7132</v>
          </cell>
          <cell r="V10">
            <v>156168.76180000001</v>
          </cell>
          <cell r="W10">
            <v>157892.15779999999</v>
          </cell>
          <cell r="X10">
            <v>159652.9111</v>
          </cell>
          <cell r="Y10">
            <v>161447.37520000001</v>
          </cell>
          <cell r="Z10">
            <v>163274.7304</v>
          </cell>
          <cell r="AA10">
            <v>164730.1972</v>
          </cell>
          <cell r="AB10">
            <v>166417.30549999999</v>
          </cell>
          <cell r="AC10">
            <v>168150.24309999999</v>
          </cell>
          <cell r="AD10">
            <v>169926.24720000001</v>
          </cell>
          <cell r="AE10">
            <v>171744.13639999999</v>
          </cell>
          <cell r="AF10">
            <v>173602.80119999999</v>
          </cell>
          <cell r="AG10">
            <v>175507.0448</v>
          </cell>
          <cell r="AH10">
            <v>177449.57320000001</v>
          </cell>
          <cell r="AI10">
            <v>179428.72640000001</v>
          </cell>
          <cell r="AJ10">
            <v>181443.02069999999</v>
          </cell>
          <cell r="AK10">
            <v>183491.15239999999</v>
          </cell>
          <cell r="AL10">
            <v>185529.9786</v>
          </cell>
          <cell r="AM10">
            <v>187594.78020000001</v>
          </cell>
          <cell r="AN10">
            <v>189688.90539999999</v>
          </cell>
          <cell r="AO10">
            <v>191813.4333</v>
          </cell>
          <cell r="AP10">
            <v>193968.62479999999</v>
          </cell>
          <cell r="AQ10">
            <v>196162.97589999999</v>
          </cell>
          <cell r="AR10">
            <v>198387.98670000001</v>
          </cell>
          <cell r="AS10">
            <v>200642.95360000001</v>
          </cell>
          <cell r="AT10">
            <v>202927.3075</v>
          </cell>
          <cell r="AU10">
            <v>205240.59030000001</v>
          </cell>
          <cell r="AV10">
            <v>207620.0931</v>
          </cell>
          <cell r="AW10">
            <v>210029.9333</v>
          </cell>
          <cell r="AX10">
            <v>212468.27480000001</v>
          </cell>
          <cell r="AY10">
            <v>214934.2959</v>
          </cell>
          <cell r="AZ10">
            <v>217427.77729999999</v>
          </cell>
          <cell r="BA10">
            <v>219967.15950000001</v>
          </cell>
          <cell r="BB10">
            <v>222535.52160000001</v>
          </cell>
          <cell r="BC10">
            <v>225132.65150000001</v>
          </cell>
          <cell r="BD10">
            <v>227758.74299999999</v>
          </cell>
          <cell r="BE10">
            <v>230414.22399999999</v>
          </cell>
        </row>
        <row r="11">
          <cell r="B11">
            <v>125926.7249</v>
          </cell>
          <cell r="C11">
            <v>128329.38370000001</v>
          </cell>
          <cell r="D11">
            <v>131029.2882</v>
          </cell>
          <cell r="E11">
            <v>133658.57019999999</v>
          </cell>
          <cell r="F11">
            <v>136145.41740000001</v>
          </cell>
          <cell r="G11">
            <v>138504.73240000001</v>
          </cell>
          <cell r="H11">
            <v>140655.02530000001</v>
          </cell>
          <cell r="I11">
            <v>142745.69209999999</v>
          </cell>
          <cell r="J11">
            <v>144813.21160000001</v>
          </cell>
          <cell r="K11">
            <v>146879.68369999999</v>
          </cell>
          <cell r="L11">
            <v>149169.66269999999</v>
          </cell>
          <cell r="M11">
            <v>151281.39749999999</v>
          </cell>
          <cell r="N11">
            <v>153401.5632</v>
          </cell>
          <cell r="O11">
            <v>155539.91560000001</v>
          </cell>
          <cell r="P11">
            <v>157701.51790000001</v>
          </cell>
          <cell r="Q11">
            <v>159889.83360000001</v>
          </cell>
          <cell r="R11">
            <v>162107.6937</v>
          </cell>
          <cell r="S11">
            <v>164357.63029999999</v>
          </cell>
          <cell r="T11">
            <v>166641.97700000001</v>
          </cell>
          <cell r="U11">
            <v>168962.8854</v>
          </cell>
          <cell r="V11">
            <v>171165.92540000001</v>
          </cell>
          <cell r="W11">
            <v>173554.7426</v>
          </cell>
          <cell r="X11">
            <v>175995.3352</v>
          </cell>
          <cell r="Y11">
            <v>178483.4901</v>
          </cell>
          <cell r="Z11">
            <v>181017.90359999999</v>
          </cell>
          <cell r="AA11">
            <v>183147.2536</v>
          </cell>
          <cell r="AB11">
            <v>185528.3976</v>
          </cell>
          <cell r="AC11">
            <v>187966.56520000001</v>
          </cell>
          <cell r="AD11">
            <v>190459.27489999999</v>
          </cell>
          <cell r="AE11">
            <v>193005.44990000001</v>
          </cell>
          <cell r="AF11">
            <v>195603.94529999999</v>
          </cell>
          <cell r="AG11">
            <v>198253.39139999999</v>
          </cell>
          <cell r="AH11">
            <v>200952.27530000001</v>
          </cell>
          <cell r="AI11">
            <v>203699.06080000001</v>
          </cell>
          <cell r="AJ11">
            <v>206492.29509999999</v>
          </cell>
          <cell r="AK11">
            <v>209330.68859999999</v>
          </cell>
          <cell r="AL11">
            <v>212103.88709999999</v>
          </cell>
          <cell r="AM11">
            <v>214911.7121</v>
          </cell>
          <cell r="AN11">
            <v>217760.11780000001</v>
          </cell>
          <cell r="AO11">
            <v>220651.5013</v>
          </cell>
          <cell r="AP11">
            <v>223586.7561</v>
          </cell>
          <cell r="AQ11">
            <v>226566.0159</v>
          </cell>
          <cell r="AR11">
            <v>229589.00899999999</v>
          </cell>
          <cell r="AS11">
            <v>232655.25940000001</v>
          </cell>
          <cell r="AT11">
            <v>235764.2162</v>
          </cell>
          <cell r="AU11">
            <v>238915.34160000001</v>
          </cell>
          <cell r="AV11">
            <v>242118.08549999999</v>
          </cell>
          <cell r="AW11">
            <v>245362.93350000001</v>
          </cell>
          <cell r="AX11">
            <v>248649.0785</v>
          </cell>
          <cell r="AY11">
            <v>251976.1557</v>
          </cell>
          <cell r="AZ11">
            <v>255344.07279999999</v>
          </cell>
          <cell r="BA11">
            <v>258752.94880000001</v>
          </cell>
          <cell r="BB11">
            <v>262203.06699999998</v>
          </cell>
          <cell r="BC11">
            <v>265694.83110000001</v>
          </cell>
          <cell r="BD11">
            <v>269228.72820000001</v>
          </cell>
          <cell r="BE11">
            <v>272805.29950000002</v>
          </cell>
        </row>
        <row r="12">
          <cell r="B12">
            <v>21685.82445</v>
          </cell>
          <cell r="C12">
            <v>21828.960470000002</v>
          </cell>
          <cell r="D12">
            <v>22037.437000000002</v>
          </cell>
          <cell r="E12">
            <v>22287.458030000002</v>
          </cell>
          <cell r="F12">
            <v>22568.769130000001</v>
          </cell>
          <cell r="G12">
            <v>22874.52376</v>
          </cell>
          <cell r="H12">
            <v>23187.561740000001</v>
          </cell>
          <cell r="I12">
            <v>23511.24236</v>
          </cell>
          <cell r="J12">
            <v>23844.446339999999</v>
          </cell>
          <cell r="K12">
            <v>24186.08152</v>
          </cell>
          <cell r="L12">
            <v>24555.92755</v>
          </cell>
          <cell r="M12">
            <v>24919.23199</v>
          </cell>
          <cell r="N12">
            <v>25285.81077</v>
          </cell>
          <cell r="O12">
            <v>25656.34204</v>
          </cell>
          <cell r="P12">
            <v>26031.15321</v>
          </cell>
          <cell r="Q12">
            <v>26410.578689999998</v>
          </cell>
          <cell r="R12">
            <v>26793.058980000002</v>
          </cell>
          <cell r="S12">
            <v>27180.588909999999</v>
          </cell>
          <cell r="T12">
            <v>27573.863310000001</v>
          </cell>
          <cell r="U12">
            <v>27973.49008</v>
          </cell>
          <cell r="V12">
            <v>28364.820329999999</v>
          </cell>
          <cell r="W12">
            <v>28771.788199999999</v>
          </cell>
          <cell r="X12">
            <v>29188.345819999999</v>
          </cell>
          <cell r="Y12">
            <v>29614.238679999999</v>
          </cell>
          <cell r="Z12">
            <v>30049.48631</v>
          </cell>
          <cell r="AA12">
            <v>30450.566589999999</v>
          </cell>
          <cell r="AB12">
            <v>30864.651839999999</v>
          </cell>
          <cell r="AC12">
            <v>31283.616989999999</v>
          </cell>
          <cell r="AD12">
            <v>31707.928769999999</v>
          </cell>
          <cell r="AE12">
            <v>32138.209620000001</v>
          </cell>
          <cell r="AF12">
            <v>32574.972460000001</v>
          </cell>
          <cell r="AG12">
            <v>33019.008840000002</v>
          </cell>
          <cell r="AH12">
            <v>33470.160839999997</v>
          </cell>
          <cell r="AI12">
            <v>33928.408360000001</v>
          </cell>
          <cell r="AJ12">
            <v>34393.632510000003</v>
          </cell>
          <cell r="AK12">
            <v>34865.644209999999</v>
          </cell>
          <cell r="AL12">
            <v>35337.739990000002</v>
          </cell>
          <cell r="AM12">
            <v>35812.192060000001</v>
          </cell>
          <cell r="AN12">
            <v>36289.547579999999</v>
          </cell>
          <cell r="AO12">
            <v>36770.11952</v>
          </cell>
          <cell r="AP12">
            <v>37254.143459999999</v>
          </cell>
          <cell r="AQ12">
            <v>37742.461470000002</v>
          </cell>
          <cell r="AR12">
            <v>38234.784379999997</v>
          </cell>
          <cell r="AS12">
            <v>38731.177490000002</v>
          </cell>
          <cell r="AT12">
            <v>39231.685510000003</v>
          </cell>
          <cell r="AU12">
            <v>39736.329660000003</v>
          </cell>
          <cell r="AV12">
            <v>40248.24641</v>
          </cell>
          <cell r="AW12">
            <v>40765.407449999999</v>
          </cell>
          <cell r="AX12">
            <v>41287.493190000001</v>
          </cell>
          <cell r="AY12">
            <v>41814.304400000001</v>
          </cell>
          <cell r="AZ12">
            <v>42345.726240000004</v>
          </cell>
          <cell r="BA12">
            <v>42883.103369999997</v>
          </cell>
          <cell r="BB12">
            <v>43425.507100000003</v>
          </cell>
          <cell r="BC12">
            <v>43972.884299999998</v>
          </cell>
          <cell r="BD12">
            <v>44525.26425</v>
          </cell>
          <cell r="BE12">
            <v>45082.73674</v>
          </cell>
        </row>
        <row r="13">
          <cell r="B13">
            <v>22135.232380000001</v>
          </cell>
          <cell r="C13">
            <v>22414.733619999999</v>
          </cell>
          <cell r="D13">
            <v>22724.067210000001</v>
          </cell>
          <cell r="E13">
            <v>23057.36521</v>
          </cell>
          <cell r="F13">
            <v>23411.98029</v>
          </cell>
          <cell r="G13">
            <v>23785.15899</v>
          </cell>
          <cell r="H13">
            <v>24162.095359999999</v>
          </cell>
          <cell r="I13">
            <v>24547.67628</v>
          </cell>
          <cell r="J13">
            <v>24941.930359999998</v>
          </cell>
          <cell r="K13">
            <v>25344.723379999999</v>
          </cell>
          <cell r="L13">
            <v>25777.720209999999</v>
          </cell>
          <cell r="M13">
            <v>26207.088159999999</v>
          </cell>
          <cell r="N13">
            <v>26642.201160000001</v>
          </cell>
          <cell r="O13">
            <v>27083.857019999999</v>
          </cell>
          <cell r="P13">
            <v>27532.431229999998</v>
          </cell>
          <cell r="Q13">
            <v>27988.230100000001</v>
          </cell>
          <cell r="R13">
            <v>28451.57444</v>
          </cell>
          <cell r="S13">
            <v>28922.808069999999</v>
          </cell>
          <cell r="T13">
            <v>29402.282179999998</v>
          </cell>
          <cell r="U13">
            <v>29890.334579999999</v>
          </cell>
          <cell r="V13">
            <v>30371.02665</v>
          </cell>
          <cell r="W13">
            <v>30869.647540000002</v>
          </cell>
          <cell r="X13">
            <v>31379.448810000002</v>
          </cell>
          <cell r="Y13">
            <v>31899.99396</v>
          </cell>
          <cell r="Z13">
            <v>32431.131140000001</v>
          </cell>
          <cell r="AA13">
            <v>32925.675029999999</v>
          </cell>
          <cell r="AB13">
            <v>33433.45321</v>
          </cell>
          <cell r="AC13">
            <v>33945.950409999998</v>
          </cell>
          <cell r="AD13">
            <v>34463.59618</v>
          </cell>
          <cell r="AE13">
            <v>34986.973769999997</v>
          </cell>
          <cell r="AF13">
            <v>35516.543339999997</v>
          </cell>
          <cell r="AG13">
            <v>36052.581729999998</v>
          </cell>
          <cell r="AH13">
            <v>36595.184840000002</v>
          </cell>
          <cell r="AI13">
            <v>37144.296199999997</v>
          </cell>
          <cell r="AJ13">
            <v>37699.746870000003</v>
          </cell>
          <cell r="AK13">
            <v>38261.297070000001</v>
          </cell>
          <cell r="AL13">
            <v>38817.180899999999</v>
          </cell>
          <cell r="AM13">
            <v>39373.111060000003</v>
          </cell>
          <cell r="AN13">
            <v>39930.039819999998</v>
          </cell>
          <cell r="AO13">
            <v>40488.556349999999</v>
          </cell>
          <cell r="AP13">
            <v>41049.11591</v>
          </cell>
          <cell r="AQ13">
            <v>41612.09446</v>
          </cell>
          <cell r="AR13">
            <v>42177.80169</v>
          </cell>
          <cell r="AS13">
            <v>42746.48691</v>
          </cell>
          <cell r="AT13">
            <v>43318.347800000003</v>
          </cell>
          <cell r="AU13">
            <v>43893.543969999999</v>
          </cell>
          <cell r="AV13">
            <v>44473.263610000002</v>
          </cell>
          <cell r="AW13">
            <v>45057.092329999999</v>
          </cell>
          <cell r="AX13">
            <v>45645.058349999999</v>
          </cell>
          <cell r="AY13">
            <v>46237.224869999998</v>
          </cell>
          <cell r="AZ13">
            <v>46833.692779999998</v>
          </cell>
          <cell r="BA13">
            <v>47434.609109999998</v>
          </cell>
          <cell r="BB13">
            <v>48040.167679999999</v>
          </cell>
          <cell r="BC13">
            <v>48650.605969999997</v>
          </cell>
          <cell r="BD13">
            <v>49266.200149999997</v>
          </cell>
          <cell r="BE13">
            <v>49887.259180000001</v>
          </cell>
        </row>
        <row r="14">
          <cell r="B14">
            <v>15829.52541</v>
          </cell>
          <cell r="C14">
            <v>15924.24602</v>
          </cell>
          <cell r="D14">
            <v>16074.535610000001</v>
          </cell>
          <cell r="E14">
            <v>16258.034960000001</v>
          </cell>
          <cell r="F14">
            <v>16467.546750000001</v>
          </cell>
          <cell r="G14">
            <v>16697.943729999999</v>
          </cell>
          <cell r="H14">
            <v>16932.934079999999</v>
          </cell>
          <cell r="I14">
            <v>17177.665809999999</v>
          </cell>
          <cell r="J14">
            <v>17430.18605</v>
          </cell>
          <cell r="K14">
            <v>17688.54567</v>
          </cell>
          <cell r="L14">
            <v>17971.183529999998</v>
          </cell>
          <cell r="M14">
            <v>18239.97595</v>
          </cell>
          <cell r="N14">
            <v>18508.608219999998</v>
          </cell>
          <cell r="O14">
            <v>18777.433830000002</v>
          </cell>
          <cell r="P14">
            <v>19046.443429999999</v>
          </cell>
          <cell r="Q14">
            <v>19315.73343</v>
          </cell>
          <cell r="R14">
            <v>19583.333019999998</v>
          </cell>
          <cell r="S14">
            <v>19851.585149999999</v>
          </cell>
          <cell r="T14">
            <v>20121.062539999999</v>
          </cell>
          <cell r="U14">
            <v>20392.28859</v>
          </cell>
          <cell r="V14">
            <v>20651.11045</v>
          </cell>
          <cell r="W14">
            <v>20923.335159999999</v>
          </cell>
          <cell r="X14">
            <v>21200.186880000001</v>
          </cell>
          <cell r="Y14">
            <v>21481.478719999999</v>
          </cell>
          <cell r="Z14">
            <v>21767.385920000001</v>
          </cell>
          <cell r="AA14">
            <v>22016.228090000001</v>
          </cell>
          <cell r="AB14">
            <v>22281.44399</v>
          </cell>
          <cell r="AC14">
            <v>22550.287420000001</v>
          </cell>
          <cell r="AD14">
            <v>22823.033960000001</v>
          </cell>
          <cell r="AE14">
            <v>23100.32588</v>
          </cell>
          <cell r="AF14">
            <v>23382.726630000001</v>
          </cell>
          <cell r="AG14">
            <v>23671.134539999999</v>
          </cell>
          <cell r="AH14">
            <v>23965.351449999998</v>
          </cell>
          <cell r="AI14">
            <v>24265.44572</v>
          </cell>
          <cell r="AJ14">
            <v>24571.40209</v>
          </cell>
          <cell r="AK14">
            <v>24883.144199999999</v>
          </cell>
          <cell r="AL14">
            <v>25195.000639999998</v>
          </cell>
          <cell r="AM14">
            <v>25510.091</v>
          </cell>
          <cell r="AN14">
            <v>25828.963110000001</v>
          </cell>
          <cell r="AO14">
            <v>26151.92049</v>
          </cell>
          <cell r="AP14">
            <v>26479.199639999999</v>
          </cell>
          <cell r="AQ14">
            <v>26811.70696</v>
          </cell>
          <cell r="AR14">
            <v>27148.987730000001</v>
          </cell>
          <cell r="AS14">
            <v>27491.094379999999</v>
          </cell>
          <cell r="AT14">
            <v>27838.054889999999</v>
          </cell>
          <cell r="AU14">
            <v>28189.867890000001</v>
          </cell>
          <cell r="AV14">
            <v>28549.823960000002</v>
          </cell>
          <cell r="AW14">
            <v>28915.203409999998</v>
          </cell>
          <cell r="AX14">
            <v>29285.710370000001</v>
          </cell>
          <cell r="AY14">
            <v>29661.169709999998</v>
          </cell>
          <cell r="AZ14">
            <v>30041.464250000001</v>
          </cell>
          <cell r="BA14">
            <v>30428.04797</v>
          </cell>
          <cell r="BB14">
            <v>30819.617200000001</v>
          </cell>
          <cell r="BC14">
            <v>31216.072550000001</v>
          </cell>
          <cell r="BD14">
            <v>31617.387129999999</v>
          </cell>
          <cell r="BE14">
            <v>32023.573960000002</v>
          </cell>
        </row>
        <row r="15">
          <cell r="B15">
            <v>16338.4899</v>
          </cell>
          <cell r="C15">
            <v>16530.087790000001</v>
          </cell>
          <cell r="D15">
            <v>16748.270390000001</v>
          </cell>
          <cell r="E15">
            <v>16986.67972</v>
          </cell>
          <cell r="F15">
            <v>17242.737809999999</v>
          </cell>
          <cell r="G15">
            <v>17513.36695</v>
          </cell>
          <cell r="H15">
            <v>17783.64213</v>
          </cell>
          <cell r="I15">
            <v>18060.022229999999</v>
          </cell>
          <cell r="J15">
            <v>18341.854739999999</v>
          </cell>
          <cell r="K15">
            <v>18628.39847</v>
          </cell>
          <cell r="L15">
            <v>18940.293570000002</v>
          </cell>
          <cell r="M15">
            <v>19240.397870000001</v>
          </cell>
          <cell r="N15">
            <v>19541.91863</v>
          </cell>
          <cell r="O15">
            <v>19845.5236</v>
          </cell>
          <cell r="P15">
            <v>20151.425309999999</v>
          </cell>
          <cell r="Q15">
            <v>20459.847160000001</v>
          </cell>
          <cell r="R15">
            <v>20771.09088</v>
          </cell>
          <cell r="S15">
            <v>21085.520649999999</v>
          </cell>
          <cell r="T15">
            <v>21403.533510000001</v>
          </cell>
          <cell r="U15">
            <v>21725.533100000001</v>
          </cell>
          <cell r="V15">
            <v>22036.169249999999</v>
          </cell>
          <cell r="W15">
            <v>22363.016039999999</v>
          </cell>
          <cell r="X15">
            <v>22696.441129999999</v>
          </cell>
          <cell r="Y15">
            <v>23036.149069999999</v>
          </cell>
          <cell r="Z15">
            <v>23382.221000000001</v>
          </cell>
          <cell r="AA15">
            <v>23689.30013</v>
          </cell>
          <cell r="AB15">
            <v>24014.405159999998</v>
          </cell>
          <cell r="AC15">
            <v>24344.25231</v>
          </cell>
          <cell r="AD15">
            <v>24679.116999999998</v>
          </cell>
          <cell r="AE15">
            <v>25019.646239999998</v>
          </cell>
          <cell r="AF15">
            <v>25366.401809999999</v>
          </cell>
          <cell r="AG15">
            <v>25719.773499999999</v>
          </cell>
          <cell r="AH15">
            <v>26079.983520000002</v>
          </cell>
          <cell r="AI15">
            <v>26447.117549999999</v>
          </cell>
          <cell r="AJ15">
            <v>26821.16216</v>
          </cell>
          <cell r="AK15">
            <v>27202.040120000001</v>
          </cell>
          <cell r="AL15">
            <v>27578.586770000002</v>
          </cell>
          <cell r="AM15">
            <v>27958.581269999999</v>
          </cell>
          <cell r="AN15">
            <v>28342.914529999998</v>
          </cell>
          <cell r="AO15">
            <v>28732.080320000001</v>
          </cell>
          <cell r="AP15">
            <v>29126.460609999998</v>
          </cell>
          <cell r="AQ15">
            <v>29526.366979999999</v>
          </cell>
          <cell r="AR15">
            <v>29932.040789999999</v>
          </cell>
          <cell r="AS15">
            <v>30343.65353</v>
          </cell>
          <cell r="AT15">
            <v>30761.314170000001</v>
          </cell>
          <cell r="AU15">
            <v>31185.082760000001</v>
          </cell>
          <cell r="AV15">
            <v>31615.999110000001</v>
          </cell>
          <cell r="AW15">
            <v>32053.36117</v>
          </cell>
          <cell r="AX15">
            <v>32497.081760000001</v>
          </cell>
          <cell r="AY15">
            <v>32947.07344</v>
          </cell>
          <cell r="AZ15">
            <v>33403.263469999998</v>
          </cell>
          <cell r="BA15">
            <v>33865.610180000003</v>
          </cell>
          <cell r="BB15">
            <v>34334.10297</v>
          </cell>
          <cell r="BC15">
            <v>34808.757610000001</v>
          </cell>
          <cell r="BD15">
            <v>35289.611389999998</v>
          </cell>
          <cell r="BE15">
            <v>35776.718800000002</v>
          </cell>
        </row>
        <row r="16">
          <cell r="B16">
            <v>83606.61606</v>
          </cell>
          <cell r="C16">
            <v>84229.002779999995</v>
          </cell>
          <cell r="D16">
            <v>85121.74613</v>
          </cell>
          <cell r="E16">
            <v>86157.202720000001</v>
          </cell>
          <cell r="F16">
            <v>87304.760169999994</v>
          </cell>
          <cell r="G16">
            <v>88542.499370000005</v>
          </cell>
          <cell r="H16">
            <v>89777.291459999993</v>
          </cell>
          <cell r="I16">
            <v>91055.561109999995</v>
          </cell>
          <cell r="J16">
            <v>92366.826409999994</v>
          </cell>
          <cell r="K16">
            <v>93701.184229999999</v>
          </cell>
          <cell r="L16">
            <v>95173.052769999995</v>
          </cell>
          <cell r="M16">
            <v>96533.786139999997</v>
          </cell>
          <cell r="N16">
            <v>97892.062760000001</v>
          </cell>
          <cell r="O16">
            <v>99248.821580000003</v>
          </cell>
          <cell r="P16">
            <v>100604.0076</v>
          </cell>
          <cell r="Q16">
            <v>101958.3567</v>
          </cell>
          <cell r="R16">
            <v>103297.8812</v>
          </cell>
          <cell r="S16">
            <v>104639.7372</v>
          </cell>
          <cell r="T16">
            <v>105987.09759999999</v>
          </cell>
          <cell r="U16">
            <v>107342.9632</v>
          </cell>
          <cell r="V16">
            <v>108621.21739999999</v>
          </cell>
          <cell r="W16">
            <v>109990.2825</v>
          </cell>
          <cell r="X16">
            <v>111381.18919999999</v>
          </cell>
          <cell r="Y16">
            <v>112794.2735</v>
          </cell>
          <cell r="Z16">
            <v>114231.1192</v>
          </cell>
          <cell r="AA16">
            <v>115439.2671</v>
          </cell>
          <cell r="AB16">
            <v>116777.2993</v>
          </cell>
          <cell r="AC16">
            <v>118138.03019999999</v>
          </cell>
          <cell r="AD16">
            <v>119522.6045</v>
          </cell>
          <cell r="AE16">
            <v>120933.6063</v>
          </cell>
          <cell r="AF16">
            <v>122373.25410000001</v>
          </cell>
          <cell r="AG16">
            <v>123846.568</v>
          </cell>
          <cell r="AH16">
            <v>125351.11659999999</v>
          </cell>
          <cell r="AI16">
            <v>126887.0478</v>
          </cell>
          <cell r="AJ16">
            <v>128454.14810000001</v>
          </cell>
          <cell r="AK16">
            <v>130051.92600000001</v>
          </cell>
          <cell r="AL16">
            <v>131650.18950000001</v>
          </cell>
          <cell r="AM16">
            <v>133270.03810000001</v>
          </cell>
          <cell r="AN16">
            <v>134912.8541</v>
          </cell>
          <cell r="AO16">
            <v>136579.28940000001</v>
          </cell>
          <cell r="AP16">
            <v>138269.82370000001</v>
          </cell>
          <cell r="AQ16">
            <v>139989.7893</v>
          </cell>
          <cell r="AR16">
            <v>141734.88399999999</v>
          </cell>
          <cell r="AS16">
            <v>143505.05410000001</v>
          </cell>
          <cell r="AT16">
            <v>145300.21340000001</v>
          </cell>
          <cell r="AU16">
            <v>147120.2034</v>
          </cell>
          <cell r="AV16">
            <v>148987.054</v>
          </cell>
          <cell r="AW16">
            <v>150880.54699999999</v>
          </cell>
          <cell r="AX16">
            <v>152799.53090000001</v>
          </cell>
          <cell r="AY16">
            <v>154743.35620000001</v>
          </cell>
          <cell r="AZ16">
            <v>156711.5865</v>
          </cell>
          <cell r="BA16">
            <v>158714.5368</v>
          </cell>
          <cell r="BB16">
            <v>160742.48509999999</v>
          </cell>
          <cell r="BC16">
            <v>162795.08869999999</v>
          </cell>
          <cell r="BD16">
            <v>164872.32089999999</v>
          </cell>
          <cell r="BE16">
            <v>166974.31450000001</v>
          </cell>
        </row>
        <row r="17">
          <cell r="B17">
            <v>87184.058229999995</v>
          </cell>
          <cell r="C17">
            <v>88262.675369999997</v>
          </cell>
          <cell r="D17">
            <v>89492.640509999997</v>
          </cell>
          <cell r="E17">
            <v>90815.614600000001</v>
          </cell>
          <cell r="F17">
            <v>92218.382190000004</v>
          </cell>
          <cell r="G17">
            <v>93686.525450000001</v>
          </cell>
          <cell r="H17">
            <v>95132.285199999998</v>
          </cell>
          <cell r="I17">
            <v>96608.066040000005</v>
          </cell>
          <cell r="J17">
            <v>98109.463910000006</v>
          </cell>
          <cell r="K17">
            <v>99632.332079999993</v>
          </cell>
          <cell r="L17">
            <v>101304.4379</v>
          </cell>
          <cell r="M17">
            <v>102881.2464</v>
          </cell>
          <cell r="N17">
            <v>104466.7016</v>
          </cell>
          <cell r="O17">
            <v>106063.4531</v>
          </cell>
          <cell r="P17">
            <v>107672.6203</v>
          </cell>
          <cell r="Q17">
            <v>109295.5672</v>
          </cell>
          <cell r="R17">
            <v>110934.08689999999</v>
          </cell>
          <cell r="S17">
            <v>112590.28780000001</v>
          </cell>
          <cell r="T17">
            <v>114266.44010000001</v>
          </cell>
          <cell r="U17">
            <v>115964.8431</v>
          </cell>
          <cell r="V17">
            <v>117590.8002</v>
          </cell>
          <cell r="W17">
            <v>119326.18090000001</v>
          </cell>
          <cell r="X17">
            <v>121095.2031</v>
          </cell>
          <cell r="Y17">
            <v>122897.4725</v>
          </cell>
          <cell r="Z17">
            <v>124733.9492</v>
          </cell>
          <cell r="AA17">
            <v>126325.6902</v>
          </cell>
          <cell r="AB17">
            <v>128059.34080000001</v>
          </cell>
          <cell r="AC17">
            <v>129822.9515</v>
          </cell>
          <cell r="AD17">
            <v>131617.50700000001</v>
          </cell>
          <cell r="AE17">
            <v>133445.5171</v>
          </cell>
          <cell r="AF17">
            <v>135309.14490000001</v>
          </cell>
          <cell r="AG17">
            <v>137209.86199999999</v>
          </cell>
          <cell r="AH17">
            <v>139148.45670000001</v>
          </cell>
          <cell r="AI17">
            <v>141125.14859999999</v>
          </cell>
          <cell r="AJ17">
            <v>143139.7346</v>
          </cell>
          <cell r="AK17">
            <v>145191.73149999999</v>
          </cell>
          <cell r="AL17">
            <v>147212.4333</v>
          </cell>
          <cell r="AM17">
            <v>149258.38039999999</v>
          </cell>
          <cell r="AN17">
            <v>151332.35320000001</v>
          </cell>
          <cell r="AO17">
            <v>153435.73480000001</v>
          </cell>
          <cell r="AP17">
            <v>155569.6011</v>
          </cell>
          <cell r="AQ17">
            <v>157734.8456</v>
          </cell>
          <cell r="AR17">
            <v>159932.15770000001</v>
          </cell>
          <cell r="AS17">
            <v>162162.00659999999</v>
          </cell>
          <cell r="AT17">
            <v>164424.65729999999</v>
          </cell>
          <cell r="AU17">
            <v>166720.21249999999</v>
          </cell>
          <cell r="AV17">
            <v>169054.89509999999</v>
          </cell>
          <cell r="AW17">
            <v>171423.45269999999</v>
          </cell>
          <cell r="AX17">
            <v>173825.50709999999</v>
          </cell>
          <cell r="AY17">
            <v>176260.70310000001</v>
          </cell>
          <cell r="AZ17">
            <v>178728.7543</v>
          </cell>
          <cell r="BA17">
            <v>181229.5013</v>
          </cell>
          <cell r="BB17">
            <v>183762.91390000001</v>
          </cell>
          <cell r="BC17">
            <v>186329.07819999999</v>
          </cell>
          <cell r="BD17">
            <v>188928.18059999999</v>
          </cell>
          <cell r="BE17">
            <v>191560.49239999999</v>
          </cell>
        </row>
        <row r="18">
          <cell r="B18">
            <v>28065.283429999999</v>
          </cell>
          <cell r="C18">
            <v>28259.773290000001</v>
          </cell>
          <cell r="D18">
            <v>28562.40754</v>
          </cell>
          <cell r="E18">
            <v>28916.181970000001</v>
          </cell>
          <cell r="F18">
            <v>29306.4123</v>
          </cell>
          <cell r="G18">
            <v>29725.185659999999</v>
          </cell>
          <cell r="H18">
            <v>30144.309239999999</v>
          </cell>
          <cell r="I18">
            <v>30576.311030000001</v>
          </cell>
          <cell r="J18">
            <v>31018.769270000001</v>
          </cell>
          <cell r="K18">
            <v>31468.854950000001</v>
          </cell>
          <cell r="L18">
            <v>31961.009600000001</v>
          </cell>
          <cell r="M18">
            <v>32422.755550000002</v>
          </cell>
          <cell r="N18">
            <v>32882.618840000003</v>
          </cell>
          <cell r="O18">
            <v>33341.54681</v>
          </cell>
          <cell r="P18">
            <v>33799.703820000002</v>
          </cell>
          <cell r="Q18">
            <v>34257.422200000001</v>
          </cell>
          <cell r="R18">
            <v>34710.590029999999</v>
          </cell>
          <cell r="S18">
            <v>35164.374680000001</v>
          </cell>
          <cell r="T18">
            <v>35620.033990000004</v>
          </cell>
          <cell r="U18">
            <v>36078.692719999999</v>
          </cell>
          <cell r="V18">
            <v>36514.547879999998</v>
          </cell>
          <cell r="W18">
            <v>36976.591869999997</v>
          </cell>
          <cell r="X18">
            <v>37447.041499999999</v>
          </cell>
          <cell r="Y18">
            <v>37925.64933</v>
          </cell>
          <cell r="Z18">
            <v>38412.86234</v>
          </cell>
          <cell r="AA18">
            <v>38832.532740000002</v>
          </cell>
          <cell r="AB18">
            <v>39287.093059999999</v>
          </cell>
          <cell r="AC18">
            <v>39749.785300000003</v>
          </cell>
          <cell r="AD18">
            <v>40220.652139999998</v>
          </cell>
          <cell r="AE18">
            <v>40700.510430000002</v>
          </cell>
          <cell r="AF18">
            <v>41190.108890000003</v>
          </cell>
          <cell r="AG18">
            <v>41691.026839999999</v>
          </cell>
          <cell r="AH18">
            <v>42202.589870000003</v>
          </cell>
          <cell r="AI18">
            <v>42724.798419999999</v>
          </cell>
          <cell r="AJ18">
            <v>43257.531969999996</v>
          </cell>
          <cell r="AK18">
            <v>43800.569190000002</v>
          </cell>
          <cell r="AL18">
            <v>44344.79348</v>
          </cell>
          <cell r="AM18">
            <v>44895.412109999997</v>
          </cell>
          <cell r="AN18">
            <v>45453.060960000003</v>
          </cell>
          <cell r="AO18">
            <v>46018.006399999998</v>
          </cell>
          <cell r="AP18">
            <v>46590.417699999998</v>
          </cell>
          <cell r="AQ18">
            <v>47171.92742</v>
          </cell>
          <cell r="AR18">
            <v>47761.295380000003</v>
          </cell>
          <cell r="AS18">
            <v>48358.46056</v>
          </cell>
          <cell r="AT18">
            <v>48963.369850000003</v>
          </cell>
          <cell r="AU18">
            <v>49575.949399999998</v>
          </cell>
          <cell r="AV18">
            <v>50202.87429</v>
          </cell>
          <cell r="AW18">
            <v>50838.340929999998</v>
          </cell>
          <cell r="AX18">
            <v>51481.800880000003</v>
          </cell>
          <cell r="AY18">
            <v>52132.974869999998</v>
          </cell>
          <cell r="AZ18">
            <v>52791.68692</v>
          </cell>
          <cell r="BA18">
            <v>53461.063470000001</v>
          </cell>
          <cell r="BB18">
            <v>54138.283179999999</v>
          </cell>
          <cell r="BC18">
            <v>54823.163249999998</v>
          </cell>
          <cell r="BD18">
            <v>55515.678370000001</v>
          </cell>
          <cell r="BE18">
            <v>56215.875169999999</v>
          </cell>
        </row>
        <row r="19">
          <cell r="B19">
            <v>29140.398969999998</v>
          </cell>
          <cell r="C19">
            <v>29509.433799999999</v>
          </cell>
          <cell r="D19">
            <v>29927.532220000001</v>
          </cell>
          <cell r="E19">
            <v>30375.55831</v>
          </cell>
          <cell r="F19">
            <v>30847.929</v>
          </cell>
          <cell r="G19">
            <v>31340.255120000002</v>
          </cell>
          <cell r="H19">
            <v>31826.505140000001</v>
          </cell>
          <cell r="I19">
            <v>32321.2202</v>
          </cell>
          <cell r="J19">
            <v>32823.985990000001</v>
          </cell>
          <cell r="K19">
            <v>33333.919130000002</v>
          </cell>
          <cell r="L19">
            <v>33889.651660000003</v>
          </cell>
          <cell r="M19">
            <v>34420.417079999999</v>
          </cell>
          <cell r="N19">
            <v>34953.457009999998</v>
          </cell>
          <cell r="O19">
            <v>35490.25692</v>
          </cell>
          <cell r="P19">
            <v>36031.368020000002</v>
          </cell>
          <cell r="Q19">
            <v>36577.316800000001</v>
          </cell>
          <cell r="R19">
            <v>37128.74613</v>
          </cell>
          <cell r="S19">
            <v>37686.399210000003</v>
          </cell>
          <cell r="T19">
            <v>38251.072209999998</v>
          </cell>
          <cell r="U19">
            <v>38823.568030000002</v>
          </cell>
          <cell r="V19">
            <v>39375.46787</v>
          </cell>
          <cell r="W19">
            <v>39959.49581</v>
          </cell>
          <cell r="X19">
            <v>40555.926240000001</v>
          </cell>
          <cell r="Y19">
            <v>41164.191200000001</v>
          </cell>
          <cell r="Z19">
            <v>41784.47148</v>
          </cell>
          <cell r="AA19">
            <v>42332.731050000002</v>
          </cell>
          <cell r="AB19">
            <v>42919.150170000001</v>
          </cell>
          <cell r="AC19">
            <v>43515.779600000002</v>
          </cell>
          <cell r="AD19">
            <v>44122.579169999997</v>
          </cell>
          <cell r="AE19">
            <v>44740.311670000003</v>
          </cell>
          <cell r="AF19">
            <v>45369.678050000002</v>
          </cell>
          <cell r="AG19">
            <v>46011.148930000003</v>
          </cell>
          <cell r="AH19">
            <v>46664.952239999999</v>
          </cell>
          <cell r="AI19">
            <v>47331.10888</v>
          </cell>
          <cell r="AJ19">
            <v>48009.484239999998</v>
          </cell>
          <cell r="AK19">
            <v>48699.840880000003</v>
          </cell>
          <cell r="AL19">
            <v>49381.389569999999</v>
          </cell>
          <cell r="AM19">
            <v>50069.530550000003</v>
          </cell>
          <cell r="AN19">
            <v>50765.598610000001</v>
          </cell>
          <cell r="AO19">
            <v>51470.173909999998</v>
          </cell>
          <cell r="AP19">
            <v>52183.656089999997</v>
          </cell>
          <cell r="AQ19">
            <v>52906.360480000003</v>
          </cell>
          <cell r="AR19">
            <v>53638.526279999998</v>
          </cell>
          <cell r="AS19">
            <v>54380.315820000003</v>
          </cell>
          <cell r="AT19">
            <v>55131.820780000002</v>
          </cell>
          <cell r="AU19">
            <v>55893.076730000001</v>
          </cell>
          <cell r="AV19">
            <v>56665.95508</v>
          </cell>
          <cell r="AW19">
            <v>57449.0075</v>
          </cell>
          <cell r="AX19">
            <v>58242.065799999997</v>
          </cell>
          <cell r="AY19">
            <v>59045.021229999998</v>
          </cell>
          <cell r="AZ19">
            <v>59857.800770000002</v>
          </cell>
          <cell r="BA19">
            <v>60680.375529999998</v>
          </cell>
          <cell r="BB19">
            <v>61512.763330000002</v>
          </cell>
          <cell r="BC19">
            <v>62355.0265</v>
          </cell>
          <cell r="BD19">
            <v>63207.267449999999</v>
          </cell>
          <cell r="BE19">
            <v>64069.623059999998</v>
          </cell>
        </row>
        <row r="20">
          <cell r="B20">
            <v>77461.904139999999</v>
          </cell>
          <cell r="C20">
            <v>77975.987059999999</v>
          </cell>
          <cell r="D20">
            <v>78835.335040000005</v>
          </cell>
          <cell r="E20">
            <v>79841.968800000002</v>
          </cell>
          <cell r="F20">
            <v>80940.044689999995</v>
          </cell>
          <cell r="G20">
            <v>82102.816139999995</v>
          </cell>
          <cell r="H20">
            <v>83253.777069999996</v>
          </cell>
          <cell r="I20">
            <v>84428.264939999994</v>
          </cell>
          <cell r="J20">
            <v>85622.916599999997</v>
          </cell>
          <cell r="K20">
            <v>86832.852570000003</v>
          </cell>
          <cell r="L20">
            <v>88152.97163</v>
          </cell>
          <cell r="M20">
            <v>89390.165370000002</v>
          </cell>
          <cell r="N20">
            <v>90621.823629999999</v>
          </cell>
          <cell r="O20">
            <v>91852.806880000004</v>
          </cell>
          <cell r="P20">
            <v>93084.803440000003</v>
          </cell>
          <cell r="Q20">
            <v>94319.468989999994</v>
          </cell>
          <cell r="R20">
            <v>95545.984660000002</v>
          </cell>
          <cell r="S20">
            <v>96778.607130000004</v>
          </cell>
          <cell r="T20">
            <v>98021.088579999996</v>
          </cell>
          <cell r="U20">
            <v>99276.567360000001</v>
          </cell>
          <cell r="V20">
            <v>100475.8156</v>
          </cell>
          <cell r="W20">
            <v>101750.1238</v>
          </cell>
          <cell r="X20">
            <v>103052.22930000001</v>
          </cell>
          <cell r="Y20">
            <v>104380.6148</v>
          </cell>
          <cell r="Z20">
            <v>105736.0834</v>
          </cell>
          <cell r="AA20">
            <v>106914.11259999999</v>
          </cell>
          <cell r="AB20">
            <v>108189.1661</v>
          </cell>
          <cell r="AC20">
            <v>109490.77159999999</v>
          </cell>
          <cell r="AD20">
            <v>110817.533</v>
          </cell>
          <cell r="AE20">
            <v>112170.6713</v>
          </cell>
          <cell r="AF20">
            <v>113551.4599</v>
          </cell>
          <cell r="AG20">
            <v>114963.63890000001</v>
          </cell>
          <cell r="AH20">
            <v>116404.9581</v>
          </cell>
          <cell r="AI20">
            <v>117875.0474</v>
          </cell>
          <cell r="AJ20">
            <v>119373.3155</v>
          </cell>
          <cell r="AK20">
            <v>120898.9617</v>
          </cell>
          <cell r="AL20">
            <v>122427.8936</v>
          </cell>
          <cell r="AM20">
            <v>123973.74</v>
          </cell>
          <cell r="AN20">
            <v>125538.02929999999</v>
          </cell>
          <cell r="AO20">
            <v>127121.17570000001</v>
          </cell>
          <cell r="AP20">
            <v>128723.326</v>
          </cell>
          <cell r="AQ20">
            <v>130348.6943</v>
          </cell>
          <cell r="AR20">
            <v>131993.74720000001</v>
          </cell>
          <cell r="AS20">
            <v>133658.1398</v>
          </cell>
          <cell r="AT20">
            <v>135341.649</v>
          </cell>
          <cell r="AU20">
            <v>137044.05050000001</v>
          </cell>
          <cell r="AV20">
            <v>138783.58910000001</v>
          </cell>
          <cell r="AW20">
            <v>140544.6845</v>
          </cell>
          <cell r="AX20">
            <v>142325.67720000001</v>
          </cell>
          <cell r="AY20">
            <v>144125.8204</v>
          </cell>
          <cell r="AZ20">
            <v>145944.70749999999</v>
          </cell>
          <cell r="BA20">
            <v>147791.02410000001</v>
          </cell>
          <cell r="BB20">
            <v>149657.28200000001</v>
          </cell>
          <cell r="BC20">
            <v>151542.97709999999</v>
          </cell>
          <cell r="BD20">
            <v>153448.11499999999</v>
          </cell>
          <cell r="BE20">
            <v>155372.91949999999</v>
          </cell>
        </row>
        <row r="21">
          <cell r="B21">
            <v>80401.828540000002</v>
          </cell>
          <cell r="C21">
            <v>81419.5821</v>
          </cell>
          <cell r="D21">
            <v>82583.786229999998</v>
          </cell>
          <cell r="E21">
            <v>83831.167100000006</v>
          </cell>
          <cell r="F21">
            <v>85141.175480000005</v>
          </cell>
          <cell r="G21">
            <v>86500.723750000005</v>
          </cell>
          <cell r="H21">
            <v>87840.336379999993</v>
          </cell>
          <cell r="I21">
            <v>89200.271829999998</v>
          </cell>
          <cell r="J21">
            <v>90581.363549999995</v>
          </cell>
          <cell r="K21">
            <v>91982.599480000004</v>
          </cell>
          <cell r="L21">
            <v>93508.939639999997</v>
          </cell>
          <cell r="M21">
            <v>94971.059649999996</v>
          </cell>
          <cell r="N21">
            <v>96441.82677</v>
          </cell>
          <cell r="O21">
            <v>97926.689459999994</v>
          </cell>
          <cell r="P21">
            <v>99427.755560000005</v>
          </cell>
          <cell r="Q21">
            <v>100946.7167</v>
          </cell>
          <cell r="R21">
            <v>102485.3815</v>
          </cell>
          <cell r="S21">
            <v>104045.7136</v>
          </cell>
          <cell r="T21">
            <v>105629.7499</v>
          </cell>
          <cell r="U21">
            <v>107239.5018</v>
          </cell>
          <cell r="V21">
            <v>108798.33440000001</v>
          </cell>
          <cell r="W21">
            <v>110447.67170000001</v>
          </cell>
          <cell r="X21">
            <v>112135.00350000001</v>
          </cell>
          <cell r="Y21">
            <v>113857.8354</v>
          </cell>
          <cell r="Z21">
            <v>115616.19439999999</v>
          </cell>
          <cell r="AA21">
            <v>117183.5705</v>
          </cell>
          <cell r="AB21">
            <v>118855.59910000001</v>
          </cell>
          <cell r="AC21">
            <v>120558.8204</v>
          </cell>
          <cell r="AD21">
            <v>122291.607</v>
          </cell>
          <cell r="AE21">
            <v>124055.00659999999</v>
          </cell>
          <cell r="AF21">
            <v>125850.12880000001</v>
          </cell>
          <cell r="AG21">
            <v>127677.6364</v>
          </cell>
          <cell r="AH21">
            <v>129537.6728</v>
          </cell>
          <cell r="AI21">
            <v>131429.92319999999</v>
          </cell>
          <cell r="AJ21">
            <v>133353.7274</v>
          </cell>
          <cell r="AK21">
            <v>135308.2041</v>
          </cell>
          <cell r="AL21">
            <v>137237.11050000001</v>
          </cell>
          <cell r="AM21">
            <v>139181.57680000001</v>
          </cell>
          <cell r="AN21">
            <v>141145.46679999999</v>
          </cell>
          <cell r="AO21">
            <v>143130.1514</v>
          </cell>
          <cell r="AP21">
            <v>145136.4051</v>
          </cell>
          <cell r="AQ21">
            <v>147164.78260000001</v>
          </cell>
          <cell r="AR21">
            <v>149215.6882</v>
          </cell>
          <cell r="AS21">
            <v>151289.3885</v>
          </cell>
          <cell r="AT21">
            <v>153386.02650000001</v>
          </cell>
          <cell r="AU21">
            <v>155505.6508</v>
          </cell>
          <cell r="AV21">
            <v>157653.30499999999</v>
          </cell>
          <cell r="AW21">
            <v>159825.125</v>
          </cell>
          <cell r="AX21">
            <v>162020.68160000001</v>
          </cell>
          <cell r="AY21">
            <v>164239.80489999999</v>
          </cell>
          <cell r="AZ21">
            <v>166482.45860000001</v>
          </cell>
          <cell r="BA21">
            <v>168748.7377</v>
          </cell>
          <cell r="BB21">
            <v>171038.8702</v>
          </cell>
          <cell r="BC21">
            <v>173353.2115</v>
          </cell>
          <cell r="BD21">
            <v>175692.2317</v>
          </cell>
          <cell r="BE21">
            <v>178056.50049999999</v>
          </cell>
        </row>
        <row r="22">
          <cell r="B22">
            <v>77198.276249999995</v>
          </cell>
          <cell r="C22">
            <v>78099.648400000005</v>
          </cell>
          <cell r="D22">
            <v>79206.02837</v>
          </cell>
          <cell r="E22">
            <v>80389.691470000005</v>
          </cell>
          <cell r="F22">
            <v>81619.748500000002</v>
          </cell>
          <cell r="G22">
            <v>82879.232059999995</v>
          </cell>
          <cell r="H22">
            <v>84082.798909999998</v>
          </cell>
          <cell r="I22">
            <v>85292.501650000006</v>
          </cell>
          <cell r="J22">
            <v>86505.336850000007</v>
          </cell>
          <cell r="K22">
            <v>87718.227580000006</v>
          </cell>
          <cell r="L22">
            <v>89050.793999999994</v>
          </cell>
          <cell r="M22">
            <v>90247.42843</v>
          </cell>
          <cell r="N22">
            <v>91435.264779999998</v>
          </cell>
          <cell r="O22">
            <v>92616.877500000002</v>
          </cell>
          <cell r="P22">
            <v>93794.171270000006</v>
          </cell>
          <cell r="Q22">
            <v>94969.354389999993</v>
          </cell>
          <cell r="R22">
            <v>96127.166140000001</v>
          </cell>
          <cell r="S22">
            <v>97288.452380000002</v>
          </cell>
          <cell r="T22">
            <v>98456.675050000005</v>
          </cell>
          <cell r="U22">
            <v>99635.030849999996</v>
          </cell>
          <cell r="V22">
            <v>100738.32670000001</v>
          </cell>
          <cell r="W22">
            <v>101940.4884</v>
          </cell>
          <cell r="X22">
            <v>103163.95970000001</v>
          </cell>
          <cell r="Y22">
            <v>104409.56359999999</v>
          </cell>
          <cell r="Z22">
            <v>105678.7579</v>
          </cell>
          <cell r="AA22">
            <v>106722.0309</v>
          </cell>
          <cell r="AB22">
            <v>107915.07799999999</v>
          </cell>
          <cell r="AC22">
            <v>109134.1632</v>
          </cell>
          <cell r="AD22">
            <v>110379.7301</v>
          </cell>
          <cell r="AE22">
            <v>111652.8651</v>
          </cell>
          <cell r="AF22">
            <v>112954.48020000001</v>
          </cell>
          <cell r="AG22">
            <v>114289.1208</v>
          </cell>
          <cell r="AH22">
            <v>115652.9807</v>
          </cell>
          <cell r="AI22">
            <v>117045.7375</v>
          </cell>
          <cell r="AJ22">
            <v>118466.8435</v>
          </cell>
          <cell r="AK22">
            <v>119915.58900000001</v>
          </cell>
          <cell r="AL22">
            <v>121367.1094</v>
          </cell>
          <cell r="AM22">
            <v>122840.76149999999</v>
          </cell>
          <cell r="AN22">
            <v>124336.8867</v>
          </cell>
          <cell r="AO22">
            <v>125855.3876</v>
          </cell>
          <cell r="AP22">
            <v>127396.10249999999</v>
          </cell>
          <cell r="AQ22">
            <v>128964.57490000001</v>
          </cell>
          <cell r="AR22">
            <v>130555.1896</v>
          </cell>
          <cell r="AS22">
            <v>132167.66279999999</v>
          </cell>
          <cell r="AT22">
            <v>133801.74660000001</v>
          </cell>
          <cell r="AU22">
            <v>135457.19949999999</v>
          </cell>
          <cell r="AV22">
            <v>137158.47140000001</v>
          </cell>
          <cell r="AW22">
            <v>138881.95360000001</v>
          </cell>
          <cell r="AX22">
            <v>140626.85140000001</v>
          </cell>
          <cell r="AY22">
            <v>142392.72080000001</v>
          </cell>
          <cell r="AZ22">
            <v>144179.3222</v>
          </cell>
          <cell r="BA22">
            <v>145998.73139999999</v>
          </cell>
          <cell r="BB22">
            <v>147839.4651</v>
          </cell>
          <cell r="BC22">
            <v>149701.41130000001</v>
          </cell>
          <cell r="BD22">
            <v>151584.6685</v>
          </cell>
          <cell r="BE22">
            <v>153489.46799999999</v>
          </cell>
        </row>
        <row r="23">
          <cell r="B23">
            <v>81289.904590000006</v>
          </cell>
          <cell r="C23">
            <v>82527.293669999999</v>
          </cell>
          <cell r="D23">
            <v>83884.974929999997</v>
          </cell>
          <cell r="E23">
            <v>85288.086420000007</v>
          </cell>
          <cell r="F23">
            <v>86725.831189999997</v>
          </cell>
          <cell r="G23">
            <v>88189.61103</v>
          </cell>
          <cell r="H23">
            <v>89597.834159999999</v>
          </cell>
          <cell r="I23">
            <v>91015.275559999995</v>
          </cell>
          <cell r="J23">
            <v>92441.625360000005</v>
          </cell>
          <cell r="K23">
            <v>93876.617960000003</v>
          </cell>
          <cell r="L23">
            <v>95451.857789999995</v>
          </cell>
          <cell r="M23">
            <v>96914.087400000004</v>
          </cell>
          <cell r="N23">
            <v>98382.755290000001</v>
          </cell>
          <cell r="O23">
            <v>99861.225630000001</v>
          </cell>
          <cell r="P23">
            <v>101351.82980000001</v>
          </cell>
          <cell r="Q23">
            <v>102856.81329999999</v>
          </cell>
          <cell r="R23">
            <v>104378.51730000001</v>
          </cell>
          <cell r="S23">
            <v>105919.35769999999</v>
          </cell>
          <cell r="T23">
            <v>107481.7453</v>
          </cell>
          <cell r="U23">
            <v>109068.00260000001</v>
          </cell>
          <cell r="V23">
            <v>110583.01700000001</v>
          </cell>
          <cell r="W23">
            <v>112216.7242</v>
          </cell>
          <cell r="X23">
            <v>113883.2834</v>
          </cell>
          <cell r="Y23">
            <v>115582.8073</v>
          </cell>
          <cell r="Z23">
            <v>117316.1312</v>
          </cell>
          <cell r="AA23">
            <v>118803.1262</v>
          </cell>
          <cell r="AB23">
            <v>120453.5984</v>
          </cell>
          <cell r="AC23">
            <v>122137.7059</v>
          </cell>
          <cell r="AD23">
            <v>123855.746</v>
          </cell>
          <cell r="AE23">
            <v>125608.71</v>
          </cell>
          <cell r="AF23">
            <v>127397.4347</v>
          </cell>
          <cell r="AG23">
            <v>129222.38310000001</v>
          </cell>
          <cell r="AH23">
            <v>131083.61189999999</v>
          </cell>
          <cell r="AI23">
            <v>132980.82519999999</v>
          </cell>
          <cell r="AJ23">
            <v>134913.46590000001</v>
          </cell>
          <cell r="AK23">
            <v>136880.81690000001</v>
          </cell>
          <cell r="AL23">
            <v>138813.6539</v>
          </cell>
          <cell r="AM23">
            <v>140773.98560000001</v>
          </cell>
          <cell r="AN23">
            <v>142763.17420000001</v>
          </cell>
          <cell r="AO23">
            <v>144781.70120000001</v>
          </cell>
          <cell r="AP23">
            <v>146829.82509999999</v>
          </cell>
          <cell r="AQ23">
            <v>148907.71909999999</v>
          </cell>
          <cell r="AR23">
            <v>151015.48300000001</v>
          </cell>
          <cell r="AS23">
            <v>153153.13320000001</v>
          </cell>
          <cell r="AT23">
            <v>155320.6047</v>
          </cell>
          <cell r="AU23">
            <v>157517.76819999999</v>
          </cell>
          <cell r="AV23">
            <v>159750.7145</v>
          </cell>
          <cell r="AW23">
            <v>162013.5373</v>
          </cell>
          <cell r="AX23">
            <v>164305.89980000001</v>
          </cell>
          <cell r="AY23">
            <v>166627.5736</v>
          </cell>
          <cell r="AZ23">
            <v>168978.4227</v>
          </cell>
          <cell r="BA23">
            <v>171358.4124</v>
          </cell>
          <cell r="BB23">
            <v>173767.60930000001</v>
          </cell>
          <cell r="BC23">
            <v>176206.17499999999</v>
          </cell>
          <cell r="BD23">
            <v>178674.3559</v>
          </cell>
          <cell r="BE23">
            <v>181172.4718</v>
          </cell>
        </row>
        <row r="24">
          <cell r="B24">
            <v>102060.76700000001</v>
          </cell>
          <cell r="C24">
            <v>102568.4973</v>
          </cell>
          <cell r="D24">
            <v>103476.65180000001</v>
          </cell>
          <cell r="E24">
            <v>104609.224</v>
          </cell>
          <cell r="F24">
            <v>105900.93030000001</v>
          </cell>
          <cell r="G24">
            <v>107314.77250000001</v>
          </cell>
          <cell r="H24">
            <v>108756.5224</v>
          </cell>
          <cell r="I24">
            <v>110254.26210000001</v>
          </cell>
          <cell r="J24">
            <v>111801.67329999999</v>
          </cell>
          <cell r="K24">
            <v>113391.0733</v>
          </cell>
          <cell r="L24">
            <v>115132.2304</v>
          </cell>
          <cell r="M24">
            <v>116813.8428</v>
          </cell>
          <cell r="N24">
            <v>118503.8158</v>
          </cell>
          <cell r="O24">
            <v>120205.8089</v>
          </cell>
          <cell r="P24">
            <v>121920.4001</v>
          </cell>
          <cell r="Q24">
            <v>123648.1856</v>
          </cell>
          <cell r="R24">
            <v>125378.3514</v>
          </cell>
          <cell r="S24">
            <v>127122.4774</v>
          </cell>
          <cell r="T24">
            <v>128883.6234</v>
          </cell>
          <cell r="U24">
            <v>130664.3475</v>
          </cell>
          <cell r="V24">
            <v>132381.52840000001</v>
          </cell>
          <cell r="W24">
            <v>134178.7003</v>
          </cell>
          <cell r="X24">
            <v>136012.09539999999</v>
          </cell>
          <cell r="Y24">
            <v>137879.21230000001</v>
          </cell>
          <cell r="Z24">
            <v>139780.0594</v>
          </cell>
          <cell r="AA24">
            <v>141470.44930000001</v>
          </cell>
          <cell r="AB24">
            <v>143243.42319999999</v>
          </cell>
          <cell r="AC24">
            <v>145039.20490000001</v>
          </cell>
          <cell r="AD24">
            <v>146858.8487</v>
          </cell>
          <cell r="AE24">
            <v>148705.6459</v>
          </cell>
          <cell r="AF24">
            <v>150582.59409999999</v>
          </cell>
          <cell r="AG24">
            <v>152494.5576</v>
          </cell>
          <cell r="AH24">
            <v>154440.64060000001</v>
          </cell>
          <cell r="AI24">
            <v>156421.1237</v>
          </cell>
          <cell r="AJ24">
            <v>158435.86869999999</v>
          </cell>
          <cell r="AK24">
            <v>160484.43059999999</v>
          </cell>
          <cell r="AL24">
            <v>162531.7599</v>
          </cell>
          <cell r="AM24">
            <v>164595.08929999999</v>
          </cell>
          <cell r="AN24">
            <v>166678.23749999999</v>
          </cell>
          <cell r="AO24">
            <v>168783.40520000001</v>
          </cell>
          <cell r="AP24">
            <v>170912.30300000001</v>
          </cell>
          <cell r="AQ24">
            <v>173070.22839999999</v>
          </cell>
          <cell r="AR24">
            <v>175255.3002</v>
          </cell>
          <cell r="AS24">
            <v>177467.97500000001</v>
          </cell>
          <cell r="AT24">
            <v>179708.58910000001</v>
          </cell>
          <cell r="AU24">
            <v>181977.31150000001</v>
          </cell>
          <cell r="AV24">
            <v>184292.5822</v>
          </cell>
          <cell r="AW24">
            <v>186640.77170000001</v>
          </cell>
          <cell r="AX24">
            <v>189019.87590000001</v>
          </cell>
          <cell r="AY24">
            <v>191428.79810000001</v>
          </cell>
          <cell r="AZ24">
            <v>193866.90359999999</v>
          </cell>
          <cell r="BA24">
            <v>196342.20139999999</v>
          </cell>
          <cell r="BB24">
            <v>198848.29550000001</v>
          </cell>
          <cell r="BC24">
            <v>201384.546</v>
          </cell>
          <cell r="BD24">
            <v>203950.83059999999</v>
          </cell>
          <cell r="BE24">
            <v>206547.31589999999</v>
          </cell>
        </row>
        <row r="25">
          <cell r="B25">
            <v>104800.5695</v>
          </cell>
          <cell r="C25">
            <v>105992.8845</v>
          </cell>
          <cell r="D25">
            <v>107370.0024</v>
          </cell>
          <cell r="E25">
            <v>108879.993</v>
          </cell>
          <cell r="F25">
            <v>110498.6061</v>
          </cell>
          <cell r="G25">
            <v>112206.4584</v>
          </cell>
          <cell r="H25">
            <v>113918.7049</v>
          </cell>
          <cell r="I25">
            <v>115670.3842</v>
          </cell>
          <cell r="J25">
            <v>117461.46369999999</v>
          </cell>
          <cell r="K25">
            <v>119289.9559</v>
          </cell>
          <cell r="L25">
            <v>121276.9945</v>
          </cell>
          <cell r="M25">
            <v>123216.2996</v>
          </cell>
          <cell r="N25">
            <v>125172.7871</v>
          </cell>
          <cell r="O25">
            <v>127151.147</v>
          </cell>
          <cell r="P25">
            <v>129152.7248</v>
          </cell>
          <cell r="Q25">
            <v>131178.52119999999</v>
          </cell>
          <cell r="R25">
            <v>133229.79980000001</v>
          </cell>
          <cell r="S25">
            <v>135308.11180000001</v>
          </cell>
          <cell r="T25">
            <v>137415.17989999999</v>
          </cell>
          <cell r="U25">
            <v>139552.7691</v>
          </cell>
          <cell r="V25">
            <v>141630.8983</v>
          </cell>
          <cell r="W25">
            <v>143802.68789999999</v>
          </cell>
          <cell r="X25">
            <v>146020.35380000001</v>
          </cell>
          <cell r="Y25">
            <v>148280.81090000001</v>
          </cell>
          <cell r="Z25">
            <v>150583.60370000001</v>
          </cell>
          <cell r="AA25">
            <v>152663.49840000001</v>
          </cell>
          <cell r="AB25">
            <v>154832.36199999999</v>
          </cell>
          <cell r="AC25">
            <v>157028.4063</v>
          </cell>
          <cell r="AD25">
            <v>159252.8499</v>
          </cell>
          <cell r="AE25">
            <v>161509.11809999999</v>
          </cell>
          <cell r="AF25">
            <v>163800.2548</v>
          </cell>
          <cell r="AG25">
            <v>166128.38380000001</v>
          </cell>
          <cell r="AH25">
            <v>168494.70069999999</v>
          </cell>
          <cell r="AI25">
            <v>170899.63800000001</v>
          </cell>
          <cell r="AJ25">
            <v>173343.07990000001</v>
          </cell>
          <cell r="AK25">
            <v>175824.56880000001</v>
          </cell>
          <cell r="AL25">
            <v>178278.90969999999</v>
          </cell>
          <cell r="AM25">
            <v>180746.6599</v>
          </cell>
          <cell r="AN25">
            <v>183234.3976</v>
          </cell>
          <cell r="AO25">
            <v>185745.81049999999</v>
          </cell>
          <cell r="AP25">
            <v>188283.63070000001</v>
          </cell>
          <cell r="AQ25">
            <v>190850.03940000001</v>
          </cell>
          <cell r="AR25">
            <v>193446.74729999999</v>
          </cell>
          <cell r="AS25">
            <v>196075.03159999999</v>
          </cell>
          <cell r="AT25">
            <v>198735.79440000001</v>
          </cell>
          <cell r="AU25">
            <v>201429.6496</v>
          </cell>
          <cell r="AV25">
            <v>204162.93160000001</v>
          </cell>
          <cell r="AW25">
            <v>206932.26149999999</v>
          </cell>
          <cell r="AX25">
            <v>209737.29430000001</v>
          </cell>
          <cell r="AY25">
            <v>212577.7494</v>
          </cell>
          <cell r="AZ25">
            <v>215453.4719</v>
          </cell>
          <cell r="BA25">
            <v>218364.51300000001</v>
          </cell>
          <cell r="BB25">
            <v>221311.12179999999</v>
          </cell>
          <cell r="BC25">
            <v>224293.71059999999</v>
          </cell>
          <cell r="BD25">
            <v>227312.82130000001</v>
          </cell>
          <cell r="BE25">
            <v>230369.09669999999</v>
          </cell>
        </row>
        <row r="26">
          <cell r="B26">
            <v>269319.2255</v>
          </cell>
          <cell r="C26">
            <v>271225.89189999999</v>
          </cell>
          <cell r="D26">
            <v>273680.03480000002</v>
          </cell>
          <cell r="E26">
            <v>276566.60859999998</v>
          </cell>
          <cell r="F26">
            <v>279789.57280000002</v>
          </cell>
          <cell r="G26">
            <v>283284.31839999999</v>
          </cell>
          <cell r="H26">
            <v>286910.99329999997</v>
          </cell>
          <cell r="I26">
            <v>290668.076</v>
          </cell>
          <cell r="J26">
            <v>294559.90649999998</v>
          </cell>
          <cell r="K26">
            <v>298590.66330000001</v>
          </cell>
          <cell r="L26">
            <v>302937.5955</v>
          </cell>
          <cell r="M26">
            <v>307387.28450000001</v>
          </cell>
          <cell r="N26">
            <v>311948.10279999999</v>
          </cell>
          <cell r="O26">
            <v>316627.8149</v>
          </cell>
          <cell r="P26">
            <v>321431.7634</v>
          </cell>
          <cell r="Q26">
            <v>326364.06530000002</v>
          </cell>
          <cell r="R26">
            <v>331419.45640000002</v>
          </cell>
          <cell r="S26">
            <v>336603.32949999999</v>
          </cell>
          <cell r="T26">
            <v>341920.48090000002</v>
          </cell>
          <cell r="U26">
            <v>347374.68290000001</v>
          </cell>
          <cell r="V26">
            <v>352839.12640000001</v>
          </cell>
          <cell r="W26">
            <v>358467.4326</v>
          </cell>
          <cell r="X26">
            <v>364256.21629999997</v>
          </cell>
          <cell r="Y26">
            <v>370201.40669999999</v>
          </cell>
          <cell r="Z26">
            <v>376299.75319999998</v>
          </cell>
          <cell r="AA26">
            <v>382172.98989999999</v>
          </cell>
          <cell r="AB26">
            <v>388082.11379999999</v>
          </cell>
          <cell r="AC26">
            <v>394038.91470000002</v>
          </cell>
          <cell r="AD26">
            <v>400049.88170000003</v>
          </cell>
          <cell r="AE26">
            <v>406120.29239999998</v>
          </cell>
          <cell r="AF26">
            <v>412254.23259999999</v>
          </cell>
          <cell r="AG26">
            <v>418456.44260000001</v>
          </cell>
          <cell r="AH26">
            <v>424727.55959999998</v>
          </cell>
          <cell r="AI26">
            <v>431066.71649999998</v>
          </cell>
          <cell r="AJ26">
            <v>437471.95630000002</v>
          </cell>
          <cell r="AK26">
            <v>443940.62550000002</v>
          </cell>
          <cell r="AL26">
            <v>450397.49459999998</v>
          </cell>
          <cell r="AM26">
            <v>456850.27730000002</v>
          </cell>
          <cell r="AN26">
            <v>463303.93910000002</v>
          </cell>
          <cell r="AO26">
            <v>469761.81890000001</v>
          </cell>
          <cell r="AP26">
            <v>476226.81160000002</v>
          </cell>
          <cell r="AQ26">
            <v>482704.91090000002</v>
          </cell>
          <cell r="AR26">
            <v>489198.40100000001</v>
          </cell>
          <cell r="AS26">
            <v>495709.1531</v>
          </cell>
          <cell r="AT26">
            <v>502238.73320000002</v>
          </cell>
          <cell r="AU26">
            <v>508788.4633</v>
          </cell>
          <cell r="AV26">
            <v>515378.61780000001</v>
          </cell>
          <cell r="AW26">
            <v>522007.46340000001</v>
          </cell>
          <cell r="AX26">
            <v>528672.92200000002</v>
          </cell>
          <cell r="AY26">
            <v>535373.58189999999</v>
          </cell>
          <cell r="AZ26">
            <v>542109.0061</v>
          </cell>
          <cell r="BA26">
            <v>548886.66599999997</v>
          </cell>
          <cell r="BB26">
            <v>555707.08719999995</v>
          </cell>
          <cell r="BC26">
            <v>562571.0122</v>
          </cell>
          <cell r="BD26">
            <v>569479.83219999995</v>
          </cell>
          <cell r="BE26">
            <v>576435.68469999998</v>
          </cell>
        </row>
        <row r="27">
          <cell r="B27">
            <v>271361.6054</v>
          </cell>
          <cell r="C27">
            <v>274962.2758</v>
          </cell>
          <cell r="D27">
            <v>278828.43729999999</v>
          </cell>
          <cell r="E27">
            <v>282962.74920000002</v>
          </cell>
          <cell r="F27">
            <v>287353.39520000003</v>
          </cell>
          <cell r="G27">
            <v>291984.18800000002</v>
          </cell>
          <cell r="H27">
            <v>296738.6789</v>
          </cell>
          <cell r="I27">
            <v>301625.3247</v>
          </cell>
          <cell r="J27">
            <v>306653.13189999998</v>
          </cell>
          <cell r="K27">
            <v>311829.37219999998</v>
          </cell>
          <cell r="L27">
            <v>317340.60080000001</v>
          </cell>
          <cell r="M27">
            <v>322978.59989999997</v>
          </cell>
          <cell r="N27">
            <v>328750.38709999999</v>
          </cell>
          <cell r="O27">
            <v>334661.81510000001</v>
          </cell>
          <cell r="P27">
            <v>340715.97259999998</v>
          </cell>
          <cell r="Q27">
            <v>346914.46480000002</v>
          </cell>
          <cell r="R27">
            <v>353258.2599</v>
          </cell>
          <cell r="S27">
            <v>359748.03450000001</v>
          </cell>
          <cell r="T27">
            <v>366384.20110000001</v>
          </cell>
          <cell r="U27">
            <v>373166.80430000002</v>
          </cell>
          <cell r="V27">
            <v>379958.37400000001</v>
          </cell>
          <cell r="W27">
            <v>386916.3602</v>
          </cell>
          <cell r="X27">
            <v>394035.67920000001</v>
          </cell>
          <cell r="Y27">
            <v>401310.39559999999</v>
          </cell>
          <cell r="Z27">
            <v>408735.31199999998</v>
          </cell>
          <cell r="AA27">
            <v>415905.05349999998</v>
          </cell>
          <cell r="AB27">
            <v>423085.16399999999</v>
          </cell>
          <cell r="AC27">
            <v>430286.96539999999</v>
          </cell>
          <cell r="AD27">
            <v>437516.31660000002</v>
          </cell>
          <cell r="AE27">
            <v>444777.72619999998</v>
          </cell>
          <cell r="AF27">
            <v>452074.26919999998</v>
          </cell>
          <cell r="AG27">
            <v>459407.30670000002</v>
          </cell>
          <cell r="AH27">
            <v>466776.43890000001</v>
          </cell>
          <cell r="AI27">
            <v>474179.728</v>
          </cell>
          <cell r="AJ27">
            <v>481614.09769999998</v>
          </cell>
          <cell r="AK27">
            <v>489075.79619999998</v>
          </cell>
          <cell r="AL27">
            <v>496462.12060000002</v>
          </cell>
          <cell r="AM27">
            <v>503782.71460000001</v>
          </cell>
          <cell r="AN27">
            <v>511045.86050000001</v>
          </cell>
          <cell r="AO27">
            <v>518258.12199999997</v>
          </cell>
          <cell r="AP27">
            <v>525425.16540000006</v>
          </cell>
          <cell r="AQ27">
            <v>532552.15760000004</v>
          </cell>
          <cell r="AR27">
            <v>539643.88320000004</v>
          </cell>
          <cell r="AS27">
            <v>546704.76879999996</v>
          </cell>
          <cell r="AT27">
            <v>553738.92850000004</v>
          </cell>
          <cell r="AU27">
            <v>560750.27220000001</v>
          </cell>
          <cell r="AV27">
            <v>567751.66139999998</v>
          </cell>
          <cell r="AW27">
            <v>574745.79299999995</v>
          </cell>
          <cell r="AX27">
            <v>581735.78159999999</v>
          </cell>
          <cell r="AY27">
            <v>588725.14480000001</v>
          </cell>
          <cell r="AZ27">
            <v>595717.95739999996</v>
          </cell>
          <cell r="BA27">
            <v>602718.94550000003</v>
          </cell>
          <cell r="BB27">
            <v>609733.49179999996</v>
          </cell>
          <cell r="BC27">
            <v>616767.59400000004</v>
          </cell>
          <cell r="BD27">
            <v>623827.79969999997</v>
          </cell>
          <cell r="BE27">
            <v>630921.12549999997</v>
          </cell>
        </row>
        <row r="28">
          <cell r="B28">
            <v>6670.5941549999998</v>
          </cell>
          <cell r="C28">
            <v>6711.6153770000001</v>
          </cell>
          <cell r="D28">
            <v>6767.1415049999996</v>
          </cell>
          <cell r="E28">
            <v>6832.6179529999999</v>
          </cell>
          <cell r="F28">
            <v>6906.8294740000001</v>
          </cell>
          <cell r="G28">
            <v>6988.6330930000004</v>
          </cell>
          <cell r="H28">
            <v>7072.7829849999998</v>
          </cell>
          <cell r="I28">
            <v>7160.8382929999998</v>
          </cell>
          <cell r="J28">
            <v>7252.2315070000004</v>
          </cell>
          <cell r="K28">
            <v>7346.3108830000001</v>
          </cell>
          <cell r="L28">
            <v>7449.3596090000001</v>
          </cell>
          <cell r="M28">
            <v>7548.9488270000002</v>
          </cell>
          <cell r="N28">
            <v>7648.8880120000003</v>
          </cell>
          <cell r="O28">
            <v>7749.2917850000003</v>
          </cell>
          <cell r="P28">
            <v>7850.1150070000003</v>
          </cell>
          <cell r="Q28">
            <v>7951.3393409999999</v>
          </cell>
          <cell r="R28">
            <v>8052.4333749999996</v>
          </cell>
          <cell r="S28">
            <v>8153.9201540000004</v>
          </cell>
          <cell r="T28">
            <v>8255.9447970000001</v>
          </cell>
          <cell r="U28">
            <v>8358.6375040000003</v>
          </cell>
          <cell r="V28">
            <v>8457.1041150000001</v>
          </cell>
          <cell r="W28">
            <v>8559.8121869999995</v>
          </cell>
          <cell r="X28">
            <v>8664.1416509999999</v>
          </cell>
          <cell r="Y28">
            <v>8769.9597699999995</v>
          </cell>
          <cell r="Z28">
            <v>8877.2874609999999</v>
          </cell>
          <cell r="AA28">
            <v>8971.8054300000003</v>
          </cell>
          <cell r="AB28">
            <v>9070.8257190000004</v>
          </cell>
          <cell r="AC28">
            <v>9170.8030089999993</v>
          </cell>
          <cell r="AD28">
            <v>9271.8338530000001</v>
          </cell>
          <cell r="AE28">
            <v>9374.1640729999999</v>
          </cell>
          <cell r="AF28">
            <v>9478.0139350000009</v>
          </cell>
          <cell r="AG28">
            <v>9583.6709339999998</v>
          </cell>
          <cell r="AH28">
            <v>9691.1375619999999</v>
          </cell>
          <cell r="AI28">
            <v>9800.45586</v>
          </cell>
          <cell r="AJ28">
            <v>9911.6385539999992</v>
          </cell>
          <cell r="AK28">
            <v>10024.67729</v>
          </cell>
          <cell r="AL28">
            <v>10137.253559999999</v>
          </cell>
          <cell r="AM28">
            <v>10250.684240000001</v>
          </cell>
          <cell r="AN28">
            <v>10365.22387</v>
          </cell>
          <cell r="AO28">
            <v>10481.01902</v>
          </cell>
          <cell r="AP28">
            <v>10598.18534</v>
          </cell>
          <cell r="AQ28">
            <v>10716.99871</v>
          </cell>
          <cell r="AR28">
            <v>10837.39466</v>
          </cell>
          <cell r="AS28">
            <v>10959.40753</v>
          </cell>
          <cell r="AT28">
            <v>11083.059289999999</v>
          </cell>
          <cell r="AU28">
            <v>11208.358969999999</v>
          </cell>
          <cell r="AV28">
            <v>11336.225399999999</v>
          </cell>
          <cell r="AW28">
            <v>11465.98344</v>
          </cell>
          <cell r="AX28">
            <v>11597.52908</v>
          </cell>
          <cell r="AY28">
            <v>11730.80184</v>
          </cell>
          <cell r="AZ28">
            <v>11865.761839999999</v>
          </cell>
          <cell r="BA28">
            <v>12002.77108</v>
          </cell>
          <cell r="BB28">
            <v>12141.52636</v>
          </cell>
          <cell r="BC28">
            <v>12281.9894</v>
          </cell>
          <cell r="BD28">
            <v>12424.147269999999</v>
          </cell>
          <cell r="BE28">
            <v>12568.001259999999</v>
          </cell>
        </row>
        <row r="29">
          <cell r="B29">
            <v>6796.2633029999997</v>
          </cell>
          <cell r="C29">
            <v>6871.5918590000001</v>
          </cell>
          <cell r="D29">
            <v>6952.4412899999998</v>
          </cell>
          <cell r="E29">
            <v>7038.8415450000002</v>
          </cell>
          <cell r="F29">
            <v>7130.7826880000002</v>
          </cell>
          <cell r="G29">
            <v>7227.7094889999998</v>
          </cell>
          <cell r="H29">
            <v>7324.8474020000003</v>
          </cell>
          <cell r="I29">
            <v>7424.2270259999996</v>
          </cell>
          <cell r="J29">
            <v>7525.7502770000001</v>
          </cell>
          <cell r="K29">
            <v>7629.1993759999996</v>
          </cell>
          <cell r="L29">
            <v>7741.5250230000001</v>
          </cell>
          <cell r="M29">
            <v>7850.6579330000004</v>
          </cell>
          <cell r="N29">
            <v>7960.3621649999995</v>
          </cell>
          <cell r="O29">
            <v>8070.8638639999999</v>
          </cell>
          <cell r="P29">
            <v>8182.2012729999997</v>
          </cell>
          <cell r="Q29">
            <v>8294.4116520000007</v>
          </cell>
          <cell r="R29">
            <v>8407.5605880000003</v>
          </cell>
          <cell r="S29">
            <v>8521.7375900000006</v>
          </cell>
          <cell r="T29">
            <v>8637.046069</v>
          </cell>
          <cell r="U29">
            <v>8753.5945859999993</v>
          </cell>
          <cell r="V29">
            <v>8866.1969389999995</v>
          </cell>
          <cell r="W29">
            <v>8983.7497249999997</v>
          </cell>
          <cell r="X29">
            <v>9103.4561809999996</v>
          </cell>
          <cell r="Y29">
            <v>9225.1620160000002</v>
          </cell>
          <cell r="Z29">
            <v>9348.8693669999993</v>
          </cell>
          <cell r="AA29">
            <v>9459.3364729999994</v>
          </cell>
          <cell r="AB29">
            <v>9574.690106</v>
          </cell>
          <cell r="AC29">
            <v>9691.2905520000004</v>
          </cell>
          <cell r="AD29">
            <v>9809.2419680000003</v>
          </cell>
          <cell r="AE29">
            <v>9928.7966959999994</v>
          </cell>
          <cell r="AF29">
            <v>10050.177</v>
          </cell>
          <cell r="AG29">
            <v>10173.54141</v>
          </cell>
          <cell r="AH29">
            <v>10298.98698</v>
          </cell>
          <cell r="AI29">
            <v>10426.56148</v>
          </cell>
          <cell r="AJ29">
            <v>10556.277389999999</v>
          </cell>
          <cell r="AK29">
            <v>10688.12473</v>
          </cell>
          <cell r="AL29">
            <v>10818.39265</v>
          </cell>
          <cell r="AM29">
            <v>10949.46027</v>
          </cell>
          <cell r="AN29">
            <v>11081.70709</v>
          </cell>
          <cell r="AO29">
            <v>11215.34967</v>
          </cell>
          <cell r="AP29">
            <v>11350.555630000001</v>
          </cell>
          <cell r="AQ29">
            <v>11487.46148</v>
          </cell>
          <cell r="AR29">
            <v>11626.1739</v>
          </cell>
          <cell r="AS29">
            <v>11766.7708</v>
          </cell>
          <cell r="AT29">
            <v>11909.304910000001</v>
          </cell>
          <cell r="AU29">
            <v>12053.809139999999</v>
          </cell>
          <cell r="AV29">
            <v>12200.637720000001</v>
          </cell>
          <cell r="AW29">
            <v>12349.58569</v>
          </cell>
          <cell r="AX29">
            <v>12500.625019999999</v>
          </cell>
          <cell r="AY29">
            <v>12653.73287</v>
          </cell>
          <cell r="AZ29">
            <v>12808.89099</v>
          </cell>
          <cell r="BA29">
            <v>12966.089840000001</v>
          </cell>
          <cell r="BB29">
            <v>13125.32907</v>
          </cell>
          <cell r="BC29">
            <v>13286.616609999999</v>
          </cell>
          <cell r="BD29">
            <v>13449.967140000001</v>
          </cell>
          <cell r="BE29">
            <v>13615.40079</v>
          </cell>
        </row>
        <row r="30">
          <cell r="B30">
            <v>76741.145310000007</v>
          </cell>
          <cell r="C30">
            <v>77213.069619999995</v>
          </cell>
          <cell r="D30">
            <v>77851.864090000003</v>
          </cell>
          <cell r="E30">
            <v>78605.130959999995</v>
          </cell>
          <cell r="F30">
            <v>79458.889559999996</v>
          </cell>
          <cell r="G30">
            <v>80399.990650000007</v>
          </cell>
          <cell r="H30">
            <v>81368.084189999994</v>
          </cell>
          <cell r="I30">
            <v>82381.107170000003</v>
          </cell>
          <cell r="J30">
            <v>83432.530729999999</v>
          </cell>
          <cell r="K30">
            <v>84514.856969999993</v>
          </cell>
          <cell r="L30">
            <v>85700.370150000002</v>
          </cell>
          <cell r="M30">
            <v>86846.083780000001</v>
          </cell>
          <cell r="N30">
            <v>87995.823569999993</v>
          </cell>
          <cell r="O30">
            <v>89150.908160000006</v>
          </cell>
          <cell r="P30">
            <v>90310.81826</v>
          </cell>
          <cell r="Q30">
            <v>91475.342910000007</v>
          </cell>
          <cell r="R30">
            <v>92638.368539999996</v>
          </cell>
          <cell r="S30">
            <v>93805.912460000007</v>
          </cell>
          <cell r="T30">
            <v>94979.644180000003</v>
          </cell>
          <cell r="U30">
            <v>96161.061570000005</v>
          </cell>
          <cell r="V30">
            <v>97293.860289999997</v>
          </cell>
          <cell r="W30">
            <v>98475.454440000001</v>
          </cell>
          <cell r="X30">
            <v>99675.701730000001</v>
          </cell>
          <cell r="Y30">
            <v>100893.0751</v>
          </cell>
          <cell r="Z30">
            <v>102127.8152</v>
          </cell>
          <cell r="AA30">
            <v>103215.1872</v>
          </cell>
          <cell r="AB30">
            <v>104354.3556</v>
          </cell>
          <cell r="AC30">
            <v>105504.5338</v>
          </cell>
          <cell r="AD30">
            <v>106666.8324</v>
          </cell>
          <cell r="AE30">
            <v>107844.0796</v>
          </cell>
          <cell r="AF30">
            <v>109038.8094</v>
          </cell>
          <cell r="AG30">
            <v>110254.32919999999</v>
          </cell>
          <cell r="AH30">
            <v>111490.6676</v>
          </cell>
          <cell r="AI30">
            <v>112748.30839999999</v>
          </cell>
          <cell r="AJ30">
            <v>114027.398</v>
          </cell>
          <cell r="AK30">
            <v>115327.84020000001</v>
          </cell>
          <cell r="AL30">
            <v>116622.96189999999</v>
          </cell>
          <cell r="AM30">
            <v>117927.9132</v>
          </cell>
          <cell r="AN30">
            <v>119245.6223</v>
          </cell>
          <cell r="AO30">
            <v>120577.7754</v>
          </cell>
          <cell r="AP30">
            <v>121925.7029</v>
          </cell>
          <cell r="AQ30">
            <v>123292.5788</v>
          </cell>
          <cell r="AR30">
            <v>124677.66130000001</v>
          </cell>
          <cell r="AS30">
            <v>126081.34540000001</v>
          </cell>
          <cell r="AT30">
            <v>127503.88400000001</v>
          </cell>
          <cell r="AU30">
            <v>128945.3809</v>
          </cell>
          <cell r="AV30">
            <v>130416.4068</v>
          </cell>
          <cell r="AW30">
            <v>131909.19450000001</v>
          </cell>
          <cell r="AX30">
            <v>133422.54730000001</v>
          </cell>
          <cell r="AY30">
            <v>134955.7697</v>
          </cell>
          <cell r="AZ30">
            <v>136508.40280000001</v>
          </cell>
          <cell r="BA30">
            <v>138084.61110000001</v>
          </cell>
          <cell r="BB30">
            <v>139680.90650000001</v>
          </cell>
          <cell r="BC30">
            <v>141296.8487</v>
          </cell>
          <cell r="BD30">
            <v>142932.28890000001</v>
          </cell>
          <cell r="BE30">
            <v>144587.24189999999</v>
          </cell>
        </row>
        <row r="31">
          <cell r="B31">
            <v>78186.892730000007</v>
          </cell>
          <cell r="C31">
            <v>79053.502139999997</v>
          </cell>
          <cell r="D31">
            <v>79983.625880000007</v>
          </cell>
          <cell r="E31">
            <v>80977.608479999995</v>
          </cell>
          <cell r="F31">
            <v>82035.335640000005</v>
          </cell>
          <cell r="G31">
            <v>83150.419769999993</v>
          </cell>
          <cell r="H31">
            <v>84267.932629999996</v>
          </cell>
          <cell r="I31">
            <v>85411.235010000004</v>
          </cell>
          <cell r="J31">
            <v>86579.198510000002</v>
          </cell>
          <cell r="K31">
            <v>87769.317739999999</v>
          </cell>
          <cell r="L31">
            <v>89061.556270000001</v>
          </cell>
          <cell r="M31">
            <v>90317.064299999998</v>
          </cell>
          <cell r="N31">
            <v>91579.14503</v>
          </cell>
          <cell r="O31">
            <v>92850.400150000001</v>
          </cell>
          <cell r="P31">
            <v>94131.269610000003</v>
          </cell>
          <cell r="Q31">
            <v>95422.18204</v>
          </cell>
          <cell r="R31">
            <v>96723.892019999999</v>
          </cell>
          <cell r="S31">
            <v>98037.429269999993</v>
          </cell>
          <cell r="T31">
            <v>99363.983479999995</v>
          </cell>
          <cell r="U31">
            <v>100704.8036</v>
          </cell>
          <cell r="V31">
            <v>102000.2254</v>
          </cell>
          <cell r="W31">
            <v>103352.599</v>
          </cell>
          <cell r="X31">
            <v>104729.7493</v>
          </cell>
          <cell r="Y31">
            <v>106129.90119999999</v>
          </cell>
          <cell r="Z31">
            <v>107553.0794</v>
          </cell>
          <cell r="AA31">
            <v>108823.9365</v>
          </cell>
          <cell r="AB31">
            <v>110151.0102</v>
          </cell>
          <cell r="AC31">
            <v>111492.4277</v>
          </cell>
          <cell r="AD31">
            <v>112849.3873</v>
          </cell>
          <cell r="AE31">
            <v>114224.792</v>
          </cell>
          <cell r="AF31">
            <v>115621.1989</v>
          </cell>
          <cell r="AG31">
            <v>117040.4317</v>
          </cell>
          <cell r="AH31">
            <v>118483.607</v>
          </cell>
          <cell r="AI31">
            <v>119951.2743</v>
          </cell>
          <cell r="AJ31">
            <v>121443.57739999999</v>
          </cell>
          <cell r="AK31">
            <v>122960.4011</v>
          </cell>
          <cell r="AL31">
            <v>124459.0546</v>
          </cell>
          <cell r="AM31">
            <v>125966.90820000001</v>
          </cell>
          <cell r="AN31">
            <v>127488.32769999999</v>
          </cell>
          <cell r="AO31">
            <v>129025.80469999999</v>
          </cell>
          <cell r="AP31">
            <v>130581.2674</v>
          </cell>
          <cell r="AQ31">
            <v>132156.28630000001</v>
          </cell>
          <cell r="AR31">
            <v>133752.08859999999</v>
          </cell>
          <cell r="AS31">
            <v>135369.57079999999</v>
          </cell>
          <cell r="AT31">
            <v>137009.3394</v>
          </cell>
          <cell r="AU31">
            <v>138671.77299999999</v>
          </cell>
          <cell r="AV31">
            <v>140360.94690000001</v>
          </cell>
          <cell r="AW31">
            <v>142074.5031</v>
          </cell>
          <cell r="AX31">
            <v>143812.11910000001</v>
          </cell>
          <cell r="AY31">
            <v>145573.53219999999</v>
          </cell>
          <cell r="AZ31">
            <v>147358.5324</v>
          </cell>
          <cell r="BA31">
            <v>149167.0099</v>
          </cell>
          <cell r="BB31">
            <v>150998.96090000001</v>
          </cell>
          <cell r="BC31">
            <v>152854.4762</v>
          </cell>
          <cell r="BD31">
            <v>154733.72510000001</v>
          </cell>
          <cell r="BE31">
            <v>156636.93919999999</v>
          </cell>
        </row>
        <row r="32">
          <cell r="B32">
            <v>14561.726360000001</v>
          </cell>
          <cell r="C32">
            <v>14757.4483</v>
          </cell>
          <cell r="D32">
            <v>14983.262940000001</v>
          </cell>
          <cell r="E32">
            <v>15219.296399999999</v>
          </cell>
          <cell r="F32">
            <v>15460.969080000001</v>
          </cell>
          <cell r="G32">
            <v>15704.794029999999</v>
          </cell>
          <cell r="H32">
            <v>15932.527480000001</v>
          </cell>
          <cell r="I32">
            <v>16158.63322</v>
          </cell>
          <cell r="J32">
            <v>16382.527110000001</v>
          </cell>
          <cell r="K32">
            <v>16604.010279999999</v>
          </cell>
          <cell r="L32">
            <v>16848.864969999999</v>
          </cell>
          <cell r="M32">
            <v>17061.4584</v>
          </cell>
          <cell r="N32">
            <v>17272.147659999999</v>
          </cell>
          <cell r="O32">
            <v>17481.446380000001</v>
          </cell>
          <cell r="P32">
            <v>17689.885770000001</v>
          </cell>
          <cell r="Q32">
            <v>17898.022069999999</v>
          </cell>
          <cell r="R32">
            <v>18102.39676</v>
          </cell>
          <cell r="S32">
            <v>18307.77421</v>
          </cell>
          <cell r="T32">
            <v>18514.75419</v>
          </cell>
          <cell r="U32">
            <v>18723.903699999999</v>
          </cell>
          <cell r="V32">
            <v>18917.246739999999</v>
          </cell>
          <cell r="W32">
            <v>19132.68361</v>
          </cell>
          <cell r="X32">
            <v>19351.85657</v>
          </cell>
          <cell r="Y32">
            <v>19575.077499999999</v>
          </cell>
          <cell r="Z32">
            <v>19802.63421</v>
          </cell>
          <cell r="AA32">
            <v>19982.1921</v>
          </cell>
          <cell r="AB32">
            <v>20196.875459999999</v>
          </cell>
          <cell r="AC32">
            <v>20416.890439999999</v>
          </cell>
          <cell r="AD32">
            <v>20642.349010000002</v>
          </cell>
          <cell r="AE32">
            <v>20873.315689999999</v>
          </cell>
          <cell r="AF32">
            <v>21109.807239999998</v>
          </cell>
          <cell r="AG32">
            <v>21352.69832</v>
          </cell>
          <cell r="AH32">
            <v>21601.004260000002</v>
          </cell>
          <cell r="AI32">
            <v>21854.620869999999</v>
          </cell>
          <cell r="AJ32">
            <v>22113.421320000001</v>
          </cell>
          <cell r="AK32">
            <v>22377.26612</v>
          </cell>
          <cell r="AL32">
            <v>22641.51712</v>
          </cell>
          <cell r="AM32">
            <v>22910.457999999999</v>
          </cell>
          <cell r="AN32">
            <v>23184.00865</v>
          </cell>
          <cell r="AO32">
            <v>23462.06381</v>
          </cell>
          <cell r="AP32">
            <v>23744.519069999998</v>
          </cell>
          <cell r="AQ32">
            <v>24032.559600000001</v>
          </cell>
          <cell r="AR32">
            <v>24324.830539999999</v>
          </cell>
          <cell r="AS32">
            <v>24621.26283</v>
          </cell>
          <cell r="AT32">
            <v>24921.79796</v>
          </cell>
          <cell r="AU32">
            <v>25226.387849999999</v>
          </cell>
          <cell r="AV32">
            <v>25540.447110000001</v>
          </cell>
          <cell r="AW32">
            <v>25858.51311</v>
          </cell>
          <cell r="AX32">
            <v>26180.53946</v>
          </cell>
          <cell r="AY32">
            <v>26506.493470000001</v>
          </cell>
          <cell r="AZ32">
            <v>26836.362929999999</v>
          </cell>
          <cell r="BA32">
            <v>27172.878199999999</v>
          </cell>
          <cell r="BB32">
            <v>27513.375459999999</v>
          </cell>
          <cell r="BC32">
            <v>27857.888999999999</v>
          </cell>
          <cell r="BD32">
            <v>28206.46242</v>
          </cell>
          <cell r="BE32">
            <v>28559.151160000001</v>
          </cell>
        </row>
        <row r="33">
          <cell r="B33">
            <v>15488.613649999999</v>
          </cell>
          <cell r="C33">
            <v>15731.88845</v>
          </cell>
          <cell r="D33">
            <v>15998.2899</v>
          </cell>
          <cell r="E33">
            <v>16271.259609999999</v>
          </cell>
          <cell r="F33">
            <v>16549.12199</v>
          </cell>
          <cell r="G33">
            <v>16830.225589999998</v>
          </cell>
          <cell r="H33">
            <v>17097.328440000001</v>
          </cell>
          <cell r="I33">
            <v>17365.453580000001</v>
          </cell>
          <cell r="J33">
            <v>17634.3485</v>
          </cell>
          <cell r="K33">
            <v>17904.02864</v>
          </cell>
          <cell r="L33">
            <v>18202.513040000002</v>
          </cell>
          <cell r="M33">
            <v>18474.223190000001</v>
          </cell>
          <cell r="N33">
            <v>18747.39474</v>
          </cell>
          <cell r="O33">
            <v>19022.533589999999</v>
          </cell>
          <cell r="P33">
            <v>19300.129730000001</v>
          </cell>
          <cell r="Q33">
            <v>19580.66704</v>
          </cell>
          <cell r="R33">
            <v>19864.623660000001</v>
          </cell>
          <cell r="S33">
            <v>20152.467209999999</v>
          </cell>
          <cell r="T33">
            <v>20444.647300000001</v>
          </cell>
          <cell r="U33">
            <v>20741.58754</v>
          </cell>
          <cell r="V33">
            <v>21023.1021</v>
          </cell>
          <cell r="W33">
            <v>21330.880270000001</v>
          </cell>
          <cell r="X33">
            <v>21644.625970000001</v>
          </cell>
          <cell r="Y33">
            <v>21964.545819999999</v>
          </cell>
          <cell r="Z33">
            <v>22290.83293</v>
          </cell>
          <cell r="AA33">
            <v>22564.225999999999</v>
          </cell>
          <cell r="AB33">
            <v>22875.979660000001</v>
          </cell>
          <cell r="AC33">
            <v>23194.78427</v>
          </cell>
          <cell r="AD33">
            <v>23520.729739999999</v>
          </cell>
          <cell r="AE33">
            <v>23853.868770000001</v>
          </cell>
          <cell r="AF33">
            <v>24194.210780000001</v>
          </cell>
          <cell r="AG33">
            <v>24541.7222</v>
          </cell>
          <cell r="AH33">
            <v>24896.330620000001</v>
          </cell>
          <cell r="AI33">
            <v>25257.93262</v>
          </cell>
          <cell r="AJ33">
            <v>25626.40393</v>
          </cell>
          <cell r="AK33">
            <v>26001.610189999999</v>
          </cell>
          <cell r="AL33">
            <v>26368.931550000001</v>
          </cell>
          <cell r="AM33">
            <v>26742.646639999999</v>
          </cell>
          <cell r="AN33">
            <v>27122.745009999999</v>
          </cell>
          <cell r="AO33">
            <v>27509.187440000002</v>
          </cell>
          <cell r="AP33">
            <v>27901.924360000001</v>
          </cell>
          <cell r="AQ33">
            <v>28300.902740000001</v>
          </cell>
          <cell r="AR33">
            <v>28706.068360000001</v>
          </cell>
          <cell r="AS33">
            <v>29117.366429999998</v>
          </cell>
          <cell r="AT33">
            <v>29534.742460000001</v>
          </cell>
          <cell r="AU33">
            <v>29958.143830000001</v>
          </cell>
          <cell r="AV33">
            <v>30388.84633</v>
          </cell>
          <cell r="AW33">
            <v>30825.490419999998</v>
          </cell>
          <cell r="AX33">
            <v>31268.032319999998</v>
          </cell>
          <cell r="AY33">
            <v>31716.441889999998</v>
          </cell>
          <cell r="AZ33">
            <v>32170.704030000001</v>
          </cell>
          <cell r="BA33">
            <v>32630.819210000001</v>
          </cell>
          <cell r="BB33">
            <v>33096.802810000001</v>
          </cell>
          <cell r="BC33">
            <v>33568.683660000002</v>
          </cell>
          <cell r="BD33">
            <v>34046.502289999997</v>
          </cell>
          <cell r="BE33">
            <v>34530.309130000001</v>
          </cell>
        </row>
        <row r="34">
          <cell r="B34">
            <v>20013.910619999999</v>
          </cell>
          <cell r="C34">
            <v>20224.263729999999</v>
          </cell>
          <cell r="D34">
            <v>20479.39069</v>
          </cell>
          <cell r="E34">
            <v>20763.378779999999</v>
          </cell>
          <cell r="F34">
            <v>21074.492300000002</v>
          </cell>
          <cell r="G34">
            <v>21411.031340000001</v>
          </cell>
          <cell r="H34">
            <v>21752.69471</v>
          </cell>
          <cell r="I34">
            <v>22109.252130000001</v>
          </cell>
          <cell r="J34">
            <v>22478.85266</v>
          </cell>
          <cell r="K34">
            <v>22859.30731</v>
          </cell>
          <cell r="L34">
            <v>23278.588909999999</v>
          </cell>
          <cell r="M34">
            <v>23680.607779999998</v>
          </cell>
          <cell r="N34">
            <v>24085.695309999999</v>
          </cell>
          <cell r="O34">
            <v>24493.650850000002</v>
          </cell>
          <cell r="P34">
            <v>24904.2212</v>
          </cell>
          <cell r="Q34">
            <v>25317.393319999999</v>
          </cell>
          <cell r="R34">
            <v>25730.145769999999</v>
          </cell>
          <cell r="S34">
            <v>26145.736440000001</v>
          </cell>
          <cell r="T34">
            <v>26564.724999999999</v>
          </cell>
          <cell r="U34">
            <v>26987.677210000002</v>
          </cell>
          <cell r="V34">
            <v>27392.69701</v>
          </cell>
          <cell r="W34">
            <v>27818.368589999998</v>
          </cell>
          <cell r="X34">
            <v>28251.51568</v>
          </cell>
          <cell r="Y34">
            <v>28692.165799999999</v>
          </cell>
          <cell r="Z34">
            <v>29140.57127</v>
          </cell>
          <cell r="AA34">
            <v>29532.047729999998</v>
          </cell>
          <cell r="AB34">
            <v>29946.688890000001</v>
          </cell>
          <cell r="AC34">
            <v>30365.209559999999</v>
          </cell>
          <cell r="AD34">
            <v>30788.89604</v>
          </cell>
          <cell r="AE34">
            <v>31219.151119999999</v>
          </cell>
          <cell r="AF34">
            <v>31657.139319999998</v>
          </cell>
          <cell r="AG34">
            <v>32104.45594</v>
          </cell>
          <cell r="AH34">
            <v>32561.044129999998</v>
          </cell>
          <cell r="AI34">
            <v>33027.22954</v>
          </cell>
          <cell r="AJ34">
            <v>33503.180780000002</v>
          </cell>
          <cell r="AK34">
            <v>33988.962879999999</v>
          </cell>
          <cell r="AL34">
            <v>34475.320749999999</v>
          </cell>
          <cell r="AM34">
            <v>34967.017529999997</v>
          </cell>
          <cell r="AN34">
            <v>35465.083299999998</v>
          </cell>
          <cell r="AO34">
            <v>35970.296580000002</v>
          </cell>
          <cell r="AP34">
            <v>36483.34014</v>
          </cell>
          <cell r="AQ34">
            <v>37005.85138</v>
          </cell>
          <cell r="AR34">
            <v>37537.412530000001</v>
          </cell>
          <cell r="AS34">
            <v>38078.326959999999</v>
          </cell>
          <cell r="AT34">
            <v>38628.797530000003</v>
          </cell>
          <cell r="AU34">
            <v>39188.948239999998</v>
          </cell>
          <cell r="AV34">
            <v>39763.876819999998</v>
          </cell>
          <cell r="AW34">
            <v>40349.681400000001</v>
          </cell>
          <cell r="AX34">
            <v>40946.104939999997</v>
          </cell>
          <cell r="AY34">
            <v>41552.958780000001</v>
          </cell>
          <cell r="AZ34">
            <v>42170.116260000003</v>
          </cell>
          <cell r="BA34">
            <v>42799.774740000001</v>
          </cell>
          <cell r="BB34">
            <v>43440.048629999998</v>
          </cell>
          <cell r="BC34">
            <v>44090.872230000001</v>
          </cell>
          <cell r="BD34">
            <v>44752.242619999997</v>
          </cell>
          <cell r="BE34">
            <v>45424.213519999998</v>
          </cell>
        </row>
        <row r="35">
          <cell r="B35">
            <v>20693.635730000002</v>
          </cell>
          <cell r="C35">
            <v>21015.807949999999</v>
          </cell>
          <cell r="D35">
            <v>21379.066360000001</v>
          </cell>
          <cell r="E35">
            <v>21763.414580000001</v>
          </cell>
          <cell r="F35">
            <v>22164.718440000001</v>
          </cell>
          <cell r="G35">
            <v>22581.112130000001</v>
          </cell>
          <cell r="H35">
            <v>22993.303790000002</v>
          </cell>
          <cell r="I35">
            <v>23412.814320000001</v>
          </cell>
          <cell r="J35">
            <v>23839.788260000001</v>
          </cell>
          <cell r="K35">
            <v>24273.981039999999</v>
          </cell>
          <cell r="L35">
            <v>24746.95361</v>
          </cell>
          <cell r="M35">
            <v>25203.933229999999</v>
          </cell>
          <cell r="N35">
            <v>25664.738239999999</v>
          </cell>
          <cell r="O35">
            <v>26129.796620000001</v>
          </cell>
          <cell r="P35">
            <v>26599.301520000001</v>
          </cell>
          <cell r="Q35">
            <v>27073.54666</v>
          </cell>
          <cell r="R35">
            <v>27552.95463</v>
          </cell>
          <cell r="S35">
            <v>28038.036889999999</v>
          </cell>
          <cell r="T35">
            <v>28529.34765</v>
          </cell>
          <cell r="U35">
            <v>29027.44832</v>
          </cell>
          <cell r="V35">
            <v>29508.670569999998</v>
          </cell>
          <cell r="W35">
            <v>30014.553639999998</v>
          </cell>
          <cell r="X35">
            <v>30530.72335</v>
          </cell>
          <cell r="Y35">
            <v>31057.194520000001</v>
          </cell>
          <cell r="Z35">
            <v>31594.190770000001</v>
          </cell>
          <cell r="AA35">
            <v>32071.226129999999</v>
          </cell>
          <cell r="AB35">
            <v>32574.137859999999</v>
          </cell>
          <cell r="AC35">
            <v>33082.762110000003</v>
          </cell>
          <cell r="AD35">
            <v>33598.472390000003</v>
          </cell>
          <cell r="AE35">
            <v>34122.751579999996</v>
          </cell>
          <cell r="AF35">
            <v>34656.817569999999</v>
          </cell>
          <cell r="AG35">
            <v>35201.557889999996</v>
          </cell>
          <cell r="AH35">
            <v>35757.560859999998</v>
          </cell>
          <cell r="AI35">
            <v>36325.17841</v>
          </cell>
          <cell r="AJ35">
            <v>36904.594080000003</v>
          </cell>
          <cell r="AK35">
            <v>37495.883320000001</v>
          </cell>
          <cell r="AL35">
            <v>38081.565240000004</v>
          </cell>
          <cell r="AM35">
            <v>38673.282630000002</v>
          </cell>
          <cell r="AN35">
            <v>39272.387620000001</v>
          </cell>
          <cell r="AO35">
            <v>39879.942159999999</v>
          </cell>
          <cell r="AP35">
            <v>40496.882749999997</v>
          </cell>
          <cell r="AQ35">
            <v>41124.016049999998</v>
          </cell>
          <cell r="AR35">
            <v>41762.000630000002</v>
          </cell>
          <cell r="AS35">
            <v>42411.345580000001</v>
          </cell>
          <cell r="AT35">
            <v>43072.426270000004</v>
          </cell>
          <cell r="AU35">
            <v>43745.510779999997</v>
          </cell>
          <cell r="AV35">
            <v>44432.411399999997</v>
          </cell>
          <cell r="AW35">
            <v>45132.203849999998</v>
          </cell>
          <cell r="AX35">
            <v>45844.878089999998</v>
          </cell>
          <cell r="AY35">
            <v>46570.42916</v>
          </cell>
          <cell r="AZ35">
            <v>47308.862350000003</v>
          </cell>
          <cell r="BA35">
            <v>48060.209569999999</v>
          </cell>
          <cell r="BB35">
            <v>48824.537929999999</v>
          </cell>
          <cell r="BC35">
            <v>49601.951029999997</v>
          </cell>
          <cell r="BD35">
            <v>50392.585610000002</v>
          </cell>
          <cell r="BE35">
            <v>51196.606189999999</v>
          </cell>
        </row>
        <row r="36">
          <cell r="B36">
            <v>1984355.412</v>
          </cell>
          <cell r="C36">
            <v>1995932.2409999999</v>
          </cell>
          <cell r="D36">
            <v>2013407.96</v>
          </cell>
          <cell r="E36">
            <v>2034815.9</v>
          </cell>
          <cell r="F36">
            <v>2059427.5870000001</v>
          </cell>
          <cell r="G36">
            <v>2086748.3030000001</v>
          </cell>
          <cell r="H36">
            <v>2115121.696</v>
          </cell>
          <cell r="I36">
            <v>2144896.108</v>
          </cell>
          <cell r="J36">
            <v>2175918.4</v>
          </cell>
          <cell r="K36">
            <v>2208007.409</v>
          </cell>
          <cell r="L36">
            <v>2243126.429</v>
          </cell>
          <cell r="M36">
            <v>2277670.1549999998</v>
          </cell>
          <cell r="N36">
            <v>2312525.5699999998</v>
          </cell>
          <cell r="O36">
            <v>2347720.4649999999</v>
          </cell>
          <cell r="P36">
            <v>2383238.7779999999</v>
          </cell>
          <cell r="Q36">
            <v>2419071.2719999999</v>
          </cell>
          <cell r="R36">
            <v>2455068.5240000002</v>
          </cell>
          <cell r="S36">
            <v>2491352.98</v>
          </cell>
          <cell r="T36">
            <v>2527962.176</v>
          </cell>
          <cell r="U36">
            <v>2564927.6570000001</v>
          </cell>
          <cell r="V36">
            <v>2600707.7379999999</v>
          </cell>
          <cell r="W36">
            <v>2637765.4890000001</v>
          </cell>
          <cell r="X36">
            <v>2675471.477</v>
          </cell>
          <cell r="Y36">
            <v>2713777.37</v>
          </cell>
          <cell r="Z36">
            <v>2752676.4610000001</v>
          </cell>
          <cell r="AA36">
            <v>2787655.091</v>
          </cell>
          <cell r="AB36">
            <v>2823625.5</v>
          </cell>
          <cell r="AC36">
            <v>2859823.2850000001</v>
          </cell>
          <cell r="AD36">
            <v>2896316.6230000001</v>
          </cell>
          <cell r="AE36">
            <v>2933206.8590000002</v>
          </cell>
          <cell r="AF36">
            <v>2970581.8110000002</v>
          </cell>
          <cell r="AG36">
            <v>3008541.1230000001</v>
          </cell>
          <cell r="AH36">
            <v>3047103.3360000001</v>
          </cell>
          <cell r="AI36">
            <v>3086288.5860000001</v>
          </cell>
          <cell r="AJ36">
            <v>3126105.9109999998</v>
          </cell>
          <cell r="AK36">
            <v>3166556.8760000002</v>
          </cell>
          <cell r="AL36">
            <v>3206868.102</v>
          </cell>
          <cell r="AM36">
            <v>3247404.63</v>
          </cell>
          <cell r="AN36">
            <v>3288264.8689999999</v>
          </cell>
          <cell r="AO36">
            <v>3329516.656</v>
          </cell>
          <cell r="AP36">
            <v>3371217.5060000001</v>
          </cell>
          <cell r="AQ36">
            <v>3413466.8110000002</v>
          </cell>
          <cell r="AR36">
            <v>3456270.9679999999</v>
          </cell>
          <cell r="AS36">
            <v>3499653.0819999999</v>
          </cell>
          <cell r="AT36">
            <v>3543629.4070000001</v>
          </cell>
          <cell r="AU36">
            <v>3588209.84</v>
          </cell>
          <cell r="AV36">
            <v>3633667.1239999998</v>
          </cell>
          <cell r="AW36">
            <v>3679837.0449999999</v>
          </cell>
          <cell r="AX36">
            <v>3726683.98</v>
          </cell>
          <cell r="AY36">
            <v>3774185.8659999999</v>
          </cell>
          <cell r="AZ36">
            <v>3822328.6140000001</v>
          </cell>
          <cell r="BA36">
            <v>3871212.585</v>
          </cell>
          <cell r="BB36">
            <v>3920764.8870000001</v>
          </cell>
          <cell r="BC36">
            <v>3970972.65</v>
          </cell>
          <cell r="BD36">
            <v>4021831.415</v>
          </cell>
          <cell r="BE36">
            <v>4073342.0890000002</v>
          </cell>
        </row>
        <row r="37">
          <cell r="B37">
            <v>2019902.0549999999</v>
          </cell>
          <cell r="C37">
            <v>2044810.273</v>
          </cell>
          <cell r="D37">
            <v>2072261.4310000001</v>
          </cell>
          <cell r="E37">
            <v>2101936.7000000002</v>
          </cell>
          <cell r="F37">
            <v>2133645.0040000002</v>
          </cell>
          <cell r="G37">
            <v>2167136.821</v>
          </cell>
          <cell r="H37">
            <v>2200914.2039999999</v>
          </cell>
          <cell r="I37">
            <v>2235476.017</v>
          </cell>
          <cell r="J37">
            <v>2270821.6359999999</v>
          </cell>
          <cell r="K37">
            <v>2306910.9720000001</v>
          </cell>
          <cell r="L37">
            <v>2345918.372</v>
          </cell>
          <cell r="M37">
            <v>2384349.4640000002</v>
          </cell>
          <cell r="N37">
            <v>2423093.4640000002</v>
          </cell>
          <cell r="O37">
            <v>2462211.8119999999</v>
          </cell>
          <cell r="P37">
            <v>2501713.7250000001</v>
          </cell>
          <cell r="Q37">
            <v>2541607.892</v>
          </cell>
          <cell r="R37">
            <v>2581911.2349999999</v>
          </cell>
          <cell r="S37">
            <v>2622647.588</v>
          </cell>
          <cell r="T37">
            <v>2663844.568</v>
          </cell>
          <cell r="U37">
            <v>2705530.8909999998</v>
          </cell>
          <cell r="V37">
            <v>2746079.9879999999</v>
          </cell>
          <cell r="W37">
            <v>2788080.287</v>
          </cell>
          <cell r="X37">
            <v>2830867.5469999998</v>
          </cell>
          <cell r="Y37">
            <v>2874392.8220000002</v>
          </cell>
          <cell r="Z37">
            <v>2918649.0060000001</v>
          </cell>
          <cell r="AA37">
            <v>2958846.398</v>
          </cell>
          <cell r="AB37">
            <v>3000116.1809999999</v>
          </cell>
          <cell r="AC37">
            <v>3041681.0529999998</v>
          </cell>
          <cell r="AD37">
            <v>3083618.0189999999</v>
          </cell>
          <cell r="AE37">
            <v>3126035.8730000001</v>
          </cell>
          <cell r="AF37">
            <v>3169026.9079999998</v>
          </cell>
          <cell r="AG37">
            <v>3212657.7</v>
          </cell>
          <cell r="AH37">
            <v>3256970.85</v>
          </cell>
          <cell r="AI37">
            <v>3301990.0219999999</v>
          </cell>
          <cell r="AJ37">
            <v>3347725.5380000002</v>
          </cell>
          <cell r="AK37">
            <v>3394179.3769999999</v>
          </cell>
          <cell r="AL37">
            <v>3440186.3840000001</v>
          </cell>
          <cell r="AM37">
            <v>3486366.2560000001</v>
          </cell>
          <cell r="AN37">
            <v>3532862.7829999998</v>
          </cell>
          <cell r="AO37">
            <v>3579772.031</v>
          </cell>
          <cell r="AP37">
            <v>3627172.4789999998</v>
          </cell>
          <cell r="AQ37">
            <v>3675129.43</v>
          </cell>
          <cell r="AR37">
            <v>3723695.1209999998</v>
          </cell>
          <cell r="AS37">
            <v>3772909.213</v>
          </cell>
          <cell r="AT37">
            <v>3822800.3590000002</v>
          </cell>
          <cell r="AU37">
            <v>3873388.6189999999</v>
          </cell>
          <cell r="AV37">
            <v>3924794.4890000001</v>
          </cell>
          <cell r="AW37">
            <v>3976973.6439999999</v>
          </cell>
          <cell r="AX37">
            <v>4029921.9679999999</v>
          </cell>
          <cell r="AY37">
            <v>4083632.628</v>
          </cell>
          <cell r="AZ37">
            <v>4138100.2510000002</v>
          </cell>
          <cell r="BA37">
            <v>4193323.639</v>
          </cell>
          <cell r="BB37">
            <v>4249305.5779999997</v>
          </cell>
          <cell r="BC37">
            <v>4306051.9939999999</v>
          </cell>
          <cell r="BD37">
            <v>4363571.1610000003</v>
          </cell>
          <cell r="BE37">
            <v>4421873.0889999997</v>
          </cell>
        </row>
        <row r="38">
          <cell r="B38">
            <v>539142.42500000005</v>
          </cell>
          <cell r="C38">
            <v>546213.05519999994</v>
          </cell>
          <cell r="D38">
            <v>554150.08429999999</v>
          </cell>
          <cell r="E38">
            <v>562462.16780000005</v>
          </cell>
          <cell r="F38">
            <v>571118.85380000004</v>
          </cell>
          <cell r="G38">
            <v>580091.87970000005</v>
          </cell>
          <cell r="H38">
            <v>588842.95739999996</v>
          </cell>
          <cell r="I38">
            <v>597804.01699999999</v>
          </cell>
          <cell r="J38">
            <v>606962.31709999999</v>
          </cell>
          <cell r="K38">
            <v>616304.05469999998</v>
          </cell>
          <cell r="L38">
            <v>626705.15480000002</v>
          </cell>
          <cell r="M38">
            <v>636452.57499999995</v>
          </cell>
          <cell r="N38">
            <v>646335.07310000004</v>
          </cell>
          <cell r="O38">
            <v>656356.78949999996</v>
          </cell>
          <cell r="P38">
            <v>666517.79559999995</v>
          </cell>
          <cell r="Q38">
            <v>676818.9399</v>
          </cell>
          <cell r="R38">
            <v>687254.34160000004</v>
          </cell>
          <cell r="S38">
            <v>697831.60089999996</v>
          </cell>
          <cell r="T38">
            <v>708554.89809999999</v>
          </cell>
          <cell r="U38">
            <v>719428.11549999996</v>
          </cell>
          <cell r="V38">
            <v>729794.00150000001</v>
          </cell>
          <cell r="W38">
            <v>740920.15729999996</v>
          </cell>
          <cell r="X38">
            <v>752221.45600000001</v>
          </cell>
          <cell r="Y38">
            <v>763696.0784</v>
          </cell>
          <cell r="Z38">
            <v>775346.02830000001</v>
          </cell>
          <cell r="AA38">
            <v>785260.24540000001</v>
          </cell>
          <cell r="AB38">
            <v>796194.21950000001</v>
          </cell>
          <cell r="AC38">
            <v>807260.80200000003</v>
          </cell>
          <cell r="AD38">
            <v>818465.40540000005</v>
          </cell>
          <cell r="AE38">
            <v>829817.84510000004</v>
          </cell>
          <cell r="AF38">
            <v>841327.00959999999</v>
          </cell>
          <cell r="AG38">
            <v>853001.69799999997</v>
          </cell>
          <cell r="AH38">
            <v>864846.00179999997</v>
          </cell>
          <cell r="AI38">
            <v>876863.40460000001</v>
          </cell>
          <cell r="AJ38">
            <v>889056.50939999998</v>
          </cell>
          <cell r="AK38">
            <v>901427.38049999997</v>
          </cell>
          <cell r="AL38">
            <v>913529.28670000006</v>
          </cell>
          <cell r="AM38">
            <v>925773.15819999995</v>
          </cell>
          <cell r="AN38">
            <v>938167.94050000003</v>
          </cell>
          <cell r="AO38">
            <v>950720.02040000004</v>
          </cell>
          <cell r="AP38">
            <v>963435.41359999997</v>
          </cell>
          <cell r="AQ38">
            <v>976322.36369999999</v>
          </cell>
          <cell r="AR38">
            <v>989384.33920000005</v>
          </cell>
          <cell r="AS38">
            <v>1002625.147</v>
          </cell>
          <cell r="AT38">
            <v>1016047.992</v>
          </cell>
          <cell r="AU38">
            <v>1029655.56</v>
          </cell>
          <cell r="AV38">
            <v>1043501.1850000001</v>
          </cell>
          <cell r="AW38">
            <v>1057543.679</v>
          </cell>
          <cell r="AX38">
            <v>1071782.6910000001</v>
          </cell>
          <cell r="AY38">
            <v>1086218.746</v>
          </cell>
          <cell r="AZ38">
            <v>1100852.8929999999</v>
          </cell>
          <cell r="BA38">
            <v>1115692.29</v>
          </cell>
          <cell r="BB38">
            <v>1130735.595</v>
          </cell>
          <cell r="BC38">
            <v>1145984.0930000001</v>
          </cell>
          <cell r="BD38">
            <v>1161439.629</v>
          </cell>
          <cell r="BE38">
            <v>1177104.442</v>
          </cell>
        </row>
        <row r="39">
          <cell r="B39">
            <v>540981.0466</v>
          </cell>
          <cell r="C39">
            <v>548901.4817</v>
          </cell>
          <cell r="D39">
            <v>557490.91910000006</v>
          </cell>
          <cell r="E39">
            <v>566341.1605</v>
          </cell>
          <cell r="F39">
            <v>575449.53619999997</v>
          </cell>
          <cell r="G39">
            <v>584803.37430000002</v>
          </cell>
          <cell r="H39">
            <v>593876.6446</v>
          </cell>
          <cell r="I39">
            <v>603113.36410000001</v>
          </cell>
          <cell r="J39">
            <v>612512.49650000001</v>
          </cell>
          <cell r="K39">
            <v>622070.52430000005</v>
          </cell>
          <cell r="L39">
            <v>632676.5527</v>
          </cell>
          <cell r="M39">
            <v>642625.07449999999</v>
          </cell>
          <cell r="N39">
            <v>652706.25890000002</v>
          </cell>
          <cell r="O39">
            <v>662926.51119999995</v>
          </cell>
          <cell r="P39">
            <v>673287.55870000005</v>
          </cell>
          <cell r="Q39">
            <v>683791.47719999996</v>
          </cell>
          <cell r="R39">
            <v>694441.23620000004</v>
          </cell>
          <cell r="S39">
            <v>705240.4325</v>
          </cell>
          <cell r="T39">
            <v>716192.95920000004</v>
          </cell>
          <cell r="U39">
            <v>727302.77060000005</v>
          </cell>
          <cell r="V39">
            <v>737908.52509999997</v>
          </cell>
          <cell r="W39">
            <v>749283.97779999999</v>
          </cell>
          <cell r="X39">
            <v>760842.83409999998</v>
          </cell>
          <cell r="Y39">
            <v>772583.45510000002</v>
          </cell>
          <cell r="Z39">
            <v>784507.98010000004</v>
          </cell>
          <cell r="AA39">
            <v>794691.52450000006</v>
          </cell>
          <cell r="AB39">
            <v>805899.22389999998</v>
          </cell>
          <cell r="AC39">
            <v>817243.67949999997</v>
          </cell>
          <cell r="AD39">
            <v>828730.90370000002</v>
          </cell>
          <cell r="AE39">
            <v>840371.23939999996</v>
          </cell>
          <cell r="AF39">
            <v>852173.88809999998</v>
          </cell>
          <cell r="AG39">
            <v>864145.96230000001</v>
          </cell>
          <cell r="AH39">
            <v>876292.62910000002</v>
          </cell>
          <cell r="AI39">
            <v>888617.5577</v>
          </cell>
          <cell r="AJ39">
            <v>901123.40469999996</v>
          </cell>
          <cell r="AK39">
            <v>913812.23199999996</v>
          </cell>
          <cell r="AL39">
            <v>926217.04130000004</v>
          </cell>
          <cell r="AM39">
            <v>938760.11250000005</v>
          </cell>
          <cell r="AN39">
            <v>951453.07869999995</v>
          </cell>
          <cell r="AO39">
            <v>964304.1263</v>
          </cell>
          <cell r="AP39">
            <v>977320.65460000001</v>
          </cell>
          <cell r="AQ39">
            <v>990509.3665</v>
          </cell>
          <cell r="AR39">
            <v>1003876.086</v>
          </cell>
          <cell r="AS39">
            <v>1017425.699</v>
          </cell>
          <cell r="AT39">
            <v>1031162.238</v>
          </cell>
          <cell r="AU39">
            <v>1045089.071</v>
          </cell>
          <cell r="AV39">
            <v>1059251.7309999999</v>
          </cell>
          <cell r="AW39">
            <v>1073614.7919999999</v>
          </cell>
          <cell r="AX39">
            <v>1088179.933</v>
          </cell>
          <cell r="AY39">
            <v>1102948.649</v>
          </cell>
          <cell r="AZ39">
            <v>1117922.5419999999</v>
          </cell>
          <cell r="BA39">
            <v>1133103.5220000001</v>
          </cell>
          <cell r="BB39">
            <v>1148493.8060000001</v>
          </cell>
          <cell r="BC39">
            <v>1164095.858</v>
          </cell>
          <cell r="BD39">
            <v>1179912.344</v>
          </cell>
          <cell r="BE39">
            <v>1195946.08</v>
          </cell>
        </row>
        <row r="40">
          <cell r="B40">
            <v>4116.6551319999999</v>
          </cell>
          <cell r="C40">
            <v>4133.2717130000001</v>
          </cell>
          <cell r="D40">
            <v>4167.1891670000005</v>
          </cell>
          <cell r="E40">
            <v>4210.7671449999998</v>
          </cell>
          <cell r="F40">
            <v>4261.5232349999997</v>
          </cell>
          <cell r="G40">
            <v>4317.8846679999997</v>
          </cell>
          <cell r="H40">
            <v>4375.916166</v>
          </cell>
          <cell r="I40">
            <v>4436.3784180000002</v>
          </cell>
          <cell r="J40">
            <v>4498.8660650000002</v>
          </cell>
          <cell r="K40">
            <v>4562.9279180000003</v>
          </cell>
          <cell r="L40">
            <v>4632.6936130000004</v>
          </cell>
          <cell r="M40">
            <v>4699.9844579999999</v>
          </cell>
          <cell r="N40">
            <v>4767.1973740000003</v>
          </cell>
          <cell r="O40">
            <v>4834.53838</v>
          </cell>
          <cell r="P40">
            <v>4902.0388970000004</v>
          </cell>
          <cell r="Q40">
            <v>4969.7327139999998</v>
          </cell>
          <cell r="R40">
            <v>5037.207907</v>
          </cell>
          <cell r="S40">
            <v>5104.9453100000001</v>
          </cell>
          <cell r="T40">
            <v>5173.1093460000002</v>
          </cell>
          <cell r="U40">
            <v>5241.8364350000002</v>
          </cell>
          <cell r="V40">
            <v>5307.951693</v>
          </cell>
          <cell r="W40">
            <v>5376.979053</v>
          </cell>
          <cell r="X40">
            <v>5447.3941709999999</v>
          </cell>
          <cell r="Y40">
            <v>5519.0761519999996</v>
          </cell>
          <cell r="Z40">
            <v>5592.0434279999999</v>
          </cell>
          <cell r="AA40">
            <v>5656.8974850000004</v>
          </cell>
          <cell r="AB40">
            <v>5724.8048509999999</v>
          </cell>
          <cell r="AC40">
            <v>5793.7688710000002</v>
          </cell>
          <cell r="AD40">
            <v>5863.7771819999998</v>
          </cell>
          <cell r="AE40">
            <v>5934.9601810000004</v>
          </cell>
          <cell r="AF40">
            <v>6007.443021</v>
          </cell>
          <cell r="AG40">
            <v>6081.4227680000004</v>
          </cell>
          <cell r="AH40">
            <v>6156.8658100000002</v>
          </cell>
          <cell r="AI40">
            <v>6233.778182</v>
          </cell>
          <cell r="AJ40">
            <v>6312.1485940000002</v>
          </cell>
          <cell r="AK40">
            <v>6391.951153</v>
          </cell>
          <cell r="AL40">
            <v>6471.8535959999999</v>
          </cell>
          <cell r="AM40">
            <v>6552.4573149999997</v>
          </cell>
          <cell r="AN40">
            <v>6633.9206969999996</v>
          </cell>
          <cell r="AO40">
            <v>6716.3231960000003</v>
          </cell>
          <cell r="AP40">
            <v>6799.7200819999998</v>
          </cell>
          <cell r="AQ40">
            <v>6884.3080470000004</v>
          </cell>
          <cell r="AR40">
            <v>6970.0015069999999</v>
          </cell>
          <cell r="AS40">
            <v>7056.8031259999998</v>
          </cell>
          <cell r="AT40">
            <v>7144.7147189999996</v>
          </cell>
          <cell r="AU40">
            <v>7233.7325810000002</v>
          </cell>
          <cell r="AV40">
            <v>7324.5769179999998</v>
          </cell>
          <cell r="AW40">
            <v>7416.7198939999998</v>
          </cell>
          <cell r="AX40">
            <v>7510.0656859999999</v>
          </cell>
          <cell r="AY40">
            <v>7604.5658860000003</v>
          </cell>
          <cell r="AZ40">
            <v>7700.1896530000004</v>
          </cell>
          <cell r="BA40">
            <v>7797.248004</v>
          </cell>
          <cell r="BB40">
            <v>7895.4853320000002</v>
          </cell>
          <cell r="BC40">
            <v>7994.8637289999997</v>
          </cell>
          <cell r="BD40">
            <v>8095.3728899999996</v>
          </cell>
          <cell r="BE40">
            <v>8197.0150529999992</v>
          </cell>
        </row>
        <row r="41">
          <cell r="B41">
            <v>4225.5978999999998</v>
          </cell>
          <cell r="C41">
            <v>4270.7791150000003</v>
          </cell>
          <cell r="D41">
            <v>4321.9936740000003</v>
          </cell>
          <cell r="E41">
            <v>4378.725899</v>
          </cell>
          <cell r="F41">
            <v>4440.3850229999998</v>
          </cell>
          <cell r="G41">
            <v>4506.1954809999997</v>
          </cell>
          <cell r="H41">
            <v>4572.6726580000004</v>
          </cell>
          <cell r="I41">
            <v>4640.8869869999999</v>
          </cell>
          <cell r="J41">
            <v>4710.7004870000001</v>
          </cell>
          <cell r="K41">
            <v>4781.9116309999999</v>
          </cell>
          <cell r="L41">
            <v>4859.1181509999997</v>
          </cell>
          <cell r="M41">
            <v>4934.3911019999996</v>
          </cell>
          <cell r="N41">
            <v>5010.0366739999999</v>
          </cell>
          <cell r="O41">
            <v>5086.3180240000002</v>
          </cell>
          <cell r="P41">
            <v>5163.3127109999996</v>
          </cell>
          <cell r="Q41">
            <v>5241.080019</v>
          </cell>
          <cell r="R41">
            <v>5319.6924019999997</v>
          </cell>
          <cell r="S41">
            <v>5399.235987</v>
          </cell>
          <cell r="T41">
            <v>5479.8046059999997</v>
          </cell>
          <cell r="U41">
            <v>5561.4936289999996</v>
          </cell>
          <cell r="V41">
            <v>5640.8637220000001</v>
          </cell>
          <cell r="W41">
            <v>5723.7813059999999</v>
          </cell>
          <cell r="X41">
            <v>5808.5602529999996</v>
          </cell>
          <cell r="Y41">
            <v>5895.0416450000002</v>
          </cell>
          <cell r="Z41">
            <v>5983.2144770000004</v>
          </cell>
          <cell r="AA41">
            <v>6062.8905219999997</v>
          </cell>
          <cell r="AB41">
            <v>6145.9164259999998</v>
          </cell>
          <cell r="AC41">
            <v>6230.2243619999999</v>
          </cell>
          <cell r="AD41">
            <v>6315.7970809999997</v>
          </cell>
          <cell r="AE41">
            <v>6402.7618259999999</v>
          </cell>
          <cell r="AF41">
            <v>6491.2394340000001</v>
          </cell>
          <cell r="AG41">
            <v>6581.3129490000001</v>
          </cell>
          <cell r="AH41">
            <v>6673.0257309999997</v>
          </cell>
          <cell r="AI41">
            <v>6766.3880509999999</v>
          </cell>
          <cell r="AJ41">
            <v>6861.3859810000004</v>
          </cell>
          <cell r="AK41">
            <v>6957.9900960000004</v>
          </cell>
          <cell r="AL41">
            <v>7053.6828809999997</v>
          </cell>
          <cell r="AM41">
            <v>7149.9690449999998</v>
          </cell>
          <cell r="AN41">
            <v>7247.1385060000002</v>
          </cell>
          <cell r="AO41">
            <v>7345.3299349999998</v>
          </cell>
          <cell r="AP41">
            <v>7444.6393269999999</v>
          </cell>
          <cell r="AQ41">
            <v>7545.1413350000003</v>
          </cell>
          <cell r="AR41">
            <v>7646.8927649999996</v>
          </cell>
          <cell r="AS41">
            <v>7749.9337139999998</v>
          </cell>
          <cell r="AT41">
            <v>7854.2895129999997</v>
          </cell>
          <cell r="AU41">
            <v>7959.9734779999999</v>
          </cell>
          <cell r="AV41">
            <v>8067.2152059999999</v>
          </cell>
          <cell r="AW41">
            <v>8175.8803280000002</v>
          </cell>
          <cell r="AX41">
            <v>8285.9401249999992</v>
          </cell>
          <cell r="AY41">
            <v>8397.3808690000005</v>
          </cell>
          <cell r="AZ41">
            <v>8510.1941740000002</v>
          </cell>
          <cell r="BA41">
            <v>8624.3765449999992</v>
          </cell>
          <cell r="BB41">
            <v>8739.9305980000008</v>
          </cell>
          <cell r="BC41">
            <v>8856.8654640000004</v>
          </cell>
          <cell r="BD41">
            <v>8975.1963400000004</v>
          </cell>
          <cell r="BE41">
            <v>9094.9436029999997</v>
          </cell>
        </row>
        <row r="42">
          <cell r="B42">
            <v>34554.321250000001</v>
          </cell>
          <cell r="C42">
            <v>34622.620779999997</v>
          </cell>
          <cell r="D42">
            <v>34733.45235</v>
          </cell>
          <cell r="E42">
            <v>34891.647129999998</v>
          </cell>
          <cell r="F42">
            <v>35104.554250000001</v>
          </cell>
          <cell r="G42">
            <v>35368.442479999998</v>
          </cell>
          <cell r="H42">
            <v>35654.682500000003</v>
          </cell>
          <cell r="I42">
            <v>35970.657729999999</v>
          </cell>
          <cell r="J42">
            <v>36312.124069999998</v>
          </cell>
          <cell r="K42">
            <v>36674.488899999997</v>
          </cell>
          <cell r="L42">
            <v>37086.869500000001</v>
          </cell>
          <cell r="M42">
            <v>37484.803460000003</v>
          </cell>
          <cell r="N42">
            <v>37889.753409999998</v>
          </cell>
          <cell r="O42">
            <v>38301.628290000001</v>
          </cell>
          <cell r="P42">
            <v>38719.271460000004</v>
          </cell>
          <cell r="Q42">
            <v>39141.70854</v>
          </cell>
          <cell r="R42">
            <v>39564.349309999998</v>
          </cell>
          <cell r="S42">
            <v>39990.275509999999</v>
          </cell>
          <cell r="T42">
            <v>40419.589119999997</v>
          </cell>
          <cell r="U42">
            <v>40852.329019999997</v>
          </cell>
          <cell r="V42">
            <v>41264.576179999996</v>
          </cell>
          <cell r="W42">
            <v>41697.940880000002</v>
          </cell>
          <cell r="X42">
            <v>42137.560559999998</v>
          </cell>
          <cell r="Y42">
            <v>42582.431530000002</v>
          </cell>
          <cell r="Z42">
            <v>43032.537080000002</v>
          </cell>
          <cell r="AA42">
            <v>43419.577290000001</v>
          </cell>
          <cell r="AB42">
            <v>43830.835859999999</v>
          </cell>
          <cell r="AC42">
            <v>44245.212310000003</v>
          </cell>
          <cell r="AD42">
            <v>44662.291929999999</v>
          </cell>
          <cell r="AE42">
            <v>45082.834300000002</v>
          </cell>
          <cell r="AF42">
            <v>45507.655959999996</v>
          </cell>
          <cell r="AG42">
            <v>45938.349090000003</v>
          </cell>
          <cell r="AH42">
            <v>46374.722269999998</v>
          </cell>
          <cell r="AI42">
            <v>46817.146399999998</v>
          </cell>
          <cell r="AJ42">
            <v>47265.910279999996</v>
          </cell>
          <cell r="AK42">
            <v>47721.20263</v>
          </cell>
          <cell r="AL42">
            <v>48174.68217</v>
          </cell>
          <cell r="AM42">
            <v>48631.173459999998</v>
          </cell>
          <cell r="AN42">
            <v>49091.680009999996</v>
          </cell>
          <cell r="AO42">
            <v>49556.732660000001</v>
          </cell>
          <cell r="AP42">
            <v>50026.699050000003</v>
          </cell>
          <cell r="AQ42">
            <v>50503.084029999998</v>
          </cell>
          <cell r="AR42">
            <v>50985.025609999997</v>
          </cell>
          <cell r="AS42">
            <v>51472.569770000002</v>
          </cell>
          <cell r="AT42">
            <v>51965.757960000003</v>
          </cell>
          <cell r="AU42">
            <v>52464.5913</v>
          </cell>
          <cell r="AV42">
            <v>52974.806069999999</v>
          </cell>
          <cell r="AW42">
            <v>53492.025289999998</v>
          </cell>
          <cell r="AX42">
            <v>54016.019569999997</v>
          </cell>
          <cell r="AY42">
            <v>54546.733950000002</v>
          </cell>
          <cell r="AZ42">
            <v>55084.060709999998</v>
          </cell>
          <cell r="BA42">
            <v>55630.436739999997</v>
          </cell>
          <cell r="BB42">
            <v>56183.461320000002</v>
          </cell>
          <cell r="BC42">
            <v>56742.79982</v>
          </cell>
          <cell r="BD42">
            <v>57308.258410000002</v>
          </cell>
          <cell r="BE42">
            <v>57879.679329999999</v>
          </cell>
        </row>
        <row r="43">
          <cell r="B43">
            <v>35478.336779999998</v>
          </cell>
          <cell r="C43">
            <v>35744.193520000001</v>
          </cell>
          <cell r="D43">
            <v>36000.990510000003</v>
          </cell>
          <cell r="E43">
            <v>36292.427080000001</v>
          </cell>
          <cell r="F43">
            <v>36629.837039999999</v>
          </cell>
          <cell r="G43">
            <v>37012.753230000002</v>
          </cell>
          <cell r="H43">
            <v>37414.35226</v>
          </cell>
          <cell r="I43">
            <v>37841.751060000002</v>
          </cell>
          <cell r="J43">
            <v>38290.141179999999</v>
          </cell>
          <cell r="K43">
            <v>38755.053050000002</v>
          </cell>
          <cell r="L43">
            <v>39268.913419999997</v>
          </cell>
          <cell r="M43">
            <v>39767.624539999997</v>
          </cell>
          <cell r="N43">
            <v>40272.122259999996</v>
          </cell>
          <cell r="O43">
            <v>40783.065459999998</v>
          </cell>
          <cell r="P43">
            <v>41300.049180000002</v>
          </cell>
          <cell r="Q43">
            <v>41822.701739999997</v>
          </cell>
          <cell r="R43">
            <v>42350.833509999997</v>
          </cell>
          <cell r="S43">
            <v>42884.416620000004</v>
          </cell>
          <cell r="T43">
            <v>43423.541879999997</v>
          </cell>
          <cell r="U43">
            <v>43968.38061</v>
          </cell>
          <cell r="V43">
            <v>44492.661330000003</v>
          </cell>
          <cell r="W43">
            <v>45042.396979999998</v>
          </cell>
          <cell r="X43">
            <v>45601.065990000003</v>
          </cell>
          <cell r="Y43">
            <v>46167.620880000002</v>
          </cell>
          <cell r="Z43">
            <v>46742.053670000001</v>
          </cell>
          <cell r="AA43">
            <v>47248.083250000003</v>
          </cell>
          <cell r="AB43">
            <v>47781.666490000003</v>
          </cell>
          <cell r="AC43">
            <v>48320.337659999997</v>
          </cell>
          <cell r="AD43">
            <v>48863.659090000001</v>
          </cell>
          <cell r="AE43">
            <v>49412.384879999998</v>
          </cell>
          <cell r="AF43">
            <v>49967.35787</v>
          </cell>
          <cell r="AG43">
            <v>50529.292739999997</v>
          </cell>
          <cell r="AH43">
            <v>51098.735569999997</v>
          </cell>
          <cell r="AI43">
            <v>51676.075709999997</v>
          </cell>
          <cell r="AJ43">
            <v>52261.573649999998</v>
          </cell>
          <cell r="AK43">
            <v>52855.392260000001</v>
          </cell>
          <cell r="AL43">
            <v>53439.176769999998</v>
          </cell>
          <cell r="AM43">
            <v>54026.269650000002</v>
          </cell>
          <cell r="AN43">
            <v>54618.351390000003</v>
          </cell>
          <cell r="AO43">
            <v>55216.19066</v>
          </cell>
          <cell r="AP43">
            <v>55820.364029999997</v>
          </cell>
          <cell r="AQ43">
            <v>56431.367890000001</v>
          </cell>
          <cell r="AR43">
            <v>57049.624490000002</v>
          </cell>
          <cell r="AS43">
            <v>57675.475850000003</v>
          </cell>
          <cell r="AT43">
            <v>58309.178229999998</v>
          </cell>
          <cell r="AU43">
            <v>58950.884019999998</v>
          </cell>
          <cell r="AV43">
            <v>59602.196300000003</v>
          </cell>
          <cell r="AW43">
            <v>60261.943800000001</v>
          </cell>
          <cell r="AX43">
            <v>60929.872730000003</v>
          </cell>
          <cell r="AY43">
            <v>61606.433440000001</v>
          </cell>
          <cell r="AZ43">
            <v>62292.006000000001</v>
          </cell>
          <cell r="BA43">
            <v>62986.714670000001</v>
          </cell>
          <cell r="BB43">
            <v>63690.552089999997</v>
          </cell>
          <cell r="BC43">
            <v>64403.486920000003</v>
          </cell>
          <cell r="BD43">
            <v>65125.513489999998</v>
          </cell>
          <cell r="BE43">
            <v>65856.664319999996</v>
          </cell>
        </row>
        <row r="44">
          <cell r="B44">
            <v>3839.491211</v>
          </cell>
          <cell r="C44">
            <v>3842.8528350000001</v>
          </cell>
          <cell r="D44">
            <v>3847.0011850000001</v>
          </cell>
          <cell r="E44">
            <v>3856.8145009999998</v>
          </cell>
          <cell r="F44">
            <v>3874.015191</v>
          </cell>
          <cell r="G44">
            <v>3898.1917910000002</v>
          </cell>
          <cell r="H44">
            <v>3926.3021680000002</v>
          </cell>
          <cell r="I44">
            <v>3958.6003249999999</v>
          </cell>
          <cell r="J44">
            <v>3994.2435909999999</v>
          </cell>
          <cell r="K44">
            <v>4032.524754</v>
          </cell>
          <cell r="L44">
            <v>4076.0845049999998</v>
          </cell>
          <cell r="M44">
            <v>4118.6462419999998</v>
          </cell>
          <cell r="N44">
            <v>4162.2886490000001</v>
          </cell>
          <cell r="O44">
            <v>4206.8728700000001</v>
          </cell>
          <cell r="P44">
            <v>4252.2255720000003</v>
          </cell>
          <cell r="Q44">
            <v>4298.2096330000004</v>
          </cell>
          <cell r="R44">
            <v>4344.3325649999997</v>
          </cell>
          <cell r="S44">
            <v>4390.8720649999996</v>
          </cell>
          <cell r="T44">
            <v>4437.7997009999999</v>
          </cell>
          <cell r="U44">
            <v>4485.0905560000001</v>
          </cell>
          <cell r="V44">
            <v>4530.4175219999997</v>
          </cell>
          <cell r="W44">
            <v>4577.7496950000004</v>
          </cell>
          <cell r="X44">
            <v>4625.594658</v>
          </cell>
          <cell r="Y44">
            <v>4673.8936800000001</v>
          </cell>
          <cell r="Z44">
            <v>4722.648596</v>
          </cell>
          <cell r="AA44">
            <v>4765.2706529999996</v>
          </cell>
          <cell r="AB44">
            <v>4810.1266269999996</v>
          </cell>
          <cell r="AC44">
            <v>4855.0242959999996</v>
          </cell>
          <cell r="AD44">
            <v>4899.9907860000003</v>
          </cell>
          <cell r="AE44">
            <v>4945.1312180000004</v>
          </cell>
          <cell r="AF44">
            <v>4990.5491840000004</v>
          </cell>
          <cell r="AG44">
            <v>5036.4183720000001</v>
          </cell>
          <cell r="AH44">
            <v>5082.7290309999998</v>
          </cell>
          <cell r="AI44">
            <v>5129.5268990000004</v>
          </cell>
          <cell r="AJ44">
            <v>5176.8460699999996</v>
          </cell>
          <cell r="AK44">
            <v>5224.7095829999998</v>
          </cell>
          <cell r="AL44">
            <v>5272.3396409999996</v>
          </cell>
          <cell r="AM44">
            <v>5320.1707340000003</v>
          </cell>
          <cell r="AN44">
            <v>5368.2825700000003</v>
          </cell>
          <cell r="AO44">
            <v>5416.7306820000003</v>
          </cell>
          <cell r="AP44">
            <v>5465.5620339999996</v>
          </cell>
          <cell r="AQ44">
            <v>5514.9386029999996</v>
          </cell>
          <cell r="AR44">
            <v>5564.7853100000002</v>
          </cell>
          <cell r="AS44">
            <v>5615.1200120000003</v>
          </cell>
          <cell r="AT44">
            <v>5665.95597</v>
          </cell>
          <cell r="AU44">
            <v>5717.2992620000005</v>
          </cell>
          <cell r="AV44">
            <v>5769.7016510000003</v>
          </cell>
          <cell r="AW44">
            <v>5822.7014330000002</v>
          </cell>
          <cell r="AX44">
            <v>5876.2647129999996</v>
          </cell>
          <cell r="AY44">
            <v>5930.3717930000003</v>
          </cell>
          <cell r="AZ44">
            <v>5985.002563</v>
          </cell>
          <cell r="BA44">
            <v>6040.393153</v>
          </cell>
          <cell r="BB44">
            <v>6096.2986250000004</v>
          </cell>
          <cell r="BC44">
            <v>6152.6888589999999</v>
          </cell>
          <cell r="BD44">
            <v>6209.5428380000003</v>
          </cell>
          <cell r="BE44">
            <v>6266.8409419999998</v>
          </cell>
        </row>
        <row r="45">
          <cell r="B45">
            <v>3931.255087</v>
          </cell>
          <cell r="C45">
            <v>3952.958846</v>
          </cell>
          <cell r="D45">
            <v>3972.5560839999998</v>
          </cell>
          <cell r="E45">
            <v>3997.3592309999999</v>
          </cell>
          <cell r="F45">
            <v>4029.1252509999999</v>
          </cell>
          <cell r="G45">
            <v>4067.274887</v>
          </cell>
          <cell r="H45">
            <v>4108.6527539999997</v>
          </cell>
          <cell r="I45">
            <v>4153.518051</v>
          </cell>
          <cell r="J45">
            <v>4201.0787799999998</v>
          </cell>
          <cell r="K45">
            <v>4250.7141620000002</v>
          </cell>
          <cell r="L45">
            <v>4305.4321909999999</v>
          </cell>
          <cell r="M45">
            <v>4358.9817460000004</v>
          </cell>
          <cell r="N45">
            <v>4413.3928089999999</v>
          </cell>
          <cell r="O45">
            <v>4468.5992759999999</v>
          </cell>
          <cell r="P45">
            <v>4524.494299</v>
          </cell>
          <cell r="Q45">
            <v>4580.9965670000001</v>
          </cell>
          <cell r="R45">
            <v>4638.0538530000003</v>
          </cell>
          <cell r="S45">
            <v>4695.6368380000004</v>
          </cell>
          <cell r="T45">
            <v>4753.7328420000003</v>
          </cell>
          <cell r="U45">
            <v>4812.3409860000002</v>
          </cell>
          <cell r="V45">
            <v>4868.9017000000003</v>
          </cell>
          <cell r="W45">
            <v>4927.8492619999997</v>
          </cell>
          <cell r="X45">
            <v>4987.5204569999996</v>
          </cell>
          <cell r="Y45">
            <v>5047.8637360000002</v>
          </cell>
          <cell r="Z45">
            <v>5108.8913819999998</v>
          </cell>
          <cell r="AA45">
            <v>5163.205723</v>
          </cell>
          <cell r="AB45">
            <v>5220.0871960000004</v>
          </cell>
          <cell r="AC45">
            <v>5277.1845409999996</v>
          </cell>
          <cell r="AD45">
            <v>5334.5270069999997</v>
          </cell>
          <cell r="AE45">
            <v>5392.2257810000001</v>
          </cell>
          <cell r="AF45">
            <v>5450.3910960000003</v>
          </cell>
          <cell r="AG45">
            <v>5509.1151220000002</v>
          </cell>
          <cell r="AH45">
            <v>5568.4697990000004</v>
          </cell>
          <cell r="AI45">
            <v>5628.508855</v>
          </cell>
          <cell r="AJ45">
            <v>5689.2711170000002</v>
          </cell>
          <cell r="AK45">
            <v>5750.7840120000001</v>
          </cell>
          <cell r="AL45">
            <v>5811.2738639999998</v>
          </cell>
          <cell r="AM45">
            <v>5872.0428439999996</v>
          </cell>
          <cell r="AN45">
            <v>5933.2185769999996</v>
          </cell>
          <cell r="AO45">
            <v>5994.875728</v>
          </cell>
          <cell r="AP45">
            <v>6057.0800920000001</v>
          </cell>
          <cell r="AQ45">
            <v>6119.89228</v>
          </cell>
          <cell r="AR45">
            <v>6183.3656979999996</v>
          </cell>
          <cell r="AS45">
            <v>6247.5450769999998</v>
          </cell>
          <cell r="AT45">
            <v>6312.4662680000001</v>
          </cell>
          <cell r="AU45">
            <v>6378.1569149999996</v>
          </cell>
          <cell r="AV45">
            <v>6444.7992459999996</v>
          </cell>
          <cell r="AW45">
            <v>6512.2916640000003</v>
          </cell>
          <cell r="AX45">
            <v>6580.635526</v>
          </cell>
          <cell r="AY45">
            <v>6649.8364929999998</v>
          </cell>
          <cell r="AZ45">
            <v>6719.8990430000003</v>
          </cell>
          <cell r="BA45">
            <v>6790.8261210000001</v>
          </cell>
          <cell r="BB45">
            <v>6862.6203820000001</v>
          </cell>
          <cell r="BC45">
            <v>6935.285183</v>
          </cell>
          <cell r="BD45">
            <v>7008.8250049999997</v>
          </cell>
          <cell r="BE45">
            <v>7083.245457</v>
          </cell>
        </row>
        <row r="46">
          <cell r="B46">
            <v>390.41474269999998</v>
          </cell>
          <cell r="C46">
            <v>391.6668957</v>
          </cell>
          <cell r="D46">
            <v>393.79788550000001</v>
          </cell>
          <cell r="E46">
            <v>396.40405900000002</v>
          </cell>
          <cell r="F46">
            <v>399.4810109</v>
          </cell>
          <cell r="G46">
            <v>403.00114430000002</v>
          </cell>
          <cell r="H46">
            <v>406.62775010000001</v>
          </cell>
          <cell r="I46">
            <v>410.5066764</v>
          </cell>
          <cell r="J46">
            <v>414.62760429999997</v>
          </cell>
          <cell r="K46">
            <v>418.9549543</v>
          </cell>
          <cell r="L46">
            <v>423.89001039999999</v>
          </cell>
          <cell r="M46">
            <v>428.61725460000002</v>
          </cell>
          <cell r="N46">
            <v>433.37788879999999</v>
          </cell>
          <cell r="O46">
            <v>438.19046320000001</v>
          </cell>
          <cell r="P46">
            <v>443.04800269999998</v>
          </cell>
          <cell r="Q46">
            <v>447.94317100000001</v>
          </cell>
          <cell r="R46">
            <v>452.829002</v>
          </cell>
          <cell r="S46">
            <v>457.73938240000001</v>
          </cell>
          <cell r="T46">
            <v>462.67916250000002</v>
          </cell>
          <cell r="U46">
            <v>467.65178789999999</v>
          </cell>
          <cell r="V46">
            <v>472.3446788</v>
          </cell>
          <cell r="W46">
            <v>477.29531300000002</v>
          </cell>
          <cell r="X46">
            <v>482.33847179999998</v>
          </cell>
          <cell r="Y46">
            <v>487.45337760000001</v>
          </cell>
          <cell r="Z46">
            <v>492.63789309999999</v>
          </cell>
          <cell r="AA46">
            <v>496.99439430000001</v>
          </cell>
          <cell r="AB46">
            <v>501.62888040000001</v>
          </cell>
          <cell r="AC46">
            <v>506.33075500000001</v>
          </cell>
          <cell r="AD46">
            <v>511.08739539999999</v>
          </cell>
          <cell r="AE46">
            <v>515.90548750000005</v>
          </cell>
          <cell r="AF46">
            <v>520.79299149999997</v>
          </cell>
          <cell r="AG46">
            <v>525.76688620000004</v>
          </cell>
          <cell r="AH46">
            <v>530.8255398</v>
          </cell>
          <cell r="AI46">
            <v>535.9727097</v>
          </cell>
          <cell r="AJ46">
            <v>541.21138399999995</v>
          </cell>
          <cell r="AK46">
            <v>546.54343070000004</v>
          </cell>
          <cell r="AL46">
            <v>551.84147599999994</v>
          </cell>
          <cell r="AM46">
            <v>557.17812860000004</v>
          </cell>
          <cell r="AN46">
            <v>562.57470339999998</v>
          </cell>
          <cell r="AO46">
            <v>568.04115449999995</v>
          </cell>
          <cell r="AP46">
            <v>573.58313999999996</v>
          </cell>
          <cell r="AQ46">
            <v>579.21737310000003</v>
          </cell>
          <cell r="AR46">
            <v>584.93533009999999</v>
          </cell>
          <cell r="AS46">
            <v>590.73726750000003</v>
          </cell>
          <cell r="AT46">
            <v>596.62367429999995</v>
          </cell>
          <cell r="AU46">
            <v>602.59467979999999</v>
          </cell>
          <cell r="AV46">
            <v>608.71392739999999</v>
          </cell>
          <cell r="AW46">
            <v>614.93368880000003</v>
          </cell>
          <cell r="AX46">
            <v>621.24879020000003</v>
          </cell>
          <cell r="AY46">
            <v>627.65810109999995</v>
          </cell>
          <cell r="AZ46">
            <v>634.16073389999997</v>
          </cell>
          <cell r="BA46">
            <v>640.78336899999999</v>
          </cell>
          <cell r="BB46">
            <v>647.50237030000005</v>
          </cell>
          <cell r="BC46">
            <v>654.31475139999998</v>
          </cell>
          <cell r="BD46">
            <v>661.21972860000005</v>
          </cell>
          <cell r="BE46">
            <v>668.2170539</v>
          </cell>
        </row>
        <row r="47">
          <cell r="B47">
            <v>400.48580179999999</v>
          </cell>
          <cell r="C47">
            <v>404.4220995</v>
          </cell>
          <cell r="D47">
            <v>408.36509840000002</v>
          </cell>
          <cell r="E47">
            <v>412.50125270000001</v>
          </cell>
          <cell r="F47">
            <v>416.89862299999999</v>
          </cell>
          <cell r="G47">
            <v>421.61832459999999</v>
          </cell>
          <cell r="H47">
            <v>426.39217719999999</v>
          </cell>
          <cell r="I47">
            <v>431.36491469999999</v>
          </cell>
          <cell r="J47">
            <v>436.52519819999998</v>
          </cell>
          <cell r="K47">
            <v>441.84206369999998</v>
          </cell>
          <cell r="L47">
            <v>447.75561099999999</v>
          </cell>
          <cell r="M47">
            <v>453.45647380000003</v>
          </cell>
          <cell r="N47">
            <v>459.18214210000002</v>
          </cell>
          <cell r="O47">
            <v>464.96029750000002</v>
          </cell>
          <cell r="P47">
            <v>470.79488900000001</v>
          </cell>
          <cell r="Q47">
            <v>476.68631529999999</v>
          </cell>
          <cell r="R47">
            <v>482.63549990000001</v>
          </cell>
          <cell r="S47">
            <v>488.64454139999998</v>
          </cell>
          <cell r="T47">
            <v>494.71658600000001</v>
          </cell>
          <cell r="U47">
            <v>500.85554289999999</v>
          </cell>
          <cell r="V47">
            <v>506.72246269999999</v>
          </cell>
          <cell r="W47">
            <v>512.89993149999998</v>
          </cell>
          <cell r="X47">
            <v>519.2057082</v>
          </cell>
          <cell r="Y47">
            <v>525.61695980000002</v>
          </cell>
          <cell r="Z47">
            <v>532.13055740000004</v>
          </cell>
          <cell r="AA47">
            <v>537.76204770000004</v>
          </cell>
          <cell r="AB47">
            <v>543.70575829999996</v>
          </cell>
          <cell r="AC47">
            <v>549.73920229999999</v>
          </cell>
          <cell r="AD47">
            <v>555.84857299999999</v>
          </cell>
          <cell r="AE47">
            <v>562.03923229999998</v>
          </cell>
          <cell r="AF47">
            <v>568.31952530000001</v>
          </cell>
          <cell r="AG47">
            <v>574.69701169999996</v>
          </cell>
          <cell r="AH47">
            <v>581.17756329999997</v>
          </cell>
          <cell r="AI47">
            <v>587.76532740000005</v>
          </cell>
          <cell r="AJ47">
            <v>594.46296719999998</v>
          </cell>
          <cell r="AK47">
            <v>601.27198380000004</v>
          </cell>
          <cell r="AL47">
            <v>607.95752779999998</v>
          </cell>
          <cell r="AM47">
            <v>614.67884879999997</v>
          </cell>
          <cell r="AN47">
            <v>621.46678450000002</v>
          </cell>
          <cell r="AO47">
            <v>628.33396389999996</v>
          </cell>
          <cell r="AP47">
            <v>635.2881903</v>
          </cell>
          <cell r="AQ47">
            <v>642.33533660000001</v>
          </cell>
          <cell r="AR47">
            <v>649.48002429999997</v>
          </cell>
          <cell r="AS47">
            <v>656.72581439999999</v>
          </cell>
          <cell r="AT47">
            <v>664.07523739999999</v>
          </cell>
          <cell r="AU47">
            <v>671.52959980000003</v>
          </cell>
          <cell r="AV47">
            <v>679.10886800000003</v>
          </cell>
          <cell r="AW47">
            <v>686.78680159999999</v>
          </cell>
          <cell r="AX47">
            <v>694.54541270000004</v>
          </cell>
          <cell r="AY47">
            <v>702.40611360000003</v>
          </cell>
          <cell r="AZ47">
            <v>710.38766520000001</v>
          </cell>
          <cell r="BA47">
            <v>718.49591520000001</v>
          </cell>
          <cell r="BB47">
            <v>726.72972200000004</v>
          </cell>
          <cell r="BC47">
            <v>735.08608939999999</v>
          </cell>
          <cell r="BD47">
            <v>743.56254860000001</v>
          </cell>
          <cell r="BE47">
            <v>752.15784080000003</v>
          </cell>
        </row>
        <row r="48">
          <cell r="B48">
            <v>548.07951179999998</v>
          </cell>
          <cell r="C48">
            <v>549.83733319999999</v>
          </cell>
          <cell r="D48">
            <v>552.82890010000006</v>
          </cell>
          <cell r="E48">
            <v>556.48754870000005</v>
          </cell>
          <cell r="F48">
            <v>560.80709430000002</v>
          </cell>
          <cell r="G48">
            <v>565.74879529999998</v>
          </cell>
          <cell r="H48">
            <v>570.83996669999999</v>
          </cell>
          <cell r="I48">
            <v>576.28535539999996</v>
          </cell>
          <cell r="J48">
            <v>582.07047539999996</v>
          </cell>
          <cell r="K48">
            <v>588.14537889999997</v>
          </cell>
          <cell r="L48">
            <v>595.07340399999998</v>
          </cell>
          <cell r="M48">
            <v>601.7096947</v>
          </cell>
          <cell r="N48">
            <v>608.39285940000002</v>
          </cell>
          <cell r="O48">
            <v>615.14893989999996</v>
          </cell>
          <cell r="P48">
            <v>621.96814429999995</v>
          </cell>
          <cell r="Q48">
            <v>628.84017319999998</v>
          </cell>
          <cell r="R48">
            <v>635.69909429999996</v>
          </cell>
          <cell r="S48">
            <v>642.59247849999997</v>
          </cell>
          <cell r="T48">
            <v>649.52713540000002</v>
          </cell>
          <cell r="U48">
            <v>656.50790180000001</v>
          </cell>
          <cell r="V48">
            <v>663.09596590000001</v>
          </cell>
          <cell r="W48">
            <v>670.04586019999999</v>
          </cell>
          <cell r="X48">
            <v>677.12564410000005</v>
          </cell>
          <cell r="Y48">
            <v>684.30614920000005</v>
          </cell>
          <cell r="Z48">
            <v>691.58437519999995</v>
          </cell>
          <cell r="AA48">
            <v>697.7002023</v>
          </cell>
          <cell r="AB48">
            <v>704.20627539999998</v>
          </cell>
          <cell r="AC48">
            <v>710.80695119999996</v>
          </cell>
          <cell r="AD48">
            <v>717.48450930000001</v>
          </cell>
          <cell r="AE48">
            <v>724.24833590000003</v>
          </cell>
          <cell r="AF48">
            <v>731.10960539999996</v>
          </cell>
          <cell r="AG48">
            <v>738.09215359999996</v>
          </cell>
          <cell r="AH48">
            <v>745.19368980000002</v>
          </cell>
          <cell r="AI48">
            <v>752.41948860000002</v>
          </cell>
          <cell r="AJ48">
            <v>759.77374480000003</v>
          </cell>
          <cell r="AK48">
            <v>767.25908089999996</v>
          </cell>
          <cell r="AL48">
            <v>774.69668439999998</v>
          </cell>
          <cell r="AM48">
            <v>782.18848649999995</v>
          </cell>
          <cell r="AN48">
            <v>789.76440950000006</v>
          </cell>
          <cell r="AO48">
            <v>797.43842770000003</v>
          </cell>
          <cell r="AP48">
            <v>805.21848409999996</v>
          </cell>
          <cell r="AQ48">
            <v>813.12804129999995</v>
          </cell>
          <cell r="AR48">
            <v>821.15513329999999</v>
          </cell>
          <cell r="AS48">
            <v>829.30012039999997</v>
          </cell>
          <cell r="AT48">
            <v>837.56368889999999</v>
          </cell>
          <cell r="AU48">
            <v>845.94602039999995</v>
          </cell>
          <cell r="AV48">
            <v>854.53645989999995</v>
          </cell>
          <cell r="AW48">
            <v>863.26800470000001</v>
          </cell>
          <cell r="AX48">
            <v>872.13339129999997</v>
          </cell>
          <cell r="AY48">
            <v>881.13103309999997</v>
          </cell>
          <cell r="AZ48">
            <v>890.25968390000003</v>
          </cell>
          <cell r="BA48">
            <v>899.55679829999997</v>
          </cell>
          <cell r="BB48">
            <v>908.98919569999998</v>
          </cell>
          <cell r="BC48">
            <v>918.55268309999997</v>
          </cell>
          <cell r="BD48">
            <v>928.24616070000002</v>
          </cell>
          <cell r="BE48">
            <v>938.06928010000001</v>
          </cell>
        </row>
        <row r="49">
          <cell r="B49">
            <v>562.21765909999999</v>
          </cell>
          <cell r="C49">
            <v>567.74358789999997</v>
          </cell>
          <cell r="D49">
            <v>573.27892429999997</v>
          </cell>
          <cell r="E49">
            <v>579.08541979999995</v>
          </cell>
          <cell r="F49">
            <v>585.25862050000001</v>
          </cell>
          <cell r="G49">
            <v>591.88432239999997</v>
          </cell>
          <cell r="H49">
            <v>598.58604390000005</v>
          </cell>
          <cell r="I49">
            <v>605.5669676</v>
          </cell>
          <cell r="J49">
            <v>612.81117570000004</v>
          </cell>
          <cell r="K49">
            <v>620.27519989999996</v>
          </cell>
          <cell r="L49">
            <v>628.57686920000003</v>
          </cell>
          <cell r="M49">
            <v>636.57996370000001</v>
          </cell>
          <cell r="N49">
            <v>644.61788120000006</v>
          </cell>
          <cell r="O49">
            <v>652.72948220000001</v>
          </cell>
          <cell r="P49">
            <v>660.92031029999998</v>
          </cell>
          <cell r="Q49">
            <v>669.1909253</v>
          </cell>
          <cell r="R49">
            <v>677.54262370000004</v>
          </cell>
          <cell r="S49">
            <v>685.97835169999996</v>
          </cell>
          <cell r="T49">
            <v>694.50252579999994</v>
          </cell>
          <cell r="U49">
            <v>703.120634</v>
          </cell>
          <cell r="V49">
            <v>711.35684590000005</v>
          </cell>
          <cell r="W49">
            <v>720.02901850000001</v>
          </cell>
          <cell r="X49">
            <v>728.88131499999997</v>
          </cell>
          <cell r="Y49">
            <v>737.88168110000004</v>
          </cell>
          <cell r="Z49">
            <v>747.02572459999999</v>
          </cell>
          <cell r="AA49">
            <v>754.93143139999995</v>
          </cell>
          <cell r="AB49">
            <v>763.27544509999996</v>
          </cell>
          <cell r="AC49">
            <v>771.74543019999999</v>
          </cell>
          <cell r="AD49">
            <v>780.32200409999996</v>
          </cell>
          <cell r="AE49">
            <v>789.01269430000002</v>
          </cell>
          <cell r="AF49">
            <v>797.8292156</v>
          </cell>
          <cell r="AG49">
            <v>806.78218089999996</v>
          </cell>
          <cell r="AH49">
            <v>815.87983310000004</v>
          </cell>
          <cell r="AI49">
            <v>825.12799440000003</v>
          </cell>
          <cell r="AJ49">
            <v>834.53040350000003</v>
          </cell>
          <cell r="AK49">
            <v>844.08916790000001</v>
          </cell>
          <cell r="AL49">
            <v>853.47459649999996</v>
          </cell>
          <cell r="AM49">
            <v>862.91025019999995</v>
          </cell>
          <cell r="AN49">
            <v>872.43942030000005</v>
          </cell>
          <cell r="AO49">
            <v>882.07983590000003</v>
          </cell>
          <cell r="AP49">
            <v>891.84245129999999</v>
          </cell>
          <cell r="AQ49">
            <v>901.73551129999998</v>
          </cell>
          <cell r="AR49">
            <v>911.7655039</v>
          </cell>
          <cell r="AS49">
            <v>921.93742780000002</v>
          </cell>
          <cell r="AT49">
            <v>932.25483580000002</v>
          </cell>
          <cell r="AU49">
            <v>942.71956179999995</v>
          </cell>
          <cell r="AV49">
            <v>953.3596354</v>
          </cell>
          <cell r="AW49">
            <v>964.13821949999999</v>
          </cell>
          <cell r="AX49">
            <v>975.03006170000003</v>
          </cell>
          <cell r="AY49">
            <v>986.06522159999997</v>
          </cell>
          <cell r="AZ49">
            <v>997.27003649999995</v>
          </cell>
          <cell r="BA49">
            <v>1008.6527149999999</v>
          </cell>
          <cell r="BB49">
            <v>1020.2116559999999</v>
          </cell>
          <cell r="BC49">
            <v>1031.942652</v>
          </cell>
          <cell r="BD49">
            <v>1043.8422370000001</v>
          </cell>
          <cell r="BE49">
            <v>1055.908645</v>
          </cell>
        </row>
        <row r="50">
          <cell r="B50">
            <v>45652.479579999999</v>
          </cell>
          <cell r="C50">
            <v>45751.06437</v>
          </cell>
          <cell r="D50">
            <v>45885.640749999999</v>
          </cell>
          <cell r="E50">
            <v>46068.048219999997</v>
          </cell>
          <cell r="F50">
            <v>46309.75735</v>
          </cell>
          <cell r="G50">
            <v>46607.02792</v>
          </cell>
          <cell r="H50">
            <v>46924.058749999997</v>
          </cell>
          <cell r="I50">
            <v>47266.661350000002</v>
          </cell>
          <cell r="J50">
            <v>47634.167690000002</v>
          </cell>
          <cell r="K50">
            <v>48022.79608</v>
          </cell>
          <cell r="L50">
            <v>48466.07533</v>
          </cell>
          <cell r="M50">
            <v>48893.222269999998</v>
          </cell>
          <cell r="N50">
            <v>49319.006179999997</v>
          </cell>
          <cell r="O50">
            <v>49744.153769999997</v>
          </cell>
          <cell r="P50">
            <v>50167.79578</v>
          </cell>
          <cell r="Q50">
            <v>50589.237809999999</v>
          </cell>
          <cell r="R50">
            <v>51005.168709999998</v>
          </cell>
          <cell r="S50">
            <v>51418.145879999996</v>
          </cell>
          <cell r="T50">
            <v>51829.140030000002</v>
          </cell>
          <cell r="U50">
            <v>52239.114020000001</v>
          </cell>
          <cell r="V50">
            <v>52620.886590000002</v>
          </cell>
          <cell r="W50">
            <v>53020.957289999998</v>
          </cell>
          <cell r="X50">
            <v>53428.228560000003</v>
          </cell>
          <cell r="Y50">
            <v>53841.317990000003</v>
          </cell>
          <cell r="Z50">
            <v>54260.536030000003</v>
          </cell>
          <cell r="AA50">
            <v>54606.434880000001</v>
          </cell>
          <cell r="AB50">
            <v>54971.664479999999</v>
          </cell>
          <cell r="AC50">
            <v>55343.753140000001</v>
          </cell>
          <cell r="AD50">
            <v>55722.394509999998</v>
          </cell>
          <cell r="AE50">
            <v>56108.813959999999</v>
          </cell>
          <cell r="AF50">
            <v>56504.370569999999</v>
          </cell>
          <cell r="AG50">
            <v>56910.929450000003</v>
          </cell>
          <cell r="AH50">
            <v>57328.938679999999</v>
          </cell>
          <cell r="AI50">
            <v>57759.033409999996</v>
          </cell>
          <cell r="AJ50">
            <v>58201.669529999999</v>
          </cell>
          <cell r="AK50">
            <v>58657.096219999999</v>
          </cell>
          <cell r="AL50">
            <v>59112.54492</v>
          </cell>
          <cell r="AM50">
            <v>59574.559690000002</v>
          </cell>
          <cell r="AN50">
            <v>60045.29825</v>
          </cell>
          <cell r="AO50">
            <v>60525.649859999998</v>
          </cell>
          <cell r="AP50">
            <v>61015.991929999997</v>
          </cell>
          <cell r="AQ50">
            <v>61517.402099999999</v>
          </cell>
          <cell r="AR50">
            <v>62029.17325</v>
          </cell>
          <cell r="AS50">
            <v>62551.098969999999</v>
          </cell>
          <cell r="AT50">
            <v>63082.98143</v>
          </cell>
          <cell r="AU50">
            <v>63624.623509999998</v>
          </cell>
          <cell r="AV50">
            <v>64181.52635</v>
          </cell>
          <cell r="AW50">
            <v>64751.499709999996</v>
          </cell>
          <cell r="AX50">
            <v>65334.95248</v>
          </cell>
          <cell r="AY50">
            <v>65932.256500000003</v>
          </cell>
          <cell r="AZ50">
            <v>66543.456919999997</v>
          </cell>
          <cell r="BA50">
            <v>67170.366580000002</v>
          </cell>
          <cell r="BB50">
            <v>67811.259690000006</v>
          </cell>
          <cell r="BC50">
            <v>68465.679879999996</v>
          </cell>
          <cell r="BD50">
            <v>69133.379260000002</v>
          </cell>
          <cell r="BE50">
            <v>69814.220780000003</v>
          </cell>
        </row>
        <row r="51">
          <cell r="B51">
            <v>46370.096879999997</v>
          </cell>
          <cell r="C51">
            <v>46710.39935</v>
          </cell>
          <cell r="D51">
            <v>46998.392240000001</v>
          </cell>
          <cell r="E51">
            <v>47291.161050000002</v>
          </cell>
          <cell r="F51">
            <v>47608.212200000002</v>
          </cell>
          <cell r="G51">
            <v>47964.580280000002</v>
          </cell>
          <cell r="H51">
            <v>48338.274189999996</v>
          </cell>
          <cell r="I51">
            <v>48736.867689999999</v>
          </cell>
          <cell r="J51">
            <v>49155.812740000001</v>
          </cell>
          <cell r="K51">
            <v>49589.341639999999</v>
          </cell>
          <cell r="L51">
            <v>50073.668310000001</v>
          </cell>
          <cell r="M51">
            <v>50540.592969999998</v>
          </cell>
          <cell r="N51">
            <v>51005.948819999998</v>
          </cell>
          <cell r="O51">
            <v>51472.319280000003</v>
          </cell>
          <cell r="P51">
            <v>51940.378940000002</v>
          </cell>
          <cell r="Q51">
            <v>52410.552909999999</v>
          </cell>
          <cell r="R51">
            <v>52883.374320000003</v>
          </cell>
          <cell r="S51">
            <v>53359.530319999998</v>
          </cell>
          <cell r="T51">
            <v>53839.832609999998</v>
          </cell>
          <cell r="U51">
            <v>54325.172030000002</v>
          </cell>
          <cell r="V51">
            <v>54786.826300000001</v>
          </cell>
          <cell r="W51">
            <v>55273.348019999998</v>
          </cell>
          <cell r="X51">
            <v>55772.673569999999</v>
          </cell>
          <cell r="Y51">
            <v>56283.054020000003</v>
          </cell>
          <cell r="Z51">
            <v>56804.434670000002</v>
          </cell>
          <cell r="AA51">
            <v>57252.313029999998</v>
          </cell>
          <cell r="AB51">
            <v>57723.051270000004</v>
          </cell>
          <cell r="AC51">
            <v>58203.721189999997</v>
          </cell>
          <cell r="AD51">
            <v>58693.803070000002</v>
          </cell>
          <cell r="AE51">
            <v>59194.326939999999</v>
          </cell>
          <cell r="AF51">
            <v>59706.42196</v>
          </cell>
          <cell r="AG51">
            <v>60230.977350000001</v>
          </cell>
          <cell r="AH51">
            <v>60768.585169999998</v>
          </cell>
          <cell r="AI51">
            <v>61319.564279999999</v>
          </cell>
          <cell r="AJ51">
            <v>61884.010649999997</v>
          </cell>
          <cell r="AK51">
            <v>62461.854319999999</v>
          </cell>
          <cell r="AL51">
            <v>63032.733180000003</v>
          </cell>
          <cell r="AM51">
            <v>63608.438130000002</v>
          </cell>
          <cell r="AN51">
            <v>64191.97133</v>
          </cell>
          <cell r="AO51">
            <v>64784.644939999998</v>
          </cell>
          <cell r="AP51">
            <v>65387.265090000001</v>
          </cell>
          <cell r="AQ51">
            <v>66000.411640000006</v>
          </cell>
          <cell r="AR51">
            <v>66624.505239999999</v>
          </cell>
          <cell r="AS51">
            <v>67259.832299999995</v>
          </cell>
          <cell r="AT51">
            <v>67906.522599999997</v>
          </cell>
          <cell r="AU51">
            <v>68564.442200000005</v>
          </cell>
          <cell r="AV51">
            <v>69234.439270000003</v>
          </cell>
          <cell r="AW51">
            <v>69914.838709999996</v>
          </cell>
          <cell r="AX51">
            <v>70604.517449999999</v>
          </cell>
          <cell r="AY51">
            <v>71305.005319999997</v>
          </cell>
          <cell r="AZ51">
            <v>72017.716799999995</v>
          </cell>
          <cell r="BA51">
            <v>72743.051609999995</v>
          </cell>
          <cell r="BB51">
            <v>73480.815459999998</v>
          </cell>
          <cell r="BC51">
            <v>74230.672009999995</v>
          </cell>
          <cell r="BD51">
            <v>74992.373240000001</v>
          </cell>
          <cell r="BE51">
            <v>75765.824630000003</v>
          </cell>
        </row>
        <row r="52">
          <cell r="B52">
            <v>909.84750810000003</v>
          </cell>
          <cell r="C52">
            <v>911.81228910000004</v>
          </cell>
          <cell r="D52">
            <v>914.49437750000004</v>
          </cell>
          <cell r="E52">
            <v>918.12973269999998</v>
          </cell>
          <cell r="F52">
            <v>922.94696190000002</v>
          </cell>
          <cell r="G52">
            <v>928.87152249999997</v>
          </cell>
          <cell r="H52">
            <v>935.18990250000002</v>
          </cell>
          <cell r="I52">
            <v>942.01792420000004</v>
          </cell>
          <cell r="J52">
            <v>949.34227390000001</v>
          </cell>
          <cell r="K52">
            <v>957.08758309999996</v>
          </cell>
          <cell r="L52">
            <v>965.92207640000004</v>
          </cell>
          <cell r="M52">
            <v>974.43505500000003</v>
          </cell>
          <cell r="N52">
            <v>982.92086849999998</v>
          </cell>
          <cell r="O52">
            <v>991.39400020000005</v>
          </cell>
          <cell r="P52">
            <v>999.83712600000001</v>
          </cell>
          <cell r="Q52">
            <v>1008.236407</v>
          </cell>
          <cell r="R52">
            <v>1016.525851</v>
          </cell>
          <cell r="S52">
            <v>1024.7564279999999</v>
          </cell>
          <cell r="T52">
            <v>1032.947484</v>
          </cell>
          <cell r="U52">
            <v>1041.1182080000001</v>
          </cell>
          <cell r="V52">
            <v>1048.726881</v>
          </cell>
          <cell r="W52">
            <v>1056.7002339999999</v>
          </cell>
          <cell r="X52">
            <v>1064.8170930000001</v>
          </cell>
          <cell r="Y52">
            <v>1073.049908</v>
          </cell>
          <cell r="Z52">
            <v>1081.404865</v>
          </cell>
          <cell r="AA52">
            <v>1088.2985799999999</v>
          </cell>
          <cell r="AB52">
            <v>1095.5775550000001</v>
          </cell>
          <cell r="AC52">
            <v>1102.99323</v>
          </cell>
          <cell r="AD52">
            <v>1110.539499</v>
          </cell>
          <cell r="AE52">
            <v>1118.2407840000001</v>
          </cell>
          <cell r="AF52">
            <v>1126.124172</v>
          </cell>
          <cell r="AG52">
            <v>1134.2268329999999</v>
          </cell>
          <cell r="AH52">
            <v>1142.557699</v>
          </cell>
          <cell r="AI52">
            <v>1151.129426</v>
          </cell>
          <cell r="AJ52">
            <v>1159.951102</v>
          </cell>
          <cell r="AK52">
            <v>1169.0276919999999</v>
          </cell>
          <cell r="AL52">
            <v>1178.1047209999999</v>
          </cell>
          <cell r="AM52">
            <v>1187.3126099999999</v>
          </cell>
          <cell r="AN52">
            <v>1196.6943630000001</v>
          </cell>
          <cell r="AO52">
            <v>1206.2677040000001</v>
          </cell>
          <cell r="AP52">
            <v>1216.040152</v>
          </cell>
          <cell r="AQ52">
            <v>1226.0331859999999</v>
          </cell>
          <cell r="AR52">
            <v>1236.232714</v>
          </cell>
          <cell r="AS52">
            <v>1246.63462</v>
          </cell>
          <cell r="AT52">
            <v>1257.2349630000001</v>
          </cell>
          <cell r="AU52">
            <v>1268.0298130000001</v>
          </cell>
          <cell r="AV52">
            <v>1279.128809</v>
          </cell>
          <cell r="AW52">
            <v>1290.488298</v>
          </cell>
          <cell r="AX52">
            <v>1302.11643</v>
          </cell>
          <cell r="AY52">
            <v>1314.0206149999999</v>
          </cell>
          <cell r="AZ52">
            <v>1326.2017530000001</v>
          </cell>
          <cell r="BA52">
            <v>1338.6959750000001</v>
          </cell>
          <cell r="BB52">
            <v>1351.4688839999999</v>
          </cell>
          <cell r="BC52">
            <v>1364.511387</v>
          </cell>
          <cell r="BD52">
            <v>1377.818542</v>
          </cell>
          <cell r="BE52">
            <v>1391.387618</v>
          </cell>
        </row>
        <row r="53">
          <cell r="B53">
            <v>924.14952010000002</v>
          </cell>
          <cell r="C53">
            <v>930.93170069999996</v>
          </cell>
          <cell r="D53">
            <v>936.6713585</v>
          </cell>
          <cell r="E53">
            <v>942.50619970000002</v>
          </cell>
          <cell r="F53">
            <v>948.82498480000004</v>
          </cell>
          <cell r="G53">
            <v>955.92735049999999</v>
          </cell>
          <cell r="H53">
            <v>963.37501750000001</v>
          </cell>
          <cell r="I53">
            <v>971.31893009999999</v>
          </cell>
          <cell r="J53">
            <v>979.66844619999995</v>
          </cell>
          <cell r="K53">
            <v>988.30861619999996</v>
          </cell>
          <cell r="L53">
            <v>997.96117879999997</v>
          </cell>
          <cell r="M53">
            <v>1007.266922</v>
          </cell>
          <cell r="N53">
            <v>1016.541398</v>
          </cell>
          <cell r="O53">
            <v>1025.836096</v>
          </cell>
          <cell r="P53">
            <v>1035.16446</v>
          </cell>
          <cell r="Q53">
            <v>1044.5349610000001</v>
          </cell>
          <cell r="R53">
            <v>1053.9582250000001</v>
          </cell>
          <cell r="S53">
            <v>1063.4479470000001</v>
          </cell>
          <cell r="T53">
            <v>1073.020305</v>
          </cell>
          <cell r="U53">
            <v>1082.693051</v>
          </cell>
          <cell r="V53">
            <v>1091.8937559999999</v>
          </cell>
          <cell r="W53">
            <v>1101.5900650000001</v>
          </cell>
          <cell r="X53">
            <v>1111.5415539999999</v>
          </cell>
          <cell r="Y53">
            <v>1121.713364</v>
          </cell>
          <cell r="Z53">
            <v>1132.104407</v>
          </cell>
          <cell r="AA53">
            <v>1141.0305599999999</v>
          </cell>
          <cell r="AB53">
            <v>1150.4123070000001</v>
          </cell>
          <cell r="AC53">
            <v>1159.9919910000001</v>
          </cell>
          <cell r="AD53">
            <v>1169.7592540000001</v>
          </cell>
          <cell r="AE53">
            <v>1179.7346250000001</v>
          </cell>
          <cell r="AF53">
            <v>1189.940607</v>
          </cell>
          <cell r="AG53">
            <v>1200.394922</v>
          </cell>
          <cell r="AH53">
            <v>1211.1093699999999</v>
          </cell>
          <cell r="AI53">
            <v>1222.0903069999999</v>
          </cell>
          <cell r="AJ53">
            <v>1233.339643</v>
          </cell>
          <cell r="AK53">
            <v>1244.8559869999999</v>
          </cell>
          <cell r="AL53">
            <v>1256.233522</v>
          </cell>
          <cell r="AM53">
            <v>1267.7072410000001</v>
          </cell>
          <cell r="AN53">
            <v>1279.336976</v>
          </cell>
          <cell r="AO53">
            <v>1291.1488770000001</v>
          </cell>
          <cell r="AP53">
            <v>1303.159013</v>
          </cell>
          <cell r="AQ53">
            <v>1315.378937</v>
          </cell>
          <cell r="AR53">
            <v>1327.817035</v>
          </cell>
          <cell r="AS53">
            <v>1340.479014</v>
          </cell>
          <cell r="AT53">
            <v>1353.367461</v>
          </cell>
          <cell r="AU53">
            <v>1366.4797060000001</v>
          </cell>
          <cell r="AV53">
            <v>1379.832654</v>
          </cell>
          <cell r="AW53">
            <v>1393.3929189999999</v>
          </cell>
          <cell r="AX53">
            <v>1407.138119</v>
          </cell>
          <cell r="AY53">
            <v>1421.0987439999999</v>
          </cell>
          <cell r="AZ53">
            <v>1435.3029839999999</v>
          </cell>
          <cell r="BA53">
            <v>1449.7588049999999</v>
          </cell>
          <cell r="BB53">
            <v>1464.4623349999999</v>
          </cell>
          <cell r="BC53">
            <v>1479.4068709999999</v>
          </cell>
          <cell r="BD53">
            <v>1494.5874690000001</v>
          </cell>
          <cell r="BE53">
            <v>1510.0022469999999</v>
          </cell>
        </row>
        <row r="54">
          <cell r="B54">
            <v>1322.1612720000001</v>
          </cell>
          <cell r="C54">
            <v>1325.016429</v>
          </cell>
          <cell r="D54">
            <v>1328.9139540000001</v>
          </cell>
          <cell r="E54">
            <v>1334.1967360000001</v>
          </cell>
          <cell r="F54">
            <v>1341.1969790000001</v>
          </cell>
          <cell r="G54">
            <v>1349.8063609999999</v>
          </cell>
          <cell r="H54">
            <v>1358.988028</v>
          </cell>
          <cell r="I54">
            <v>1368.9102909999999</v>
          </cell>
          <cell r="J54">
            <v>1379.553801</v>
          </cell>
          <cell r="K54">
            <v>1390.809037</v>
          </cell>
          <cell r="L54">
            <v>1403.6470400000001</v>
          </cell>
          <cell r="M54">
            <v>1416.0178269999999</v>
          </cell>
          <cell r="N54">
            <v>1428.34914</v>
          </cell>
          <cell r="O54">
            <v>1440.662024</v>
          </cell>
          <cell r="P54">
            <v>1452.931304</v>
          </cell>
          <cell r="Q54">
            <v>1465.13687</v>
          </cell>
          <cell r="R54">
            <v>1477.1828250000001</v>
          </cell>
          <cell r="S54">
            <v>1489.1432359999999</v>
          </cell>
          <cell r="T54">
            <v>1501.046216</v>
          </cell>
          <cell r="U54">
            <v>1512.91965</v>
          </cell>
          <cell r="V54">
            <v>1523.9763310000001</v>
          </cell>
          <cell r="W54">
            <v>1535.5629530000001</v>
          </cell>
          <cell r="X54">
            <v>1547.3581119999999</v>
          </cell>
          <cell r="Y54">
            <v>1559.3217749999999</v>
          </cell>
          <cell r="Z54">
            <v>1571.4629299999999</v>
          </cell>
          <cell r="AA54">
            <v>1581.4806570000001</v>
          </cell>
          <cell r="AB54">
            <v>1592.0582300000001</v>
          </cell>
          <cell r="AC54">
            <v>1602.8344509999999</v>
          </cell>
          <cell r="AD54">
            <v>1613.800448</v>
          </cell>
          <cell r="AE54">
            <v>1624.9917089999999</v>
          </cell>
          <cell r="AF54">
            <v>1636.447596</v>
          </cell>
          <cell r="AG54">
            <v>1648.2221239999999</v>
          </cell>
          <cell r="AH54">
            <v>1660.3282710000001</v>
          </cell>
          <cell r="AI54">
            <v>1672.784431</v>
          </cell>
          <cell r="AJ54">
            <v>1685.6038080000001</v>
          </cell>
          <cell r="AK54">
            <v>1698.7936179999999</v>
          </cell>
          <cell r="AL54">
            <v>1711.9840650000001</v>
          </cell>
          <cell r="AM54">
            <v>1725.3646759999999</v>
          </cell>
          <cell r="AN54">
            <v>1738.9979390000001</v>
          </cell>
          <cell r="AO54">
            <v>1752.909611</v>
          </cell>
          <cell r="AP54">
            <v>1767.1106199999999</v>
          </cell>
          <cell r="AQ54">
            <v>1781.6321780000001</v>
          </cell>
          <cell r="AR54">
            <v>1796.453804</v>
          </cell>
          <cell r="AS54">
            <v>1811.5695209999999</v>
          </cell>
          <cell r="AT54">
            <v>1826.9736</v>
          </cell>
          <cell r="AU54">
            <v>1842.660331</v>
          </cell>
          <cell r="AV54">
            <v>1858.7890359999999</v>
          </cell>
          <cell r="AW54">
            <v>1875.296282</v>
          </cell>
          <cell r="AX54">
            <v>1892.1939110000001</v>
          </cell>
          <cell r="AY54">
            <v>1909.492692</v>
          </cell>
          <cell r="AZ54">
            <v>1927.1939319999999</v>
          </cell>
          <cell r="BA54">
            <v>1945.3501349999999</v>
          </cell>
          <cell r="BB54">
            <v>1963.911319</v>
          </cell>
          <cell r="BC54">
            <v>1982.864266</v>
          </cell>
          <cell r="BD54">
            <v>2002.2017969999999</v>
          </cell>
          <cell r="BE54">
            <v>2021.919944</v>
          </cell>
        </row>
        <row r="55">
          <cell r="B55">
            <v>1342.9444980000001</v>
          </cell>
          <cell r="C55">
            <v>1352.800146</v>
          </cell>
          <cell r="D55">
            <v>1361.1408329999999</v>
          </cell>
          <cell r="E55">
            <v>1369.619837</v>
          </cell>
          <cell r="F55">
            <v>1378.802093</v>
          </cell>
          <cell r="G55">
            <v>1389.123024</v>
          </cell>
          <cell r="H55">
            <v>1399.945735</v>
          </cell>
          <cell r="I55">
            <v>1411.4895739999999</v>
          </cell>
          <cell r="J55">
            <v>1423.622824</v>
          </cell>
          <cell r="K55">
            <v>1436.1784419999999</v>
          </cell>
          <cell r="L55">
            <v>1450.2052369999999</v>
          </cell>
          <cell r="M55">
            <v>1463.7280450000001</v>
          </cell>
          <cell r="N55">
            <v>1477.205418</v>
          </cell>
          <cell r="O55">
            <v>1490.7121749999999</v>
          </cell>
          <cell r="P55">
            <v>1504.2678539999999</v>
          </cell>
          <cell r="Q55">
            <v>1517.8847659999999</v>
          </cell>
          <cell r="R55">
            <v>1531.5783530000001</v>
          </cell>
          <cell r="S55">
            <v>1545.3685129999999</v>
          </cell>
          <cell r="T55">
            <v>1559.2787559999999</v>
          </cell>
          <cell r="U55">
            <v>1573.3348820000001</v>
          </cell>
          <cell r="V55">
            <v>1586.7050509999999</v>
          </cell>
          <cell r="W55">
            <v>1600.7954179999999</v>
          </cell>
          <cell r="X55">
            <v>1615.2566019999999</v>
          </cell>
          <cell r="Y55">
            <v>1630.0379519999999</v>
          </cell>
          <cell r="Z55">
            <v>1645.1378830000001</v>
          </cell>
          <cell r="AA55">
            <v>1658.1090819999999</v>
          </cell>
          <cell r="AB55">
            <v>1671.7423369999999</v>
          </cell>
          <cell r="AC55">
            <v>1685.663227</v>
          </cell>
          <cell r="AD55">
            <v>1699.8567009999999</v>
          </cell>
          <cell r="AE55">
            <v>1714.35259</v>
          </cell>
          <cell r="AF55">
            <v>1729.1835960000001</v>
          </cell>
          <cell r="AG55">
            <v>1744.3754719999999</v>
          </cell>
          <cell r="AH55">
            <v>1759.9453659999999</v>
          </cell>
          <cell r="AI55">
            <v>1775.902511</v>
          </cell>
          <cell r="AJ55">
            <v>1792.249687</v>
          </cell>
          <cell r="AK55">
            <v>1808.984868</v>
          </cell>
          <cell r="AL55">
            <v>1825.518339</v>
          </cell>
          <cell r="AM55">
            <v>1842.1915799999999</v>
          </cell>
          <cell r="AN55">
            <v>1859.0915379999999</v>
          </cell>
          <cell r="AO55">
            <v>1876.2562150000001</v>
          </cell>
          <cell r="AP55">
            <v>1893.708959</v>
          </cell>
          <cell r="AQ55">
            <v>1911.466563</v>
          </cell>
          <cell r="AR55">
            <v>1929.5412080000001</v>
          </cell>
          <cell r="AS55">
            <v>1947.9411909999999</v>
          </cell>
          <cell r="AT55">
            <v>1966.670269</v>
          </cell>
          <cell r="AU55">
            <v>1985.7245640000001</v>
          </cell>
          <cell r="AV55">
            <v>2005.1286399999999</v>
          </cell>
          <cell r="AW55">
            <v>2024.8339840000001</v>
          </cell>
          <cell r="AX55">
            <v>2044.8080689999999</v>
          </cell>
          <cell r="AY55">
            <v>2065.095202</v>
          </cell>
          <cell r="AZ55">
            <v>2085.7363479999999</v>
          </cell>
          <cell r="BA55">
            <v>2106.7430850000001</v>
          </cell>
          <cell r="BB55">
            <v>2128.1097840000002</v>
          </cell>
          <cell r="BC55">
            <v>2149.8267040000001</v>
          </cell>
          <cell r="BD55">
            <v>2171.8866640000001</v>
          </cell>
          <cell r="BE55">
            <v>2194.2869260000002</v>
          </cell>
        </row>
        <row r="56">
          <cell r="B56">
            <v>1201.191006</v>
          </cell>
          <cell r="C56">
            <v>1203.784932</v>
          </cell>
          <cell r="D56">
            <v>1207.325855</v>
          </cell>
          <cell r="E56">
            <v>1212.1252930000001</v>
          </cell>
          <cell r="F56">
            <v>1218.4850530000001</v>
          </cell>
          <cell r="G56">
            <v>1226.3067249999999</v>
          </cell>
          <cell r="H56">
            <v>1234.648322</v>
          </cell>
          <cell r="I56">
            <v>1243.6627539999999</v>
          </cell>
          <cell r="J56">
            <v>1253.3324439999999</v>
          </cell>
          <cell r="K56">
            <v>1263.5578889999999</v>
          </cell>
          <cell r="L56">
            <v>1275.2212870000001</v>
          </cell>
          <cell r="M56">
            <v>1286.4602179999999</v>
          </cell>
          <cell r="N56">
            <v>1297.6632850000001</v>
          </cell>
          <cell r="O56">
            <v>1308.84961</v>
          </cell>
          <cell r="P56">
            <v>1319.99632</v>
          </cell>
          <cell r="Q56">
            <v>1331.0851459999999</v>
          </cell>
          <cell r="R56">
            <v>1342.028965</v>
          </cell>
          <cell r="S56">
            <v>1352.895066</v>
          </cell>
          <cell r="T56">
            <v>1363.7089900000001</v>
          </cell>
          <cell r="U56">
            <v>1374.496073</v>
          </cell>
          <cell r="V56">
            <v>1384.5411300000001</v>
          </cell>
          <cell r="W56">
            <v>1395.0676410000001</v>
          </cell>
          <cell r="X56">
            <v>1405.7836110000001</v>
          </cell>
          <cell r="Y56">
            <v>1416.652666</v>
          </cell>
          <cell r="Z56">
            <v>1427.6829749999999</v>
          </cell>
          <cell r="AA56">
            <v>1436.784136</v>
          </cell>
          <cell r="AB56">
            <v>1446.3939210000001</v>
          </cell>
          <cell r="AC56">
            <v>1456.1841790000001</v>
          </cell>
          <cell r="AD56">
            <v>1466.146849</v>
          </cell>
          <cell r="AE56">
            <v>1476.3141740000001</v>
          </cell>
          <cell r="AF56">
            <v>1486.721912</v>
          </cell>
          <cell r="AG56">
            <v>1497.4191370000001</v>
          </cell>
          <cell r="AH56">
            <v>1508.4176399999999</v>
          </cell>
          <cell r="AI56">
            <v>1519.734132</v>
          </cell>
          <cell r="AJ56">
            <v>1531.3806079999999</v>
          </cell>
          <cell r="AK56">
            <v>1543.3636260000001</v>
          </cell>
          <cell r="AL56">
            <v>1555.3472220000001</v>
          </cell>
          <cell r="AM56">
            <v>1567.5035820000001</v>
          </cell>
          <cell r="AN56">
            <v>1579.8894789999999</v>
          </cell>
          <cell r="AO56">
            <v>1592.5283119999999</v>
          </cell>
          <cell r="AP56">
            <v>1605.4300089999999</v>
          </cell>
          <cell r="AQ56">
            <v>1618.622926</v>
          </cell>
          <cell r="AR56">
            <v>1632.0884579999999</v>
          </cell>
          <cell r="AS56">
            <v>1645.821173</v>
          </cell>
          <cell r="AT56">
            <v>1659.8158659999999</v>
          </cell>
          <cell r="AU56">
            <v>1674.06735</v>
          </cell>
          <cell r="AV56">
            <v>1688.72037</v>
          </cell>
          <cell r="AW56">
            <v>1703.717296</v>
          </cell>
          <cell r="AX56">
            <v>1719.0688869999999</v>
          </cell>
          <cell r="AY56">
            <v>1734.784928</v>
          </cell>
          <cell r="AZ56">
            <v>1750.8666049999999</v>
          </cell>
          <cell r="BA56">
            <v>1767.3616179999999</v>
          </cell>
          <cell r="BB56">
            <v>1784.2245579999999</v>
          </cell>
          <cell r="BC56">
            <v>1801.4434180000001</v>
          </cell>
          <cell r="BD56">
            <v>1819.011675</v>
          </cell>
          <cell r="BE56">
            <v>1836.9257230000001</v>
          </cell>
        </row>
        <row r="57">
          <cell r="B57">
            <v>1220.072684</v>
          </cell>
          <cell r="C57">
            <v>1229.0265959999999</v>
          </cell>
          <cell r="D57">
            <v>1236.604157</v>
          </cell>
          <cell r="E57">
            <v>1244.3073810000001</v>
          </cell>
          <cell r="F57">
            <v>1252.6495130000001</v>
          </cell>
          <cell r="G57">
            <v>1262.026136</v>
          </cell>
          <cell r="H57">
            <v>1271.8586310000001</v>
          </cell>
          <cell r="I57">
            <v>1282.346274</v>
          </cell>
          <cell r="J57">
            <v>1293.3694</v>
          </cell>
          <cell r="K57">
            <v>1304.776251</v>
          </cell>
          <cell r="L57">
            <v>1317.5196739999999</v>
          </cell>
          <cell r="M57">
            <v>1329.8052210000001</v>
          </cell>
          <cell r="N57">
            <v>1342.0494900000001</v>
          </cell>
          <cell r="O57">
            <v>1354.3204559999999</v>
          </cell>
          <cell r="P57">
            <v>1366.635867</v>
          </cell>
          <cell r="Q57">
            <v>1379.006909</v>
          </cell>
          <cell r="R57">
            <v>1391.4476099999999</v>
          </cell>
          <cell r="S57">
            <v>1403.976048</v>
          </cell>
          <cell r="T57">
            <v>1416.6135830000001</v>
          </cell>
          <cell r="U57">
            <v>1429.3836530000001</v>
          </cell>
          <cell r="V57">
            <v>1441.530528</v>
          </cell>
          <cell r="W57">
            <v>1454.3317059999999</v>
          </cell>
          <cell r="X57">
            <v>1467.469773</v>
          </cell>
          <cell r="Y57">
            <v>1480.898713</v>
          </cell>
          <cell r="Z57">
            <v>1494.617086</v>
          </cell>
          <cell r="AA57">
            <v>1506.401494</v>
          </cell>
          <cell r="AB57">
            <v>1518.7873830000001</v>
          </cell>
          <cell r="AC57">
            <v>1531.434591</v>
          </cell>
          <cell r="AD57">
            <v>1544.329442</v>
          </cell>
          <cell r="AE57">
            <v>1557.4990399999999</v>
          </cell>
          <cell r="AF57">
            <v>1570.9730930000001</v>
          </cell>
          <cell r="AG57">
            <v>1584.7749980000001</v>
          </cell>
          <cell r="AH57">
            <v>1598.920335</v>
          </cell>
          <cell r="AI57">
            <v>1613.417492</v>
          </cell>
          <cell r="AJ57">
            <v>1628.268994</v>
          </cell>
          <cell r="AK57">
            <v>1643.4730010000001</v>
          </cell>
          <cell r="AL57">
            <v>1658.4937520000001</v>
          </cell>
          <cell r="AM57">
            <v>1673.641486</v>
          </cell>
          <cell r="AN57">
            <v>1688.9951940000001</v>
          </cell>
          <cell r="AO57">
            <v>1704.589401</v>
          </cell>
          <cell r="AP57">
            <v>1720.4453169999999</v>
          </cell>
          <cell r="AQ57">
            <v>1736.578201</v>
          </cell>
          <cell r="AR57">
            <v>1752.999118</v>
          </cell>
          <cell r="AS57">
            <v>1769.7156070000001</v>
          </cell>
          <cell r="AT57">
            <v>1786.7310809999999</v>
          </cell>
          <cell r="AU57">
            <v>1804.0420160000001</v>
          </cell>
          <cell r="AV57">
            <v>1821.6707280000001</v>
          </cell>
          <cell r="AW57">
            <v>1839.5731450000001</v>
          </cell>
          <cell r="AX57">
            <v>1857.7197140000001</v>
          </cell>
          <cell r="AY57">
            <v>1876.1506899999999</v>
          </cell>
          <cell r="AZ57">
            <v>1894.903288</v>
          </cell>
          <cell r="BA57">
            <v>1913.9880270000001</v>
          </cell>
          <cell r="BB57">
            <v>1933.3997939999999</v>
          </cell>
          <cell r="BC57">
            <v>1953.1297400000001</v>
          </cell>
          <cell r="BD57">
            <v>1973.1713380000001</v>
          </cell>
          <cell r="BE57">
            <v>1993.522103</v>
          </cell>
        </row>
        <row r="58">
          <cell r="B58">
            <v>2363.9192899999998</v>
          </cell>
          <cell r="C58">
            <v>2369.0240840000001</v>
          </cell>
          <cell r="D58">
            <v>2375.9925490000001</v>
          </cell>
          <cell r="E58">
            <v>2385.437743</v>
          </cell>
          <cell r="F58">
            <v>2397.953622</v>
          </cell>
          <cell r="G58">
            <v>2413.3465120000001</v>
          </cell>
          <cell r="H58">
            <v>2429.762604</v>
          </cell>
          <cell r="I58">
            <v>2447.502821</v>
          </cell>
          <cell r="J58">
            <v>2466.5325720000001</v>
          </cell>
          <cell r="K58">
            <v>2486.656039</v>
          </cell>
          <cell r="L58">
            <v>2509.6093679999999</v>
          </cell>
          <cell r="M58">
            <v>2531.7273530000002</v>
          </cell>
          <cell r="N58">
            <v>2553.7747599999998</v>
          </cell>
          <cell r="O58">
            <v>2575.7892179999999</v>
          </cell>
          <cell r="P58">
            <v>2597.7257159999999</v>
          </cell>
          <cell r="Q58">
            <v>2619.5482980000002</v>
          </cell>
          <cell r="R58">
            <v>2641.0855080000001</v>
          </cell>
          <cell r="S58">
            <v>2662.4697719999999</v>
          </cell>
          <cell r="T58">
            <v>2683.7513549999999</v>
          </cell>
          <cell r="U58">
            <v>2704.9801120000002</v>
          </cell>
          <cell r="V58">
            <v>2724.7485799999999</v>
          </cell>
          <cell r="W58">
            <v>2745.4645380000002</v>
          </cell>
          <cell r="X58">
            <v>2766.5533460000001</v>
          </cell>
          <cell r="Y58">
            <v>2787.9434240000001</v>
          </cell>
          <cell r="Z58">
            <v>2809.6508450000001</v>
          </cell>
          <cell r="AA58">
            <v>2827.5617440000001</v>
          </cell>
          <cell r="AB58">
            <v>2846.4736050000001</v>
          </cell>
          <cell r="AC58">
            <v>2865.7406310000001</v>
          </cell>
          <cell r="AD58">
            <v>2885.346963</v>
          </cell>
          <cell r="AE58">
            <v>2905.356049</v>
          </cell>
          <cell r="AF58">
            <v>2925.838264</v>
          </cell>
          <cell r="AG58">
            <v>2946.8901839999999</v>
          </cell>
          <cell r="AH58">
            <v>2968.5350130000002</v>
          </cell>
          <cell r="AI58">
            <v>2990.8056369999999</v>
          </cell>
          <cell r="AJ58">
            <v>3013.7256640000001</v>
          </cell>
          <cell r="AK58">
            <v>3037.3079969999999</v>
          </cell>
          <cell r="AL58">
            <v>3060.8914679999998</v>
          </cell>
          <cell r="AM58">
            <v>3084.8149360000002</v>
          </cell>
          <cell r="AN58">
            <v>3109.1901280000002</v>
          </cell>
          <cell r="AO58">
            <v>3134.063091</v>
          </cell>
          <cell r="AP58">
            <v>3159.453368</v>
          </cell>
          <cell r="AQ58">
            <v>3185.4167590000002</v>
          </cell>
          <cell r="AR58">
            <v>3211.9166489999998</v>
          </cell>
          <cell r="AS58">
            <v>3238.9423499999998</v>
          </cell>
          <cell r="AT58">
            <v>3266.4836190000001</v>
          </cell>
          <cell r="AU58">
            <v>3294.530248</v>
          </cell>
          <cell r="AV58">
            <v>3323.3670910000001</v>
          </cell>
          <cell r="AW58">
            <v>3352.8807339999998</v>
          </cell>
          <cell r="AX58">
            <v>3383.0923520000001</v>
          </cell>
          <cell r="AY58">
            <v>3414.021197</v>
          </cell>
          <cell r="AZ58">
            <v>3445.669609</v>
          </cell>
          <cell r="BA58">
            <v>3478.131457</v>
          </cell>
          <cell r="BB58">
            <v>3511.3173780000002</v>
          </cell>
          <cell r="BC58">
            <v>3545.2037409999998</v>
          </cell>
          <cell r="BD58">
            <v>3579.7777110000002</v>
          </cell>
          <cell r="BE58">
            <v>3615.0321909999998</v>
          </cell>
        </row>
        <row r="59">
          <cell r="B59">
            <v>2401.078047</v>
          </cell>
          <cell r="C59">
            <v>2418.6991619999999</v>
          </cell>
          <cell r="D59">
            <v>2433.6116480000001</v>
          </cell>
          <cell r="E59">
            <v>2448.7714340000002</v>
          </cell>
          <cell r="F59">
            <v>2465.1885779999998</v>
          </cell>
          <cell r="G59">
            <v>2483.6415820000002</v>
          </cell>
          <cell r="H59">
            <v>2502.9917289999999</v>
          </cell>
          <cell r="I59">
            <v>2523.6311970000002</v>
          </cell>
          <cell r="J59">
            <v>2545.3244829999999</v>
          </cell>
          <cell r="K59">
            <v>2567.772931</v>
          </cell>
          <cell r="L59">
            <v>2592.8517259999999</v>
          </cell>
          <cell r="M59">
            <v>2617.0294309999999</v>
          </cell>
          <cell r="N59">
            <v>2641.1259030000001</v>
          </cell>
          <cell r="O59">
            <v>2665.2749119999999</v>
          </cell>
          <cell r="P59">
            <v>2689.5113879999999</v>
          </cell>
          <cell r="Q59">
            <v>2713.8573459999998</v>
          </cell>
          <cell r="R59">
            <v>2738.340389</v>
          </cell>
          <cell r="S59">
            <v>2762.9960999999998</v>
          </cell>
          <cell r="T59">
            <v>2787.8665099999998</v>
          </cell>
          <cell r="U59">
            <v>2812.9977450000001</v>
          </cell>
          <cell r="V59">
            <v>2836.9025459999998</v>
          </cell>
          <cell r="W59">
            <v>2862.095002</v>
          </cell>
          <cell r="X59">
            <v>2887.9504499999998</v>
          </cell>
          <cell r="Y59">
            <v>2914.3783290000001</v>
          </cell>
          <cell r="Z59">
            <v>2941.375806</v>
          </cell>
          <cell r="AA59">
            <v>2964.5672800000002</v>
          </cell>
          <cell r="AB59">
            <v>2988.9424549999999</v>
          </cell>
          <cell r="AC59">
            <v>3013.831901</v>
          </cell>
          <cell r="AD59">
            <v>3039.2087040000001</v>
          </cell>
          <cell r="AE59">
            <v>3065.1262019999999</v>
          </cell>
          <cell r="AF59">
            <v>3091.642863</v>
          </cell>
          <cell r="AG59">
            <v>3118.8047299999998</v>
          </cell>
          <cell r="AH59">
            <v>3146.6424619999998</v>
          </cell>
          <cell r="AI59">
            <v>3175.1725700000002</v>
          </cell>
          <cell r="AJ59">
            <v>3204.4000219999998</v>
          </cell>
          <cell r="AK59">
            <v>3234.3211959999999</v>
          </cell>
          <cell r="AL59">
            <v>3263.881727</v>
          </cell>
          <cell r="AM59">
            <v>3293.692157</v>
          </cell>
          <cell r="AN59">
            <v>3323.9079390000002</v>
          </cell>
          <cell r="AO59">
            <v>3354.5970189999998</v>
          </cell>
          <cell r="AP59">
            <v>3385.8011379999998</v>
          </cell>
          <cell r="AQ59">
            <v>3417.5503220000001</v>
          </cell>
          <cell r="AR59">
            <v>3449.8663510000001</v>
          </cell>
          <cell r="AS59">
            <v>3482.7640580000002</v>
          </cell>
          <cell r="AT59">
            <v>3516.2501619999998</v>
          </cell>
          <cell r="AU59">
            <v>3550.317728</v>
          </cell>
          <cell r="AV59">
            <v>3585.0106730000002</v>
          </cell>
          <cell r="AW59">
            <v>3620.2422620000002</v>
          </cell>
          <cell r="AX59">
            <v>3655.9543389999999</v>
          </cell>
          <cell r="AY59">
            <v>3692.2261210000001</v>
          </cell>
          <cell r="AZ59">
            <v>3729.13085</v>
          </cell>
          <cell r="BA59">
            <v>3766.6892250000001</v>
          </cell>
          <cell r="BB59">
            <v>3804.891185</v>
          </cell>
          <cell r="BC59">
            <v>3843.7193139999999</v>
          </cell>
          <cell r="BD59">
            <v>3883.16077</v>
          </cell>
          <cell r="BE59">
            <v>3923.2106570000001</v>
          </cell>
        </row>
        <row r="60">
          <cell r="B60">
            <v>859.37627829999997</v>
          </cell>
          <cell r="C60">
            <v>861.23206860000005</v>
          </cell>
          <cell r="D60">
            <v>863.76537570000005</v>
          </cell>
          <cell r="E60">
            <v>867.19906979999996</v>
          </cell>
          <cell r="F60">
            <v>871.74907670000005</v>
          </cell>
          <cell r="G60">
            <v>877.34498889999998</v>
          </cell>
          <cell r="H60">
            <v>883.31287469999995</v>
          </cell>
          <cell r="I60">
            <v>889.76213099999995</v>
          </cell>
          <cell r="J60">
            <v>896.68018300000006</v>
          </cell>
          <cell r="K60">
            <v>903.99584300000004</v>
          </cell>
          <cell r="L60">
            <v>912.34026770000003</v>
          </cell>
          <cell r="M60">
            <v>920.38101270000004</v>
          </cell>
          <cell r="N60">
            <v>928.39609959999996</v>
          </cell>
          <cell r="O60">
            <v>936.39920819999998</v>
          </cell>
          <cell r="P60">
            <v>944.37397529999998</v>
          </cell>
          <cell r="Q60">
            <v>952.30732950000004</v>
          </cell>
          <cell r="R60">
            <v>960.13694029999999</v>
          </cell>
          <cell r="S60">
            <v>967.91094910000004</v>
          </cell>
          <cell r="T60">
            <v>975.64762900000005</v>
          </cell>
          <cell r="U60">
            <v>983.36510520000002</v>
          </cell>
          <cell r="V60">
            <v>990.5517092</v>
          </cell>
          <cell r="W60">
            <v>998.08276279999995</v>
          </cell>
          <cell r="X60">
            <v>1005.749362</v>
          </cell>
          <cell r="Y60">
            <v>1013.525484</v>
          </cell>
          <cell r="Z60">
            <v>1021.416973</v>
          </cell>
          <cell r="AA60">
            <v>1027.928279</v>
          </cell>
          <cell r="AB60">
            <v>1034.8034729999999</v>
          </cell>
          <cell r="AC60">
            <v>1041.8077840000001</v>
          </cell>
          <cell r="AD60">
            <v>1048.935446</v>
          </cell>
          <cell r="AE60">
            <v>1056.2095240000001</v>
          </cell>
          <cell r="AF60">
            <v>1063.6556029999999</v>
          </cell>
          <cell r="AG60">
            <v>1071.308792</v>
          </cell>
          <cell r="AH60">
            <v>1079.1775259999999</v>
          </cell>
          <cell r="AI60">
            <v>1087.2737609999999</v>
          </cell>
          <cell r="AJ60">
            <v>1095.6060789999999</v>
          </cell>
          <cell r="AK60">
            <v>1104.179171</v>
          </cell>
          <cell r="AL60">
            <v>1112.7526769999999</v>
          </cell>
          <cell r="AM60">
            <v>1121.4497839999999</v>
          </cell>
          <cell r="AN60">
            <v>1130.311111</v>
          </cell>
          <cell r="AO60">
            <v>1139.353398</v>
          </cell>
          <cell r="AP60">
            <v>1148.5837469999999</v>
          </cell>
          <cell r="AQ60">
            <v>1158.0224459999999</v>
          </cell>
          <cell r="AR60">
            <v>1167.6561830000001</v>
          </cell>
          <cell r="AS60">
            <v>1177.4810729999999</v>
          </cell>
          <cell r="AT60">
            <v>1187.4933920000001</v>
          </cell>
          <cell r="AU60">
            <v>1197.6894279999999</v>
          </cell>
          <cell r="AV60">
            <v>1208.172738</v>
          </cell>
          <cell r="AW60">
            <v>1218.9020909999999</v>
          </cell>
          <cell r="AX60">
            <v>1229.8851850000001</v>
          </cell>
          <cell r="AY60">
            <v>1241.129019</v>
          </cell>
          <cell r="AZ60">
            <v>1252.6344429999999</v>
          </cell>
          <cell r="BA60">
            <v>1264.435583</v>
          </cell>
          <cell r="BB60">
            <v>1276.4999519999999</v>
          </cell>
          <cell r="BC60">
            <v>1288.8189580000001</v>
          </cell>
          <cell r="BD60">
            <v>1301.3879360000001</v>
          </cell>
          <cell r="BE60">
            <v>1314.2043060000001</v>
          </cell>
        </row>
        <row r="61">
          <cell r="B61">
            <v>872.88492640000004</v>
          </cell>
          <cell r="C61">
            <v>879.29088460000003</v>
          </cell>
          <cell r="D61">
            <v>884.71215110000003</v>
          </cell>
          <cell r="E61">
            <v>890.22332089999998</v>
          </cell>
          <cell r="F61">
            <v>896.19158909999999</v>
          </cell>
          <cell r="G61">
            <v>902.89997110000002</v>
          </cell>
          <cell r="H61">
            <v>909.93449969999995</v>
          </cell>
          <cell r="I61">
            <v>917.43774610000003</v>
          </cell>
          <cell r="J61">
            <v>925.32409629999995</v>
          </cell>
          <cell r="K61">
            <v>933.4849772</v>
          </cell>
          <cell r="L61">
            <v>942.60209099999997</v>
          </cell>
          <cell r="M61">
            <v>951.39162409999994</v>
          </cell>
          <cell r="N61">
            <v>960.15162529999998</v>
          </cell>
          <cell r="O61">
            <v>968.93072589999997</v>
          </cell>
          <cell r="P61">
            <v>977.74162449999994</v>
          </cell>
          <cell r="Q61">
            <v>986.59232359999999</v>
          </cell>
          <cell r="R61">
            <v>995.49285880000002</v>
          </cell>
          <cell r="S61">
            <v>1004.4561650000001</v>
          </cell>
          <cell r="T61">
            <v>1013.497523</v>
          </cell>
          <cell r="U61">
            <v>1022.633701</v>
          </cell>
          <cell r="V61">
            <v>1031.3240229999999</v>
          </cell>
          <cell r="W61">
            <v>1040.4824570000001</v>
          </cell>
          <cell r="X61">
            <v>1049.8819140000001</v>
          </cell>
          <cell r="Y61">
            <v>1059.489472</v>
          </cell>
          <cell r="Z61">
            <v>1069.3041020000001</v>
          </cell>
          <cell r="AA61">
            <v>1077.735101</v>
          </cell>
          <cell r="AB61">
            <v>1086.5964220000001</v>
          </cell>
          <cell r="AC61">
            <v>1095.6447000000001</v>
          </cell>
          <cell r="AD61">
            <v>1104.870152</v>
          </cell>
          <cell r="AE61">
            <v>1114.2921670000001</v>
          </cell>
          <cell r="AF61">
            <v>1123.932</v>
          </cell>
          <cell r="AG61">
            <v>1133.806392</v>
          </cell>
          <cell r="AH61">
            <v>1143.9264860000001</v>
          </cell>
          <cell r="AI61">
            <v>1154.298286</v>
          </cell>
          <cell r="AJ61">
            <v>1164.9235980000001</v>
          </cell>
          <cell r="AK61">
            <v>1175.8011039999999</v>
          </cell>
          <cell r="AL61">
            <v>1186.547503</v>
          </cell>
          <cell r="AM61">
            <v>1197.3847490000001</v>
          </cell>
          <cell r="AN61">
            <v>1208.369357</v>
          </cell>
          <cell r="AO61">
            <v>1219.5260270000001</v>
          </cell>
          <cell r="AP61">
            <v>1230.8699340000001</v>
          </cell>
          <cell r="AQ61">
            <v>1242.4119929999999</v>
          </cell>
          <cell r="AR61">
            <v>1254.160122</v>
          </cell>
          <cell r="AS61">
            <v>1266.119713</v>
          </cell>
          <cell r="AT61">
            <v>1278.29321</v>
          </cell>
          <cell r="AU61">
            <v>1290.6780900000001</v>
          </cell>
          <cell r="AV61">
            <v>1303.2903209999999</v>
          </cell>
          <cell r="AW61">
            <v>1316.0983679999999</v>
          </cell>
          <cell r="AX61">
            <v>1329.0810919999999</v>
          </cell>
          <cell r="AY61">
            <v>1342.2672909999999</v>
          </cell>
          <cell r="AZ61">
            <v>1355.683591</v>
          </cell>
          <cell r="BA61">
            <v>1369.3375149999999</v>
          </cell>
          <cell r="BB61">
            <v>1383.225408</v>
          </cell>
          <cell r="BC61">
            <v>1397.3409380000001</v>
          </cell>
          <cell r="BD61">
            <v>1411.6794359999999</v>
          </cell>
          <cell r="BE61">
            <v>1426.239122</v>
          </cell>
        </row>
        <row r="62">
          <cell r="B62">
            <v>6615.6086029999997</v>
          </cell>
          <cell r="C62">
            <v>6629.894757</v>
          </cell>
          <cell r="D62">
            <v>6649.3965390000003</v>
          </cell>
          <cell r="E62">
            <v>6675.8296350000001</v>
          </cell>
          <cell r="F62">
            <v>6710.8562769999999</v>
          </cell>
          <cell r="G62">
            <v>6753.934456</v>
          </cell>
          <cell r="H62">
            <v>6799.8761430000004</v>
          </cell>
          <cell r="I62">
            <v>6849.523494</v>
          </cell>
          <cell r="J62">
            <v>6902.7797049999999</v>
          </cell>
          <cell r="K62">
            <v>6959.0967629999996</v>
          </cell>
          <cell r="L62">
            <v>7023.3334059999997</v>
          </cell>
          <cell r="M62">
            <v>7085.2322780000004</v>
          </cell>
          <cell r="N62">
            <v>7146.9336290000001</v>
          </cell>
          <cell r="O62">
            <v>7208.54277</v>
          </cell>
          <cell r="P62">
            <v>7269.9337340000002</v>
          </cell>
          <cell r="Q62">
            <v>7331.0058950000002</v>
          </cell>
          <cell r="R62">
            <v>7391.279423</v>
          </cell>
          <cell r="S62">
            <v>7451.1249189999999</v>
          </cell>
          <cell r="T62">
            <v>7510.683051</v>
          </cell>
          <cell r="U62">
            <v>7570.0933510000004</v>
          </cell>
          <cell r="V62">
            <v>7625.4169160000001</v>
          </cell>
          <cell r="W62">
            <v>7683.3921049999999</v>
          </cell>
          <cell r="X62">
            <v>7742.4107459999996</v>
          </cell>
          <cell r="Y62">
            <v>7802.2725110000001</v>
          </cell>
          <cell r="Z62">
            <v>7863.0223880000003</v>
          </cell>
          <cell r="AA62">
            <v>7913.147406</v>
          </cell>
          <cell r="AB62">
            <v>7966.0736900000002</v>
          </cell>
          <cell r="AC62">
            <v>8019.9939359999998</v>
          </cell>
          <cell r="AD62">
            <v>8074.8637520000002</v>
          </cell>
          <cell r="AE62">
            <v>8130.8607050000001</v>
          </cell>
          <cell r="AF62">
            <v>8188.181748</v>
          </cell>
          <cell r="AG62">
            <v>8247.0971549999995</v>
          </cell>
          <cell r="AH62">
            <v>8307.6718600000004</v>
          </cell>
          <cell r="AI62">
            <v>8369.9979029999995</v>
          </cell>
          <cell r="AJ62">
            <v>8434.1413470000007</v>
          </cell>
          <cell r="AK62">
            <v>8500.1383050000004</v>
          </cell>
          <cell r="AL62">
            <v>8566.1384519999992</v>
          </cell>
          <cell r="AM62">
            <v>8633.0901020000001</v>
          </cell>
          <cell r="AN62">
            <v>8701.3059379999995</v>
          </cell>
          <cell r="AO62">
            <v>8770.9148239999995</v>
          </cell>
          <cell r="AP62">
            <v>8841.9714509999994</v>
          </cell>
          <cell r="AQ62">
            <v>8914.6319829999993</v>
          </cell>
          <cell r="AR62">
            <v>8988.7939480000005</v>
          </cell>
          <cell r="AS62">
            <v>9064.4274370000003</v>
          </cell>
          <cell r="AT62">
            <v>9141.5037809999994</v>
          </cell>
          <cell r="AU62">
            <v>9219.9944130000003</v>
          </cell>
          <cell r="AV62">
            <v>9300.6965189999992</v>
          </cell>
          <cell r="AW62">
            <v>9383.2927039999995</v>
          </cell>
          <cell r="AX62">
            <v>9467.8422219999993</v>
          </cell>
          <cell r="AY62">
            <v>9554.3989569999994</v>
          </cell>
          <cell r="AZ62">
            <v>9642.969454</v>
          </cell>
          <cell r="BA62">
            <v>9733.8164130000005</v>
          </cell>
          <cell r="BB62">
            <v>9826.689746</v>
          </cell>
          <cell r="BC62">
            <v>9921.5233210000006</v>
          </cell>
          <cell r="BD62">
            <v>10018.281220000001</v>
          </cell>
          <cell r="BE62">
            <v>10116.943569999999</v>
          </cell>
        </row>
        <row r="63">
          <cell r="B63">
            <v>6719.6002200000003</v>
          </cell>
          <cell r="C63">
            <v>6768.9142549999997</v>
          </cell>
          <cell r="D63">
            <v>6810.6479849999996</v>
          </cell>
          <cell r="E63">
            <v>6853.0738039999997</v>
          </cell>
          <cell r="F63">
            <v>6899.018435</v>
          </cell>
          <cell r="G63">
            <v>6950.6605740000005</v>
          </cell>
          <cell r="H63">
            <v>7004.8134410000002</v>
          </cell>
          <cell r="I63">
            <v>7062.5745660000002</v>
          </cell>
          <cell r="J63">
            <v>7123.2848830000003</v>
          </cell>
          <cell r="K63">
            <v>7186.1085789999997</v>
          </cell>
          <cell r="L63">
            <v>7256.2934999999998</v>
          </cell>
          <cell r="M63">
            <v>7323.956655</v>
          </cell>
          <cell r="N63">
            <v>7391.3924699999998</v>
          </cell>
          <cell r="O63">
            <v>7458.9753149999997</v>
          </cell>
          <cell r="P63">
            <v>7526.8029459999998</v>
          </cell>
          <cell r="Q63">
            <v>7594.9369660000002</v>
          </cell>
          <cell r="R63">
            <v>7663.4546319999999</v>
          </cell>
          <cell r="S63">
            <v>7732.4555220000002</v>
          </cell>
          <cell r="T63">
            <v>7802.0572609999999</v>
          </cell>
          <cell r="U63">
            <v>7872.3889429999999</v>
          </cell>
          <cell r="V63">
            <v>7939.2883519999996</v>
          </cell>
          <cell r="W63">
            <v>8009.7913639999997</v>
          </cell>
          <cell r="X63">
            <v>8082.1498089999995</v>
          </cell>
          <cell r="Y63">
            <v>8156.1102440000004</v>
          </cell>
          <cell r="Z63">
            <v>8231.6647460000004</v>
          </cell>
          <cell r="AA63">
            <v>8296.5678549999993</v>
          </cell>
          <cell r="AB63">
            <v>8364.7836459999999</v>
          </cell>
          <cell r="AC63">
            <v>8434.4386589999995</v>
          </cell>
          <cell r="AD63">
            <v>8505.4575810000006</v>
          </cell>
          <cell r="AE63">
            <v>8577.9896759999992</v>
          </cell>
          <cell r="AF63">
            <v>8652.1985760000007</v>
          </cell>
          <cell r="AG63">
            <v>8728.213135</v>
          </cell>
          <cell r="AH63">
            <v>8806.1191529999996</v>
          </cell>
          <cell r="AI63">
            <v>8885.9628379999995</v>
          </cell>
          <cell r="AJ63">
            <v>8967.7580940000007</v>
          </cell>
          <cell r="AK63">
            <v>9051.4947840000004</v>
          </cell>
          <cell r="AL63">
            <v>9134.2221869999994</v>
          </cell>
          <cell r="AM63">
            <v>9217.6489509999992</v>
          </cell>
          <cell r="AN63">
            <v>9302.2101249999996</v>
          </cell>
          <cell r="AO63">
            <v>9388.0958570000003</v>
          </cell>
          <cell r="AP63">
            <v>9475.4229660000001</v>
          </cell>
          <cell r="AQ63">
            <v>9564.2754810000006</v>
          </cell>
          <cell r="AR63">
            <v>9654.7143570000007</v>
          </cell>
          <cell r="AS63">
            <v>9746.7811020000008</v>
          </cell>
          <cell r="AT63">
            <v>9840.4945189999999</v>
          </cell>
          <cell r="AU63">
            <v>9935.8352020000002</v>
          </cell>
          <cell r="AV63">
            <v>10032.92606</v>
          </cell>
          <cell r="AW63">
            <v>10131.52435</v>
          </cell>
          <cell r="AX63">
            <v>10231.46732</v>
          </cell>
          <cell r="AY63">
            <v>10332.97667</v>
          </cell>
          <cell r="AZ63">
            <v>10436.257379999999</v>
          </cell>
          <cell r="BA63">
            <v>10541.36736</v>
          </cell>
          <cell r="BB63">
            <v>10648.27846</v>
          </cell>
          <cell r="BC63">
            <v>10756.941940000001</v>
          </cell>
          <cell r="BD63">
            <v>10867.32187</v>
          </cell>
          <cell r="BE63">
            <v>10979.40453</v>
          </cell>
        </row>
        <row r="64">
          <cell r="B64">
            <v>7838.0440600000002</v>
          </cell>
          <cell r="C64">
            <v>7886.2157010000001</v>
          </cell>
          <cell r="D64">
            <v>7943.515136</v>
          </cell>
          <cell r="E64">
            <v>8007.7374330000002</v>
          </cell>
          <cell r="F64">
            <v>8079.3272420000003</v>
          </cell>
          <cell r="G64">
            <v>8158.3714220000002</v>
          </cell>
          <cell r="H64">
            <v>8238.4978069999997</v>
          </cell>
          <cell r="I64">
            <v>8318.7856169999995</v>
          </cell>
          <cell r="J64">
            <v>8398.4372179999991</v>
          </cell>
          <cell r="K64">
            <v>8477.2686790000007</v>
          </cell>
          <cell r="L64">
            <v>8565.5134529999996</v>
          </cell>
          <cell r="M64">
            <v>8646.9855239999997</v>
          </cell>
          <cell r="N64">
            <v>8725.9202459999997</v>
          </cell>
          <cell r="O64">
            <v>8803.7821800000002</v>
          </cell>
          <cell r="P64">
            <v>8881.2137349999994</v>
          </cell>
          <cell r="Q64">
            <v>8958.5295110000006</v>
          </cell>
          <cell r="R64">
            <v>9035.5750310000003</v>
          </cell>
          <cell r="S64">
            <v>9112.7265399999997</v>
          </cell>
          <cell r="T64">
            <v>9190.1642410000004</v>
          </cell>
          <cell r="U64">
            <v>9268.0476180000005</v>
          </cell>
          <cell r="V64">
            <v>9339.5689910000001</v>
          </cell>
          <cell r="W64">
            <v>9416.0415680000006</v>
          </cell>
          <cell r="X64">
            <v>9494.9825039999996</v>
          </cell>
          <cell r="Y64">
            <v>9575.6748499999994</v>
          </cell>
          <cell r="Z64">
            <v>9657.8777520000003</v>
          </cell>
          <cell r="AA64">
            <v>9722.1210279999996</v>
          </cell>
          <cell r="AB64">
            <v>9790.4292449999994</v>
          </cell>
          <cell r="AC64">
            <v>9860.8085439999995</v>
          </cell>
          <cell r="AD64">
            <v>9932.9208820000003</v>
          </cell>
          <cell r="AE64">
            <v>10006.7186</v>
          </cell>
          <cell r="AF64">
            <v>10082.18547</v>
          </cell>
          <cell r="AG64">
            <v>10159.36361</v>
          </cell>
          <cell r="AH64">
            <v>10238.137500000001</v>
          </cell>
          <cell r="AI64">
            <v>10318.40285</v>
          </cell>
          <cell r="AJ64">
            <v>10400.046340000001</v>
          </cell>
          <cell r="AK64">
            <v>10482.961010000001</v>
          </cell>
          <cell r="AL64">
            <v>10563.3513</v>
          </cell>
          <cell r="AM64">
            <v>10643.31515</v>
          </cell>
          <cell r="AN64">
            <v>10723.716780000001</v>
          </cell>
          <cell r="AO64">
            <v>10804.97479</v>
          </cell>
          <cell r="AP64">
            <v>10887.324860000001</v>
          </cell>
          <cell r="AQ64">
            <v>10971.025379999999</v>
          </cell>
          <cell r="AR64">
            <v>11056.13589</v>
          </cell>
          <cell r="AS64">
            <v>11142.76138</v>
          </cell>
          <cell r="AT64">
            <v>11231.00395</v>
          </cell>
          <cell r="AU64">
            <v>11320.941999999999</v>
          </cell>
          <cell r="AV64">
            <v>11412.813410000001</v>
          </cell>
          <cell r="AW64">
            <v>11505.53492</v>
          </cell>
          <cell r="AX64">
            <v>11598.50856</v>
          </cell>
          <cell r="AY64">
            <v>11691.44024</v>
          </cell>
          <cell r="AZ64">
            <v>11784.259190000001</v>
          </cell>
          <cell r="BA64">
            <v>11877.242039999999</v>
          </cell>
          <cell r="BB64">
            <v>11970.388430000001</v>
          </cell>
          <cell r="BC64">
            <v>12063.85729</v>
          </cell>
          <cell r="BD64">
            <v>12157.825919999999</v>
          </cell>
          <cell r="BE64">
            <v>12252.46025</v>
          </cell>
        </row>
        <row r="65">
          <cell r="B65">
            <v>7913.6606350000002</v>
          </cell>
          <cell r="C65">
            <v>7990.3891030000004</v>
          </cell>
          <cell r="D65">
            <v>8067.9693950000001</v>
          </cell>
          <cell r="E65">
            <v>8149.2163520000004</v>
          </cell>
          <cell r="F65">
            <v>8235.4516769999991</v>
          </cell>
          <cell r="G65">
            <v>8319.7968469999996</v>
          </cell>
          <cell r="H65">
            <v>8396.1485520000006</v>
          </cell>
          <cell r="I65">
            <v>8469.5897629999999</v>
          </cell>
          <cell r="J65">
            <v>8542.4910080000009</v>
          </cell>
          <cell r="K65">
            <v>8615.8540520000006</v>
          </cell>
          <cell r="L65">
            <v>8700.3020940000006</v>
          </cell>
          <cell r="M65">
            <v>8779.4539829999994</v>
          </cell>
          <cell r="N65">
            <v>8857.1351319999994</v>
          </cell>
          <cell r="O65">
            <v>8934.5389319999995</v>
          </cell>
          <cell r="P65">
            <v>9012.1156080000001</v>
          </cell>
          <cell r="Q65">
            <v>9090.0520519999991</v>
          </cell>
          <cell r="R65">
            <v>9168.4448200000006</v>
          </cell>
          <cell r="S65">
            <v>9247.3661580000007</v>
          </cell>
          <cell r="T65">
            <v>9326.8877890000003</v>
          </cell>
          <cell r="U65">
            <v>9407.0871950000001</v>
          </cell>
          <cell r="V65">
            <v>9480.9154749999998</v>
          </cell>
          <cell r="W65">
            <v>9559.8610200000003</v>
          </cell>
          <cell r="X65">
            <v>9641.2848639999993</v>
          </cell>
          <cell r="Y65">
            <v>9724.4044180000001</v>
          </cell>
          <cell r="Z65">
            <v>9808.9496889999991</v>
          </cell>
          <cell r="AA65">
            <v>9874.9044090000007</v>
          </cell>
          <cell r="AB65">
            <v>9944.7324829999998</v>
          </cell>
          <cell r="AC65">
            <v>10016.36925</v>
          </cell>
          <cell r="AD65">
            <v>10089.44096</v>
          </cell>
          <cell r="AE65">
            <v>10163.883599999999</v>
          </cell>
          <cell r="AF65">
            <v>10239.73115</v>
          </cell>
          <cell r="AG65">
            <v>10317.03586</v>
          </cell>
          <cell r="AH65">
            <v>10395.84078</v>
          </cell>
          <cell r="AI65">
            <v>10476.171829999999</v>
          </cell>
          <cell r="AJ65">
            <v>10558.03839</v>
          </cell>
          <cell r="AK65">
            <v>10641.43727</v>
          </cell>
          <cell r="AL65">
            <v>10721.86418</v>
          </cell>
          <cell r="AM65">
            <v>10801.98295</v>
          </cell>
          <cell r="AN65">
            <v>10882.72731</v>
          </cell>
          <cell r="AO65">
            <v>10964.51296</v>
          </cell>
          <cell r="AP65">
            <v>11047.562019999999</v>
          </cell>
          <cell r="AQ65">
            <v>11132.021849999999</v>
          </cell>
          <cell r="AR65">
            <v>11218.015740000001</v>
          </cell>
          <cell r="AS65">
            <v>11305.67333</v>
          </cell>
          <cell r="AT65">
            <v>11395.162619999999</v>
          </cell>
          <cell r="AU65">
            <v>11486.759550000001</v>
          </cell>
          <cell r="AV65">
            <v>11581.479369999999</v>
          </cell>
          <cell r="AW65">
            <v>11676.250819999999</v>
          </cell>
          <cell r="AX65">
            <v>11770.60101</v>
          </cell>
          <cell r="AY65">
            <v>11864.91604</v>
          </cell>
          <cell r="AZ65">
            <v>11959.76426</v>
          </cell>
          <cell r="BA65">
            <v>12055.55351</v>
          </cell>
          <cell r="BB65">
            <v>12152.494640000001</v>
          </cell>
          <cell r="BC65">
            <v>12250.67419</v>
          </cell>
          <cell r="BD65">
            <v>12350.12379</v>
          </cell>
          <cell r="BE65">
            <v>12450.85997</v>
          </cell>
        </row>
        <row r="66">
          <cell r="B66">
            <v>108.0662871</v>
          </cell>
          <cell r="C66">
            <v>108.2996521</v>
          </cell>
          <cell r="D66">
            <v>108.6182146</v>
          </cell>
          <cell r="E66">
            <v>109.0500006</v>
          </cell>
          <cell r="F66">
            <v>109.62216239999999</v>
          </cell>
          <cell r="G66">
            <v>110.32584660000001</v>
          </cell>
          <cell r="H66">
            <v>111.0763063</v>
          </cell>
          <cell r="I66">
            <v>111.8872982</v>
          </cell>
          <cell r="J66">
            <v>112.7572409</v>
          </cell>
          <cell r="K66">
            <v>113.6771828</v>
          </cell>
          <cell r="L66">
            <v>114.72649149999999</v>
          </cell>
          <cell r="M66">
            <v>115.73761260000001</v>
          </cell>
          <cell r="N66">
            <v>116.7455071</v>
          </cell>
          <cell r="O66">
            <v>117.7518954</v>
          </cell>
          <cell r="P66">
            <v>118.7547198</v>
          </cell>
          <cell r="Q66">
            <v>119.7523365</v>
          </cell>
          <cell r="R66">
            <v>120.7369075</v>
          </cell>
          <cell r="S66">
            <v>121.7144866</v>
          </cell>
          <cell r="T66">
            <v>122.68737160000001</v>
          </cell>
          <cell r="U66">
            <v>123.65784170000001</v>
          </cell>
          <cell r="V66">
            <v>124.5615548</v>
          </cell>
          <cell r="W66">
            <v>125.5085823</v>
          </cell>
          <cell r="X66">
            <v>126.47265470000001</v>
          </cell>
          <cell r="Y66">
            <v>127.45049950000001</v>
          </cell>
          <cell r="Z66">
            <v>128.44285170000001</v>
          </cell>
          <cell r="AA66">
            <v>129.2616463</v>
          </cell>
          <cell r="AB66">
            <v>130.1261997</v>
          </cell>
          <cell r="AC66">
            <v>131.0069895</v>
          </cell>
          <cell r="AD66">
            <v>131.90329059999999</v>
          </cell>
          <cell r="AE66">
            <v>132.8180036</v>
          </cell>
          <cell r="AF66">
            <v>133.75434559999999</v>
          </cell>
          <cell r="AG66">
            <v>134.7167316</v>
          </cell>
          <cell r="AH66">
            <v>135.7062224</v>
          </cell>
          <cell r="AI66">
            <v>136.72432130000001</v>
          </cell>
          <cell r="AJ66">
            <v>137.7721076</v>
          </cell>
          <cell r="AK66">
            <v>138.85017110000001</v>
          </cell>
          <cell r="AL66">
            <v>139.9282867</v>
          </cell>
          <cell r="AM66">
            <v>141.02194510000001</v>
          </cell>
          <cell r="AN66">
            <v>142.1362541</v>
          </cell>
          <cell r="AO66">
            <v>143.27331860000001</v>
          </cell>
          <cell r="AP66">
            <v>144.4340321</v>
          </cell>
          <cell r="AQ66">
            <v>145.62094540000001</v>
          </cell>
          <cell r="AR66">
            <v>146.83238470000001</v>
          </cell>
          <cell r="AS66">
            <v>148.0678614</v>
          </cell>
          <cell r="AT66">
            <v>149.32690719999999</v>
          </cell>
          <cell r="AU66">
            <v>150.60905550000001</v>
          </cell>
          <cell r="AV66">
            <v>151.9273283</v>
          </cell>
          <cell r="AW66">
            <v>153.27654100000001</v>
          </cell>
          <cell r="AX66">
            <v>154.65766139999999</v>
          </cell>
          <cell r="AY66">
            <v>156.07156989999999</v>
          </cell>
          <cell r="AZ66">
            <v>157.51837330000001</v>
          </cell>
          <cell r="BA66">
            <v>159.00236269999999</v>
          </cell>
          <cell r="BB66">
            <v>160.51945309999999</v>
          </cell>
          <cell r="BC66">
            <v>162.0685642</v>
          </cell>
          <cell r="BD66">
            <v>163.6491091</v>
          </cell>
          <cell r="BE66">
            <v>165.2607634</v>
          </cell>
        </row>
        <row r="67">
          <cell r="B67">
            <v>109.7649952</v>
          </cell>
          <cell r="C67">
            <v>110.5705423</v>
          </cell>
          <cell r="D67">
            <v>111.25226480000001</v>
          </cell>
          <cell r="E67">
            <v>111.9452926</v>
          </cell>
          <cell r="F67">
            <v>112.6958004</v>
          </cell>
          <cell r="G67">
            <v>113.5393773</v>
          </cell>
          <cell r="H67">
            <v>114.423967</v>
          </cell>
          <cell r="I67">
            <v>115.3674977</v>
          </cell>
          <cell r="J67">
            <v>116.35920369999999</v>
          </cell>
          <cell r="K67">
            <v>117.38543180000001</v>
          </cell>
          <cell r="L67">
            <v>118.5319059</v>
          </cell>
          <cell r="M67">
            <v>119.63718679999999</v>
          </cell>
          <cell r="N67">
            <v>120.73875409999999</v>
          </cell>
          <cell r="O67">
            <v>121.84272319999999</v>
          </cell>
          <cell r="P67">
            <v>122.9506908</v>
          </cell>
          <cell r="Q67">
            <v>124.0636633</v>
          </cell>
          <cell r="R67">
            <v>125.1829027</v>
          </cell>
          <cell r="S67">
            <v>126.31003560000001</v>
          </cell>
          <cell r="T67">
            <v>127.44698339999999</v>
          </cell>
          <cell r="U67">
            <v>128.59585480000001</v>
          </cell>
          <cell r="V67">
            <v>129.6886599</v>
          </cell>
          <cell r="W67">
            <v>130.84032999999999</v>
          </cell>
          <cell r="X67">
            <v>132.0223087</v>
          </cell>
          <cell r="Y67">
            <v>133.230456</v>
          </cell>
          <cell r="Z67">
            <v>134.4646425</v>
          </cell>
          <cell r="AA67">
            <v>135.52483789999999</v>
          </cell>
          <cell r="AB67">
            <v>136.6391461</v>
          </cell>
          <cell r="AC67">
            <v>137.77696420000001</v>
          </cell>
          <cell r="AD67">
            <v>138.93706169999999</v>
          </cell>
          <cell r="AE67">
            <v>140.12187700000001</v>
          </cell>
          <cell r="AF67">
            <v>141.33408299999999</v>
          </cell>
          <cell r="AG67">
            <v>142.5757845</v>
          </cell>
          <cell r="AH67">
            <v>143.84838300000001</v>
          </cell>
          <cell r="AI67">
            <v>145.15263350000001</v>
          </cell>
          <cell r="AJ67">
            <v>146.48876300000001</v>
          </cell>
          <cell r="AK67">
            <v>147.85660590000001</v>
          </cell>
          <cell r="AL67">
            <v>149.20796200000001</v>
          </cell>
          <cell r="AM67">
            <v>150.57074220000001</v>
          </cell>
          <cell r="AN67">
            <v>151.9520531</v>
          </cell>
          <cell r="AO67">
            <v>153.35500070000001</v>
          </cell>
          <cell r="AP67">
            <v>154.78149329999999</v>
          </cell>
          <cell r="AQ67">
            <v>156.2329034</v>
          </cell>
          <cell r="AR67">
            <v>157.71022679999999</v>
          </cell>
          <cell r="AS67">
            <v>159.21414150000001</v>
          </cell>
          <cell r="AT67">
            <v>160.74495479999999</v>
          </cell>
          <cell r="AU67">
            <v>162.3023494</v>
          </cell>
          <cell r="AV67">
            <v>163.8883333</v>
          </cell>
          <cell r="AW67">
            <v>165.4989411</v>
          </cell>
          <cell r="AX67">
            <v>167.13151450000001</v>
          </cell>
          <cell r="AY67">
            <v>168.78967460000001</v>
          </cell>
          <cell r="AZ67">
            <v>170.47676989999999</v>
          </cell>
          <cell r="BA67">
            <v>172.1937465</v>
          </cell>
          <cell r="BB67">
            <v>173.9401446</v>
          </cell>
          <cell r="BC67">
            <v>175.71516779999999</v>
          </cell>
          <cell r="BD67">
            <v>177.51822920000001</v>
          </cell>
          <cell r="BE67">
            <v>179.34910500000001</v>
          </cell>
        </row>
      </sheetData>
      <sheetData sheetId="4">
        <row r="2">
          <cell r="B2">
            <v>5218726.67</v>
          </cell>
          <cell r="C2">
            <v>5271382.8480000002</v>
          </cell>
          <cell r="D2">
            <v>5323940.7</v>
          </cell>
          <cell r="E2">
            <v>5377348.7539999997</v>
          </cell>
          <cell r="F2">
            <v>5432158.7419999996</v>
          </cell>
          <cell r="G2">
            <v>5488718.1349999998</v>
          </cell>
          <cell r="H2">
            <v>5547071.6289999997</v>
          </cell>
          <cell r="I2">
            <v>5607271.2189999996</v>
          </cell>
          <cell r="J2">
            <v>5669379.4500000002</v>
          </cell>
          <cell r="K2">
            <v>5733460.8310000002</v>
          </cell>
          <cell r="L2">
            <v>5799909.7390000001</v>
          </cell>
          <cell r="M2">
            <v>5868648.6529999999</v>
          </cell>
          <cell r="N2">
            <v>5939634.3940000003</v>
          </cell>
          <cell r="O2">
            <v>6012851.3250000002</v>
          </cell>
          <cell r="P2">
            <v>6088297.3710000003</v>
          </cell>
          <cell r="Q2">
            <v>6165978.102</v>
          </cell>
          <cell r="R2">
            <v>6245880.1469999999</v>
          </cell>
          <cell r="S2">
            <v>6328006.8159999996</v>
          </cell>
          <cell r="T2">
            <v>6412372.3720000004</v>
          </cell>
          <cell r="U2">
            <v>6498997.8509999998</v>
          </cell>
          <cell r="V2">
            <v>6587662.2290000003</v>
          </cell>
          <cell r="W2">
            <v>6678470.4730000002</v>
          </cell>
          <cell r="X2">
            <v>6771506.5530000003</v>
          </cell>
          <cell r="Y2">
            <v>6866834.0350000001</v>
          </cell>
          <cell r="Z2">
            <v>6964503.9869999997</v>
          </cell>
          <cell r="AA2">
            <v>7063848.1919999998</v>
          </cell>
          <cell r="AB2">
            <v>7164796.1869999999</v>
          </cell>
          <cell r="AC2">
            <v>7267306.2949999999</v>
          </cell>
          <cell r="AD2">
            <v>7371345.7110000001</v>
          </cell>
          <cell r="AE2">
            <v>7476891.9740000004</v>
          </cell>
          <cell r="AF2">
            <v>7583932.2819999997</v>
          </cell>
          <cell r="AG2">
            <v>7692466.6720000003</v>
          </cell>
          <cell r="AH2">
            <v>7802496.5990000004</v>
          </cell>
          <cell r="AI2">
            <v>7914023.0010000002</v>
          </cell>
          <cell r="AJ2">
            <v>8027044.8020000001</v>
          </cell>
          <cell r="AK2">
            <v>8141557.9550000001</v>
          </cell>
          <cell r="AL2">
            <v>8257434.5319999997</v>
          </cell>
          <cell r="AM2">
            <v>8374572.5060000001</v>
          </cell>
          <cell r="AN2">
            <v>8492890.9289999995</v>
          </cell>
          <cell r="AO2">
            <v>8612323.7200000007</v>
          </cell>
          <cell r="AP2">
            <v>8732816.8479999993</v>
          </cell>
          <cell r="AQ2">
            <v>8854335.2850000001</v>
          </cell>
          <cell r="AR2">
            <v>8976850.0040000007</v>
          </cell>
          <cell r="AS2">
            <v>9100337.7290000003</v>
          </cell>
          <cell r="AT2">
            <v>9224780.3530000001</v>
          </cell>
          <cell r="AU2">
            <v>9350164.1439999994</v>
          </cell>
          <cell r="AV2">
            <v>9476523.1840000004</v>
          </cell>
          <cell r="AW2">
            <v>9603878.4749999996</v>
          </cell>
          <cell r="AX2">
            <v>9732242.4370000008</v>
          </cell>
          <cell r="AY2">
            <v>9861622.9550000001</v>
          </cell>
          <cell r="AZ2">
            <v>9992026.0940000005</v>
          </cell>
          <cell r="BA2">
            <v>10123476.210000001</v>
          </cell>
          <cell r="BB2">
            <v>10255992.050000001</v>
          </cell>
          <cell r="BC2">
            <v>10389589.779999999</v>
          </cell>
          <cell r="BD2">
            <v>10524285.35</v>
          </cell>
          <cell r="BE2">
            <v>10660096.050000001</v>
          </cell>
        </row>
        <row r="3">
          <cell r="B3">
            <v>5224351.5990000004</v>
          </cell>
          <cell r="C3">
            <v>5285939.1890000002</v>
          </cell>
          <cell r="D3">
            <v>5349468.2699999996</v>
          </cell>
          <cell r="E3">
            <v>5415267.1299999999</v>
          </cell>
          <cell r="F3">
            <v>5483570.4560000002</v>
          </cell>
          <cell r="G3">
            <v>5554548.6670000004</v>
          </cell>
          <cell r="H3">
            <v>5628132.9570000004</v>
          </cell>
          <cell r="I3">
            <v>5704292.977</v>
          </cell>
          <cell r="J3">
            <v>5783028.068</v>
          </cell>
          <cell r="K3">
            <v>5864354.1330000004</v>
          </cell>
          <cell r="L3">
            <v>5948646.0389999999</v>
          </cell>
          <cell r="M3">
            <v>6035819.648</v>
          </cell>
          <cell r="N3">
            <v>6125820.824</v>
          </cell>
          <cell r="O3">
            <v>6218620.2929999996</v>
          </cell>
          <cell r="P3">
            <v>6314200.1500000004</v>
          </cell>
          <cell r="Q3">
            <v>6412547.8660000004</v>
          </cell>
          <cell r="R3">
            <v>6513654.2599999998</v>
          </cell>
          <cell r="S3">
            <v>6617512.8930000002</v>
          </cell>
          <cell r="T3">
            <v>6724119.6900000004</v>
          </cell>
          <cell r="U3">
            <v>6833472.3940000003</v>
          </cell>
          <cell r="V3">
            <v>6945305.1550000003</v>
          </cell>
          <cell r="W3">
            <v>7059698.8559999997</v>
          </cell>
          <cell r="X3">
            <v>7176711.4019999998</v>
          </cell>
          <cell r="Y3">
            <v>7296379.2050000001</v>
          </cell>
          <cell r="Z3">
            <v>7418725.7719999999</v>
          </cell>
          <cell r="AA3">
            <v>7542993.5410000002</v>
          </cell>
          <cell r="AB3">
            <v>7669058.5209999997</v>
          </cell>
          <cell r="AC3">
            <v>7796832.5360000003</v>
          </cell>
          <cell r="AD3">
            <v>7926240.943</v>
          </cell>
          <cell r="AE3">
            <v>8057223.2759999996</v>
          </cell>
          <cell r="AF3">
            <v>8189731.7719999999</v>
          </cell>
          <cell r="AG3">
            <v>8323728.1009999998</v>
          </cell>
          <cell r="AH3">
            <v>8459179.6539999992</v>
          </cell>
          <cell r="AI3">
            <v>8596056.3379999995</v>
          </cell>
          <cell r="AJ3">
            <v>8734328.2550000008</v>
          </cell>
          <cell r="AK3">
            <v>8873964.3570000008</v>
          </cell>
          <cell r="AL3">
            <v>9014742.1779999994</v>
          </cell>
          <cell r="AM3">
            <v>9156493.5209999997</v>
          </cell>
          <cell r="AN3">
            <v>9299090.307</v>
          </cell>
          <cell r="AO3">
            <v>9442431.8100000005</v>
          </cell>
          <cell r="AP3">
            <v>9586438.2219999991</v>
          </cell>
          <cell r="AQ3">
            <v>9731047.0299999993</v>
          </cell>
          <cell r="AR3">
            <v>9876210.3969999999</v>
          </cell>
          <cell r="AS3">
            <v>10021892.93</v>
          </cell>
          <cell r="AT3">
            <v>10168069.75</v>
          </cell>
          <cell r="AU3">
            <v>10314724.859999999</v>
          </cell>
          <cell r="AV3">
            <v>10461867.300000001</v>
          </cell>
          <cell r="AW3">
            <v>10609507.949999999</v>
          </cell>
          <cell r="AX3">
            <v>10757660.439999999</v>
          </cell>
          <cell r="AY3">
            <v>10906341.779999999</v>
          </cell>
          <cell r="AZ3">
            <v>11055572.85</v>
          </cell>
          <cell r="BA3">
            <v>11205378.99</v>
          </cell>
          <cell r="BB3">
            <v>11355790.529999999</v>
          </cell>
          <cell r="BC3">
            <v>11506843.220000001</v>
          </cell>
          <cell r="BD3">
            <v>11658578.529999999</v>
          </cell>
          <cell r="BE3">
            <v>11811043.779999999</v>
          </cell>
        </row>
        <row r="4">
          <cell r="B4">
            <v>47151.469819999998</v>
          </cell>
          <cell r="C4">
            <v>47592.438260000003</v>
          </cell>
          <cell r="D4">
            <v>48013.891159999999</v>
          </cell>
          <cell r="E4">
            <v>48428.393459999999</v>
          </cell>
          <cell r="F4">
            <v>48845.671450000002</v>
          </cell>
          <cell r="G4">
            <v>49273.315499999997</v>
          </cell>
          <cell r="H4">
            <v>49715.402170000001</v>
          </cell>
          <cell r="I4">
            <v>50175.14473</v>
          </cell>
          <cell r="J4">
            <v>50655.025500000003</v>
          </cell>
          <cell r="K4">
            <v>51156.855150000003</v>
          </cell>
          <cell r="L4">
            <v>51684.908000000003</v>
          </cell>
          <cell r="M4">
            <v>52238.815560000003</v>
          </cell>
          <cell r="N4">
            <v>52818.101410000003</v>
          </cell>
          <cell r="O4">
            <v>53422.278570000002</v>
          </cell>
          <cell r="P4">
            <v>54050.813770000001</v>
          </cell>
          <cell r="Q4">
            <v>54703.141470000002</v>
          </cell>
          <cell r="R4">
            <v>55378.410040000002</v>
          </cell>
          <cell r="S4">
            <v>56075.940739999998</v>
          </cell>
          <cell r="T4">
            <v>56795.171040000001</v>
          </cell>
          <cell r="U4">
            <v>57535.61997</v>
          </cell>
          <cell r="V4">
            <v>58294.630740000001</v>
          </cell>
          <cell r="W4">
            <v>59072.446920000002</v>
          </cell>
          <cell r="X4">
            <v>59869.28282</v>
          </cell>
          <cell r="Y4">
            <v>60685.250930000002</v>
          </cell>
          <cell r="Z4">
            <v>61520.405250000003</v>
          </cell>
          <cell r="AA4">
            <v>62368.307480000003</v>
          </cell>
          <cell r="AB4">
            <v>63227.721850000002</v>
          </cell>
          <cell r="AC4">
            <v>64097.91721</v>
          </cell>
          <cell r="AD4">
            <v>64978.428760000003</v>
          </cell>
          <cell r="AE4">
            <v>65869.044580000002</v>
          </cell>
          <cell r="AF4">
            <v>66769.76801</v>
          </cell>
          <cell r="AG4">
            <v>67680.827080000003</v>
          </cell>
          <cell r="AH4">
            <v>68602.516189999995</v>
          </cell>
          <cell r="AI4">
            <v>69535.160999999993</v>
          </cell>
          <cell r="AJ4">
            <v>70479.090670000005</v>
          </cell>
          <cell r="AK4">
            <v>71434.61894</v>
          </cell>
          <cell r="AL4">
            <v>72401.078080000007</v>
          </cell>
          <cell r="AM4">
            <v>73377.878270000001</v>
          </cell>
          <cell r="AN4">
            <v>74364.601349999997</v>
          </cell>
          <cell r="AO4">
            <v>75360.994779999994</v>
          </cell>
          <cell r="AP4">
            <v>76366.958050000001</v>
          </cell>
          <cell r="AQ4">
            <v>77382.622239999997</v>
          </cell>
          <cell r="AR4">
            <v>78408.183180000007</v>
          </cell>
          <cell r="AS4">
            <v>79443.892909999995</v>
          </cell>
          <cell r="AT4">
            <v>80490.044649999996</v>
          </cell>
          <cell r="AU4">
            <v>81546.955889999997</v>
          </cell>
          <cell r="AV4">
            <v>82615.426980000004</v>
          </cell>
          <cell r="AW4">
            <v>83696.063500000004</v>
          </cell>
          <cell r="AX4">
            <v>84789.334050000005</v>
          </cell>
          <cell r="AY4">
            <v>85895.617450000005</v>
          </cell>
          <cell r="AZ4">
            <v>87015.232080000002</v>
          </cell>
          <cell r="BA4">
            <v>88148.669039999993</v>
          </cell>
          <cell r="BB4">
            <v>89296.298129999996</v>
          </cell>
          <cell r="BC4">
            <v>90458.415299999993</v>
          </cell>
          <cell r="BD4">
            <v>91635.275210000007</v>
          </cell>
          <cell r="BE4">
            <v>92827.110700000005</v>
          </cell>
        </row>
        <row r="5">
          <cell r="B5">
            <v>47217.39402</v>
          </cell>
          <cell r="C5">
            <v>47760.717660000002</v>
          </cell>
          <cell r="D5">
            <v>48305.589419999997</v>
          </cell>
          <cell r="E5">
            <v>48857.212800000001</v>
          </cell>
          <cell r="F5">
            <v>49421.240109999999</v>
          </cell>
          <cell r="G5">
            <v>50002.531949999997</v>
          </cell>
          <cell r="H5">
            <v>50603.050940000001</v>
          </cell>
          <cell r="I5">
            <v>51224.306550000001</v>
          </cell>
          <cell r="J5">
            <v>51867.452490000003</v>
          </cell>
          <cell r="K5">
            <v>52533.32185</v>
          </cell>
          <cell r="L5">
            <v>53225.705479999997</v>
          </cell>
          <cell r="M5">
            <v>53944.036310000003</v>
          </cell>
          <cell r="N5">
            <v>54687.691319999998</v>
          </cell>
          <cell r="O5">
            <v>55456.09564</v>
          </cell>
          <cell r="P5">
            <v>56248.676180000002</v>
          </cell>
          <cell r="Q5">
            <v>57064.860760000003</v>
          </cell>
          <cell r="R5">
            <v>57904.097930000004</v>
          </cell>
          <cell r="S5">
            <v>58765.876579999996</v>
          </cell>
          <cell r="T5">
            <v>59649.737849999998</v>
          </cell>
          <cell r="U5">
            <v>60555.279049999997</v>
          </cell>
          <cell r="V5">
            <v>61479.729290000003</v>
          </cell>
          <cell r="W5">
            <v>62423.455390000003</v>
          </cell>
          <cell r="X5">
            <v>63386.779829999999</v>
          </cell>
          <cell r="Y5">
            <v>64369.919139999998</v>
          </cell>
          <cell r="Z5">
            <v>65373.033689999997</v>
          </cell>
          <cell r="AA5">
            <v>66389.199940000006</v>
          </cell>
          <cell r="AB5">
            <v>67417.082160000005</v>
          </cell>
          <cell r="AC5">
            <v>68455.929470000003</v>
          </cell>
          <cell r="AD5">
            <v>69505.307209999999</v>
          </cell>
          <cell r="AE5">
            <v>70565.07273</v>
          </cell>
          <cell r="AF5">
            <v>71635.327019999997</v>
          </cell>
          <cell r="AG5">
            <v>72716.347590000005</v>
          </cell>
          <cell r="AH5">
            <v>73808.522039999996</v>
          </cell>
          <cell r="AI5">
            <v>74912.293340000004</v>
          </cell>
          <cell r="AJ5">
            <v>76028.12023</v>
          </cell>
          <cell r="AK5">
            <v>77156.452170000004</v>
          </cell>
          <cell r="AL5">
            <v>78295.991339999993</v>
          </cell>
          <cell r="AM5">
            <v>79445.868879999995</v>
          </cell>
          <cell r="AN5">
            <v>80605.588329999999</v>
          </cell>
          <cell r="AO5">
            <v>81774.930619999999</v>
          </cell>
          <cell r="AP5">
            <v>82953.897649999999</v>
          </cell>
          <cell r="AQ5">
            <v>84142.670169999998</v>
          </cell>
          <cell r="AR5">
            <v>85341.568450000006</v>
          </cell>
          <cell r="AS5">
            <v>86551.014679999993</v>
          </cell>
          <cell r="AT5">
            <v>87771.498989999993</v>
          </cell>
          <cell r="AU5">
            <v>89003.551720000003</v>
          </cell>
          <cell r="AV5">
            <v>90247.881519999995</v>
          </cell>
          <cell r="AW5">
            <v>91505.165240000002</v>
          </cell>
          <cell r="AX5">
            <v>92776.043220000007</v>
          </cell>
          <cell r="AY5">
            <v>94061.110190000007</v>
          </cell>
          <cell r="AZ5">
            <v>95360.914669999998</v>
          </cell>
          <cell r="BA5">
            <v>96675.966830000005</v>
          </cell>
          <cell r="BB5">
            <v>98006.748229999997</v>
          </cell>
          <cell r="BC5">
            <v>99353.719930000007</v>
          </cell>
          <cell r="BD5">
            <v>100717.32829999999</v>
          </cell>
          <cell r="BE5">
            <v>102098.0092</v>
          </cell>
        </row>
        <row r="6">
          <cell r="B6">
            <v>1843.8644280000001</v>
          </cell>
          <cell r="C6">
            <v>1862.4457600000001</v>
          </cell>
          <cell r="D6">
            <v>1878.9807940000001</v>
          </cell>
          <cell r="E6">
            <v>1893.4100189999999</v>
          </cell>
          <cell r="F6">
            <v>1905.8330189999999</v>
          </cell>
          <cell r="G6">
            <v>1916.395947</v>
          </cell>
          <cell r="H6">
            <v>1925.1866339999999</v>
          </cell>
          <cell r="I6">
            <v>1932.3106459999999</v>
          </cell>
          <cell r="J6">
            <v>1937.9155499999999</v>
          </cell>
          <cell r="K6">
            <v>1942.175209</v>
          </cell>
          <cell r="L6">
            <v>1945.3432640000001</v>
          </cell>
          <cell r="M6">
            <v>1947.548732</v>
          </cell>
          <cell r="N6">
            <v>1948.9091100000001</v>
          </cell>
          <cell r="O6">
            <v>1949.5362479999999</v>
          </cell>
          <cell r="P6">
            <v>1949.533698</v>
          </cell>
          <cell r="Q6">
            <v>1948.9955460000001</v>
          </cell>
          <cell r="R6">
            <v>1948.0028709999999</v>
          </cell>
          <cell r="S6">
            <v>1946.6306950000001</v>
          </cell>
          <cell r="T6">
            <v>1944.9474310000001</v>
          </cell>
          <cell r="U6">
            <v>1943.0150659999999</v>
          </cell>
          <cell r="V6">
            <v>1940.838616</v>
          </cell>
          <cell r="W6">
            <v>1938.488918</v>
          </cell>
          <cell r="X6">
            <v>1936.0283999999999</v>
          </cell>
          <cell r="Y6">
            <v>1933.5068799999999</v>
          </cell>
          <cell r="Z6">
            <v>1930.9650730000001</v>
          </cell>
          <cell r="AA6">
            <v>1928.2979800000001</v>
          </cell>
          <cell r="AB6">
            <v>1925.5280560000001</v>
          </cell>
          <cell r="AC6">
            <v>1922.6903930000001</v>
          </cell>
          <cell r="AD6">
            <v>1919.8171179999999</v>
          </cell>
          <cell r="AE6">
            <v>1916.9359119999999</v>
          </cell>
          <cell r="AF6">
            <v>1914.071144</v>
          </cell>
          <cell r="AG6">
            <v>1911.246155</v>
          </cell>
          <cell r="AH6">
            <v>1908.4829990000001</v>
          </cell>
          <cell r="AI6">
            <v>1905.8034729999999</v>
          </cell>
          <cell r="AJ6">
            <v>1903.2295879999999</v>
          </cell>
          <cell r="AK6">
            <v>1900.7835379999999</v>
          </cell>
          <cell r="AL6">
            <v>1898.4642249999999</v>
          </cell>
          <cell r="AM6">
            <v>1896.276901</v>
          </cell>
          <cell r="AN6">
            <v>1894.2327250000001</v>
          </cell>
          <cell r="AO6">
            <v>1892.3449639999999</v>
          </cell>
          <cell r="AP6">
            <v>1890.626342</v>
          </cell>
          <cell r="AQ6">
            <v>1889.088857</v>
          </cell>
          <cell r="AR6">
            <v>1887.7411420000001</v>
          </cell>
          <cell r="AS6">
            <v>1886.5885659999999</v>
          </cell>
          <cell r="AT6">
            <v>1885.6333609999999</v>
          </cell>
          <cell r="AU6">
            <v>1884.8750689999999</v>
          </cell>
          <cell r="AV6">
            <v>1884.3236489999999</v>
          </cell>
          <cell r="AW6">
            <v>1883.994555</v>
          </cell>
          <cell r="AX6">
            <v>1883.9106420000001</v>
          </cell>
          <cell r="AY6">
            <v>1884.1001859999999</v>
          </cell>
          <cell r="AZ6">
            <v>1884.5933930000001</v>
          </cell>
          <cell r="BA6">
            <v>1885.4219330000001</v>
          </cell>
          <cell r="BB6">
            <v>1886.612693</v>
          </cell>
          <cell r="BC6">
            <v>1888.187416</v>
          </cell>
          <cell r="BD6">
            <v>1890.162844</v>
          </cell>
          <cell r="BE6">
            <v>1892.5511320000001</v>
          </cell>
        </row>
        <row r="7">
          <cell r="B7">
            <v>1844.7470519999999</v>
          </cell>
          <cell r="C7">
            <v>1864.514179</v>
          </cell>
          <cell r="D7">
            <v>1882.2706470000001</v>
          </cell>
          <cell r="E7">
            <v>1897.8557249999999</v>
          </cell>
          <cell r="F7">
            <v>1911.32401</v>
          </cell>
          <cell r="G7">
            <v>1922.8722560000001</v>
          </cell>
          <cell r="H7">
            <v>1932.7094629999999</v>
          </cell>
          <cell r="I7">
            <v>1941.0625580000001</v>
          </cell>
          <cell r="J7">
            <v>1948.1440150000001</v>
          </cell>
          <cell r="K7">
            <v>1954.1370440000001</v>
          </cell>
          <cell r="L7">
            <v>1959.2754170000001</v>
          </cell>
          <cell r="M7">
            <v>1963.6571289999999</v>
          </cell>
          <cell r="N7">
            <v>1967.3669130000001</v>
          </cell>
          <cell r="O7">
            <v>1970.4881889999999</v>
          </cell>
          <cell r="P7">
            <v>1973.10205</v>
          </cell>
          <cell r="Q7">
            <v>1975.2856690000001</v>
          </cell>
          <cell r="R7">
            <v>1977.111598</v>
          </cell>
          <cell r="S7">
            <v>1978.6476660000001</v>
          </cell>
          <cell r="T7">
            <v>1979.9571309999999</v>
          </cell>
          <cell r="U7">
            <v>1981.098882</v>
          </cell>
          <cell r="V7">
            <v>1982.073995</v>
          </cell>
          <cell r="W7">
            <v>1982.955142</v>
          </cell>
          <cell r="X7">
            <v>1983.8075449999999</v>
          </cell>
          <cell r="Y7">
            <v>1984.684614</v>
          </cell>
          <cell r="Z7">
            <v>1985.6309819999999</v>
          </cell>
          <cell r="AA7">
            <v>1986.536503</v>
          </cell>
          <cell r="AB7">
            <v>1987.4260280000001</v>
          </cell>
          <cell r="AC7">
            <v>1988.3385679999999</v>
          </cell>
          <cell r="AD7">
            <v>1989.3111260000001</v>
          </cell>
          <cell r="AE7">
            <v>1990.3766410000001</v>
          </cell>
          <cell r="AF7">
            <v>1991.564349</v>
          </cell>
          <cell r="AG7">
            <v>1992.9003070000001</v>
          </cell>
          <cell r="AH7">
            <v>1994.4077420000001</v>
          </cell>
          <cell r="AI7">
            <v>1996.1073040000001</v>
          </cell>
          <cell r="AJ7">
            <v>1998.0172769999999</v>
          </cell>
          <cell r="AK7">
            <v>2000.1538</v>
          </cell>
          <cell r="AL7">
            <v>2002.497811</v>
          </cell>
          <cell r="AM7">
            <v>2005.0421759999999</v>
          </cell>
          <cell r="AN7">
            <v>2007.7893790000001</v>
          </cell>
          <cell r="AO7">
            <v>2010.7468429999999</v>
          </cell>
          <cell r="AP7">
            <v>2013.9240339999999</v>
          </cell>
          <cell r="AQ7">
            <v>2017.3310100000001</v>
          </cell>
          <cell r="AR7">
            <v>2020.9777300000001</v>
          </cell>
          <cell r="AS7">
            <v>2024.8736329999999</v>
          </cell>
          <cell r="AT7">
            <v>2029.0271519999999</v>
          </cell>
          <cell r="AU7">
            <v>2033.4445539999999</v>
          </cell>
          <cell r="AV7">
            <v>2038.127526</v>
          </cell>
          <cell r="AW7">
            <v>2043.0724319999999</v>
          </cell>
          <cell r="AX7">
            <v>2048.2749629999998</v>
          </cell>
          <cell r="AY7">
            <v>2053.733995</v>
          </cell>
          <cell r="AZ7">
            <v>2059.4524249999999</v>
          </cell>
          <cell r="BA7">
            <v>2065.4353679999999</v>
          </cell>
          <cell r="BB7">
            <v>2071.6880980000001</v>
          </cell>
          <cell r="BC7">
            <v>2078.2148630000002</v>
          </cell>
          <cell r="BD7">
            <v>2085.0185940000001</v>
          </cell>
          <cell r="BE7">
            <v>2092.101095</v>
          </cell>
        </row>
        <row r="8">
          <cell r="B8">
            <v>74442.309030000004</v>
          </cell>
          <cell r="C8">
            <v>75170.408819999997</v>
          </cell>
          <cell r="D8">
            <v>75876.90814</v>
          </cell>
          <cell r="E8">
            <v>76578.134349999993</v>
          </cell>
          <cell r="F8">
            <v>77287.241989999995</v>
          </cell>
          <cell r="G8">
            <v>78014.870869999999</v>
          </cell>
          <cell r="H8">
            <v>78766.751539999997</v>
          </cell>
          <cell r="I8">
            <v>79547.508570000005</v>
          </cell>
          <cell r="J8">
            <v>80360.810500000007</v>
          </cell>
          <cell r="K8">
            <v>81209.420570000002</v>
          </cell>
          <cell r="L8">
            <v>82100.044680000006</v>
          </cell>
          <cell r="M8">
            <v>83032.484020000004</v>
          </cell>
          <cell r="N8">
            <v>84006.225030000001</v>
          </cell>
          <cell r="O8">
            <v>85020.645009999993</v>
          </cell>
          <cell r="P8">
            <v>86075.006469999993</v>
          </cell>
          <cell r="Q8">
            <v>87168.498420000004</v>
          </cell>
          <cell r="R8">
            <v>88299.920110000006</v>
          </cell>
          <cell r="S8">
            <v>89468.261710000006</v>
          </cell>
          <cell r="T8">
            <v>90672.64142</v>
          </cell>
          <cell r="U8">
            <v>91912.268849999993</v>
          </cell>
          <cell r="V8">
            <v>93182.912609999999</v>
          </cell>
          <cell r="W8">
            <v>94484.715559999997</v>
          </cell>
          <cell r="X8">
            <v>95817.845740000004</v>
          </cell>
          <cell r="Y8">
            <v>97182.349730000002</v>
          </cell>
          <cell r="Z8">
            <v>98578.189079999996</v>
          </cell>
          <cell r="AA8">
            <v>99995.110610000003</v>
          </cell>
          <cell r="AB8">
            <v>101430.5834</v>
          </cell>
          <cell r="AC8">
            <v>102882.96189999999</v>
          </cell>
          <cell r="AD8">
            <v>104351.12420000001</v>
          </cell>
          <cell r="AE8">
            <v>105834.4244</v>
          </cell>
          <cell r="AF8">
            <v>107332.6146</v>
          </cell>
          <cell r="AG8">
            <v>108845.8294</v>
          </cell>
          <cell r="AH8">
            <v>110374.3594</v>
          </cell>
          <cell r="AI8">
            <v>111918.58349999999</v>
          </cell>
          <cell r="AJ8">
            <v>113478.9176</v>
          </cell>
          <cell r="AK8">
            <v>115055.7792</v>
          </cell>
          <cell r="AL8">
            <v>116647.9034</v>
          </cell>
          <cell r="AM8">
            <v>118254.18979999999</v>
          </cell>
          <cell r="AN8">
            <v>119873.853</v>
          </cell>
          <cell r="AO8">
            <v>121506.4109</v>
          </cell>
          <cell r="AP8">
            <v>123151.663</v>
          </cell>
          <cell r="AQ8">
            <v>124809.78660000001</v>
          </cell>
          <cell r="AR8">
            <v>126481.1127</v>
          </cell>
          <cell r="AS8">
            <v>128166.0971</v>
          </cell>
          <cell r="AT8">
            <v>129865.28449999999</v>
          </cell>
          <cell r="AU8">
            <v>131579.27480000001</v>
          </cell>
          <cell r="AV8">
            <v>133309.35079999999</v>
          </cell>
          <cell r="AW8">
            <v>135056.56349999999</v>
          </cell>
          <cell r="AX8">
            <v>136821.78529999999</v>
          </cell>
          <cell r="AY8">
            <v>138605.75880000001</v>
          </cell>
          <cell r="AZ8">
            <v>140409.13389999999</v>
          </cell>
          <cell r="BA8">
            <v>142232.77619999999</v>
          </cell>
          <cell r="BB8">
            <v>144077.39559999999</v>
          </cell>
          <cell r="BC8">
            <v>145943.6017</v>
          </cell>
          <cell r="BD8">
            <v>147831.9412</v>
          </cell>
          <cell r="BE8">
            <v>149742.9246</v>
          </cell>
        </row>
        <row r="9">
          <cell r="B9">
            <v>74528.112829999998</v>
          </cell>
          <cell r="C9">
            <v>75393.603109999996</v>
          </cell>
          <cell r="D9">
            <v>76271.233420000004</v>
          </cell>
          <cell r="E9">
            <v>77167.94889</v>
          </cell>
          <cell r="F9">
            <v>78091.028340000004</v>
          </cell>
          <cell r="G9">
            <v>79046.729120000004</v>
          </cell>
          <cell r="H9">
            <v>80037.142619999999</v>
          </cell>
          <cell r="I9">
            <v>81063.83279</v>
          </cell>
          <cell r="J9">
            <v>82127.996150000006</v>
          </cell>
          <cell r="K9">
            <v>83230.494030000002</v>
          </cell>
          <cell r="L9">
            <v>84376.895470000003</v>
          </cell>
          <cell r="M9">
            <v>85566.314610000001</v>
          </cell>
          <cell r="N9">
            <v>86797.691489999997</v>
          </cell>
          <cell r="O9">
            <v>88069.982980000001</v>
          </cell>
          <cell r="P9">
            <v>89382.127600000007</v>
          </cell>
          <cell r="Q9">
            <v>90733.060620000004</v>
          </cell>
          <cell r="R9">
            <v>92121.749490000002</v>
          </cell>
          <cell r="S9">
            <v>93547.224059999993</v>
          </cell>
          <cell r="T9">
            <v>95008.593269999998</v>
          </cell>
          <cell r="U9">
            <v>96505.049580000006</v>
          </cell>
          <cell r="V9">
            <v>98032.094939999995</v>
          </cell>
          <cell r="W9">
            <v>99589.946039999995</v>
          </cell>
          <cell r="X9">
            <v>101178.8532</v>
          </cell>
          <cell r="Y9">
            <v>102798.9657</v>
          </cell>
          <cell r="Z9">
            <v>104450.37089999999</v>
          </cell>
          <cell r="AA9">
            <v>106122.1234</v>
          </cell>
          <cell r="AB9">
            <v>107811.5143</v>
          </cell>
          <cell r="AC9">
            <v>109516.8328</v>
          </cell>
          <cell r="AD9">
            <v>111236.9773</v>
          </cell>
          <cell r="AE9">
            <v>112971.3939</v>
          </cell>
          <cell r="AF9">
            <v>114719.97930000001</v>
          </cell>
          <cell r="AG9">
            <v>116482.962</v>
          </cell>
          <cell r="AH9">
            <v>118260.7868</v>
          </cell>
          <cell r="AI9">
            <v>120054.0227</v>
          </cell>
          <cell r="AJ9">
            <v>121863.29519999999</v>
          </cell>
          <cell r="AK9">
            <v>123689.2435</v>
          </cell>
          <cell r="AL9">
            <v>125529.8098</v>
          </cell>
          <cell r="AM9">
            <v>127383.51489999999</v>
          </cell>
          <cell r="AN9">
            <v>129249.4422</v>
          </cell>
          <cell r="AO9">
            <v>131127.1341</v>
          </cell>
          <cell r="AP9">
            <v>133016.52059999999</v>
          </cell>
          <cell r="AQ9">
            <v>134917.85550000001</v>
          </cell>
          <cell r="AR9">
            <v>136831.65100000001</v>
          </cell>
          <cell r="AS9">
            <v>138758.61259999999</v>
          </cell>
          <cell r="AT9">
            <v>140699.5808</v>
          </cell>
          <cell r="AU9">
            <v>142655.48130000001</v>
          </cell>
          <cell r="AV9">
            <v>144627.53709999999</v>
          </cell>
          <cell r="AW9">
            <v>146616.9485</v>
          </cell>
          <cell r="AX9">
            <v>148624.875</v>
          </cell>
          <cell r="AY9">
            <v>150652.4112</v>
          </cell>
          <cell r="AZ9">
            <v>152700.58189999999</v>
          </cell>
          <cell r="BA9">
            <v>154770.35500000001</v>
          </cell>
          <cell r="BB9">
            <v>156862.6563</v>
          </cell>
          <cell r="BC9">
            <v>158978.3817</v>
          </cell>
          <cell r="BD9">
            <v>161118.40609999999</v>
          </cell>
          <cell r="BE9">
            <v>163283.5882</v>
          </cell>
        </row>
        <row r="10">
          <cell r="B10">
            <v>400376.34120000002</v>
          </cell>
          <cell r="C10">
            <v>403621.85259999998</v>
          </cell>
          <cell r="D10">
            <v>407083.962</v>
          </cell>
          <cell r="E10">
            <v>410867.98639999999</v>
          </cell>
          <cell r="F10">
            <v>414968.87829999998</v>
          </cell>
          <cell r="G10">
            <v>419346.16710000002</v>
          </cell>
          <cell r="H10">
            <v>423930.57020000002</v>
          </cell>
          <cell r="I10">
            <v>428674.42479999998</v>
          </cell>
          <cell r="J10">
            <v>433545.29509999999</v>
          </cell>
          <cell r="K10">
            <v>438520.8026</v>
          </cell>
          <cell r="L10">
            <v>443624.8124</v>
          </cell>
          <cell r="M10">
            <v>448814.83639999997</v>
          </cell>
          <cell r="N10">
            <v>454069.3175</v>
          </cell>
          <cell r="O10">
            <v>459377.09419999999</v>
          </cell>
          <cell r="P10">
            <v>464732.04690000002</v>
          </cell>
          <cell r="Q10">
            <v>470130.9313</v>
          </cell>
          <cell r="R10">
            <v>475567.01569999999</v>
          </cell>
          <cell r="S10">
            <v>481038.8898</v>
          </cell>
          <cell r="T10">
            <v>486547.82780000003</v>
          </cell>
          <cell r="U10">
            <v>492096.58750000002</v>
          </cell>
          <cell r="V10">
            <v>497660.36849999998</v>
          </cell>
          <cell r="W10">
            <v>503262.1372</v>
          </cell>
          <cell r="X10">
            <v>508914.89769999997</v>
          </cell>
          <cell r="Y10">
            <v>514626.99780000001</v>
          </cell>
          <cell r="Z10">
            <v>520404.90250000003</v>
          </cell>
          <cell r="AA10">
            <v>526173.29260000004</v>
          </cell>
          <cell r="AB10">
            <v>531954.10479999997</v>
          </cell>
          <cell r="AC10">
            <v>537762.42669999995</v>
          </cell>
          <cell r="AD10">
            <v>543609.38760000002</v>
          </cell>
          <cell r="AE10">
            <v>549504.26980000001</v>
          </cell>
          <cell r="AF10">
            <v>555455.20550000004</v>
          </cell>
          <cell r="AG10">
            <v>561470.60730000003</v>
          </cell>
          <cell r="AH10">
            <v>567557.17559999996</v>
          </cell>
          <cell r="AI10">
            <v>573720.44449999998</v>
          </cell>
          <cell r="AJ10">
            <v>579965.04749999999</v>
          </cell>
          <cell r="AK10">
            <v>586294.86910000001</v>
          </cell>
          <cell r="AL10">
            <v>592704.86170000001</v>
          </cell>
          <cell r="AM10">
            <v>599194.2831</v>
          </cell>
          <cell r="AN10">
            <v>605764.40659999999</v>
          </cell>
          <cell r="AO10">
            <v>612417.22230000002</v>
          </cell>
          <cell r="AP10">
            <v>619154.88749999995</v>
          </cell>
          <cell r="AQ10">
            <v>625981.23400000005</v>
          </cell>
          <cell r="AR10">
            <v>632898.78060000006</v>
          </cell>
          <cell r="AS10">
            <v>639909.38029999996</v>
          </cell>
          <cell r="AT10">
            <v>647014.4952</v>
          </cell>
          <cell r="AU10">
            <v>654215.31279999996</v>
          </cell>
          <cell r="AV10">
            <v>661520.39749999996</v>
          </cell>
          <cell r="AW10">
            <v>668933.15700000001</v>
          </cell>
          <cell r="AX10">
            <v>676454.80480000004</v>
          </cell>
          <cell r="AY10">
            <v>684085.66240000003</v>
          </cell>
          <cell r="AZ10">
            <v>691825.70319999999</v>
          </cell>
          <cell r="BA10">
            <v>699678.50560000003</v>
          </cell>
          <cell r="BB10">
            <v>707645.25060000003</v>
          </cell>
          <cell r="BC10">
            <v>715726.21409999998</v>
          </cell>
          <cell r="BD10">
            <v>723921.3933</v>
          </cell>
          <cell r="BE10">
            <v>732230.75309999997</v>
          </cell>
        </row>
        <row r="11">
          <cell r="B11">
            <v>401602.75579999998</v>
          </cell>
          <cell r="C11">
            <v>406515.0441</v>
          </cell>
          <cell r="D11">
            <v>411794.9791</v>
          </cell>
          <cell r="E11">
            <v>417445.86090000003</v>
          </cell>
          <cell r="F11">
            <v>423425.56760000001</v>
          </cell>
          <cell r="G11">
            <v>429681.67170000001</v>
          </cell>
          <cell r="H11">
            <v>436143.5392</v>
          </cell>
          <cell r="I11">
            <v>442767.00530000002</v>
          </cell>
          <cell r="J11">
            <v>449525.23950000003</v>
          </cell>
          <cell r="K11">
            <v>456402.16680000001</v>
          </cell>
          <cell r="L11">
            <v>463431.24249999999</v>
          </cell>
          <cell r="M11">
            <v>470579.13669999997</v>
          </cell>
          <cell r="N11">
            <v>477830.08270000003</v>
          </cell>
          <cell r="O11">
            <v>485176.91440000001</v>
          </cell>
          <cell r="P11">
            <v>492616.38160000002</v>
          </cell>
          <cell r="Q11">
            <v>500147.28710000002</v>
          </cell>
          <cell r="R11">
            <v>507769.72100000002</v>
          </cell>
          <cell r="S11">
            <v>515484.7096</v>
          </cell>
          <cell r="T11">
            <v>523294.01880000002</v>
          </cell>
          <cell r="U11">
            <v>531200.01320000004</v>
          </cell>
          <cell r="V11">
            <v>539173.47970000003</v>
          </cell>
          <cell r="W11">
            <v>547238.31590000005</v>
          </cell>
          <cell r="X11">
            <v>555407.14599999995</v>
          </cell>
          <cell r="Y11">
            <v>563687.34860000003</v>
          </cell>
          <cell r="Z11">
            <v>572084.16910000006</v>
          </cell>
          <cell r="AA11">
            <v>580509.15009999997</v>
          </cell>
          <cell r="AB11">
            <v>588981.98369999998</v>
          </cell>
          <cell r="AC11">
            <v>597516.39199999999</v>
          </cell>
          <cell r="AD11">
            <v>606122.46149999998</v>
          </cell>
          <cell r="AE11">
            <v>614808.61970000004</v>
          </cell>
          <cell r="AF11">
            <v>623582.25089999998</v>
          </cell>
          <cell r="AG11">
            <v>632449.85860000004</v>
          </cell>
          <cell r="AH11">
            <v>641417.10950000002</v>
          </cell>
          <cell r="AI11">
            <v>650488.86880000005</v>
          </cell>
          <cell r="AJ11">
            <v>659669.25930000003</v>
          </cell>
          <cell r="AK11">
            <v>668961.74349999998</v>
          </cell>
          <cell r="AL11">
            <v>678346.68819999998</v>
          </cell>
          <cell r="AM11">
            <v>687818.35149999999</v>
          </cell>
          <cell r="AN11">
            <v>697376.92859999998</v>
          </cell>
          <cell r="AO11">
            <v>707024.87659999996</v>
          </cell>
          <cell r="AP11">
            <v>716765.44689999998</v>
          </cell>
          <cell r="AQ11">
            <v>726602.06929999997</v>
          </cell>
          <cell r="AR11">
            <v>736538.07709999999</v>
          </cell>
          <cell r="AS11">
            <v>746576.58420000004</v>
          </cell>
          <cell r="AT11">
            <v>756720.43720000004</v>
          </cell>
          <cell r="AU11">
            <v>766972.21</v>
          </cell>
          <cell r="AV11">
            <v>777336.2659</v>
          </cell>
          <cell r="AW11">
            <v>787815.44330000004</v>
          </cell>
          <cell r="AX11">
            <v>798411.83680000005</v>
          </cell>
          <cell r="AY11">
            <v>809127.18290000001</v>
          </cell>
          <cell r="AZ11">
            <v>819963.04429999995</v>
          </cell>
          <cell r="BA11">
            <v>830920.91440000001</v>
          </cell>
          <cell r="BB11">
            <v>842002.28319999995</v>
          </cell>
          <cell r="BC11">
            <v>853208.67859999998</v>
          </cell>
          <cell r="BD11">
            <v>864541.6923</v>
          </cell>
          <cell r="BE11">
            <v>876002.99300000002</v>
          </cell>
        </row>
        <row r="13">
          <cell r="B13">
            <v>16084.663259999999</v>
          </cell>
          <cell r="C13">
            <v>16273.87587</v>
          </cell>
          <cell r="D13">
            <v>16468.53011</v>
          </cell>
          <cell r="E13">
            <v>16669.80271</v>
          </cell>
          <cell r="F13">
            <v>16878.614259999998</v>
          </cell>
          <cell r="G13">
            <v>17095.639520000001</v>
          </cell>
          <cell r="H13">
            <v>17320.807840000001</v>
          </cell>
          <cell r="I13">
            <v>17554.072520000002</v>
          </cell>
          <cell r="J13">
            <v>17795.43175</v>
          </cell>
          <cell r="K13">
            <v>18044.915389999998</v>
          </cell>
          <cell r="L13">
            <v>18303.555840000001</v>
          </cell>
          <cell r="M13">
            <v>18571.14789</v>
          </cell>
          <cell r="N13">
            <v>18847.537970000001</v>
          </cell>
          <cell r="O13">
            <v>19132.645619999999</v>
          </cell>
          <cell r="P13">
            <v>19426.434679999998</v>
          </cell>
          <cell r="Q13">
            <v>19728.897089999999</v>
          </cell>
          <cell r="R13">
            <v>20040.045829999999</v>
          </cell>
          <cell r="S13">
            <v>20359.911599999999</v>
          </cell>
          <cell r="T13">
            <v>20688.540059999999</v>
          </cell>
          <cell r="U13">
            <v>21025.988509999999</v>
          </cell>
          <cell r="V13">
            <v>21371.58194</v>
          </cell>
          <cell r="W13">
            <v>21725.585050000002</v>
          </cell>
          <cell r="X13">
            <v>22088.230589999999</v>
          </cell>
          <cell r="Y13">
            <v>22459.695739999999</v>
          </cell>
          <cell r="Z13">
            <v>22840.117559999999</v>
          </cell>
          <cell r="AA13">
            <v>23227.441709999999</v>
          </cell>
          <cell r="AB13">
            <v>23621.28183</v>
          </cell>
          <cell r="AC13">
            <v>24021.39057</v>
          </cell>
          <cell r="AD13">
            <v>24427.564579999998</v>
          </cell>
          <cell r="AE13">
            <v>24839.634669999999</v>
          </cell>
          <cell r="AF13">
            <v>25257.458190000001</v>
          </cell>
          <cell r="AG13">
            <v>25680.908619999998</v>
          </cell>
          <cell r="AH13">
            <v>26109.864699999998</v>
          </cell>
          <cell r="AI13">
            <v>26544.200959999998</v>
          </cell>
          <cell r="AJ13">
            <v>26983.7811</v>
          </cell>
          <cell r="AK13">
            <v>27428.454399999999</v>
          </cell>
          <cell r="AL13">
            <v>27877.521339999999</v>
          </cell>
          <cell r="AM13">
            <v>28330.400969999999</v>
          </cell>
          <cell r="AN13">
            <v>28786.615529999999</v>
          </cell>
          <cell r="AO13">
            <v>29245.760849999999</v>
          </cell>
          <cell r="AP13">
            <v>29707.48978</v>
          </cell>
          <cell r="AQ13">
            <v>30171.502860000001</v>
          </cell>
          <cell r="AR13">
            <v>30637.54192</v>
          </cell>
          <cell r="AS13">
            <v>31105.384829999999</v>
          </cell>
          <cell r="AT13">
            <v>31574.840980000001</v>
          </cell>
          <cell r="AU13">
            <v>32045.747770000002</v>
          </cell>
          <cell r="AV13">
            <v>32518.016930000002</v>
          </cell>
          <cell r="AW13">
            <v>32991.572010000004</v>
          </cell>
          <cell r="AX13">
            <v>33466.349580000002</v>
          </cell>
          <cell r="AY13">
            <v>33942.301769999998</v>
          </cell>
          <cell r="AZ13">
            <v>34419.398759999996</v>
          </cell>
          <cell r="BA13">
            <v>34897.631200000003</v>
          </cell>
          <cell r="BB13">
            <v>35377.012490000001</v>
          </cell>
          <cell r="BC13">
            <v>35857.580540000003</v>
          </cell>
          <cell r="BD13">
            <v>36339.399080000003</v>
          </cell>
          <cell r="BE13">
            <v>36822.558429999997</v>
          </cell>
        </row>
        <row r="14">
          <cell r="B14">
            <v>13370.023789999999</v>
          </cell>
          <cell r="C14">
            <v>13488.85413</v>
          </cell>
          <cell r="D14">
            <v>13605.66625</v>
          </cell>
          <cell r="E14">
            <v>13724.26555</v>
          </cell>
          <cell r="F14">
            <v>13846.876780000001</v>
          </cell>
          <cell r="G14">
            <v>13974.93512</v>
          </cell>
          <cell r="H14">
            <v>14108.79487</v>
          </cell>
          <cell r="I14">
            <v>14248.76749</v>
          </cell>
          <cell r="J14">
            <v>14395.079309999999</v>
          </cell>
          <cell r="K14">
            <v>14547.84636</v>
          </cell>
          <cell r="L14">
            <v>14708.10188</v>
          </cell>
          <cell r="M14">
            <v>14875.20377</v>
          </cell>
          <cell r="N14">
            <v>15048.7063</v>
          </cell>
          <cell r="O14">
            <v>15228.274579999999</v>
          </cell>
          <cell r="P14">
            <v>15413.61859</v>
          </cell>
          <cell r="Q14">
            <v>15604.47538</v>
          </cell>
          <cell r="R14">
            <v>15800.495559999999</v>
          </cell>
          <cell r="S14">
            <v>16001.43059</v>
          </cell>
          <cell r="T14">
            <v>16207.097519999999</v>
          </cell>
          <cell r="U14">
            <v>16417.3609</v>
          </cell>
          <cell r="V14">
            <v>16631.375090000001</v>
          </cell>
          <cell r="W14">
            <v>16849.411059999999</v>
          </cell>
          <cell r="X14">
            <v>17071.630020000001</v>
          </cell>
          <cell r="Y14">
            <v>17298.129639999999</v>
          </cell>
          <cell r="Z14">
            <v>17528.988499999999</v>
          </cell>
          <cell r="AA14">
            <v>17762.132430000001</v>
          </cell>
          <cell r="AB14">
            <v>17997.61508</v>
          </cell>
          <cell r="AC14">
            <v>18235.506659999999</v>
          </cell>
          <cell r="AD14">
            <v>18475.871780000001</v>
          </cell>
          <cell r="AE14">
            <v>18718.799169999998</v>
          </cell>
          <cell r="AF14">
            <v>18964.407179999998</v>
          </cell>
          <cell r="AG14">
            <v>19212.8629</v>
          </cell>
          <cell r="AH14">
            <v>19464.330040000001</v>
          </cell>
          <cell r="AI14">
            <v>19718.966799999998</v>
          </cell>
          <cell r="AJ14">
            <v>19976.92196</v>
          </cell>
          <cell r="AK14">
            <v>20238.331259999999</v>
          </cell>
          <cell r="AL14">
            <v>20503.031910000002</v>
          </cell>
          <cell r="AM14">
            <v>20770.931250000001</v>
          </cell>
          <cell r="AN14">
            <v>21041.988710000001</v>
          </cell>
          <cell r="AO14">
            <v>21316.194660000001</v>
          </cell>
          <cell r="AP14">
            <v>21593.56077</v>
          </cell>
          <cell r="AQ14">
            <v>21874.152849999999</v>
          </cell>
          <cell r="AR14">
            <v>22158.028310000002</v>
          </cell>
          <cell r="AS14">
            <v>22445.24308</v>
          </cell>
          <cell r="AT14">
            <v>22735.853210000001</v>
          </cell>
          <cell r="AU14">
            <v>23029.913830000001</v>
          </cell>
          <cell r="AV14">
            <v>23327.65222</v>
          </cell>
          <cell r="AW14">
            <v>23629.20076</v>
          </cell>
          <cell r="AX14">
            <v>23934.640749999999</v>
          </cell>
          <cell r="AY14">
            <v>24244.026460000001</v>
          </cell>
          <cell r="AZ14">
            <v>24557.396680000002</v>
          </cell>
          <cell r="BA14">
            <v>24874.862099999998</v>
          </cell>
          <cell r="BB14">
            <v>25196.4843</v>
          </cell>
          <cell r="BC14">
            <v>25522.30099</v>
          </cell>
          <cell r="BD14">
            <v>25852.339550000001</v>
          </cell>
          <cell r="BE14">
            <v>26186.623660000001</v>
          </cell>
        </row>
        <row r="15">
          <cell r="B15">
            <v>13396.22386</v>
          </cell>
          <cell r="C15">
            <v>13553.285980000001</v>
          </cell>
          <cell r="D15">
            <v>13713.94793</v>
          </cell>
          <cell r="E15">
            <v>13879.35446</v>
          </cell>
          <cell r="F15">
            <v>14050.50469</v>
          </cell>
          <cell r="G15">
            <v>14228.15992</v>
          </cell>
          <cell r="H15">
            <v>14412.228639999999</v>
          </cell>
          <cell r="I15">
            <v>14602.703799999999</v>
          </cell>
          <cell r="J15">
            <v>14799.591</v>
          </cell>
          <cell r="K15">
            <v>15002.870650000001</v>
          </cell>
          <cell r="L15">
            <v>15213.585080000001</v>
          </cell>
          <cell r="M15">
            <v>15431.168449999999</v>
          </cell>
          <cell r="N15">
            <v>15655.242609999999</v>
          </cell>
          <cell r="O15">
            <v>15885.54572</v>
          </cell>
          <cell r="P15">
            <v>16121.867620000001</v>
          </cell>
          <cell r="Q15">
            <v>16364.02816</v>
          </cell>
          <cell r="R15">
            <v>16611.873439999999</v>
          </cell>
          <cell r="S15">
            <v>16865.276699999999</v>
          </cell>
          <cell r="T15">
            <v>17124.139190000002</v>
          </cell>
          <cell r="U15">
            <v>17388.389579999999</v>
          </cell>
          <cell r="V15">
            <v>17657.162509999998</v>
          </cell>
          <cell r="W15">
            <v>17930.800169999999</v>
          </cell>
          <cell r="X15">
            <v>18209.510989999999</v>
          </cell>
          <cell r="Y15">
            <v>18493.42525</v>
          </cell>
          <cell r="Z15">
            <v>18782.645120000001</v>
          </cell>
          <cell r="AA15">
            <v>19074.881420000002</v>
          </cell>
          <cell r="AB15">
            <v>19370.146530000002</v>
          </cell>
          <cell r="AC15">
            <v>19668.489280000002</v>
          </cell>
          <cell r="AD15">
            <v>19969.960739999999</v>
          </cell>
          <cell r="AE15">
            <v>20274.641360000001</v>
          </cell>
          <cell r="AF15">
            <v>20582.644970000001</v>
          </cell>
          <cell r="AG15">
            <v>20894.110400000001</v>
          </cell>
          <cell r="AH15">
            <v>21209.189699999999</v>
          </cell>
          <cell r="AI15">
            <v>21528.037260000001</v>
          </cell>
          <cell r="AJ15">
            <v>21850.801599999999</v>
          </cell>
          <cell r="AK15">
            <v>22177.619989999999</v>
          </cell>
          <cell r="AL15">
            <v>22508.03269</v>
          </cell>
          <cell r="AM15">
            <v>22841.81798</v>
          </cell>
          <cell r="AN15">
            <v>23178.88679</v>
          </cell>
          <cell r="AO15">
            <v>23519.218720000001</v>
          </cell>
          <cell r="AP15">
            <v>23862.835129999999</v>
          </cell>
          <cell r="AQ15">
            <v>24209.78659</v>
          </cell>
          <cell r="AR15">
            <v>24560.14471</v>
          </cell>
          <cell r="AS15">
            <v>24913.995459999998</v>
          </cell>
          <cell r="AT15">
            <v>25271.43345</v>
          </cell>
          <cell r="AU15">
            <v>25632.5573</v>
          </cell>
          <cell r="AV15">
            <v>25997.519810000002</v>
          </cell>
          <cell r="AW15">
            <v>26366.449799999999</v>
          </cell>
          <cell r="AX15">
            <v>26739.46056</v>
          </cell>
          <cell r="AY15">
            <v>27116.65351</v>
          </cell>
          <cell r="AZ15">
            <v>27498.12039</v>
          </cell>
          <cell r="BA15">
            <v>27883.945749999999</v>
          </cell>
          <cell r="BB15">
            <v>28274.209409999999</v>
          </cell>
          <cell r="BC15">
            <v>28668.988519999999</v>
          </cell>
          <cell r="BD15">
            <v>29068.359229999998</v>
          </cell>
          <cell r="BE15">
            <v>29472.397939999999</v>
          </cell>
        </row>
        <row r="16">
          <cell r="B16">
            <v>36308.391589999999</v>
          </cell>
          <cell r="C16">
            <v>36607.498449999999</v>
          </cell>
          <cell r="D16">
            <v>36904.593710000001</v>
          </cell>
          <cell r="E16">
            <v>37210.598899999997</v>
          </cell>
          <cell r="F16">
            <v>37530.805890000003</v>
          </cell>
          <cell r="G16">
            <v>37868.113409999998</v>
          </cell>
          <cell r="H16">
            <v>38222.280650000001</v>
          </cell>
          <cell r="I16">
            <v>38593.434439999997</v>
          </cell>
          <cell r="J16">
            <v>38981.657939999997</v>
          </cell>
          <cell r="K16">
            <v>39386.831420000002</v>
          </cell>
          <cell r="L16">
            <v>39811.798560000003</v>
          </cell>
          <cell r="M16">
            <v>40253.816509999997</v>
          </cell>
          <cell r="N16">
            <v>40711.325709999997</v>
          </cell>
          <cell r="O16">
            <v>41183.277840000002</v>
          </cell>
          <cell r="P16">
            <v>41668.822760000003</v>
          </cell>
          <cell r="Q16">
            <v>42167.223639999997</v>
          </cell>
          <cell r="R16">
            <v>42677.439010000002</v>
          </cell>
          <cell r="S16">
            <v>43198.8128</v>
          </cell>
          <cell r="T16">
            <v>43730.912389999998</v>
          </cell>
          <cell r="U16">
            <v>44273.456859999998</v>
          </cell>
          <cell r="V16">
            <v>44823.969389999998</v>
          </cell>
          <cell r="W16">
            <v>45383.740709999998</v>
          </cell>
          <cell r="X16">
            <v>45953.398439999997</v>
          </cell>
          <cell r="Y16">
            <v>46533.307119999998</v>
          </cell>
          <cell r="Z16">
            <v>47123.768060000002</v>
          </cell>
          <cell r="AA16">
            <v>47718.450270000001</v>
          </cell>
          <cell r="AB16">
            <v>48318.518170000003</v>
          </cell>
          <cell r="AC16">
            <v>48924.664960000002</v>
          </cell>
          <cell r="AD16">
            <v>49537.36922</v>
          </cell>
          <cell r="AE16">
            <v>50157.082540000003</v>
          </cell>
          <cell r="AF16">
            <v>50784.27925</v>
          </cell>
          <cell r="AG16">
            <v>51419.546600000001</v>
          </cell>
          <cell r="AH16">
            <v>52063.412579999997</v>
          </cell>
          <cell r="AI16">
            <v>52716.362179999996</v>
          </cell>
          <cell r="AJ16">
            <v>53378.837359999998</v>
          </cell>
          <cell r="AK16">
            <v>54051.23244</v>
          </cell>
          <cell r="AL16">
            <v>54733.131930000003</v>
          </cell>
          <cell r="AM16">
            <v>55424.424659999997</v>
          </cell>
          <cell r="AN16">
            <v>56125.129050000003</v>
          </cell>
          <cell r="AO16">
            <v>56835.311029999997</v>
          </cell>
          <cell r="AP16">
            <v>57555.057569999997</v>
          </cell>
          <cell r="AQ16">
            <v>58284.601589999998</v>
          </cell>
          <cell r="AR16">
            <v>59024.099320000001</v>
          </cell>
          <cell r="AS16">
            <v>59773.674709999999</v>
          </cell>
          <cell r="AT16">
            <v>60533.435799999999</v>
          </cell>
          <cell r="AU16">
            <v>61303.478479999998</v>
          </cell>
          <cell r="AV16">
            <v>62084.484389999998</v>
          </cell>
          <cell r="AW16">
            <v>62876.7569</v>
          </cell>
          <cell r="AX16">
            <v>63680.431230000002</v>
          </cell>
          <cell r="AY16">
            <v>64495.568670000001</v>
          </cell>
          <cell r="AZ16">
            <v>65322.194430000003</v>
          </cell>
          <cell r="BA16">
            <v>66160.602750000005</v>
          </cell>
          <cell r="BB16">
            <v>67010.90208</v>
          </cell>
          <cell r="BC16">
            <v>67873.124110000004</v>
          </cell>
          <cell r="BD16">
            <v>68747.273400000005</v>
          </cell>
          <cell r="BE16">
            <v>69633.348119999995</v>
          </cell>
        </row>
        <row r="17">
          <cell r="B17">
            <v>36402.301390000001</v>
          </cell>
          <cell r="C17">
            <v>36832.178140000004</v>
          </cell>
          <cell r="D17">
            <v>37274.425660000001</v>
          </cell>
          <cell r="E17">
            <v>37731.827429999998</v>
          </cell>
          <cell r="F17">
            <v>38206.483489999999</v>
          </cell>
          <cell r="G17">
            <v>38699.813439999998</v>
          </cell>
          <cell r="H17">
            <v>39210.710899999998</v>
          </cell>
          <cell r="I17">
            <v>39738.740210000004</v>
          </cell>
          <cell r="J17">
            <v>40283.63942</v>
          </cell>
          <cell r="K17">
            <v>40845.132539999999</v>
          </cell>
          <cell r="L17">
            <v>41426.327319999997</v>
          </cell>
          <cell r="M17">
            <v>42024.883320000001</v>
          </cell>
          <cell r="N17">
            <v>42639.547180000001</v>
          </cell>
          <cell r="O17">
            <v>43269.563959999999</v>
          </cell>
          <cell r="P17">
            <v>43914.381379999999</v>
          </cell>
          <cell r="Q17">
            <v>44573.55861</v>
          </cell>
          <cell r="R17">
            <v>45246.745029999998</v>
          </cell>
          <cell r="S17">
            <v>45933.677730000003</v>
          </cell>
          <cell r="T17">
            <v>46634.180639999999</v>
          </cell>
          <cell r="U17">
            <v>47348.160810000001</v>
          </cell>
          <cell r="V17">
            <v>48073.031419999999</v>
          </cell>
          <cell r="W17">
            <v>48810.32228</v>
          </cell>
          <cell r="X17">
            <v>49560.795879999998</v>
          </cell>
          <cell r="Y17">
            <v>50324.894359999998</v>
          </cell>
          <cell r="Z17">
            <v>51102.963349999998</v>
          </cell>
          <cell r="AA17">
            <v>51887.862809999999</v>
          </cell>
          <cell r="AB17">
            <v>52680.643340000002</v>
          </cell>
          <cell r="AC17">
            <v>53481.941930000001</v>
          </cell>
          <cell r="AD17">
            <v>54292.197489999999</v>
          </cell>
          <cell r="AE17">
            <v>55111.832150000002</v>
          </cell>
          <cell r="AF17">
            <v>55941.298139999999</v>
          </cell>
          <cell r="AG17">
            <v>56781.072910000003</v>
          </cell>
          <cell r="AH17">
            <v>57631.639049999998</v>
          </cell>
          <cell r="AI17">
            <v>58493.463609999999</v>
          </cell>
          <cell r="AJ17">
            <v>59366.982049999999</v>
          </cell>
          <cell r="AK17">
            <v>60252.588159999999</v>
          </cell>
          <cell r="AL17">
            <v>61148.803220000002</v>
          </cell>
          <cell r="AM17">
            <v>62055.129300000001</v>
          </cell>
          <cell r="AN17">
            <v>62971.479769999998</v>
          </cell>
          <cell r="AO17">
            <v>63897.928899999999</v>
          </cell>
          <cell r="AP17">
            <v>64834.62472</v>
          </cell>
          <cell r="AQ17">
            <v>65781.756729999994</v>
          </cell>
          <cell r="AR17">
            <v>66739.539829999994</v>
          </cell>
          <cell r="AS17">
            <v>67708.202980000002</v>
          </cell>
          <cell r="AT17">
            <v>68687.979779999994</v>
          </cell>
          <cell r="AU17">
            <v>69679.101150000002</v>
          </cell>
          <cell r="AV17">
            <v>70681.957599999994</v>
          </cell>
          <cell r="AW17">
            <v>71696.835890000002</v>
          </cell>
          <cell r="AX17">
            <v>72723.970180000004</v>
          </cell>
          <cell r="AY17">
            <v>73763.562520000007</v>
          </cell>
          <cell r="AZ17">
            <v>74815.791970000006</v>
          </cell>
          <cell r="BA17">
            <v>75880.821379999994</v>
          </cell>
          <cell r="BB17">
            <v>76958.803260000001</v>
          </cell>
          <cell r="BC17">
            <v>78049.88463</v>
          </cell>
          <cell r="BD17">
            <v>79154.21097</v>
          </cell>
          <cell r="BE17">
            <v>80271.929340000002</v>
          </cell>
        </row>
        <row r="18">
          <cell r="B18">
            <v>13330.717769999999</v>
          </cell>
          <cell r="C18">
            <v>13444.373310000001</v>
          </cell>
          <cell r="D18">
            <v>13557.3729</v>
          </cell>
          <cell r="E18">
            <v>13673.664129999999</v>
          </cell>
          <cell r="F18">
            <v>13795.09906</v>
          </cell>
          <cell r="G18">
            <v>13922.63312</v>
          </cell>
          <cell r="H18">
            <v>14056.16258</v>
          </cell>
          <cell r="I18">
            <v>14195.6705</v>
          </cell>
          <cell r="J18">
            <v>14341.148139999999</v>
          </cell>
          <cell r="K18">
            <v>14492.54118</v>
          </cell>
          <cell r="L18">
            <v>14650.78404</v>
          </cell>
          <cell r="M18">
            <v>14815.047769999999</v>
          </cell>
          <cell r="N18">
            <v>14984.80257</v>
          </cell>
          <cell r="O18">
            <v>15159.68057</v>
          </cell>
          <cell r="P18">
            <v>15339.385609999999</v>
          </cell>
          <cell r="Q18">
            <v>15523.665650000001</v>
          </cell>
          <cell r="R18">
            <v>15712.174080000001</v>
          </cell>
          <cell r="S18">
            <v>15904.69325</v>
          </cell>
          <cell r="T18">
            <v>16101.08791</v>
          </cell>
          <cell r="U18">
            <v>16301.280629999999</v>
          </cell>
          <cell r="V18">
            <v>16504.47667</v>
          </cell>
          <cell r="W18">
            <v>16711.070960000001</v>
          </cell>
          <cell r="X18">
            <v>16921.30733</v>
          </cell>
          <cell r="Y18">
            <v>17135.351620000001</v>
          </cell>
          <cell r="Z18">
            <v>17353.34719</v>
          </cell>
          <cell r="AA18">
            <v>17573.25099</v>
          </cell>
          <cell r="AB18">
            <v>17795.322670000001</v>
          </cell>
          <cell r="AC18">
            <v>18019.772120000001</v>
          </cell>
          <cell r="AD18">
            <v>18246.76165</v>
          </cell>
          <cell r="AE18">
            <v>18476.449789999999</v>
          </cell>
          <cell r="AF18">
            <v>18709.004229999999</v>
          </cell>
          <cell r="AG18">
            <v>18944.630399999998</v>
          </cell>
          <cell r="AH18">
            <v>19183.514510000001</v>
          </cell>
          <cell r="AI18">
            <v>19425.826120000002</v>
          </cell>
          <cell r="AJ18">
            <v>19671.717219999999</v>
          </cell>
          <cell r="AK18">
            <v>19921.32029</v>
          </cell>
          <cell r="AL18">
            <v>20174.499970000001</v>
          </cell>
          <cell r="AM18">
            <v>20431.187470000001</v>
          </cell>
          <cell r="AN18">
            <v>20691.35252</v>
          </cell>
          <cell r="AO18">
            <v>20954.981940000001</v>
          </cell>
          <cell r="AP18">
            <v>21222.07157</v>
          </cell>
          <cell r="AQ18">
            <v>21492.667740000001</v>
          </cell>
          <cell r="AR18">
            <v>21766.79509</v>
          </cell>
          <cell r="AS18">
            <v>22044.468659999999</v>
          </cell>
          <cell r="AT18">
            <v>22325.698990000001</v>
          </cell>
          <cell r="AU18">
            <v>22610.493470000001</v>
          </cell>
          <cell r="AV18">
            <v>22899.054909999999</v>
          </cell>
          <cell r="AW18">
            <v>23191.471890000001</v>
          </cell>
          <cell r="AX18">
            <v>23487.775880000001</v>
          </cell>
          <cell r="AY18">
            <v>23787.971969999999</v>
          </cell>
          <cell r="AZ18">
            <v>24092.052660000001</v>
          </cell>
          <cell r="BA18">
            <v>24400.10053</v>
          </cell>
          <cell r="BB18">
            <v>24712.141749999999</v>
          </cell>
          <cell r="BC18">
            <v>25028.17726</v>
          </cell>
          <cell r="BD18">
            <v>25348.199410000001</v>
          </cell>
          <cell r="BE18">
            <v>25672.19961</v>
          </cell>
        </row>
        <row r="19">
          <cell r="B19">
            <v>13361.617630000001</v>
          </cell>
          <cell r="C19">
            <v>13519.35399</v>
          </cell>
          <cell r="D19">
            <v>13681.851699999999</v>
          </cell>
          <cell r="E19">
            <v>13850.09756</v>
          </cell>
          <cell r="F19">
            <v>14024.76683</v>
          </cell>
          <cell r="G19">
            <v>14206.28357</v>
          </cell>
          <cell r="H19">
            <v>14394.248659999999</v>
          </cell>
          <cell r="I19">
            <v>14588.45876</v>
          </cell>
          <cell r="J19">
            <v>14788.792649999999</v>
          </cell>
          <cell r="K19">
            <v>14995.148090000001</v>
          </cell>
          <cell r="L19">
            <v>15208.552079999999</v>
          </cell>
          <cell r="M19">
            <v>15428.325500000001</v>
          </cell>
          <cell r="N19">
            <v>15654.059740000001</v>
          </cell>
          <cell r="O19">
            <v>15885.502619999999</v>
          </cell>
          <cell r="P19">
            <v>16122.473180000001</v>
          </cell>
          <cell r="Q19">
            <v>16364.8315</v>
          </cell>
          <cell r="R19">
            <v>16612.470720000001</v>
          </cell>
          <cell r="S19">
            <v>16865.315770000001</v>
          </cell>
          <cell r="T19">
            <v>17123.32273</v>
          </cell>
          <cell r="U19">
            <v>17386.47725</v>
          </cell>
          <cell r="V19">
            <v>17653.94541</v>
          </cell>
          <cell r="W19">
            <v>17926.188689999999</v>
          </cell>
          <cell r="X19">
            <v>18203.48443</v>
          </cell>
          <cell r="Y19">
            <v>18486.010880000002</v>
          </cell>
          <cell r="Z19">
            <v>18773.910400000001</v>
          </cell>
          <cell r="AA19">
            <v>19064.855309999999</v>
          </cell>
          <cell r="AB19">
            <v>19359.032480000002</v>
          </cell>
          <cell r="AC19">
            <v>19656.60211</v>
          </cell>
          <cell r="AD19">
            <v>19957.683720000001</v>
          </cell>
          <cell r="AE19">
            <v>20262.397079999999</v>
          </cell>
          <cell r="AF19">
            <v>20570.873879999999</v>
          </cell>
          <cell r="AG19">
            <v>20883.254819999998</v>
          </cell>
          <cell r="AH19">
            <v>21199.68172</v>
          </cell>
          <cell r="AI19">
            <v>21520.28959</v>
          </cell>
          <cell r="AJ19">
            <v>21845.200430000001</v>
          </cell>
          <cell r="AK19">
            <v>22174.519420000001</v>
          </cell>
          <cell r="AL19">
            <v>22507.73127</v>
          </cell>
          <cell r="AM19">
            <v>22844.59707</v>
          </cell>
          <cell r="AN19">
            <v>23185.015210000001</v>
          </cell>
          <cell r="AO19">
            <v>23528.94471</v>
          </cell>
          <cell r="AP19">
            <v>23876.37542</v>
          </cell>
          <cell r="AQ19">
            <v>24227.316200000001</v>
          </cell>
          <cell r="AR19">
            <v>24581.7889</v>
          </cell>
          <cell r="AS19">
            <v>24939.824130000001</v>
          </cell>
          <cell r="AT19">
            <v>25301.45782</v>
          </cell>
          <cell r="AU19">
            <v>25666.728449999999</v>
          </cell>
          <cell r="AV19">
            <v>26035.73026</v>
          </cell>
          <cell r="AW19">
            <v>26408.530040000001</v>
          </cell>
          <cell r="AX19">
            <v>26785.17956</v>
          </cell>
          <cell r="AY19">
            <v>27165.722539999999</v>
          </cell>
          <cell r="AZ19">
            <v>27550.198250000001</v>
          </cell>
          <cell r="BA19">
            <v>27938.644120000001</v>
          </cell>
          <cell r="BB19">
            <v>28331.097809999999</v>
          </cell>
          <cell r="BC19">
            <v>28727.59908</v>
          </cell>
          <cell r="BD19">
            <v>29128.191180000002</v>
          </cell>
          <cell r="BE19">
            <v>29532.922040000001</v>
          </cell>
        </row>
        <row r="20">
          <cell r="B20">
            <v>66386.982629999999</v>
          </cell>
          <cell r="C20">
            <v>66950.781610000005</v>
          </cell>
          <cell r="D20">
            <v>67510.386299999998</v>
          </cell>
          <cell r="E20">
            <v>68086.657279999999</v>
          </cell>
          <cell r="F20">
            <v>68689.122019999995</v>
          </cell>
          <cell r="G20">
            <v>69322.288440000004</v>
          </cell>
          <cell r="H20">
            <v>69985.221479999993</v>
          </cell>
          <cell r="I20">
            <v>70677.337010000003</v>
          </cell>
          <cell r="J20">
            <v>71398.184800000003</v>
          </cell>
          <cell r="K20">
            <v>72147.225619999997</v>
          </cell>
          <cell r="L20">
            <v>72928.86275</v>
          </cell>
          <cell r="M20">
            <v>73739.039879999997</v>
          </cell>
          <cell r="N20">
            <v>74575.180810000005</v>
          </cell>
          <cell r="O20">
            <v>75435.598710000006</v>
          </cell>
          <cell r="P20">
            <v>76319.031329999998</v>
          </cell>
          <cell r="Q20">
            <v>77224.476039999994</v>
          </cell>
          <cell r="R20">
            <v>78150.480720000007</v>
          </cell>
          <cell r="S20">
            <v>79096.226970000003</v>
          </cell>
          <cell r="T20">
            <v>80061.307860000001</v>
          </cell>
          <cell r="U20">
            <v>81045.599770000001</v>
          </cell>
          <cell r="V20">
            <v>82045.487649999995</v>
          </cell>
          <cell r="W20">
            <v>83063.110820000002</v>
          </cell>
          <cell r="X20">
            <v>84099.902100000007</v>
          </cell>
          <cell r="Y20">
            <v>85156.880690000005</v>
          </cell>
          <cell r="Z20">
            <v>86234.925010000006</v>
          </cell>
          <cell r="AA20">
            <v>87324.264980000007</v>
          </cell>
          <cell r="AB20">
            <v>88426.251499999998</v>
          </cell>
          <cell r="AC20">
            <v>89542.066420000003</v>
          </cell>
          <cell r="AD20">
            <v>90672.611380000002</v>
          </cell>
          <cell r="AE20">
            <v>91818.707859999995</v>
          </cell>
          <cell r="AF20">
            <v>92981.168789999996</v>
          </cell>
          <cell r="AG20">
            <v>94160.952850000001</v>
          </cell>
          <cell r="AH20">
            <v>95358.896770000007</v>
          </cell>
          <cell r="AI20">
            <v>96575.73358</v>
          </cell>
          <cell r="AJ20">
            <v>97812.094440000001</v>
          </cell>
          <cell r="AK20">
            <v>99068.503630000007</v>
          </cell>
          <cell r="AL20">
            <v>100344.1942</v>
          </cell>
          <cell r="AM20">
            <v>101638.7092</v>
          </cell>
          <cell r="AN20">
            <v>102951.7699</v>
          </cell>
          <cell r="AO20">
            <v>104283.16559999999</v>
          </cell>
          <cell r="AP20">
            <v>105632.71060000001</v>
          </cell>
          <cell r="AQ20">
            <v>107000.4506</v>
          </cell>
          <cell r="AR20">
            <v>108386.31479999999</v>
          </cell>
          <cell r="AS20">
            <v>109790.17539999999</v>
          </cell>
          <cell r="AT20">
            <v>111211.8797</v>
          </cell>
          <cell r="AU20">
            <v>112651.2604</v>
          </cell>
          <cell r="AV20">
            <v>114109.1174</v>
          </cell>
          <cell r="AW20">
            <v>115585.7108</v>
          </cell>
          <cell r="AX20">
            <v>117081.0245</v>
          </cell>
          <cell r="AY20">
            <v>118594.91959999999</v>
          </cell>
          <cell r="AZ20">
            <v>120127.2049</v>
          </cell>
          <cell r="BA20">
            <v>121678.14479999999</v>
          </cell>
          <cell r="BB20">
            <v>123247.7461</v>
          </cell>
          <cell r="BC20">
            <v>124835.9016</v>
          </cell>
          <cell r="BD20">
            <v>126442.4733</v>
          </cell>
          <cell r="BE20">
            <v>128067.3299</v>
          </cell>
        </row>
        <row r="21">
          <cell r="B21">
            <v>66540.278550000003</v>
          </cell>
          <cell r="C21">
            <v>67325.135370000004</v>
          </cell>
          <cell r="D21">
            <v>68133.770340000003</v>
          </cell>
          <cell r="E21">
            <v>68971.425919999994</v>
          </cell>
          <cell r="F21">
            <v>69841.506779999996</v>
          </cell>
          <cell r="G21">
            <v>70746.032309999995</v>
          </cell>
          <cell r="H21">
            <v>71682.969200000007</v>
          </cell>
          <cell r="I21">
            <v>72651.239889999997</v>
          </cell>
          <cell r="J21">
            <v>73650.23504</v>
          </cell>
          <cell r="K21">
            <v>74679.500820000001</v>
          </cell>
          <cell r="L21">
            <v>75744.138460000002</v>
          </cell>
          <cell r="M21">
            <v>76841.002999999997</v>
          </cell>
          <cell r="N21">
            <v>77968.228300000002</v>
          </cell>
          <cell r="O21">
            <v>79124.756200000003</v>
          </cell>
          <cell r="P21">
            <v>80309.909329999995</v>
          </cell>
          <cell r="Q21">
            <v>81523.222840000002</v>
          </cell>
          <cell r="R21">
            <v>82764.390400000004</v>
          </cell>
          <cell r="S21">
            <v>84033.248699999996</v>
          </cell>
          <cell r="T21">
            <v>85329.769950000002</v>
          </cell>
          <cell r="U21">
            <v>86654.05184</v>
          </cell>
          <cell r="V21">
            <v>88002.172709999999</v>
          </cell>
          <cell r="W21">
            <v>89376.48401</v>
          </cell>
          <cell r="X21">
            <v>90778.468720000004</v>
          </cell>
          <cell r="Y21">
            <v>92209.085980000003</v>
          </cell>
          <cell r="Z21">
            <v>93669.082890000005</v>
          </cell>
          <cell r="AA21">
            <v>95147.113870000001</v>
          </cell>
          <cell r="AB21">
            <v>96644.005739999993</v>
          </cell>
          <cell r="AC21">
            <v>98160.543420000002</v>
          </cell>
          <cell r="AD21">
            <v>99697.267290000003</v>
          </cell>
          <cell r="AE21">
            <v>101254.6563</v>
          </cell>
          <cell r="AF21">
            <v>102833.19379999999</v>
          </cell>
          <cell r="AG21">
            <v>104433.3664</v>
          </cell>
          <cell r="AH21">
            <v>106055.6369</v>
          </cell>
          <cell r="AI21">
            <v>107700.4151</v>
          </cell>
          <cell r="AJ21">
            <v>109368.0334</v>
          </cell>
          <cell r="AK21">
            <v>111058.7332</v>
          </cell>
          <cell r="AL21">
            <v>112769.71189999999</v>
          </cell>
          <cell r="AM21">
            <v>114499.4917</v>
          </cell>
          <cell r="AN21">
            <v>116247.2795</v>
          </cell>
          <cell r="AO21">
            <v>118012.5808</v>
          </cell>
          <cell r="AP21">
            <v>119795.045</v>
          </cell>
          <cell r="AQ21">
            <v>121594.4062</v>
          </cell>
          <cell r="AR21">
            <v>123410.45630000001</v>
          </cell>
          <cell r="AS21">
            <v>125243.0301</v>
          </cell>
          <cell r="AT21">
            <v>127091.9938</v>
          </cell>
          <cell r="AU21">
            <v>128957.2362</v>
          </cell>
          <cell r="AV21">
            <v>130838.9339</v>
          </cell>
          <cell r="AW21">
            <v>132737.14809999999</v>
          </cell>
          <cell r="AX21">
            <v>134651.886</v>
          </cell>
          <cell r="AY21">
            <v>136583.1384</v>
          </cell>
          <cell r="AZ21">
            <v>138530.9</v>
          </cell>
          <cell r="BA21">
            <v>140495.18179999999</v>
          </cell>
          <cell r="BB21">
            <v>142476.02220000001</v>
          </cell>
          <cell r="BC21">
            <v>144473.4951</v>
          </cell>
          <cell r="BD21">
            <v>146487.71770000001</v>
          </cell>
          <cell r="BE21">
            <v>148518.85569999999</v>
          </cell>
        </row>
        <row r="22">
          <cell r="B22">
            <v>128762.91590000001</v>
          </cell>
          <cell r="C22">
            <v>129755.77589999999</v>
          </cell>
          <cell r="D22">
            <v>130770.5474</v>
          </cell>
          <cell r="E22">
            <v>131845.74619999999</v>
          </cell>
          <cell r="F22">
            <v>132993.75820000001</v>
          </cell>
          <cell r="G22">
            <v>134217.20699999999</v>
          </cell>
          <cell r="H22">
            <v>135507.51629999999</v>
          </cell>
          <cell r="I22">
            <v>136859.3835</v>
          </cell>
          <cell r="J22">
            <v>138268.7409</v>
          </cell>
          <cell r="K22">
            <v>139731.9129</v>
          </cell>
          <cell r="L22">
            <v>141257.42670000001</v>
          </cell>
          <cell r="M22">
            <v>142832.20879999999</v>
          </cell>
          <cell r="N22">
            <v>144449.42290000001</v>
          </cell>
          <cell r="O22">
            <v>146104.89369999999</v>
          </cell>
          <cell r="P22">
            <v>147795.60250000001</v>
          </cell>
          <cell r="Q22">
            <v>149519.22070000001</v>
          </cell>
          <cell r="R22">
            <v>151272.20110000001</v>
          </cell>
          <cell r="S22">
            <v>153052.7936</v>
          </cell>
          <cell r="T22">
            <v>154860.2151</v>
          </cell>
          <cell r="U22">
            <v>156694.2984</v>
          </cell>
          <cell r="V22">
            <v>158546.62</v>
          </cell>
          <cell r="W22">
            <v>160423.60750000001</v>
          </cell>
          <cell r="X22">
            <v>162328.47039999999</v>
          </cell>
          <cell r="Y22">
            <v>164263.23819999999</v>
          </cell>
          <cell r="Z22">
            <v>166229.63039999999</v>
          </cell>
          <cell r="AA22">
            <v>168204.46580000001</v>
          </cell>
          <cell r="AB22">
            <v>170194.7023</v>
          </cell>
          <cell r="AC22">
            <v>172204.35320000001</v>
          </cell>
          <cell r="AD22">
            <v>174236.1465</v>
          </cell>
          <cell r="AE22">
            <v>176292.40090000001</v>
          </cell>
          <cell r="AF22">
            <v>178375.28570000001</v>
          </cell>
          <cell r="AG22">
            <v>180487.27110000001</v>
          </cell>
          <cell r="AH22">
            <v>182630.4264</v>
          </cell>
          <cell r="AI22">
            <v>184806.55910000001</v>
          </cell>
          <cell r="AJ22">
            <v>187017.25390000001</v>
          </cell>
          <cell r="AK22">
            <v>189263.87899999999</v>
          </cell>
          <cell r="AL22">
            <v>191545.24290000001</v>
          </cell>
          <cell r="AM22">
            <v>193861.28279999999</v>
          </cell>
          <cell r="AN22">
            <v>196212.30420000001</v>
          </cell>
          <cell r="AO22">
            <v>198598.6704</v>
          </cell>
          <cell r="AP22">
            <v>201020.71470000001</v>
          </cell>
          <cell r="AQ22">
            <v>203479.29870000001</v>
          </cell>
          <cell r="AR22">
            <v>205974.85370000001</v>
          </cell>
          <cell r="AS22">
            <v>208507.62179999999</v>
          </cell>
          <cell r="AT22">
            <v>211077.74979999999</v>
          </cell>
          <cell r="AU22">
            <v>213685.3229</v>
          </cell>
          <cell r="AV22">
            <v>216332.86679999999</v>
          </cell>
          <cell r="AW22">
            <v>219021.22390000001</v>
          </cell>
          <cell r="AX22">
            <v>221750.5681</v>
          </cell>
          <cell r="AY22">
            <v>224520.815</v>
          </cell>
          <cell r="AZ22">
            <v>227331.77650000001</v>
          </cell>
          <cell r="BA22">
            <v>230184.46109999999</v>
          </cell>
          <cell r="BB22">
            <v>233079.0644</v>
          </cell>
          <cell r="BC22">
            <v>236015.48639999999</v>
          </cell>
          <cell r="BD22">
            <v>238993.54209999999</v>
          </cell>
          <cell r="BE22">
            <v>242013.04209999999</v>
          </cell>
        </row>
        <row r="23">
          <cell r="B23">
            <v>129174.9146</v>
          </cell>
          <cell r="C23">
            <v>130725.43459999999</v>
          </cell>
          <cell r="D23">
            <v>132346.70819999999</v>
          </cell>
          <cell r="E23">
            <v>134044.92300000001</v>
          </cell>
          <cell r="F23">
            <v>135821.91219999999</v>
          </cell>
          <cell r="G23">
            <v>137677.1703</v>
          </cell>
          <cell r="H23">
            <v>139601.38200000001</v>
          </cell>
          <cell r="I23">
            <v>141589.34220000001</v>
          </cell>
          <cell r="J23">
            <v>143637.4437</v>
          </cell>
          <cell r="K23">
            <v>145742.7273</v>
          </cell>
          <cell r="L23">
            <v>147915.79240000001</v>
          </cell>
          <cell r="M23">
            <v>150145.78719999999</v>
          </cell>
          <cell r="N23">
            <v>152427.37830000001</v>
          </cell>
          <cell r="O23">
            <v>154757.64869999999</v>
          </cell>
          <cell r="P23">
            <v>157134.72640000001</v>
          </cell>
          <cell r="Q23">
            <v>159557.32930000001</v>
          </cell>
          <cell r="R23">
            <v>162024.61569999999</v>
          </cell>
          <cell r="S23">
            <v>164536.12890000001</v>
          </cell>
          <cell r="T23">
            <v>167091.76310000001</v>
          </cell>
          <cell r="U23">
            <v>169691.72779999999</v>
          </cell>
          <cell r="V23">
            <v>172326.6342</v>
          </cell>
          <cell r="W23">
            <v>175003.61670000001</v>
          </cell>
          <cell r="X23">
            <v>177726.08429999999</v>
          </cell>
          <cell r="Y23">
            <v>180496.01519999999</v>
          </cell>
          <cell r="Z23">
            <v>183314.94639999999</v>
          </cell>
          <cell r="AA23">
            <v>186155.62150000001</v>
          </cell>
          <cell r="AB23">
            <v>189024.37419999999</v>
          </cell>
          <cell r="AC23">
            <v>191924.79430000001</v>
          </cell>
          <cell r="AD23">
            <v>194859.234</v>
          </cell>
          <cell r="AE23">
            <v>197829.66759999999</v>
          </cell>
          <cell r="AF23">
            <v>200837.9454</v>
          </cell>
          <cell r="AG23">
            <v>203885.83739999999</v>
          </cell>
          <cell r="AH23">
            <v>206975.00880000001</v>
          </cell>
          <cell r="AI23">
            <v>210106.98310000001</v>
          </cell>
          <cell r="AJ23">
            <v>213283.11139999999</v>
          </cell>
          <cell r="AK23">
            <v>216504.55660000001</v>
          </cell>
          <cell r="AL23">
            <v>219765.2659</v>
          </cell>
          <cell r="AM23">
            <v>223063.47459999999</v>
          </cell>
          <cell r="AN23">
            <v>226399.00469999999</v>
          </cell>
          <cell r="AO23">
            <v>229772.1924</v>
          </cell>
          <cell r="AP23">
            <v>233183.53589999999</v>
          </cell>
          <cell r="AQ23">
            <v>236633.58110000001</v>
          </cell>
          <cell r="AR23">
            <v>240122.88039999999</v>
          </cell>
          <cell r="AS23">
            <v>243651.9736</v>
          </cell>
          <cell r="AT23">
            <v>247221.3749</v>
          </cell>
          <cell r="AU23">
            <v>250831.5643</v>
          </cell>
          <cell r="AV23">
            <v>254483.62530000001</v>
          </cell>
          <cell r="AW23">
            <v>258178.19219999999</v>
          </cell>
          <cell r="AX23">
            <v>261915.7035</v>
          </cell>
          <cell r="AY23">
            <v>265696.50709999999</v>
          </cell>
          <cell r="AZ23">
            <v>269520.90509999997</v>
          </cell>
          <cell r="BA23">
            <v>273389.17869999999</v>
          </cell>
          <cell r="BB23">
            <v>277301.60639999999</v>
          </cell>
          <cell r="BC23">
            <v>281258.47879999998</v>
          </cell>
          <cell r="BD23">
            <v>285260.11</v>
          </cell>
          <cell r="BE23">
            <v>289306.84700000001</v>
          </cell>
        </row>
        <row r="24">
          <cell r="B24">
            <v>144655.63639999999</v>
          </cell>
          <cell r="C24">
            <v>145990.21539999999</v>
          </cell>
          <cell r="D24">
            <v>147298.0773</v>
          </cell>
          <cell r="E24">
            <v>148618.6152</v>
          </cell>
          <cell r="F24">
            <v>149974.52480000001</v>
          </cell>
          <cell r="G24">
            <v>151379.7322</v>
          </cell>
          <cell r="H24">
            <v>152837.40779999999</v>
          </cell>
          <cell r="I24">
            <v>154350.21679999999</v>
          </cell>
          <cell r="J24">
            <v>155920.5123</v>
          </cell>
          <cell r="K24">
            <v>157550.13010000001</v>
          </cell>
          <cell r="L24">
            <v>159250.30549999999</v>
          </cell>
          <cell r="M24">
            <v>161016.94459999999</v>
          </cell>
          <cell r="N24">
            <v>162847.21609999999</v>
          </cell>
          <cell r="O24">
            <v>164739.296</v>
          </cell>
          <cell r="P24">
            <v>166691.8236</v>
          </cell>
          <cell r="Q24">
            <v>168703.6925</v>
          </cell>
          <cell r="R24">
            <v>170772.97709999999</v>
          </cell>
          <cell r="S24">
            <v>172898.5343</v>
          </cell>
          <cell r="T24">
            <v>175079.73670000001</v>
          </cell>
          <cell r="U24">
            <v>177316.30069999999</v>
          </cell>
          <cell r="V24">
            <v>179600.8756</v>
          </cell>
          <cell r="W24">
            <v>181936.34950000001</v>
          </cell>
          <cell r="X24">
            <v>184324.91829999999</v>
          </cell>
          <cell r="Y24">
            <v>186768.11629999999</v>
          </cell>
          <cell r="Z24">
            <v>189267.14730000001</v>
          </cell>
          <cell r="AA24">
            <v>191802.00870000001</v>
          </cell>
          <cell r="AB24">
            <v>194371.8205</v>
          </cell>
          <cell r="AC24">
            <v>196976.5766</v>
          </cell>
          <cell r="AD24">
            <v>199616.3829</v>
          </cell>
          <cell r="AE24">
            <v>202291.56909999999</v>
          </cell>
          <cell r="AF24">
            <v>205002.71160000001</v>
          </cell>
          <cell r="AG24">
            <v>207750.8101</v>
          </cell>
          <cell r="AH24">
            <v>210536.8333</v>
          </cell>
          <cell r="AI24">
            <v>213361.68719999999</v>
          </cell>
          <cell r="AJ24">
            <v>216226.182</v>
          </cell>
          <cell r="AK24">
            <v>219131.0061</v>
          </cell>
          <cell r="AL24">
            <v>222073.772</v>
          </cell>
          <cell r="AM24">
            <v>225052.6666</v>
          </cell>
          <cell r="AN24">
            <v>228066.4228</v>
          </cell>
          <cell r="AO24">
            <v>231114.14379999999</v>
          </cell>
          <cell r="AP24">
            <v>234195.21249999999</v>
          </cell>
          <cell r="AQ24">
            <v>237309.5882</v>
          </cell>
          <cell r="AR24">
            <v>240457.25380000001</v>
          </cell>
          <cell r="AS24">
            <v>243638.24679999999</v>
          </cell>
          <cell r="AT24">
            <v>246852.6649</v>
          </cell>
          <cell r="AU24">
            <v>250100.65299999999</v>
          </cell>
          <cell r="AV24">
            <v>253384.01759999999</v>
          </cell>
          <cell r="AW24">
            <v>256703.84289999999</v>
          </cell>
          <cell r="AX24">
            <v>260060.76819999999</v>
          </cell>
          <cell r="AY24">
            <v>263455.19270000001</v>
          </cell>
          <cell r="AZ24">
            <v>266887.39110000001</v>
          </cell>
          <cell r="BA24">
            <v>270358.32620000001</v>
          </cell>
          <cell r="BB24">
            <v>273868.59519999998</v>
          </cell>
          <cell r="BC24">
            <v>277418.60220000002</v>
          </cell>
          <cell r="BD24">
            <v>281008.67479999998</v>
          </cell>
          <cell r="BE24">
            <v>284639.12819999998</v>
          </cell>
        </row>
        <row r="25">
          <cell r="B25">
            <v>144892.19870000001</v>
          </cell>
          <cell r="C25">
            <v>146585.408</v>
          </cell>
          <cell r="D25">
            <v>148314.58309999999</v>
          </cell>
          <cell r="E25">
            <v>150092.6685</v>
          </cell>
          <cell r="F25">
            <v>151930.21960000001</v>
          </cell>
          <cell r="G25">
            <v>153834.99050000001</v>
          </cell>
          <cell r="H25">
            <v>155806.44320000001</v>
          </cell>
          <cell r="I25">
            <v>157844.7034</v>
          </cell>
          <cell r="J25">
            <v>159950.33360000001</v>
          </cell>
          <cell r="K25">
            <v>162123.9785</v>
          </cell>
          <cell r="L25">
            <v>164376.8524</v>
          </cell>
          <cell r="M25">
            <v>166705.36060000001</v>
          </cell>
          <cell r="N25">
            <v>169106.9817</v>
          </cell>
          <cell r="O25">
            <v>171580.13630000001</v>
          </cell>
          <cell r="P25">
            <v>174123.67970000001</v>
          </cell>
          <cell r="Q25">
            <v>176736.6862</v>
          </cell>
          <cell r="R25">
            <v>179418.3891</v>
          </cell>
          <cell r="S25">
            <v>182168.17439999999</v>
          </cell>
          <cell r="T25">
            <v>184985.5827</v>
          </cell>
          <cell r="U25">
            <v>187870.3014</v>
          </cell>
          <cell r="V25">
            <v>190814.13939999999</v>
          </cell>
          <cell r="W25">
            <v>193819.9932</v>
          </cell>
          <cell r="X25">
            <v>196889.92739999999</v>
          </cell>
          <cell r="Y25">
            <v>200025.25020000001</v>
          </cell>
          <cell r="Z25">
            <v>203226.88639999999</v>
          </cell>
          <cell r="AA25">
            <v>206472.22659999999</v>
          </cell>
          <cell r="AB25">
            <v>209759.35019999999</v>
          </cell>
          <cell r="AC25">
            <v>213087.4951</v>
          </cell>
          <cell r="AD25">
            <v>216456.15090000001</v>
          </cell>
          <cell r="AE25">
            <v>219865.13099999999</v>
          </cell>
          <cell r="AF25">
            <v>223314.57010000001</v>
          </cell>
          <cell r="AG25">
            <v>226804.84169999999</v>
          </cell>
          <cell r="AH25">
            <v>230336.4522</v>
          </cell>
          <cell r="AI25">
            <v>233909.94279999999</v>
          </cell>
          <cell r="AJ25">
            <v>237525.818</v>
          </cell>
          <cell r="AK25">
            <v>241184.5012</v>
          </cell>
          <cell r="AL25">
            <v>244880.58470000001</v>
          </cell>
          <cell r="AM25">
            <v>248610.61429999999</v>
          </cell>
          <cell r="AN25">
            <v>252372.47820000001</v>
          </cell>
          <cell r="AO25">
            <v>256164.8639</v>
          </cell>
          <cell r="AP25">
            <v>259986.9908</v>
          </cell>
          <cell r="AQ25">
            <v>263838.47159999999</v>
          </cell>
          <cell r="AR25">
            <v>267719.22249999997</v>
          </cell>
          <cell r="AS25">
            <v>271629.39159999997</v>
          </cell>
          <cell r="AT25">
            <v>275569.2991</v>
          </cell>
          <cell r="AU25">
            <v>279539.38900000002</v>
          </cell>
          <cell r="AV25">
            <v>283540.72029999999</v>
          </cell>
          <cell r="AW25">
            <v>287574.2366</v>
          </cell>
          <cell r="AX25">
            <v>291640.80989999999</v>
          </cell>
          <cell r="AY25">
            <v>295741.26799999998</v>
          </cell>
          <cell r="AZ25">
            <v>299876.4142</v>
          </cell>
          <cell r="BA25">
            <v>304047.05239999999</v>
          </cell>
          <cell r="BB25">
            <v>308254.00919999997</v>
          </cell>
          <cell r="BC25">
            <v>312498.1532</v>
          </cell>
          <cell r="BD25">
            <v>316780.40820000001</v>
          </cell>
          <cell r="BE25">
            <v>321101.76199999999</v>
          </cell>
        </row>
        <row r="26">
          <cell r="B26">
            <v>1693342.746</v>
          </cell>
          <cell r="C26">
            <v>1711595.574</v>
          </cell>
          <cell r="D26">
            <v>1729696.5660000001</v>
          </cell>
          <cell r="E26">
            <v>1747877.1640000001</v>
          </cell>
          <cell r="F26">
            <v>1766316.99</v>
          </cell>
          <cell r="G26">
            <v>1785149.4550000001</v>
          </cell>
          <cell r="H26">
            <v>1804438.12</v>
          </cell>
          <cell r="I26">
            <v>1824225.45</v>
          </cell>
          <cell r="J26">
            <v>1844550.798</v>
          </cell>
          <cell r="K26">
            <v>1865455.203</v>
          </cell>
          <cell r="L26">
            <v>1887049.29</v>
          </cell>
          <cell r="M26">
            <v>1909380.9790000001</v>
          </cell>
          <cell r="N26">
            <v>1932480.939</v>
          </cell>
          <cell r="O26">
            <v>1956377.625</v>
          </cell>
          <cell r="P26">
            <v>1981100.4550000001</v>
          </cell>
          <cell r="Q26">
            <v>2006679.993</v>
          </cell>
          <cell r="R26">
            <v>2033144.152</v>
          </cell>
          <cell r="S26">
            <v>2060521.0830000001</v>
          </cell>
          <cell r="T26">
            <v>2088839.7</v>
          </cell>
          <cell r="U26">
            <v>2118129.2420000001</v>
          </cell>
          <cell r="V26">
            <v>2148368.2280000001</v>
          </cell>
          <cell r="W26">
            <v>2179578.585</v>
          </cell>
          <cell r="X26">
            <v>2211793.3689999999</v>
          </cell>
          <cell r="Y26">
            <v>2245045.355</v>
          </cell>
          <cell r="Z26">
            <v>2279364.0049999999</v>
          </cell>
          <cell r="AA26">
            <v>2314627.9750000001</v>
          </cell>
          <cell r="AB26">
            <v>2350772.3280000002</v>
          </cell>
          <cell r="AC26">
            <v>2387755.909</v>
          </cell>
          <cell r="AD26">
            <v>2425546.9819999998</v>
          </cell>
          <cell r="AE26">
            <v>2464118.452</v>
          </cell>
          <cell r="AF26">
            <v>2503446.0109999999</v>
          </cell>
          <cell r="AG26">
            <v>2543507.906</v>
          </cell>
          <cell r="AH26">
            <v>2584283.253</v>
          </cell>
          <cell r="AI26">
            <v>2625750.9709999999</v>
          </cell>
          <cell r="AJ26">
            <v>2667889.1209999998</v>
          </cell>
          <cell r="AK26">
            <v>2710674.5529999998</v>
          </cell>
          <cell r="AL26">
            <v>2754054.3190000001</v>
          </cell>
          <cell r="AM26">
            <v>2797970.12</v>
          </cell>
          <cell r="AN26">
            <v>2842365.281</v>
          </cell>
          <cell r="AO26">
            <v>2887186.3020000001</v>
          </cell>
          <cell r="AP26">
            <v>2932383.26</v>
          </cell>
          <cell r="AQ26">
            <v>2977911.2949999999</v>
          </cell>
          <cell r="AR26">
            <v>3023729.5359999998</v>
          </cell>
          <cell r="AS26">
            <v>3069800.5720000002</v>
          </cell>
          <cell r="AT26">
            <v>3116090.1690000002</v>
          </cell>
          <cell r="AU26">
            <v>3162567.074</v>
          </cell>
          <cell r="AV26">
            <v>3209210.6660000002</v>
          </cell>
          <cell r="AW26">
            <v>3256004.068</v>
          </cell>
          <cell r="AX26">
            <v>3302931.6719999998</v>
          </cell>
          <cell r="AY26">
            <v>3349978.7289999998</v>
          </cell>
          <cell r="AZ26">
            <v>3397131.6710000001</v>
          </cell>
          <cell r="BA26">
            <v>3444381.4870000002</v>
          </cell>
          <cell r="BB26">
            <v>3491721.7140000002</v>
          </cell>
          <cell r="BC26">
            <v>3539147.747</v>
          </cell>
          <cell r="BD26">
            <v>3586656.8650000002</v>
          </cell>
          <cell r="BE26">
            <v>3634248.5070000002</v>
          </cell>
        </row>
        <row r="27">
          <cell r="B27">
            <v>1694118.743</v>
          </cell>
          <cell r="C27">
            <v>1713998.41</v>
          </cell>
          <cell r="D27">
            <v>1734461.932</v>
          </cell>
          <cell r="E27">
            <v>1755626.7660000001</v>
          </cell>
          <cell r="F27">
            <v>1777597.5330000001</v>
          </cell>
          <cell r="G27">
            <v>1800464.5619999999</v>
          </cell>
          <cell r="H27">
            <v>1824266.2009999999</v>
          </cell>
          <cell r="I27">
            <v>1849027.4240000001</v>
          </cell>
          <cell r="J27">
            <v>1874772.8570000001</v>
          </cell>
          <cell r="K27">
            <v>1901529.777</v>
          </cell>
          <cell r="L27">
            <v>1929398.56</v>
          </cell>
          <cell r="M27">
            <v>1958418.96</v>
          </cell>
          <cell r="N27">
            <v>1988612.7239999999</v>
          </cell>
          <cell r="O27">
            <v>2019997.75</v>
          </cell>
          <cell r="P27">
            <v>2052591.041</v>
          </cell>
          <cell r="Q27">
            <v>2086408.8570000001</v>
          </cell>
          <cell r="R27">
            <v>2121466.42</v>
          </cell>
          <cell r="S27">
            <v>2157777.6469999999</v>
          </cell>
          <cell r="T27">
            <v>2195354.929</v>
          </cell>
          <cell r="U27">
            <v>2234208.8730000001</v>
          </cell>
          <cell r="V27">
            <v>2274293.8080000002</v>
          </cell>
          <cell r="W27">
            <v>2315608.5469999998</v>
          </cell>
          <cell r="X27">
            <v>2358163.21</v>
          </cell>
          <cell r="Y27">
            <v>2401967.4019999998</v>
          </cell>
          <cell r="Z27">
            <v>2447027.0430000001</v>
          </cell>
          <cell r="AA27">
            <v>2493183.6719999998</v>
          </cell>
          <cell r="AB27">
            <v>2540335.5460000001</v>
          </cell>
          <cell r="AC27">
            <v>2588405.8590000002</v>
          </cell>
          <cell r="AD27">
            <v>2637328.4339999999</v>
          </cell>
          <cell r="AE27">
            <v>2687042.89</v>
          </cell>
          <cell r="AF27">
            <v>2737492.6850000001</v>
          </cell>
          <cell r="AG27">
            <v>2788623.8870000001</v>
          </cell>
          <cell r="AH27">
            <v>2840384.1680000001</v>
          </cell>
          <cell r="AI27">
            <v>2892721.9569999999</v>
          </cell>
          <cell r="AJ27">
            <v>2945585.841</v>
          </cell>
          <cell r="AK27">
            <v>2998924.2409999999</v>
          </cell>
          <cell r="AL27">
            <v>3052645.2790000001</v>
          </cell>
          <cell r="AM27">
            <v>3106650.952</v>
          </cell>
          <cell r="AN27">
            <v>3160847.9509999999</v>
          </cell>
          <cell r="AO27">
            <v>3215150.1779999998</v>
          </cell>
          <cell r="AP27">
            <v>3269479.1120000002</v>
          </cell>
          <cell r="AQ27">
            <v>3323763.6910000001</v>
          </cell>
          <cell r="AR27">
            <v>3377940.0759999999</v>
          </cell>
          <cell r="AS27">
            <v>3431951.3620000002</v>
          </cell>
          <cell r="AT27">
            <v>3485747.2850000001</v>
          </cell>
          <cell r="AU27">
            <v>3539283.9410000001</v>
          </cell>
          <cell r="AV27">
            <v>3592527.2310000001</v>
          </cell>
          <cell r="AW27">
            <v>3645449.58</v>
          </cell>
          <cell r="AX27">
            <v>3698028.8969999999</v>
          </cell>
          <cell r="AY27">
            <v>3750248.3080000002</v>
          </cell>
          <cell r="AZ27">
            <v>3802096.145</v>
          </cell>
          <cell r="BA27">
            <v>3853566.057</v>
          </cell>
          <cell r="BB27">
            <v>3904657.1170000001</v>
          </cell>
          <cell r="BC27">
            <v>3955373.9109999998</v>
          </cell>
          <cell r="BD27">
            <v>4005726.5669999998</v>
          </cell>
          <cell r="BE27">
            <v>4055730.727</v>
          </cell>
        </row>
        <row r="28">
          <cell r="B28">
            <v>4355.3508250000004</v>
          </cell>
          <cell r="C28">
            <v>4398.766979</v>
          </cell>
          <cell r="D28">
            <v>4441.6651030000003</v>
          </cell>
          <cell r="E28">
            <v>4484.7647930000003</v>
          </cell>
          <cell r="F28">
            <v>4528.5136380000004</v>
          </cell>
          <cell r="G28">
            <v>4573.2209309999998</v>
          </cell>
          <cell r="H28">
            <v>4618.9526660000001</v>
          </cell>
          <cell r="I28">
            <v>4665.7812489999997</v>
          </cell>
          <cell r="J28">
            <v>4713.7756630000003</v>
          </cell>
          <cell r="K28">
            <v>4762.9897440000004</v>
          </cell>
          <cell r="L28">
            <v>4813.730168</v>
          </cell>
          <cell r="M28">
            <v>4865.8868229999998</v>
          </cell>
          <cell r="N28">
            <v>4919.3825749999996</v>
          </cell>
          <cell r="O28">
            <v>4974.1666230000001</v>
          </cell>
          <cell r="P28">
            <v>5030.1999219999998</v>
          </cell>
          <cell r="Q28">
            <v>5087.4501200000004</v>
          </cell>
          <cell r="R28">
            <v>5145.8685109999997</v>
          </cell>
          <cell r="S28">
            <v>5205.4248909999997</v>
          </cell>
          <cell r="T28">
            <v>5266.1019040000001</v>
          </cell>
          <cell r="U28">
            <v>5327.891122</v>
          </cell>
          <cell r="V28">
            <v>5390.5926689999997</v>
          </cell>
          <cell r="W28">
            <v>5454.287593</v>
          </cell>
          <cell r="X28">
            <v>5519.0356970000003</v>
          </cell>
          <cell r="Y28">
            <v>5584.8782209999999</v>
          </cell>
          <cell r="Z28">
            <v>5651.847847</v>
          </cell>
          <cell r="AA28">
            <v>5719.4051509999999</v>
          </cell>
          <cell r="AB28">
            <v>5787.537292</v>
          </cell>
          <cell r="AC28">
            <v>5856.2540509999999</v>
          </cell>
          <cell r="AD28">
            <v>5925.5681910000003</v>
          </cell>
          <cell r="AE28">
            <v>5995.4997949999997</v>
          </cell>
          <cell r="AF28">
            <v>6066.0769950000004</v>
          </cell>
          <cell r="AG28">
            <v>6137.3391000000001</v>
          </cell>
          <cell r="AH28">
            <v>6209.3258459999997</v>
          </cell>
          <cell r="AI28">
            <v>6282.0758770000002</v>
          </cell>
          <cell r="AJ28">
            <v>6355.6255430000001</v>
          </cell>
          <cell r="AK28">
            <v>6430.008073</v>
          </cell>
          <cell r="AL28">
            <v>6505.1637689999998</v>
          </cell>
          <cell r="AM28">
            <v>6581.0575049999998</v>
          </cell>
          <cell r="AN28">
            <v>6657.6724190000004</v>
          </cell>
          <cell r="AO28">
            <v>6735.0028169999996</v>
          </cell>
          <cell r="AP28">
            <v>6813.0510619999995</v>
          </cell>
          <cell r="AQ28">
            <v>6891.8335319999996</v>
          </cell>
          <cell r="AR28">
            <v>6971.3680990000003</v>
          </cell>
          <cell r="AS28">
            <v>7051.6741970000003</v>
          </cell>
          <cell r="AT28">
            <v>7132.7724969999999</v>
          </cell>
          <cell r="AU28">
            <v>7214.6842919999999</v>
          </cell>
          <cell r="AV28">
            <v>7297.468828</v>
          </cell>
          <cell r="AW28">
            <v>7381.1678000000002</v>
          </cell>
          <cell r="AX28">
            <v>7465.8113780000003</v>
          </cell>
          <cell r="AY28">
            <v>7551.4230129999996</v>
          </cell>
          <cell r="AZ28">
            <v>7638.022199</v>
          </cell>
          <cell r="BA28">
            <v>7725.6424900000002</v>
          </cell>
          <cell r="BB28">
            <v>7814.3085069999997</v>
          </cell>
          <cell r="BC28">
            <v>7904.0394900000001</v>
          </cell>
          <cell r="BD28">
            <v>7994.8519329999999</v>
          </cell>
          <cell r="BE28">
            <v>8086.7611360000001</v>
          </cell>
        </row>
        <row r="29">
          <cell r="B29">
            <v>4360.2592759999998</v>
          </cell>
          <cell r="C29">
            <v>4411.0959359999997</v>
          </cell>
          <cell r="D29">
            <v>4462.7089169999999</v>
          </cell>
          <cell r="E29">
            <v>4515.2831249999999</v>
          </cell>
          <cell r="F29">
            <v>4569.0108920000002</v>
          </cell>
          <cell r="G29">
            <v>4624.0551839999998</v>
          </cell>
          <cell r="H29">
            <v>4680.3802400000004</v>
          </cell>
          <cell r="I29">
            <v>4737.9806609999996</v>
          </cell>
          <cell r="J29">
            <v>4796.8671750000003</v>
          </cell>
          <cell r="K29">
            <v>4857.0536760000005</v>
          </cell>
          <cell r="L29">
            <v>4918.8363550000004</v>
          </cell>
          <cell r="M29">
            <v>4982.111946</v>
          </cell>
          <cell r="N29">
            <v>5046.8090510000002</v>
          </cell>
          <cell r="O29">
            <v>5112.8829290000003</v>
          </cell>
          <cell r="P29">
            <v>5180.3010389999999</v>
          </cell>
          <cell r="Q29">
            <v>5249.0374380000003</v>
          </cell>
          <cell r="R29">
            <v>5319.0715330000003</v>
          </cell>
          <cell r="S29">
            <v>5390.3880920000001</v>
          </cell>
          <cell r="T29">
            <v>5462.977269</v>
          </cell>
          <cell r="U29">
            <v>5536.8343260000001</v>
          </cell>
          <cell r="V29">
            <v>5611.7477570000001</v>
          </cell>
          <cell r="W29">
            <v>5687.8035460000001</v>
          </cell>
          <cell r="X29">
            <v>5765.063975</v>
          </cell>
          <cell r="Y29">
            <v>5843.5713539999997</v>
          </cell>
          <cell r="Z29">
            <v>5923.3587950000001</v>
          </cell>
          <cell r="AA29">
            <v>6003.8433759999998</v>
          </cell>
          <cell r="AB29">
            <v>6084.9980740000001</v>
          </cell>
          <cell r="AC29">
            <v>6166.8244269999996</v>
          </cell>
          <cell r="AD29">
            <v>6249.3303290000003</v>
          </cell>
          <cell r="AE29">
            <v>6332.5334419999999</v>
          </cell>
          <cell r="AF29">
            <v>6416.4612200000001</v>
          </cell>
          <cell r="AG29">
            <v>6501.1482679999999</v>
          </cell>
          <cell r="AH29">
            <v>6586.6330170000001</v>
          </cell>
          <cell r="AI29">
            <v>6672.9547970000003</v>
          </cell>
          <cell r="AJ29">
            <v>6760.1517309999999</v>
          </cell>
          <cell r="AK29">
            <v>6848.2594589999999</v>
          </cell>
          <cell r="AL29">
            <v>6937.1621740000001</v>
          </cell>
          <cell r="AM29">
            <v>7026.7976319999998</v>
          </cell>
          <cell r="AN29">
            <v>7117.1388639999996</v>
          </cell>
          <cell r="AO29">
            <v>7208.1791629999998</v>
          </cell>
          <cell r="AP29">
            <v>7299.9250220000004</v>
          </cell>
          <cell r="AQ29">
            <v>7392.3924800000004</v>
          </cell>
          <cell r="AR29">
            <v>7485.6045949999998</v>
          </cell>
          <cell r="AS29">
            <v>7579.589344</v>
          </cell>
          <cell r="AT29">
            <v>7674.3778259999999</v>
          </cell>
          <cell r="AU29">
            <v>7770.0028130000001</v>
          </cell>
          <cell r="AV29">
            <v>7866.5111859999997</v>
          </cell>
          <cell r="AW29">
            <v>7963.9447200000004</v>
          </cell>
          <cell r="AX29">
            <v>8062.3414039999998</v>
          </cell>
          <cell r="AY29">
            <v>8161.7363400000004</v>
          </cell>
          <cell r="AZ29">
            <v>8262.1622979999993</v>
          </cell>
          <cell r="BA29">
            <v>8363.6502779999992</v>
          </cell>
          <cell r="BB29">
            <v>8466.2300579999992</v>
          </cell>
          <cell r="BC29">
            <v>8569.9306720000004</v>
          </cell>
          <cell r="BD29">
            <v>8674.7807740000007</v>
          </cell>
          <cell r="BE29">
            <v>8780.8089120000004</v>
          </cell>
        </row>
        <row r="30">
          <cell r="B30">
            <v>43481.567419999999</v>
          </cell>
          <cell r="C30">
            <v>43914.48315</v>
          </cell>
          <cell r="D30">
            <v>44341.761729999998</v>
          </cell>
          <cell r="E30">
            <v>44770.53039</v>
          </cell>
          <cell r="F30">
            <v>45205.238449999997</v>
          </cell>
          <cell r="G30">
            <v>45648.978719999999</v>
          </cell>
          <cell r="H30">
            <v>46102.435319999997</v>
          </cell>
          <cell r="I30">
            <v>46566.367440000002</v>
          </cell>
          <cell r="J30">
            <v>47041.507769999997</v>
          </cell>
          <cell r="K30">
            <v>47528.443529999997</v>
          </cell>
          <cell r="L30">
            <v>48030.282229999997</v>
          </cell>
          <cell r="M30">
            <v>48545.984900000003</v>
          </cell>
          <cell r="N30">
            <v>49074.843130000001</v>
          </cell>
          <cell r="O30">
            <v>49616.409370000001</v>
          </cell>
          <cell r="P30">
            <v>50170.349759999997</v>
          </cell>
          <cell r="Q30">
            <v>50736.39258</v>
          </cell>
          <cell r="R30">
            <v>51314.098319999997</v>
          </cell>
          <cell r="S30">
            <v>51903.205829999999</v>
          </cell>
          <cell r="T30">
            <v>52503.576050000003</v>
          </cell>
          <cell r="U30">
            <v>53115.153350000001</v>
          </cell>
          <cell r="V30">
            <v>53735.97292</v>
          </cell>
          <cell r="W30">
            <v>54366.858390000001</v>
          </cell>
          <cell r="X30">
            <v>55008.416019999997</v>
          </cell>
          <cell r="Y30">
            <v>55661.063090000003</v>
          </cell>
          <cell r="Z30">
            <v>56325.128530000002</v>
          </cell>
          <cell r="AA30">
            <v>56995.249049999999</v>
          </cell>
          <cell r="AB30">
            <v>57671.293579999998</v>
          </cell>
          <cell r="AC30">
            <v>58353.34863</v>
          </cell>
          <cell r="AD30">
            <v>59041.525379999999</v>
          </cell>
          <cell r="AE30">
            <v>59736.004699999998</v>
          </cell>
          <cell r="AF30">
            <v>60437.045969999999</v>
          </cell>
          <cell r="AG30">
            <v>61145.019130000001</v>
          </cell>
          <cell r="AH30">
            <v>61860.29883</v>
          </cell>
          <cell r="AI30">
            <v>62583.24987</v>
          </cell>
          <cell r="AJ30">
            <v>63314.215510000002</v>
          </cell>
          <cell r="AK30">
            <v>64053.509400000003</v>
          </cell>
          <cell r="AL30">
            <v>64800.520920000003</v>
          </cell>
          <cell r="AM30">
            <v>65554.886599999998</v>
          </cell>
          <cell r="AN30">
            <v>66316.425829999993</v>
          </cell>
          <cell r="AO30">
            <v>67085.069680000001</v>
          </cell>
          <cell r="AP30">
            <v>67860.829880000005</v>
          </cell>
          <cell r="AQ30">
            <v>68643.857900000003</v>
          </cell>
          <cell r="AR30">
            <v>69434.321349999998</v>
          </cell>
          <cell r="AS30">
            <v>70232.404869999998</v>
          </cell>
          <cell r="AT30">
            <v>71038.306930000006</v>
          </cell>
          <cell r="AU30">
            <v>71852.233689999994</v>
          </cell>
          <cell r="AV30">
            <v>72674.76857</v>
          </cell>
          <cell r="AW30">
            <v>73506.322929999995</v>
          </cell>
          <cell r="AX30">
            <v>74347.195609999995</v>
          </cell>
          <cell r="AY30">
            <v>75197.620219999997</v>
          </cell>
          <cell r="AZ30">
            <v>76057.792119999998</v>
          </cell>
          <cell r="BA30">
            <v>76928.046090000003</v>
          </cell>
          <cell r="BB30">
            <v>77808.629390000002</v>
          </cell>
          <cell r="BC30">
            <v>78699.736739999993</v>
          </cell>
          <cell r="BD30">
            <v>79601.536129999993</v>
          </cell>
          <cell r="BE30">
            <v>80514.183969999998</v>
          </cell>
        </row>
        <row r="31">
          <cell r="B31">
            <v>43530.6607</v>
          </cell>
          <cell r="C31">
            <v>44037.963250000001</v>
          </cell>
          <cell r="D31">
            <v>44552.852709999999</v>
          </cell>
          <cell r="E31">
            <v>45077.171580000002</v>
          </cell>
          <cell r="F31">
            <v>45612.85037</v>
          </cell>
          <cell r="G31">
            <v>46161.534769999998</v>
          </cell>
          <cell r="H31">
            <v>46722.894970000001</v>
          </cell>
          <cell r="I31">
            <v>47296.906730000002</v>
          </cell>
          <cell r="J31">
            <v>47883.707470000001</v>
          </cell>
          <cell r="K31">
            <v>48483.46632</v>
          </cell>
          <cell r="L31">
            <v>49099.164709999997</v>
          </cell>
          <cell r="M31">
            <v>49729.804179999999</v>
          </cell>
          <cell r="N31">
            <v>50374.70493</v>
          </cell>
          <cell r="O31">
            <v>51033.450980000001</v>
          </cell>
          <cell r="P31">
            <v>51705.744500000001</v>
          </cell>
          <cell r="Q31">
            <v>52391.349159999998</v>
          </cell>
          <cell r="R31">
            <v>53090.077440000001</v>
          </cell>
          <cell r="S31">
            <v>53801.790849999998</v>
          </cell>
          <cell r="T31">
            <v>54526.400309999997</v>
          </cell>
          <cell r="U31">
            <v>55263.863720000001</v>
          </cell>
          <cell r="V31">
            <v>56012.074950000002</v>
          </cell>
          <cell r="W31">
            <v>56771.888509999997</v>
          </cell>
          <cell r="X31">
            <v>57543.917959999999</v>
          </cell>
          <cell r="Y31">
            <v>58328.57516</v>
          </cell>
          <cell r="Z31">
            <v>59126.178659999998</v>
          </cell>
          <cell r="AA31">
            <v>59930.906089999997</v>
          </cell>
          <cell r="AB31">
            <v>60742.473209999996</v>
          </cell>
          <cell r="AC31">
            <v>61560.873699999996</v>
          </cell>
          <cell r="AD31">
            <v>62386.160259999997</v>
          </cell>
          <cell r="AE31">
            <v>63218.480889999999</v>
          </cell>
          <cell r="AF31">
            <v>64058.080679999999</v>
          </cell>
          <cell r="AG31">
            <v>64905.276660000003</v>
          </cell>
          <cell r="AH31">
            <v>65760.425380000001</v>
          </cell>
          <cell r="AI31">
            <v>66623.894199999995</v>
          </cell>
          <cell r="AJ31">
            <v>67496.040529999998</v>
          </cell>
          <cell r="AK31">
            <v>68377.199200000003</v>
          </cell>
          <cell r="AL31">
            <v>69266.197369999994</v>
          </cell>
          <cell r="AM31">
            <v>70162.39804</v>
          </cell>
          <cell r="AN31">
            <v>71065.516380000001</v>
          </cell>
          <cell r="AO31">
            <v>71975.469719999994</v>
          </cell>
          <cell r="AP31">
            <v>72892.307579999993</v>
          </cell>
          <cell r="AQ31">
            <v>73816.175570000007</v>
          </cell>
          <cell r="AR31">
            <v>74747.29075</v>
          </cell>
          <cell r="AS31">
            <v>75685.920929999993</v>
          </cell>
          <cell r="AT31">
            <v>76632.366970000003</v>
          </cell>
          <cell r="AU31">
            <v>77586.94846</v>
          </cell>
          <cell r="AV31">
            <v>78550.127559999994</v>
          </cell>
          <cell r="AW31">
            <v>79522.317550000007</v>
          </cell>
          <cell r="AX31">
            <v>80503.895900000003</v>
          </cell>
          <cell r="AY31">
            <v>81495.213130000004</v>
          </cell>
          <cell r="AZ31">
            <v>82496.598050000001</v>
          </cell>
          <cell r="BA31">
            <v>83508.363089999999</v>
          </cell>
          <cell r="BB31">
            <v>84530.809670000002</v>
          </cell>
          <cell r="BC31">
            <v>85564.232740000007</v>
          </cell>
          <cell r="BD31">
            <v>86608.924299999999</v>
          </cell>
          <cell r="BE31">
            <v>87665.176030000002</v>
          </cell>
        </row>
        <row r="32">
          <cell r="B32">
            <v>25654.090919999999</v>
          </cell>
          <cell r="C32">
            <v>25834.661059999999</v>
          </cell>
          <cell r="D32">
            <v>26021.099839999999</v>
          </cell>
          <cell r="E32">
            <v>26221.711200000002</v>
          </cell>
          <cell r="F32">
            <v>26438.951550000002</v>
          </cell>
          <cell r="G32">
            <v>26673.101480000001</v>
          </cell>
          <cell r="H32">
            <v>26921.897789999999</v>
          </cell>
          <cell r="I32">
            <v>27183.88337</v>
          </cell>
          <cell r="J32">
            <v>27457.873879999999</v>
          </cell>
          <cell r="K32">
            <v>27742.793079999999</v>
          </cell>
          <cell r="L32">
            <v>28040.319060000002</v>
          </cell>
          <cell r="M32">
            <v>28347.16589</v>
          </cell>
          <cell r="N32">
            <v>28661.72379</v>
          </cell>
          <cell r="O32">
            <v>28983.053400000001</v>
          </cell>
          <cell r="P32">
            <v>29310.50071</v>
          </cell>
          <cell r="Q32">
            <v>29643.577229999999</v>
          </cell>
          <cell r="R32">
            <v>29981.499500000002</v>
          </cell>
          <cell r="S32">
            <v>30323.91159</v>
          </cell>
          <cell r="T32">
            <v>30670.668290000001</v>
          </cell>
          <cell r="U32">
            <v>31021.750700000001</v>
          </cell>
          <cell r="V32">
            <v>31375.302650000001</v>
          </cell>
          <cell r="W32">
            <v>31732.89702</v>
          </cell>
          <cell r="X32">
            <v>32095.233489999999</v>
          </cell>
          <cell r="Y32">
            <v>32462.720649999999</v>
          </cell>
          <cell r="Z32">
            <v>32835.695740000003</v>
          </cell>
          <cell r="AA32">
            <v>33208.994160000002</v>
          </cell>
          <cell r="AB32">
            <v>33584.559540000002</v>
          </cell>
          <cell r="AC32">
            <v>33963.435680000002</v>
          </cell>
          <cell r="AD32">
            <v>34346.309719999997</v>
          </cell>
          <cell r="AE32">
            <v>34733.74656</v>
          </cell>
          <cell r="AF32">
            <v>35126.255550000002</v>
          </cell>
          <cell r="AG32">
            <v>35524.40165</v>
          </cell>
          <cell r="AH32">
            <v>35928.642590000003</v>
          </cell>
          <cell r="AI32">
            <v>36339.371950000001</v>
          </cell>
          <cell r="AJ32">
            <v>36756.933599999997</v>
          </cell>
          <cell r="AK32">
            <v>37181.62629</v>
          </cell>
          <cell r="AL32">
            <v>37613.242700000003</v>
          </cell>
          <cell r="AM32">
            <v>38051.864459999997</v>
          </cell>
          <cell r="AN32">
            <v>38497.650529999999</v>
          </cell>
          <cell r="AO32">
            <v>38950.761330000001</v>
          </cell>
          <cell r="AP32">
            <v>39411.337740000003</v>
          </cell>
          <cell r="AQ32">
            <v>39879.632720000001</v>
          </cell>
          <cell r="AR32">
            <v>40355.781629999998</v>
          </cell>
          <cell r="AS32">
            <v>40839.86709</v>
          </cell>
          <cell r="AT32">
            <v>41331.943959999997</v>
          </cell>
          <cell r="AU32">
            <v>41832.04866</v>
          </cell>
          <cell r="AV32">
            <v>42340.781479999998</v>
          </cell>
          <cell r="AW32">
            <v>42858.323389999998</v>
          </cell>
          <cell r="AX32">
            <v>43384.703309999997</v>
          </cell>
          <cell r="AY32">
            <v>43919.896249999998</v>
          </cell>
          <cell r="AZ32">
            <v>44463.856740000003</v>
          </cell>
          <cell r="BA32">
            <v>45016.822110000001</v>
          </cell>
          <cell r="BB32">
            <v>45578.826789999999</v>
          </cell>
          <cell r="BC32">
            <v>46149.83711</v>
          </cell>
          <cell r="BD32">
            <v>46729.800759999998</v>
          </cell>
          <cell r="BE32">
            <v>47318.663679999998</v>
          </cell>
        </row>
        <row r="33">
          <cell r="B33">
            <v>25752.231769999999</v>
          </cell>
          <cell r="C33">
            <v>26062.791539999998</v>
          </cell>
          <cell r="D33">
            <v>26388.554980000001</v>
          </cell>
          <cell r="E33">
            <v>26730.611260000001</v>
          </cell>
          <cell r="F33">
            <v>27089.140770000002</v>
          </cell>
          <cell r="G33">
            <v>27463.843120000001</v>
          </cell>
          <cell r="H33">
            <v>27852.45739</v>
          </cell>
          <cell r="I33">
            <v>28253.752349999999</v>
          </cell>
          <cell r="J33">
            <v>28666.851709999999</v>
          </cell>
          <cell r="K33">
            <v>29091.015950000001</v>
          </cell>
          <cell r="L33">
            <v>29528.534339999998</v>
          </cell>
          <cell r="M33">
            <v>29976.709210000001</v>
          </cell>
          <cell r="N33">
            <v>30434.306270000001</v>
          </cell>
          <cell r="O33">
            <v>30900.680369999998</v>
          </cell>
          <cell r="P33">
            <v>31375.431990000001</v>
          </cell>
          <cell r="Q33">
            <v>31858.29811</v>
          </cell>
          <cell r="R33">
            <v>32349.11522</v>
          </cell>
          <cell r="S33">
            <v>32847.80401</v>
          </cell>
          <cell r="T33">
            <v>33354.359949999998</v>
          </cell>
          <cell r="U33">
            <v>33868.844949999999</v>
          </cell>
          <cell r="V33">
            <v>34389.178370000001</v>
          </cell>
          <cell r="W33">
            <v>34917.120470000002</v>
          </cell>
          <cell r="X33">
            <v>35453.435550000002</v>
          </cell>
          <cell r="Y33">
            <v>35998.541620000004</v>
          </cell>
          <cell r="Z33">
            <v>36552.759019999998</v>
          </cell>
          <cell r="AA33">
            <v>37110.002</v>
          </cell>
          <cell r="AB33">
            <v>37672.139669999997</v>
          </cell>
          <cell r="AC33">
            <v>38240.18129</v>
          </cell>
          <cell r="AD33">
            <v>38814.786390000001</v>
          </cell>
          <cell r="AE33">
            <v>39396.496090000001</v>
          </cell>
          <cell r="AF33">
            <v>39985.798770000001</v>
          </cell>
          <cell r="AG33">
            <v>40583.145629999999</v>
          </cell>
          <cell r="AH33">
            <v>41188.951540000002</v>
          </cell>
          <cell r="AI33">
            <v>41803.59276</v>
          </cell>
          <cell r="AJ33">
            <v>42427.405030000002</v>
          </cell>
          <cell r="AK33">
            <v>43060.683279999997</v>
          </cell>
          <cell r="AL33">
            <v>43702.120369999997</v>
          </cell>
          <cell r="AM33">
            <v>44351.480430000003</v>
          </cell>
          <cell r="AN33">
            <v>45008.882109999999</v>
          </cell>
          <cell r="AO33">
            <v>45674.539570000001</v>
          </cell>
          <cell r="AP33">
            <v>46348.682229999999</v>
          </cell>
          <cell r="AQ33">
            <v>47031.53011</v>
          </cell>
          <cell r="AR33">
            <v>47723.28645</v>
          </cell>
          <cell r="AS33">
            <v>48424.13564</v>
          </cell>
          <cell r="AT33">
            <v>49134.243020000002</v>
          </cell>
          <cell r="AU33">
            <v>49853.755340000003</v>
          </cell>
          <cell r="AV33">
            <v>50582.94498</v>
          </cell>
          <cell r="AW33">
            <v>51321.966590000004</v>
          </cell>
          <cell r="AX33">
            <v>52070.925000000003</v>
          </cell>
          <cell r="AY33">
            <v>52829.901339999997</v>
          </cell>
          <cell r="AZ33">
            <v>53598.963129999996</v>
          </cell>
          <cell r="BA33">
            <v>54378.169529999999</v>
          </cell>
          <cell r="BB33">
            <v>55167.574699999997</v>
          </cell>
          <cell r="BC33">
            <v>55967.230459999999</v>
          </cell>
          <cell r="BD33">
            <v>56777.18836</v>
          </cell>
          <cell r="BE33">
            <v>57597.501329999999</v>
          </cell>
        </row>
        <row r="34">
          <cell r="B34">
            <v>14887.66259</v>
          </cell>
          <cell r="C34">
            <v>15022.34152</v>
          </cell>
          <cell r="D34">
            <v>15159.239519999999</v>
          </cell>
          <cell r="E34">
            <v>15301.98006</v>
          </cell>
          <cell r="F34">
            <v>15452.428739999999</v>
          </cell>
          <cell r="G34">
            <v>15611.797119999999</v>
          </cell>
          <cell r="H34">
            <v>15780.187260000001</v>
          </cell>
          <cell r="I34">
            <v>15957.840029999999</v>
          </cell>
          <cell r="J34">
            <v>16144.99568</v>
          </cell>
          <cell r="K34">
            <v>16341.81738</v>
          </cell>
          <cell r="L34">
            <v>16549.71617</v>
          </cell>
          <cell r="M34">
            <v>16767.946940000002</v>
          </cell>
          <cell r="N34">
            <v>16996.032179999998</v>
          </cell>
          <cell r="O34">
            <v>17233.60845</v>
          </cell>
          <cell r="P34">
            <v>17480.349480000001</v>
          </cell>
          <cell r="Q34">
            <v>17735.950069999999</v>
          </cell>
          <cell r="R34">
            <v>17999.982309999999</v>
          </cell>
          <cell r="S34">
            <v>18272.137780000001</v>
          </cell>
          <cell r="T34">
            <v>18552.177100000001</v>
          </cell>
          <cell r="U34">
            <v>18839.908660000001</v>
          </cell>
          <cell r="V34">
            <v>19134.161390000001</v>
          </cell>
          <cell r="W34">
            <v>19435.234779999999</v>
          </cell>
          <cell r="X34">
            <v>19743.278490000001</v>
          </cell>
          <cell r="Y34">
            <v>20058.37167</v>
          </cell>
          <cell r="Z34">
            <v>20380.57301</v>
          </cell>
          <cell r="AA34">
            <v>20706.971549999998</v>
          </cell>
          <cell r="AB34">
            <v>21037.467110000001</v>
          </cell>
          <cell r="AC34">
            <v>21371.969570000001</v>
          </cell>
          <cell r="AD34">
            <v>21710.422020000002</v>
          </cell>
          <cell r="AE34">
            <v>22052.836490000002</v>
          </cell>
          <cell r="AF34">
            <v>22399.293610000001</v>
          </cell>
          <cell r="AG34">
            <v>22749.961899999998</v>
          </cell>
          <cell r="AH34">
            <v>23105.024979999998</v>
          </cell>
          <cell r="AI34">
            <v>23464.676439999999</v>
          </cell>
          <cell r="AJ34">
            <v>23829.111980000001</v>
          </cell>
          <cell r="AK34">
            <v>24198.522789999999</v>
          </cell>
          <cell r="AL34">
            <v>24572.669890000001</v>
          </cell>
          <cell r="AM34">
            <v>24951.403549999999</v>
          </cell>
          <cell r="AN34">
            <v>25334.652819999999</v>
          </cell>
          <cell r="AO34">
            <v>25722.406569999999</v>
          </cell>
          <cell r="AP34">
            <v>26114.70362</v>
          </cell>
          <cell r="AQ34">
            <v>26511.67499</v>
          </cell>
          <cell r="AR34">
            <v>26913.45822</v>
          </cell>
          <cell r="AS34">
            <v>27320.203649999999</v>
          </cell>
          <cell r="AT34">
            <v>27732.072219999998</v>
          </cell>
          <cell r="AU34">
            <v>28149.230780000002</v>
          </cell>
          <cell r="AV34">
            <v>28572.085330000002</v>
          </cell>
          <cell r="AW34">
            <v>29000.92195</v>
          </cell>
          <cell r="AX34">
            <v>29435.965499999998</v>
          </cell>
          <cell r="AY34">
            <v>29877.40653</v>
          </cell>
          <cell r="AZ34">
            <v>30325.413929999999</v>
          </cell>
          <cell r="BA34">
            <v>30780.25044</v>
          </cell>
          <cell r="BB34">
            <v>31242.111400000002</v>
          </cell>
          <cell r="BC34">
            <v>31711.159390000001</v>
          </cell>
          <cell r="BD34">
            <v>32187.540710000001</v>
          </cell>
          <cell r="BE34">
            <v>32671.393499999998</v>
          </cell>
        </row>
        <row r="35">
          <cell r="B35">
            <v>14918.317520000001</v>
          </cell>
          <cell r="C35">
            <v>15096.743259999999</v>
          </cell>
          <cell r="D35">
            <v>15284.30702</v>
          </cell>
          <cell r="E35">
            <v>15482.380429999999</v>
          </cell>
          <cell r="F35">
            <v>15691.690759999999</v>
          </cell>
          <cell r="G35">
            <v>15912.643749999999</v>
          </cell>
          <cell r="H35">
            <v>16144.66784</v>
          </cell>
          <cell r="I35">
            <v>16387.437409999999</v>
          </cell>
          <cell r="J35">
            <v>16640.741709999998</v>
          </cell>
          <cell r="K35">
            <v>16904.410909999999</v>
          </cell>
          <cell r="L35">
            <v>17179.731930000002</v>
          </cell>
          <cell r="M35">
            <v>17465.92829</v>
          </cell>
          <cell r="N35">
            <v>17762.491290000002</v>
          </cell>
          <cell r="O35">
            <v>18069.046200000001</v>
          </cell>
          <cell r="P35">
            <v>18385.274890000001</v>
          </cell>
          <cell r="Q35">
            <v>18710.894179999999</v>
          </cell>
          <cell r="R35">
            <v>19045.653490000001</v>
          </cell>
          <cell r="S35">
            <v>19389.33683</v>
          </cell>
          <cell r="T35">
            <v>19741.763849999999</v>
          </cell>
          <cell r="U35">
            <v>20102.789049999999</v>
          </cell>
          <cell r="V35">
            <v>20471.180909999999</v>
          </cell>
          <cell r="W35">
            <v>20847.315920000001</v>
          </cell>
          <cell r="X35">
            <v>21231.398140000001</v>
          </cell>
          <cell r="Y35">
            <v>21623.551940000001</v>
          </cell>
          <cell r="Z35">
            <v>22023.87746</v>
          </cell>
          <cell r="AA35">
            <v>22429.17382</v>
          </cell>
          <cell r="AB35">
            <v>22839.29636</v>
          </cell>
          <cell r="AC35">
            <v>23254.137859999999</v>
          </cell>
          <cell r="AD35">
            <v>23673.639899999998</v>
          </cell>
          <cell r="AE35">
            <v>24097.825560000001</v>
          </cell>
          <cell r="AF35">
            <v>24526.795870000002</v>
          </cell>
          <cell r="AG35">
            <v>24960.711630000002</v>
          </cell>
          <cell r="AH35">
            <v>25399.77248</v>
          </cell>
          <cell r="AI35">
            <v>25844.198609999999</v>
          </cell>
          <cell r="AJ35">
            <v>26294.217130000001</v>
          </cell>
          <cell r="AK35">
            <v>26750.053049999999</v>
          </cell>
          <cell r="AL35">
            <v>27211.100269999999</v>
          </cell>
          <cell r="AM35">
            <v>27677.061119999998</v>
          </cell>
          <cell r="AN35">
            <v>28147.813900000001</v>
          </cell>
          <cell r="AO35">
            <v>28623.344099999998</v>
          </cell>
          <cell r="AP35">
            <v>29103.715319999999</v>
          </cell>
          <cell r="AQ35">
            <v>29589.05269</v>
          </cell>
          <cell r="AR35">
            <v>30079.529330000001</v>
          </cell>
          <cell r="AS35">
            <v>30575.353800000001</v>
          </cell>
          <cell r="AT35">
            <v>31076.75878</v>
          </cell>
          <cell r="AU35">
            <v>31583.99163</v>
          </cell>
          <cell r="AV35">
            <v>32097.383679999999</v>
          </cell>
          <cell r="AW35">
            <v>32617.23979</v>
          </cell>
          <cell r="AX35">
            <v>33143.847159999998</v>
          </cell>
          <cell r="AY35">
            <v>33677.479480000002</v>
          </cell>
          <cell r="AZ35">
            <v>34218.398789999999</v>
          </cell>
          <cell r="BA35">
            <v>34766.857259999997</v>
          </cell>
          <cell r="BB35">
            <v>35323.099390000003</v>
          </cell>
          <cell r="BC35">
            <v>35887.364249999999</v>
          </cell>
          <cell r="BD35">
            <v>36459.88751</v>
          </cell>
          <cell r="BE35">
            <v>37040.903050000001</v>
          </cell>
        </row>
        <row r="36">
          <cell r="B36">
            <v>1987044.135</v>
          </cell>
          <cell r="C36">
            <v>2006852.5090000001</v>
          </cell>
          <cell r="D36">
            <v>2026390.3589999999</v>
          </cell>
          <cell r="E36">
            <v>2046068.395</v>
          </cell>
          <cell r="F36">
            <v>2066163.1470000001</v>
          </cell>
          <cell r="G36">
            <v>2086873.9029999999</v>
          </cell>
          <cell r="H36">
            <v>2108275.787</v>
          </cell>
          <cell r="I36">
            <v>2130432.2439999999</v>
          </cell>
          <cell r="J36">
            <v>2153398.8829999999</v>
          </cell>
          <cell r="K36">
            <v>2177221.0359999998</v>
          </cell>
          <cell r="L36">
            <v>2202062.4730000002</v>
          </cell>
          <cell r="M36">
            <v>2227902.105</v>
          </cell>
          <cell r="N36">
            <v>2254717.7510000002</v>
          </cell>
          <cell r="O36">
            <v>2282492.1370000001</v>
          </cell>
          <cell r="P36">
            <v>2311209.8480000002</v>
          </cell>
          <cell r="Q36">
            <v>2340856.2370000002</v>
          </cell>
          <cell r="R36">
            <v>2371408.1779999998</v>
          </cell>
          <cell r="S36">
            <v>2402847.8339999998</v>
          </cell>
          <cell r="T36">
            <v>2435161.355</v>
          </cell>
          <cell r="U36">
            <v>2468337.5970000001</v>
          </cell>
          <cell r="V36">
            <v>2502271.5129999998</v>
          </cell>
          <cell r="W36">
            <v>2536981.0380000002</v>
          </cell>
          <cell r="X36">
            <v>2572482.5320000001</v>
          </cell>
          <cell r="Y36">
            <v>2608786.1120000002</v>
          </cell>
          <cell r="Z36">
            <v>2645897.9539999999</v>
          </cell>
          <cell r="AA36">
            <v>2683545.02</v>
          </cell>
          <cell r="AB36">
            <v>2721675.58</v>
          </cell>
          <cell r="AC36">
            <v>2760261.5189999999</v>
          </cell>
          <cell r="AD36">
            <v>2799283.855</v>
          </cell>
          <cell r="AE36">
            <v>2838731.9130000002</v>
          </cell>
          <cell r="AF36">
            <v>2878602.375</v>
          </cell>
          <cell r="AG36">
            <v>2918899.7379999999</v>
          </cell>
          <cell r="AH36">
            <v>2959631.307</v>
          </cell>
          <cell r="AI36">
            <v>3000805.7579999999</v>
          </cell>
          <cell r="AJ36">
            <v>3042432.1340000001</v>
          </cell>
          <cell r="AK36">
            <v>3084519.1919999998</v>
          </cell>
          <cell r="AL36">
            <v>3127027.9160000002</v>
          </cell>
          <cell r="AM36">
            <v>3169927.9559999998</v>
          </cell>
          <cell r="AN36">
            <v>3213198.6120000002</v>
          </cell>
          <cell r="AO36">
            <v>3256826.82</v>
          </cell>
          <cell r="AP36">
            <v>3300805.9270000001</v>
          </cell>
          <cell r="AQ36">
            <v>3345138.017</v>
          </cell>
          <cell r="AR36">
            <v>3389828.5660000001</v>
          </cell>
          <cell r="AS36">
            <v>3434885.7250000001</v>
          </cell>
          <cell r="AT36">
            <v>3480319.6639999999</v>
          </cell>
          <cell r="AU36">
            <v>3526141.9249999998</v>
          </cell>
          <cell r="AV36">
            <v>3572381.8229999999</v>
          </cell>
          <cell r="AW36">
            <v>3619063.3029999998</v>
          </cell>
          <cell r="AX36">
            <v>3666205.69</v>
          </cell>
          <cell r="AY36">
            <v>3713825.1839999999</v>
          </cell>
          <cell r="AZ36">
            <v>3761935.9810000001</v>
          </cell>
          <cell r="BA36">
            <v>3810558.04</v>
          </cell>
          <cell r="BB36">
            <v>3859708.1379999998</v>
          </cell>
          <cell r="BC36">
            <v>3909400.7420000001</v>
          </cell>
          <cell r="BD36">
            <v>3959648.977</v>
          </cell>
          <cell r="BE36">
            <v>4010465.3119999999</v>
          </cell>
        </row>
        <row r="37">
          <cell r="B37">
            <v>1989199.2039999999</v>
          </cell>
          <cell r="C37">
            <v>2012525.5989999999</v>
          </cell>
          <cell r="D37">
            <v>2036439.223</v>
          </cell>
          <cell r="E37">
            <v>2061086.014</v>
          </cell>
          <cell r="F37">
            <v>2086593.703</v>
          </cell>
          <cell r="G37">
            <v>2113064.11</v>
          </cell>
          <cell r="H37">
            <v>2140498.0729999999</v>
          </cell>
          <cell r="I37">
            <v>2168898.5600000001</v>
          </cell>
          <cell r="J37">
            <v>2198272.4679999999</v>
          </cell>
          <cell r="K37">
            <v>2228627.3569999998</v>
          </cell>
          <cell r="L37">
            <v>2260105.5630000001</v>
          </cell>
          <cell r="M37">
            <v>2292673.7519999999</v>
          </cell>
          <cell r="N37">
            <v>2326299.29</v>
          </cell>
          <cell r="O37">
            <v>2360955.9980000001</v>
          </cell>
          <cell r="P37">
            <v>2396620.7799999998</v>
          </cell>
          <cell r="Q37">
            <v>2433272.1609999998</v>
          </cell>
          <cell r="R37">
            <v>2470890.1510000001</v>
          </cell>
          <cell r="S37">
            <v>2509456.4730000002</v>
          </cell>
          <cell r="T37">
            <v>2548954.7220000001</v>
          </cell>
          <cell r="U37">
            <v>2589370.344</v>
          </cell>
          <cell r="V37">
            <v>2630587.8679999998</v>
          </cell>
          <cell r="W37">
            <v>2672623.2790000001</v>
          </cell>
          <cell r="X37">
            <v>2715491.2650000001</v>
          </cell>
          <cell r="Y37">
            <v>2759200.534</v>
          </cell>
          <cell r="Z37">
            <v>2803756.2549999999</v>
          </cell>
          <cell r="AA37">
            <v>2848862.5109999999</v>
          </cell>
          <cell r="AB37">
            <v>2894457.94</v>
          </cell>
          <cell r="AC37">
            <v>2940508.3390000002</v>
          </cell>
          <cell r="AD37">
            <v>2986990.98</v>
          </cell>
          <cell r="AE37">
            <v>3033893.3020000001</v>
          </cell>
          <cell r="AF37">
            <v>3081211.5070000002</v>
          </cell>
          <cell r="AG37">
            <v>3128948.415</v>
          </cell>
          <cell r="AH37">
            <v>3177111.2170000002</v>
          </cell>
          <cell r="AI37">
            <v>3225709.5690000001</v>
          </cell>
          <cell r="AJ37">
            <v>3274754.1919999998</v>
          </cell>
          <cell r="AK37">
            <v>3324255.9780000001</v>
          </cell>
          <cell r="AL37">
            <v>3374152.36</v>
          </cell>
          <cell r="AM37">
            <v>3424399.179</v>
          </cell>
          <cell r="AN37">
            <v>3474969.1549999998</v>
          </cell>
          <cell r="AO37">
            <v>3525847.2420000001</v>
          </cell>
          <cell r="AP37">
            <v>3577027.8190000001</v>
          </cell>
          <cell r="AQ37">
            <v>3628512.8130000001</v>
          </cell>
          <cell r="AR37">
            <v>3680310.1490000002</v>
          </cell>
          <cell r="AS37">
            <v>3732432.321</v>
          </cell>
          <cell r="AT37">
            <v>3784895.139</v>
          </cell>
          <cell r="AU37">
            <v>3837716.69</v>
          </cell>
          <cell r="AV37">
            <v>3890923.253</v>
          </cell>
          <cell r="AW37">
            <v>3944540.4759999998</v>
          </cell>
          <cell r="AX37">
            <v>3998593.1370000001</v>
          </cell>
          <cell r="AY37">
            <v>4053104.9610000001</v>
          </cell>
          <cell r="AZ37">
            <v>4108098.66</v>
          </cell>
          <cell r="BA37">
            <v>4163596.1970000002</v>
          </cell>
          <cell r="BB37">
            <v>4219619.0970000001</v>
          </cell>
          <cell r="BC37">
            <v>4276188.7039999999</v>
          </cell>
          <cell r="BD37">
            <v>4333326.3600000003</v>
          </cell>
          <cell r="BE37">
            <v>4391053.5140000004</v>
          </cell>
        </row>
        <row r="38">
          <cell r="B38">
            <v>436544.19500000001</v>
          </cell>
          <cell r="C38">
            <v>441664.42349999998</v>
          </cell>
          <cell r="D38">
            <v>446989.56650000002</v>
          </cell>
          <cell r="E38">
            <v>452540.73830000003</v>
          </cell>
          <cell r="F38">
            <v>458320.272</v>
          </cell>
          <cell r="G38">
            <v>464323.25919999997</v>
          </cell>
          <cell r="H38">
            <v>470517.32079999999</v>
          </cell>
          <cell r="I38">
            <v>476886.75400000002</v>
          </cell>
          <cell r="J38">
            <v>483423.2022</v>
          </cell>
          <cell r="K38">
            <v>490121.77889999998</v>
          </cell>
          <cell r="L38">
            <v>497024.31050000002</v>
          </cell>
          <cell r="M38">
            <v>504100.32189999998</v>
          </cell>
          <cell r="N38">
            <v>511338.60080000001</v>
          </cell>
          <cell r="O38">
            <v>518735.90350000001</v>
          </cell>
          <cell r="P38">
            <v>526292.03359999997</v>
          </cell>
          <cell r="Q38">
            <v>534008.16799999995</v>
          </cell>
          <cell r="R38">
            <v>541885.90110000002</v>
          </cell>
          <cell r="S38">
            <v>549927.4828</v>
          </cell>
          <cell r="T38">
            <v>558135.57759999996</v>
          </cell>
          <cell r="U38">
            <v>566513.03529999999</v>
          </cell>
          <cell r="V38">
            <v>575029.33109999995</v>
          </cell>
          <cell r="W38">
            <v>583708.60230000003</v>
          </cell>
          <cell r="X38">
            <v>592561.34900000005</v>
          </cell>
          <cell r="Y38">
            <v>601592.60990000004</v>
          </cell>
          <cell r="Z38">
            <v>610805.41619999998</v>
          </cell>
          <cell r="AA38">
            <v>620104.88500000001</v>
          </cell>
          <cell r="AB38">
            <v>629508.83920000005</v>
          </cell>
          <cell r="AC38">
            <v>639024.53339999996</v>
          </cell>
          <cell r="AD38">
            <v>648654.59809999994</v>
          </cell>
          <cell r="AE38">
            <v>658400.29429999995</v>
          </cell>
          <cell r="AF38">
            <v>668262.54539999994</v>
          </cell>
          <cell r="AG38">
            <v>678242.3003</v>
          </cell>
          <cell r="AH38">
            <v>688340.43579999998</v>
          </cell>
          <cell r="AI38">
            <v>698557.73569999996</v>
          </cell>
          <cell r="AJ38">
            <v>708894.8946</v>
          </cell>
          <cell r="AK38">
            <v>719352.54359999998</v>
          </cell>
          <cell r="AL38">
            <v>729908.43900000001</v>
          </cell>
          <cell r="AM38">
            <v>740555.00379999995</v>
          </cell>
          <cell r="AN38">
            <v>751289.98930000002</v>
          </cell>
          <cell r="AO38">
            <v>762113.05649999995</v>
          </cell>
          <cell r="AP38">
            <v>773024.78020000004</v>
          </cell>
          <cell r="AQ38">
            <v>784026.51650000003</v>
          </cell>
          <cell r="AR38">
            <v>795120.10279999999</v>
          </cell>
          <cell r="AS38">
            <v>806307.77419999999</v>
          </cell>
          <cell r="AT38">
            <v>817592.11040000001</v>
          </cell>
          <cell r="AU38">
            <v>828975.98869999999</v>
          </cell>
          <cell r="AV38">
            <v>840465.20429999998</v>
          </cell>
          <cell r="AW38">
            <v>852064.22050000005</v>
          </cell>
          <cell r="AX38">
            <v>863776.94070000004</v>
          </cell>
          <cell r="AY38">
            <v>875607.08920000005</v>
          </cell>
          <cell r="AZ38">
            <v>887558.38569999998</v>
          </cell>
          <cell r="BA38">
            <v>899634.96490000002</v>
          </cell>
          <cell r="BB38">
            <v>911840.96189999999</v>
          </cell>
          <cell r="BC38">
            <v>924180.47160000005</v>
          </cell>
          <cell r="BD38">
            <v>936657.58270000003</v>
          </cell>
          <cell r="BE38">
            <v>949276.41520000005</v>
          </cell>
        </row>
        <row r="39">
          <cell r="B39">
            <v>436615.54820000002</v>
          </cell>
          <cell r="C39">
            <v>441840.71139999997</v>
          </cell>
          <cell r="D39">
            <v>447282.36989999999</v>
          </cell>
          <cell r="E39">
            <v>452955.38929999998</v>
          </cell>
          <cell r="F39">
            <v>458863.7708</v>
          </cell>
          <cell r="G39">
            <v>465006.92379999999</v>
          </cell>
          <cell r="H39">
            <v>471356.89569999999</v>
          </cell>
          <cell r="I39">
            <v>477901.48759999999</v>
          </cell>
          <cell r="J39">
            <v>484634.90950000001</v>
          </cell>
          <cell r="K39">
            <v>491554.07890000002</v>
          </cell>
          <cell r="L39">
            <v>498702.19459999999</v>
          </cell>
          <cell r="M39">
            <v>506049.7978</v>
          </cell>
          <cell r="N39">
            <v>513585.8786</v>
          </cell>
          <cell r="O39">
            <v>521306.7268</v>
          </cell>
          <cell r="P39">
            <v>529211.13489999995</v>
          </cell>
          <cell r="Q39">
            <v>537298.83050000004</v>
          </cell>
          <cell r="R39">
            <v>545569.96219999995</v>
          </cell>
          <cell r="S39">
            <v>554024.91</v>
          </cell>
          <cell r="T39">
            <v>562664.18610000005</v>
          </cell>
          <cell r="U39">
            <v>571488.35730000003</v>
          </cell>
          <cell r="V39">
            <v>580464.20880000002</v>
          </cell>
          <cell r="W39">
            <v>589613.75309999997</v>
          </cell>
          <cell r="X39">
            <v>598945.46939999994</v>
          </cell>
          <cell r="Y39">
            <v>608462.52520000003</v>
          </cell>
          <cell r="Z39">
            <v>618166.26100000006</v>
          </cell>
          <cell r="AA39">
            <v>627958.91440000001</v>
          </cell>
          <cell r="AB39">
            <v>637856.65659999999</v>
          </cell>
          <cell r="AC39">
            <v>647865.41630000004</v>
          </cell>
          <cell r="AD39">
            <v>657986.82149999996</v>
          </cell>
          <cell r="AE39">
            <v>668221.42619999999</v>
          </cell>
          <cell r="AF39">
            <v>678569.6936</v>
          </cell>
          <cell r="AG39">
            <v>689032.21979999996</v>
          </cell>
          <cell r="AH39">
            <v>699609.72919999994</v>
          </cell>
          <cell r="AI39">
            <v>710303.02549999999</v>
          </cell>
          <cell r="AJ39">
            <v>721112.95900000003</v>
          </cell>
          <cell r="AK39">
            <v>732040.42279999994</v>
          </cell>
          <cell r="AL39">
            <v>743062.25210000004</v>
          </cell>
          <cell r="AM39">
            <v>754170.49639999995</v>
          </cell>
          <cell r="AN39">
            <v>765363.03</v>
          </cell>
          <cell r="AO39">
            <v>776639.95310000004</v>
          </cell>
          <cell r="AP39">
            <v>788002.44240000006</v>
          </cell>
          <cell r="AQ39">
            <v>799452.36399999994</v>
          </cell>
          <cell r="AR39">
            <v>810992.10679999995</v>
          </cell>
          <cell r="AS39">
            <v>822624.47649999999</v>
          </cell>
          <cell r="AT39">
            <v>834352.61010000005</v>
          </cell>
          <cell r="AU39">
            <v>846179.90619999997</v>
          </cell>
          <cell r="AV39">
            <v>858112.16429999995</v>
          </cell>
          <cell r="AW39">
            <v>870153.98230000003</v>
          </cell>
          <cell r="AX39">
            <v>882309.58490000002</v>
          </cell>
          <cell r="AY39">
            <v>894583.11289999995</v>
          </cell>
          <cell r="AZ39">
            <v>906978.71180000005</v>
          </cell>
          <cell r="BA39">
            <v>919500.56649999996</v>
          </cell>
          <cell r="BB39">
            <v>932152.91599999997</v>
          </cell>
          <cell r="BC39">
            <v>944940.05709999998</v>
          </cell>
          <cell r="BD39">
            <v>957866.34010000003</v>
          </cell>
          <cell r="BE39">
            <v>970936.1605</v>
          </cell>
        </row>
        <row r="40">
          <cell r="B40">
            <v>5627.343656</v>
          </cell>
          <cell r="C40">
            <v>5678.7972129999998</v>
          </cell>
          <cell r="D40">
            <v>5728.7199250000003</v>
          </cell>
          <cell r="E40">
            <v>5778.7478739999997</v>
          </cell>
          <cell r="F40">
            <v>5829.925397</v>
          </cell>
          <cell r="G40">
            <v>5882.959938</v>
          </cell>
          <cell r="H40">
            <v>5938.1157620000004</v>
          </cell>
          <cell r="I40">
            <v>5995.5842970000003</v>
          </cell>
          <cell r="J40">
            <v>6055.5040749999998</v>
          </cell>
          <cell r="K40">
            <v>6117.9602670000004</v>
          </cell>
          <cell r="L40">
            <v>6183.3650989999996</v>
          </cell>
          <cell r="M40">
            <v>6251.5439299999998</v>
          </cell>
          <cell r="N40">
            <v>6322.340811</v>
          </cell>
          <cell r="O40">
            <v>6395.63159</v>
          </cell>
          <cell r="P40">
            <v>6471.3074189999998</v>
          </cell>
          <cell r="Q40">
            <v>6549.2689049999999</v>
          </cell>
          <cell r="R40">
            <v>6629.3866269999999</v>
          </cell>
          <cell r="S40">
            <v>6711.5639760000004</v>
          </cell>
          <cell r="T40">
            <v>6795.7297339999996</v>
          </cell>
          <cell r="U40">
            <v>6881.8320359999998</v>
          </cell>
          <cell r="V40">
            <v>6969.5596290000003</v>
          </cell>
          <cell r="W40">
            <v>7058.9871990000001</v>
          </cell>
          <cell r="X40">
            <v>7150.1812289999998</v>
          </cell>
          <cell r="Y40">
            <v>7243.1889190000002</v>
          </cell>
          <cell r="Z40">
            <v>7338.0498930000003</v>
          </cell>
          <cell r="AA40">
            <v>7434.0114700000004</v>
          </cell>
          <cell r="AB40">
            <v>7531.0264589999997</v>
          </cell>
          <cell r="AC40">
            <v>7629.1070229999996</v>
          </cell>
          <cell r="AD40">
            <v>7728.2756890000001</v>
          </cell>
          <cell r="AE40">
            <v>7828.5669580000003</v>
          </cell>
          <cell r="AF40">
            <v>7930.0275680000004</v>
          </cell>
          <cell r="AG40">
            <v>8032.7225179999996</v>
          </cell>
          <cell r="AH40">
            <v>8136.7170130000004</v>
          </cell>
          <cell r="AI40">
            <v>8242.0741309999994</v>
          </cell>
          <cell r="AJ40">
            <v>8348.852895</v>
          </cell>
          <cell r="AK40">
            <v>8457.1066310000006</v>
          </cell>
          <cell r="AL40">
            <v>8566.7734679999994</v>
          </cell>
          <cell r="AM40">
            <v>8677.8068910000002</v>
          </cell>
          <cell r="AN40">
            <v>8790.1796890000005</v>
          </cell>
          <cell r="AO40">
            <v>8903.8774159999994</v>
          </cell>
          <cell r="AP40">
            <v>9018.8942819999993</v>
          </cell>
          <cell r="AQ40">
            <v>9135.2440160000006</v>
          </cell>
          <cell r="AR40">
            <v>9252.9388049999998</v>
          </cell>
          <cell r="AS40">
            <v>9371.9901329999993</v>
          </cell>
          <cell r="AT40">
            <v>9492.4092049999999</v>
          </cell>
          <cell r="AU40">
            <v>9614.2066269999996</v>
          </cell>
          <cell r="AV40">
            <v>9737.4541630000003</v>
          </cell>
          <cell r="AW40">
            <v>9862.1959079999997</v>
          </cell>
          <cell r="AX40">
            <v>9988.4571790000009</v>
          </cell>
          <cell r="AY40">
            <v>10116.252630000001</v>
          </cell>
          <cell r="AZ40">
            <v>10245.590620000001</v>
          </cell>
          <cell r="BA40">
            <v>10376.50409</v>
          </cell>
          <cell r="BB40">
            <v>10509.01095</v>
          </cell>
          <cell r="BC40">
            <v>10643.120150000001</v>
          </cell>
          <cell r="BD40">
            <v>10778.836509999999</v>
          </cell>
          <cell r="BE40">
            <v>10916.163479999999</v>
          </cell>
        </row>
        <row r="41">
          <cell r="B41">
            <v>5636.5006009999997</v>
          </cell>
          <cell r="C41">
            <v>5702.0388590000002</v>
          </cell>
          <cell r="D41">
            <v>5768.4995099999996</v>
          </cell>
          <cell r="E41">
            <v>5836.3692300000002</v>
          </cell>
          <cell r="F41">
            <v>5906.1353040000004</v>
          </cell>
          <cell r="G41">
            <v>5978.2038709999997</v>
          </cell>
          <cell r="H41">
            <v>6052.6539229999998</v>
          </cell>
          <cell r="I41">
            <v>6129.5525859999998</v>
          </cell>
          <cell r="J41">
            <v>6208.9545179999996</v>
          </cell>
          <cell r="K41">
            <v>6290.8936290000001</v>
          </cell>
          <cell r="L41">
            <v>6375.7834460000004</v>
          </cell>
          <cell r="M41">
            <v>6463.4796180000003</v>
          </cell>
          <cell r="N41">
            <v>6553.8566689999998</v>
          </cell>
          <cell r="O41">
            <v>6646.8237069999996</v>
          </cell>
          <cell r="P41">
            <v>6742.3081089999996</v>
          </cell>
          <cell r="Q41">
            <v>6840.2481109999999</v>
          </cell>
          <cell r="R41">
            <v>6940.5913110000001</v>
          </cell>
          <cell r="S41">
            <v>7043.2950940000001</v>
          </cell>
          <cell r="T41">
            <v>7148.3271180000002</v>
          </cell>
          <cell r="U41">
            <v>7255.6652830000003</v>
          </cell>
          <cell r="V41">
            <v>7364.997472</v>
          </cell>
          <cell r="W41">
            <v>7476.4246810000004</v>
          </cell>
          <cell r="X41">
            <v>7590.0323600000002</v>
          </cell>
          <cell r="Y41">
            <v>7705.8804</v>
          </cell>
          <cell r="Z41">
            <v>7824.0165340000003</v>
          </cell>
          <cell r="AA41">
            <v>7943.612615</v>
          </cell>
          <cell r="AB41">
            <v>8064.5965470000001</v>
          </cell>
          <cell r="AC41">
            <v>8186.9646149999999</v>
          </cell>
          <cell r="AD41">
            <v>8310.7264140000007</v>
          </cell>
          <cell r="AE41">
            <v>8435.9050769999994</v>
          </cell>
          <cell r="AF41">
            <v>8562.5369470000005</v>
          </cell>
          <cell r="AG41">
            <v>8690.6679910000003</v>
          </cell>
          <cell r="AH41">
            <v>8820.3490829999992</v>
          </cell>
          <cell r="AI41">
            <v>8951.6316160000006</v>
          </cell>
          <cell r="AJ41">
            <v>9084.5641130000004</v>
          </cell>
          <cell r="AK41">
            <v>9219.1899909999993</v>
          </cell>
          <cell r="AL41">
            <v>9355.3332169999994</v>
          </cell>
          <cell r="AM41">
            <v>9492.8829089999999</v>
          </cell>
          <cell r="AN41">
            <v>9631.7782160000006</v>
          </cell>
          <cell r="AO41">
            <v>9771.9871889999995</v>
          </cell>
          <cell r="AP41">
            <v>9913.4959679999993</v>
          </cell>
          <cell r="AQ41">
            <v>10056.303309999999</v>
          </cell>
          <cell r="AR41">
            <v>10200.41714</v>
          </cell>
          <cell r="AS41">
            <v>10345.85187</v>
          </cell>
          <cell r="AT41">
            <v>10492.626109999999</v>
          </cell>
          <cell r="AU41">
            <v>10640.760829999999</v>
          </cell>
          <cell r="AV41">
            <v>10790.297350000001</v>
          </cell>
          <cell r="AW41">
            <v>10941.270990000001</v>
          </cell>
          <cell r="AX41">
            <v>11093.712009999999</v>
          </cell>
          <cell r="AY41">
            <v>11247.64739</v>
          </cell>
          <cell r="AZ41">
            <v>11403.10202</v>
          </cell>
          <cell r="BA41">
            <v>11560.09943</v>
          </cell>
          <cell r="BB41">
            <v>11718.662539999999</v>
          </cell>
          <cell r="BC41">
            <v>11878.81445</v>
          </cell>
          <cell r="BD41">
            <v>12040.579110000001</v>
          </cell>
          <cell r="BE41">
            <v>12203.981900000001</v>
          </cell>
        </row>
        <row r="42">
          <cell r="B42">
            <v>22359.13997</v>
          </cell>
          <cell r="C42">
            <v>22558.334869999999</v>
          </cell>
          <cell r="D42">
            <v>22742.823130000001</v>
          </cell>
          <cell r="E42">
            <v>22916.68089</v>
          </cell>
          <cell r="F42">
            <v>23083.621889999999</v>
          </cell>
          <cell r="G42">
            <v>23247.02259</v>
          </cell>
          <cell r="H42">
            <v>23408.93621</v>
          </cell>
          <cell r="I42">
            <v>23571.246490000001</v>
          </cell>
          <cell r="J42">
            <v>23735.575059999999</v>
          </cell>
          <cell r="K42">
            <v>23903.235379999998</v>
          </cell>
          <cell r="L42">
            <v>24076.55198</v>
          </cell>
          <cell r="M42">
            <v>24255.566579999999</v>
          </cell>
          <cell r="N42">
            <v>24440.431189999999</v>
          </cell>
          <cell r="O42">
            <v>24631.333019999998</v>
          </cell>
          <cell r="P42">
            <v>24828.41058</v>
          </cell>
          <cell r="Q42">
            <v>25031.736649999999</v>
          </cell>
          <cell r="R42">
            <v>25241.173790000001</v>
          </cell>
          <cell r="S42">
            <v>25456.634580000002</v>
          </cell>
          <cell r="T42">
            <v>25678.04711</v>
          </cell>
          <cell r="U42">
            <v>25905.339660000001</v>
          </cell>
          <cell r="V42">
            <v>26137.500550000001</v>
          </cell>
          <cell r="W42">
            <v>26374.865610000001</v>
          </cell>
          <cell r="X42">
            <v>26617.607499999998</v>
          </cell>
          <cell r="Y42">
            <v>26865.788390000002</v>
          </cell>
          <cell r="Z42">
            <v>27119.429120000001</v>
          </cell>
          <cell r="AA42">
            <v>27375.863270000002</v>
          </cell>
          <cell r="AB42">
            <v>27635.048839999999</v>
          </cell>
          <cell r="AC42">
            <v>27896.96513</v>
          </cell>
          <cell r="AD42">
            <v>28161.561679999999</v>
          </cell>
          <cell r="AE42">
            <v>28428.808560000001</v>
          </cell>
          <cell r="AF42">
            <v>28698.71414</v>
          </cell>
          <cell r="AG42">
            <v>28971.359799999998</v>
          </cell>
          <cell r="AH42">
            <v>29246.83928</v>
          </cell>
          <cell r="AI42">
            <v>29525.26096</v>
          </cell>
          <cell r="AJ42">
            <v>29806.745350000001</v>
          </cell>
          <cell r="AK42">
            <v>30091.42</v>
          </cell>
          <cell r="AL42">
            <v>30379.084050000001</v>
          </cell>
          <cell r="AM42">
            <v>30669.625499999998</v>
          </cell>
          <cell r="AN42">
            <v>30963.003669999998</v>
          </cell>
          <cell r="AO42">
            <v>31259.22062</v>
          </cell>
          <cell r="AP42">
            <v>31558.305069999999</v>
          </cell>
          <cell r="AQ42">
            <v>31860.351500000001</v>
          </cell>
          <cell r="AR42">
            <v>32165.438239999999</v>
          </cell>
          <cell r="AS42">
            <v>32473.637210000001</v>
          </cell>
          <cell r="AT42">
            <v>32785.017489999998</v>
          </cell>
          <cell r="AU42">
            <v>33099.644800000002</v>
          </cell>
          <cell r="AV42">
            <v>33417.806100000002</v>
          </cell>
          <cell r="AW42">
            <v>33739.678460000003</v>
          </cell>
          <cell r="AX42">
            <v>34065.387949999997</v>
          </cell>
          <cell r="AY42">
            <v>34395.038480000003</v>
          </cell>
          <cell r="AZ42">
            <v>34728.718840000001</v>
          </cell>
          <cell r="BA42">
            <v>35066.604780000001</v>
          </cell>
          <cell r="BB42">
            <v>35408.799229999997</v>
          </cell>
          <cell r="BC42">
            <v>35755.363770000004</v>
          </cell>
          <cell r="BD42">
            <v>36106.336139999999</v>
          </cell>
          <cell r="BE42">
            <v>36461.737589999997</v>
          </cell>
        </row>
        <row r="43">
          <cell r="B43">
            <v>22396.237659999999</v>
          </cell>
          <cell r="C43">
            <v>22651.085579999999</v>
          </cell>
          <cell r="D43">
            <v>22901.104230000001</v>
          </cell>
          <cell r="E43">
            <v>23146.932649999999</v>
          </cell>
          <cell r="F43">
            <v>23390.655599999998</v>
          </cell>
          <cell r="G43">
            <v>23634.72622</v>
          </cell>
          <cell r="H43">
            <v>23880.57531</v>
          </cell>
          <cell r="I43">
            <v>24129.560649999999</v>
          </cell>
          <cell r="J43">
            <v>24382.798419999999</v>
          </cell>
          <cell r="K43">
            <v>24641.120930000001</v>
          </cell>
          <cell r="L43">
            <v>24906.540550000002</v>
          </cell>
          <cell r="M43">
            <v>25178.835210000001</v>
          </cell>
          <cell r="N43">
            <v>25457.901610000001</v>
          </cell>
          <cell r="O43">
            <v>25743.7124</v>
          </cell>
          <cell r="P43">
            <v>26036.24092</v>
          </cell>
          <cell r="Q43">
            <v>26335.439699999999</v>
          </cell>
          <cell r="R43">
            <v>26641.24208</v>
          </cell>
          <cell r="S43">
            <v>26953.56997</v>
          </cell>
          <cell r="T43">
            <v>27272.3416</v>
          </cell>
          <cell r="U43">
            <v>27597.4774</v>
          </cell>
          <cell r="V43">
            <v>27927.847000000002</v>
          </cell>
          <cell r="W43">
            <v>28263.846679999999</v>
          </cell>
          <cell r="X43">
            <v>28605.690569999999</v>
          </cell>
          <cell r="Y43">
            <v>28953.473310000001</v>
          </cell>
          <cell r="Z43">
            <v>29307.246920000001</v>
          </cell>
          <cell r="AA43">
            <v>29663.995640000001</v>
          </cell>
          <cell r="AB43">
            <v>30023.641619999999</v>
          </cell>
          <cell r="AC43">
            <v>30386.161660000002</v>
          </cell>
          <cell r="AD43">
            <v>30751.512129999999</v>
          </cell>
          <cell r="AE43">
            <v>31119.67527</v>
          </cell>
          <cell r="AF43">
            <v>31490.67698</v>
          </cell>
          <cell r="AG43">
            <v>31864.585859999999</v>
          </cell>
          <cell r="AH43">
            <v>32241.504959999998</v>
          </cell>
          <cell r="AI43">
            <v>32621.561959999999</v>
          </cell>
          <cell r="AJ43">
            <v>33004.900130000002</v>
          </cell>
          <cell r="AK43">
            <v>33391.67108</v>
          </cell>
          <cell r="AL43">
            <v>33781.290200000003</v>
          </cell>
          <cell r="AM43">
            <v>34173.489889999997</v>
          </cell>
          <cell r="AN43">
            <v>34568.18305</v>
          </cell>
          <cell r="AO43">
            <v>34965.371570000003</v>
          </cell>
          <cell r="AP43">
            <v>35365.108769999999</v>
          </cell>
          <cell r="AQ43">
            <v>35767.483650000002</v>
          </cell>
          <cell r="AR43">
            <v>36172.612200000003</v>
          </cell>
          <cell r="AS43">
            <v>36580.630620000004</v>
          </cell>
          <cell r="AT43">
            <v>36991.689169999998</v>
          </cell>
          <cell r="AU43">
            <v>37405.945440000003</v>
          </cell>
          <cell r="AV43">
            <v>37823.619870000002</v>
          </cell>
          <cell r="AW43">
            <v>38244.900500000003</v>
          </cell>
          <cell r="AX43">
            <v>38669.949619999999</v>
          </cell>
          <cell r="AY43">
            <v>39098.9352</v>
          </cell>
          <cell r="AZ43">
            <v>39532.037470000003</v>
          </cell>
          <cell r="BA43">
            <v>39969.440089999996</v>
          </cell>
          <cell r="BB43">
            <v>40411.321609999999</v>
          </cell>
          <cell r="BC43">
            <v>40857.851849999999</v>
          </cell>
          <cell r="BD43">
            <v>41309.191809999997</v>
          </cell>
          <cell r="BE43">
            <v>41765.495199999998</v>
          </cell>
        </row>
        <row r="44">
          <cell r="B44">
            <v>1606.1119900000001</v>
          </cell>
          <cell r="C44">
            <v>1620.6636920000001</v>
          </cell>
          <cell r="D44">
            <v>1633.9426779999999</v>
          </cell>
          <cell r="E44">
            <v>1646.1965399999999</v>
          </cell>
          <cell r="F44">
            <v>1657.7167850000001</v>
          </cell>
          <cell r="G44">
            <v>1668.7913269999999</v>
          </cell>
          <cell r="H44">
            <v>1679.622132</v>
          </cell>
          <cell r="I44">
            <v>1690.3866989999999</v>
          </cell>
          <cell r="J44">
            <v>1701.2298539999999</v>
          </cell>
          <cell r="K44">
            <v>1712.2647919999999</v>
          </cell>
          <cell r="L44">
            <v>1723.659052</v>
          </cell>
          <cell r="M44">
            <v>1735.433389</v>
          </cell>
          <cell r="N44">
            <v>1747.6142179999999</v>
          </cell>
          <cell r="O44">
            <v>1760.2261759999999</v>
          </cell>
          <cell r="P44">
            <v>1773.2877550000001</v>
          </cell>
          <cell r="Q44">
            <v>1786.8110300000001</v>
          </cell>
          <cell r="R44">
            <v>1800.792768</v>
          </cell>
          <cell r="S44">
            <v>1815.23145</v>
          </cell>
          <cell r="T44">
            <v>1830.1249029999999</v>
          </cell>
          <cell r="U44">
            <v>1845.4695180000001</v>
          </cell>
          <cell r="V44">
            <v>1861.2021830000001</v>
          </cell>
          <cell r="W44">
            <v>1877.341917</v>
          </cell>
          <cell r="X44">
            <v>1893.8953300000001</v>
          </cell>
          <cell r="Y44">
            <v>1910.8622949999999</v>
          </cell>
          <cell r="Z44">
            <v>1928.2401620000001</v>
          </cell>
          <cell r="AA44">
            <v>1945.8593980000001</v>
          </cell>
          <cell r="AB44">
            <v>1963.71236</v>
          </cell>
          <cell r="AC44">
            <v>1981.7881179999999</v>
          </cell>
          <cell r="AD44">
            <v>2000.0741410000001</v>
          </cell>
          <cell r="AE44">
            <v>2018.5601320000001</v>
          </cell>
          <cell r="AF44">
            <v>2037.2391680000001</v>
          </cell>
          <cell r="AG44">
            <v>2056.1097580000001</v>
          </cell>
          <cell r="AH44">
            <v>2075.171746</v>
          </cell>
          <cell r="AI44">
            <v>2094.4263999999998</v>
          </cell>
          <cell r="AJ44">
            <v>2113.8761570000001</v>
          </cell>
          <cell r="AK44">
            <v>2133.5242509999998</v>
          </cell>
          <cell r="AL44">
            <v>2153.3544919999999</v>
          </cell>
          <cell r="AM44">
            <v>2173.3558699999999</v>
          </cell>
          <cell r="AN44">
            <v>2193.5213560000002</v>
          </cell>
          <cell r="AO44">
            <v>2213.846673</v>
          </cell>
          <cell r="AP44">
            <v>2234.3296730000002</v>
          </cell>
          <cell r="AQ44">
            <v>2254.973031</v>
          </cell>
          <cell r="AR44">
            <v>2275.7789899999998</v>
          </cell>
          <cell r="AS44">
            <v>2296.7500449999998</v>
          </cell>
          <cell r="AT44">
            <v>2317.8890740000002</v>
          </cell>
          <cell r="AU44">
            <v>2339.1991849999999</v>
          </cell>
          <cell r="AV44">
            <v>2360.697463</v>
          </cell>
          <cell r="AW44">
            <v>2382.3932890000001</v>
          </cell>
          <cell r="AX44">
            <v>2404.2923959999998</v>
          </cell>
          <cell r="AY44">
            <v>2426.398756</v>
          </cell>
          <cell r="AZ44">
            <v>2448.715177</v>
          </cell>
          <cell r="BA44">
            <v>2471.2500009999999</v>
          </cell>
          <cell r="BB44">
            <v>2494.006875</v>
          </cell>
          <cell r="BC44">
            <v>2516.9870099999998</v>
          </cell>
          <cell r="BD44">
            <v>2540.1902620000001</v>
          </cell>
          <cell r="BE44">
            <v>2563.6155290000002</v>
          </cell>
        </row>
        <row r="45">
          <cell r="B45">
            <v>1608.491522</v>
          </cell>
          <cell r="C45">
            <v>1626.5736360000001</v>
          </cell>
          <cell r="D45">
            <v>1644.0226339999999</v>
          </cell>
          <cell r="E45">
            <v>1660.9023380000001</v>
          </cell>
          <cell r="F45">
            <v>1677.42345</v>
          </cell>
          <cell r="G45">
            <v>1693.8208159999999</v>
          </cell>
          <cell r="H45">
            <v>1710.24918</v>
          </cell>
          <cell r="I45">
            <v>1726.8414270000001</v>
          </cell>
          <cell r="J45">
            <v>1743.700685</v>
          </cell>
          <cell r="K45">
            <v>1760.9023810000001</v>
          </cell>
          <cell r="L45">
            <v>1778.588675</v>
          </cell>
          <cell r="M45">
            <v>1796.7584139999999</v>
          </cell>
          <cell r="N45">
            <v>1815.416759</v>
          </cell>
          <cell r="O45">
            <v>1834.5696600000001</v>
          </cell>
          <cell r="P45">
            <v>1854.2198800000001</v>
          </cell>
          <cell r="Q45">
            <v>1874.366518</v>
          </cell>
          <cell r="R45">
            <v>1895.005701</v>
          </cell>
          <cell r="S45">
            <v>1916.131478</v>
          </cell>
          <cell r="T45">
            <v>1937.7365669999999</v>
          </cell>
          <cell r="U45">
            <v>1959.812936</v>
          </cell>
          <cell r="V45">
            <v>1982.2863279999999</v>
          </cell>
          <cell r="W45">
            <v>2005.176917</v>
          </cell>
          <cell r="X45">
            <v>2028.4914490000001</v>
          </cell>
          <cell r="Y45">
            <v>2052.2298430000001</v>
          </cell>
          <cell r="Z45">
            <v>2076.3899219999998</v>
          </cell>
          <cell r="AA45">
            <v>2100.7782980000002</v>
          </cell>
          <cell r="AB45">
            <v>2125.3847820000001</v>
          </cell>
          <cell r="AC45">
            <v>2150.197831</v>
          </cell>
          <cell r="AD45">
            <v>2175.2050530000001</v>
          </cell>
          <cell r="AE45">
            <v>2200.3969430000002</v>
          </cell>
          <cell r="AF45">
            <v>2225.767977</v>
          </cell>
          <cell r="AG45">
            <v>2251.3164080000001</v>
          </cell>
          <cell r="AH45">
            <v>2277.0435889999999</v>
          </cell>
          <cell r="AI45">
            <v>2302.9532380000001</v>
          </cell>
          <cell r="AJ45">
            <v>2329.0507670000002</v>
          </cell>
          <cell r="AK45">
            <v>2355.342752</v>
          </cell>
          <cell r="AL45">
            <v>2381.790297</v>
          </cell>
          <cell r="AM45">
            <v>2408.3748860000001</v>
          </cell>
          <cell r="AN45">
            <v>2435.0886399999999</v>
          </cell>
          <cell r="AO45">
            <v>2461.9291360000002</v>
          </cell>
          <cell r="AP45">
            <v>2488.8975070000001</v>
          </cell>
          <cell r="AQ45">
            <v>2515.9976569999999</v>
          </cell>
          <cell r="AR45">
            <v>2543.235768</v>
          </cell>
          <cell r="AS45">
            <v>2570.6198629999999</v>
          </cell>
          <cell r="AT45">
            <v>2598.1593819999998</v>
          </cell>
          <cell r="AU45">
            <v>2625.8647919999999</v>
          </cell>
          <cell r="AV45">
            <v>2653.7513990000002</v>
          </cell>
          <cell r="AW45">
            <v>2681.8330970000002</v>
          </cell>
          <cell r="AX45">
            <v>2710.123036</v>
          </cell>
          <cell r="AY45">
            <v>2738.633996</v>
          </cell>
          <cell r="AZ45">
            <v>2767.3784529999998</v>
          </cell>
          <cell r="BA45">
            <v>2796.3685439999999</v>
          </cell>
          <cell r="BB45">
            <v>2825.616039</v>
          </cell>
          <cell r="BC45">
            <v>2855.132341</v>
          </cell>
          <cell r="BD45">
            <v>2884.928508</v>
          </cell>
          <cell r="BE45">
            <v>2915.0152739999999</v>
          </cell>
        </row>
        <row r="46">
          <cell r="B46">
            <v>533.56214620000003</v>
          </cell>
          <cell r="C46">
            <v>538.41624249999995</v>
          </cell>
          <cell r="D46">
            <v>543.02049420000003</v>
          </cell>
          <cell r="E46">
            <v>547.47304059999999</v>
          </cell>
          <cell r="F46">
            <v>551.84317959999998</v>
          </cell>
          <cell r="G46">
            <v>556.18794649999995</v>
          </cell>
          <cell r="H46">
            <v>560.53179929999999</v>
          </cell>
          <cell r="I46">
            <v>564.90148599999998</v>
          </cell>
          <cell r="J46">
            <v>569.32378089999997</v>
          </cell>
          <cell r="K46">
            <v>573.82224740000004</v>
          </cell>
          <cell r="L46">
            <v>578.45237129999998</v>
          </cell>
          <cell r="M46">
            <v>583.21073269999999</v>
          </cell>
          <cell r="N46">
            <v>588.09554170000001</v>
          </cell>
          <cell r="O46">
            <v>593.1076114</v>
          </cell>
          <cell r="P46">
            <v>598.24795440000003</v>
          </cell>
          <cell r="Q46">
            <v>603.51694640000005</v>
          </cell>
          <cell r="R46">
            <v>608.9107894</v>
          </cell>
          <cell r="S46">
            <v>614.42717730000004</v>
          </cell>
          <cell r="T46">
            <v>620.06463289999999</v>
          </cell>
          <cell r="U46">
            <v>625.82209469999998</v>
          </cell>
          <cell r="V46">
            <v>631.67277650000005</v>
          </cell>
          <cell r="W46">
            <v>637.62659989999997</v>
          </cell>
          <cell r="X46">
            <v>643.69110769999998</v>
          </cell>
          <cell r="Y46">
            <v>649.87072680000006</v>
          </cell>
          <cell r="Z46">
            <v>656.16845149999995</v>
          </cell>
          <cell r="AA46">
            <v>662.51277870000001</v>
          </cell>
          <cell r="AB46">
            <v>668.90165320000006</v>
          </cell>
          <cell r="AC46">
            <v>675.33787600000005</v>
          </cell>
          <cell r="AD46">
            <v>681.82399989999999</v>
          </cell>
          <cell r="AE46">
            <v>688.36284290000003</v>
          </cell>
          <cell r="AF46">
            <v>694.95779530000004</v>
          </cell>
          <cell r="AG46">
            <v>701.61365839999996</v>
          </cell>
          <cell r="AH46">
            <v>708.33533839999996</v>
          </cell>
          <cell r="AI46">
            <v>715.12787890000004</v>
          </cell>
          <cell r="AJ46">
            <v>721.99642170000004</v>
          </cell>
          <cell r="AK46">
            <v>728.94610669999997</v>
          </cell>
          <cell r="AL46">
            <v>735.97146459999999</v>
          </cell>
          <cell r="AM46">
            <v>743.06977400000005</v>
          </cell>
          <cell r="AN46">
            <v>750.2410142</v>
          </cell>
          <cell r="AO46">
            <v>757.48676650000004</v>
          </cell>
          <cell r="AP46">
            <v>764.80949680000003</v>
          </cell>
          <cell r="AQ46">
            <v>772.21324549999997</v>
          </cell>
          <cell r="AR46">
            <v>779.70172109999999</v>
          </cell>
          <cell r="AS46">
            <v>787.27842650000002</v>
          </cell>
          <cell r="AT46">
            <v>794.94673839999996</v>
          </cell>
          <cell r="AU46">
            <v>802.70990200000006</v>
          </cell>
          <cell r="AV46">
            <v>810.57629180000004</v>
          </cell>
          <cell r="AW46">
            <v>818.5516993</v>
          </cell>
          <cell r="AX46">
            <v>826.64043830000003</v>
          </cell>
          <cell r="AY46">
            <v>834.84612600000003</v>
          </cell>
          <cell r="AZ46">
            <v>843.17196239999998</v>
          </cell>
          <cell r="BA46">
            <v>851.62311599999998</v>
          </cell>
          <cell r="BB46">
            <v>860.20323580000002</v>
          </cell>
          <cell r="BC46">
            <v>868.91506890000005</v>
          </cell>
          <cell r="BD46">
            <v>877.76088719999996</v>
          </cell>
          <cell r="BE46">
            <v>886.74267420000001</v>
          </cell>
        </row>
        <row r="47">
          <cell r="B47">
            <v>534.41030230000001</v>
          </cell>
          <cell r="C47">
            <v>540.57482110000001</v>
          </cell>
          <cell r="D47">
            <v>546.73872779999999</v>
          </cell>
          <cell r="E47">
            <v>552.90613189999999</v>
          </cell>
          <cell r="F47">
            <v>559.09678580000002</v>
          </cell>
          <cell r="G47">
            <v>565.33982270000001</v>
          </cell>
          <cell r="H47">
            <v>571.64426060000005</v>
          </cell>
          <cell r="I47">
            <v>578.02510210000003</v>
          </cell>
          <cell r="J47">
            <v>584.49838669999997</v>
          </cell>
          <cell r="K47">
            <v>591.07767899999999</v>
          </cell>
          <cell r="L47">
            <v>597.81247440000004</v>
          </cell>
          <cell r="M47">
            <v>604.69444399999998</v>
          </cell>
          <cell r="N47">
            <v>611.71704829999999</v>
          </cell>
          <cell r="O47">
            <v>618.87722680000002</v>
          </cell>
          <cell r="P47">
            <v>626.17335709999998</v>
          </cell>
          <cell r="Q47">
            <v>633.60424690000002</v>
          </cell>
          <cell r="R47">
            <v>641.16884600000003</v>
          </cell>
          <cell r="S47">
            <v>648.86624470000004</v>
          </cell>
          <cell r="T47">
            <v>656.69574839999996</v>
          </cell>
          <cell r="U47">
            <v>664.65695219999998</v>
          </cell>
          <cell r="V47">
            <v>672.72096139999996</v>
          </cell>
          <cell r="W47">
            <v>680.89951610000003</v>
          </cell>
          <cell r="X47">
            <v>689.20156729999997</v>
          </cell>
          <cell r="Y47">
            <v>697.63260660000003</v>
          </cell>
          <cell r="Z47">
            <v>706.19653300000004</v>
          </cell>
          <cell r="AA47">
            <v>714.81373940000003</v>
          </cell>
          <cell r="AB47">
            <v>723.48095530000001</v>
          </cell>
          <cell r="AC47">
            <v>732.20076740000002</v>
          </cell>
          <cell r="AD47">
            <v>740.97574139999995</v>
          </cell>
          <cell r="AE47">
            <v>749.8087458</v>
          </cell>
          <cell r="AF47">
            <v>758.70334430000003</v>
          </cell>
          <cell r="AG47">
            <v>767.66384129999994</v>
          </cell>
          <cell r="AH47">
            <v>776.69513749999999</v>
          </cell>
          <cell r="AI47">
            <v>785.80252670000004</v>
          </cell>
          <cell r="AJ47">
            <v>794.99150099999997</v>
          </cell>
          <cell r="AK47">
            <v>804.26758989999996</v>
          </cell>
          <cell r="AL47">
            <v>813.61640609999995</v>
          </cell>
          <cell r="AM47">
            <v>823.03114270000003</v>
          </cell>
          <cell r="AN47">
            <v>832.51031709999995</v>
          </cell>
          <cell r="AO47">
            <v>842.05518529999995</v>
          </cell>
          <cell r="AP47">
            <v>851.66847380000002</v>
          </cell>
          <cell r="AQ47">
            <v>861.35380039999995</v>
          </cell>
          <cell r="AR47">
            <v>871.1153716</v>
          </cell>
          <cell r="AS47">
            <v>880.95778410000003</v>
          </cell>
          <cell r="AT47">
            <v>890.88586299999997</v>
          </cell>
          <cell r="AU47">
            <v>900.90449799999999</v>
          </cell>
          <cell r="AV47">
            <v>911.02015289999997</v>
          </cell>
          <cell r="AW47">
            <v>921.23739639999997</v>
          </cell>
          <cell r="AX47">
            <v>931.55853869999999</v>
          </cell>
          <cell r="AY47">
            <v>941.98693089999995</v>
          </cell>
          <cell r="AZ47">
            <v>952.52775440000005</v>
          </cell>
          <cell r="BA47">
            <v>963.18710350000003</v>
          </cell>
          <cell r="BB47">
            <v>973.97106810000002</v>
          </cell>
          <cell r="BC47">
            <v>984.88528580000002</v>
          </cell>
          <cell r="BD47">
            <v>995.93485390000001</v>
          </cell>
          <cell r="BE47">
            <v>1007.124412</v>
          </cell>
        </row>
        <row r="48">
          <cell r="B48">
            <v>333.16250910000002</v>
          </cell>
          <cell r="C48">
            <v>336.20120459999998</v>
          </cell>
          <cell r="D48">
            <v>339.0893398</v>
          </cell>
          <cell r="E48">
            <v>341.88728229999998</v>
          </cell>
          <cell r="F48">
            <v>344.6366405</v>
          </cell>
          <cell r="G48">
            <v>347.3711821</v>
          </cell>
          <cell r="H48">
            <v>350.10453999999999</v>
          </cell>
          <cell r="I48">
            <v>352.85211459999999</v>
          </cell>
          <cell r="J48">
            <v>355.62966180000001</v>
          </cell>
          <cell r="K48">
            <v>358.45122830000003</v>
          </cell>
          <cell r="L48">
            <v>361.35095360000003</v>
          </cell>
          <cell r="M48">
            <v>364.32643910000002</v>
          </cell>
          <cell r="N48">
            <v>367.3765181</v>
          </cell>
          <cell r="O48">
            <v>370.5018063</v>
          </cell>
          <cell r="P48">
            <v>373.70315549999998</v>
          </cell>
          <cell r="Q48">
            <v>376.98109929999998</v>
          </cell>
          <cell r="R48">
            <v>380.33362699999998</v>
          </cell>
          <cell r="S48">
            <v>383.75970039999999</v>
          </cell>
          <cell r="T48">
            <v>387.25881959999998</v>
          </cell>
          <cell r="U48">
            <v>390.83074779999998</v>
          </cell>
          <cell r="V48">
            <v>394.45925110000002</v>
          </cell>
          <cell r="W48">
            <v>398.1509403</v>
          </cell>
          <cell r="X48">
            <v>401.91088000000002</v>
          </cell>
          <cell r="Y48">
            <v>405.74213939999999</v>
          </cell>
          <cell r="Z48">
            <v>409.64684929999999</v>
          </cell>
          <cell r="AA48">
            <v>413.58081779999998</v>
          </cell>
          <cell r="AB48">
            <v>417.543114</v>
          </cell>
          <cell r="AC48">
            <v>421.535753</v>
          </cell>
          <cell r="AD48">
            <v>425.56051760000003</v>
          </cell>
          <cell r="AE48">
            <v>429.61929240000001</v>
          </cell>
          <cell r="AF48">
            <v>433.71426730000002</v>
          </cell>
          <cell r="AG48">
            <v>437.84847000000002</v>
          </cell>
          <cell r="AH48">
            <v>442.02495740000001</v>
          </cell>
          <cell r="AI48">
            <v>446.24684230000003</v>
          </cell>
          <cell r="AJ48">
            <v>450.51727549999998</v>
          </cell>
          <cell r="AK48">
            <v>454.83938979999999</v>
          </cell>
          <cell r="AL48">
            <v>459.2097349</v>
          </cell>
          <cell r="AM48">
            <v>463.62658169999997</v>
          </cell>
          <cell r="AN48">
            <v>468.08987409999997</v>
          </cell>
          <cell r="AO48">
            <v>472.60054480000002</v>
          </cell>
          <cell r="AP48">
            <v>477.16007430000002</v>
          </cell>
          <cell r="AQ48">
            <v>481.7709299</v>
          </cell>
          <cell r="AR48">
            <v>486.4353787</v>
          </cell>
          <cell r="AS48">
            <v>491.15556889999999</v>
          </cell>
          <cell r="AT48">
            <v>495.93357950000001</v>
          </cell>
          <cell r="AU48">
            <v>500.77141840000002</v>
          </cell>
          <cell r="AV48">
            <v>505.6743027</v>
          </cell>
          <cell r="AW48">
            <v>510.64584350000001</v>
          </cell>
          <cell r="AX48">
            <v>515.68873129999997</v>
          </cell>
          <cell r="AY48">
            <v>520.80522499999995</v>
          </cell>
          <cell r="AZ48">
            <v>525.9973301</v>
          </cell>
          <cell r="BA48">
            <v>531.26829039999996</v>
          </cell>
          <cell r="BB48">
            <v>536.62040830000001</v>
          </cell>
          <cell r="BC48">
            <v>542.05542409999998</v>
          </cell>
          <cell r="BD48">
            <v>547.57478249999997</v>
          </cell>
          <cell r="BE48">
            <v>553.17974960000004</v>
          </cell>
        </row>
        <row r="49">
          <cell r="B49">
            <v>333.68970439999998</v>
          </cell>
          <cell r="C49">
            <v>337.54032910000001</v>
          </cell>
          <cell r="D49">
            <v>341.39183150000002</v>
          </cell>
          <cell r="E49">
            <v>345.2464736</v>
          </cell>
          <cell r="F49">
            <v>349.1159237</v>
          </cell>
          <cell r="G49">
            <v>353.01756089999998</v>
          </cell>
          <cell r="H49">
            <v>356.95628729999999</v>
          </cell>
          <cell r="I49">
            <v>360.94089109999999</v>
          </cell>
          <cell r="J49">
            <v>364.98097139999999</v>
          </cell>
          <cell r="K49">
            <v>369.08473409999999</v>
          </cell>
          <cell r="L49">
            <v>373.28284430000002</v>
          </cell>
          <cell r="M49">
            <v>377.57003379999998</v>
          </cell>
          <cell r="N49">
            <v>381.94227949999998</v>
          </cell>
          <cell r="O49">
            <v>386.39781670000002</v>
          </cell>
          <cell r="P49">
            <v>390.93583410000002</v>
          </cell>
          <cell r="Q49">
            <v>395.55582459999999</v>
          </cell>
          <cell r="R49">
            <v>400.25739129999999</v>
          </cell>
          <cell r="S49">
            <v>405.04023619999998</v>
          </cell>
          <cell r="T49">
            <v>409.90419800000001</v>
          </cell>
          <cell r="U49">
            <v>414.84929019999998</v>
          </cell>
          <cell r="V49">
            <v>419.8578172</v>
          </cell>
          <cell r="W49">
            <v>424.9373698</v>
          </cell>
          <cell r="X49">
            <v>430.09374819999999</v>
          </cell>
          <cell r="Y49">
            <v>435.33055689999998</v>
          </cell>
          <cell r="Z49">
            <v>440.65037769999998</v>
          </cell>
          <cell r="AA49">
            <v>446.00389999999999</v>
          </cell>
          <cell r="AB49">
            <v>451.38937249999998</v>
          </cell>
          <cell r="AC49">
            <v>456.80863399999998</v>
          </cell>
          <cell r="AD49">
            <v>462.26345300000003</v>
          </cell>
          <cell r="AE49">
            <v>467.7557405</v>
          </cell>
          <cell r="AF49">
            <v>473.28780419999998</v>
          </cell>
          <cell r="AG49">
            <v>478.8623824</v>
          </cell>
          <cell r="AH49">
            <v>484.48255920000003</v>
          </cell>
          <cell r="AI49">
            <v>490.15164240000001</v>
          </cell>
          <cell r="AJ49">
            <v>495.87304619999998</v>
          </cell>
          <cell r="AK49">
            <v>501.65019590000003</v>
          </cell>
          <cell r="AL49">
            <v>507.47413770000003</v>
          </cell>
          <cell r="AM49">
            <v>513.34066170000006</v>
          </cell>
          <cell r="AN49">
            <v>519.24887939999996</v>
          </cell>
          <cell r="AO49">
            <v>525.19960490000005</v>
          </cell>
          <cell r="AP49">
            <v>531.19456339999999</v>
          </cell>
          <cell r="AQ49">
            <v>537.23603149999997</v>
          </cell>
          <cell r="AR49">
            <v>543.32664999999997</v>
          </cell>
          <cell r="AS49">
            <v>549.46930139999995</v>
          </cell>
          <cell r="AT49">
            <v>555.66700960000003</v>
          </cell>
          <cell r="AU49">
            <v>561.9228372</v>
          </cell>
          <cell r="AV49">
            <v>568.2408236</v>
          </cell>
          <cell r="AW49">
            <v>574.62382279999997</v>
          </cell>
          <cell r="AX49">
            <v>581.07327840000005</v>
          </cell>
          <cell r="AY49">
            <v>587.59128199999998</v>
          </cell>
          <cell r="AZ49">
            <v>594.18106669999997</v>
          </cell>
          <cell r="BA49">
            <v>600.84643349999999</v>
          </cell>
          <cell r="BB49">
            <v>607.59117879999997</v>
          </cell>
          <cell r="BC49">
            <v>614.418814</v>
          </cell>
          <cell r="BD49">
            <v>621.33250899999996</v>
          </cell>
          <cell r="BE49">
            <v>628.3351437</v>
          </cell>
        </row>
        <row r="50">
          <cell r="B50">
            <v>27505.436549999999</v>
          </cell>
          <cell r="C50">
            <v>27773.514230000001</v>
          </cell>
          <cell r="D50">
            <v>28023.986059999999</v>
          </cell>
          <cell r="E50">
            <v>28259.858700000001</v>
          </cell>
          <cell r="F50">
            <v>28484.66905</v>
          </cell>
          <cell r="G50">
            <v>28701.9018</v>
          </cell>
          <cell r="H50">
            <v>28913.60182</v>
          </cell>
          <cell r="I50">
            <v>29121.536469999999</v>
          </cell>
          <cell r="J50">
            <v>29327.329030000001</v>
          </cell>
          <cell r="K50">
            <v>29532.377110000001</v>
          </cell>
          <cell r="L50">
            <v>29739.215179999999</v>
          </cell>
          <cell r="M50">
            <v>29948.04018</v>
          </cell>
          <cell r="N50">
            <v>30158.846010000001</v>
          </cell>
          <cell r="O50">
            <v>30371.601859999999</v>
          </cell>
          <cell r="P50">
            <v>30586.23431</v>
          </cell>
          <cell r="Q50">
            <v>30802.6286</v>
          </cell>
          <cell r="R50">
            <v>31020.534309999999</v>
          </cell>
          <cell r="S50">
            <v>31239.755690000002</v>
          </cell>
          <cell r="T50">
            <v>31460.15264</v>
          </cell>
          <cell r="U50">
            <v>31681.638169999998</v>
          </cell>
          <cell r="V50">
            <v>31903.144830000001</v>
          </cell>
          <cell r="W50">
            <v>32125.026689999999</v>
          </cell>
          <cell r="X50">
            <v>32347.67411</v>
          </cell>
          <cell r="Y50">
            <v>32571.416450000001</v>
          </cell>
          <cell r="Z50">
            <v>32796.564810000003</v>
          </cell>
          <cell r="AA50">
            <v>33020.515019999999</v>
          </cell>
          <cell r="AB50">
            <v>33243.194199999998</v>
          </cell>
          <cell r="AC50">
            <v>33464.892780000002</v>
          </cell>
          <cell r="AD50">
            <v>33685.979379999997</v>
          </cell>
          <cell r="AE50">
            <v>33906.880850000001</v>
          </cell>
          <cell r="AF50">
            <v>34128.080390000003</v>
          </cell>
          <cell r="AG50">
            <v>34350.13321</v>
          </cell>
          <cell r="AH50">
            <v>34573.61737</v>
          </cell>
          <cell r="AI50">
            <v>34799.123679999997</v>
          </cell>
          <cell r="AJ50">
            <v>35027.245309999998</v>
          </cell>
          <cell r="AK50">
            <v>35258.566319999998</v>
          </cell>
          <cell r="AL50">
            <v>35493.186719999998</v>
          </cell>
          <cell r="AM50">
            <v>35731.283940000001</v>
          </cell>
          <cell r="AN50">
            <v>35973.131809999999</v>
          </cell>
          <cell r="AO50">
            <v>36219.054129999997</v>
          </cell>
          <cell r="AP50">
            <v>36469.390090000001</v>
          </cell>
          <cell r="AQ50">
            <v>36724.508450000001</v>
          </cell>
          <cell r="AR50">
            <v>36984.746829999996</v>
          </cell>
          <cell r="AS50">
            <v>37250.411099999998</v>
          </cell>
          <cell r="AT50">
            <v>37521.776539999999</v>
          </cell>
          <cell r="AU50">
            <v>37799.088839999997</v>
          </cell>
          <cell r="AV50">
            <v>38082.770579999997</v>
          </cell>
          <cell r="AW50">
            <v>38373.204389999999</v>
          </cell>
          <cell r="AX50">
            <v>38670.757669999999</v>
          </cell>
          <cell r="AY50">
            <v>38975.790780000003</v>
          </cell>
          <cell r="AZ50">
            <v>39288.647640000003</v>
          </cell>
          <cell r="BA50">
            <v>39609.716710000001</v>
          </cell>
          <cell r="BB50">
            <v>39939.321380000001</v>
          </cell>
          <cell r="BC50">
            <v>40277.732109999997</v>
          </cell>
          <cell r="BD50">
            <v>40625.179730000003</v>
          </cell>
          <cell r="BE50">
            <v>40981.86447</v>
          </cell>
        </row>
        <row r="51">
          <cell r="B51">
            <v>27532.502830000001</v>
          </cell>
          <cell r="C51">
            <v>27844.588810000001</v>
          </cell>
          <cell r="D51">
            <v>28148.805400000001</v>
          </cell>
          <cell r="E51">
            <v>28444.014080000001</v>
          </cell>
          <cell r="F51">
            <v>28730.94656</v>
          </cell>
          <cell r="G51">
            <v>29011.463469999999</v>
          </cell>
          <cell r="H51">
            <v>29286.907510000001</v>
          </cell>
          <cell r="I51">
            <v>29558.713479999999</v>
          </cell>
          <cell r="J51">
            <v>29828.150160000001</v>
          </cell>
          <cell r="K51">
            <v>30096.190869999999</v>
          </cell>
          <cell r="L51">
            <v>30365.051530000001</v>
          </cell>
          <cell r="M51">
            <v>30634.734359999999</v>
          </cell>
          <cell r="N51">
            <v>30905.128809999998</v>
          </cell>
          <cell r="O51">
            <v>31176.203819999999</v>
          </cell>
          <cell r="P51">
            <v>31447.97942</v>
          </cell>
          <cell r="Q51">
            <v>31720.5062</v>
          </cell>
          <cell r="R51">
            <v>31993.862229999999</v>
          </cell>
          <cell r="S51">
            <v>32268.157139999999</v>
          </cell>
          <cell r="T51">
            <v>32543.537130000001</v>
          </cell>
          <cell r="U51">
            <v>32820.18823</v>
          </cell>
          <cell r="V51">
            <v>33097.237889999997</v>
          </cell>
          <cell r="W51">
            <v>33375.30197</v>
          </cell>
          <cell r="X51">
            <v>33655.008609999997</v>
          </cell>
          <cell r="Y51">
            <v>33936.897190000003</v>
          </cell>
          <cell r="Z51">
            <v>34221.461620000002</v>
          </cell>
          <cell r="AA51">
            <v>34506.045080000004</v>
          </cell>
          <cell r="AB51">
            <v>34790.625370000002</v>
          </cell>
          <cell r="AC51">
            <v>35075.555189999999</v>
          </cell>
          <cell r="AD51">
            <v>35361.258430000002</v>
          </cell>
          <cell r="AE51">
            <v>35648.206590000002</v>
          </cell>
          <cell r="AF51">
            <v>35936.914850000001</v>
          </cell>
          <cell r="AG51">
            <v>36227.93028</v>
          </cell>
          <cell r="AH51">
            <v>36521.815629999997</v>
          </cell>
          <cell r="AI51">
            <v>36819.133179999997</v>
          </cell>
          <cell r="AJ51">
            <v>37120.430890000003</v>
          </cell>
          <cell r="AK51">
            <v>37426.231780000002</v>
          </cell>
          <cell r="AL51">
            <v>37736.286160000003</v>
          </cell>
          <cell r="AM51">
            <v>38050.535159999999</v>
          </cell>
          <cell r="AN51">
            <v>38369.092510000002</v>
          </cell>
          <cell r="AO51">
            <v>38692.165650000003</v>
          </cell>
          <cell r="AP51">
            <v>39020.010390000003</v>
          </cell>
          <cell r="AQ51">
            <v>39352.907529999997</v>
          </cell>
          <cell r="AR51">
            <v>39691.149169999997</v>
          </cell>
          <cell r="AS51">
            <v>40035.029179999998</v>
          </cell>
          <cell r="AT51">
            <v>40384.834280000003</v>
          </cell>
          <cell r="AU51">
            <v>40740.831660000003</v>
          </cell>
          <cell r="AV51">
            <v>41103.301319999999</v>
          </cell>
          <cell r="AW51">
            <v>41472.453569999998</v>
          </cell>
          <cell r="AX51">
            <v>41848.424500000001</v>
          </cell>
          <cell r="AY51">
            <v>42231.374040000002</v>
          </cell>
          <cell r="AZ51">
            <v>42621.512190000001</v>
          </cell>
          <cell r="BA51">
            <v>43019.068160000003</v>
          </cell>
          <cell r="BB51">
            <v>43424.258249999999</v>
          </cell>
          <cell r="BC51">
            <v>43837.27089</v>
          </cell>
          <cell r="BD51">
            <v>44258.266040000002</v>
          </cell>
          <cell r="BE51">
            <v>44687.381309999997</v>
          </cell>
        </row>
        <row r="52">
          <cell r="B52">
            <v>548.17948860000001</v>
          </cell>
          <cell r="C52">
            <v>553.52223900000001</v>
          </cell>
          <cell r="D52">
            <v>558.51410750000002</v>
          </cell>
          <cell r="E52">
            <v>563.21501599999999</v>
          </cell>
          <cell r="F52">
            <v>567.69545479999999</v>
          </cell>
          <cell r="G52">
            <v>572.02487289999999</v>
          </cell>
          <cell r="H52">
            <v>576.24402469999995</v>
          </cell>
          <cell r="I52">
            <v>580.38813300000004</v>
          </cell>
          <cell r="J52">
            <v>584.4895497</v>
          </cell>
          <cell r="K52">
            <v>588.57612919999997</v>
          </cell>
          <cell r="L52">
            <v>592.69838289999996</v>
          </cell>
          <cell r="M52">
            <v>596.86023580000005</v>
          </cell>
          <cell r="N52">
            <v>601.06156639999995</v>
          </cell>
          <cell r="O52">
            <v>605.30176080000001</v>
          </cell>
          <cell r="P52">
            <v>609.57935540000005</v>
          </cell>
          <cell r="Q52">
            <v>613.89206309999997</v>
          </cell>
          <cell r="R52">
            <v>618.23489329999995</v>
          </cell>
          <cell r="S52">
            <v>622.60394480000002</v>
          </cell>
          <cell r="T52">
            <v>626.99642489999997</v>
          </cell>
          <cell r="U52">
            <v>631.41060040000002</v>
          </cell>
          <cell r="V52">
            <v>635.82519709999997</v>
          </cell>
          <cell r="W52">
            <v>640.24727150000001</v>
          </cell>
          <cell r="X52">
            <v>644.68460319999997</v>
          </cell>
          <cell r="Y52">
            <v>649.14375659999996</v>
          </cell>
          <cell r="Z52">
            <v>653.63093179999998</v>
          </cell>
          <cell r="AA52">
            <v>658.09422800000004</v>
          </cell>
          <cell r="AB52">
            <v>662.53219279999996</v>
          </cell>
          <cell r="AC52">
            <v>666.95061450000003</v>
          </cell>
          <cell r="AD52">
            <v>671.35683930000005</v>
          </cell>
          <cell r="AE52">
            <v>675.7593746</v>
          </cell>
          <cell r="AF52">
            <v>680.16785040000002</v>
          </cell>
          <cell r="AG52">
            <v>684.59333189999995</v>
          </cell>
          <cell r="AH52">
            <v>689.04733980000003</v>
          </cell>
          <cell r="AI52">
            <v>693.54164890000004</v>
          </cell>
          <cell r="AJ52">
            <v>698.08808099999999</v>
          </cell>
          <cell r="AK52">
            <v>702.69827620000001</v>
          </cell>
          <cell r="AL52">
            <v>707.37422790000005</v>
          </cell>
          <cell r="AM52">
            <v>712.11947210000005</v>
          </cell>
          <cell r="AN52">
            <v>716.93946619999997</v>
          </cell>
          <cell r="AO52">
            <v>721.84066350000001</v>
          </cell>
          <cell r="AP52">
            <v>726.82982400000003</v>
          </cell>
          <cell r="AQ52">
            <v>731.91429719999996</v>
          </cell>
          <cell r="AR52">
            <v>737.10081149999996</v>
          </cell>
          <cell r="AS52">
            <v>742.39546299999995</v>
          </cell>
          <cell r="AT52">
            <v>747.80373810000003</v>
          </cell>
          <cell r="AU52">
            <v>753.33053340000004</v>
          </cell>
          <cell r="AV52">
            <v>758.98427070000002</v>
          </cell>
          <cell r="AW52">
            <v>764.77257569999995</v>
          </cell>
          <cell r="AX52">
            <v>770.70277080000005</v>
          </cell>
          <cell r="AY52">
            <v>776.78203789999998</v>
          </cell>
          <cell r="AZ52">
            <v>783.01723119999997</v>
          </cell>
          <cell r="BA52">
            <v>789.41609270000004</v>
          </cell>
          <cell r="BB52">
            <v>795.98506740000005</v>
          </cell>
          <cell r="BC52">
            <v>802.72954560000005</v>
          </cell>
          <cell r="BD52">
            <v>809.65412800000001</v>
          </cell>
          <cell r="BE52">
            <v>816.76280480000003</v>
          </cell>
        </row>
        <row r="53">
          <cell r="B53">
            <v>548.71891570000003</v>
          </cell>
          <cell r="C53">
            <v>554.93874549999998</v>
          </cell>
          <cell r="D53">
            <v>561.00173930000005</v>
          </cell>
          <cell r="E53">
            <v>566.88520689999996</v>
          </cell>
          <cell r="F53">
            <v>572.60373100000004</v>
          </cell>
          <cell r="G53">
            <v>578.19439350000005</v>
          </cell>
          <cell r="H53">
            <v>583.68395459999999</v>
          </cell>
          <cell r="I53">
            <v>589.10100939999995</v>
          </cell>
          <cell r="J53">
            <v>594.47084470000004</v>
          </cell>
          <cell r="K53">
            <v>599.81285830000002</v>
          </cell>
          <cell r="L53">
            <v>605.17121359999999</v>
          </cell>
          <cell r="M53">
            <v>610.54595440000003</v>
          </cell>
          <cell r="N53">
            <v>615.93487779999998</v>
          </cell>
          <cell r="O53">
            <v>621.33736480000005</v>
          </cell>
          <cell r="P53">
            <v>626.75381440000001</v>
          </cell>
          <cell r="Q53">
            <v>632.18523489999995</v>
          </cell>
          <cell r="R53">
            <v>637.6331821</v>
          </cell>
          <cell r="S53">
            <v>643.09984120000001</v>
          </cell>
          <cell r="T53">
            <v>648.58812579999994</v>
          </cell>
          <cell r="U53">
            <v>654.10174329999995</v>
          </cell>
          <cell r="V53">
            <v>659.62330399999996</v>
          </cell>
          <cell r="W53">
            <v>665.16508220000003</v>
          </cell>
          <cell r="X53">
            <v>670.73959630000002</v>
          </cell>
          <cell r="Y53">
            <v>676.35759610000002</v>
          </cell>
          <cell r="Z53">
            <v>682.02892529999997</v>
          </cell>
          <cell r="AA53">
            <v>687.70063359999995</v>
          </cell>
          <cell r="AB53">
            <v>693.37227889999997</v>
          </cell>
          <cell r="AC53">
            <v>699.05089009999995</v>
          </cell>
          <cell r="AD53">
            <v>704.74491550000005</v>
          </cell>
          <cell r="AE53">
            <v>710.463752</v>
          </cell>
          <cell r="AF53">
            <v>716.21766720000005</v>
          </cell>
          <cell r="AG53">
            <v>722.01756379999995</v>
          </cell>
          <cell r="AH53">
            <v>727.87465750000001</v>
          </cell>
          <cell r="AI53">
            <v>733.80015460000004</v>
          </cell>
          <cell r="AJ53">
            <v>739.8049757</v>
          </cell>
          <cell r="AK53">
            <v>745.89954439999997</v>
          </cell>
          <cell r="AL53">
            <v>752.0788847</v>
          </cell>
          <cell r="AM53">
            <v>758.34182329999999</v>
          </cell>
          <cell r="AN53">
            <v>764.69062640000004</v>
          </cell>
          <cell r="AO53">
            <v>771.12942869999995</v>
          </cell>
          <cell r="AP53">
            <v>777.66332839999995</v>
          </cell>
          <cell r="AQ53">
            <v>784.29792169999996</v>
          </cell>
          <cell r="AR53">
            <v>791.03903000000003</v>
          </cell>
          <cell r="AS53">
            <v>797.89251030000003</v>
          </cell>
          <cell r="AT53">
            <v>804.86407699999995</v>
          </cell>
          <cell r="AU53">
            <v>811.95905470000002</v>
          </cell>
          <cell r="AV53">
            <v>819.18302419999998</v>
          </cell>
          <cell r="AW53">
            <v>826.54017669999996</v>
          </cell>
          <cell r="AX53">
            <v>834.03322449999996</v>
          </cell>
          <cell r="AY53">
            <v>841.66535520000002</v>
          </cell>
          <cell r="AZ53">
            <v>849.44075359999999</v>
          </cell>
          <cell r="BA53">
            <v>857.36398840000004</v>
          </cell>
          <cell r="BB53">
            <v>865.43936989999997</v>
          </cell>
          <cell r="BC53">
            <v>873.67065390000005</v>
          </cell>
          <cell r="BD53">
            <v>882.06102799999996</v>
          </cell>
          <cell r="BE53">
            <v>890.61323519999996</v>
          </cell>
        </row>
        <row r="54">
          <cell r="B54">
            <v>796.59688400000005</v>
          </cell>
          <cell r="C54">
            <v>804.36079789999997</v>
          </cell>
          <cell r="D54">
            <v>811.61482139999998</v>
          </cell>
          <cell r="E54">
            <v>818.44603119999999</v>
          </cell>
          <cell r="F54">
            <v>824.95686130000001</v>
          </cell>
          <cell r="G54">
            <v>831.24823309999999</v>
          </cell>
          <cell r="H54">
            <v>837.37936950000005</v>
          </cell>
          <cell r="I54">
            <v>843.40145500000006</v>
          </cell>
          <cell r="J54">
            <v>849.36150250000003</v>
          </cell>
          <cell r="K54">
            <v>855.29998899999998</v>
          </cell>
          <cell r="L54">
            <v>861.29031610000004</v>
          </cell>
          <cell r="M54">
            <v>867.3381875</v>
          </cell>
          <cell r="N54">
            <v>873.44342659999995</v>
          </cell>
          <cell r="O54">
            <v>879.60514139999998</v>
          </cell>
          <cell r="P54">
            <v>885.8212049</v>
          </cell>
          <cell r="Q54">
            <v>892.08829360000004</v>
          </cell>
          <cell r="R54">
            <v>898.39915550000001</v>
          </cell>
          <cell r="S54">
            <v>904.74812120000001</v>
          </cell>
          <cell r="T54">
            <v>911.13113269999997</v>
          </cell>
          <cell r="U54">
            <v>917.54567129999998</v>
          </cell>
          <cell r="V54">
            <v>923.96082190000004</v>
          </cell>
          <cell r="W54">
            <v>930.38683879999996</v>
          </cell>
          <cell r="X54">
            <v>936.83502720000001</v>
          </cell>
          <cell r="Y54">
            <v>943.31492619999995</v>
          </cell>
          <cell r="Z54">
            <v>949.83554549999997</v>
          </cell>
          <cell r="AA54">
            <v>956.32146469999998</v>
          </cell>
          <cell r="AB54">
            <v>962.77057300000001</v>
          </cell>
          <cell r="AC54">
            <v>969.191282</v>
          </cell>
          <cell r="AD54">
            <v>975.59426689999998</v>
          </cell>
          <cell r="AE54">
            <v>981.99189019999994</v>
          </cell>
          <cell r="AF54">
            <v>988.39814620000004</v>
          </cell>
          <cell r="AG54">
            <v>994.82911420000005</v>
          </cell>
          <cell r="AH54">
            <v>1001.3015360000001</v>
          </cell>
          <cell r="AI54">
            <v>1007.832522</v>
          </cell>
          <cell r="AJ54">
            <v>1014.439252</v>
          </cell>
          <cell r="AK54">
            <v>1021.13864</v>
          </cell>
          <cell r="AL54">
            <v>1027.933583</v>
          </cell>
          <cell r="AM54">
            <v>1034.8292200000001</v>
          </cell>
          <cell r="AN54">
            <v>1041.8334809999999</v>
          </cell>
          <cell r="AO54">
            <v>1048.9557440000001</v>
          </cell>
          <cell r="AP54">
            <v>1056.2058320000001</v>
          </cell>
          <cell r="AQ54">
            <v>1063.5944260000001</v>
          </cell>
          <cell r="AR54">
            <v>1071.1313029999999</v>
          </cell>
          <cell r="AS54">
            <v>1078.825321</v>
          </cell>
          <cell r="AT54">
            <v>1086.6844530000001</v>
          </cell>
          <cell r="AU54">
            <v>1094.715815</v>
          </cell>
          <cell r="AV54">
            <v>1102.9316449999999</v>
          </cell>
          <cell r="AW54">
            <v>1111.3430249999999</v>
          </cell>
          <cell r="AX54">
            <v>1119.9605939999999</v>
          </cell>
          <cell r="AY54">
            <v>1128.7947899999999</v>
          </cell>
          <cell r="AZ54">
            <v>1137.8555739999999</v>
          </cell>
          <cell r="BA54">
            <v>1147.154194</v>
          </cell>
          <cell r="BB54">
            <v>1156.700018</v>
          </cell>
          <cell r="BC54">
            <v>1166.5008780000001</v>
          </cell>
          <cell r="BD54">
            <v>1176.5634600000001</v>
          </cell>
          <cell r="BE54">
            <v>1186.8935610000001</v>
          </cell>
        </row>
        <row r="55">
          <cell r="B55">
            <v>797.38076220000005</v>
          </cell>
          <cell r="C55">
            <v>806.41921979999995</v>
          </cell>
          <cell r="D55">
            <v>815.22976830000005</v>
          </cell>
          <cell r="E55">
            <v>823.7794351</v>
          </cell>
          <cell r="F55">
            <v>832.08941119999997</v>
          </cell>
          <cell r="G55">
            <v>840.21358299999997</v>
          </cell>
          <cell r="H55">
            <v>848.19083750000004</v>
          </cell>
          <cell r="I55">
            <v>856.06272809999996</v>
          </cell>
          <cell r="J55">
            <v>863.86600080000005</v>
          </cell>
          <cell r="K55">
            <v>871.62884399999996</v>
          </cell>
          <cell r="L55">
            <v>879.41543430000002</v>
          </cell>
          <cell r="M55">
            <v>887.22583569999995</v>
          </cell>
          <cell r="N55">
            <v>895.05684670000005</v>
          </cell>
          <cell r="O55">
            <v>902.90756769999996</v>
          </cell>
          <cell r="P55">
            <v>910.77857889999996</v>
          </cell>
          <cell r="Q55">
            <v>918.67134529999998</v>
          </cell>
          <cell r="R55">
            <v>926.58812769999997</v>
          </cell>
          <cell r="S55">
            <v>934.53210179999996</v>
          </cell>
          <cell r="T55">
            <v>942.50750119999998</v>
          </cell>
          <cell r="U55">
            <v>950.51971379999998</v>
          </cell>
          <cell r="V55">
            <v>958.54346899999996</v>
          </cell>
          <cell r="W55">
            <v>966.59660359999998</v>
          </cell>
          <cell r="X55">
            <v>974.69730909999998</v>
          </cell>
          <cell r="Y55">
            <v>982.86120649999998</v>
          </cell>
          <cell r="Z55">
            <v>991.10260049999999</v>
          </cell>
          <cell r="AA55">
            <v>999.34454549999998</v>
          </cell>
          <cell r="AB55">
            <v>1007.586399</v>
          </cell>
          <cell r="AC55">
            <v>1015.838375</v>
          </cell>
          <cell r="AD55">
            <v>1024.11275</v>
          </cell>
          <cell r="AE55">
            <v>1032.42318</v>
          </cell>
          <cell r="AF55">
            <v>1040.784586</v>
          </cell>
          <cell r="AG55">
            <v>1049.21281</v>
          </cell>
          <cell r="AH55">
            <v>1057.7241509999999</v>
          </cell>
          <cell r="AI55">
            <v>1066.3348940000001</v>
          </cell>
          <cell r="AJ55">
            <v>1075.060907</v>
          </cell>
          <cell r="AK55">
            <v>1083.91734</v>
          </cell>
          <cell r="AL55">
            <v>1092.8969589999999</v>
          </cell>
          <cell r="AM55">
            <v>1101.998061</v>
          </cell>
          <cell r="AN55">
            <v>1111.2239380000001</v>
          </cell>
          <cell r="AO55">
            <v>1120.5806</v>
          </cell>
          <cell r="AP55">
            <v>1130.075454</v>
          </cell>
          <cell r="AQ55">
            <v>1139.7166319999999</v>
          </cell>
          <cell r="AR55">
            <v>1149.5125949999999</v>
          </cell>
          <cell r="AS55">
            <v>1159.471853</v>
          </cell>
          <cell r="AT55">
            <v>1169.602711</v>
          </cell>
          <cell r="AU55">
            <v>1179.9129049999999</v>
          </cell>
          <cell r="AV55">
            <v>1190.4105460000001</v>
          </cell>
          <cell r="AW55">
            <v>1201.101725</v>
          </cell>
          <cell r="AX55">
            <v>1211.990382</v>
          </cell>
          <cell r="AY55">
            <v>1223.08115</v>
          </cell>
          <cell r="AZ55">
            <v>1234.3801100000001</v>
          </cell>
          <cell r="BA55">
            <v>1245.8939009999999</v>
          </cell>
          <cell r="BB55">
            <v>1257.6287870000001</v>
          </cell>
          <cell r="BC55">
            <v>1269.590226</v>
          </cell>
          <cell r="BD55">
            <v>1281.7828489999999</v>
          </cell>
          <cell r="BE55">
            <v>1294.210642</v>
          </cell>
        </row>
        <row r="56">
          <cell r="B56">
            <v>723.71278180000002</v>
          </cell>
          <cell r="C56">
            <v>730.76634160000003</v>
          </cell>
          <cell r="D56">
            <v>737.35666309999999</v>
          </cell>
          <cell r="E56">
            <v>743.56285579999997</v>
          </cell>
          <cell r="F56">
            <v>749.47798190000003</v>
          </cell>
          <cell r="G56">
            <v>755.19372880000003</v>
          </cell>
          <cell r="H56">
            <v>760.76390100000003</v>
          </cell>
          <cell r="I56">
            <v>766.2349997</v>
          </cell>
          <cell r="J56">
            <v>771.64973659999998</v>
          </cell>
          <cell r="K56">
            <v>777.04488530000003</v>
          </cell>
          <cell r="L56">
            <v>782.48713129999999</v>
          </cell>
          <cell r="M56">
            <v>787.9816568</v>
          </cell>
          <cell r="N56">
            <v>793.52830110000002</v>
          </cell>
          <cell r="O56">
            <v>799.12625390000005</v>
          </cell>
          <cell r="P56">
            <v>804.77358279999999</v>
          </cell>
          <cell r="Q56">
            <v>810.46726839999997</v>
          </cell>
          <cell r="R56">
            <v>816.20072210000001</v>
          </cell>
          <cell r="S56">
            <v>821.96879349999995</v>
          </cell>
          <cell r="T56">
            <v>827.7677956</v>
          </cell>
          <cell r="U56">
            <v>833.59544029999995</v>
          </cell>
          <cell r="V56">
            <v>839.42364090000001</v>
          </cell>
          <cell r="W56">
            <v>845.26171369999997</v>
          </cell>
          <cell r="X56">
            <v>851.11992940000005</v>
          </cell>
          <cell r="Y56">
            <v>857.00695429999996</v>
          </cell>
          <cell r="Z56">
            <v>862.93097379999995</v>
          </cell>
          <cell r="AA56">
            <v>868.82346819999998</v>
          </cell>
          <cell r="AB56">
            <v>874.68251969999994</v>
          </cell>
          <cell r="AC56">
            <v>880.51577020000002</v>
          </cell>
          <cell r="AD56">
            <v>886.33291819999999</v>
          </cell>
          <cell r="AE56">
            <v>892.14519519999999</v>
          </cell>
          <cell r="AF56">
            <v>897.96531500000003</v>
          </cell>
          <cell r="AG56">
            <v>903.80788589999997</v>
          </cell>
          <cell r="AH56">
            <v>909.68811770000002</v>
          </cell>
          <cell r="AI56">
            <v>915.62155559999997</v>
          </cell>
          <cell r="AJ56">
            <v>921.62380680000001</v>
          </cell>
          <cell r="AK56">
            <v>927.71023879999996</v>
          </cell>
          <cell r="AL56">
            <v>933.88348329999997</v>
          </cell>
          <cell r="AM56">
            <v>940.14820850000001</v>
          </cell>
          <cell r="AN56">
            <v>946.51161950000005</v>
          </cell>
          <cell r="AO56">
            <v>952.98223570000005</v>
          </cell>
          <cell r="AP56">
            <v>959.56898209999997</v>
          </cell>
          <cell r="AQ56">
            <v>966.28156130000002</v>
          </cell>
          <cell r="AR56">
            <v>973.12885630000005</v>
          </cell>
          <cell r="AS56">
            <v>980.11891530000003</v>
          </cell>
          <cell r="AT56">
            <v>987.2589815</v>
          </cell>
          <cell r="AU56">
            <v>994.55551930000001</v>
          </cell>
          <cell r="AV56">
            <v>1002.019647</v>
          </cell>
          <cell r="AW56">
            <v>1009.661433</v>
          </cell>
          <cell r="AX56">
            <v>1017.490544</v>
          </cell>
          <cell r="AY56">
            <v>1025.516462</v>
          </cell>
          <cell r="AZ56">
            <v>1033.748235</v>
          </cell>
          <cell r="BA56">
            <v>1042.1960839999999</v>
          </cell>
          <cell r="BB56">
            <v>1050.8685190000001</v>
          </cell>
          <cell r="BC56">
            <v>1059.7726560000001</v>
          </cell>
          <cell r="BD56">
            <v>1068.9145679999999</v>
          </cell>
          <cell r="BE56">
            <v>1078.299524</v>
          </cell>
        </row>
        <row r="57">
          <cell r="B57">
            <v>724.42493960000002</v>
          </cell>
          <cell r="C57">
            <v>732.63642960000004</v>
          </cell>
          <cell r="D57">
            <v>740.64086280000004</v>
          </cell>
          <cell r="E57">
            <v>748.40828350000004</v>
          </cell>
          <cell r="F57">
            <v>755.95794379999995</v>
          </cell>
          <cell r="G57">
            <v>763.33879999999999</v>
          </cell>
          <cell r="H57">
            <v>770.58618079999997</v>
          </cell>
          <cell r="I57">
            <v>777.73783809999998</v>
          </cell>
          <cell r="J57">
            <v>784.8271555</v>
          </cell>
          <cell r="K57">
            <v>791.87974250000002</v>
          </cell>
          <cell r="L57">
            <v>798.95390399999997</v>
          </cell>
          <cell r="M57">
            <v>806.04969779999999</v>
          </cell>
          <cell r="N57">
            <v>813.1642157</v>
          </cell>
          <cell r="O57">
            <v>820.29664019999996</v>
          </cell>
          <cell r="P57">
            <v>827.44749850000005</v>
          </cell>
          <cell r="Q57">
            <v>834.61812139999995</v>
          </cell>
          <cell r="R57">
            <v>841.81056320000005</v>
          </cell>
          <cell r="S57">
            <v>849.02770859999998</v>
          </cell>
          <cell r="T57">
            <v>856.27340419999996</v>
          </cell>
          <cell r="U57">
            <v>863.55254460000003</v>
          </cell>
          <cell r="V57">
            <v>870.84217169999999</v>
          </cell>
          <cell r="W57">
            <v>878.15849009999999</v>
          </cell>
          <cell r="X57">
            <v>885.51802699999996</v>
          </cell>
          <cell r="Y57">
            <v>892.93497400000001</v>
          </cell>
          <cell r="Z57">
            <v>900.42232720000004</v>
          </cell>
          <cell r="AA57">
            <v>907.91018080000003</v>
          </cell>
          <cell r="AB57">
            <v>915.39795130000005</v>
          </cell>
          <cell r="AC57">
            <v>922.89491829999997</v>
          </cell>
          <cell r="AD57">
            <v>930.41223520000005</v>
          </cell>
          <cell r="AE57">
            <v>937.96230809999997</v>
          </cell>
          <cell r="AF57">
            <v>945.5586922</v>
          </cell>
          <cell r="AG57">
            <v>953.21578160000001</v>
          </cell>
          <cell r="AH57">
            <v>960.94838319999997</v>
          </cell>
          <cell r="AI57">
            <v>968.77129160000004</v>
          </cell>
          <cell r="AJ57">
            <v>976.69892460000005</v>
          </cell>
          <cell r="AK57">
            <v>984.74504339999999</v>
          </cell>
          <cell r="AL57">
            <v>992.90307849999999</v>
          </cell>
          <cell r="AM57">
            <v>1001.171481</v>
          </cell>
          <cell r="AN57">
            <v>1009.553243</v>
          </cell>
          <cell r="AO57">
            <v>1018.053823</v>
          </cell>
          <cell r="AP57">
            <v>1026.679952</v>
          </cell>
          <cell r="AQ57">
            <v>1035.4390169999999</v>
          </cell>
          <cell r="AR57">
            <v>1044.3387049999999</v>
          </cell>
          <cell r="AS57">
            <v>1053.386747</v>
          </cell>
          <cell r="AT57">
            <v>1062.590688</v>
          </cell>
          <cell r="AU57">
            <v>1071.9575589999999</v>
          </cell>
          <cell r="AV57">
            <v>1081.494725</v>
          </cell>
          <cell r="AW57">
            <v>1091.207721</v>
          </cell>
          <cell r="AX57">
            <v>1101.100128</v>
          </cell>
          <cell r="AY57">
            <v>1111.176154</v>
          </cell>
          <cell r="AZ57">
            <v>1121.441323</v>
          </cell>
          <cell r="BA57">
            <v>1131.9016670000001</v>
          </cell>
          <cell r="BB57">
            <v>1142.562878</v>
          </cell>
          <cell r="BC57">
            <v>1153.4299120000001</v>
          </cell>
          <cell r="BD57">
            <v>1164.506979</v>
          </cell>
          <cell r="BE57">
            <v>1175.7977000000001</v>
          </cell>
        </row>
        <row r="58">
          <cell r="B58">
            <v>1424.253993</v>
          </cell>
          <cell r="C58">
            <v>1438.1350970000001</v>
          </cell>
          <cell r="D58">
            <v>1451.10455</v>
          </cell>
          <cell r="E58">
            <v>1463.318047</v>
          </cell>
          <cell r="F58">
            <v>1474.9587349999999</v>
          </cell>
          <cell r="G58">
            <v>1486.2070550000001</v>
          </cell>
          <cell r="H58">
            <v>1497.1688939999999</v>
          </cell>
          <cell r="I58">
            <v>1507.9357649999999</v>
          </cell>
          <cell r="J58">
            <v>1518.591723</v>
          </cell>
          <cell r="K58">
            <v>1529.2091390000001</v>
          </cell>
          <cell r="L58">
            <v>1539.9192479999999</v>
          </cell>
          <cell r="M58">
            <v>1550.732248</v>
          </cell>
          <cell r="N58">
            <v>1561.647823</v>
          </cell>
          <cell r="O58">
            <v>1572.6643790000001</v>
          </cell>
          <cell r="P58">
            <v>1583.7781130000001</v>
          </cell>
          <cell r="Q58">
            <v>1594.9830810000001</v>
          </cell>
          <cell r="R58">
            <v>1606.2663190000001</v>
          </cell>
          <cell r="S58">
            <v>1617.6176889999999</v>
          </cell>
          <cell r="T58">
            <v>1629.029937</v>
          </cell>
          <cell r="U58">
            <v>1640.4985569999999</v>
          </cell>
          <cell r="V58">
            <v>1651.9682780000001</v>
          </cell>
          <cell r="W58">
            <v>1663.4574319999999</v>
          </cell>
          <cell r="X58">
            <v>1674.986232</v>
          </cell>
          <cell r="Y58">
            <v>1686.571733</v>
          </cell>
          <cell r="Z58">
            <v>1698.230043</v>
          </cell>
          <cell r="AA58">
            <v>1709.826317</v>
          </cell>
          <cell r="AB58">
            <v>1721.3567800000001</v>
          </cell>
          <cell r="AC58">
            <v>1732.836472</v>
          </cell>
          <cell r="AD58">
            <v>1744.284478</v>
          </cell>
          <cell r="AE58">
            <v>1755.722902</v>
          </cell>
          <cell r="AF58">
            <v>1767.176764</v>
          </cell>
          <cell r="AG58">
            <v>1778.6748130000001</v>
          </cell>
          <cell r="AH58">
            <v>1790.2469799999999</v>
          </cell>
          <cell r="AI58">
            <v>1801.923859</v>
          </cell>
          <cell r="AJ58">
            <v>1813.7361639999999</v>
          </cell>
          <cell r="AK58">
            <v>1825.7141369999999</v>
          </cell>
          <cell r="AL58">
            <v>1837.8629579999999</v>
          </cell>
          <cell r="AM58">
            <v>1850.1918129999999</v>
          </cell>
          <cell r="AN58">
            <v>1862.7148810000001</v>
          </cell>
          <cell r="AO58">
            <v>1875.44893</v>
          </cell>
          <cell r="AP58">
            <v>1888.411521</v>
          </cell>
          <cell r="AQ58">
            <v>1901.62175</v>
          </cell>
          <cell r="AR58">
            <v>1915.0970990000001</v>
          </cell>
          <cell r="AS58">
            <v>1928.8534050000001</v>
          </cell>
          <cell r="AT58">
            <v>1942.9049239999999</v>
          </cell>
          <cell r="AU58">
            <v>1957.2643760000001</v>
          </cell>
          <cell r="AV58">
            <v>1971.9536439999999</v>
          </cell>
          <cell r="AW58">
            <v>1986.9925390000001</v>
          </cell>
          <cell r="AX58">
            <v>2002.4000860000001</v>
          </cell>
          <cell r="AY58">
            <v>2018.194945</v>
          </cell>
          <cell r="AZ58">
            <v>2034.3949230000001</v>
          </cell>
          <cell r="BA58">
            <v>2051.020137</v>
          </cell>
          <cell r="BB58">
            <v>2068.087329</v>
          </cell>
          <cell r="BC58">
            <v>2085.6105069999999</v>
          </cell>
          <cell r="BD58">
            <v>2103.6016209999998</v>
          </cell>
          <cell r="BE58">
            <v>2122.0710410000002</v>
          </cell>
        </row>
        <row r="59">
          <cell r="B59">
            <v>1425.6555049999999</v>
          </cell>
          <cell r="C59">
            <v>1441.8153930000001</v>
          </cell>
          <cell r="D59">
            <v>1457.5677880000001</v>
          </cell>
          <cell r="E59">
            <v>1472.8537490000001</v>
          </cell>
          <cell r="F59">
            <v>1487.711166</v>
          </cell>
          <cell r="G59">
            <v>1502.2363869999999</v>
          </cell>
          <cell r="H59">
            <v>1516.498936</v>
          </cell>
          <cell r="I59">
            <v>1530.57311</v>
          </cell>
          <cell r="J59">
            <v>1544.5246079999999</v>
          </cell>
          <cell r="K59">
            <v>1558.4038270000001</v>
          </cell>
          <cell r="L59">
            <v>1572.3255099999999</v>
          </cell>
          <cell r="M59">
            <v>1586.2897720000001</v>
          </cell>
          <cell r="N59">
            <v>1600.29089</v>
          </cell>
          <cell r="O59">
            <v>1614.3272529999999</v>
          </cell>
          <cell r="P59">
            <v>1628.3998999999999</v>
          </cell>
          <cell r="Q59">
            <v>1642.51145</v>
          </cell>
          <cell r="R59">
            <v>1656.665945</v>
          </cell>
          <cell r="S59">
            <v>1670.8690630000001</v>
          </cell>
          <cell r="T59">
            <v>1685.1283719999999</v>
          </cell>
          <cell r="U59">
            <v>1699.4535060000001</v>
          </cell>
          <cell r="V59">
            <v>1713.7992830000001</v>
          </cell>
          <cell r="W59">
            <v>1728.1975930000001</v>
          </cell>
          <cell r="X59">
            <v>1742.680961</v>
          </cell>
          <cell r="Y59">
            <v>1757.277317</v>
          </cell>
          <cell r="Z59">
            <v>1772.0122349999999</v>
          </cell>
          <cell r="AA59">
            <v>1786.7481419999999</v>
          </cell>
          <cell r="AB59">
            <v>1801.4838910000001</v>
          </cell>
          <cell r="AC59">
            <v>1816.237742</v>
          </cell>
          <cell r="AD59">
            <v>1831.031645</v>
          </cell>
          <cell r="AE59">
            <v>1845.8900160000001</v>
          </cell>
          <cell r="AF59">
            <v>1860.8395290000001</v>
          </cell>
          <cell r="AG59">
            <v>1875.908512</v>
          </cell>
          <cell r="AH59">
            <v>1891.1261050000001</v>
          </cell>
          <cell r="AI59">
            <v>1906.5214229999999</v>
          </cell>
          <cell r="AJ59">
            <v>1922.12284</v>
          </cell>
          <cell r="AK59">
            <v>1937.957437</v>
          </cell>
          <cell r="AL59">
            <v>1954.012285</v>
          </cell>
          <cell r="AM59">
            <v>1970.2843359999999</v>
          </cell>
          <cell r="AN59">
            <v>1986.7794779999999</v>
          </cell>
          <cell r="AO59">
            <v>2003.508454</v>
          </cell>
          <cell r="AP59">
            <v>2020.484508</v>
          </cell>
          <cell r="AQ59">
            <v>2037.72218</v>
          </cell>
          <cell r="AR59">
            <v>2055.2365960000002</v>
          </cell>
          <cell r="AS59">
            <v>2073.0429730000001</v>
          </cell>
          <cell r="AT59">
            <v>2091.156156</v>
          </cell>
          <cell r="AU59">
            <v>2109.5899800000002</v>
          </cell>
          <cell r="AV59">
            <v>2128.3589449999999</v>
          </cell>
          <cell r="AW59">
            <v>2147.4739410000002</v>
          </cell>
          <cell r="AX59">
            <v>2166.9420129999999</v>
          </cell>
          <cell r="AY59">
            <v>2186.7714430000001</v>
          </cell>
          <cell r="AZ59">
            <v>2206.973105</v>
          </cell>
          <cell r="BA59">
            <v>2227.5588680000001</v>
          </cell>
          <cell r="BB59">
            <v>2248.5399309999998</v>
          </cell>
          <cell r="BC59">
            <v>2269.9260519999998</v>
          </cell>
          <cell r="BD59">
            <v>2291.725512</v>
          </cell>
          <cell r="BE59">
            <v>2313.9454390000001</v>
          </cell>
        </row>
        <row r="60">
          <cell r="B60">
            <v>517.77077420000001</v>
          </cell>
          <cell r="C60">
            <v>522.81715059999999</v>
          </cell>
          <cell r="D60">
            <v>527.5321093</v>
          </cell>
          <cell r="E60">
            <v>531.9722481</v>
          </cell>
          <cell r="F60">
            <v>536.2041471</v>
          </cell>
          <cell r="G60">
            <v>540.29340300000001</v>
          </cell>
          <cell r="H60">
            <v>544.27850920000003</v>
          </cell>
          <cell r="I60">
            <v>548.19273469999996</v>
          </cell>
          <cell r="J60">
            <v>552.06663690000005</v>
          </cell>
          <cell r="K60">
            <v>555.9265249</v>
          </cell>
          <cell r="L60">
            <v>559.82010820000005</v>
          </cell>
          <cell r="M60">
            <v>563.75109399999997</v>
          </cell>
          <cell r="N60">
            <v>567.71936760000006</v>
          </cell>
          <cell r="O60">
            <v>571.72434920000001</v>
          </cell>
          <cell r="P60">
            <v>575.76465619999999</v>
          </cell>
          <cell r="Q60">
            <v>579.8381286</v>
          </cell>
          <cell r="R60">
            <v>583.94005249999998</v>
          </cell>
          <cell r="S60">
            <v>588.06674320000002</v>
          </cell>
          <cell r="T60">
            <v>592.21556280000004</v>
          </cell>
          <cell r="U60">
            <v>596.38487439999994</v>
          </cell>
          <cell r="V60">
            <v>600.55458380000005</v>
          </cell>
          <cell r="W60">
            <v>604.73135600000001</v>
          </cell>
          <cell r="X60">
            <v>608.92253930000004</v>
          </cell>
          <cell r="Y60">
            <v>613.13433369999996</v>
          </cell>
          <cell r="Z60">
            <v>617.37259540000002</v>
          </cell>
          <cell r="AA60">
            <v>621.58830279999995</v>
          </cell>
          <cell r="AB60">
            <v>625.78008399999999</v>
          </cell>
          <cell r="AC60">
            <v>629.95340620000002</v>
          </cell>
          <cell r="AD60">
            <v>634.11520810000002</v>
          </cell>
          <cell r="AE60">
            <v>638.27352519999999</v>
          </cell>
          <cell r="AF60">
            <v>642.43745320000005</v>
          </cell>
          <cell r="AG60">
            <v>646.61744350000004</v>
          </cell>
          <cell r="AH60">
            <v>650.82437789999994</v>
          </cell>
          <cell r="AI60">
            <v>655.06937789999995</v>
          </cell>
          <cell r="AJ60">
            <v>659.36360939999997</v>
          </cell>
          <cell r="AK60">
            <v>663.71806690000005</v>
          </cell>
          <cell r="AL60">
            <v>668.13463339999998</v>
          </cell>
          <cell r="AM60">
            <v>672.6166485</v>
          </cell>
          <cell r="AN60">
            <v>677.16926709999996</v>
          </cell>
          <cell r="AO60">
            <v>681.79858420000005</v>
          </cell>
          <cell r="AP60">
            <v>686.51098509999997</v>
          </cell>
          <cell r="AQ60">
            <v>691.31341139999995</v>
          </cell>
          <cell r="AR60">
            <v>696.21221839999998</v>
          </cell>
          <cell r="AS60">
            <v>701.21316409999997</v>
          </cell>
          <cell r="AT60">
            <v>706.32143040000005</v>
          </cell>
          <cell r="AU60">
            <v>711.54164219999996</v>
          </cell>
          <cell r="AV60">
            <v>716.88175430000001</v>
          </cell>
          <cell r="AW60">
            <v>722.34896939999999</v>
          </cell>
          <cell r="AX60">
            <v>727.95020360000001</v>
          </cell>
          <cell r="AY60">
            <v>733.69224050000003</v>
          </cell>
          <cell r="AZ60">
            <v>739.58155399999998</v>
          </cell>
          <cell r="BA60">
            <v>745.62545660000001</v>
          </cell>
          <cell r="BB60">
            <v>751.83003599999995</v>
          </cell>
          <cell r="BC60">
            <v>758.2003833</v>
          </cell>
          <cell r="BD60">
            <v>764.74084389999996</v>
          </cell>
          <cell r="BE60">
            <v>771.45518679999998</v>
          </cell>
        </row>
        <row r="61">
          <cell r="B61">
            <v>518.28027810000003</v>
          </cell>
          <cell r="C61">
            <v>524.15508039999997</v>
          </cell>
          <cell r="D61">
            <v>529.88174670000001</v>
          </cell>
          <cell r="E61">
            <v>535.43884549999996</v>
          </cell>
          <cell r="F61">
            <v>540.84015050000005</v>
          </cell>
          <cell r="G61">
            <v>546.12068680000004</v>
          </cell>
          <cell r="H61">
            <v>551.30572989999996</v>
          </cell>
          <cell r="I61">
            <v>556.42228890000001</v>
          </cell>
          <cell r="J61">
            <v>561.49424759999999</v>
          </cell>
          <cell r="K61">
            <v>566.5399281</v>
          </cell>
          <cell r="L61">
            <v>571.60104369999999</v>
          </cell>
          <cell r="M61">
            <v>576.67763590000004</v>
          </cell>
          <cell r="N61">
            <v>581.76762399999996</v>
          </cell>
          <cell r="O61">
            <v>586.87042310000004</v>
          </cell>
          <cell r="P61">
            <v>591.98641050000003</v>
          </cell>
          <cell r="Q61">
            <v>597.11653820000004</v>
          </cell>
          <cell r="R61">
            <v>602.2622758</v>
          </cell>
          <cell r="S61">
            <v>607.42568749999998</v>
          </cell>
          <cell r="T61">
            <v>612.6095249</v>
          </cell>
          <cell r="U61">
            <v>617.81728999999996</v>
          </cell>
          <cell r="V61">
            <v>623.03255769999998</v>
          </cell>
          <cell r="W61">
            <v>628.26692119999996</v>
          </cell>
          <cell r="X61">
            <v>633.53220490000001</v>
          </cell>
          <cell r="Y61">
            <v>638.83856200000002</v>
          </cell>
          <cell r="Z61">
            <v>644.19529009999997</v>
          </cell>
          <cell r="AA61">
            <v>649.55237639999996</v>
          </cell>
          <cell r="AB61">
            <v>654.90940309999996</v>
          </cell>
          <cell r="AC61">
            <v>660.27300939999998</v>
          </cell>
          <cell r="AD61">
            <v>665.65117469999996</v>
          </cell>
          <cell r="AE61">
            <v>671.05277490000003</v>
          </cell>
          <cell r="AF61">
            <v>676.4875078</v>
          </cell>
          <cell r="AG61">
            <v>681.96567149999998</v>
          </cell>
          <cell r="AH61">
            <v>687.49785940000004</v>
          </cell>
          <cell r="AI61">
            <v>693.09465620000003</v>
          </cell>
          <cell r="AJ61">
            <v>698.76637670000002</v>
          </cell>
          <cell r="AK61">
            <v>704.5228664</v>
          </cell>
          <cell r="AL61">
            <v>710.35942520000003</v>
          </cell>
          <cell r="AM61">
            <v>716.27494490000004</v>
          </cell>
          <cell r="AN61">
            <v>722.27156600000001</v>
          </cell>
          <cell r="AO61">
            <v>728.35319389999995</v>
          </cell>
          <cell r="AP61">
            <v>734.5246439</v>
          </cell>
          <cell r="AQ61">
            <v>740.79120179999995</v>
          </cell>
          <cell r="AR61">
            <v>747.15836609999997</v>
          </cell>
          <cell r="AS61">
            <v>753.63166890000002</v>
          </cell>
          <cell r="AT61">
            <v>760.21650750000003</v>
          </cell>
          <cell r="AU61">
            <v>766.91791130000001</v>
          </cell>
          <cell r="AV61">
            <v>773.74115140000004</v>
          </cell>
          <cell r="AW61">
            <v>780.69018659999995</v>
          </cell>
          <cell r="AX61">
            <v>787.76757869999994</v>
          </cell>
          <cell r="AY61">
            <v>794.97633829999995</v>
          </cell>
          <cell r="AZ61">
            <v>802.32041849999996</v>
          </cell>
          <cell r="BA61">
            <v>809.80413399999998</v>
          </cell>
          <cell r="BB61">
            <v>817.43155660000002</v>
          </cell>
          <cell r="BC61">
            <v>825.20623320000004</v>
          </cell>
          <cell r="BD61">
            <v>833.13117490000002</v>
          </cell>
          <cell r="BE61">
            <v>841.20897249999996</v>
          </cell>
        </row>
        <row r="62">
          <cell r="B62">
            <v>3985.8777519999999</v>
          </cell>
          <cell r="C62">
            <v>4024.7255209999998</v>
          </cell>
          <cell r="D62">
            <v>4061.0219860000002</v>
          </cell>
          <cell r="E62">
            <v>4095.2028460000001</v>
          </cell>
          <cell r="F62">
            <v>4127.7806449999998</v>
          </cell>
          <cell r="G62">
            <v>4159.2603550000003</v>
          </cell>
          <cell r="H62">
            <v>4189.938306</v>
          </cell>
          <cell r="I62">
            <v>4220.0706069999997</v>
          </cell>
          <cell r="J62">
            <v>4249.8924919999999</v>
          </cell>
          <cell r="K62">
            <v>4279.6064930000002</v>
          </cell>
          <cell r="L62">
            <v>4309.5798860000004</v>
          </cell>
          <cell r="M62">
            <v>4339.8412099999996</v>
          </cell>
          <cell r="N62">
            <v>4370.3895810000004</v>
          </cell>
          <cell r="O62">
            <v>4401.2205350000004</v>
          </cell>
          <cell r="P62">
            <v>4432.323429</v>
          </cell>
          <cell r="Q62">
            <v>4463.6816360000003</v>
          </cell>
          <cell r="R62">
            <v>4495.2588669999996</v>
          </cell>
          <cell r="S62">
            <v>4527.0267560000002</v>
          </cell>
          <cell r="T62">
            <v>4558.964997</v>
          </cell>
          <cell r="U62">
            <v>4591.0609889999996</v>
          </cell>
          <cell r="V62">
            <v>4623.1600420000004</v>
          </cell>
          <cell r="W62">
            <v>4655.3134669999999</v>
          </cell>
          <cell r="X62">
            <v>4687.5778289999998</v>
          </cell>
          <cell r="Y62">
            <v>4720.0008600000001</v>
          </cell>
          <cell r="Z62">
            <v>4752.6276399999997</v>
          </cell>
          <cell r="AA62">
            <v>4785.0807940000004</v>
          </cell>
          <cell r="AB62">
            <v>4817.3497589999997</v>
          </cell>
          <cell r="AC62">
            <v>4849.4766250000002</v>
          </cell>
          <cell r="AD62">
            <v>4881.5148060000001</v>
          </cell>
          <cell r="AE62">
            <v>4913.526159</v>
          </cell>
          <cell r="AF62">
            <v>4945.5807070000001</v>
          </cell>
          <cell r="AG62">
            <v>4977.7589049999997</v>
          </cell>
          <cell r="AH62">
            <v>5010.1445219999996</v>
          </cell>
          <cell r="AI62">
            <v>5042.8231740000001</v>
          </cell>
          <cell r="AJ62">
            <v>5075.8808179999996</v>
          </cell>
          <cell r="AK62">
            <v>5109.4020909999999</v>
          </cell>
          <cell r="AL62">
            <v>5143.4014880000004</v>
          </cell>
          <cell r="AM62">
            <v>5177.9047190000001</v>
          </cell>
          <cell r="AN62">
            <v>5212.9514650000001</v>
          </cell>
          <cell r="AO62">
            <v>5248.5886479999999</v>
          </cell>
          <cell r="AP62">
            <v>5284.8654239999996</v>
          </cell>
          <cell r="AQ62">
            <v>5321.8352279999999</v>
          </cell>
          <cell r="AR62">
            <v>5359.5469860000003</v>
          </cell>
          <cell r="AS62">
            <v>5398.0450220000002</v>
          </cell>
          <cell r="AT62">
            <v>5437.3692279999996</v>
          </cell>
          <cell r="AU62">
            <v>5477.5552090000001</v>
          </cell>
          <cell r="AV62">
            <v>5518.6642000000002</v>
          </cell>
          <cell r="AW62">
            <v>5560.7516489999998</v>
          </cell>
          <cell r="AX62">
            <v>5603.8707969999996</v>
          </cell>
          <cell r="AY62">
            <v>5648.0738659999997</v>
          </cell>
          <cell r="AZ62">
            <v>5693.4106920000004</v>
          </cell>
          <cell r="BA62">
            <v>5739.9375689999997</v>
          </cell>
          <cell r="BB62">
            <v>5787.7013589999997</v>
          </cell>
          <cell r="BC62">
            <v>5836.7412560000002</v>
          </cell>
          <cell r="BD62">
            <v>5887.0907120000002</v>
          </cell>
          <cell r="BE62">
            <v>5938.7787399999997</v>
          </cell>
        </row>
        <row r="63">
          <cell r="B63">
            <v>3989.79999</v>
          </cell>
          <cell r="C63">
            <v>4035.0251069999999</v>
          </cell>
          <cell r="D63">
            <v>4079.1098499999998</v>
          </cell>
          <cell r="E63">
            <v>4121.8892379999998</v>
          </cell>
          <cell r="F63">
            <v>4163.4693010000001</v>
          </cell>
          <cell r="G63">
            <v>4204.1196680000003</v>
          </cell>
          <cell r="H63">
            <v>4244.0349150000002</v>
          </cell>
          <cell r="I63">
            <v>4283.4229590000004</v>
          </cell>
          <cell r="J63">
            <v>4322.4676650000001</v>
          </cell>
          <cell r="K63">
            <v>4361.3100770000001</v>
          </cell>
          <cell r="L63">
            <v>4400.2713100000001</v>
          </cell>
          <cell r="M63">
            <v>4439.3516849999996</v>
          </cell>
          <cell r="N63">
            <v>4478.535183</v>
          </cell>
          <cell r="O63">
            <v>4517.8173029999998</v>
          </cell>
          <cell r="P63">
            <v>4557.2009479999997</v>
          </cell>
          <cell r="Q63">
            <v>4596.6934469999997</v>
          </cell>
          <cell r="R63">
            <v>4636.306114</v>
          </cell>
          <cell r="S63">
            <v>4676.054838</v>
          </cell>
          <cell r="T63">
            <v>4715.9608029999999</v>
          </cell>
          <cell r="U63">
            <v>4756.0509659999998</v>
          </cell>
          <cell r="V63">
            <v>4796.1988860000001</v>
          </cell>
          <cell r="W63">
            <v>4836.4938089999996</v>
          </cell>
          <cell r="X63">
            <v>4877.0267590000003</v>
          </cell>
          <cell r="Y63">
            <v>4917.8758980000002</v>
          </cell>
          <cell r="Z63">
            <v>4959.1128019999996</v>
          </cell>
          <cell r="AA63">
            <v>5000.3524630000002</v>
          </cell>
          <cell r="AB63">
            <v>5041.5916649999999</v>
          </cell>
          <cell r="AC63">
            <v>5082.8815169999998</v>
          </cell>
          <cell r="AD63">
            <v>5124.2834480000001</v>
          </cell>
          <cell r="AE63">
            <v>5165.8657830000002</v>
          </cell>
          <cell r="AF63">
            <v>5207.7031790000001</v>
          </cell>
          <cell r="AG63">
            <v>5249.8749120000002</v>
          </cell>
          <cell r="AH63">
            <v>5292.4625319999996</v>
          </cell>
          <cell r="AI63">
            <v>5335.5475200000001</v>
          </cell>
          <cell r="AJ63">
            <v>5379.2092830000001</v>
          </cell>
          <cell r="AK63">
            <v>5423.5236109999996</v>
          </cell>
          <cell r="AL63">
            <v>5468.4543240000003</v>
          </cell>
          <cell r="AM63">
            <v>5513.9928890000001</v>
          </cell>
          <cell r="AN63">
            <v>5560.1557860000003</v>
          </cell>
          <cell r="AO63">
            <v>5606.9730769999996</v>
          </cell>
          <cell r="AP63">
            <v>5654.4818329999998</v>
          </cell>
          <cell r="AQ63">
            <v>5702.7227430000003</v>
          </cell>
          <cell r="AR63">
            <v>5751.7381379999997</v>
          </cell>
          <cell r="AS63">
            <v>5801.5706019999998</v>
          </cell>
          <cell r="AT63">
            <v>5852.2616859999998</v>
          </cell>
          <cell r="AU63">
            <v>5903.8501059999999</v>
          </cell>
          <cell r="AV63">
            <v>5956.3764410000003</v>
          </cell>
          <cell r="AW63">
            <v>6009.8711649999996</v>
          </cell>
          <cell r="AX63">
            <v>6064.3540000000003</v>
          </cell>
          <cell r="AY63">
            <v>6119.8481220000003</v>
          </cell>
          <cell r="AZ63">
            <v>6176.3839619999999</v>
          </cell>
          <cell r="BA63">
            <v>6233.994737</v>
          </cell>
          <cell r="BB63">
            <v>6292.711789</v>
          </cell>
          <cell r="BC63">
            <v>6352.5624269999998</v>
          </cell>
          <cell r="BD63">
            <v>6413.5698270000003</v>
          </cell>
          <cell r="BE63">
            <v>6475.7539340000003</v>
          </cell>
        </row>
        <row r="64">
          <cell r="B64">
            <v>4697.3101829999996</v>
          </cell>
          <cell r="C64">
            <v>4746.4178979999997</v>
          </cell>
          <cell r="D64">
            <v>4794.2341809999998</v>
          </cell>
          <cell r="E64">
            <v>4841.1897630000003</v>
          </cell>
          <cell r="F64">
            <v>4887.7068760000002</v>
          </cell>
          <cell r="G64">
            <v>4934.1993009999997</v>
          </cell>
          <cell r="H64">
            <v>4980.8293130000002</v>
          </cell>
          <cell r="I64">
            <v>5027.6418430000003</v>
          </cell>
          <cell r="J64">
            <v>5074.6157489999996</v>
          </cell>
          <cell r="K64">
            <v>5121.7035690000002</v>
          </cell>
          <cell r="L64">
            <v>5169.2337639999996</v>
          </cell>
          <cell r="M64">
            <v>5217.0400680000002</v>
          </cell>
          <cell r="N64">
            <v>5264.9599719999997</v>
          </cell>
          <cell r="O64">
            <v>5312.8944780000002</v>
          </cell>
          <cell r="P64">
            <v>5360.7910970000003</v>
          </cell>
          <cell r="Q64">
            <v>5408.624855</v>
          </cell>
          <cell r="R64">
            <v>5456.3743409999997</v>
          </cell>
          <cell r="S64">
            <v>5504.0339919999997</v>
          </cell>
          <cell r="T64">
            <v>5551.61042</v>
          </cell>
          <cell r="U64">
            <v>5599.1200699999999</v>
          </cell>
          <cell r="V64">
            <v>5646.329686</v>
          </cell>
          <cell r="W64">
            <v>5693.3535439999996</v>
          </cell>
          <cell r="X64">
            <v>5740.3223850000004</v>
          </cell>
          <cell r="Y64">
            <v>5787.340056</v>
          </cell>
          <cell r="Z64">
            <v>5834.4904850000003</v>
          </cell>
          <cell r="AA64">
            <v>5881.1298720000004</v>
          </cell>
          <cell r="AB64">
            <v>5927.216504</v>
          </cell>
          <cell r="AC64">
            <v>5972.8312550000001</v>
          </cell>
          <cell r="AD64">
            <v>6018.0753869999999</v>
          </cell>
          <cell r="AE64">
            <v>6063.0521390000004</v>
          </cell>
          <cell r="AF64">
            <v>6107.8625050000001</v>
          </cell>
          <cell r="AG64">
            <v>6152.6060340000004</v>
          </cell>
          <cell r="AH64">
            <v>6197.3751890000003</v>
          </cell>
          <cell r="AI64">
            <v>6242.2540019999997</v>
          </cell>
          <cell r="AJ64">
            <v>6287.3174550000003</v>
          </cell>
          <cell r="AK64">
            <v>6332.6316390000002</v>
          </cell>
          <cell r="AL64">
            <v>6378.119009</v>
          </cell>
          <cell r="AM64">
            <v>6423.7353489999996</v>
          </cell>
          <cell r="AN64">
            <v>6469.48038</v>
          </cell>
          <cell r="AO64">
            <v>6515.3824430000004</v>
          </cell>
          <cell r="AP64">
            <v>6561.4862139999996</v>
          </cell>
          <cell r="AQ64">
            <v>6607.8493269999999</v>
          </cell>
          <cell r="AR64">
            <v>6654.5337490000002</v>
          </cell>
          <cell r="AS64">
            <v>6701.6045709999999</v>
          </cell>
          <cell r="AT64">
            <v>6749.1294189999999</v>
          </cell>
          <cell r="AU64">
            <v>6797.1772780000001</v>
          </cell>
          <cell r="AV64">
            <v>6845.8238080000001</v>
          </cell>
          <cell r="AW64">
            <v>6895.1047959999996</v>
          </cell>
          <cell r="AX64">
            <v>6945.0200690000001</v>
          </cell>
          <cell r="AY64">
            <v>6995.5469839999996</v>
          </cell>
          <cell r="AZ64">
            <v>7046.6533310000004</v>
          </cell>
          <cell r="BA64">
            <v>7098.314206</v>
          </cell>
          <cell r="BB64">
            <v>7150.5070610000002</v>
          </cell>
          <cell r="BC64">
            <v>7203.2158079999999</v>
          </cell>
          <cell r="BD64">
            <v>7256.4327080000003</v>
          </cell>
          <cell r="BE64">
            <v>7310.1583540000001</v>
          </cell>
        </row>
        <row r="65">
          <cell r="B65">
            <v>4700.159917</v>
          </cell>
          <cell r="C65">
            <v>4754.0195089999997</v>
          </cell>
          <cell r="D65">
            <v>4807.8055949999998</v>
          </cell>
          <cell r="E65">
            <v>4861.5796309999996</v>
          </cell>
          <cell r="F65">
            <v>4915.5323159999998</v>
          </cell>
          <cell r="G65">
            <v>4969.630314</v>
          </cell>
          <cell r="H65">
            <v>5023.5403429999997</v>
          </cell>
          <cell r="I65">
            <v>5077.0363960000004</v>
          </cell>
          <cell r="J65">
            <v>5130.0244190000003</v>
          </cell>
          <cell r="K65">
            <v>5182.492561</v>
          </cell>
          <cell r="L65">
            <v>5234.8548719999999</v>
          </cell>
          <cell r="M65">
            <v>5287.0341420000004</v>
          </cell>
          <cell r="N65">
            <v>5338.941965</v>
          </cell>
          <cell r="O65">
            <v>5390.5378479999999</v>
          </cell>
          <cell r="P65">
            <v>5441.8151870000002</v>
          </cell>
          <cell r="Q65">
            <v>5492.7857819999999</v>
          </cell>
          <cell r="R65">
            <v>5543.4711749999997</v>
          </cell>
          <cell r="S65">
            <v>5593.8988099999997</v>
          </cell>
          <cell r="T65">
            <v>5644.100641</v>
          </cell>
          <cell r="U65">
            <v>5694.1127260000003</v>
          </cell>
          <cell r="V65">
            <v>5743.709175</v>
          </cell>
          <cell r="W65">
            <v>5793.0164880000002</v>
          </cell>
          <cell r="X65">
            <v>5842.1728130000001</v>
          </cell>
          <cell r="Y65">
            <v>5891.2852389999998</v>
          </cell>
          <cell r="Z65">
            <v>5940.4385780000002</v>
          </cell>
          <cell r="AA65">
            <v>5988.9658719999998</v>
          </cell>
          <cell r="AB65">
            <v>6036.8154990000003</v>
          </cell>
          <cell r="AC65">
            <v>6084.0602159999999</v>
          </cell>
          <cell r="AD65">
            <v>6130.7926280000001</v>
          </cell>
          <cell r="AE65">
            <v>6177.1069200000002</v>
          </cell>
          <cell r="AF65">
            <v>6223.0971710000003</v>
          </cell>
          <cell r="AG65">
            <v>6268.8574230000004</v>
          </cell>
          <cell r="AH65">
            <v>6314.481194</v>
          </cell>
          <cell r="AI65">
            <v>6360.0605390000001</v>
          </cell>
          <cell r="AJ65">
            <v>6405.6850279999999</v>
          </cell>
          <cell r="AK65">
            <v>6451.4408970000004</v>
          </cell>
          <cell r="AL65">
            <v>6497.2456249999996</v>
          </cell>
          <cell r="AM65">
            <v>6543.0633390000003</v>
          </cell>
          <cell r="AN65">
            <v>6588.9089610000001</v>
          </cell>
          <cell r="AO65">
            <v>6634.8276679999999</v>
          </cell>
          <cell r="AP65">
            <v>6680.8805570000004</v>
          </cell>
          <cell r="AQ65">
            <v>6727.1370669999997</v>
          </cell>
          <cell r="AR65">
            <v>6773.6715190000004</v>
          </cell>
          <cell r="AS65">
            <v>6820.5620980000003</v>
          </cell>
          <cell r="AT65">
            <v>6867.8917499999998</v>
          </cell>
          <cell r="AU65">
            <v>6915.7521880000004</v>
          </cell>
          <cell r="AV65">
            <v>6964.2716970000001</v>
          </cell>
          <cell r="AW65">
            <v>7013.4742340000003</v>
          </cell>
          <cell r="AX65">
            <v>7063.3319920000004</v>
          </cell>
          <cell r="AY65">
            <v>7113.8154379999996</v>
          </cell>
          <cell r="AZ65">
            <v>7164.9153660000002</v>
          </cell>
          <cell r="BA65">
            <v>7216.6432000000004</v>
          </cell>
          <cell r="BB65">
            <v>7269.0233120000003</v>
          </cell>
          <cell r="BC65">
            <v>7322.0857910000004</v>
          </cell>
          <cell r="BD65">
            <v>7375.8620810000002</v>
          </cell>
          <cell r="BE65">
            <v>7430.3830660000003</v>
          </cell>
        </row>
        <row r="66">
          <cell r="B66">
            <v>65.109506210000006</v>
          </cell>
          <cell r="C66">
            <v>65.7440864</v>
          </cell>
          <cell r="D66">
            <v>66.336990909999997</v>
          </cell>
          <cell r="E66">
            <v>66.895336920000005</v>
          </cell>
          <cell r="F66">
            <v>67.427496849999997</v>
          </cell>
          <cell r="G66">
            <v>67.941719430000006</v>
          </cell>
          <cell r="H66">
            <v>68.442845250000005</v>
          </cell>
          <cell r="I66">
            <v>68.935057830000005</v>
          </cell>
          <cell r="J66">
            <v>69.422199770000006</v>
          </cell>
          <cell r="K66">
            <v>69.907579429999998</v>
          </cell>
          <cell r="L66">
            <v>70.397196249999993</v>
          </cell>
          <cell r="M66">
            <v>70.891516449999997</v>
          </cell>
          <cell r="N66">
            <v>71.39052556</v>
          </cell>
          <cell r="O66">
            <v>71.894150679999996</v>
          </cell>
          <cell r="P66">
            <v>72.402217980000003</v>
          </cell>
          <cell r="Q66">
            <v>72.914455799999999</v>
          </cell>
          <cell r="R66">
            <v>73.430271399999995</v>
          </cell>
          <cell r="S66">
            <v>73.949201400000007</v>
          </cell>
          <cell r="T66">
            <v>74.470914120000003</v>
          </cell>
          <cell r="U66">
            <v>74.995203700000005</v>
          </cell>
          <cell r="V66">
            <v>75.519543290000001</v>
          </cell>
          <cell r="W66">
            <v>76.044771040000001</v>
          </cell>
          <cell r="X66">
            <v>76.571810970000001</v>
          </cell>
          <cell r="Y66">
            <v>77.101442739999996</v>
          </cell>
          <cell r="Z66">
            <v>77.634402769999994</v>
          </cell>
          <cell r="AA66">
            <v>78.164526609999996</v>
          </cell>
          <cell r="AB66">
            <v>78.691641730000001</v>
          </cell>
          <cell r="AC66">
            <v>79.21643564</v>
          </cell>
          <cell r="AD66">
            <v>79.739780870000004</v>
          </cell>
          <cell r="AE66">
            <v>80.262687889999995</v>
          </cell>
          <cell r="AF66">
            <v>80.786300479999994</v>
          </cell>
          <cell r="AG66">
            <v>81.311932900000002</v>
          </cell>
          <cell r="AH66">
            <v>81.840953529999993</v>
          </cell>
          <cell r="AI66">
            <v>82.374760890000005</v>
          </cell>
          <cell r="AJ66">
            <v>82.914759110000006</v>
          </cell>
          <cell r="AK66">
            <v>83.462330730000005</v>
          </cell>
          <cell r="AL66">
            <v>84.017712520000003</v>
          </cell>
          <cell r="AM66">
            <v>84.581324460000005</v>
          </cell>
          <cell r="AN66">
            <v>85.153814760000003</v>
          </cell>
          <cell r="AO66">
            <v>85.735949880000007</v>
          </cell>
          <cell r="AP66">
            <v>86.328532760000002</v>
          </cell>
          <cell r="AQ66">
            <v>86.93243631</v>
          </cell>
          <cell r="AR66">
            <v>87.548459690000001</v>
          </cell>
          <cell r="AS66">
            <v>88.177326980000004</v>
          </cell>
          <cell r="AT66">
            <v>88.819689800000006</v>
          </cell>
          <cell r="AU66">
            <v>89.476129740000005</v>
          </cell>
          <cell r="AV66">
            <v>90.1476471</v>
          </cell>
          <cell r="AW66">
            <v>90.835147620000001</v>
          </cell>
          <cell r="AX66">
            <v>91.539500989999993</v>
          </cell>
          <cell r="AY66">
            <v>92.261560259999996</v>
          </cell>
          <cell r="AZ66">
            <v>93.002139510000006</v>
          </cell>
          <cell r="BA66">
            <v>93.762158299999996</v>
          </cell>
          <cell r="BB66">
            <v>94.542382129999993</v>
          </cell>
          <cell r="BC66">
            <v>95.343451229999999</v>
          </cell>
          <cell r="BD66">
            <v>96.165912030000001</v>
          </cell>
          <cell r="BE66">
            <v>97.010238459999997</v>
          </cell>
        </row>
        <row r="67">
          <cell r="B67">
            <v>65.173576159999996</v>
          </cell>
          <cell r="C67">
            <v>65.91233063</v>
          </cell>
          <cell r="D67">
            <v>66.632457049999999</v>
          </cell>
          <cell r="E67">
            <v>67.331260409999999</v>
          </cell>
          <cell r="F67">
            <v>68.010472759999999</v>
          </cell>
          <cell r="G67">
            <v>68.674498479999997</v>
          </cell>
          <cell r="H67">
            <v>69.326515959999995</v>
          </cell>
          <cell r="I67">
            <v>69.969921589999998</v>
          </cell>
          <cell r="J67">
            <v>70.607718750000004</v>
          </cell>
          <cell r="K67">
            <v>71.242211420000004</v>
          </cell>
          <cell r="L67">
            <v>71.878645059999997</v>
          </cell>
          <cell r="M67">
            <v>72.517024879999994</v>
          </cell>
          <cell r="N67">
            <v>73.157089220000003</v>
          </cell>
          <cell r="O67">
            <v>73.798764550000001</v>
          </cell>
          <cell r="P67">
            <v>74.442098290000004</v>
          </cell>
          <cell r="Q67">
            <v>75.08721018</v>
          </cell>
          <cell r="R67">
            <v>75.734285009999994</v>
          </cell>
          <cell r="S67">
            <v>76.383582340000004</v>
          </cell>
          <cell r="T67">
            <v>77.035448209999998</v>
          </cell>
          <cell r="U67">
            <v>77.690322980000005</v>
          </cell>
          <cell r="V67">
            <v>78.346141189999997</v>
          </cell>
          <cell r="W67">
            <v>79.004360700000007</v>
          </cell>
          <cell r="X67">
            <v>79.666468409999993</v>
          </cell>
          <cell r="Y67">
            <v>80.333741079999996</v>
          </cell>
          <cell r="Z67">
            <v>81.007347899999999</v>
          </cell>
          <cell r="AA67">
            <v>81.680999749999998</v>
          </cell>
          <cell r="AB67">
            <v>82.354644120000003</v>
          </cell>
          <cell r="AC67">
            <v>83.029115860000005</v>
          </cell>
          <cell r="AD67">
            <v>83.705418399999999</v>
          </cell>
          <cell r="AE67">
            <v>84.384667859999993</v>
          </cell>
          <cell r="AF67">
            <v>85.068083759999993</v>
          </cell>
          <cell r="AG67">
            <v>85.756961050000001</v>
          </cell>
          <cell r="AH67">
            <v>86.452631890000006</v>
          </cell>
          <cell r="AI67">
            <v>87.156427260000001</v>
          </cell>
          <cell r="AJ67">
            <v>87.869644269999995</v>
          </cell>
          <cell r="AK67">
            <v>88.59352097</v>
          </cell>
          <cell r="AL67">
            <v>89.327466329999993</v>
          </cell>
          <cell r="AM67">
            <v>90.071341009999998</v>
          </cell>
          <cell r="AN67">
            <v>90.825414159999994</v>
          </cell>
          <cell r="AO67">
            <v>91.590176889999995</v>
          </cell>
          <cell r="AP67">
            <v>92.366234719999994</v>
          </cell>
          <cell r="AQ67">
            <v>93.154252330000006</v>
          </cell>
          <cell r="AR67">
            <v>93.954921170000006</v>
          </cell>
          <cell r="AS67">
            <v>94.768936879999998</v>
          </cell>
          <cell r="AT67">
            <v>95.596978199999995</v>
          </cell>
          <cell r="AU67">
            <v>96.439677540000005</v>
          </cell>
          <cell r="AV67">
            <v>97.297697760000005</v>
          </cell>
          <cell r="AW67">
            <v>98.171536680000003</v>
          </cell>
          <cell r="AX67">
            <v>99.061516420000004</v>
          </cell>
          <cell r="AY67">
            <v>99.968015600000001</v>
          </cell>
          <cell r="AZ67">
            <v>100.8915313</v>
          </cell>
          <cell r="BA67">
            <v>101.83260610000001</v>
          </cell>
          <cell r="BB67">
            <v>102.791752</v>
          </cell>
          <cell r="BC67">
            <v>103.769415</v>
          </cell>
          <cell r="BD67">
            <v>104.76597390000001</v>
          </cell>
          <cell r="BE67">
            <v>105.7817543</v>
          </cell>
        </row>
      </sheetData>
      <sheetData sheetId="6">
        <row r="3">
          <cell r="F3">
            <v>32317.940999999999</v>
          </cell>
          <cell r="G3">
            <v>31906.398669999999</v>
          </cell>
          <cell r="H3">
            <v>31678.11522</v>
          </cell>
          <cell r="I3">
            <v>31577.695739999999</v>
          </cell>
          <cell r="J3">
            <v>31568.836940000001</v>
          </cell>
          <cell r="K3">
            <v>31628.129099999998</v>
          </cell>
          <cell r="L3">
            <v>31736.346099999999</v>
          </cell>
          <cell r="M3">
            <v>31883.118579999998</v>
          </cell>
          <cell r="N3">
            <v>32061.032930000001</v>
          </cell>
          <cell r="O3">
            <v>32264.507989999998</v>
          </cell>
          <cell r="P3">
            <v>32495.81957</v>
          </cell>
          <cell r="Q3">
            <v>32744.083719999999</v>
          </cell>
          <cell r="R3">
            <v>33006.09362</v>
          </cell>
          <cell r="S3">
            <v>33279.078249999999</v>
          </cell>
          <cell r="T3">
            <v>33560.714829999997</v>
          </cell>
          <cell r="U3">
            <v>33849.070820000001</v>
          </cell>
          <cell r="V3">
            <v>34142.34663</v>
          </cell>
          <cell r="W3">
            <v>34439.112419999998</v>
          </cell>
          <cell r="X3">
            <v>34738.193809999997</v>
          </cell>
          <cell r="Y3">
            <v>35038.600189999997</v>
          </cell>
          <cell r="Z3">
            <v>35334.676149999999</v>
          </cell>
          <cell r="AA3">
            <v>35630.902679999999</v>
          </cell>
          <cell r="AB3">
            <v>35926.769390000001</v>
          </cell>
          <cell r="AC3">
            <v>36221.92254</v>
          </cell>
          <cell r="AD3">
            <v>36516.062539999999</v>
          </cell>
          <cell r="AE3">
            <v>36795.376300000004</v>
          </cell>
          <cell r="AF3">
            <v>37067.9781</v>
          </cell>
          <cell r="AG3">
            <v>37334.415670000002</v>
          </cell>
          <cell r="AH3">
            <v>37595.488579999997</v>
          </cell>
          <cell r="AI3">
            <v>37852.052340000002</v>
          </cell>
          <cell r="AJ3">
            <v>38104.91835</v>
          </cell>
          <cell r="AK3">
            <v>38354.845580000001</v>
          </cell>
          <cell r="AL3">
            <v>38602.464829999997</v>
          </cell>
          <cell r="AM3">
            <v>38848.29823</v>
          </cell>
          <cell r="AN3">
            <v>39092.785309999999</v>
          </cell>
          <cell r="AO3">
            <v>39336.303879999999</v>
          </cell>
          <cell r="AP3">
            <v>39576.44902</v>
          </cell>
          <cell r="AQ3">
            <v>39813.869559999999</v>
          </cell>
          <cell r="AR3">
            <v>40049.110059999999</v>
          </cell>
          <cell r="AS3">
            <v>40282.730130000004</v>
          </cell>
          <cell r="AT3">
            <v>40515.299749999998</v>
          </cell>
          <cell r="AU3">
            <v>40747.412219999998</v>
          </cell>
          <cell r="AV3">
            <v>40979.569040000002</v>
          </cell>
          <cell r="AW3">
            <v>41212.176330000002</v>
          </cell>
          <cell r="AX3">
            <v>41445.556519999998</v>
          </cell>
          <cell r="AY3">
            <v>41679.959150000002</v>
          </cell>
          <cell r="AZ3">
            <v>41915.991470000001</v>
          </cell>
          <cell r="BA3">
            <v>42153.822690000001</v>
          </cell>
          <cell r="BB3">
            <v>42393.51382</v>
          </cell>
          <cell r="BC3">
            <v>42635.078690000002</v>
          </cell>
          <cell r="BD3">
            <v>42878.511149999998</v>
          </cell>
          <cell r="BE3">
            <v>43123.892870000003</v>
          </cell>
          <cell r="BF3">
            <v>43371.234340000003</v>
          </cell>
          <cell r="BG3">
            <v>43620.500899999999</v>
          </cell>
          <cell r="BH3">
            <v>43871.648419999998</v>
          </cell>
          <cell r="BI3">
            <v>44124.635000000002</v>
          </cell>
        </row>
        <row r="4">
          <cell r="F4">
            <v>32271.24</v>
          </cell>
          <cell r="G4">
            <v>31842.17467</v>
          </cell>
          <cell r="H4">
            <v>31595.630379999999</v>
          </cell>
          <cell r="I4">
            <v>31476.583119999999</v>
          </cell>
          <cell r="J4">
            <v>31448.948619999999</v>
          </cell>
          <cell r="K4">
            <v>31489.437539999999</v>
          </cell>
          <cell r="L4">
            <v>31578.92266</v>
          </cell>
          <cell r="M4">
            <v>31707.065040000001</v>
          </cell>
          <cell r="N4">
            <v>31866.463390000001</v>
          </cell>
          <cell r="O4">
            <v>32051.53875</v>
          </cell>
          <cell r="P4">
            <v>32264.497609999999</v>
          </cell>
          <cell r="Q4">
            <v>32494.51786</v>
          </cell>
          <cell r="R4">
            <v>32738.38582</v>
          </cell>
          <cell r="S4">
            <v>32993.321649999998</v>
          </cell>
          <cell r="T4">
            <v>33256.990879999998</v>
          </cell>
          <cell r="U4">
            <v>33527.446109999997</v>
          </cell>
          <cell r="V4">
            <v>33802.871829999996</v>
          </cell>
          <cell r="W4">
            <v>34081.818299999999</v>
          </cell>
          <cell r="X4">
            <v>34363.087800000001</v>
          </cell>
          <cell r="Y4">
            <v>34645.663249999998</v>
          </cell>
          <cell r="Z4">
            <v>34923.91347</v>
          </cell>
          <cell r="AA4">
            <v>35202.23128</v>
          </cell>
          <cell r="AB4">
            <v>35480.068440000003</v>
          </cell>
          <cell r="AC4">
            <v>35757.029090000004</v>
          </cell>
          <cell r="AD4">
            <v>36032.768129999997</v>
          </cell>
          <cell r="AE4">
            <v>36293.589139999996</v>
          </cell>
          <cell r="AF4">
            <v>36547.462650000001</v>
          </cell>
          <cell r="AG4">
            <v>36794.875079999998</v>
          </cell>
          <cell r="AH4">
            <v>37036.556620000003</v>
          </cell>
          <cell r="AI4">
            <v>37273.287369999998</v>
          </cell>
          <cell r="AJ4">
            <v>37505.79823</v>
          </cell>
          <cell r="AK4">
            <v>37734.7624</v>
          </cell>
          <cell r="AL4">
            <v>37960.720410000002</v>
          </cell>
          <cell r="AM4">
            <v>38184.099240000003</v>
          </cell>
          <cell r="AN4">
            <v>38405.237730000001</v>
          </cell>
          <cell r="AO4">
            <v>38624.406799999997</v>
          </cell>
          <cell r="AP4">
            <v>38839.132960000003</v>
          </cell>
          <cell r="AQ4">
            <v>39049.942640000001</v>
          </cell>
          <cell r="AR4">
            <v>39257.250659999998</v>
          </cell>
          <cell r="AS4">
            <v>39461.47694</v>
          </cell>
          <cell r="AT4">
            <v>39663.040999999997</v>
          </cell>
          <cell r="AU4">
            <v>39862.373720000003</v>
          </cell>
          <cell r="AV4">
            <v>40059.803460000003</v>
          </cell>
          <cell r="AW4">
            <v>40255.551919999998</v>
          </cell>
          <cell r="AX4">
            <v>40449.744930000001</v>
          </cell>
          <cell r="AY4">
            <v>40642.422189999997</v>
          </cell>
          <cell r="AZ4">
            <v>40833.956400000003</v>
          </cell>
          <cell r="BA4">
            <v>41024.274989999998</v>
          </cell>
          <cell r="BB4">
            <v>41213.182240000002</v>
          </cell>
          <cell r="BC4">
            <v>41400.418010000001</v>
          </cell>
          <cell r="BD4">
            <v>41585.683199999999</v>
          </cell>
          <cell r="BE4">
            <v>41768.74293</v>
          </cell>
          <cell r="BF4">
            <v>41949.270759999999</v>
          </cell>
          <cell r="BG4">
            <v>42126.873059999998</v>
          </cell>
          <cell r="BH4">
            <v>42301.122280000003</v>
          </cell>
          <cell r="BI4">
            <v>42471.566980000003</v>
          </cell>
        </row>
        <row r="12">
          <cell r="F12">
            <v>44.765000000000001</v>
          </cell>
          <cell r="G12">
            <v>62.234058670000003</v>
          </cell>
          <cell r="H12">
            <v>80.431810150000004</v>
          </cell>
          <cell r="I12">
            <v>98.991343069999999</v>
          </cell>
          <cell r="J12">
            <v>117.6961518</v>
          </cell>
          <cell r="K12">
            <v>136.42739950000001</v>
          </cell>
          <cell r="L12">
            <v>155.08739750000001</v>
          </cell>
          <cell r="M12">
            <v>173.6462659</v>
          </cell>
          <cell r="N12">
            <v>192.0920447</v>
          </cell>
          <cell r="O12">
            <v>210.42270429999999</v>
          </cell>
          <cell r="P12">
            <v>228.70713860000001</v>
          </cell>
          <cell r="Q12">
            <v>246.8842028</v>
          </cell>
          <cell r="R12">
            <v>264.96082699999999</v>
          </cell>
          <cell r="S12">
            <v>282.94584550000002</v>
          </cell>
          <cell r="T12">
            <v>300.85101520000001</v>
          </cell>
          <cell r="U12">
            <v>318.69119139999998</v>
          </cell>
          <cell r="V12">
            <v>336.48228549999999</v>
          </cell>
          <cell r="W12">
            <v>354.24420329999998</v>
          </cell>
          <cell r="X12">
            <v>372.00026350000002</v>
          </cell>
          <cell r="Y12">
            <v>389.77690619999998</v>
          </cell>
          <cell r="Z12">
            <v>407.55026090000001</v>
          </cell>
          <cell r="AA12">
            <v>425.40805999999998</v>
          </cell>
          <cell r="AB12">
            <v>443.38807939999998</v>
          </cell>
          <cell r="AC12">
            <v>461.53239639999998</v>
          </cell>
          <cell r="AD12">
            <v>479.88648569999998</v>
          </cell>
          <cell r="AE12">
            <v>498.33474849999999</v>
          </cell>
          <cell r="AF12">
            <v>517.02020530000004</v>
          </cell>
          <cell r="AG12">
            <v>536.00407689999997</v>
          </cell>
          <cell r="AH12">
            <v>555.35561259999997</v>
          </cell>
          <cell r="AI12">
            <v>575.15011070000003</v>
          </cell>
          <cell r="AJ12">
            <v>595.46796700000004</v>
          </cell>
          <cell r="AK12">
            <v>616.39485179999997</v>
          </cell>
          <cell r="AL12">
            <v>638.0209241</v>
          </cell>
          <cell r="AM12">
            <v>660.44126789999996</v>
          </cell>
          <cell r="AN12">
            <v>683.75650629999996</v>
          </cell>
          <cell r="AO12">
            <v>708.0734387</v>
          </cell>
          <cell r="AP12">
            <v>733.46084189999999</v>
          </cell>
          <cell r="AQ12">
            <v>760.04102130000001</v>
          </cell>
          <cell r="AR12">
            <v>787.94364929999995</v>
          </cell>
          <cell r="AS12">
            <v>817.30836179999994</v>
          </cell>
          <cell r="AT12">
            <v>848.28554550000001</v>
          </cell>
          <cell r="AU12">
            <v>881.03756880000003</v>
          </cell>
          <cell r="AV12">
            <v>915.73750970000003</v>
          </cell>
          <cell r="AW12">
            <v>952.56974100000002</v>
          </cell>
          <cell r="AX12">
            <v>991.73085270000001</v>
          </cell>
          <cell r="AY12">
            <v>1033.4306240000001</v>
          </cell>
          <cell r="AZ12">
            <v>1077.9035699999999</v>
          </cell>
          <cell r="BA12">
            <v>1125.3914609999999</v>
          </cell>
          <cell r="BB12">
            <v>1176.151032</v>
          </cell>
          <cell r="BC12">
            <v>1230.4562470000001</v>
          </cell>
          <cell r="BD12">
            <v>1288.6000529999999</v>
          </cell>
          <cell r="BE12">
            <v>1350.8990289999999</v>
          </cell>
          <cell r="BF12">
            <v>1417.690106</v>
          </cell>
          <cell r="BG12">
            <v>1489.3322889999999</v>
          </cell>
          <cell r="BH12">
            <v>1566.2089960000001</v>
          </cell>
          <cell r="BI12">
            <v>1648.729832</v>
          </cell>
        </row>
        <row r="20">
          <cell r="F20">
            <v>1.9359999999999999</v>
          </cell>
          <cell r="G20">
            <v>1.9899373739999999</v>
          </cell>
          <cell r="H20">
            <v>2.0530322829999998</v>
          </cell>
          <cell r="I20">
            <v>2.1212830509999998</v>
          </cell>
          <cell r="J20">
            <v>2.1921695140000002</v>
          </cell>
          <cell r="K20">
            <v>2.264168019</v>
          </cell>
          <cell r="L20">
            <v>2.3360475470000002</v>
          </cell>
          <cell r="M20">
            <v>2.4072672769999999</v>
          </cell>
          <cell r="N20">
            <v>2.4774993900000002</v>
          </cell>
          <cell r="O20">
            <v>2.5465412650000001</v>
          </cell>
          <cell r="P20">
            <v>2.6148205340000001</v>
          </cell>
          <cell r="Q20">
            <v>2.6816579790000001</v>
          </cell>
          <cell r="R20">
            <v>2.7469852750000001</v>
          </cell>
          <cell r="S20">
            <v>2.8107538029999999</v>
          </cell>
          <cell r="T20">
            <v>2.8729372249999998</v>
          </cell>
          <cell r="U20">
            <v>2.9335281019999999</v>
          </cell>
          <cell r="V20">
            <v>2.9925178140000002</v>
          </cell>
          <cell r="W20">
            <v>3.0499171349999998</v>
          </cell>
          <cell r="X20">
            <v>3.1057478600000001</v>
          </cell>
          <cell r="Y20">
            <v>3.160037768</v>
          </cell>
          <cell r="Z20">
            <v>3.2124186180000001</v>
          </cell>
          <cell r="AA20">
            <v>3.2633504929999999</v>
          </cell>
          <cell r="AB20">
            <v>3.3128783369999999</v>
          </cell>
          <cell r="AC20">
            <v>3.3610535060000002</v>
          </cell>
          <cell r="AD20">
            <v>3.4079258160000001</v>
          </cell>
          <cell r="AE20">
            <v>3.4524180599999998</v>
          </cell>
          <cell r="AF20">
            <v>3.495251074</v>
          </cell>
          <cell r="AG20">
            <v>3.5365240020000002</v>
          </cell>
          <cell r="AH20">
            <v>3.5763534520000002</v>
          </cell>
          <cell r="AI20">
            <v>3.6148577120000001</v>
          </cell>
          <cell r="AJ20">
            <v>3.6521486419999998</v>
          </cell>
          <cell r="AK20">
            <v>3.6883310410000001</v>
          </cell>
          <cell r="AL20">
            <v>3.7234964169999998</v>
          </cell>
          <cell r="AM20">
            <v>3.7577245499999998</v>
          </cell>
          <cell r="AN20">
            <v>3.7910856220000002</v>
          </cell>
          <cell r="AO20">
            <v>3.8236419389999998</v>
          </cell>
          <cell r="AP20">
            <v>3.8552231199999998</v>
          </cell>
          <cell r="AQ20">
            <v>3.8859052919999999</v>
          </cell>
          <cell r="AR20">
            <v>3.9157538860000001</v>
          </cell>
          <cell r="AS20">
            <v>3.9448333839999998</v>
          </cell>
          <cell r="AT20">
            <v>3.9732069540000001</v>
          </cell>
          <cell r="AU20">
            <v>4.0009375079999998</v>
          </cell>
          <cell r="AV20">
            <v>4.0280782320000004</v>
          </cell>
          <cell r="AW20">
            <v>4.0546721750000003</v>
          </cell>
          <cell r="AX20">
            <v>4.0807530910000001</v>
          </cell>
          <cell r="AY20">
            <v>4.1063462079999997</v>
          </cell>
          <cell r="AZ20">
            <v>4.1315034170000002</v>
          </cell>
          <cell r="BA20">
            <v>4.1562383909999996</v>
          </cell>
          <cell r="BB20">
            <v>4.1805531289999998</v>
          </cell>
          <cell r="BC20">
            <v>4.2044428160000002</v>
          </cell>
          <cell r="BD20">
            <v>4.227897961</v>
          </cell>
          <cell r="BE20">
            <v>4.2509131059999996</v>
          </cell>
          <cell r="BF20">
            <v>4.2734739089999998</v>
          </cell>
          <cell r="BG20">
            <v>4.2955591440000003</v>
          </cell>
          <cell r="BH20">
            <v>4.3171434890000002</v>
          </cell>
          <cell r="BI20">
            <v>4.3381983999999996</v>
          </cell>
        </row>
        <row r="28">
          <cell r="F28">
            <v>32317.940999999999</v>
          </cell>
          <cell r="G28">
            <v>31939.281360000001</v>
          </cell>
          <cell r="H28">
            <v>31767.455880000001</v>
          </cell>
          <cell r="I28">
            <v>31736.000940000002</v>
          </cell>
          <cell r="J28">
            <v>31800.974979999999</v>
          </cell>
          <cell r="K28">
            <v>31933.82127</v>
          </cell>
          <cell r="L28">
            <v>32112.09174</v>
          </cell>
          <cell r="M28">
            <v>32323.60598</v>
          </cell>
          <cell r="N28">
            <v>32560.151460000001</v>
          </cell>
          <cell r="O28">
            <v>32815.996449999999</v>
          </cell>
          <cell r="P28">
            <v>33093.725680000003</v>
          </cell>
          <cell r="Q28">
            <v>33382.97322</v>
          </cell>
          <cell r="R28">
            <v>33680.99985</v>
          </cell>
          <cell r="S28">
            <v>33985.469579999997</v>
          </cell>
          <cell r="T28">
            <v>34294.477460000002</v>
          </cell>
          <cell r="U28">
            <v>34606.498899999999</v>
          </cell>
          <cell r="V28">
            <v>34920.321960000001</v>
          </cell>
          <cell r="W28">
            <v>35234.983769999999</v>
          </cell>
          <cell r="X28">
            <v>35549.7186</v>
          </cell>
          <cell r="Y28">
            <v>35863.918850000002</v>
          </cell>
          <cell r="Z28">
            <v>36172.233489999999</v>
          </cell>
          <cell r="AA28">
            <v>36479.502670000002</v>
          </cell>
          <cell r="AB28">
            <v>36785.560689999998</v>
          </cell>
          <cell r="AC28">
            <v>37090.359049999999</v>
          </cell>
          <cell r="AD28">
            <v>37393.860979999998</v>
          </cell>
          <cell r="AE28">
            <v>37682.300219999997</v>
          </cell>
          <cell r="AF28">
            <v>37963.857770000002</v>
          </cell>
          <cell r="AG28">
            <v>38239.223680000003</v>
          </cell>
          <cell r="AH28">
            <v>38509.344530000002</v>
          </cell>
          <cell r="AI28">
            <v>38775.198510000002</v>
          </cell>
          <cell r="AJ28">
            <v>39037.68907</v>
          </cell>
          <cell r="AK28">
            <v>39297.601430000002</v>
          </cell>
          <cell r="AL28">
            <v>39555.595670000002</v>
          </cell>
          <cell r="AM28">
            <v>39812.219279999998</v>
          </cell>
          <cell r="AN28">
            <v>40067.927490000002</v>
          </cell>
          <cell r="AO28">
            <v>40323.10426</v>
          </cell>
          <cell r="AP28">
            <v>40574.969599999997</v>
          </cell>
          <cell r="AQ28">
            <v>40824.026850000002</v>
          </cell>
          <cell r="AR28">
            <v>41070.81364</v>
          </cell>
          <cell r="AS28">
            <v>41315.925159999999</v>
          </cell>
          <cell r="AT28">
            <v>41559.975129999999</v>
          </cell>
          <cell r="AU28">
            <v>41803.551740000003</v>
          </cell>
          <cell r="AV28">
            <v>42047.185920000004</v>
          </cell>
          <cell r="AW28">
            <v>42291.335140000003</v>
          </cell>
          <cell r="AX28">
            <v>42536.379780000003</v>
          </cell>
          <cell r="AY28">
            <v>42782.628299999997</v>
          </cell>
          <cell r="AZ28">
            <v>43030.591139999997</v>
          </cell>
          <cell r="BA28">
            <v>43280.446040000003</v>
          </cell>
          <cell r="BB28">
            <v>43532.325499999999</v>
          </cell>
          <cell r="BC28">
            <v>43786.321000000004</v>
          </cell>
          <cell r="BD28">
            <v>44042.493369999997</v>
          </cell>
          <cell r="BE28">
            <v>44300.883629999997</v>
          </cell>
          <cell r="BF28">
            <v>44561.521180000003</v>
          </cell>
          <cell r="BG28">
            <v>44824.428619999999</v>
          </cell>
          <cell r="BH28">
            <v>45089.62414</v>
          </cell>
          <cell r="BI28">
            <v>45357.122199999998</v>
          </cell>
        </row>
        <row r="29">
          <cell r="F29">
            <v>32271.24</v>
          </cell>
          <cell r="G29">
            <v>31874.761320000001</v>
          </cell>
          <cell r="H29">
            <v>31684.176350000002</v>
          </cell>
          <cell r="I29">
            <v>31633.507610000001</v>
          </cell>
          <cell r="J29">
            <v>31679.119449999998</v>
          </cell>
          <cell r="K29">
            <v>31792.640329999998</v>
          </cell>
          <cell r="L29">
            <v>31951.767909999999</v>
          </cell>
          <cell r="M29">
            <v>32144.38623</v>
          </cell>
          <cell r="N29">
            <v>32362.319530000001</v>
          </cell>
          <cell r="O29">
            <v>32599.85628</v>
          </cell>
          <cell r="P29">
            <v>32859.527329999997</v>
          </cell>
          <cell r="Q29">
            <v>33131.036699999997</v>
          </cell>
          <cell r="R29">
            <v>33411.648309999997</v>
          </cell>
          <cell r="S29">
            <v>33699.027450000001</v>
          </cell>
          <cell r="T29">
            <v>33991.267720000003</v>
          </cell>
          <cell r="U29">
            <v>34286.840490000002</v>
          </cell>
          <cell r="V29">
            <v>34584.527499999997</v>
          </cell>
          <cell r="W29">
            <v>34883.357629999999</v>
          </cell>
          <cell r="X29">
            <v>35182.555249999998</v>
          </cell>
          <cell r="Y29">
            <v>35481.501320000003</v>
          </cell>
          <cell r="Z29">
            <v>35774.879970000002</v>
          </cell>
          <cell r="AA29">
            <v>36067.467900000003</v>
          </cell>
          <cell r="AB29">
            <v>36359.082439999998</v>
          </cell>
          <cell r="AC29">
            <v>36649.656459999998</v>
          </cell>
          <cell r="AD29">
            <v>36939.133889999997</v>
          </cell>
          <cell r="AE29">
            <v>37213.86666</v>
          </cell>
          <cell r="AF29">
            <v>37481.938450000001</v>
          </cell>
          <cell r="AG29">
            <v>37744.012260000003</v>
          </cell>
          <cell r="AH29">
            <v>38001.003349999999</v>
          </cell>
          <cell r="AI29">
            <v>38253.85658</v>
          </cell>
          <cell r="AJ29">
            <v>38503.441059999997</v>
          </cell>
          <cell r="AK29">
            <v>38750.507210000003</v>
          </cell>
          <cell r="AL29">
            <v>38995.679940000002</v>
          </cell>
          <cell r="AM29">
            <v>39239.471120000002</v>
          </cell>
          <cell r="AN29">
            <v>39482.299709999999</v>
          </cell>
          <cell r="AO29">
            <v>39724.51251</v>
          </cell>
          <cell r="AP29">
            <v>39963.32548</v>
          </cell>
          <cell r="AQ29">
            <v>40199.201959999999</v>
          </cell>
          <cell r="AR29">
            <v>40432.636850000003</v>
          </cell>
          <cell r="AS29">
            <v>40664.179429999997</v>
          </cell>
          <cell r="AT29">
            <v>40894.39445</v>
          </cell>
          <cell r="AU29">
            <v>41123.818299999999</v>
          </cell>
          <cell r="AV29">
            <v>41352.927530000001</v>
          </cell>
          <cell r="AW29">
            <v>41582.122450000003</v>
          </cell>
          <cell r="AX29">
            <v>41811.723489999997</v>
          </cell>
          <cell r="AY29">
            <v>42041.976020000002</v>
          </cell>
          <cell r="AZ29">
            <v>42273.320399999997</v>
          </cell>
          <cell r="BA29">
            <v>42505.863749999997</v>
          </cell>
          <cell r="BB29">
            <v>42739.663569999997</v>
          </cell>
          <cell r="BC29">
            <v>42974.73158</v>
          </cell>
          <cell r="BD29">
            <v>43211.043559999998</v>
          </cell>
          <cell r="BE29">
            <v>43448.549679999996</v>
          </cell>
          <cell r="BF29">
            <v>43687.182070000003</v>
          </cell>
          <cell r="BG29">
            <v>43926.859049999999</v>
          </cell>
          <cell r="BH29">
            <v>44167.486830000002</v>
          </cell>
          <cell r="BI29">
            <v>44408.959620000001</v>
          </cell>
        </row>
        <row r="37">
          <cell r="F37">
            <v>44.765000000000001</v>
          </cell>
          <cell r="G37">
            <v>62.527370990000001</v>
          </cell>
          <cell r="H37">
            <v>81.219025740000006</v>
          </cell>
          <cell r="I37">
            <v>100.35870559999999</v>
          </cell>
          <cell r="J37">
            <v>119.6436751</v>
          </cell>
          <cell r="K37">
            <v>138.89068019999999</v>
          </cell>
          <cell r="L37">
            <v>157.95549159999999</v>
          </cell>
          <cell r="M37">
            <v>176.77435180000001</v>
          </cell>
          <cell r="N37">
            <v>195.31090470000001</v>
          </cell>
          <cell r="O37">
            <v>213.54517670000001</v>
          </cell>
          <cell r="P37">
            <v>231.5305913</v>
          </cell>
          <cell r="Q37">
            <v>249.19786329999999</v>
          </cell>
          <cell r="R37">
            <v>266.5438638</v>
          </cell>
          <cell r="S37">
            <v>283.5673577</v>
          </cell>
          <cell r="T37">
            <v>300.26977640000001</v>
          </cell>
          <cell r="U37">
            <v>316.65513579999998</v>
          </cell>
          <cell r="V37">
            <v>332.72971469999999</v>
          </cell>
          <cell r="W37">
            <v>348.50172029999999</v>
          </cell>
          <cell r="X37">
            <v>363.98101969999999</v>
          </cell>
          <cell r="Y37">
            <v>379.17895759999999</v>
          </cell>
          <cell r="Z37">
            <v>394.06073989999999</v>
          </cell>
          <cell r="AA37">
            <v>408.68932150000001</v>
          </cell>
          <cell r="AB37">
            <v>423.08158839999999</v>
          </cell>
          <cell r="AC37">
            <v>437.25609789999999</v>
          </cell>
          <cell r="AD37">
            <v>451.23207839999998</v>
          </cell>
          <cell r="AE37">
            <v>464.89240810000001</v>
          </cell>
          <cell r="AF37">
            <v>478.33367120000003</v>
          </cell>
          <cell r="AG37">
            <v>491.58281099999999</v>
          </cell>
          <cell r="AH37">
            <v>504.67099969999998</v>
          </cell>
          <cell r="AI37">
            <v>517.63145610000004</v>
          </cell>
          <cell r="AJ37">
            <v>530.49837490000004</v>
          </cell>
          <cell r="AK37">
            <v>543.30645010000001</v>
          </cell>
          <cell r="AL37">
            <v>556.09075259999997</v>
          </cell>
          <cell r="AM37">
            <v>568.8868152</v>
          </cell>
          <cell r="AN37">
            <v>581.73082839999995</v>
          </cell>
          <cell r="AO37">
            <v>594.65988319999997</v>
          </cell>
          <cell r="AP37">
            <v>607.67821249999997</v>
          </cell>
          <cell r="AQ37">
            <v>620.82576930000005</v>
          </cell>
          <cell r="AR37">
            <v>634.14518699999996</v>
          </cell>
          <cell r="AS37">
            <v>647.68231049999997</v>
          </cell>
          <cell r="AT37">
            <v>661.48603539999999</v>
          </cell>
          <cell r="AU37">
            <v>675.60806060000004</v>
          </cell>
          <cell r="AV37">
            <v>690.10275220000005</v>
          </cell>
          <cell r="AW37">
            <v>705.0271649</v>
          </cell>
          <cell r="AX37">
            <v>720.44121050000001</v>
          </cell>
          <cell r="AY37">
            <v>736.40794530000005</v>
          </cell>
          <cell r="AZ37">
            <v>752.99737560000005</v>
          </cell>
          <cell r="BA37">
            <v>770.28009999999995</v>
          </cell>
          <cell r="BB37">
            <v>788.33108790000006</v>
          </cell>
          <cell r="BC37">
            <v>807.2300874</v>
          </cell>
          <cell r="BD37">
            <v>827.06212089999997</v>
          </cell>
          <cell r="BE37">
            <v>847.91803319999997</v>
          </cell>
          <cell r="BF37">
            <v>869.89507930000002</v>
          </cell>
          <cell r="BG37">
            <v>893.09754210000006</v>
          </cell>
          <cell r="BH37">
            <v>917.6373734</v>
          </cell>
          <cell r="BI37">
            <v>943.63485630000002</v>
          </cell>
        </row>
        <row r="45">
          <cell r="F45">
            <v>1.9359999999999999</v>
          </cell>
          <cell r="G45">
            <v>1.992675011</v>
          </cell>
          <cell r="H45">
            <v>2.0605130620000001</v>
          </cell>
          <cell r="I45">
            <v>2.134619727</v>
          </cell>
          <cell r="J45">
            <v>2.2118520890000002</v>
          </cell>
          <cell r="K45">
            <v>2.2902607370000001</v>
          </cell>
          <cell r="L45">
            <v>2.3683424870000001</v>
          </cell>
          <cell r="M45">
            <v>2.4453980660000001</v>
          </cell>
          <cell r="N45">
            <v>2.5210237119999999</v>
          </cell>
          <cell r="O45">
            <v>2.5949944700000001</v>
          </cell>
          <cell r="P45">
            <v>2.6677545519999999</v>
          </cell>
          <cell r="Q45">
            <v>2.7386593609999998</v>
          </cell>
          <cell r="R45">
            <v>2.8076723879999999</v>
          </cell>
          <cell r="S45">
            <v>2.874775235</v>
          </cell>
          <cell r="T45">
            <v>2.9399713759999999</v>
          </cell>
          <cell r="U45">
            <v>3.0032833390000002</v>
          </cell>
          <cell r="V45">
            <v>3.0647483260000001</v>
          </cell>
          <cell r="W45">
            <v>3.1244140109999998</v>
          </cell>
          <cell r="X45">
            <v>3.1823351600000001</v>
          </cell>
          <cell r="Y45">
            <v>3.238571205</v>
          </cell>
          <cell r="Z45">
            <v>3.2927792290000002</v>
          </cell>
          <cell r="AA45">
            <v>3.34545088</v>
          </cell>
          <cell r="AB45">
            <v>3.3966616630000002</v>
          </cell>
          <cell r="AC45">
            <v>3.446490882</v>
          </cell>
          <cell r="AD45">
            <v>3.495013369</v>
          </cell>
          <cell r="AE45">
            <v>3.5411570389999998</v>
          </cell>
          <cell r="AF45">
            <v>3.585653288</v>
          </cell>
          <cell r="AG45">
            <v>3.6286172300000001</v>
          </cell>
          <cell r="AH45">
            <v>3.6701823130000002</v>
          </cell>
          <cell r="AI45">
            <v>3.7104821139999999</v>
          </cell>
          <cell r="AJ45">
            <v>3.749641676</v>
          </cell>
          <cell r="AK45">
            <v>3.7877739359999998</v>
          </cell>
          <cell r="AL45">
            <v>3.8249791360000001</v>
          </cell>
          <cell r="AM45">
            <v>3.8613458409999999</v>
          </cell>
          <cell r="AN45">
            <v>3.8969526220000001</v>
          </cell>
          <cell r="AO45">
            <v>3.9318698150000002</v>
          </cell>
          <cell r="AP45">
            <v>3.9659026060000002</v>
          </cell>
          <cell r="AQ45">
            <v>3.9991229650000002</v>
          </cell>
          <cell r="AR45">
            <v>4.0316040490000002</v>
          </cell>
          <cell r="AS45">
            <v>4.063422246</v>
          </cell>
          <cell r="AT45">
            <v>4.094654061</v>
          </cell>
          <cell r="AU45">
            <v>4.1253725250000004</v>
          </cell>
          <cell r="AV45">
            <v>4.155644584</v>
          </cell>
          <cell r="AW45">
            <v>4.1855297140000003</v>
          </cell>
          <cell r="AX45">
            <v>4.2150795780000001</v>
          </cell>
          <cell r="AY45">
            <v>4.2443383969999999</v>
          </cell>
          <cell r="AZ45">
            <v>4.2733656179999997</v>
          </cell>
          <cell r="BA45">
            <v>4.302191852</v>
          </cell>
          <cell r="BB45">
            <v>4.3308423300000003</v>
          </cell>
          <cell r="BC45">
            <v>4.3593372370000001</v>
          </cell>
          <cell r="BD45">
            <v>4.3876925509999998</v>
          </cell>
          <cell r="BE45">
            <v>4.4159209449999999</v>
          </cell>
          <cell r="BF45">
            <v>4.4440324560000004</v>
          </cell>
          <cell r="BG45">
            <v>4.4720348899999998</v>
          </cell>
          <cell r="BH45">
            <v>4.4999340139999999</v>
          </cell>
          <cell r="BI45">
            <v>4.5277336149999998</v>
          </cell>
        </row>
        <row r="104">
          <cell r="F104">
            <v>3.476542051</v>
          </cell>
          <cell r="G104">
            <v>6.3126721699999999</v>
          </cell>
          <cell r="H104">
            <v>9.5300235480000008</v>
          </cell>
          <cell r="I104">
            <v>12.722456810000001</v>
          </cell>
          <cell r="J104">
            <v>15.637005500000001</v>
          </cell>
          <cell r="K104">
            <v>18.098824619999998</v>
          </cell>
          <cell r="L104">
            <v>19.913918290000002</v>
          </cell>
          <cell r="M104">
            <v>24.598826939999999</v>
          </cell>
          <cell r="N104">
            <v>30.431781139999998</v>
          </cell>
          <cell r="O104">
            <v>36.720337620000002</v>
          </cell>
          <cell r="P104">
            <v>43.207835209999999</v>
          </cell>
          <cell r="Q104">
            <v>49.69076802</v>
          </cell>
          <cell r="R104">
            <v>56.153197179999999</v>
          </cell>
          <cell r="S104">
            <v>62.56813691</v>
          </cell>
          <cell r="T104">
            <v>68.921140699999995</v>
          </cell>
          <cell r="U104">
            <v>75.203815710000001</v>
          </cell>
          <cell r="V104">
            <v>81.410406800000004</v>
          </cell>
          <cell r="W104">
            <v>87.536157209999999</v>
          </cell>
          <cell r="X104">
            <v>93.577185459999995</v>
          </cell>
          <cell r="Y104">
            <v>99.530701640000004</v>
          </cell>
          <cell r="Z104">
            <v>105.3672803</v>
          </cell>
          <cell r="AA104">
            <v>111.1361528</v>
          </cell>
          <cell r="AB104">
            <v>116.81095980000001</v>
          </cell>
          <cell r="AC104">
            <v>122.3950036</v>
          </cell>
          <cell r="AD104">
            <v>127.8943355</v>
          </cell>
          <cell r="AE104">
            <v>133.2391987</v>
          </cell>
          <cell r="AF104">
            <v>138.53314900000001</v>
          </cell>
          <cell r="AG104">
            <v>143.73335460000001</v>
          </cell>
          <cell r="AH104">
            <v>148.8393639</v>
          </cell>
          <cell r="AI104">
            <v>153.85482590000001</v>
          </cell>
          <cell r="AJ104">
            <v>158.7872586</v>
          </cell>
          <cell r="AK104">
            <v>163.6479946</v>
          </cell>
          <cell r="AL104">
            <v>168.4501257</v>
          </cell>
          <cell r="AM104">
            <v>173.20651620000001</v>
          </cell>
          <cell r="AN104">
            <v>177.92777269999999</v>
          </cell>
          <cell r="AO104">
            <v>182.6208881</v>
          </cell>
          <cell r="AP104">
            <v>187.27098380000001</v>
          </cell>
          <cell r="AQ104">
            <v>191.8867382</v>
          </cell>
          <cell r="AR104">
            <v>196.46017549999999</v>
          </cell>
          <cell r="AS104">
            <v>200.98304250000001</v>
          </cell>
          <cell r="AT104">
            <v>205.446575</v>
          </cell>
          <cell r="AU104">
            <v>209.84119440000001</v>
          </cell>
          <cell r="AV104">
            <v>214.15658980000001</v>
          </cell>
          <cell r="AW104">
            <v>218.3822049</v>
          </cell>
          <cell r="AX104">
            <v>222.50759020000001</v>
          </cell>
          <cell r="AY104">
            <v>226.52656239999999</v>
          </cell>
          <cell r="AZ104">
            <v>230.5768908</v>
          </cell>
          <cell r="BA104">
            <v>234.73714469999999</v>
          </cell>
          <cell r="BB104">
            <v>239.0298487</v>
          </cell>
          <cell r="BC104">
            <v>243.4464413</v>
          </cell>
          <cell r="BD104">
            <v>247.96656830000001</v>
          </cell>
          <cell r="BE104">
            <v>252.56828640000001</v>
          </cell>
          <cell r="BF104">
            <v>257.23171000000002</v>
          </cell>
          <cell r="BG104">
            <v>261.93937160000002</v>
          </cell>
          <cell r="BH104">
            <v>266.6772532</v>
          </cell>
          <cell r="BI104">
            <v>271.43485520000002</v>
          </cell>
        </row>
        <row r="105">
          <cell r="F105">
            <v>68.80476281</v>
          </cell>
          <cell r="G105">
            <v>76.439123620000004</v>
          </cell>
          <cell r="H105">
            <v>83.934815599999993</v>
          </cell>
          <cell r="I105">
            <v>91.081188449999999</v>
          </cell>
          <cell r="J105">
            <v>98.288672140000003</v>
          </cell>
          <cell r="K105">
            <v>105.9967458</v>
          </cell>
          <cell r="L105">
            <v>114.20770899999999</v>
          </cell>
          <cell r="M105">
            <v>120.29955219999999</v>
          </cell>
          <cell r="N105">
            <v>125.29063979999999</v>
          </cell>
          <cell r="O105">
            <v>129.65961010000001</v>
          </cell>
          <cell r="P105">
            <v>134.70458070000001</v>
          </cell>
          <cell r="Q105">
            <v>138.5014419</v>
          </cell>
          <cell r="R105">
            <v>142.17486779999999</v>
          </cell>
          <cell r="S105">
            <v>145.78127699999999</v>
          </cell>
          <cell r="T105">
            <v>149.3573518</v>
          </cell>
          <cell r="U105">
            <v>152.9277563</v>
          </cell>
          <cell r="V105">
            <v>156.51004130000001</v>
          </cell>
          <cell r="W105">
            <v>160.11772629999999</v>
          </cell>
          <cell r="X105">
            <v>163.76182879999999</v>
          </cell>
          <cell r="Y105">
            <v>167.45151770000001</v>
          </cell>
          <cell r="Z105">
            <v>170.50820970000001</v>
          </cell>
          <cell r="AA105">
            <v>174.3124037</v>
          </cell>
          <cell r="AB105">
            <v>178.18490389999999</v>
          </cell>
          <cell r="AC105">
            <v>182.12759360000001</v>
          </cell>
          <cell r="AD105">
            <v>186.13798650000001</v>
          </cell>
          <cell r="AE105">
            <v>188.33825289999999</v>
          </cell>
          <cell r="AF105">
            <v>191.59683279999999</v>
          </cell>
          <cell r="AG105">
            <v>194.92479109999999</v>
          </cell>
          <cell r="AH105">
            <v>198.3239135</v>
          </cell>
          <cell r="AI105">
            <v>201.79155689999999</v>
          </cell>
          <cell r="AJ105">
            <v>205.31996219999999</v>
          </cell>
          <cell r="AK105">
            <v>208.896083</v>
          </cell>
          <cell r="AL105">
            <v>212.5033809</v>
          </cell>
          <cell r="AM105">
            <v>216.12420729999999</v>
          </cell>
          <cell r="AN105">
            <v>219.7424048</v>
          </cell>
          <cell r="AO105">
            <v>223.34537929999999</v>
          </cell>
          <cell r="AP105">
            <v>226.52682899999999</v>
          </cell>
          <cell r="AQ105">
            <v>229.68791830000001</v>
          </cell>
          <cell r="AR105">
            <v>232.83530020000001</v>
          </cell>
          <cell r="AS105">
            <v>235.97805070000001</v>
          </cell>
          <cell r="AT105">
            <v>239.1268987</v>
          </cell>
          <cell r="AU105">
            <v>242.29396610000001</v>
          </cell>
          <cell r="AV105">
            <v>245.49245350000001</v>
          </cell>
          <cell r="AW105">
            <v>248.73600529999999</v>
          </cell>
          <cell r="AX105">
            <v>252.03809649999999</v>
          </cell>
          <cell r="AY105">
            <v>255.40858009999999</v>
          </cell>
          <cell r="AZ105">
            <v>258.78325860000001</v>
          </cell>
          <cell r="BA105">
            <v>262.04217840000001</v>
          </cell>
          <cell r="BB105">
            <v>265.13726939999998</v>
          </cell>
          <cell r="BC105">
            <v>268.05428940000002</v>
          </cell>
          <cell r="BD105">
            <v>270.79958199999999</v>
          </cell>
          <cell r="BE105">
            <v>273.38942520000001</v>
          </cell>
          <cell r="BF105">
            <v>275.84375419999998</v>
          </cell>
          <cell r="BG105">
            <v>278.18311849999998</v>
          </cell>
          <cell r="BH105">
            <v>280.42654870000001</v>
          </cell>
          <cell r="BI105">
            <v>282.59049859999999</v>
          </cell>
        </row>
        <row r="106">
          <cell r="F106">
            <v>408.28039699999999</v>
          </cell>
          <cell r="G106">
            <v>424.39375380000001</v>
          </cell>
          <cell r="H106">
            <v>441.17755249999999</v>
          </cell>
          <cell r="I106">
            <v>457.50304349999999</v>
          </cell>
          <cell r="J106">
            <v>474.0857426</v>
          </cell>
          <cell r="K106">
            <v>491.73626030000003</v>
          </cell>
          <cell r="L106">
            <v>509.68852199999998</v>
          </cell>
          <cell r="M106">
            <v>525.32740579999995</v>
          </cell>
          <cell r="N106">
            <v>539.16040120000002</v>
          </cell>
          <cell r="O106">
            <v>551.70896800000003</v>
          </cell>
          <cell r="P106">
            <v>566.32454240000004</v>
          </cell>
          <cell r="Q106">
            <v>577.49615540000002</v>
          </cell>
          <cell r="R106">
            <v>588.34145820000003</v>
          </cell>
          <cell r="S106">
            <v>599.006304</v>
          </cell>
          <cell r="T106">
            <v>609.59185609999997</v>
          </cell>
          <cell r="U106">
            <v>620.16954799999996</v>
          </cell>
          <cell r="V106">
            <v>630.79224420000003</v>
          </cell>
          <cell r="W106">
            <v>641.50195589999998</v>
          </cell>
          <cell r="X106">
            <v>652.33367940000005</v>
          </cell>
          <cell r="Y106">
            <v>663.31696669999997</v>
          </cell>
          <cell r="Z106">
            <v>672.55033100000003</v>
          </cell>
          <cell r="AA106">
            <v>683.91340109999999</v>
          </cell>
          <cell r="AB106">
            <v>695.50212939999994</v>
          </cell>
          <cell r="AC106">
            <v>707.32263049999995</v>
          </cell>
          <cell r="AD106">
            <v>719.36658729999999</v>
          </cell>
          <cell r="AE106">
            <v>726.36017140000001</v>
          </cell>
          <cell r="AF106">
            <v>736.35767050000004</v>
          </cell>
          <cell r="AG106">
            <v>746.58433170000001</v>
          </cell>
          <cell r="AH106">
            <v>757.04529730000002</v>
          </cell>
          <cell r="AI106">
            <v>767.73112590000005</v>
          </cell>
          <cell r="AJ106">
            <v>778.61559980000004</v>
          </cell>
          <cell r="AK106">
            <v>789.65526190000003</v>
          </cell>
          <cell r="AL106">
            <v>800.79528289999996</v>
          </cell>
          <cell r="AM106">
            <v>811.97730100000001</v>
          </cell>
          <cell r="AN106">
            <v>823.14797759999999</v>
          </cell>
          <cell r="AO106">
            <v>834.26580230000002</v>
          </cell>
          <cell r="AP106">
            <v>844.1870715</v>
          </cell>
          <cell r="AQ106">
            <v>854.03901099999996</v>
          </cell>
          <cell r="AR106">
            <v>863.84352939999997</v>
          </cell>
          <cell r="AS106">
            <v>873.63052970000001</v>
          </cell>
          <cell r="AT106">
            <v>883.4353251</v>
          </cell>
          <cell r="AU106">
            <v>893.29775789999997</v>
          </cell>
          <cell r="AV106">
            <v>903.26115400000003</v>
          </cell>
          <cell r="AW106">
            <v>913.37024210000004</v>
          </cell>
          <cell r="AX106">
            <v>923.6691045</v>
          </cell>
          <cell r="AY106">
            <v>934.18969549999997</v>
          </cell>
          <cell r="AZ106">
            <v>944.7018918</v>
          </cell>
          <cell r="BA106">
            <v>954.82434820000003</v>
          </cell>
          <cell r="BB106">
            <v>964.39852740000003</v>
          </cell>
          <cell r="BC106">
            <v>973.37834510000005</v>
          </cell>
          <cell r="BD106">
            <v>981.78589680000005</v>
          </cell>
          <cell r="BE106">
            <v>989.6759849</v>
          </cell>
          <cell r="BF106">
            <v>997.11530019999998</v>
          </cell>
          <cell r="BG106">
            <v>1004.1724</v>
          </cell>
          <cell r="BH106">
            <v>1010.910661</v>
          </cell>
          <cell r="BI106">
            <v>1017.384807</v>
          </cell>
        </row>
        <row r="107">
          <cell r="F107">
            <v>954.38155940000001</v>
          </cell>
          <cell r="G107">
            <v>948.70481119999999</v>
          </cell>
          <cell r="H107">
            <v>944.06577930000003</v>
          </cell>
          <cell r="I107">
            <v>939.88511510000001</v>
          </cell>
          <cell r="J107">
            <v>935.61201779999999</v>
          </cell>
          <cell r="K107">
            <v>930.63656609999998</v>
          </cell>
          <cell r="L107">
            <v>924.04043630000001</v>
          </cell>
          <cell r="M107">
            <v>918.5499284</v>
          </cell>
          <cell r="N107">
            <v>913.69275549999998</v>
          </cell>
          <cell r="O107">
            <v>909.1841455</v>
          </cell>
          <cell r="P107">
            <v>904.86845830000004</v>
          </cell>
          <cell r="Q107">
            <v>900.66251590000002</v>
          </cell>
          <cell r="R107">
            <v>896.52180129999999</v>
          </cell>
          <cell r="S107">
            <v>892.42332390000001</v>
          </cell>
          <cell r="T107">
            <v>888.35519469999997</v>
          </cell>
          <cell r="U107">
            <v>884.31128590000003</v>
          </cell>
          <cell r="V107">
            <v>880.28842039999995</v>
          </cell>
          <cell r="W107">
            <v>876.28491659999997</v>
          </cell>
          <cell r="X107">
            <v>872.29984509999997</v>
          </cell>
          <cell r="Y107">
            <v>868.33265429999994</v>
          </cell>
          <cell r="Z107">
            <v>864.3829839</v>
          </cell>
          <cell r="AA107">
            <v>860.45030350000002</v>
          </cell>
          <cell r="AB107">
            <v>856.53466619999995</v>
          </cell>
          <cell r="AC107">
            <v>852.63590350000004</v>
          </cell>
          <cell r="AD107">
            <v>848.75388109999994</v>
          </cell>
          <cell r="AE107">
            <v>844.88848770000004</v>
          </cell>
          <cell r="AF107">
            <v>841.0388888</v>
          </cell>
          <cell r="AG107">
            <v>837.20535610000002</v>
          </cell>
          <cell r="AH107">
            <v>833.38779460000001</v>
          </cell>
          <cell r="AI107">
            <v>829.5861337</v>
          </cell>
          <cell r="AJ107">
            <v>825.80032900000003</v>
          </cell>
          <cell r="AK107">
            <v>822.03036350000002</v>
          </cell>
          <cell r="AL107">
            <v>818.27623649999998</v>
          </cell>
          <cell r="AM107">
            <v>814.53795700000001</v>
          </cell>
          <cell r="AN107">
            <v>810.81553799999995</v>
          </cell>
          <cell r="AO107">
            <v>807.10899300000005</v>
          </cell>
          <cell r="AP107">
            <v>803.4183319</v>
          </cell>
          <cell r="AQ107">
            <v>799.74340180000002</v>
          </cell>
          <cell r="AR107">
            <v>796.08419960000003</v>
          </cell>
          <cell r="AS107">
            <v>792.44072129999995</v>
          </cell>
          <cell r="AT107">
            <v>788.81296350000002</v>
          </cell>
          <cell r="AU107">
            <v>785.20092320000003</v>
          </cell>
          <cell r="AV107">
            <v>781.60459779999996</v>
          </cell>
          <cell r="AW107">
            <v>778.0239861</v>
          </cell>
          <cell r="AX107">
            <v>774.45908859999997</v>
          </cell>
          <cell r="AY107">
            <v>770.90990699999998</v>
          </cell>
          <cell r="AZ107">
            <v>767.37644350000005</v>
          </cell>
          <cell r="BA107">
            <v>763.8586808</v>
          </cell>
          <cell r="BB107">
            <v>760.3565595</v>
          </cell>
          <cell r="BC107">
            <v>756.87000239999998</v>
          </cell>
          <cell r="BD107">
            <v>753.39892399999997</v>
          </cell>
          <cell r="BE107">
            <v>749.9432372</v>
          </cell>
          <cell r="BF107">
            <v>746.50285629999996</v>
          </cell>
          <cell r="BG107">
            <v>743.07770129999994</v>
          </cell>
          <cell r="BH107">
            <v>739.66769880000004</v>
          </cell>
          <cell r="BI107">
            <v>736.27278190000004</v>
          </cell>
        </row>
        <row r="108">
          <cell r="F108">
            <v>878.79999729999997</v>
          </cell>
          <cell r="G108">
            <v>868.20180119999998</v>
          </cell>
          <cell r="H108">
            <v>858.14469659999997</v>
          </cell>
          <cell r="I108">
            <v>848.46725049999998</v>
          </cell>
          <cell r="J108">
            <v>838.84195850000003</v>
          </cell>
          <cell r="K108">
            <v>828.80253919999996</v>
          </cell>
          <cell r="L108">
            <v>817.82604709999998</v>
          </cell>
          <cell r="M108">
            <v>807.29467339999997</v>
          </cell>
          <cell r="N108">
            <v>797.88181340000006</v>
          </cell>
          <cell r="O108">
            <v>789.56941089999998</v>
          </cell>
          <cell r="P108">
            <v>782.11646210000004</v>
          </cell>
          <cell r="Q108">
            <v>775.27696170000002</v>
          </cell>
          <cell r="R108">
            <v>768.85010509999995</v>
          </cell>
          <cell r="S108">
            <v>762.68544369999995</v>
          </cell>
          <cell r="T108">
            <v>756.67282609999995</v>
          </cell>
          <cell r="U108">
            <v>750.73164780000002</v>
          </cell>
          <cell r="V108">
            <v>744.80108729999995</v>
          </cell>
          <cell r="W108">
            <v>738.83246959999997</v>
          </cell>
          <cell r="X108">
            <v>732.78481290000002</v>
          </cell>
          <cell r="Y108">
            <v>726.62280469999996</v>
          </cell>
          <cell r="Z108">
            <v>720.31367209999996</v>
          </cell>
          <cell r="AA108">
            <v>713.82471640000006</v>
          </cell>
          <cell r="AB108">
            <v>707.13169900000003</v>
          </cell>
          <cell r="AC108">
            <v>700.22328979999998</v>
          </cell>
          <cell r="AD108">
            <v>693.10419279999996</v>
          </cell>
          <cell r="AE108">
            <v>685.78222010000002</v>
          </cell>
          <cell r="AF108">
            <v>678.24681999999996</v>
          </cell>
          <cell r="AG108">
            <v>670.48417459999996</v>
          </cell>
          <cell r="AH108">
            <v>662.48786949999999</v>
          </cell>
          <cell r="AI108">
            <v>654.26640450000002</v>
          </cell>
          <cell r="AJ108">
            <v>645.84632360000001</v>
          </cell>
          <cell r="AK108">
            <v>637.27291579999996</v>
          </cell>
          <cell r="AL108">
            <v>628.60461420000001</v>
          </cell>
          <cell r="AM108">
            <v>619.90476579999995</v>
          </cell>
          <cell r="AN108">
            <v>611.23250680000001</v>
          </cell>
          <cell r="AO108">
            <v>602.6352402</v>
          </cell>
          <cell r="AP108">
            <v>594.13859490000004</v>
          </cell>
          <cell r="AQ108">
            <v>585.73990349999997</v>
          </cell>
          <cell r="AR108">
            <v>577.41897159999996</v>
          </cell>
          <cell r="AS108">
            <v>569.14546470000005</v>
          </cell>
          <cell r="AT108">
            <v>560.88249659999997</v>
          </cell>
          <cell r="AU108">
            <v>552.58807200000001</v>
          </cell>
          <cell r="AV108">
            <v>544.21635849999996</v>
          </cell>
          <cell r="AW108">
            <v>535.71990800000003</v>
          </cell>
          <cell r="AX108">
            <v>527.05196639999997</v>
          </cell>
          <cell r="AY108">
            <v>518.17724620000001</v>
          </cell>
          <cell r="AZ108">
            <v>509.37672140000001</v>
          </cell>
          <cell r="BA108">
            <v>500.9497283</v>
          </cell>
          <cell r="BB108">
            <v>493.080645</v>
          </cell>
          <cell r="BC108">
            <v>485.8386438</v>
          </cell>
          <cell r="BD108">
            <v>479.21591990000002</v>
          </cell>
          <cell r="BE108">
            <v>473.16361160000002</v>
          </cell>
          <cell r="BF108">
            <v>467.61524459999998</v>
          </cell>
          <cell r="BG108">
            <v>462.49942329999999</v>
          </cell>
          <cell r="BH108">
            <v>457.74798179999999</v>
          </cell>
          <cell r="BI108">
            <v>453.30045360000003</v>
          </cell>
        </row>
        <row r="109">
          <cell r="F109">
            <v>139.85209269999999</v>
          </cell>
          <cell r="G109">
            <v>137.95044630000001</v>
          </cell>
          <cell r="H109">
            <v>136.07601829999999</v>
          </cell>
          <cell r="I109">
            <v>134.23667570000001</v>
          </cell>
          <cell r="J109">
            <v>132.4378107</v>
          </cell>
          <cell r="K109">
            <v>130.6807431</v>
          </cell>
          <cell r="L109">
            <v>128.96334909999999</v>
          </cell>
          <cell r="M109">
            <v>127.28150650000001</v>
          </cell>
          <cell r="N109">
            <v>125.6306503</v>
          </cell>
          <cell r="O109">
            <v>124.0065385</v>
          </cell>
          <cell r="P109">
            <v>122.4056673</v>
          </cell>
          <cell r="Q109">
            <v>120.8253952</v>
          </cell>
          <cell r="R109">
            <v>119.2636775</v>
          </cell>
          <cell r="S109">
            <v>117.71899310000001</v>
          </cell>
          <cell r="T109">
            <v>116.190269</v>
          </cell>
          <cell r="U109">
            <v>114.67678909999999</v>
          </cell>
          <cell r="V109">
            <v>113.1781242</v>
          </cell>
          <cell r="W109">
            <v>111.6940718</v>
          </cell>
          <cell r="X109">
            <v>110.22461199999999</v>
          </cell>
          <cell r="Y109">
            <v>108.7698699</v>
          </cell>
          <cell r="Z109">
            <v>107.33004560000001</v>
          </cell>
          <cell r="AA109">
            <v>105.905394</v>
          </cell>
          <cell r="AB109">
            <v>104.4962601</v>
          </cell>
          <cell r="AC109">
            <v>103.1030164</v>
          </cell>
          <cell r="AD109">
            <v>101.7260185</v>
          </cell>
          <cell r="AE109">
            <v>100.365503</v>
          </cell>
          <cell r="AF109">
            <v>99.02158068</v>
          </cell>
          <cell r="AG109">
            <v>97.694382520000005</v>
          </cell>
          <cell r="AH109">
            <v>96.38403864</v>
          </cell>
          <cell r="AI109">
            <v>95.090650719999999</v>
          </cell>
          <cell r="AJ109">
            <v>93.814272970000005</v>
          </cell>
          <cell r="AK109">
            <v>92.554899590000005</v>
          </cell>
          <cell r="AL109">
            <v>91.312467769999998</v>
          </cell>
          <cell r="AM109">
            <v>90.086861450000001</v>
          </cell>
          <cell r="AN109">
            <v>88.877913879999994</v>
          </cell>
          <cell r="AO109">
            <v>87.685412310000004</v>
          </cell>
          <cell r="AP109">
            <v>86.509089309999993</v>
          </cell>
          <cell r="AQ109">
            <v>85.34863249</v>
          </cell>
          <cell r="AR109">
            <v>84.203725000000006</v>
          </cell>
          <cell r="AS109">
            <v>83.074048730000001</v>
          </cell>
          <cell r="AT109">
            <v>81.959282290000004</v>
          </cell>
          <cell r="AU109">
            <v>80.859102539999995</v>
          </cell>
          <cell r="AV109">
            <v>79.773190450000001</v>
          </cell>
          <cell r="AW109">
            <v>78.701237649999996</v>
          </cell>
          <cell r="AX109">
            <v>77.642947250000006</v>
          </cell>
          <cell r="AY109">
            <v>76.598033349999994</v>
          </cell>
          <cell r="AZ109">
            <v>75.566219649999994</v>
          </cell>
          <cell r="BA109">
            <v>74.547272289999995</v>
          </cell>
          <cell r="BB109">
            <v>73.541004290000004</v>
          </cell>
          <cell r="BC109">
            <v>72.547255469999996</v>
          </cell>
          <cell r="BD109">
            <v>71.565876959999997</v>
          </cell>
          <cell r="BE109">
            <v>70.596724280000004</v>
          </cell>
          <cell r="BF109">
            <v>69.639660230000004</v>
          </cell>
          <cell r="BG109">
            <v>68.694562020000006</v>
          </cell>
          <cell r="BH109">
            <v>67.761318090000003</v>
          </cell>
          <cell r="BI109">
            <v>66.839824059999998</v>
          </cell>
        </row>
        <row r="110">
          <cell r="F110">
            <v>3.874567114</v>
          </cell>
          <cell r="G110">
            <v>3.7237652689999998</v>
          </cell>
          <cell r="H110">
            <v>3.5792210679999998</v>
          </cell>
          <cell r="I110">
            <v>3.4412548319999998</v>
          </cell>
          <cell r="J110">
            <v>3.3100063660000001</v>
          </cell>
          <cell r="K110">
            <v>3.1853211030000002</v>
          </cell>
          <cell r="L110">
            <v>3.0668081470000002</v>
          </cell>
          <cell r="M110">
            <v>2.953955884</v>
          </cell>
          <cell r="N110">
            <v>2.8462362649999999</v>
          </cell>
          <cell r="O110">
            <v>2.743165624</v>
          </cell>
          <cell r="P110">
            <v>2.644335978</v>
          </cell>
          <cell r="Q110">
            <v>2.5494195180000001</v>
          </cell>
          <cell r="R110">
            <v>2.4581453849999999</v>
          </cell>
          <cell r="S110">
            <v>2.3702903050000002</v>
          </cell>
          <cell r="T110">
            <v>2.2856700980000002</v>
          </cell>
          <cell r="U110">
            <v>2.2041312749999999</v>
          </cell>
          <cell r="V110">
            <v>2.1255443199999999</v>
          </cell>
          <cell r="W110">
            <v>2.0497977540000001</v>
          </cell>
          <cell r="X110">
            <v>1.976793676</v>
          </cell>
          <cell r="Y110">
            <v>1.906444526</v>
          </cell>
          <cell r="Z110">
            <v>1.8386685810000001</v>
          </cell>
          <cell r="AA110">
            <v>1.773388486</v>
          </cell>
          <cell r="AB110">
            <v>1.7105330050000001</v>
          </cell>
          <cell r="AC110">
            <v>1.6500337549999999</v>
          </cell>
          <cell r="AD110">
            <v>1.5918230310000001</v>
          </cell>
          <cell r="AE110">
            <v>1.5358289650000001</v>
          </cell>
          <cell r="AF110">
            <v>1.4819755459999999</v>
          </cell>
          <cell r="AG110">
            <v>1.430189884</v>
          </cell>
          <cell r="AH110">
            <v>1.380401652</v>
          </cell>
          <cell r="AI110">
            <v>1.3325419679999999</v>
          </cell>
          <cell r="AJ110">
            <v>1.2865426719999999</v>
          </cell>
          <cell r="AK110">
            <v>1.2423359650000001</v>
          </cell>
          <cell r="AL110">
            <v>1.199854494</v>
          </cell>
          <cell r="AM110">
            <v>1.159031479</v>
          </cell>
          <cell r="AN110">
            <v>1.1198008239999999</v>
          </cell>
          <cell r="AO110">
            <v>1.082097351</v>
          </cell>
          <cell r="AP110">
            <v>1.0458564809999999</v>
          </cell>
          <cell r="AQ110">
            <v>1.0110146449999999</v>
          </cell>
          <cell r="AR110">
            <v>0.97751093180000004</v>
          </cell>
          <cell r="AS110">
            <v>0.94528715159999999</v>
          </cell>
          <cell r="AT110">
            <v>0.91428764309999999</v>
          </cell>
          <cell r="AU110">
            <v>0.88445919809999995</v>
          </cell>
          <cell r="AV110">
            <v>0.85575113650000001</v>
          </cell>
          <cell r="AW110">
            <v>0.82811541659999999</v>
          </cell>
          <cell r="AX110">
            <v>0.80150652389999999</v>
          </cell>
          <cell r="AY110">
            <v>0.77588131100000002</v>
          </cell>
          <cell r="AZ110">
            <v>0.75119878529999995</v>
          </cell>
          <cell r="BA110">
            <v>0.72742003470000005</v>
          </cell>
          <cell r="BB110">
            <v>0.70450828160000001</v>
          </cell>
          <cell r="BC110">
            <v>0.6824285283</v>
          </cell>
          <cell r="BD110">
            <v>0.66114732460000003</v>
          </cell>
          <cell r="BE110">
            <v>0.6406326712</v>
          </cell>
          <cell r="BF110">
            <v>0.62085410919999995</v>
          </cell>
          <cell r="BG110">
            <v>0.60178289979999999</v>
          </cell>
          <cell r="BH110">
            <v>0.58339185959999995</v>
          </cell>
          <cell r="BI110">
            <v>0.56565516309999997</v>
          </cell>
        </row>
        <row r="112">
          <cell r="F112">
            <v>3.476542051</v>
          </cell>
          <cell r="G112">
            <v>5.7227175580000003</v>
          </cell>
          <cell r="H112">
            <v>7.9150343330000004</v>
          </cell>
          <cell r="I112">
            <v>9.8028884529999996</v>
          </cell>
          <cell r="J112">
            <v>11.15595845</v>
          </cell>
          <cell r="K112">
            <v>16.284895769999999</v>
          </cell>
          <cell r="L112">
            <v>22.964123730000001</v>
          </cell>
          <cell r="M112">
            <v>30.052260350000001</v>
          </cell>
          <cell r="N112">
            <v>37.20088715</v>
          </cell>
          <cell r="O112">
            <v>44.335393959999998</v>
          </cell>
          <cell r="P112">
            <v>51.493059279999997</v>
          </cell>
          <cell r="Q112">
            <v>58.603516159999998</v>
          </cell>
          <cell r="R112">
            <v>65.708702489999993</v>
          </cell>
          <cell r="S112">
            <v>72.804982789999997</v>
          </cell>
          <cell r="T112">
            <v>79.885927730000006</v>
          </cell>
          <cell r="U112">
            <v>86.944265079999994</v>
          </cell>
          <cell r="V112">
            <v>93.972977729999997</v>
          </cell>
          <cell r="W112">
            <v>100.96592</v>
          </cell>
          <cell r="X112">
            <v>107.9181615</v>
          </cell>
          <cell r="Y112">
            <v>114.8261469</v>
          </cell>
          <cell r="Z112">
            <v>121.65976550000001</v>
          </cell>
          <cell r="AA112">
            <v>128.4675527</v>
          </cell>
          <cell r="AB112">
            <v>135.2218422</v>
          </cell>
          <cell r="AC112">
            <v>141.9238732</v>
          </cell>
          <cell r="AD112">
            <v>148.5764436</v>
          </cell>
          <cell r="AE112">
            <v>155.10651139999999</v>
          </cell>
          <cell r="AF112">
            <v>161.6159882</v>
          </cell>
          <cell r="AG112">
            <v>168.05819959999999</v>
          </cell>
          <cell r="AH112">
            <v>174.4262808</v>
          </cell>
          <cell r="AI112">
            <v>180.71546430000001</v>
          </cell>
          <cell r="AJ112">
            <v>186.9234438</v>
          </cell>
          <cell r="AK112">
            <v>193.049609</v>
          </cell>
          <cell r="AL112">
            <v>199.09405630000001</v>
          </cell>
          <cell r="AM112">
            <v>205.05673379999999</v>
          </cell>
          <cell r="AN112">
            <v>210.93670599999999</v>
          </cell>
          <cell r="AO112">
            <v>216.73156090000001</v>
          </cell>
          <cell r="AP112">
            <v>222.42007079999999</v>
          </cell>
          <cell r="AQ112">
            <v>228.00583119999999</v>
          </cell>
          <cell r="AR112">
            <v>233.47187719999999</v>
          </cell>
          <cell r="AS112">
            <v>238.79657710000001</v>
          </cell>
          <cell r="AT112">
            <v>243.95335779999999</v>
          </cell>
          <cell r="AU112">
            <v>248.90945249999999</v>
          </cell>
          <cell r="AV112">
            <v>253.62342380000001</v>
          </cell>
          <cell r="AW112">
            <v>258.04049509999999</v>
          </cell>
          <cell r="AX112">
            <v>262.08338989999999</v>
          </cell>
          <cell r="AY112">
            <v>265.63343630000003</v>
          </cell>
          <cell r="AZ112">
            <v>268.48958729999998</v>
          </cell>
          <cell r="BA112">
            <v>272.33600000000001</v>
          </cell>
          <cell r="BB112">
            <v>276.30579399999999</v>
          </cell>
          <cell r="BC112">
            <v>280.8630483</v>
          </cell>
          <cell r="BD112">
            <v>285.9392512</v>
          </cell>
          <cell r="BE112">
            <v>291.33082450000001</v>
          </cell>
          <cell r="BF112">
            <v>296.91354610000002</v>
          </cell>
          <cell r="BG112">
            <v>302.62488610000003</v>
          </cell>
          <cell r="BH112">
            <v>308.4303693</v>
          </cell>
          <cell r="BI112">
            <v>314.30686029999998</v>
          </cell>
        </row>
        <row r="113">
          <cell r="F113">
            <v>68.80476281</v>
          </cell>
          <cell r="G113">
            <v>77.184615829999998</v>
          </cell>
          <cell r="H113">
            <v>86.226500130000005</v>
          </cell>
          <cell r="I113">
            <v>95.792891040000001</v>
          </cell>
          <cell r="J113">
            <v>106.74449970000001</v>
          </cell>
          <cell r="K113">
            <v>114.8133211</v>
          </cell>
          <cell r="L113">
            <v>120.3170899</v>
          </cell>
          <cell r="M113">
            <v>124.82552200000001</v>
          </cell>
          <cell r="N113">
            <v>128.830072</v>
          </cell>
          <cell r="O113">
            <v>132.56907000000001</v>
          </cell>
          <cell r="P113">
            <v>137.1972801</v>
          </cell>
          <cell r="Q113">
            <v>140.7008926</v>
          </cell>
          <cell r="R113">
            <v>144.14773070000001</v>
          </cell>
          <cell r="S113">
            <v>147.55778470000001</v>
          </cell>
          <cell r="T113">
            <v>150.94395159999999</v>
          </cell>
          <cell r="U113">
            <v>154.31506580000001</v>
          </cell>
          <cell r="V113">
            <v>157.6774753</v>
          </cell>
          <cell r="W113">
            <v>161.03585709999999</v>
          </cell>
          <cell r="X113">
            <v>164.3936405</v>
          </cell>
          <cell r="Y113">
            <v>167.75324380000001</v>
          </cell>
          <cell r="Z113">
            <v>170.42983699999999</v>
          </cell>
          <cell r="AA113">
            <v>173.79780690000001</v>
          </cell>
          <cell r="AB113">
            <v>177.1732351</v>
          </cell>
          <cell r="AC113">
            <v>180.55595629999999</v>
          </cell>
          <cell r="AD113">
            <v>183.94505029999999</v>
          </cell>
          <cell r="AE113">
            <v>185.46562059999999</v>
          </cell>
          <cell r="AF113">
            <v>187.98597659999999</v>
          </cell>
          <cell r="AG113">
            <v>190.5167113</v>
          </cell>
          <cell r="AH113">
            <v>193.06131669999999</v>
          </cell>
          <cell r="AI113">
            <v>195.6223933</v>
          </cell>
          <cell r="AJ113">
            <v>198.20143999999999</v>
          </cell>
          <cell r="AK113">
            <v>200.79917090000001</v>
          </cell>
          <cell r="AL113">
            <v>203.41594119999999</v>
          </cell>
          <cell r="AM113">
            <v>206.0521301</v>
          </cell>
          <cell r="AN113">
            <v>208.70848050000001</v>
          </cell>
          <cell r="AO113">
            <v>211.38638539999999</v>
          </cell>
          <cell r="AP113">
            <v>213.68846819999999</v>
          </cell>
          <cell r="AQ113">
            <v>216.01925180000001</v>
          </cell>
          <cell r="AR113">
            <v>218.38685469999999</v>
          </cell>
          <cell r="AS113">
            <v>220.80179770000001</v>
          </cell>
          <cell r="AT113">
            <v>223.27728210000001</v>
          </cell>
          <cell r="AU113">
            <v>225.83003450000001</v>
          </cell>
          <cell r="AV113">
            <v>228.4820172</v>
          </cell>
          <cell r="AW113">
            <v>231.2638954</v>
          </cell>
          <cell r="AX113">
            <v>234.2226953</v>
          </cell>
          <cell r="AY113">
            <v>237.44139620000001</v>
          </cell>
          <cell r="AZ113">
            <v>241.137539</v>
          </cell>
          <cell r="BA113">
            <v>244.86286010000001</v>
          </cell>
          <cell r="BB113">
            <v>249.31718670000001</v>
          </cell>
          <cell r="BC113">
            <v>253.31751560000001</v>
          </cell>
          <cell r="BD113">
            <v>256.61939769999998</v>
          </cell>
          <cell r="BE113">
            <v>259.40995170000002</v>
          </cell>
          <cell r="BF113">
            <v>261.87038360000003</v>
          </cell>
          <cell r="BG113">
            <v>264.11785379999998</v>
          </cell>
          <cell r="BH113">
            <v>266.22311020000001</v>
          </cell>
          <cell r="BI113">
            <v>268.22936490000001</v>
          </cell>
        </row>
        <row r="114">
          <cell r="F114">
            <v>408.28039699999999</v>
          </cell>
          <cell r="G114">
            <v>425.47099270000001</v>
          </cell>
          <cell r="H114">
            <v>444.58497019999999</v>
          </cell>
          <cell r="I114">
            <v>464.58604120000001</v>
          </cell>
          <cell r="J114">
            <v>486.66937150000001</v>
          </cell>
          <cell r="K114">
            <v>503.40871809999999</v>
          </cell>
          <cell r="L114">
            <v>515.14709359999995</v>
          </cell>
          <cell r="M114">
            <v>525.29698399999995</v>
          </cell>
          <cell r="N114">
            <v>534.6699208</v>
          </cell>
          <cell r="O114">
            <v>543.64614389999997</v>
          </cell>
          <cell r="P114">
            <v>555.32218209999996</v>
          </cell>
          <cell r="Q114">
            <v>563.96911890000001</v>
          </cell>
          <cell r="R114">
            <v>572.54162459999998</v>
          </cell>
          <cell r="S114">
            <v>581.06934260000003</v>
          </cell>
          <cell r="T114">
            <v>589.57116440000004</v>
          </cell>
          <cell r="U114">
            <v>598.05991770000003</v>
          </cell>
          <cell r="V114">
            <v>606.54476850000003</v>
          </cell>
          <cell r="W114">
            <v>615.03244419999999</v>
          </cell>
          <cell r="X114">
            <v>623.52785080000001</v>
          </cell>
          <cell r="Y114">
            <v>632.03440379999995</v>
          </cell>
          <cell r="Z114">
            <v>638.62618010000006</v>
          </cell>
          <cell r="AA114">
            <v>647.15852900000004</v>
          </cell>
          <cell r="AB114">
            <v>655.70989510000004</v>
          </cell>
          <cell r="AC114">
            <v>664.27969399999995</v>
          </cell>
          <cell r="AD114">
            <v>672.86614580000003</v>
          </cell>
          <cell r="AE114">
            <v>676.20398720000003</v>
          </cell>
          <cell r="AF114">
            <v>682.34079080000004</v>
          </cell>
          <cell r="AG114">
            <v>688.49362810000002</v>
          </cell>
          <cell r="AH114">
            <v>694.66764869999997</v>
          </cell>
          <cell r="AI114">
            <v>700.86658999999997</v>
          </cell>
          <cell r="AJ114">
            <v>707.09249460000001</v>
          </cell>
          <cell r="AK114">
            <v>713.34618420000004</v>
          </cell>
          <cell r="AL114">
            <v>719.62793959999999</v>
          </cell>
          <cell r="AM114">
            <v>725.93812339999999</v>
          </cell>
          <cell r="AN114">
            <v>732.27773939999997</v>
          </cell>
          <cell r="AO114">
            <v>738.64890800000001</v>
          </cell>
          <cell r="AP114">
            <v>743.93241120000005</v>
          </cell>
          <cell r="AQ114">
            <v>749.25736719999998</v>
          </cell>
          <cell r="AR114">
            <v>754.63733230000003</v>
          </cell>
          <cell r="AS114">
            <v>760.09016970000005</v>
          </cell>
          <cell r="AT114">
            <v>765.63880370000004</v>
          </cell>
          <cell r="AU114">
            <v>771.31314190000001</v>
          </cell>
          <cell r="AV114">
            <v>777.15389130000005</v>
          </cell>
          <cell r="AW114">
            <v>783.22035210000001</v>
          </cell>
          <cell r="AX114">
            <v>789.60809810000001</v>
          </cell>
          <cell r="AY114">
            <v>796.49666439999999</v>
          </cell>
          <cell r="AZ114">
            <v>804.41525119999994</v>
          </cell>
          <cell r="BA114">
            <v>811.47368949999998</v>
          </cell>
          <cell r="BB114">
            <v>818.84470299999998</v>
          </cell>
          <cell r="BC114">
            <v>825.58289449999995</v>
          </cell>
          <cell r="BD114">
            <v>831.5463499</v>
          </cell>
          <cell r="BE114">
            <v>836.96440700000005</v>
          </cell>
          <cell r="BF114">
            <v>842.03658240000004</v>
          </cell>
          <cell r="BG114">
            <v>846.88833179999995</v>
          </cell>
          <cell r="BH114">
            <v>851.59423040000001</v>
          </cell>
          <cell r="BI114">
            <v>856.19925109999997</v>
          </cell>
        </row>
        <row r="115">
          <cell r="F115">
            <v>954.38155940000001</v>
          </cell>
          <cell r="G115">
            <v>947.69777150000004</v>
          </cell>
          <cell r="H115">
            <v>940.93763560000002</v>
          </cell>
          <cell r="I115">
            <v>933.32371699999999</v>
          </cell>
          <cell r="J115">
            <v>923.43122419999997</v>
          </cell>
          <cell r="K115">
            <v>915.16062929999998</v>
          </cell>
          <cell r="L115">
            <v>908.60447980000004</v>
          </cell>
          <cell r="M115">
            <v>903.13097219999997</v>
          </cell>
          <cell r="N115">
            <v>898.27586099999996</v>
          </cell>
          <cell r="O115">
            <v>893.76580379999996</v>
          </cell>
          <cell r="P115">
            <v>889.45009579999999</v>
          </cell>
          <cell r="Q115">
            <v>885.24813830000005</v>
          </cell>
          <cell r="R115">
            <v>881.11616630000003</v>
          </cell>
          <cell r="S115">
            <v>877.03083119999997</v>
          </cell>
          <cell r="T115">
            <v>872.97938650000003</v>
          </cell>
          <cell r="U115">
            <v>868.95471320000001</v>
          </cell>
          <cell r="V115">
            <v>864.95270259999995</v>
          </cell>
          <cell r="W115">
            <v>860.97088310000004</v>
          </cell>
          <cell r="X115">
            <v>857.00770090000003</v>
          </cell>
          <cell r="Y115">
            <v>853.06214139999997</v>
          </cell>
          <cell r="Z115">
            <v>849.13346460000002</v>
          </cell>
          <cell r="AA115">
            <v>845.22078529999999</v>
          </cell>
          <cell r="AB115">
            <v>841.32393219999994</v>
          </cell>
          <cell r="AC115">
            <v>837.44266679999998</v>
          </cell>
          <cell r="AD115">
            <v>833.57691599999998</v>
          </cell>
          <cell r="AE115">
            <v>829.72653679999996</v>
          </cell>
          <cell r="AF115">
            <v>825.89032150000003</v>
          </cell>
          <cell r="AG115">
            <v>822.06798739999999</v>
          </cell>
          <cell r="AH115">
            <v>818.25882390000004</v>
          </cell>
          <cell r="AI115">
            <v>814.46216709999999</v>
          </cell>
          <cell r="AJ115">
            <v>810.67747229999998</v>
          </cell>
          <cell r="AK115">
            <v>806.90431550000005</v>
          </cell>
          <cell r="AL115">
            <v>803.14235580000002</v>
          </cell>
          <cell r="AM115">
            <v>799.39127970000004</v>
          </cell>
          <cell r="AN115">
            <v>795.65073299999995</v>
          </cell>
          <cell r="AO115">
            <v>791.92024489999994</v>
          </cell>
          <cell r="AP115">
            <v>788.19905570000003</v>
          </cell>
          <cell r="AQ115">
            <v>784.48567160000005</v>
          </cell>
          <cell r="AR115">
            <v>780.77796030000002</v>
          </cell>
          <cell r="AS115">
            <v>777.07275289999995</v>
          </cell>
          <cell r="AT115">
            <v>773.36544060000006</v>
          </cell>
          <cell r="AU115">
            <v>769.64923290000002</v>
          </cell>
          <cell r="AV115">
            <v>765.91376309999998</v>
          </cell>
          <cell r="AW115">
            <v>762.14231700000005</v>
          </cell>
          <cell r="AX115">
            <v>758.30586530000005</v>
          </cell>
          <cell r="AY115">
            <v>754.34887189999995</v>
          </cell>
          <cell r="AZ115">
            <v>750.15090259999999</v>
          </cell>
          <cell r="BA115">
            <v>745.40462239999999</v>
          </cell>
          <cell r="BB115">
            <v>739.19342819999997</v>
          </cell>
          <cell r="BC115">
            <v>733.29089439999996</v>
          </cell>
          <cell r="BD115">
            <v>728.2238615</v>
          </cell>
          <cell r="BE115">
            <v>723.82188120000001</v>
          </cell>
          <cell r="BF115">
            <v>719.85250350000001</v>
          </cell>
          <cell r="BG115">
            <v>716.14903519999996</v>
          </cell>
          <cell r="BH115">
            <v>712.60802260000003</v>
          </cell>
          <cell r="BI115">
            <v>709.16848440000001</v>
          </cell>
        </row>
        <row r="116">
          <cell r="F116">
            <v>878.79999729999997</v>
          </cell>
          <cell r="G116">
            <v>867.97061580000002</v>
          </cell>
          <cell r="H116">
            <v>857.17684689999999</v>
          </cell>
          <cell r="I116">
            <v>846.13862789999996</v>
          </cell>
          <cell r="J116">
            <v>834.45323340000004</v>
          </cell>
          <cell r="K116">
            <v>825.60426399999994</v>
          </cell>
          <cell r="L116">
            <v>818.66441029999999</v>
          </cell>
          <cell r="M116">
            <v>812.81115150000005</v>
          </cell>
          <cell r="N116">
            <v>807.55775070000004</v>
          </cell>
          <cell r="O116">
            <v>802.63672459999998</v>
          </cell>
          <cell r="P116">
            <v>797.90480179999997</v>
          </cell>
          <cell r="Q116">
            <v>793.28651500000001</v>
          </cell>
          <cell r="R116">
            <v>788.74111530000005</v>
          </cell>
          <cell r="S116">
            <v>784.24689690000002</v>
          </cell>
          <cell r="T116">
            <v>779.79194540000003</v>
          </cell>
          <cell r="U116">
            <v>775.36951320000003</v>
          </cell>
          <cell r="V116">
            <v>770.97561180000002</v>
          </cell>
          <cell r="W116">
            <v>766.60776439999995</v>
          </cell>
          <cell r="X116">
            <v>762.26436360000002</v>
          </cell>
          <cell r="Y116">
            <v>757.94434109999997</v>
          </cell>
          <cell r="Z116">
            <v>753.64688200000001</v>
          </cell>
          <cell r="AA116">
            <v>749.37099690000002</v>
          </cell>
          <cell r="AB116">
            <v>745.11651849999998</v>
          </cell>
          <cell r="AC116">
            <v>740.88332419999995</v>
          </cell>
          <cell r="AD116">
            <v>736.67153499999995</v>
          </cell>
          <cell r="AE116">
            <v>732.48109509999995</v>
          </cell>
          <cell r="AF116">
            <v>728.31061190000003</v>
          </cell>
          <cell r="AG116">
            <v>724.15960210000003</v>
          </cell>
          <cell r="AH116">
            <v>720.02723709999998</v>
          </cell>
          <cell r="AI116">
            <v>715.91284529999996</v>
          </cell>
          <cell r="AJ116">
            <v>711.81598329999997</v>
          </cell>
          <cell r="AK116">
            <v>707.73641569999995</v>
          </cell>
          <cell r="AL116">
            <v>703.6740393</v>
          </cell>
          <cell r="AM116">
            <v>699.62879290000001</v>
          </cell>
          <cell r="AN116">
            <v>695.60056059999999</v>
          </cell>
          <cell r="AO116">
            <v>691.58907850000003</v>
          </cell>
          <cell r="AP116">
            <v>687.59372359999998</v>
          </cell>
          <cell r="AQ116">
            <v>683.61302869999997</v>
          </cell>
          <cell r="AR116">
            <v>679.64483540000003</v>
          </cell>
          <cell r="AS116">
            <v>675.68596690000004</v>
          </cell>
          <cell r="AT116">
            <v>671.73186550000003</v>
          </cell>
          <cell r="AU116">
            <v>667.77581540000006</v>
          </cell>
          <cell r="AV116">
            <v>663.80728639999995</v>
          </cell>
          <cell r="AW116">
            <v>659.80811349999999</v>
          </cell>
          <cell r="AX116">
            <v>655.74229309999998</v>
          </cell>
          <cell r="AY116">
            <v>651.52179560000002</v>
          </cell>
          <cell r="AZ116">
            <v>646.84572200000002</v>
          </cell>
          <cell r="BA116">
            <v>642.55227090000005</v>
          </cell>
          <cell r="BB116">
            <v>638.55255480000005</v>
          </cell>
          <cell r="BC116">
            <v>634.73749620000001</v>
          </cell>
          <cell r="BD116">
            <v>631.03531269999996</v>
          </cell>
          <cell r="BE116">
            <v>627.40376630000003</v>
          </cell>
          <cell r="BF116">
            <v>623.81900140000005</v>
          </cell>
          <cell r="BG116">
            <v>620.26781389999996</v>
          </cell>
          <cell r="BH116">
            <v>616.74298569999996</v>
          </cell>
          <cell r="BI116">
            <v>613.24060959999997</v>
          </cell>
        </row>
        <row r="117">
          <cell r="F117">
            <v>139.85209269999999</v>
          </cell>
          <cell r="G117">
            <v>137.95542620000001</v>
          </cell>
          <cell r="H117">
            <v>136.0868151</v>
          </cell>
          <cell r="I117">
            <v>134.2500221</v>
          </cell>
          <cell r="J117">
            <v>132.44730100000001</v>
          </cell>
          <cell r="K117">
            <v>130.6786276</v>
          </cell>
          <cell r="L117">
            <v>128.94239920000001</v>
          </cell>
          <cell r="M117">
            <v>127.23581470000001</v>
          </cell>
          <cell r="N117">
            <v>125.55580550000001</v>
          </cell>
          <cell r="O117">
            <v>123.8997037</v>
          </cell>
          <cell r="P117">
            <v>122.26555</v>
          </cell>
          <cell r="Q117">
            <v>120.6520087</v>
          </cell>
          <cell r="R117">
            <v>119.0581193</v>
          </cell>
          <cell r="S117">
            <v>117.4832194</v>
          </cell>
          <cell r="T117">
            <v>115.9268713</v>
          </cell>
          <cell r="U117">
            <v>114.38879660000001</v>
          </cell>
          <cell r="V117">
            <v>112.8688291</v>
          </cell>
          <cell r="W117">
            <v>111.36688289999999</v>
          </cell>
          <cell r="X117">
            <v>109.88293109999999</v>
          </cell>
          <cell r="Y117">
            <v>108.4169892</v>
          </cell>
          <cell r="Z117">
            <v>106.96906989999999</v>
          </cell>
          <cell r="AA117">
            <v>105.5391838</v>
          </cell>
          <cell r="AB117">
            <v>104.1273893</v>
          </cell>
          <cell r="AC117">
            <v>102.73375369999999</v>
          </cell>
          <cell r="AD117">
            <v>101.35832480000001</v>
          </cell>
          <cell r="AE117">
            <v>100.0010434</v>
          </cell>
          <cell r="AF117">
            <v>98.661739850000004</v>
          </cell>
          <cell r="AG117">
            <v>97.340268539999997</v>
          </cell>
          <cell r="AH117">
            <v>96.036500680000003</v>
          </cell>
          <cell r="AI117">
            <v>94.750307160000006</v>
          </cell>
          <cell r="AJ117">
            <v>93.481543189999996</v>
          </cell>
          <cell r="AK117">
            <v>92.230042900000001</v>
          </cell>
          <cell r="AL117">
            <v>90.995615439999995</v>
          </cell>
          <cell r="AM117">
            <v>89.778041959999996</v>
          </cell>
          <cell r="AN117">
            <v>88.577074820000007</v>
          </cell>
          <cell r="AO117">
            <v>87.392439749999994</v>
          </cell>
          <cell r="AP117">
            <v>86.223828179999998</v>
          </cell>
          <cell r="AQ117">
            <v>85.070898</v>
          </cell>
          <cell r="AR117">
            <v>83.933300650000007</v>
          </cell>
          <cell r="AS117">
            <v>82.810697239999996</v>
          </cell>
          <cell r="AT117">
            <v>81.702766569999994</v>
          </cell>
          <cell r="AU117">
            <v>80.609208989999999</v>
          </cell>
          <cell r="AV117">
            <v>79.529748499999997</v>
          </cell>
          <cell r="AW117">
            <v>78.464131460000004</v>
          </cell>
          <cell r="AX117">
            <v>77.412121060000004</v>
          </cell>
          <cell r="AY117">
            <v>76.373492229999997</v>
          </cell>
          <cell r="AZ117">
            <v>75.348025899999996</v>
          </cell>
          <cell r="BA117">
            <v>74.335489030000005</v>
          </cell>
          <cell r="BB117">
            <v>73.335748649999999</v>
          </cell>
          <cell r="BC117">
            <v>72.348674239999994</v>
          </cell>
          <cell r="BD117">
            <v>71.374126540000006</v>
          </cell>
          <cell r="BE117">
            <v>70.411956290000006</v>
          </cell>
          <cell r="BF117">
            <v>69.462010179999993</v>
          </cell>
          <cell r="BG117">
            <v>68.524139599999998</v>
          </cell>
          <cell r="BH117">
            <v>67.598207329999994</v>
          </cell>
          <cell r="BI117">
            <v>66.684090429999998</v>
          </cell>
        </row>
        <row r="118">
          <cell r="F118">
            <v>3.874567114</v>
          </cell>
          <cell r="G118">
            <v>3.7242339819999999</v>
          </cell>
          <cell r="H118">
            <v>3.5803045760000001</v>
          </cell>
          <cell r="I118">
            <v>3.4427972160000002</v>
          </cell>
          <cell r="J118">
            <v>3.3116253869999999</v>
          </cell>
          <cell r="K118">
            <v>3.1865472050000001</v>
          </cell>
          <cell r="L118">
            <v>3.0671962060000002</v>
          </cell>
          <cell r="M118">
            <v>2.9531470999999998</v>
          </cell>
          <cell r="N118">
            <v>2.843983218</v>
          </cell>
          <cell r="O118">
            <v>2.7393390050000002</v>
          </cell>
          <cell r="P118">
            <v>2.6389157519999999</v>
          </cell>
          <cell r="Q118">
            <v>2.5424707340000001</v>
          </cell>
          <cell r="R118">
            <v>2.4497966789999999</v>
          </cell>
          <cell r="S118">
            <v>2.3607140210000002</v>
          </cell>
          <cell r="T118">
            <v>2.2750643959999999</v>
          </cell>
          <cell r="U118">
            <v>2.1927053079999999</v>
          </cell>
          <cell r="V118">
            <v>2.113506288</v>
          </cell>
          <cell r="W118">
            <v>2.0373462839999998</v>
          </cell>
          <cell r="X118">
            <v>1.9641118689999999</v>
          </cell>
          <cell r="Y118">
            <v>1.893695881</v>
          </cell>
          <cell r="Z118">
            <v>1.8259947059999999</v>
          </cell>
          <cell r="AA118">
            <v>1.7609081680000001</v>
          </cell>
          <cell r="AB118">
            <v>1.698342016</v>
          </cell>
          <cell r="AC118">
            <v>1.638205935</v>
          </cell>
          <cell r="AD118">
            <v>1.5804121010000001</v>
          </cell>
          <cell r="AE118">
            <v>1.5248709760000001</v>
          </cell>
          <cell r="AF118">
            <v>1.471491307</v>
          </cell>
          <cell r="AG118">
            <v>1.420186401</v>
          </cell>
          <cell r="AH118">
            <v>1.370873939</v>
          </cell>
          <cell r="AI118">
            <v>1.323475202</v>
          </cell>
          <cell r="AJ118">
            <v>1.2779144229999999</v>
          </cell>
          <cell r="AK118">
            <v>1.2341184620000001</v>
          </cell>
          <cell r="AL118">
            <v>1.192016446</v>
          </cell>
          <cell r="AM118">
            <v>1.151539528</v>
          </cell>
          <cell r="AN118">
            <v>1.1126207749999999</v>
          </cell>
          <cell r="AO118">
            <v>1.0751951799999999</v>
          </cell>
          <cell r="AP118">
            <v>1.039199301</v>
          </cell>
          <cell r="AQ118">
            <v>1.0045712040000001</v>
          </cell>
          <cell r="AR118">
            <v>0.97125136109999999</v>
          </cell>
          <cell r="AS118">
            <v>0.93918311970000001</v>
          </cell>
          <cell r="AT118">
            <v>0.90831284859999994</v>
          </cell>
          <cell r="AU118">
            <v>0.87858991149999999</v>
          </cell>
          <cell r="AV118">
            <v>0.8499665716</v>
          </cell>
          <cell r="AW118">
            <v>0.82239779700000004</v>
          </cell>
          <cell r="AX118">
            <v>0.79584096400000004</v>
          </cell>
          <cell r="AY118">
            <v>0.77025562270000003</v>
          </cell>
          <cell r="AZ118">
            <v>0.7456033594</v>
          </cell>
          <cell r="BA118">
            <v>0.72184771569999995</v>
          </cell>
          <cell r="BB118">
            <v>0.6989540716</v>
          </cell>
          <cell r="BC118">
            <v>0.67688945990000005</v>
          </cell>
          <cell r="BD118">
            <v>0.65562223529999997</v>
          </cell>
          <cell r="BE118">
            <v>0.63512188110000001</v>
          </cell>
          <cell r="BF118">
            <v>0.61535903120000002</v>
          </cell>
          <cell r="BG118">
            <v>0.59630558420000002</v>
          </cell>
          <cell r="BH118">
            <v>0.57793477650000002</v>
          </cell>
          <cell r="BI118">
            <v>0.56022116570000002</v>
          </cell>
        </row>
        <row r="205">
          <cell r="E205" t="str">
            <v>YG_toe_2</v>
          </cell>
          <cell r="F205">
            <v>145.53472439999999</v>
          </cell>
          <cell r="G205">
            <v>145.99079760000001</v>
          </cell>
          <cell r="H205">
            <v>146.57395439999999</v>
          </cell>
          <cell r="I205">
            <v>147.3124277</v>
          </cell>
          <cell r="J205">
            <v>148.23586270000001</v>
          </cell>
          <cell r="K205">
            <v>149.3312099</v>
          </cell>
          <cell r="L205">
            <v>150.4790935</v>
          </cell>
          <cell r="M205">
            <v>151.7117461</v>
          </cell>
          <cell r="N205">
            <v>153.02190669999999</v>
          </cell>
          <cell r="O205">
            <v>154.39717640000001</v>
          </cell>
          <cell r="P205">
            <v>155.96483420000001</v>
          </cell>
          <cell r="Q205">
            <v>157.4599331</v>
          </cell>
          <cell r="R205">
            <v>158.96304749999999</v>
          </cell>
          <cell r="S205">
            <v>160.4771179</v>
          </cell>
          <cell r="T205">
            <v>161.99995000000001</v>
          </cell>
          <cell r="U205">
            <v>163.52948939999999</v>
          </cell>
          <cell r="V205">
            <v>165.0508844</v>
          </cell>
          <cell r="W205">
            <v>166.5760075</v>
          </cell>
          <cell r="X205">
            <v>168.10664700000001</v>
          </cell>
          <cell r="Y205">
            <v>169.6444702</v>
          </cell>
          <cell r="Z205">
            <v>171.09004730000001</v>
          </cell>
          <cell r="AA205">
            <v>172.61715369999999</v>
          </cell>
          <cell r="AB205">
            <v>174.17067259999999</v>
          </cell>
          <cell r="AC205">
            <v>175.74588370000001</v>
          </cell>
          <cell r="AD205">
            <v>177.3426441</v>
          </cell>
          <cell r="AE205">
            <v>178.67476250000001</v>
          </cell>
          <cell r="AF205">
            <v>180.0995029</v>
          </cell>
          <cell r="AG205">
            <v>181.54356250000001</v>
          </cell>
          <cell r="AH205">
            <v>183.00549419999999</v>
          </cell>
          <cell r="AI205">
            <v>184.4879851</v>
          </cell>
          <cell r="AJ205">
            <v>185.9940096</v>
          </cell>
          <cell r="AK205">
            <v>187.52929900000001</v>
          </cell>
          <cell r="AL205">
            <v>189.09335730000001</v>
          </cell>
          <cell r="AM205">
            <v>190.68752069999999</v>
          </cell>
          <cell r="AN205">
            <v>192.31273640000001</v>
          </cell>
          <cell r="AO205">
            <v>193.96951039999999</v>
          </cell>
          <cell r="AP205">
            <v>195.61781930000001</v>
          </cell>
          <cell r="AQ205">
            <v>197.28026209999999</v>
          </cell>
          <cell r="AR205">
            <v>198.9628439</v>
          </cell>
          <cell r="AS205">
            <v>200.6682984</v>
          </cell>
          <cell r="AT205">
            <v>202.39804129999999</v>
          </cell>
          <cell r="AU205">
            <v>204.1571519</v>
          </cell>
          <cell r="AV205">
            <v>205.94239780000001</v>
          </cell>
          <cell r="AW205">
            <v>207.75362100000001</v>
          </cell>
          <cell r="AX205">
            <v>209.5906463</v>
          </cell>
          <cell r="AY205">
            <v>211.4532165</v>
          </cell>
          <cell r="AZ205">
            <v>213.36248620000001</v>
          </cell>
          <cell r="BA205">
            <v>215.3035788</v>
          </cell>
          <cell r="BB205">
            <v>217.27612930000001</v>
          </cell>
          <cell r="BC205">
            <v>219.2802509</v>
          </cell>
          <cell r="BD205">
            <v>221.31571500000001</v>
          </cell>
          <cell r="BE205">
            <v>223.39109690000001</v>
          </cell>
          <cell r="BF205">
            <v>225.49818529999999</v>
          </cell>
          <cell r="BG205">
            <v>227.63586559999999</v>
          </cell>
          <cell r="BH205">
            <v>229.8035409</v>
          </cell>
          <cell r="BI205">
            <v>232.00082040000001</v>
          </cell>
        </row>
        <row r="206">
          <cell r="E206" t="str">
            <v>YG_toe_ccoa_2</v>
          </cell>
          <cell r="F206">
            <v>2.3165270769999999</v>
          </cell>
          <cell r="G206">
            <v>2.3196937989999999</v>
          </cell>
          <cell r="H206">
            <v>2.3349223960000001</v>
          </cell>
          <cell r="I206">
            <v>2.3547564780000001</v>
          </cell>
          <cell r="J206">
            <v>2.377738865</v>
          </cell>
          <cell r="K206">
            <v>2.403290154</v>
          </cell>
          <cell r="L206">
            <v>2.4294898210000002</v>
          </cell>
          <cell r="M206">
            <v>2.457065359</v>
          </cell>
          <cell r="N206">
            <v>2.485962716</v>
          </cell>
          <cell r="O206">
            <v>2.5159975339999998</v>
          </cell>
          <cell r="P206">
            <v>2.5494297160000001</v>
          </cell>
          <cell r="Q206">
            <v>2.58166304</v>
          </cell>
          <cell r="R206">
            <v>2.614151906</v>
          </cell>
          <cell r="S206">
            <v>2.6471174560000001</v>
          </cell>
          <cell r="T206">
            <v>2.6805578470000002</v>
          </cell>
          <cell r="U206">
            <v>2.7144492260000002</v>
          </cell>
          <cell r="V206">
            <v>2.7484430620000002</v>
          </cell>
          <cell r="W206">
            <v>2.7828129750000001</v>
          </cell>
          <cell r="X206">
            <v>2.817624098</v>
          </cell>
          <cell r="Y206">
            <v>2.8529055290000001</v>
          </cell>
          <cell r="Z206">
            <v>2.8869122090000001</v>
          </cell>
          <cell r="AA206">
            <v>2.9226551459999999</v>
          </cell>
          <cell r="AB206">
            <v>2.9592064499999999</v>
          </cell>
          <cell r="AC206">
            <v>2.9963990389999999</v>
          </cell>
          <cell r="AD206">
            <v>3.0342149169999999</v>
          </cell>
          <cell r="AE206">
            <v>3.0676091670000001</v>
          </cell>
          <cell r="AF206">
            <v>3.102847658</v>
          </cell>
          <cell r="AG206">
            <v>3.1387343219999999</v>
          </cell>
          <cell r="AH206">
            <v>3.175073604</v>
          </cell>
          <cell r="AI206">
            <v>3.211866133</v>
          </cell>
          <cell r="AJ206">
            <v>3.2491431569999998</v>
          </cell>
          <cell r="AK206">
            <v>3.287010166</v>
          </cell>
          <cell r="AL206">
            <v>3.3254299289999998</v>
          </cell>
          <cell r="AM206">
            <v>3.364404446</v>
          </cell>
          <cell r="AN206">
            <v>3.4039371009999999</v>
          </cell>
          <cell r="AO206">
            <v>3.4440269959999998</v>
          </cell>
          <cell r="AP206">
            <v>3.4841308139999998</v>
          </cell>
          <cell r="AQ206">
            <v>3.5245228119999998</v>
          </cell>
          <cell r="AR206">
            <v>3.5652716180000001</v>
          </cell>
          <cell r="AS206">
            <v>3.606400109</v>
          </cell>
          <cell r="AT206">
            <v>3.647921384</v>
          </cell>
          <cell r="AU206">
            <v>3.6899522820000001</v>
          </cell>
          <cell r="AV206">
            <v>3.7324193540000001</v>
          </cell>
          <cell r="AW206">
            <v>3.7753132090000001</v>
          </cell>
          <cell r="AX206">
            <v>3.818634174</v>
          </cell>
          <cell r="AY206">
            <v>3.8623825940000001</v>
          </cell>
          <cell r="AZ206">
            <v>3.9070311910000002</v>
          </cell>
          <cell r="BA206">
            <v>3.952237797</v>
          </cell>
          <cell r="BB206">
            <v>3.997937657</v>
          </cell>
          <cell r="BC206">
            <v>4.0441157969999999</v>
          </cell>
          <cell r="BD206">
            <v>4.090765019</v>
          </cell>
          <cell r="BE206">
            <v>4.1381045490000004</v>
          </cell>
          <cell r="BF206">
            <v>4.1859569900000002</v>
          </cell>
          <cell r="BG206">
            <v>4.234285195</v>
          </cell>
          <cell r="BH206">
            <v>4.2830790509999996</v>
          </cell>
          <cell r="BI206">
            <v>4.3323346740000002</v>
          </cell>
        </row>
        <row r="209">
          <cell r="E209" t="str">
            <v>YG_toe_ccoi_2</v>
          </cell>
          <cell r="F209">
            <v>1.0712190429999999</v>
          </cell>
          <cell r="G209">
            <v>1.0714434909999999</v>
          </cell>
          <cell r="H209">
            <v>1.074265077</v>
          </cell>
          <cell r="I209">
            <v>1.0786828429999999</v>
          </cell>
          <cell r="J209">
            <v>1.084784381</v>
          </cell>
          <cell r="K209">
            <v>1.0924590789999999</v>
          </cell>
          <cell r="L209">
            <v>1.100884041</v>
          </cell>
          <cell r="M209">
            <v>1.110174923</v>
          </cell>
          <cell r="N209">
            <v>1.1202323510000001</v>
          </cell>
          <cell r="O209">
            <v>1.1309211560000001</v>
          </cell>
          <cell r="P209">
            <v>1.143035067</v>
          </cell>
          <cell r="Q209">
            <v>1.1548684490000001</v>
          </cell>
          <cell r="R209">
            <v>1.166837852</v>
          </cell>
          <cell r="S209">
            <v>1.17899895</v>
          </cell>
          <cell r="T209">
            <v>1.1913304199999999</v>
          </cell>
          <cell r="U209">
            <v>1.2038057689999999</v>
          </cell>
          <cell r="V209">
            <v>1.21629459</v>
          </cell>
          <cell r="W209">
            <v>1.2288728200000001</v>
          </cell>
          <cell r="X209">
            <v>1.241553602</v>
          </cell>
          <cell r="Y209">
            <v>1.2543397489999999</v>
          </cell>
          <cell r="Z209">
            <v>1.2665709999999999</v>
          </cell>
          <cell r="AA209">
            <v>1.2793304729999999</v>
          </cell>
          <cell r="AB209">
            <v>1.2923230699999999</v>
          </cell>
          <cell r="AC209">
            <v>1.305481882</v>
          </cell>
          <cell r="AD209">
            <v>1.3187969690000001</v>
          </cell>
          <cell r="AE209">
            <v>1.3303825220000001</v>
          </cell>
          <cell r="AF209">
            <v>1.3424616819999999</v>
          </cell>
          <cell r="AG209">
            <v>1.3546959160000001</v>
          </cell>
          <cell r="AH209">
            <v>1.3670257480000001</v>
          </cell>
          <cell r="AI209">
            <v>1.3794611290000001</v>
          </cell>
          <cell r="AJ209">
            <v>1.3920226579999999</v>
          </cell>
          <cell r="AK209">
            <v>1.4047549580000001</v>
          </cell>
          <cell r="AL209">
            <v>1.4176550269999999</v>
          </cell>
          <cell r="AM209">
            <v>1.430731129</v>
          </cell>
          <cell r="AN209">
            <v>1.4439910929999999</v>
          </cell>
          <cell r="AO209">
            <v>1.4574402580000001</v>
          </cell>
          <cell r="AP209">
            <v>1.4708559139999999</v>
          </cell>
          <cell r="AQ209">
            <v>1.4843438790000001</v>
          </cell>
          <cell r="AR209">
            <v>1.497944199</v>
          </cell>
          <cell r="AS209">
            <v>1.511675326</v>
          </cell>
          <cell r="AT209">
            <v>1.525548701</v>
          </cell>
          <cell r="AU209">
            <v>1.5396075330000001</v>
          </cell>
          <cell r="AV209">
            <v>1.553831086</v>
          </cell>
          <cell r="AW209">
            <v>1.568217553</v>
          </cell>
          <cell r="AX209">
            <v>1.5827675059999999</v>
          </cell>
          <cell r="AY209">
            <v>1.597480802</v>
          </cell>
          <cell r="AZ209">
            <v>1.61251966</v>
          </cell>
          <cell r="BA209">
            <v>1.627777456</v>
          </cell>
          <cell r="BB209">
            <v>1.6432351890000001</v>
          </cell>
          <cell r="BC209">
            <v>1.6588895189999999</v>
          </cell>
          <cell r="BD209">
            <v>1.6747373400000001</v>
          </cell>
          <cell r="BE209">
            <v>1.6908479169999999</v>
          </cell>
          <cell r="BF209">
            <v>1.7071599710000001</v>
          </cell>
          <cell r="BG209">
            <v>1.723656426</v>
          </cell>
          <cell r="BH209">
            <v>1.740329647</v>
          </cell>
          <cell r="BI209">
            <v>1.7571741320000001</v>
          </cell>
        </row>
        <row r="212">
          <cell r="E212" t="str">
            <v>YG_toe_cfut_2</v>
          </cell>
          <cell r="F212">
            <v>41.452837279999997</v>
          </cell>
          <cell r="G212">
            <v>41.514928449999999</v>
          </cell>
          <cell r="H212">
            <v>41.599777060000001</v>
          </cell>
          <cell r="I212">
            <v>41.745330520000003</v>
          </cell>
          <cell r="J212">
            <v>41.96570517</v>
          </cell>
          <cell r="K212">
            <v>42.25612555</v>
          </cell>
          <cell r="L212">
            <v>42.584288090000001</v>
          </cell>
          <cell r="M212">
            <v>42.953657990000004</v>
          </cell>
          <cell r="N212">
            <v>43.356371850000002</v>
          </cell>
          <cell r="O212">
            <v>43.7855475</v>
          </cell>
          <cell r="P212">
            <v>44.270716180000001</v>
          </cell>
          <cell r="Q212">
            <v>44.744337010000002</v>
          </cell>
          <cell r="R212">
            <v>45.227852810000002</v>
          </cell>
          <cell r="S212">
            <v>45.720375099999998</v>
          </cell>
          <cell r="T212">
            <v>46.220363949999999</v>
          </cell>
          <cell r="U212">
            <v>46.726571720000003</v>
          </cell>
          <cell r="V212">
            <v>47.234035040000002</v>
          </cell>
          <cell r="W212">
            <v>47.745718459999999</v>
          </cell>
          <cell r="X212">
            <v>48.261518090000003</v>
          </cell>
          <cell r="Y212">
            <v>48.781322189999997</v>
          </cell>
          <cell r="Z212">
            <v>49.279719139999997</v>
          </cell>
          <cell r="AA212">
            <v>49.799843240000001</v>
          </cell>
          <cell r="AB212">
            <v>50.326384160000003</v>
          </cell>
          <cell r="AC212">
            <v>50.858495920000003</v>
          </cell>
          <cell r="AD212">
            <v>51.396147499999998</v>
          </cell>
          <cell r="AE212">
            <v>51.867016560000003</v>
          </cell>
          <cell r="AF212">
            <v>52.36133684</v>
          </cell>
          <cell r="AG212">
            <v>52.857242679999999</v>
          </cell>
          <cell r="AH212">
            <v>53.35484271</v>
          </cell>
          <cell r="AI212">
            <v>53.855221790000002</v>
          </cell>
          <cell r="AJ212">
            <v>54.359478129999999</v>
          </cell>
          <cell r="AK212">
            <v>54.86942904</v>
          </cell>
          <cell r="AL212">
            <v>55.384981459999999</v>
          </cell>
          <cell r="AM212">
            <v>55.906576029999997</v>
          </cell>
          <cell r="AN212">
            <v>56.434530369999997</v>
          </cell>
          <cell r="AO212">
            <v>56.969046200000001</v>
          </cell>
          <cell r="AP212">
            <v>57.501112499999998</v>
          </cell>
          <cell r="AQ212">
            <v>58.0356375</v>
          </cell>
          <cell r="AR212">
            <v>58.573663879999998</v>
          </cell>
          <cell r="AS212">
            <v>59.11584766</v>
          </cell>
          <cell r="AT212">
            <v>59.662716969999998</v>
          </cell>
          <cell r="AU212">
            <v>60.215987339999998</v>
          </cell>
          <cell r="AV212">
            <v>60.774919310000001</v>
          </cell>
          <cell r="AW212">
            <v>61.339691549999998</v>
          </cell>
          <cell r="AX212">
            <v>61.910439029999999</v>
          </cell>
          <cell r="AY212">
            <v>62.487223329999999</v>
          </cell>
          <cell r="AZ212">
            <v>63.0758911</v>
          </cell>
          <cell r="BA212">
            <v>63.671709040000003</v>
          </cell>
          <cell r="BB212">
            <v>64.274249350000005</v>
          </cell>
          <cell r="BC212">
            <v>64.883282829999999</v>
          </cell>
          <cell r="BD212">
            <v>65.498597860000004</v>
          </cell>
          <cell r="BE212">
            <v>66.122674410000002</v>
          </cell>
          <cell r="BF212">
            <v>66.753030359999997</v>
          </cell>
          <cell r="BG212">
            <v>67.389335160000002</v>
          </cell>
          <cell r="BH212">
            <v>68.031378419999996</v>
          </cell>
          <cell r="BI212">
            <v>68.678978999999998</v>
          </cell>
        </row>
        <row r="215">
          <cell r="E215" t="str">
            <v>YG_toe_cfuh_2</v>
          </cell>
          <cell r="F215">
            <v>7.8290899510000003</v>
          </cell>
          <cell r="G215">
            <v>7.8472726709999998</v>
          </cell>
          <cell r="H215">
            <v>7.8682514780000004</v>
          </cell>
          <cell r="I215">
            <v>7.8944804880000001</v>
          </cell>
          <cell r="J215">
            <v>7.9282255749999999</v>
          </cell>
          <cell r="K215">
            <v>7.9694171090000001</v>
          </cell>
          <cell r="L215">
            <v>8.0125353009999998</v>
          </cell>
          <cell r="M215">
            <v>8.0600178790000001</v>
          </cell>
          <cell r="N215">
            <v>8.1126746690000004</v>
          </cell>
          <cell r="O215">
            <v>8.1703425749999994</v>
          </cell>
          <cell r="P215">
            <v>8.2389611499999997</v>
          </cell>
          <cell r="Q215">
            <v>8.3066446480000007</v>
          </cell>
          <cell r="R215">
            <v>8.3758244249999994</v>
          </cell>
          <cell r="S215">
            <v>8.4465046800000003</v>
          </cell>
          <cell r="T215">
            <v>8.5183571610000008</v>
          </cell>
          <cell r="U215">
            <v>8.5910834729999994</v>
          </cell>
          <cell r="V215">
            <v>8.6640061080000006</v>
          </cell>
          <cell r="W215">
            <v>8.7373845079999999</v>
          </cell>
          <cell r="X215">
            <v>8.8112177870000004</v>
          </cell>
          <cell r="Y215">
            <v>8.8855039710000003</v>
          </cell>
          <cell r="Z215">
            <v>8.9555127530000007</v>
          </cell>
          <cell r="AA215">
            <v>9.0288526880000006</v>
          </cell>
          <cell r="AB215">
            <v>9.1035120860000003</v>
          </cell>
          <cell r="AC215">
            <v>9.1791229790000006</v>
          </cell>
          <cell r="AD215">
            <v>9.2556144150000002</v>
          </cell>
          <cell r="AE215">
            <v>9.3195426369999996</v>
          </cell>
          <cell r="AF215">
            <v>9.3862561729999996</v>
          </cell>
          <cell r="AG215">
            <v>9.4535625640000003</v>
          </cell>
          <cell r="AH215">
            <v>9.521330378</v>
          </cell>
          <cell r="AI215">
            <v>9.5896952819999992</v>
          </cell>
          <cell r="AJ215">
            <v>9.6588061649999997</v>
          </cell>
          <cell r="AK215">
            <v>9.7289379</v>
          </cell>
          <cell r="AL215">
            <v>9.8001735019999998</v>
          </cell>
          <cell r="AM215">
            <v>9.8726502929999995</v>
          </cell>
          <cell r="AN215">
            <v>9.9464900620000005</v>
          </cell>
          <cell r="AO215">
            <v>10.021787</v>
          </cell>
          <cell r="AP215">
            <v>10.09640372</v>
          </cell>
          <cell r="AQ215">
            <v>10.171485540000001</v>
          </cell>
          <cell r="AR215">
            <v>10.247421510000001</v>
          </cell>
          <cell r="AS215">
            <v>10.32438002</v>
          </cell>
          <cell r="AT215">
            <v>10.4024397</v>
          </cell>
          <cell r="AU215">
            <v>10.481783220000001</v>
          </cell>
          <cell r="AV215">
            <v>10.562299550000001</v>
          </cell>
          <cell r="AW215">
            <v>10.643952779999999</v>
          </cell>
          <cell r="AX215">
            <v>10.72670301</v>
          </cell>
          <cell r="AY215">
            <v>10.810510389999999</v>
          </cell>
          <cell r="AZ215">
            <v>10.896350719999999</v>
          </cell>
          <cell r="BA215">
            <v>10.983997479999999</v>
          </cell>
          <cell r="BB215">
            <v>11.07363013</v>
          </cell>
          <cell r="BC215">
            <v>11.165373929999999</v>
          </cell>
          <cell r="BD215">
            <v>11.259255400000001</v>
          </cell>
          <cell r="BE215">
            <v>11.35554531</v>
          </cell>
          <cell r="BF215">
            <v>11.453920849999999</v>
          </cell>
          <cell r="BG215">
            <v>11.55424968</v>
          </cell>
          <cell r="BH215">
            <v>11.65642514</v>
          </cell>
          <cell r="BI215">
            <v>11.760357470000001</v>
          </cell>
        </row>
        <row r="217">
          <cell r="E217" t="str">
            <v>YG_toe_cgas_2</v>
          </cell>
          <cell r="F217">
            <v>6.386705525</v>
          </cell>
          <cell r="G217">
            <v>6.4475412140000001</v>
          </cell>
          <cell r="H217">
            <v>6.4713402269999998</v>
          </cell>
          <cell r="I217">
            <v>6.47905306</v>
          </cell>
          <cell r="J217">
            <v>6.4774850649999998</v>
          </cell>
          <cell r="K217">
            <v>6.468376739</v>
          </cell>
          <cell r="L217">
            <v>6.4467862589999996</v>
          </cell>
          <cell r="M217">
            <v>6.4225541120000003</v>
          </cell>
          <cell r="N217">
            <v>6.3982459650000001</v>
          </cell>
          <cell r="O217">
            <v>6.3749906960000002</v>
          </cell>
          <cell r="P217">
            <v>6.3603603739999999</v>
          </cell>
          <cell r="Q217">
            <v>6.3383168559999996</v>
          </cell>
          <cell r="R217">
            <v>6.3177968340000001</v>
          </cell>
          <cell r="S217">
            <v>6.2986228950000003</v>
          </cell>
          <cell r="T217">
            <v>6.2806715439999996</v>
          </cell>
          <cell r="U217">
            <v>6.2638939469999997</v>
          </cell>
          <cell r="V217">
            <v>6.2473268700000002</v>
          </cell>
          <cell r="W217">
            <v>6.2320142719999998</v>
          </cell>
          <cell r="X217">
            <v>6.2177818839999999</v>
          </cell>
          <cell r="Y217">
            <v>6.2045046360000002</v>
          </cell>
          <cell r="Z217">
            <v>6.1872041490000003</v>
          </cell>
          <cell r="AA217">
            <v>6.1761124890000003</v>
          </cell>
          <cell r="AB217">
            <v>6.1654838239999998</v>
          </cell>
          <cell r="AC217">
            <v>6.1552361959999997</v>
          </cell>
          <cell r="AD217">
            <v>6.1451605450000004</v>
          </cell>
          <cell r="AE217">
            <v>6.1216875179999999</v>
          </cell>
          <cell r="AF217">
            <v>6.107697784</v>
          </cell>
          <cell r="AG217">
            <v>6.0941092079999999</v>
          </cell>
          <cell r="AH217">
            <v>6.0809681219999998</v>
          </cell>
          <cell r="AI217">
            <v>6.0679527269999998</v>
          </cell>
          <cell r="AJ217">
            <v>6.0546994170000001</v>
          </cell>
          <cell r="AK217">
            <v>6.0412135349999998</v>
          </cell>
          <cell r="AL217">
            <v>6.0271629679999998</v>
          </cell>
          <cell r="AM217">
            <v>6.0125600459999999</v>
          </cell>
          <cell r="AN217">
            <v>5.9974495130000003</v>
          </cell>
          <cell r="AO217">
            <v>5.9818968200000002</v>
          </cell>
          <cell r="AP217">
            <v>5.9648078370000004</v>
          </cell>
          <cell r="AQ217">
            <v>5.9475912380000002</v>
          </cell>
          <cell r="AR217">
            <v>5.9303438130000004</v>
          </cell>
          <cell r="AS217">
            <v>5.913086195</v>
          </cell>
          <cell r="AT217">
            <v>5.8957679660000002</v>
          </cell>
          <cell r="AU217">
            <v>5.8786034430000003</v>
          </cell>
          <cell r="AV217">
            <v>5.8611671870000004</v>
          </cell>
          <cell r="AW217">
            <v>5.8434131359999997</v>
          </cell>
          <cell r="AX217">
            <v>5.8252888880000002</v>
          </cell>
          <cell r="AY217">
            <v>5.8067612979999996</v>
          </cell>
          <cell r="AZ217">
            <v>5.7892787720000003</v>
          </cell>
          <cell r="BA217">
            <v>5.7717097449999999</v>
          </cell>
          <cell r="BB217">
            <v>5.7544507219999996</v>
          </cell>
          <cell r="BC217">
            <v>5.7377116849999998</v>
          </cell>
          <cell r="BD217">
            <v>5.7215888379999997</v>
          </cell>
          <cell r="BE217">
            <v>5.7067201269999996</v>
          </cell>
          <cell r="BF217">
            <v>5.6923532979999996</v>
          </cell>
          <cell r="BG217">
            <v>5.6784853130000004</v>
          </cell>
          <cell r="BH217">
            <v>5.6650606789999998</v>
          </cell>
          <cell r="BI217">
            <v>5.6520211270000003</v>
          </cell>
        </row>
        <row r="223">
          <cell r="E223" t="str">
            <v>YG_toe_cele_2</v>
          </cell>
          <cell r="F223">
            <v>56.380323850000003</v>
          </cell>
          <cell r="G223">
            <v>56.553622330000003</v>
          </cell>
          <cell r="H223">
            <v>56.803358459999998</v>
          </cell>
          <cell r="I223">
            <v>57.126094899999998</v>
          </cell>
          <cell r="J223">
            <v>57.52905423</v>
          </cell>
          <cell r="K223">
            <v>58.004425310000002</v>
          </cell>
          <cell r="L223">
            <v>58.503443799999999</v>
          </cell>
          <cell r="M223">
            <v>59.035146179999998</v>
          </cell>
          <cell r="N223">
            <v>59.596441730000002</v>
          </cell>
          <cell r="O223">
            <v>60.181507189999998</v>
          </cell>
          <cell r="P223">
            <v>60.837195090000002</v>
          </cell>
          <cell r="Q223">
            <v>61.463460140000002</v>
          </cell>
          <cell r="R223">
            <v>62.086390999999999</v>
          </cell>
          <cell r="S223">
            <v>62.70688801</v>
          </cell>
          <cell r="T223">
            <v>63.324078370000002</v>
          </cell>
          <cell r="U223">
            <v>63.937378680000002</v>
          </cell>
          <cell r="V223">
            <v>64.541838400000003</v>
          </cell>
          <cell r="W223">
            <v>65.142069950000007</v>
          </cell>
          <cell r="X223">
            <v>65.739569880000005</v>
          </cell>
          <cell r="Y223">
            <v>66.335822039999996</v>
          </cell>
          <cell r="Z223">
            <v>66.893348610000004</v>
          </cell>
          <cell r="AA223">
            <v>67.478449330000004</v>
          </cell>
          <cell r="AB223">
            <v>68.072979480000001</v>
          </cell>
          <cell r="AC223">
            <v>68.675670479999994</v>
          </cell>
          <cell r="AD223">
            <v>69.287163980000003</v>
          </cell>
          <cell r="AE223">
            <v>69.797476470000007</v>
          </cell>
          <cell r="AF223">
            <v>70.34046841</v>
          </cell>
          <cell r="AG223">
            <v>70.892916690000007</v>
          </cell>
          <cell r="AH223">
            <v>71.454786960000007</v>
          </cell>
          <cell r="AI223">
            <v>72.027803219999996</v>
          </cell>
          <cell r="AJ223">
            <v>72.613752340000005</v>
          </cell>
          <cell r="AK223">
            <v>73.215222139999995</v>
          </cell>
          <cell r="AL223">
            <v>73.832475990000006</v>
          </cell>
          <cell r="AM223">
            <v>74.466213490000001</v>
          </cell>
          <cell r="AN223">
            <v>75.116881800000002</v>
          </cell>
          <cell r="AO223">
            <v>75.784660950000003</v>
          </cell>
          <cell r="AP223">
            <v>76.453010789999993</v>
          </cell>
          <cell r="AQ223">
            <v>77.130634369999996</v>
          </cell>
          <cell r="AR223">
            <v>77.8199671</v>
          </cell>
          <cell r="AS223">
            <v>78.522016109999996</v>
          </cell>
          <cell r="AT223">
            <v>79.237215770000006</v>
          </cell>
          <cell r="AU223">
            <v>79.96725386</v>
          </cell>
          <cell r="AV223">
            <v>80.710912460000003</v>
          </cell>
          <cell r="AW223">
            <v>81.467949340000004</v>
          </cell>
          <cell r="AX223">
            <v>82.238129330000007</v>
          </cell>
          <cell r="AY223">
            <v>83.021207320000002</v>
          </cell>
          <cell r="AZ223">
            <v>83.825247630000007</v>
          </cell>
          <cell r="BA223">
            <v>84.645731179999999</v>
          </cell>
          <cell r="BB223">
            <v>85.48284271</v>
          </cell>
          <cell r="BC223">
            <v>86.336806170000003</v>
          </cell>
          <cell r="BD223">
            <v>87.207550350000005</v>
          </cell>
          <cell r="BE223">
            <v>88.098045679999998</v>
          </cell>
          <cell r="BF223">
            <v>89.005440590000006</v>
          </cell>
          <cell r="BG223">
            <v>89.929226600000007</v>
          </cell>
          <cell r="BH223">
            <v>90.869155969999994</v>
          </cell>
          <cell r="BI223">
            <v>91.825112489999995</v>
          </cell>
        </row>
        <row r="233">
          <cell r="E233" t="str">
            <v>YG_toe_chea_2</v>
          </cell>
          <cell r="F233">
            <v>5.653696676</v>
          </cell>
          <cell r="G233">
            <v>5.6998161439999997</v>
          </cell>
          <cell r="H233">
            <v>5.7600115939999998</v>
          </cell>
          <cell r="I233">
            <v>5.8268110159999997</v>
          </cell>
          <cell r="J233">
            <v>5.8988713349999999</v>
          </cell>
          <cell r="K233">
            <v>5.9762408870000003</v>
          </cell>
          <cell r="L233">
            <v>6.0539503610000001</v>
          </cell>
          <cell r="M233">
            <v>6.1306822619999997</v>
          </cell>
          <cell r="N233">
            <v>6.2054175520000001</v>
          </cell>
          <cell r="O233">
            <v>6.2780441810000003</v>
          </cell>
          <cell r="P233">
            <v>6.3579416970000002</v>
          </cell>
          <cell r="Q233">
            <v>6.4311047720000003</v>
          </cell>
          <cell r="R233">
            <v>6.5015184240000004</v>
          </cell>
          <cell r="S233">
            <v>6.570774718</v>
          </cell>
          <cell r="T233">
            <v>6.6396234239999998</v>
          </cell>
          <cell r="U233">
            <v>6.7084498090000002</v>
          </cell>
          <cell r="V233">
            <v>6.7772058839999998</v>
          </cell>
          <cell r="W233">
            <v>6.8462279019999999</v>
          </cell>
          <cell r="X233">
            <v>6.9156837649999998</v>
          </cell>
          <cell r="Y233">
            <v>6.9857098000000004</v>
          </cell>
          <cell r="Z233">
            <v>7.0503065840000003</v>
          </cell>
          <cell r="AA233">
            <v>7.1194327770000001</v>
          </cell>
          <cell r="AB233">
            <v>7.1909190330000001</v>
          </cell>
          <cell r="AC233">
            <v>7.2640628899999999</v>
          </cell>
          <cell r="AD233">
            <v>7.3386021430000001</v>
          </cell>
          <cell r="AE233">
            <v>7.3974215540000001</v>
          </cell>
          <cell r="AF233">
            <v>7.4598520009999998</v>
          </cell>
          <cell r="AG233">
            <v>7.5242493010000002</v>
          </cell>
          <cell r="AH233">
            <v>7.5902301369999998</v>
          </cell>
          <cell r="AI233">
            <v>7.6576840779999999</v>
          </cell>
          <cell r="AJ233">
            <v>7.7265281320000003</v>
          </cell>
          <cell r="AK233">
            <v>7.7967250229999996</v>
          </cell>
          <cell r="AL233">
            <v>7.8681102239999996</v>
          </cell>
          <cell r="AM233">
            <v>7.9405264420000004</v>
          </cell>
          <cell r="AN233">
            <v>8.0138160450000004</v>
          </cell>
          <cell r="AO233">
            <v>8.0878390099999997</v>
          </cell>
          <cell r="AP233">
            <v>8.159210839</v>
          </cell>
          <cell r="AQ233">
            <v>8.2298056129999999</v>
          </cell>
          <cell r="AR233">
            <v>8.3004216159999995</v>
          </cell>
          <cell r="AS233">
            <v>8.3714548860000004</v>
          </cell>
          <cell r="AT233">
            <v>8.4431384909999991</v>
          </cell>
          <cell r="AU233">
            <v>8.5157176040000007</v>
          </cell>
          <cell r="AV233">
            <v>8.5892820319999998</v>
          </cell>
          <cell r="AW233">
            <v>8.6639575149999999</v>
          </cell>
          <cell r="AX233">
            <v>8.7398689899999997</v>
          </cell>
          <cell r="AY233">
            <v>8.8171143930000007</v>
          </cell>
          <cell r="AZ233">
            <v>8.8957064070000005</v>
          </cell>
          <cell r="BA233">
            <v>8.9744795370000006</v>
          </cell>
          <cell r="BB233">
            <v>9.0527077390000006</v>
          </cell>
          <cell r="BC233">
            <v>9.1300222879999993</v>
          </cell>
          <cell r="BD233">
            <v>9.2063302520000008</v>
          </cell>
          <cell r="BE233">
            <v>9.2818755540000009</v>
          </cell>
          <cell r="BF233">
            <v>9.3567191110000003</v>
          </cell>
          <cell r="BG233">
            <v>9.4310560409999997</v>
          </cell>
          <cell r="BH233">
            <v>9.5050966619999997</v>
          </cell>
          <cell r="BI233">
            <v>9.5790324840000007</v>
          </cell>
        </row>
        <row r="235">
          <cell r="E235" t="str">
            <v>YG_toe_cbio_2</v>
          </cell>
          <cell r="F235">
            <v>11.094189999999999</v>
          </cell>
          <cell r="G235">
            <v>11.11657039</v>
          </cell>
          <cell r="H235">
            <v>11.12619218</v>
          </cell>
          <cell r="I235">
            <v>11.13650088</v>
          </cell>
          <cell r="J235">
            <v>11.15335342</v>
          </cell>
          <cell r="K235">
            <v>11.177340320000001</v>
          </cell>
          <cell r="L235">
            <v>11.20109328</v>
          </cell>
          <cell r="M235">
            <v>11.2263713</v>
          </cell>
          <cell r="N235">
            <v>11.25537214</v>
          </cell>
          <cell r="O235">
            <v>11.288882340000001</v>
          </cell>
          <cell r="P235">
            <v>11.33535661</v>
          </cell>
          <cell r="Q235">
            <v>11.37971967</v>
          </cell>
          <cell r="R235">
            <v>11.424331159999999</v>
          </cell>
          <cell r="S235">
            <v>11.46955608</v>
          </cell>
          <cell r="T235">
            <v>11.51527345</v>
          </cell>
          <cell r="U235">
            <v>11.561270970000001</v>
          </cell>
          <cell r="V235">
            <v>11.606986859999999</v>
          </cell>
          <cell r="W235">
            <v>11.65256237</v>
          </cell>
          <cell r="X235">
            <v>11.69797881</v>
          </cell>
          <cell r="Y235">
            <v>11.74325125</v>
          </cell>
          <cell r="Z235">
            <v>11.782299200000001</v>
          </cell>
          <cell r="AA235">
            <v>11.824808129999999</v>
          </cell>
          <cell r="AB235">
            <v>11.868750220000001</v>
          </cell>
          <cell r="AC235">
            <v>11.91346925</v>
          </cell>
          <cell r="AD235">
            <v>11.9587752</v>
          </cell>
          <cell r="AE235">
            <v>11.98757809</v>
          </cell>
          <cell r="AF235">
            <v>12.018840109999999</v>
          </cell>
          <cell r="AG235">
            <v>12.051128520000001</v>
          </cell>
          <cell r="AH235">
            <v>12.08417302</v>
          </cell>
          <cell r="AI235">
            <v>12.11797831</v>
          </cell>
          <cell r="AJ235">
            <v>12.15265174</v>
          </cell>
          <cell r="AK235">
            <v>12.188434089999999</v>
          </cell>
          <cell r="AL235">
            <v>12.22543815</v>
          </cell>
          <cell r="AM235">
            <v>12.263825860000001</v>
          </cell>
          <cell r="AN235">
            <v>12.303744760000001</v>
          </cell>
          <cell r="AO235">
            <v>12.34530799</v>
          </cell>
          <cell r="AP235">
            <v>12.38547983</v>
          </cell>
          <cell r="AQ235">
            <v>12.425876089999999</v>
          </cell>
          <cell r="AR235">
            <v>12.46719126</v>
          </cell>
          <cell r="AS235">
            <v>12.50968256</v>
          </cell>
          <cell r="AT235">
            <v>12.55340597</v>
          </cell>
          <cell r="AU235">
            <v>12.59844245</v>
          </cell>
          <cell r="AV235">
            <v>12.644623620000001</v>
          </cell>
          <cell r="AW235">
            <v>12.691831049999999</v>
          </cell>
          <cell r="AX235">
            <v>12.73994091</v>
          </cell>
          <cell r="AY235">
            <v>12.78884547</v>
          </cell>
          <cell r="AZ235">
            <v>12.83956573</v>
          </cell>
          <cell r="BA235">
            <v>12.8921695</v>
          </cell>
          <cell r="BB235">
            <v>12.947034410000001</v>
          </cell>
          <cell r="BC235">
            <v>13.00440794</v>
          </cell>
          <cell r="BD235">
            <v>13.06435901</v>
          </cell>
          <cell r="BE235">
            <v>13.12707541</v>
          </cell>
          <cell r="BF235">
            <v>13.19224309</v>
          </cell>
          <cell r="BG235">
            <v>13.259671640000001</v>
          </cell>
          <cell r="BH235">
            <v>13.32918883</v>
          </cell>
          <cell r="BI235">
            <v>13.400641569999999</v>
          </cell>
        </row>
        <row r="238">
          <cell r="E238" t="str">
            <v>YG_toe_cote_2</v>
          </cell>
          <cell r="F238">
            <v>13.350135010000001</v>
          </cell>
          <cell r="G238">
            <v>13.419909130000001</v>
          </cell>
          <cell r="H238">
            <v>13.53583598</v>
          </cell>
          <cell r="I238">
            <v>13.670717550000001</v>
          </cell>
          <cell r="J238">
            <v>13.820644619999999</v>
          </cell>
          <cell r="K238">
            <v>13.98353476</v>
          </cell>
          <cell r="L238">
            <v>14.14662251</v>
          </cell>
          <cell r="M238">
            <v>14.31607614</v>
          </cell>
          <cell r="N238">
            <v>14.49118773</v>
          </cell>
          <cell r="O238">
            <v>14.670943189999999</v>
          </cell>
          <cell r="P238">
            <v>14.871838350000001</v>
          </cell>
          <cell r="Q238">
            <v>15.059818480000001</v>
          </cell>
          <cell r="R238">
            <v>15.24834311</v>
          </cell>
          <cell r="S238">
            <v>15.43827999</v>
          </cell>
          <cell r="T238">
            <v>15.62969384</v>
          </cell>
          <cell r="U238">
            <v>15.82258581</v>
          </cell>
          <cell r="V238">
            <v>16.014747589999999</v>
          </cell>
          <cell r="W238">
            <v>16.208344260000001</v>
          </cell>
          <cell r="X238">
            <v>16.40371906</v>
          </cell>
          <cell r="Y238">
            <v>16.601111029999998</v>
          </cell>
          <cell r="Z238">
            <v>16.78817364</v>
          </cell>
          <cell r="AA238">
            <v>16.987669459999999</v>
          </cell>
          <cell r="AB238">
            <v>17.191114299999999</v>
          </cell>
          <cell r="AC238">
            <v>17.397945029999999</v>
          </cell>
          <cell r="AD238">
            <v>17.608168429999999</v>
          </cell>
          <cell r="AE238">
            <v>17.78604795</v>
          </cell>
          <cell r="AF238">
            <v>17.97974228</v>
          </cell>
          <cell r="AG238">
            <v>18.17692332</v>
          </cell>
          <cell r="AH238">
            <v>18.377063490000001</v>
          </cell>
          <cell r="AI238">
            <v>18.580322389999999</v>
          </cell>
          <cell r="AJ238">
            <v>18.78692788</v>
          </cell>
          <cell r="AK238">
            <v>18.997572170000002</v>
          </cell>
          <cell r="AL238">
            <v>19.211930049999999</v>
          </cell>
          <cell r="AM238">
            <v>19.430032929999999</v>
          </cell>
          <cell r="AN238">
            <v>19.65189565</v>
          </cell>
          <cell r="AO238">
            <v>19.877505129999999</v>
          </cell>
          <cell r="AP238">
            <v>20.10280706</v>
          </cell>
          <cell r="AQ238">
            <v>20.330365029999999</v>
          </cell>
          <cell r="AR238">
            <v>20.56061888</v>
          </cell>
          <cell r="AS238">
            <v>20.793755539999999</v>
          </cell>
          <cell r="AT238">
            <v>21.02988637</v>
          </cell>
          <cell r="AU238">
            <v>21.269804140000002</v>
          </cell>
          <cell r="AV238">
            <v>21.512943199999999</v>
          </cell>
          <cell r="AW238">
            <v>21.759294860000001</v>
          </cell>
          <cell r="AX238">
            <v>22.00887444</v>
          </cell>
          <cell r="AY238">
            <v>22.261690869999999</v>
          </cell>
          <cell r="AZ238">
            <v>22.520895020000001</v>
          </cell>
          <cell r="BA238">
            <v>22.78376703</v>
          </cell>
          <cell r="BB238">
            <v>23.050041419999999</v>
          </cell>
          <cell r="BC238">
            <v>23.319640700000001</v>
          </cell>
          <cell r="BD238">
            <v>23.592530920000002</v>
          </cell>
          <cell r="BE238">
            <v>23.870207969999999</v>
          </cell>
          <cell r="BF238">
            <v>24.151361009999999</v>
          </cell>
          <cell r="BG238">
            <v>24.43589952</v>
          </cell>
          <cell r="BH238">
            <v>24.723826450000001</v>
          </cell>
          <cell r="BI238">
            <v>25.0151675</v>
          </cell>
        </row>
        <row r="241">
          <cell r="E241" t="str">
            <v>YG_toe_0</v>
          </cell>
          <cell r="F241">
            <v>148.7539031</v>
          </cell>
          <cell r="G241">
            <v>149.9412342</v>
          </cell>
          <cell r="H241">
            <v>151.04358999999999</v>
          </cell>
          <cell r="I241">
            <v>152.21546219999999</v>
          </cell>
          <cell r="J241">
            <v>153.5049545</v>
          </cell>
          <cell r="K241">
            <v>154.92799429999999</v>
          </cell>
          <cell r="L241">
            <v>156.39043939999999</v>
          </cell>
          <cell r="M241">
            <v>157.9308772</v>
          </cell>
          <cell r="N241">
            <v>159.53738480000001</v>
          </cell>
          <cell r="O241">
            <v>161.19526310000001</v>
          </cell>
          <cell r="P241">
            <v>163.04248129999999</v>
          </cell>
          <cell r="Q241">
            <v>164.8173654</v>
          </cell>
          <cell r="R241">
            <v>166.59956070000001</v>
          </cell>
          <cell r="S241">
            <v>168.3956168</v>
          </cell>
          <cell r="T241">
            <v>170.2067754</v>
          </cell>
          <cell r="U241">
            <v>172.03351119999999</v>
          </cell>
          <cell r="V241">
            <v>173.8765477</v>
          </cell>
          <cell r="W241">
            <v>175.7370109</v>
          </cell>
          <cell r="X241">
            <v>177.61636419999999</v>
          </cell>
          <cell r="Y241">
            <v>179.5162977</v>
          </cell>
          <cell r="Z241">
            <v>181.32944330000001</v>
          </cell>
          <cell r="AA241">
            <v>183.24304280000001</v>
          </cell>
          <cell r="AB241">
            <v>185.19625590000001</v>
          </cell>
          <cell r="AC241">
            <v>187.1837563</v>
          </cell>
          <cell r="AD241">
            <v>189.20489850000001</v>
          </cell>
          <cell r="AE241">
            <v>190.94736270000001</v>
          </cell>
          <cell r="AF241">
            <v>192.79503120000001</v>
          </cell>
          <cell r="AG241">
            <v>194.67020919999999</v>
          </cell>
          <cell r="AH241">
            <v>196.5711537</v>
          </cell>
          <cell r="AI241">
            <v>198.50022480000001</v>
          </cell>
          <cell r="AJ241">
            <v>200.46024969999999</v>
          </cell>
          <cell r="AK241">
            <v>202.45359400000001</v>
          </cell>
          <cell r="AL241">
            <v>204.48195250000001</v>
          </cell>
          <cell r="AM241">
            <v>206.54637719999999</v>
          </cell>
          <cell r="AN241">
            <v>208.64738969999999</v>
          </cell>
          <cell r="AO241">
            <v>210.7851163</v>
          </cell>
          <cell r="AP241">
            <v>212.884883</v>
          </cell>
          <cell r="AQ241">
            <v>214.99802639999999</v>
          </cell>
          <cell r="AR241">
            <v>217.13294880000001</v>
          </cell>
          <cell r="AS241">
            <v>219.2934745</v>
          </cell>
          <cell r="AT241">
            <v>221.48204670000001</v>
          </cell>
          <cell r="AU241">
            <v>223.7005106</v>
          </cell>
          <cell r="AV241">
            <v>225.9503133</v>
          </cell>
          <cell r="AW241">
            <v>228.23256789999999</v>
          </cell>
          <cell r="AX241">
            <v>230.54804909999999</v>
          </cell>
          <cell r="AY241">
            <v>232.89707250000001</v>
          </cell>
          <cell r="AZ241">
            <v>235.28533630000001</v>
          </cell>
          <cell r="BA241">
            <v>237.70370310000001</v>
          </cell>
          <cell r="BB241">
            <v>240.1489444</v>
          </cell>
          <cell r="BC241">
            <v>242.62557419999999</v>
          </cell>
          <cell r="BD241">
            <v>245.13779260000001</v>
          </cell>
          <cell r="BE241">
            <v>247.68709290000001</v>
          </cell>
          <cell r="BF241">
            <v>250.2733551</v>
          </cell>
          <cell r="BG241">
            <v>252.89599620000001</v>
          </cell>
          <cell r="BH241">
            <v>255.55456190000001</v>
          </cell>
          <cell r="BI241">
            <v>258.24891050000002</v>
          </cell>
        </row>
        <row r="242">
          <cell r="E242" t="str">
            <v>YG_toe_ccoa_0</v>
          </cell>
          <cell r="F242">
            <v>2.395310383</v>
          </cell>
          <cell r="G242">
            <v>2.4206345919999999</v>
          </cell>
          <cell r="H242">
            <v>2.447536323</v>
          </cell>
          <cell r="I242">
            <v>2.4770827469999999</v>
          </cell>
          <cell r="J242">
            <v>2.5093666809999999</v>
          </cell>
          <cell r="K242">
            <v>2.5441740340000001</v>
          </cell>
          <cell r="L242">
            <v>2.579616256</v>
          </cell>
          <cell r="M242">
            <v>2.6163531619999998</v>
          </cell>
          <cell r="N242">
            <v>2.654317823</v>
          </cell>
          <cell r="O242">
            <v>2.6933564510000001</v>
          </cell>
          <cell r="P242">
            <v>2.7359851509999999</v>
          </cell>
          <cell r="Q242">
            <v>2.7776421340000002</v>
          </cell>
          <cell r="R242">
            <v>2.8196814469999998</v>
          </cell>
          <cell r="S242">
            <v>2.8623338170000001</v>
          </cell>
          <cell r="T242">
            <v>2.9056221450000002</v>
          </cell>
          <cell r="U242">
            <v>2.949542348</v>
          </cell>
          <cell r="V242">
            <v>2.9940955389999999</v>
          </cell>
          <cell r="W242">
            <v>3.0392911690000002</v>
          </cell>
          <cell r="X242">
            <v>3.085144799</v>
          </cell>
          <cell r="Y242">
            <v>3.131675371</v>
          </cell>
          <cell r="Z242">
            <v>3.1769283769999999</v>
          </cell>
          <cell r="AA242">
            <v>3.2242513709999998</v>
          </cell>
          <cell r="AB242">
            <v>3.2726041100000001</v>
          </cell>
          <cell r="AC242">
            <v>3.3217969959999998</v>
          </cell>
          <cell r="AD242">
            <v>3.37180568</v>
          </cell>
          <cell r="AE242">
            <v>3.416912124</v>
          </cell>
          <cell r="AF242">
            <v>3.464040877</v>
          </cell>
          <cell r="AG242">
            <v>3.5119538719999999</v>
          </cell>
          <cell r="AH242">
            <v>3.5604472070000002</v>
          </cell>
          <cell r="AI242">
            <v>3.6095196430000001</v>
          </cell>
          <cell r="AJ242">
            <v>3.6592028239999999</v>
          </cell>
          <cell r="AK242">
            <v>3.7095267629999999</v>
          </cell>
          <cell r="AL242">
            <v>3.7605126769999999</v>
          </cell>
          <cell r="AM242">
            <v>3.8121724709999998</v>
          </cell>
          <cell r="AN242">
            <v>3.8645102649999998</v>
          </cell>
          <cell r="AO242">
            <v>3.917524539</v>
          </cell>
          <cell r="AP242">
            <v>3.9698140780000002</v>
          </cell>
          <cell r="AQ242">
            <v>4.0223101979999996</v>
          </cell>
          <cell r="AR242">
            <v>4.0752093870000001</v>
          </cell>
          <cell r="AS242">
            <v>4.1285652610000003</v>
          </cell>
          <cell r="AT242">
            <v>4.182405191</v>
          </cell>
          <cell r="AU242">
            <v>4.236751452</v>
          </cell>
          <cell r="AV242">
            <v>4.2916239159999998</v>
          </cell>
          <cell r="AW242">
            <v>4.3470395000000002</v>
          </cell>
          <cell r="AX242">
            <v>4.403011556</v>
          </cell>
          <cell r="AY242">
            <v>4.4595492129999998</v>
          </cell>
          <cell r="AZ242">
            <v>4.516782128</v>
          </cell>
          <cell r="BA242">
            <v>4.5746674589999996</v>
          </cell>
          <cell r="BB242">
            <v>4.63320139</v>
          </cell>
          <cell r="BC242">
            <v>4.6923859229999998</v>
          </cell>
          <cell r="BD242">
            <v>4.7522222899999997</v>
          </cell>
          <cell r="BE242">
            <v>4.8127135250000004</v>
          </cell>
          <cell r="BF242">
            <v>4.8738662279999998</v>
          </cell>
          <cell r="BG242">
            <v>4.9356901879999997</v>
          </cell>
          <cell r="BH242">
            <v>4.998197491</v>
          </cell>
          <cell r="BI242">
            <v>5.0614018769999998</v>
          </cell>
        </row>
        <row r="245">
          <cell r="E245" t="str">
            <v>YG_toe_ccoi_0</v>
          </cell>
          <cell r="F245">
            <v>1.097368924</v>
          </cell>
          <cell r="G245">
            <v>1.1057038960000001</v>
          </cell>
          <cell r="H245">
            <v>1.1130509319999999</v>
          </cell>
          <cell r="I245">
            <v>1.121294832</v>
          </cell>
          <cell r="J245">
            <v>1.130973078</v>
          </cell>
          <cell r="K245">
            <v>1.1421154529999999</v>
          </cell>
          <cell r="L245">
            <v>1.153956024</v>
          </cell>
          <cell r="M245">
            <v>1.166592182</v>
          </cell>
          <cell r="N245">
            <v>1.179891311</v>
          </cell>
          <cell r="O245">
            <v>1.1937072639999999</v>
          </cell>
          <cell r="P245">
            <v>1.2089186700000001</v>
          </cell>
          <cell r="Q245">
            <v>1.223835301</v>
          </cell>
          <cell r="R245">
            <v>1.2388558940000001</v>
          </cell>
          <cell r="S245">
            <v>1.2540528419999999</v>
          </cell>
          <cell r="T245">
            <v>1.2694263589999999</v>
          </cell>
          <cell r="U245">
            <v>1.2849680990000001</v>
          </cell>
          <cell r="V245">
            <v>1.3006731840000001</v>
          </cell>
          <cell r="W245">
            <v>1.3165411570000001</v>
          </cell>
          <cell r="X245">
            <v>1.332574946</v>
          </cell>
          <cell r="Y245">
            <v>1.3487797370000001</v>
          </cell>
          <cell r="Z245">
            <v>1.3644293789999999</v>
          </cell>
          <cell r="AA245">
            <v>1.380725043</v>
          </cell>
          <cell r="AB245">
            <v>1.397337923</v>
          </cell>
          <cell r="AC245">
            <v>1.414195976</v>
          </cell>
          <cell r="AD245">
            <v>1.431289265</v>
          </cell>
          <cell r="AE245">
            <v>1.446507502</v>
          </cell>
          <cell r="AF245">
            <v>1.462297044</v>
          </cell>
          <cell r="AG245">
            <v>1.478307088</v>
          </cell>
          <cell r="AH245">
            <v>1.494476084</v>
          </cell>
          <cell r="AI245">
            <v>1.510813642</v>
          </cell>
          <cell r="AJ245">
            <v>1.527341163</v>
          </cell>
          <cell r="AK245">
            <v>1.5440784569999999</v>
          </cell>
          <cell r="AL245">
            <v>1.5610409240000001</v>
          </cell>
          <cell r="AM245">
            <v>1.5782395229999999</v>
          </cell>
          <cell r="AN245">
            <v>1.5956815129999999</v>
          </cell>
          <cell r="AO245">
            <v>1.6133713750000001</v>
          </cell>
          <cell r="AP245">
            <v>1.6308022280000001</v>
          </cell>
          <cell r="AQ245">
            <v>1.6482932180000001</v>
          </cell>
          <cell r="AR245">
            <v>1.6659295030000001</v>
          </cell>
          <cell r="AS245">
            <v>1.6837411179999999</v>
          </cell>
          <cell r="AT245">
            <v>1.701746067</v>
          </cell>
          <cell r="AU245">
            <v>1.7199588050000001</v>
          </cell>
          <cell r="AV245">
            <v>1.7383914629999999</v>
          </cell>
          <cell r="AW245">
            <v>1.7570538149999999</v>
          </cell>
          <cell r="AX245">
            <v>1.775953085</v>
          </cell>
          <cell r="AY245">
            <v>1.795093324</v>
          </cell>
          <cell r="AZ245">
            <v>1.8145177779999999</v>
          </cell>
          <cell r="BA245">
            <v>1.8341973600000001</v>
          </cell>
          <cell r="BB245">
            <v>1.854120346</v>
          </cell>
          <cell r="BC245">
            <v>1.8742991579999999</v>
          </cell>
          <cell r="BD245">
            <v>1.894746694</v>
          </cell>
          <cell r="BE245">
            <v>1.915467797</v>
          </cell>
          <cell r="BF245">
            <v>1.9364622119999999</v>
          </cell>
          <cell r="BG245">
            <v>1.95772831</v>
          </cell>
          <cell r="BH245">
            <v>1.979265048</v>
          </cell>
          <cell r="BI245">
            <v>2.0010725740000002</v>
          </cell>
        </row>
        <row r="248">
          <cell r="E248" t="str">
            <v>YG_toe_cfut_0</v>
          </cell>
          <cell r="F248">
            <v>42.403763159999997</v>
          </cell>
          <cell r="G248">
            <v>42.671330259999998</v>
          </cell>
          <cell r="H248">
            <v>42.920814280000002</v>
          </cell>
          <cell r="I248">
            <v>43.221645619999997</v>
          </cell>
          <cell r="J248">
            <v>43.590534470000001</v>
          </cell>
          <cell r="K248">
            <v>44.022083279999997</v>
          </cell>
          <cell r="L248">
            <v>44.483522020000002</v>
          </cell>
          <cell r="M248">
            <v>44.978733210000001</v>
          </cell>
          <cell r="N248">
            <v>45.500559780000003</v>
          </cell>
          <cell r="O248">
            <v>46.043145789999997</v>
          </cell>
          <cell r="P248">
            <v>46.639897910000002</v>
          </cell>
          <cell r="Q248">
            <v>47.223769060000002</v>
          </cell>
          <cell r="R248">
            <v>47.81572371</v>
          </cell>
          <cell r="S248">
            <v>48.415613700000002</v>
          </cell>
          <cell r="T248">
            <v>49.022576489999999</v>
          </cell>
          <cell r="U248">
            <v>49.635924350000003</v>
          </cell>
          <cell r="V248">
            <v>50.255243350000001</v>
          </cell>
          <cell r="W248">
            <v>50.880344450000003</v>
          </cell>
          <cell r="X248">
            <v>51.511200580000001</v>
          </cell>
          <cell r="Y248">
            <v>52.147895470000002</v>
          </cell>
          <cell r="Z248">
            <v>52.762622989999997</v>
          </cell>
          <cell r="AA248">
            <v>53.403172920000003</v>
          </cell>
          <cell r="AB248">
            <v>54.052528619999997</v>
          </cell>
          <cell r="AC248">
            <v>54.709884340000002</v>
          </cell>
          <cell r="AD248">
            <v>55.37528906</v>
          </cell>
          <cell r="AE248">
            <v>55.968175440000003</v>
          </cell>
          <cell r="AF248">
            <v>56.58789024</v>
          </cell>
          <cell r="AG248">
            <v>57.21105927</v>
          </cell>
          <cell r="AH248">
            <v>57.837820020000002</v>
          </cell>
          <cell r="AI248">
            <v>58.469319259999999</v>
          </cell>
          <cell r="AJ248">
            <v>59.106717510000003</v>
          </cell>
          <cell r="AK248">
            <v>59.750971749999998</v>
          </cell>
          <cell r="AL248">
            <v>60.402807979999999</v>
          </cell>
          <cell r="AM248">
            <v>61.062747119999997</v>
          </cell>
          <cell r="AN248">
            <v>61.731146350000003</v>
          </cell>
          <cell r="AO248">
            <v>62.408241510000003</v>
          </cell>
          <cell r="AP248">
            <v>63.07468274</v>
          </cell>
          <cell r="AQ248">
            <v>63.744179350000003</v>
          </cell>
          <cell r="AR248">
            <v>64.418396830000006</v>
          </cell>
          <cell r="AS248">
            <v>65.09824399</v>
          </cell>
          <cell r="AT248">
            <v>65.784468090000004</v>
          </cell>
          <cell r="AU248">
            <v>66.477733459999996</v>
          </cell>
          <cell r="AV248">
            <v>67.178612040000004</v>
          </cell>
          <cell r="AW248">
            <v>67.887572980000002</v>
          </cell>
          <cell r="AX248">
            <v>68.604983430000004</v>
          </cell>
          <cell r="AY248">
            <v>69.331117419999998</v>
          </cell>
          <cell r="AZ248">
            <v>70.067921830000003</v>
          </cell>
          <cell r="BA248">
            <v>70.814276669999998</v>
          </cell>
          <cell r="BB248">
            <v>71.570129679999994</v>
          </cell>
          <cell r="BC248">
            <v>72.335539350000005</v>
          </cell>
          <cell r="BD248">
            <v>73.11056542</v>
          </cell>
          <cell r="BE248">
            <v>73.895242319999994</v>
          </cell>
          <cell r="BF248">
            <v>74.689594619999994</v>
          </cell>
          <cell r="BG248">
            <v>75.493653769999995</v>
          </cell>
          <cell r="BH248">
            <v>76.307466199999993</v>
          </cell>
          <cell r="BI248">
            <v>77.131094500000003</v>
          </cell>
        </row>
        <row r="251">
          <cell r="E251" t="str">
            <v>YG_toe_cfuh_0</v>
          </cell>
          <cell r="F251">
            <v>7.942823883</v>
          </cell>
          <cell r="G251">
            <v>8.0004213370000006</v>
          </cell>
          <cell r="H251">
            <v>8.0493748949999997</v>
          </cell>
          <cell r="I251">
            <v>8.0983180380000004</v>
          </cell>
          <cell r="J251">
            <v>8.1500469350000007</v>
          </cell>
          <cell r="K251">
            <v>8.2086689199999991</v>
          </cell>
          <cell r="L251">
            <v>8.2710929209999993</v>
          </cell>
          <cell r="M251">
            <v>8.3388245039999997</v>
          </cell>
          <cell r="N251">
            <v>8.4111189690000003</v>
          </cell>
          <cell r="O251">
            <v>8.4869429259999993</v>
          </cell>
          <cell r="P251">
            <v>8.5723894620000003</v>
          </cell>
          <cell r="Q251">
            <v>8.6557614760000003</v>
          </cell>
          <cell r="R251">
            <v>8.7396671169999998</v>
          </cell>
          <cell r="S251">
            <v>8.8244490219999996</v>
          </cell>
          <cell r="T251">
            <v>8.9101403339999994</v>
          </cell>
          <cell r="U251">
            <v>8.9967330929999996</v>
          </cell>
          <cell r="V251">
            <v>9.0842335009999999</v>
          </cell>
          <cell r="W251">
            <v>9.1726677720000005</v>
          </cell>
          <cell r="X251">
            <v>9.2620776669999998</v>
          </cell>
          <cell r="Y251">
            <v>9.3525150840000002</v>
          </cell>
          <cell r="Z251">
            <v>9.4389963829999992</v>
          </cell>
          <cell r="AA251">
            <v>9.5296474750000009</v>
          </cell>
          <cell r="AB251">
            <v>9.6223272860000009</v>
          </cell>
          <cell r="AC251">
            <v>9.7166659489999994</v>
          </cell>
          <cell r="AD251">
            <v>9.8125826430000007</v>
          </cell>
          <cell r="AE251">
            <v>9.8956498530000001</v>
          </cell>
          <cell r="AF251">
            <v>9.9821131829999992</v>
          </cell>
          <cell r="AG251">
            <v>10.069692699999999</v>
          </cell>
          <cell r="AH251">
            <v>10.1582595</v>
          </cell>
          <cell r="AI251">
            <v>10.24791935</v>
          </cell>
          <cell r="AJ251">
            <v>10.338811059999999</v>
          </cell>
          <cell r="AK251">
            <v>10.43106193</v>
          </cell>
          <cell r="AL251">
            <v>10.524770370000001</v>
          </cell>
          <cell r="AM251">
            <v>10.62000538</v>
          </cell>
          <cell r="AN251">
            <v>10.716811249999999</v>
          </cell>
          <cell r="AO251">
            <v>10.815213590000001</v>
          </cell>
          <cell r="AP251">
            <v>10.91180559</v>
          </cell>
          <cell r="AQ251">
            <v>11.008612380000001</v>
          </cell>
          <cell r="AR251">
            <v>11.10616533</v>
          </cell>
          <cell r="AS251">
            <v>11.204715009999999</v>
          </cell>
          <cell r="AT251">
            <v>11.30442394</v>
          </cell>
          <cell r="AU251">
            <v>11.405413510000001</v>
          </cell>
          <cell r="AV251">
            <v>11.50777542</v>
          </cell>
          <cell r="AW251">
            <v>11.61157319</v>
          </cell>
          <cell r="AX251">
            <v>11.71683591</v>
          </cell>
          <cell r="AY251">
            <v>11.82352828</v>
          </cell>
          <cell r="AZ251">
            <v>11.931702059999999</v>
          </cell>
          <cell r="BA251">
            <v>12.04119805</v>
          </cell>
          <cell r="BB251">
            <v>12.15182272</v>
          </cell>
          <cell r="BC251">
            <v>12.264013630000001</v>
          </cell>
          <cell r="BD251">
            <v>12.378119509999999</v>
          </cell>
          <cell r="BE251">
            <v>12.49422695</v>
          </cell>
          <cell r="BF251">
            <v>12.61228614</v>
          </cell>
          <cell r="BG251">
            <v>12.73221629</v>
          </cell>
          <cell r="BH251">
            <v>12.85395336</v>
          </cell>
          <cell r="BI251">
            <v>12.977462470000001</v>
          </cell>
        </row>
        <row r="253">
          <cell r="E253" t="str">
            <v>YG_toe_cgas_0</v>
          </cell>
          <cell r="F253">
            <v>6.6062603229999999</v>
          </cell>
          <cell r="G253">
            <v>6.6480353149999996</v>
          </cell>
          <cell r="H253">
            <v>6.6704480950000002</v>
          </cell>
          <cell r="I253">
            <v>6.6792893109999998</v>
          </cell>
          <cell r="J253">
            <v>6.6778001089999997</v>
          </cell>
          <cell r="K253">
            <v>6.675258253</v>
          </cell>
          <cell r="L253">
            <v>6.6708197609999997</v>
          </cell>
          <cell r="M253">
            <v>6.6697477479999998</v>
          </cell>
          <cell r="N253">
            <v>6.6711559329999996</v>
          </cell>
          <cell r="O253">
            <v>6.674164116</v>
          </cell>
          <cell r="P253">
            <v>6.6860735189999998</v>
          </cell>
          <cell r="Q253">
            <v>6.6900411950000001</v>
          </cell>
          <cell r="R253">
            <v>6.6946569379999996</v>
          </cell>
          <cell r="S253">
            <v>6.6998824199999998</v>
          </cell>
          <cell r="T253">
            <v>6.7059279729999997</v>
          </cell>
          <cell r="U253">
            <v>6.7129278540000001</v>
          </cell>
          <cell r="V253">
            <v>6.7209333200000003</v>
          </cell>
          <cell r="W253">
            <v>6.72993796</v>
          </cell>
          <cell r="X253">
            <v>6.739898642</v>
          </cell>
          <cell r="Y253">
            <v>6.7507501840000002</v>
          </cell>
          <cell r="Z253">
            <v>6.7568754569999996</v>
          </cell>
          <cell r="AA253">
            <v>6.7699868399999996</v>
          </cell>
          <cell r="AB253">
            <v>6.7836348549999999</v>
          </cell>
          <cell r="AC253">
            <v>6.7978218930000001</v>
          </cell>
          <cell r="AD253">
            <v>6.8123806780000002</v>
          </cell>
          <cell r="AE253">
            <v>6.8115622650000001</v>
          </cell>
          <cell r="AF253">
            <v>6.8214316029999997</v>
          </cell>
          <cell r="AG253">
            <v>6.8320571040000004</v>
          </cell>
          <cell r="AH253">
            <v>6.8435382860000002</v>
          </cell>
          <cell r="AI253">
            <v>6.8554909449999997</v>
          </cell>
          <cell r="AJ253">
            <v>6.8675970959999999</v>
          </cell>
          <cell r="AK253">
            <v>6.8796483850000003</v>
          </cell>
          <cell r="AL253">
            <v>6.8915221930000001</v>
          </cell>
          <cell r="AM253">
            <v>6.903159016</v>
          </cell>
          <cell r="AN253">
            <v>6.9145443889999996</v>
          </cell>
          <cell r="AO253">
            <v>6.9256947139999996</v>
          </cell>
          <cell r="AP253">
            <v>6.9330359670000004</v>
          </cell>
          <cell r="AQ253">
            <v>6.940804923</v>
          </cell>
          <cell r="AR253">
            <v>6.9489016159999997</v>
          </cell>
          <cell r="AS253">
            <v>6.9573271830000003</v>
          </cell>
          <cell r="AT253">
            <v>6.9660339210000002</v>
          </cell>
          <cell r="AU253">
            <v>6.9749455210000004</v>
          </cell>
          <cell r="AV253">
            <v>6.9839789579999998</v>
          </cell>
          <cell r="AW253">
            <v>6.99305003</v>
          </cell>
          <cell r="AX253">
            <v>7.0020594880000004</v>
          </cell>
          <cell r="AY253">
            <v>7.0108418270000001</v>
          </cell>
          <cell r="AZ253">
            <v>7.0192826620000002</v>
          </cell>
          <cell r="BA253">
            <v>7.0268421859999997</v>
          </cell>
          <cell r="BB253">
            <v>7.0323414419999999</v>
          </cell>
          <cell r="BC253">
            <v>7.0376311950000003</v>
          </cell>
          <cell r="BD253">
            <v>7.0441854089999998</v>
          </cell>
          <cell r="BE253">
            <v>7.0523597540000003</v>
          </cell>
          <cell r="BF253">
            <v>7.0619507050000001</v>
          </cell>
          <cell r="BG253">
            <v>7.072622162</v>
          </cell>
          <cell r="BH253">
            <v>7.0840846280000003</v>
          </cell>
          <cell r="BI253">
            <v>7.0961378990000004</v>
          </cell>
        </row>
        <row r="259">
          <cell r="E259" t="str">
            <v>YG_toe_cele_0</v>
          </cell>
          <cell r="F259">
            <v>57.529655939999998</v>
          </cell>
          <cell r="G259">
            <v>58.024710339999999</v>
          </cell>
          <cell r="H259">
            <v>58.486192180000003</v>
          </cell>
          <cell r="I259">
            <v>58.965917330000003</v>
          </cell>
          <cell r="J259">
            <v>59.48201091</v>
          </cell>
          <cell r="K259">
            <v>60.047209180000003</v>
          </cell>
          <cell r="L259">
            <v>60.628122220000002</v>
          </cell>
          <cell r="M259">
            <v>61.237200270000002</v>
          </cell>
          <cell r="N259">
            <v>61.869040759999997</v>
          </cell>
          <cell r="O259">
            <v>62.517182910000002</v>
          </cell>
          <cell r="P259">
            <v>63.233221010000001</v>
          </cell>
          <cell r="Q259">
            <v>63.920640859999999</v>
          </cell>
          <cell r="R259">
            <v>64.606280620000007</v>
          </cell>
          <cell r="S259">
            <v>65.293249959999997</v>
          </cell>
          <cell r="T259">
            <v>65.982451819999994</v>
          </cell>
          <cell r="U259">
            <v>66.674545120000005</v>
          </cell>
          <cell r="V259">
            <v>67.370347199999998</v>
          </cell>
          <cell r="W259">
            <v>68.070875330000007</v>
          </cell>
          <cell r="X259">
            <v>68.777303099999997</v>
          </cell>
          <cell r="Y259">
            <v>69.490899290000002</v>
          </cell>
          <cell r="Z259">
            <v>70.171593729999998</v>
          </cell>
          <cell r="AA259">
            <v>70.889139819999997</v>
          </cell>
          <cell r="AB259">
            <v>71.623619559999995</v>
          </cell>
          <cell r="AC259">
            <v>72.373229800000004</v>
          </cell>
          <cell r="AD259">
            <v>73.138100559999998</v>
          </cell>
          <cell r="AE259">
            <v>73.800083610000001</v>
          </cell>
          <cell r="AF259">
            <v>74.499691310000003</v>
          </cell>
          <cell r="AG259">
            <v>75.212717720000001</v>
          </cell>
          <cell r="AH259">
            <v>75.938829440000006</v>
          </cell>
          <cell r="AI259">
            <v>76.679497209999994</v>
          </cell>
          <cell r="AJ259">
            <v>77.436238630000005</v>
          </cell>
          <cell r="AK259">
            <v>78.210221849999996</v>
          </cell>
          <cell r="AL259">
            <v>79.002206419999993</v>
          </cell>
          <cell r="AM259">
            <v>79.812580879999999</v>
          </cell>
          <cell r="AN259">
            <v>80.641432269999996</v>
          </cell>
          <cell r="AO259">
            <v>81.488623759999996</v>
          </cell>
          <cell r="AP259">
            <v>82.325474249999999</v>
          </cell>
          <cell r="AQ259">
            <v>83.169913179999995</v>
          </cell>
          <cell r="AR259">
            <v>84.025416989999997</v>
          </cell>
          <cell r="AS259">
            <v>84.893519420000004</v>
          </cell>
          <cell r="AT259">
            <v>85.775187349999996</v>
          </cell>
          <cell r="AU259">
            <v>86.6711296</v>
          </cell>
          <cell r="AV259">
            <v>87.581865379999996</v>
          </cell>
          <cell r="AW259">
            <v>88.507748730000003</v>
          </cell>
          <cell r="AX259">
            <v>89.448949139999996</v>
          </cell>
          <cell r="AY259">
            <v>90.405353039999994</v>
          </cell>
          <cell r="AZ259">
            <v>91.378581740000001</v>
          </cell>
          <cell r="BA259">
            <v>92.366398910000001</v>
          </cell>
          <cell r="BB259">
            <v>93.367647050000002</v>
          </cell>
          <cell r="BC259">
            <v>94.383784559999995</v>
          </cell>
          <cell r="BD259">
            <v>95.416139610000002</v>
          </cell>
          <cell r="BE259">
            <v>96.465049030000003</v>
          </cell>
          <cell r="BF259">
            <v>97.530291090000006</v>
          </cell>
          <cell r="BG259">
            <v>98.611535910000001</v>
          </cell>
          <cell r="BH259">
            <v>99.708569609999998</v>
          </cell>
          <cell r="BI259">
            <v>100.8213521</v>
          </cell>
        </row>
        <row r="269">
          <cell r="E269" t="str">
            <v>YG_toe_chea_0</v>
          </cell>
          <cell r="F269">
            <v>5.7131595600000002</v>
          </cell>
          <cell r="G269">
            <v>5.7821035439999999</v>
          </cell>
          <cell r="H269">
            <v>5.8586526790000004</v>
          </cell>
          <cell r="I269">
            <v>5.9404580559999998</v>
          </cell>
          <cell r="J269">
            <v>6.0270499600000003</v>
          </cell>
          <cell r="K269">
            <v>6.1094408720000004</v>
          </cell>
          <cell r="L269">
            <v>6.1818491199999999</v>
          </cell>
          <cell r="M269">
            <v>6.2494611750000004</v>
          </cell>
          <cell r="N269">
            <v>6.315203887</v>
          </cell>
          <cell r="O269">
            <v>6.380578775</v>
          </cell>
          <cell r="P269">
            <v>6.4553792169999999</v>
          </cell>
          <cell r="Q269">
            <v>6.5252664439999997</v>
          </cell>
          <cell r="R269">
            <v>6.5936934269999998</v>
          </cell>
          <cell r="S269">
            <v>6.6618395499999998</v>
          </cell>
          <cell r="T269">
            <v>6.7301479019999997</v>
          </cell>
          <cell r="U269">
            <v>6.7987918870000001</v>
          </cell>
          <cell r="V269">
            <v>6.8678460719999999</v>
          </cell>
          <cell r="W269">
            <v>6.9373539549999998</v>
          </cell>
          <cell r="X269">
            <v>7.0073539990000002</v>
          </cell>
          <cell r="Y269">
            <v>7.0778879110000004</v>
          </cell>
          <cell r="Z269">
            <v>7.1427263920000001</v>
          </cell>
          <cell r="AA269">
            <v>7.2119707679999996</v>
          </cell>
          <cell r="AB269">
            <v>7.2833052619999998</v>
          </cell>
          <cell r="AC269">
            <v>7.3559661079999996</v>
          </cell>
          <cell r="AD269">
            <v>7.4296764489999996</v>
          </cell>
          <cell r="AE269">
            <v>7.4868597680000004</v>
          </cell>
          <cell r="AF269">
            <v>7.5472607150000002</v>
          </cell>
          <cell r="AG269">
            <v>7.6091731920000001</v>
          </cell>
          <cell r="AH269">
            <v>7.6721814979999996</v>
          </cell>
          <cell r="AI269">
            <v>7.7361675769999998</v>
          </cell>
          <cell r="AJ269">
            <v>7.8011185899999997</v>
          </cell>
          <cell r="AK269">
            <v>7.8670527039999998</v>
          </cell>
          <cell r="AL269">
            <v>7.9339914949999999</v>
          </cell>
          <cell r="AM269">
            <v>8.0019500600000004</v>
          </cell>
          <cell r="AN269">
            <v>8.0709351199999997</v>
          </cell>
          <cell r="AO269">
            <v>8.1409466829999992</v>
          </cell>
          <cell r="AP269">
            <v>8.2080741150000005</v>
          </cell>
          <cell r="AQ269">
            <v>8.2746572199999999</v>
          </cell>
          <cell r="AR269">
            <v>8.3415504879999993</v>
          </cell>
          <cell r="AS269">
            <v>8.4091238320000006</v>
          </cell>
          <cell r="AT269">
            <v>8.4775684649999992</v>
          </cell>
          <cell r="AU269">
            <v>8.5470105230000009</v>
          </cell>
          <cell r="AV269">
            <v>8.6175608920000002</v>
          </cell>
          <cell r="AW269">
            <v>8.6893456059999998</v>
          </cell>
          <cell r="AX269">
            <v>8.7625425729999993</v>
          </cell>
          <cell r="AY269">
            <v>8.837467041</v>
          </cell>
          <cell r="AZ269">
            <v>8.9152228759999996</v>
          </cell>
          <cell r="BA269">
            <v>8.9925952999999996</v>
          </cell>
          <cell r="BB269">
            <v>9.0691655739999995</v>
          </cell>
          <cell r="BC269">
            <v>9.1452052770000005</v>
          </cell>
          <cell r="BD269">
            <v>9.2211936869999995</v>
          </cell>
          <cell r="BE269">
            <v>9.297530493</v>
          </cell>
          <cell r="BF269">
            <v>9.3744588610000008</v>
          </cell>
          <cell r="BG269">
            <v>9.4521032080000005</v>
          </cell>
          <cell r="BH269">
            <v>9.5305232459999996</v>
          </cell>
          <cell r="BI269">
            <v>9.6097506849999998</v>
          </cell>
        </row>
        <row r="271">
          <cell r="E271" t="str">
            <v>YG_toe_cbio_0</v>
          </cell>
          <cell r="F271">
            <v>11.183799690000001</v>
          </cell>
          <cell r="G271">
            <v>11.237025859999999</v>
          </cell>
          <cell r="H271">
            <v>11.265660370000001</v>
          </cell>
          <cell r="I271">
            <v>11.28854005</v>
          </cell>
          <cell r="J271">
            <v>11.31207498</v>
          </cell>
          <cell r="K271">
            <v>11.341818249999999</v>
          </cell>
          <cell r="L271">
            <v>11.37427126</v>
          </cell>
          <cell r="M271">
            <v>11.41184642</v>
          </cell>
          <cell r="N271">
            <v>11.45415463</v>
          </cell>
          <cell r="O271">
            <v>11.5000468</v>
          </cell>
          <cell r="P271">
            <v>11.55755795</v>
          </cell>
          <cell r="Q271">
            <v>11.611723700000001</v>
          </cell>
          <cell r="R271">
            <v>11.66516631</v>
          </cell>
          <cell r="S271">
            <v>11.71869152</v>
          </cell>
          <cell r="T271">
            <v>11.772583239999999</v>
          </cell>
          <cell r="U271">
            <v>11.826953019999999</v>
          </cell>
          <cell r="V271">
            <v>11.881870190000001</v>
          </cell>
          <cell r="W271">
            <v>11.937405719999999</v>
          </cell>
          <cell r="X271">
            <v>11.99364325</v>
          </cell>
          <cell r="Y271">
            <v>12.05067809</v>
          </cell>
          <cell r="Z271">
            <v>12.102291660000001</v>
          </cell>
          <cell r="AA271">
            <v>12.158527919999999</v>
          </cell>
          <cell r="AB271">
            <v>12.21727669</v>
          </cell>
          <cell r="AC271">
            <v>12.27787094</v>
          </cell>
          <cell r="AD271">
            <v>12.340083249999999</v>
          </cell>
          <cell r="AE271">
            <v>12.386129090000001</v>
          </cell>
          <cell r="AF271">
            <v>12.43552251</v>
          </cell>
          <cell r="AG271">
            <v>12.48676874</v>
          </cell>
          <cell r="AH271">
            <v>12.53959148</v>
          </cell>
          <cell r="AI271">
            <v>12.593969700000001</v>
          </cell>
          <cell r="AJ271">
            <v>12.64995981</v>
          </cell>
          <cell r="AK271">
            <v>12.70762467</v>
          </cell>
          <cell r="AL271">
            <v>12.767009399999999</v>
          </cell>
          <cell r="AM271">
            <v>12.82813588</v>
          </cell>
          <cell r="AN271">
            <v>12.89100526</v>
          </cell>
          <cell r="AO271">
            <v>12.95560337</v>
          </cell>
          <cell r="AP271">
            <v>13.01787685</v>
          </cell>
          <cell r="AQ271">
            <v>13.0800915</v>
          </cell>
          <cell r="AR271">
            <v>13.14308451</v>
          </cell>
          <cell r="AS271">
            <v>13.207230750000001</v>
          </cell>
          <cell r="AT271">
            <v>13.27272352</v>
          </cell>
          <cell r="AU271">
            <v>13.339680449999999</v>
          </cell>
          <cell r="AV271">
            <v>13.408183230000001</v>
          </cell>
          <cell r="AW271">
            <v>13.47828857</v>
          </cell>
          <cell r="AX271">
            <v>13.550023210000001</v>
          </cell>
          <cell r="AY271">
            <v>13.62334452</v>
          </cell>
          <cell r="AZ271">
            <v>13.69821462</v>
          </cell>
          <cell r="BA271">
            <v>13.77371363</v>
          </cell>
          <cell r="BB271">
            <v>13.849749900000001</v>
          </cell>
          <cell r="BC271">
            <v>13.92667881</v>
          </cell>
          <cell r="BD271">
            <v>14.00489497</v>
          </cell>
          <cell r="BE271">
            <v>14.0845968</v>
          </cell>
          <cell r="BF271">
            <v>14.16581534</v>
          </cell>
          <cell r="BG271">
            <v>14.24850711</v>
          </cell>
          <cell r="BH271">
            <v>14.332619940000001</v>
          </cell>
          <cell r="BI271">
            <v>14.41812122</v>
          </cell>
        </row>
        <row r="274">
          <cell r="E274" t="str">
            <v>YG_toe_cote_0</v>
          </cell>
          <cell r="F274">
            <v>13.881761239999999</v>
          </cell>
          <cell r="G274">
            <v>14.05126907</v>
          </cell>
          <cell r="H274">
            <v>14.231860230000001</v>
          </cell>
          <cell r="I274">
            <v>14.42291623</v>
          </cell>
          <cell r="J274">
            <v>14.62509738</v>
          </cell>
          <cell r="K274">
            <v>14.837226060000001</v>
          </cell>
          <cell r="L274">
            <v>15.047189769999999</v>
          </cell>
          <cell r="M274">
            <v>15.26211855</v>
          </cell>
          <cell r="N274">
            <v>15.48194168</v>
          </cell>
          <cell r="O274">
            <v>15.70613805</v>
          </cell>
          <cell r="P274">
            <v>15.95305845</v>
          </cell>
          <cell r="Q274">
            <v>16.18868526</v>
          </cell>
          <cell r="R274">
            <v>16.425835240000001</v>
          </cell>
          <cell r="S274">
            <v>16.665503919999999</v>
          </cell>
          <cell r="T274">
            <v>16.907899180000001</v>
          </cell>
          <cell r="U274">
            <v>17.153125410000001</v>
          </cell>
          <cell r="V274">
            <v>17.401305350000001</v>
          </cell>
          <cell r="W274">
            <v>17.652593370000002</v>
          </cell>
          <cell r="X274">
            <v>17.9071672</v>
          </cell>
          <cell r="Y274">
            <v>18.165216579999999</v>
          </cell>
          <cell r="Z274">
            <v>18.412978949999999</v>
          </cell>
          <cell r="AA274">
            <v>18.67562066</v>
          </cell>
          <cell r="AB274">
            <v>18.943621570000001</v>
          </cell>
          <cell r="AC274">
            <v>19.216324289999999</v>
          </cell>
          <cell r="AD274">
            <v>19.493690950000001</v>
          </cell>
          <cell r="AE274">
            <v>19.735483039999998</v>
          </cell>
          <cell r="AF274">
            <v>19.994783730000002</v>
          </cell>
          <cell r="AG274">
            <v>20.25847946</v>
          </cell>
          <cell r="AH274">
            <v>20.526010200000002</v>
          </cell>
          <cell r="AI274">
            <v>20.79752749</v>
          </cell>
          <cell r="AJ274">
            <v>21.073262969999998</v>
          </cell>
          <cell r="AK274">
            <v>21.353407499999999</v>
          </cell>
          <cell r="AL274">
            <v>21.63809101</v>
          </cell>
          <cell r="AM274">
            <v>21.927386850000001</v>
          </cell>
          <cell r="AN274">
            <v>22.22132332</v>
          </cell>
          <cell r="AO274">
            <v>22.519896800000001</v>
          </cell>
          <cell r="AP274">
            <v>22.813317210000001</v>
          </cell>
          <cell r="AQ274">
            <v>23.10916439</v>
          </cell>
          <cell r="AR274">
            <v>23.408294099999999</v>
          </cell>
          <cell r="AS274">
            <v>23.711007970000001</v>
          </cell>
          <cell r="AT274">
            <v>24.017490160000001</v>
          </cell>
          <cell r="AU274">
            <v>24.3278873</v>
          </cell>
          <cell r="AV274">
            <v>24.64232196</v>
          </cell>
          <cell r="AW274">
            <v>24.960895449999999</v>
          </cell>
          <cell r="AX274">
            <v>25.283690679999999</v>
          </cell>
          <cell r="AY274">
            <v>25.61077783</v>
          </cell>
          <cell r="AZ274">
            <v>25.943110560000001</v>
          </cell>
          <cell r="BA274">
            <v>26.279813539999999</v>
          </cell>
          <cell r="BB274">
            <v>26.620766270000001</v>
          </cell>
          <cell r="BC274">
            <v>26.966036339999999</v>
          </cell>
          <cell r="BD274">
            <v>27.315725029999999</v>
          </cell>
          <cell r="BE274">
            <v>27.669906220000001</v>
          </cell>
          <cell r="BF274">
            <v>28.028629899999999</v>
          </cell>
          <cell r="BG274">
            <v>28.39193921</v>
          </cell>
          <cell r="BH274">
            <v>28.759882319999999</v>
          </cell>
          <cell r="BI274">
            <v>29.132517249999999</v>
          </cell>
        </row>
        <row r="281">
          <cell r="F281">
            <v>159.99536119999999</v>
          </cell>
          <cell r="G281">
            <v>160.18702819999999</v>
          </cell>
          <cell r="H281">
            <v>160.54530080000001</v>
          </cell>
          <cell r="I281">
            <v>161.11488650000001</v>
          </cell>
          <cell r="J281">
            <v>161.93300640000001</v>
          </cell>
          <cell r="K281">
            <v>162.98550420000001</v>
          </cell>
          <cell r="L281">
            <v>164.15057239999999</v>
          </cell>
          <cell r="M281">
            <v>165.44492940000001</v>
          </cell>
          <cell r="N281">
            <v>166.85816370000001</v>
          </cell>
          <cell r="O281">
            <v>168.3716695</v>
          </cell>
          <cell r="P281">
            <v>170.09998429999999</v>
          </cell>
          <cell r="Q281">
            <v>171.80471439999999</v>
          </cell>
          <cell r="R281">
            <v>173.5299904</v>
          </cell>
          <cell r="S281">
            <v>175.2772635</v>
          </cell>
          <cell r="T281">
            <v>177.0410866</v>
          </cell>
          <cell r="U281">
            <v>178.81675179999999</v>
          </cell>
          <cell r="V281">
            <v>180.5912582</v>
          </cell>
          <cell r="W281">
            <v>182.37019839999999</v>
          </cell>
          <cell r="X281">
            <v>184.15457799999999</v>
          </cell>
          <cell r="Y281">
            <v>185.9453498</v>
          </cell>
          <cell r="Z281">
            <v>187.64665500000001</v>
          </cell>
          <cell r="AA281">
            <v>189.41200380000001</v>
          </cell>
          <cell r="AB281">
            <v>191.20539880000001</v>
          </cell>
          <cell r="AC281">
            <v>193.02037050000001</v>
          </cell>
          <cell r="AD281">
            <v>194.856595</v>
          </cell>
          <cell r="AE281">
            <v>196.43898859999999</v>
          </cell>
          <cell r="AF281">
            <v>198.0725315</v>
          </cell>
          <cell r="AG281">
            <v>199.71961769999999</v>
          </cell>
          <cell r="AH281">
            <v>201.37836129999999</v>
          </cell>
          <cell r="AI281">
            <v>203.05300030000001</v>
          </cell>
          <cell r="AJ281">
            <v>204.74799429999999</v>
          </cell>
          <cell r="AK281">
            <v>206.46955500000001</v>
          </cell>
          <cell r="AL281">
            <v>208.21940810000001</v>
          </cell>
          <cell r="AM281">
            <v>209.9997741</v>
          </cell>
          <cell r="AN281">
            <v>211.8123349</v>
          </cell>
          <cell r="AO281">
            <v>213.6581496</v>
          </cell>
          <cell r="AP281">
            <v>215.4923714</v>
          </cell>
          <cell r="AQ281">
            <v>217.33672480000001</v>
          </cell>
          <cell r="AR281">
            <v>219.19906839999999</v>
          </cell>
          <cell r="AS281">
            <v>221.08316500000001</v>
          </cell>
          <cell r="AT281">
            <v>222.9911859</v>
          </cell>
          <cell r="AU281">
            <v>224.9275275</v>
          </cell>
          <cell r="AV281">
            <v>226.89083969999999</v>
          </cell>
          <cell r="AW281">
            <v>228.8811201</v>
          </cell>
          <cell r="AX281">
            <v>230.89828420000001</v>
          </cell>
          <cell r="AY281">
            <v>232.94207449999999</v>
          </cell>
          <cell r="AZ281">
            <v>235.02955349999999</v>
          </cell>
          <cell r="BA281">
            <v>237.15232510000001</v>
          </cell>
          <cell r="BB281">
            <v>239.30993889999999</v>
          </cell>
          <cell r="BC281">
            <v>241.5025096</v>
          </cell>
          <cell r="BD281">
            <v>243.72960689999999</v>
          </cell>
          <cell r="BE281">
            <v>245.9967896</v>
          </cell>
          <cell r="BF281">
            <v>248.29856950000001</v>
          </cell>
          <cell r="BG281">
            <v>250.633252</v>
          </cell>
          <cell r="BH281">
            <v>252.9998162</v>
          </cell>
          <cell r="BI281">
            <v>255.3974776</v>
          </cell>
        </row>
        <row r="282">
          <cell r="E282" t="str">
            <v>CF_toe_ccoa_2</v>
          </cell>
          <cell r="F282">
            <v>5.3091826180000004</v>
          </cell>
          <cell r="G282">
            <v>5.3227233180000004</v>
          </cell>
          <cell r="H282">
            <v>5.3667424410000004</v>
          </cell>
          <cell r="I282">
            <v>5.4223882100000003</v>
          </cell>
          <cell r="J282">
            <v>5.4853455459999996</v>
          </cell>
          <cell r="K282">
            <v>5.5540524309999997</v>
          </cell>
          <cell r="L282">
            <v>5.6238981050000003</v>
          </cell>
          <cell r="M282">
            <v>5.6965101479999998</v>
          </cell>
          <cell r="N282">
            <v>5.7718319679999999</v>
          </cell>
          <cell r="O282">
            <v>5.8494960450000004</v>
          </cell>
          <cell r="P282">
            <v>5.9351376269999996</v>
          </cell>
          <cell r="Q282">
            <v>6.0177594110000001</v>
          </cell>
          <cell r="R282">
            <v>6.1005852310000002</v>
          </cell>
          <cell r="S282">
            <v>6.1841313510000004</v>
          </cell>
          <cell r="T282">
            <v>6.2684361429999997</v>
          </cell>
          <cell r="U282">
            <v>6.353492353</v>
          </cell>
          <cell r="V282">
            <v>6.4385795200000002</v>
          </cell>
          <cell r="W282">
            <v>6.524339307</v>
          </cell>
          <cell r="X282">
            <v>6.6109710460000004</v>
          </cell>
          <cell r="Y282">
            <v>6.6986034339999998</v>
          </cell>
          <cell r="Z282">
            <v>6.782967341</v>
          </cell>
          <cell r="AA282">
            <v>6.8714006669999996</v>
          </cell>
          <cell r="AB282">
            <v>6.9618796869999997</v>
          </cell>
          <cell r="AC282">
            <v>7.0540654979999999</v>
          </cell>
          <cell r="AD282">
            <v>7.1479469570000003</v>
          </cell>
          <cell r="AE282">
            <v>7.2310347960000003</v>
          </cell>
          <cell r="AF282">
            <v>7.3183121509999998</v>
          </cell>
          <cell r="AG282">
            <v>7.4072559169999996</v>
          </cell>
          <cell r="AH282">
            <v>7.4975227489999998</v>
          </cell>
          <cell r="AI282">
            <v>7.5891735010000003</v>
          </cell>
          <cell r="AJ282">
            <v>7.6823205769999996</v>
          </cell>
          <cell r="AK282">
            <v>7.7772237909999999</v>
          </cell>
          <cell r="AL282">
            <v>7.873819192</v>
          </cell>
          <cell r="AM282">
            <v>7.9721152059999998</v>
          </cell>
          <cell r="AN282">
            <v>8.0721133789999993</v>
          </cell>
          <cell r="AO282">
            <v>8.1737996759999998</v>
          </cell>
          <cell r="AP282">
            <v>8.2756234909999993</v>
          </cell>
          <cell r="AQ282">
            <v>8.3782965590000007</v>
          </cell>
          <cell r="AR282">
            <v>8.4820288599999998</v>
          </cell>
          <cell r="AS282">
            <v>8.5869011630000003</v>
          </cell>
          <cell r="AT282">
            <v>8.6929579970000006</v>
          </cell>
          <cell r="AU282">
            <v>8.8004641419999992</v>
          </cell>
          <cell r="AV282">
            <v>8.9092675270000008</v>
          </cell>
          <cell r="AW282">
            <v>9.019350781</v>
          </cell>
          <cell r="AX282">
            <v>9.1307144299999994</v>
          </cell>
          <cell r="AY282">
            <v>9.2433578030000003</v>
          </cell>
          <cell r="AZ282">
            <v>9.3583412910000003</v>
          </cell>
          <cell r="BA282">
            <v>9.4749116230000006</v>
          </cell>
          <cell r="BB282">
            <v>9.5929180620000007</v>
          </cell>
          <cell r="BC282">
            <v>9.7123182470000007</v>
          </cell>
          <cell r="BD282">
            <v>9.8330915480000005</v>
          </cell>
          <cell r="BE282">
            <v>9.9557207450000007</v>
          </cell>
          <cell r="BF282">
            <v>10.079834</v>
          </cell>
          <cell r="BG282">
            <v>10.205364879999999</v>
          </cell>
          <cell r="BH282">
            <v>10.33230539</v>
          </cell>
          <cell r="BI282">
            <v>10.46066319</v>
          </cell>
        </row>
        <row r="285">
          <cell r="E285" t="str">
            <v>CF_toe_ccoi_2</v>
          </cell>
          <cell r="F285">
            <v>8.2850501100000001E-2</v>
          </cell>
          <cell r="G285">
            <v>8.2980036399999998E-2</v>
          </cell>
          <cell r="H285">
            <v>8.34057032E-2</v>
          </cell>
          <cell r="I285">
            <v>8.4008356300000003E-2</v>
          </cell>
          <cell r="J285">
            <v>8.4782160800000006E-2</v>
          </cell>
          <cell r="K285">
            <v>8.5720640599999995E-2</v>
          </cell>
          <cell r="L285">
            <v>8.6752403300000003E-2</v>
          </cell>
          <cell r="M285">
            <v>8.7887597499999998E-2</v>
          </cell>
          <cell r="N285">
            <v>8.9112959199999994E-2</v>
          </cell>
          <cell r="O285">
            <v>9.0412847399999996E-2</v>
          </cell>
          <cell r="P285">
            <v>9.1866214299999999E-2</v>
          </cell>
          <cell r="Q285">
            <v>9.3308467399999998E-2</v>
          </cell>
          <cell r="R285">
            <v>9.4773700099999997E-2</v>
          </cell>
          <cell r="S285">
            <v>9.6261815400000006E-2</v>
          </cell>
          <cell r="T285">
            <v>9.7768365600000004E-2</v>
          </cell>
          <cell r="U285">
            <v>9.9289479E-2</v>
          </cell>
          <cell r="V285">
            <v>0.1008138442</v>
          </cell>
          <cell r="W285">
            <v>0.1023457696</v>
          </cell>
          <cell r="X285">
            <v>0.1038855115</v>
          </cell>
          <cell r="Y285">
            <v>0.1054333118</v>
          </cell>
          <cell r="Z285">
            <v>0.10692106260000001</v>
          </cell>
          <cell r="AA285">
            <v>0.1084564111</v>
          </cell>
          <cell r="AB285">
            <v>0.1100128521</v>
          </cell>
          <cell r="AC285">
            <v>0.1115870092</v>
          </cell>
          <cell r="AD285">
            <v>0.1131794525</v>
          </cell>
          <cell r="AE285">
            <v>0.11459364649999999</v>
          </cell>
          <cell r="AF285">
            <v>0.1160458244</v>
          </cell>
          <cell r="AG285">
            <v>0.1175049875</v>
          </cell>
          <cell r="AH285">
            <v>0.11897070009999999</v>
          </cell>
          <cell r="AI285">
            <v>0.12044722720000001</v>
          </cell>
          <cell r="AJ285">
            <v>0.1219389038</v>
          </cell>
          <cell r="AK285">
            <v>0.1234511855</v>
          </cell>
          <cell r="AL285">
            <v>0.12498554119999999</v>
          </cell>
          <cell r="AM285">
            <v>0.12654381619999999</v>
          </cell>
          <cell r="AN285">
            <v>0.12812739500000001</v>
          </cell>
          <cell r="AO285">
            <v>0.1297371756</v>
          </cell>
          <cell r="AP285">
            <v>0.13134270119999999</v>
          </cell>
          <cell r="AQ285">
            <v>0.1329577777</v>
          </cell>
          <cell r="AR285">
            <v>0.13458728340000001</v>
          </cell>
          <cell r="AS285">
            <v>0.13623396709999999</v>
          </cell>
          <cell r="AT285">
            <v>0.13789975839999999</v>
          </cell>
          <cell r="AU285">
            <v>0.13958863760000001</v>
          </cell>
          <cell r="AV285">
            <v>0.14129981659999999</v>
          </cell>
          <cell r="AW285">
            <v>0.14303373580000001</v>
          </cell>
          <cell r="AX285">
            <v>0.14479078079999999</v>
          </cell>
          <cell r="AY285">
            <v>0.1465711391</v>
          </cell>
          <cell r="AZ285">
            <v>0.14838767050000001</v>
          </cell>
          <cell r="BA285">
            <v>0.15023199670000001</v>
          </cell>
          <cell r="BB285">
            <v>0.15210261829999999</v>
          </cell>
          <cell r="BC285">
            <v>0.15399900189999999</v>
          </cell>
          <cell r="BD285">
            <v>0.15592068419999999</v>
          </cell>
          <cell r="BE285">
            <v>0.15787255610000001</v>
          </cell>
          <cell r="BF285">
            <v>0.1598505066</v>
          </cell>
          <cell r="BG285">
            <v>0.16185386669999999</v>
          </cell>
          <cell r="BH285">
            <v>0.16388252959999999</v>
          </cell>
          <cell r="BI285">
            <v>0.16593650339999999</v>
          </cell>
        </row>
        <row r="288">
          <cell r="E288" t="str">
            <v>CF_toe_cfut_2</v>
          </cell>
          <cell r="F288">
            <v>46.852209799999997</v>
          </cell>
          <cell r="G288">
            <v>46.804228940000002</v>
          </cell>
          <cell r="H288">
            <v>46.769413720000003</v>
          </cell>
          <cell r="I288">
            <v>46.821723669999997</v>
          </cell>
          <cell r="J288">
            <v>46.982238529999997</v>
          </cell>
          <cell r="K288">
            <v>47.243981789999999</v>
          </cell>
          <cell r="L288">
            <v>47.573908400000001</v>
          </cell>
          <cell r="M288">
            <v>47.963209990000003</v>
          </cell>
          <cell r="N288">
            <v>48.399817429999999</v>
          </cell>
          <cell r="O288">
            <v>48.873339970000004</v>
          </cell>
          <cell r="P288">
            <v>49.404260979999997</v>
          </cell>
          <cell r="Q288">
            <v>49.942090469999997</v>
          </cell>
          <cell r="R288">
            <v>50.492532480000001</v>
          </cell>
          <cell r="S288">
            <v>51.053736239999999</v>
          </cell>
          <cell r="T288">
            <v>51.623233820000003</v>
          </cell>
          <cell r="U288">
            <v>52.1990853</v>
          </cell>
          <cell r="V288">
            <v>52.777490929999999</v>
          </cell>
          <cell r="W288">
            <v>53.359152979999998</v>
          </cell>
          <cell r="X288">
            <v>53.943802310000002</v>
          </cell>
          <cell r="Y288">
            <v>54.531214800000001</v>
          </cell>
          <cell r="Z288">
            <v>55.10027882</v>
          </cell>
          <cell r="AA288">
            <v>55.681725759999999</v>
          </cell>
          <cell r="AB288">
            <v>56.269092180000001</v>
          </cell>
          <cell r="AC288">
            <v>56.861395039999998</v>
          </cell>
          <cell r="AD288">
            <v>57.458639689999998</v>
          </cell>
          <cell r="AE288">
            <v>58.000801559999999</v>
          </cell>
          <cell r="AF288">
            <v>58.548190040000001</v>
          </cell>
          <cell r="AG288">
            <v>59.094168259999996</v>
          </cell>
          <cell r="AH288">
            <v>59.639333780000001</v>
          </cell>
          <cell r="AI288">
            <v>60.185474460000002</v>
          </cell>
          <cell r="AJ288">
            <v>60.734311349999999</v>
          </cell>
          <cell r="AK288">
            <v>61.28777796</v>
          </cell>
          <cell r="AL288">
            <v>61.846568259999998</v>
          </cell>
          <cell r="AM288">
            <v>62.41135637</v>
          </cell>
          <cell r="AN288">
            <v>62.982610459999997</v>
          </cell>
          <cell r="AO288">
            <v>63.560616699999997</v>
          </cell>
          <cell r="AP288">
            <v>64.135981270000002</v>
          </cell>
          <cell r="AQ288">
            <v>64.712077460000003</v>
          </cell>
          <cell r="AR288">
            <v>65.290362520000002</v>
          </cell>
          <cell r="AS288">
            <v>65.871810139999994</v>
          </cell>
          <cell r="AT288">
            <v>66.457226329999997</v>
          </cell>
          <cell r="AU288">
            <v>67.048036199999999</v>
          </cell>
          <cell r="AV288">
            <v>67.644279150000003</v>
          </cell>
          <cell r="AW288">
            <v>68.246240560000004</v>
          </cell>
          <cell r="AX288">
            <v>68.854115089999993</v>
          </cell>
          <cell r="AY288">
            <v>69.467976019999995</v>
          </cell>
          <cell r="AZ288">
            <v>70.091598970000007</v>
          </cell>
          <cell r="BA288">
            <v>70.722650700000003</v>
          </cell>
          <cell r="BB288">
            <v>71.360497789999997</v>
          </cell>
          <cell r="BC288">
            <v>72.004742680000007</v>
          </cell>
          <cell r="BD288">
            <v>72.655013199999999</v>
          </cell>
          <cell r="BE288">
            <v>73.312532200000007</v>
          </cell>
          <cell r="BF288">
            <v>73.975938769999999</v>
          </cell>
          <cell r="BG288">
            <v>74.644748010000001</v>
          </cell>
          <cell r="BH288">
            <v>75.318621309999997</v>
          </cell>
          <cell r="BI288">
            <v>75.997255870000004</v>
          </cell>
        </row>
        <row r="291">
          <cell r="E291" t="str">
            <v>CF_toe_cfuh_2</v>
          </cell>
          <cell r="F291">
            <v>14.676501630000001</v>
          </cell>
          <cell r="G291">
            <v>14.69643529</v>
          </cell>
          <cell r="H291">
            <v>14.71491707</v>
          </cell>
          <cell r="I291">
            <v>14.741773589999999</v>
          </cell>
          <cell r="J291">
            <v>14.78290915</v>
          </cell>
          <cell r="K291">
            <v>14.83854784</v>
          </cell>
          <cell r="L291">
            <v>14.89871911</v>
          </cell>
          <cell r="M291">
            <v>14.96757343</v>
          </cell>
          <cell r="N291">
            <v>15.0470133</v>
          </cell>
          <cell r="O291">
            <v>15.136828599999999</v>
          </cell>
          <cell r="P291">
            <v>15.246998769999999</v>
          </cell>
          <cell r="Q291">
            <v>15.357558859999999</v>
          </cell>
          <cell r="R291">
            <v>15.47134337</v>
          </cell>
          <cell r="S291">
            <v>15.588208699999999</v>
          </cell>
          <cell r="T291">
            <v>15.70739103</v>
          </cell>
          <cell r="U291">
            <v>15.82820677</v>
          </cell>
          <cell r="V291">
            <v>15.94953495</v>
          </cell>
          <cell r="W291">
            <v>16.071548839999998</v>
          </cell>
          <cell r="X291">
            <v>16.19418215</v>
          </cell>
          <cell r="Y291">
            <v>16.317383970000002</v>
          </cell>
          <cell r="Z291">
            <v>16.433031440000001</v>
          </cell>
          <cell r="AA291">
            <v>16.55367291</v>
          </cell>
          <cell r="AB291">
            <v>16.676458220000001</v>
          </cell>
          <cell r="AC291">
            <v>16.80066515</v>
          </cell>
          <cell r="AD291">
            <v>16.926144770000001</v>
          </cell>
          <cell r="AE291">
            <v>17.029954320000002</v>
          </cell>
          <cell r="AF291">
            <v>17.136985769999999</v>
          </cell>
          <cell r="AG291">
            <v>17.24471544</v>
          </cell>
          <cell r="AH291">
            <v>17.352901580000001</v>
          </cell>
          <cell r="AI291">
            <v>17.461798949999999</v>
          </cell>
          <cell r="AJ291">
            <v>17.571683719999999</v>
          </cell>
          <cell r="AK291">
            <v>17.68303457</v>
          </cell>
          <cell r="AL291">
            <v>17.796095040000001</v>
          </cell>
          <cell r="AM291">
            <v>17.91116736</v>
          </cell>
          <cell r="AN291">
            <v>18.028524430000001</v>
          </cell>
          <cell r="AO291">
            <v>18.148381830000002</v>
          </cell>
          <cell r="AP291">
            <v>18.266830819999999</v>
          </cell>
          <cell r="AQ291">
            <v>18.385887660000002</v>
          </cell>
          <cell r="AR291">
            <v>18.506321939999999</v>
          </cell>
          <cell r="AS291">
            <v>18.628459289999999</v>
          </cell>
          <cell r="AT291">
            <v>18.752437130000001</v>
          </cell>
          <cell r="AU291">
            <v>18.87849838</v>
          </cell>
          <cell r="AV291">
            <v>19.00648348</v>
          </cell>
          <cell r="AW291">
            <v>19.13630109</v>
          </cell>
          <cell r="AX291">
            <v>19.267851270000001</v>
          </cell>
          <cell r="AY291">
            <v>19.401037630000001</v>
          </cell>
          <cell r="AZ291">
            <v>19.537443119999999</v>
          </cell>
          <cell r="BA291">
            <v>19.677074350000002</v>
          </cell>
          <cell r="BB291">
            <v>19.82038807</v>
          </cell>
          <cell r="BC291">
            <v>19.967688259999999</v>
          </cell>
          <cell r="BD291">
            <v>20.11904492</v>
          </cell>
          <cell r="BE291">
            <v>20.274784060000002</v>
          </cell>
          <cell r="BF291">
            <v>20.434424570000001</v>
          </cell>
          <cell r="BG291">
            <v>20.597685599999998</v>
          </cell>
          <cell r="BH291">
            <v>20.764329249999999</v>
          </cell>
          <cell r="BI291">
            <v>20.93414984</v>
          </cell>
        </row>
        <row r="293">
          <cell r="E293" t="str">
            <v>CF_toe_cgas_2</v>
          </cell>
          <cell r="F293">
            <v>33.945311760000003</v>
          </cell>
          <cell r="G293">
            <v>34.010582110000001</v>
          </cell>
          <cell r="H293">
            <v>34.113362739999999</v>
          </cell>
          <cell r="I293">
            <v>34.248774969999999</v>
          </cell>
          <cell r="J293">
            <v>34.42456593</v>
          </cell>
          <cell r="K293">
            <v>34.640683209999999</v>
          </cell>
          <cell r="L293">
            <v>34.870726240000003</v>
          </cell>
          <cell r="M293">
            <v>35.12806801</v>
          </cell>
          <cell r="N293">
            <v>35.413352240000002</v>
          </cell>
          <cell r="O293">
            <v>35.723291580000001</v>
          </cell>
          <cell r="P293">
            <v>36.08652111</v>
          </cell>
          <cell r="Q293">
            <v>36.444954469999999</v>
          </cell>
          <cell r="R293">
            <v>36.809957910000001</v>
          </cell>
          <cell r="S293">
            <v>37.182118299999999</v>
          </cell>
          <cell r="T293">
            <v>37.55987245</v>
          </cell>
          <cell r="U293">
            <v>37.941891589999997</v>
          </cell>
          <cell r="V293">
            <v>38.325142999999997</v>
          </cell>
          <cell r="W293">
            <v>38.710520760000001</v>
          </cell>
          <cell r="X293">
            <v>39.0979575</v>
          </cell>
          <cell r="Y293">
            <v>39.487406290000003</v>
          </cell>
          <cell r="Z293">
            <v>39.855374589999997</v>
          </cell>
          <cell r="AA293">
            <v>40.239331780000001</v>
          </cell>
          <cell r="AB293">
            <v>40.629874819999998</v>
          </cell>
          <cell r="AC293">
            <v>41.025114559999999</v>
          </cell>
          <cell r="AD293">
            <v>41.424755380000001</v>
          </cell>
          <cell r="AE293">
            <v>41.762061660000001</v>
          </cell>
          <cell r="AF293">
            <v>42.11205829</v>
          </cell>
          <cell r="AG293">
            <v>42.464984510000001</v>
          </cell>
          <cell r="AH293">
            <v>42.820022700000003</v>
          </cell>
          <cell r="AI293">
            <v>43.177868259999997</v>
          </cell>
          <cell r="AJ293">
            <v>43.539232439999999</v>
          </cell>
          <cell r="AK293">
            <v>43.905350470000002</v>
          </cell>
          <cell r="AL293">
            <v>44.276619330000003</v>
          </cell>
          <cell r="AM293">
            <v>44.653606510000003</v>
          </cell>
          <cell r="AN293">
            <v>45.036796639999999</v>
          </cell>
          <cell r="AO293">
            <v>45.42655302</v>
          </cell>
          <cell r="AP293">
            <v>45.811530910000002</v>
          </cell>
          <cell r="AQ293">
            <v>46.197841820000001</v>
          </cell>
          <cell r="AR293">
            <v>46.587651180000002</v>
          </cell>
          <cell r="AS293">
            <v>46.981978929999997</v>
          </cell>
          <cell r="AT293">
            <v>47.38138155</v>
          </cell>
          <cell r="AU293">
            <v>47.786803409999997</v>
          </cell>
          <cell r="AV293">
            <v>48.197973810000001</v>
          </cell>
          <cell r="AW293">
            <v>48.614913620000003</v>
          </cell>
          <cell r="AX293">
            <v>49.037630739999997</v>
          </cell>
          <cell r="AY293">
            <v>49.466100300000001</v>
          </cell>
          <cell r="AZ293">
            <v>49.904077639999997</v>
          </cell>
          <cell r="BA293">
            <v>50.349758600000001</v>
          </cell>
          <cell r="BB293">
            <v>50.803131129999997</v>
          </cell>
          <cell r="BC293">
            <v>51.264297380000002</v>
          </cell>
          <cell r="BD293">
            <v>51.7332185</v>
          </cell>
          <cell r="BE293">
            <v>52.211038739999999</v>
          </cell>
          <cell r="BF293">
            <v>52.696620629999998</v>
          </cell>
          <cell r="BG293">
            <v>53.189645659999996</v>
          </cell>
          <cell r="BH293">
            <v>53.689927750000003</v>
          </cell>
          <cell r="BI293">
            <v>54.19731831</v>
          </cell>
        </row>
        <row r="299">
          <cell r="E299" t="str">
            <v>CF_toe_cele_2</v>
          </cell>
          <cell r="F299">
            <v>37.449585140000003</v>
          </cell>
          <cell r="G299">
            <v>37.513011839999997</v>
          </cell>
          <cell r="H299">
            <v>37.6205766</v>
          </cell>
          <cell r="I299">
            <v>37.778153719999999</v>
          </cell>
          <cell r="J299">
            <v>37.993500099999999</v>
          </cell>
          <cell r="K299">
            <v>38.262486389999999</v>
          </cell>
          <cell r="L299">
            <v>38.555119210000001</v>
          </cell>
          <cell r="M299">
            <v>38.874082510000001</v>
          </cell>
          <cell r="N299">
            <v>39.217413309999998</v>
          </cell>
          <cell r="O299">
            <v>39.580816650000003</v>
          </cell>
          <cell r="P299">
            <v>39.99086835</v>
          </cell>
          <cell r="Q299">
            <v>40.390807850000002</v>
          </cell>
          <cell r="R299">
            <v>40.790412230000001</v>
          </cell>
          <cell r="S299">
            <v>41.189902719999999</v>
          </cell>
          <cell r="T299">
            <v>41.588218939999997</v>
          </cell>
          <cell r="U299">
            <v>41.984566989999998</v>
          </cell>
          <cell r="V299">
            <v>42.37630978</v>
          </cell>
          <cell r="W299">
            <v>42.765145830000002</v>
          </cell>
          <cell r="X299">
            <v>43.15185426</v>
          </cell>
          <cell r="Y299">
            <v>43.537246170000003</v>
          </cell>
          <cell r="Z299">
            <v>43.89904353</v>
          </cell>
          <cell r="AA299">
            <v>44.274464399999999</v>
          </cell>
          <cell r="AB299">
            <v>44.655641469999999</v>
          </cell>
          <cell r="AC299">
            <v>45.041571709999999</v>
          </cell>
          <cell r="AD299">
            <v>45.432665729999997</v>
          </cell>
          <cell r="AE299">
            <v>45.763625689999998</v>
          </cell>
          <cell r="AF299">
            <v>46.107632459999998</v>
          </cell>
          <cell r="AG299">
            <v>46.456488399999998</v>
          </cell>
          <cell r="AH299">
            <v>46.81018736</v>
          </cell>
          <cell r="AI299">
            <v>47.170078920000002</v>
          </cell>
          <cell r="AJ299">
            <v>47.537548800000003</v>
          </cell>
          <cell r="AK299">
            <v>47.914271739999997</v>
          </cell>
          <cell r="AL299">
            <v>48.300821679999999</v>
          </cell>
          <cell r="AM299">
            <v>48.697803049999997</v>
          </cell>
          <cell r="AN299">
            <v>49.105633650000001</v>
          </cell>
          <cell r="AO299">
            <v>49.524531289999999</v>
          </cell>
          <cell r="AP299">
            <v>49.94345225</v>
          </cell>
          <cell r="AQ299">
            <v>50.367709920000003</v>
          </cell>
          <cell r="AR299">
            <v>50.799128410000002</v>
          </cell>
          <cell r="AS299">
            <v>51.238494449999997</v>
          </cell>
          <cell r="AT299">
            <v>51.686183360000001</v>
          </cell>
          <cell r="AU299">
            <v>52.143060859999999</v>
          </cell>
          <cell r="AV299">
            <v>52.608694759999999</v>
          </cell>
          <cell r="AW299">
            <v>53.082949679999999</v>
          </cell>
          <cell r="AX299">
            <v>53.565683409999998</v>
          </cell>
          <cell r="AY299">
            <v>54.056738129999999</v>
          </cell>
          <cell r="AZ299">
            <v>54.560306140000002</v>
          </cell>
          <cell r="BA299">
            <v>55.074873169999996</v>
          </cell>
          <cell r="BB299">
            <v>55.600645190000002</v>
          </cell>
          <cell r="BC299">
            <v>56.137822219999997</v>
          </cell>
          <cell r="BD299">
            <v>56.686361290000001</v>
          </cell>
          <cell r="BE299">
            <v>57.247527550000001</v>
          </cell>
          <cell r="BF299">
            <v>57.820096229999997</v>
          </cell>
          <cell r="BG299">
            <v>58.403691649999999</v>
          </cell>
          <cell r="BH299">
            <v>58.998116260000003</v>
          </cell>
          <cell r="BI299">
            <v>59.603260120000002</v>
          </cell>
        </row>
        <row r="309">
          <cell r="E309" t="str">
            <v>CF_toe_chea_2</v>
          </cell>
          <cell r="F309">
            <v>5.0882577979999999</v>
          </cell>
          <cell r="G309">
            <v>5.1297871500000003</v>
          </cell>
          <cell r="H309">
            <v>5.1839948370000002</v>
          </cell>
          <cell r="I309">
            <v>5.2441477619999999</v>
          </cell>
          <cell r="J309">
            <v>5.3090350519999996</v>
          </cell>
          <cell r="K309">
            <v>5.378700276</v>
          </cell>
          <cell r="L309">
            <v>5.4486699600000001</v>
          </cell>
          <cell r="M309">
            <v>5.5177579909999999</v>
          </cell>
          <cell r="N309">
            <v>5.5850466110000001</v>
          </cell>
          <cell r="O309">
            <v>5.6504350749999999</v>
          </cell>
          <cell r="P309">
            <v>5.7223690730000003</v>
          </cell>
          <cell r="Q309">
            <v>5.7882374990000001</v>
          </cell>
          <cell r="R309">
            <v>5.851630492</v>
          </cell>
          <cell r="S309">
            <v>5.9139815330000003</v>
          </cell>
          <cell r="T309">
            <v>5.975965703</v>
          </cell>
          <cell r="U309">
            <v>6.0379299179999997</v>
          </cell>
          <cell r="V309">
            <v>6.0998310309999999</v>
          </cell>
          <cell r="W309">
            <v>6.1619718250000002</v>
          </cell>
          <cell r="X309">
            <v>6.224503447</v>
          </cell>
          <cell r="Y309">
            <v>6.287548621</v>
          </cell>
          <cell r="Z309">
            <v>6.3457055149999997</v>
          </cell>
          <cell r="AA309">
            <v>6.4079415519999996</v>
          </cell>
          <cell r="AB309">
            <v>6.4723022620000004</v>
          </cell>
          <cell r="AC309">
            <v>6.5381552640000002</v>
          </cell>
          <cell r="AD309">
            <v>6.605264536</v>
          </cell>
          <cell r="AE309">
            <v>6.6582197990000003</v>
          </cell>
          <cell r="AF309">
            <v>6.7144284689999996</v>
          </cell>
          <cell r="AG309">
            <v>6.7724078920000004</v>
          </cell>
          <cell r="AH309">
            <v>6.8318128519999997</v>
          </cell>
          <cell r="AI309">
            <v>6.8925439109999997</v>
          </cell>
          <cell r="AJ309">
            <v>6.954526295</v>
          </cell>
          <cell r="AK309">
            <v>7.0177263730000004</v>
          </cell>
          <cell r="AL309">
            <v>7.0819959370000003</v>
          </cell>
          <cell r="AM309">
            <v>7.1471933019999998</v>
          </cell>
          <cell r="AN309">
            <v>7.2131764880000002</v>
          </cell>
          <cell r="AO309">
            <v>7.2798193810000003</v>
          </cell>
          <cell r="AP309">
            <v>7.3440745789999999</v>
          </cell>
          <cell r="AQ309">
            <v>7.4076299429999999</v>
          </cell>
          <cell r="AR309">
            <v>7.4712040650000002</v>
          </cell>
          <cell r="AS309">
            <v>7.5351534390000001</v>
          </cell>
          <cell r="AT309">
            <v>7.5996878900000002</v>
          </cell>
          <cell r="AU309">
            <v>7.6650281619999996</v>
          </cell>
          <cell r="AV309">
            <v>7.73125514</v>
          </cell>
          <cell r="AW309">
            <v>7.7984820729999997</v>
          </cell>
          <cell r="AX309">
            <v>7.8668214909999996</v>
          </cell>
          <cell r="AY309">
            <v>7.9363616019999998</v>
          </cell>
          <cell r="AZ309">
            <v>8.0071135800000004</v>
          </cell>
          <cell r="BA309">
            <v>8.0780277439999999</v>
          </cell>
          <cell r="BB309">
            <v>8.1484502509999999</v>
          </cell>
          <cell r="BC309">
            <v>8.2180490479999992</v>
          </cell>
          <cell r="BD309">
            <v>8.2867404530000002</v>
          </cell>
          <cell r="BE309">
            <v>8.3547440949999991</v>
          </cell>
          <cell r="BF309">
            <v>8.4221148590000006</v>
          </cell>
          <cell r="BG309">
            <v>8.4890284900000008</v>
          </cell>
          <cell r="BH309">
            <v>8.5556743980000007</v>
          </cell>
          <cell r="BI309">
            <v>8.6222250519999992</v>
          </cell>
        </row>
        <row r="311">
          <cell r="E311" t="str">
            <v>CF_toe_cbio_2</v>
          </cell>
          <cell r="F311">
            <v>8.1645517749999996</v>
          </cell>
          <cell r="G311">
            <v>8.1685771539999994</v>
          </cell>
          <cell r="H311">
            <v>8.1544009959999997</v>
          </cell>
          <cell r="I311">
            <v>8.1374190389999992</v>
          </cell>
          <cell r="J311">
            <v>8.1237518810000005</v>
          </cell>
          <cell r="K311">
            <v>8.1141840250000001</v>
          </cell>
          <cell r="L311">
            <v>8.1038069190000002</v>
          </cell>
          <cell r="M311">
            <v>8.0946222510000005</v>
          </cell>
          <cell r="N311">
            <v>8.089238945</v>
          </cell>
          <cell r="O311">
            <v>8.0886251149999993</v>
          </cell>
          <cell r="P311">
            <v>8.0976562679999997</v>
          </cell>
          <cell r="Q311">
            <v>8.1070800439999999</v>
          </cell>
          <cell r="R311">
            <v>8.1178506319999997</v>
          </cell>
          <cell r="S311">
            <v>8.1298017690000002</v>
          </cell>
          <cell r="T311">
            <v>8.1425570500000006</v>
          </cell>
          <cell r="U311">
            <v>8.1557722760000004</v>
          </cell>
          <cell r="V311">
            <v>8.1690088640000003</v>
          </cell>
          <cell r="W311">
            <v>8.182175247</v>
          </cell>
          <cell r="X311">
            <v>8.1951561089999991</v>
          </cell>
          <cell r="Y311">
            <v>8.207882798</v>
          </cell>
          <cell r="Z311">
            <v>8.216719265</v>
          </cell>
          <cell r="AA311">
            <v>8.2272928140000001</v>
          </cell>
          <cell r="AB311">
            <v>8.2383532220000006</v>
          </cell>
          <cell r="AC311">
            <v>8.2494877130000006</v>
          </cell>
          <cell r="AD311">
            <v>8.2605862779999999</v>
          </cell>
          <cell r="AE311">
            <v>8.2616458819999998</v>
          </cell>
          <cell r="AF311">
            <v>8.263735294</v>
          </cell>
          <cell r="AG311">
            <v>8.2659913550000006</v>
          </cell>
          <cell r="AH311">
            <v>8.2682354619999998</v>
          </cell>
          <cell r="AI311">
            <v>8.2704853249999992</v>
          </cell>
          <cell r="AJ311">
            <v>8.2728435489999992</v>
          </cell>
          <cell r="AK311">
            <v>8.275506451</v>
          </cell>
          <cell r="AL311">
            <v>8.2786379419999996</v>
          </cell>
          <cell r="AM311">
            <v>8.2824353029999997</v>
          </cell>
          <cell r="AN311">
            <v>8.2870866830000001</v>
          </cell>
          <cell r="AO311">
            <v>8.2927462639999998</v>
          </cell>
          <cell r="AP311">
            <v>8.2976206819999998</v>
          </cell>
          <cell r="AQ311">
            <v>8.3027415619999996</v>
          </cell>
          <cell r="AR311">
            <v>8.3084936359999997</v>
          </cell>
          <cell r="AS311">
            <v>8.3149796469999995</v>
          </cell>
          <cell r="AT311">
            <v>8.3221726199999999</v>
          </cell>
          <cell r="AU311">
            <v>8.3300371640000002</v>
          </cell>
          <cell r="AV311">
            <v>8.3384123639999999</v>
          </cell>
          <cell r="AW311">
            <v>8.347150418</v>
          </cell>
          <cell r="AX311">
            <v>8.3560970460000004</v>
          </cell>
          <cell r="AY311">
            <v>8.3651210549999995</v>
          </cell>
          <cell r="AZ311">
            <v>8.3750307310000007</v>
          </cell>
          <cell r="BA311">
            <v>8.3863440170000008</v>
          </cell>
          <cell r="BB311">
            <v>8.3996613539999991</v>
          </cell>
          <cell r="BC311">
            <v>8.4153453529999993</v>
          </cell>
          <cell r="BD311">
            <v>8.4334994400000003</v>
          </cell>
          <cell r="BE311">
            <v>8.4541602059999992</v>
          </cell>
          <cell r="BF311">
            <v>8.4770681650000004</v>
          </cell>
          <cell r="BG311">
            <v>8.5019844179999993</v>
          </cell>
          <cell r="BH311">
            <v>8.5286757550000001</v>
          </cell>
          <cell r="BI311">
            <v>8.5569296040000005</v>
          </cell>
        </row>
        <row r="314">
          <cell r="E314" t="str">
            <v>CF_toe_cote_2</v>
          </cell>
          <cell r="F314">
            <v>8.4269101469999992</v>
          </cell>
          <cell r="G314">
            <v>8.4587023699999992</v>
          </cell>
          <cell r="H314">
            <v>8.5384867280000005</v>
          </cell>
          <cell r="I314">
            <v>8.6364972049999995</v>
          </cell>
          <cell r="J314">
            <v>8.7468780150000001</v>
          </cell>
          <cell r="K314">
            <v>8.8671475879999999</v>
          </cell>
          <cell r="L314">
            <v>8.9889720270000009</v>
          </cell>
          <cell r="M314">
            <v>9.1152174719999994</v>
          </cell>
          <cell r="N314">
            <v>9.2453369320000007</v>
          </cell>
          <cell r="O314">
            <v>9.3784235999999996</v>
          </cell>
          <cell r="P314">
            <v>9.52430588</v>
          </cell>
          <cell r="Q314">
            <v>9.6629173189999999</v>
          </cell>
          <cell r="R314">
            <v>9.8009043360000003</v>
          </cell>
          <cell r="S314">
            <v>9.9391210240000003</v>
          </cell>
          <cell r="T314">
            <v>10.077643070000001</v>
          </cell>
          <cell r="U314">
            <v>10.216517120000001</v>
          </cell>
          <cell r="V314">
            <v>10.35454633</v>
          </cell>
          <cell r="W314">
            <v>10.49299779</v>
          </cell>
          <cell r="X314">
            <v>10.632265650000001</v>
          </cell>
          <cell r="Y314">
            <v>10.772630380000001</v>
          </cell>
          <cell r="Z314">
            <v>10.90661341</v>
          </cell>
          <cell r="AA314">
            <v>11.04771749</v>
          </cell>
          <cell r="AB314">
            <v>11.19178411</v>
          </cell>
          <cell r="AC314">
            <v>11.338328560000001</v>
          </cell>
          <cell r="AD314">
            <v>11.48741216</v>
          </cell>
          <cell r="AE314">
            <v>11.61705123</v>
          </cell>
          <cell r="AF314">
            <v>11.755143220000001</v>
          </cell>
          <cell r="AG314">
            <v>11.896100929999999</v>
          </cell>
          <cell r="AH314">
            <v>12.03937412</v>
          </cell>
          <cell r="AI314">
            <v>12.185129699999999</v>
          </cell>
          <cell r="AJ314">
            <v>12.3335887</v>
          </cell>
          <cell r="AK314">
            <v>12.48521244</v>
          </cell>
          <cell r="AL314">
            <v>12.63986519</v>
          </cell>
          <cell r="AM314">
            <v>12.79755316</v>
          </cell>
          <cell r="AN314">
            <v>12.958265730000001</v>
          </cell>
          <cell r="AO314">
            <v>13.12196425</v>
          </cell>
          <cell r="AP314">
            <v>13.285914699999999</v>
          </cell>
          <cell r="AQ314">
            <v>13.45158209</v>
          </cell>
          <cell r="AR314">
            <v>13.61929054</v>
          </cell>
          <cell r="AS314">
            <v>13.789153929999999</v>
          </cell>
          <cell r="AT314">
            <v>13.96123927</v>
          </cell>
          <cell r="AU314">
            <v>14.13601059</v>
          </cell>
          <cell r="AV314">
            <v>14.31317368</v>
          </cell>
          <cell r="AW314">
            <v>14.4926981</v>
          </cell>
          <cell r="AX314">
            <v>14.67457995</v>
          </cell>
          <cell r="AY314">
            <v>14.85881084</v>
          </cell>
          <cell r="AZ314">
            <v>15.0472544</v>
          </cell>
          <cell r="BA314">
            <v>15.238452860000001</v>
          </cell>
          <cell r="BB314">
            <v>15.43214446</v>
          </cell>
          <cell r="BC314">
            <v>15.62824739</v>
          </cell>
          <cell r="BD314">
            <v>15.826716920000001</v>
          </cell>
          <cell r="BE314">
            <v>16.02840943</v>
          </cell>
          <cell r="BF314">
            <v>16.232621770000002</v>
          </cell>
          <cell r="BG314">
            <v>16.439249440000001</v>
          </cell>
          <cell r="BH314">
            <v>16.64828353</v>
          </cell>
          <cell r="BI314">
            <v>16.85973916</v>
          </cell>
        </row>
        <row r="317">
          <cell r="E317" t="str">
            <v>CF_toe_0</v>
          </cell>
          <cell r="F317">
            <v>162.32540449999999</v>
          </cell>
          <cell r="G317">
            <v>163.4156279</v>
          </cell>
          <cell r="H317">
            <v>164.40111590000001</v>
          </cell>
          <cell r="I317">
            <v>165.49306659999999</v>
          </cell>
          <cell r="J317">
            <v>166.74500499999999</v>
          </cell>
          <cell r="K317">
            <v>168.18158</v>
          </cell>
          <cell r="L317">
            <v>169.71105249999999</v>
          </cell>
          <cell r="M317">
            <v>171.35065510000001</v>
          </cell>
          <cell r="N317">
            <v>173.08313820000001</v>
          </cell>
          <cell r="O317">
            <v>174.8878789</v>
          </cell>
          <cell r="P317">
            <v>176.88940719999999</v>
          </cell>
          <cell r="Q317">
            <v>178.85549979999999</v>
          </cell>
          <cell r="R317">
            <v>180.83299869999999</v>
          </cell>
          <cell r="S317">
            <v>182.8284855</v>
          </cell>
          <cell r="T317">
            <v>184.84160499999999</v>
          </cell>
          <cell r="U317">
            <v>186.8714564</v>
          </cell>
          <cell r="V317">
            <v>188.91776100000001</v>
          </cell>
          <cell r="W317">
            <v>190.98094800000001</v>
          </cell>
          <cell r="X317">
            <v>193.06201340000001</v>
          </cell>
          <cell r="Y317">
            <v>195.16235180000001</v>
          </cell>
          <cell r="Z317">
            <v>197.18068360000001</v>
          </cell>
          <cell r="AA317">
            <v>199.27933390000001</v>
          </cell>
          <cell r="AB317">
            <v>201.4196579</v>
          </cell>
          <cell r="AC317">
            <v>203.59457219999999</v>
          </cell>
          <cell r="AD317">
            <v>205.80329040000001</v>
          </cell>
          <cell r="AE317">
            <v>207.7517144</v>
          </cell>
          <cell r="AF317">
            <v>209.76024570000001</v>
          </cell>
          <cell r="AG317">
            <v>211.7900325</v>
          </cell>
          <cell r="AH317">
            <v>213.83877150000001</v>
          </cell>
          <cell r="AI317">
            <v>215.9102231</v>
          </cell>
          <cell r="AJ317">
            <v>218.0087091</v>
          </cell>
          <cell r="AK317">
            <v>220.1378819</v>
          </cell>
          <cell r="AL317">
            <v>222.30046129999999</v>
          </cell>
          <cell r="AM317">
            <v>224.49828020000001</v>
          </cell>
          <cell r="AN317">
            <v>226.73243070000001</v>
          </cell>
          <cell r="AO317">
            <v>229.0034374</v>
          </cell>
          <cell r="AP317">
            <v>231.24145540000001</v>
          </cell>
          <cell r="AQ317">
            <v>233.48483479999999</v>
          </cell>
          <cell r="AR317">
            <v>235.7444802</v>
          </cell>
          <cell r="AS317">
            <v>238.02541389999999</v>
          </cell>
          <cell r="AT317">
            <v>240.33105660000001</v>
          </cell>
          <cell r="AU317">
            <v>242.66410830000001</v>
          </cell>
          <cell r="AV317">
            <v>245.02672670000001</v>
          </cell>
          <cell r="AW317">
            <v>247.42056600000001</v>
          </cell>
          <cell r="AX317">
            <v>249.84675229999999</v>
          </cell>
          <cell r="AY317">
            <v>252.30570220000001</v>
          </cell>
          <cell r="AZ317">
            <v>254.80226049999999</v>
          </cell>
          <cell r="BA317">
            <v>257.3296623</v>
          </cell>
          <cell r="BB317">
            <v>259.8836326</v>
          </cell>
          <cell r="BC317">
            <v>262.4704668</v>
          </cell>
          <cell r="BD317">
            <v>265.09553640000001</v>
          </cell>
          <cell r="BE317">
            <v>267.76041579999998</v>
          </cell>
          <cell r="BF317">
            <v>270.46463349999999</v>
          </cell>
          <cell r="BG317">
            <v>273.20721830000002</v>
          </cell>
          <cell r="BH317">
            <v>275.98742440000001</v>
          </cell>
          <cell r="BI317">
            <v>278.80493280000002</v>
          </cell>
        </row>
        <row r="318">
          <cell r="E318" t="str">
            <v>CF_toe_ccoa_0</v>
          </cell>
          <cell r="F318">
            <v>5.4830682990000001</v>
          </cell>
          <cell r="G318">
            <v>5.5492793779999996</v>
          </cell>
          <cell r="H318">
            <v>5.6226819590000003</v>
          </cell>
          <cell r="I318">
            <v>5.7019175280000001</v>
          </cell>
          <cell r="J318">
            <v>5.7861248329999997</v>
          </cell>
          <cell r="K318">
            <v>5.8747395679999999</v>
          </cell>
          <cell r="L318">
            <v>5.9635537019999996</v>
          </cell>
          <cell r="M318">
            <v>6.0544641649999997</v>
          </cell>
          <cell r="N318">
            <v>6.1476467250000004</v>
          </cell>
          <cell r="O318">
            <v>6.2429638360000004</v>
          </cell>
          <cell r="P318">
            <v>6.3467157170000004</v>
          </cell>
          <cell r="Q318">
            <v>6.4481039600000001</v>
          </cell>
          <cell r="R318">
            <v>6.5501806460000003</v>
          </cell>
          <cell r="S318">
            <v>6.6535140000000004</v>
          </cell>
          <cell r="T318">
            <v>6.7582072530000001</v>
          </cell>
          <cell r="U318">
            <v>6.8642977370000002</v>
          </cell>
          <cell r="V318">
            <v>6.9718316839999996</v>
          </cell>
          <cell r="W318">
            <v>7.0808734839999996</v>
          </cell>
          <cell r="X318">
            <v>7.1915011849999999</v>
          </cell>
          <cell r="Y318">
            <v>7.3037997629999998</v>
          </cell>
          <cell r="Z318">
            <v>7.4130387679999998</v>
          </cell>
          <cell r="AA318">
            <v>7.5272154479999998</v>
          </cell>
          <cell r="AB318">
            <v>7.6440588519999997</v>
          </cell>
          <cell r="AC318">
            <v>7.7631628270000004</v>
          </cell>
          <cell r="AD318">
            <v>7.8844808649999996</v>
          </cell>
          <cell r="AE318">
            <v>7.9940915869999998</v>
          </cell>
          <cell r="AF318">
            <v>8.1082709439999991</v>
          </cell>
          <cell r="AG318">
            <v>8.2244082330000001</v>
          </cell>
          <cell r="AH318">
            <v>8.3421332610000007</v>
          </cell>
          <cell r="AI318">
            <v>8.4614956269999997</v>
          </cell>
          <cell r="AJ318">
            <v>8.5826001230000006</v>
          </cell>
          <cell r="AK318">
            <v>8.7055333929999996</v>
          </cell>
          <cell r="AL318">
            <v>8.8303500489999998</v>
          </cell>
          <cell r="AM318">
            <v>8.9570736620000009</v>
          </cell>
          <cell r="AN318">
            <v>9.0857025080000007</v>
          </cell>
          <cell r="AO318">
            <v>9.2162167099999994</v>
          </cell>
          <cell r="AP318">
            <v>9.3451920059999996</v>
          </cell>
          <cell r="AQ318">
            <v>9.474724106</v>
          </cell>
          <cell r="AR318">
            <v>9.6052880080000005</v>
          </cell>
          <cell r="AS318">
            <v>9.7370358279999998</v>
          </cell>
          <cell r="AT318">
            <v>9.870052458</v>
          </cell>
          <cell r="AU318">
            <v>10.004404190000001</v>
          </cell>
          <cell r="AV318">
            <v>10.140146639999999</v>
          </cell>
          <cell r="AW318">
            <v>10.27732524</v>
          </cell>
          <cell r="AX318">
            <v>10.41597535</v>
          </cell>
          <cell r="AY318">
            <v>10.556122820000001</v>
          </cell>
          <cell r="AZ318">
            <v>10.69809186</v>
          </cell>
          <cell r="BA318">
            <v>10.84172141</v>
          </cell>
          <cell r="BB318">
            <v>10.98698583</v>
          </cell>
          <cell r="BC318">
            <v>11.133882270000001</v>
          </cell>
          <cell r="BD318">
            <v>11.28241703</v>
          </cell>
          <cell r="BE318">
            <v>11.432605069999999</v>
          </cell>
          <cell r="BF318">
            <v>11.584469009999999</v>
          </cell>
          <cell r="BG318">
            <v>11.738038</v>
          </cell>
          <cell r="BH318">
            <v>11.893347009999999</v>
          </cell>
          <cell r="BI318">
            <v>12.05043622</v>
          </cell>
        </row>
        <row r="321">
          <cell r="E321" t="str">
            <v>CF_toe_ccoi_0</v>
          </cell>
          <cell r="F321">
            <v>8.4917494900000001E-2</v>
          </cell>
          <cell r="G321">
            <v>8.5904173299999997E-2</v>
          </cell>
          <cell r="H321">
            <v>8.6975202500000001E-2</v>
          </cell>
          <cell r="I321">
            <v>8.8142268999999995E-2</v>
          </cell>
          <cell r="J321">
            <v>8.9414280400000004E-2</v>
          </cell>
          <cell r="K321">
            <v>9.0790635699999997E-2</v>
          </cell>
          <cell r="L321">
            <v>9.2207440399999993E-2</v>
          </cell>
          <cell r="M321">
            <v>9.3684891300000003E-2</v>
          </cell>
          <cell r="N321">
            <v>9.5219327399999998E-2</v>
          </cell>
          <cell r="O321">
            <v>9.68034589E-2</v>
          </cell>
          <cell r="P321">
            <v>9.8529666099999996E-2</v>
          </cell>
          <cell r="Q321">
            <v>0.10023785120000001</v>
          </cell>
          <cell r="R321">
            <v>0.1019637946</v>
          </cell>
          <cell r="S321">
            <v>0.10371059169999999</v>
          </cell>
          <cell r="T321">
            <v>0.10547654469999999</v>
          </cell>
          <cell r="U321">
            <v>0.1072599472</v>
          </cell>
          <cell r="V321">
            <v>0.1090597834</v>
          </cell>
          <cell r="W321">
            <v>0.1108757007</v>
          </cell>
          <cell r="X321">
            <v>0.1127078772</v>
          </cell>
          <cell r="Y321">
            <v>0.1145568922</v>
          </cell>
          <cell r="Z321">
            <v>0.116348937</v>
          </cell>
          <cell r="AA321">
            <v>0.1182004707</v>
          </cell>
          <cell r="AB321">
            <v>0.1200823359</v>
          </cell>
          <cell r="AC321">
            <v>0.1219905511</v>
          </cell>
          <cell r="AD321">
            <v>0.12392534519999999</v>
          </cell>
          <cell r="AE321">
            <v>0.12567097890000001</v>
          </cell>
          <cell r="AF321">
            <v>0.1274595409</v>
          </cell>
          <cell r="AG321">
            <v>0.12925843849999999</v>
          </cell>
          <cell r="AH321">
            <v>0.1310666754</v>
          </cell>
          <cell r="AI321">
            <v>0.1328882679</v>
          </cell>
          <cell r="AJ321">
            <v>0.13472742300000001</v>
          </cell>
          <cell r="AK321">
            <v>0.13658764840000001</v>
          </cell>
          <cell r="AL321">
            <v>0.13847164910000001</v>
          </cell>
          <cell r="AM321">
            <v>0.1403813995</v>
          </cell>
          <cell r="AN321">
            <v>0.1423182573</v>
          </cell>
          <cell r="AO321">
            <v>0.1442830849</v>
          </cell>
          <cell r="AP321">
            <v>0.1462237579</v>
          </cell>
          <cell r="AQ321">
            <v>0.14816847499999999</v>
          </cell>
          <cell r="AR321">
            <v>0.15012431449999999</v>
          </cell>
          <cell r="AS321">
            <v>0.1520946564</v>
          </cell>
          <cell r="AT321">
            <v>0.1540821151</v>
          </cell>
          <cell r="AU321">
            <v>0.15608895980000001</v>
          </cell>
          <cell r="AV321">
            <v>0.15811713669999999</v>
          </cell>
          <cell r="AW321">
            <v>0.1601682639</v>
          </cell>
          <cell r="AX321">
            <v>0.1622436538</v>
          </cell>
          <cell r="AY321">
            <v>0.1643443597</v>
          </cell>
          <cell r="AZ321">
            <v>0.166476024</v>
          </cell>
          <cell r="BA321">
            <v>0.1686368617</v>
          </cell>
          <cell r="BB321">
            <v>0.17082688500000001</v>
          </cell>
          <cell r="BC321">
            <v>0.17304623199999999</v>
          </cell>
          <cell r="BD321">
            <v>0.17529506089999999</v>
          </cell>
          <cell r="BE321">
            <v>0.17757361199999999</v>
          </cell>
          <cell r="BF321">
            <v>0.17988222619999999</v>
          </cell>
          <cell r="BG321">
            <v>0.18222134370000001</v>
          </cell>
          <cell r="BH321">
            <v>0.18459149750000001</v>
          </cell>
          <cell r="BI321">
            <v>0.18699330780000001</v>
          </cell>
        </row>
        <row r="324">
          <cell r="E324" t="str">
            <v>CF_toe_cfut_0</v>
          </cell>
          <cell r="F324">
            <v>47.396219520000002</v>
          </cell>
          <cell r="G324">
            <v>47.572488120000003</v>
          </cell>
          <cell r="H324">
            <v>47.715054289999998</v>
          </cell>
          <cell r="I324">
            <v>47.933097979999999</v>
          </cell>
          <cell r="J324">
            <v>48.248534460000002</v>
          </cell>
          <cell r="K324">
            <v>48.652318819999998</v>
          </cell>
          <cell r="L324">
            <v>49.11052978</v>
          </cell>
          <cell r="M324">
            <v>49.614983989999999</v>
          </cell>
          <cell r="N324">
            <v>50.155093440000002</v>
          </cell>
          <cell r="O324">
            <v>50.722348709999999</v>
          </cell>
          <cell r="P324">
            <v>51.340709920000002</v>
          </cell>
          <cell r="Q324">
            <v>51.961652739999998</v>
          </cell>
          <cell r="R324">
            <v>52.591532950000001</v>
          </cell>
          <cell r="S324">
            <v>53.229606789999998</v>
          </cell>
          <cell r="T324">
            <v>53.87438066</v>
          </cell>
          <cell r="U324">
            <v>54.524709280000003</v>
          </cell>
          <cell r="V324">
            <v>55.179880920000002</v>
          </cell>
          <cell r="W324">
            <v>55.839527969999999</v>
          </cell>
          <cell r="X324">
            <v>56.50352857</v>
          </cell>
          <cell r="Y324">
            <v>57.171929089999999</v>
          </cell>
          <cell r="Z324">
            <v>57.822471800000002</v>
          </cell>
          <cell r="AA324">
            <v>58.488130839999997</v>
          </cell>
          <cell r="AB324">
            <v>59.162029029999999</v>
          </cell>
          <cell r="AC324">
            <v>59.843234639999999</v>
          </cell>
          <cell r="AD324">
            <v>60.531841649999997</v>
          </cell>
          <cell r="AE324">
            <v>61.163390649999997</v>
          </cell>
          <cell r="AF324">
            <v>61.8018632</v>
          </cell>
          <cell r="AG324">
            <v>62.440449469999997</v>
          </cell>
          <cell r="AH324">
            <v>63.079769519999999</v>
          </cell>
          <cell r="AI324">
            <v>63.721679999999999</v>
          </cell>
          <cell r="AJ324">
            <v>64.367969040000006</v>
          </cell>
          <cell r="AK324">
            <v>65.020083510000006</v>
          </cell>
          <cell r="AL324">
            <v>65.679104260000003</v>
          </cell>
          <cell r="AM324">
            <v>66.345791840000004</v>
          </cell>
          <cell r="AN324">
            <v>67.020651849999993</v>
          </cell>
          <cell r="AO324">
            <v>67.704000809999997</v>
          </cell>
          <cell r="AP324">
            <v>68.380444940000004</v>
          </cell>
          <cell r="AQ324">
            <v>69.057209240000006</v>
          </cell>
          <cell r="AR324">
            <v>69.73649245</v>
          </cell>
          <cell r="AS324">
            <v>70.419591650000001</v>
          </cell>
          <cell r="AT324">
            <v>71.107616800000002</v>
          </cell>
          <cell r="AU324">
            <v>71.801559740000002</v>
          </cell>
          <cell r="AV324">
            <v>72.502267509999996</v>
          </cell>
          <cell r="AW324">
            <v>73.210424029999999</v>
          </cell>
          <cell r="AX324">
            <v>73.926553339999998</v>
          </cell>
          <cell r="AY324">
            <v>74.651039170000004</v>
          </cell>
          <cell r="AZ324">
            <v>75.385560960000007</v>
          </cell>
          <cell r="BA324">
            <v>76.129668150000001</v>
          </cell>
          <cell r="BB324">
            <v>76.883308349999993</v>
          </cell>
          <cell r="BC324">
            <v>77.646438540000005</v>
          </cell>
          <cell r="BD324">
            <v>78.419003610000004</v>
          </cell>
          <cell r="BE324">
            <v>79.200960050000006</v>
          </cell>
          <cell r="BF324">
            <v>79.992287129999994</v>
          </cell>
          <cell r="BG324">
            <v>80.792989120000001</v>
          </cell>
          <cell r="BH324">
            <v>81.603093599999994</v>
          </cell>
          <cell r="BI324">
            <v>82.42264788</v>
          </cell>
        </row>
        <row r="327">
          <cell r="E327" t="str">
            <v>CF_toe_cfuh_0</v>
          </cell>
          <cell r="F327">
            <v>14.83425304</v>
          </cell>
          <cell r="G327">
            <v>14.924954290000001</v>
          </cell>
          <cell r="H327">
            <v>14.99378463</v>
          </cell>
          <cell r="I327">
            <v>15.06078102</v>
          </cell>
          <cell r="J327">
            <v>15.13222142</v>
          </cell>
          <cell r="K327">
            <v>15.21755424</v>
          </cell>
          <cell r="L327">
            <v>15.312203970000001</v>
          </cell>
          <cell r="M327">
            <v>15.41807865</v>
          </cell>
          <cell r="N327">
            <v>15.533432960000001</v>
          </cell>
          <cell r="O327">
            <v>15.6559632</v>
          </cell>
          <cell r="P327">
            <v>15.79562039</v>
          </cell>
          <cell r="Q327">
            <v>15.93284195</v>
          </cell>
          <cell r="R327">
            <v>16.07097147</v>
          </cell>
          <cell r="S327">
            <v>16.210606569999999</v>
          </cell>
          <cell r="T327">
            <v>16.351777429999999</v>
          </cell>
          <cell r="U327">
            <v>16.494440109999999</v>
          </cell>
          <cell r="V327">
            <v>16.638578209999999</v>
          </cell>
          <cell r="W327">
            <v>16.784214460000001</v>
          </cell>
          <cell r="X327">
            <v>16.931403169999999</v>
          </cell>
          <cell r="Y327">
            <v>17.08022077</v>
          </cell>
          <cell r="Z327">
            <v>17.222231829999998</v>
          </cell>
          <cell r="AA327">
            <v>17.370690190000001</v>
          </cell>
          <cell r="AB327">
            <v>17.522647460000002</v>
          </cell>
          <cell r="AC327">
            <v>17.6773834</v>
          </cell>
          <cell r="AD327">
            <v>17.83472789</v>
          </cell>
          <cell r="AE327">
            <v>17.970351820000001</v>
          </cell>
          <cell r="AF327">
            <v>18.110230810000001</v>
          </cell>
          <cell r="AG327">
            <v>18.251800280000001</v>
          </cell>
          <cell r="AH327">
            <v>18.394817379999999</v>
          </cell>
          <cell r="AI327">
            <v>18.53946256</v>
          </cell>
          <cell r="AJ327">
            <v>18.685984449999999</v>
          </cell>
          <cell r="AK327">
            <v>18.834621630000001</v>
          </cell>
          <cell r="AL327">
            <v>18.985565560000001</v>
          </cell>
          <cell r="AM327">
            <v>19.138955970000001</v>
          </cell>
          <cell r="AN327">
            <v>19.2948871</v>
          </cell>
          <cell r="AO327">
            <v>19.453417309999999</v>
          </cell>
          <cell r="AP327">
            <v>19.6088588</v>
          </cell>
          <cell r="AQ327">
            <v>19.76426493</v>
          </cell>
          <cell r="AR327">
            <v>19.92065079</v>
          </cell>
          <cell r="AS327">
            <v>20.0784974</v>
          </cell>
          <cell r="AT327">
            <v>20.238113970000001</v>
          </cell>
          <cell r="AU327">
            <v>20.399728979999999</v>
          </cell>
          <cell r="AV327">
            <v>20.563513690000001</v>
          </cell>
          <cell r="AW327">
            <v>20.729584689999999</v>
          </cell>
          <cell r="AX327">
            <v>20.897988739999999</v>
          </cell>
          <cell r="AY327">
            <v>21.068633089999999</v>
          </cell>
          <cell r="AZ327">
            <v>21.241442620000001</v>
          </cell>
          <cell r="BA327">
            <v>21.416190619999998</v>
          </cell>
          <cell r="BB327">
            <v>21.59245194</v>
          </cell>
          <cell r="BC327">
            <v>21.771222980000001</v>
          </cell>
          <cell r="BD327">
            <v>21.953295950000001</v>
          </cell>
          <cell r="BE327">
            <v>22.138866480000001</v>
          </cell>
          <cell r="BF327">
            <v>22.327818730000001</v>
          </cell>
          <cell r="BG327">
            <v>22.519964340000001</v>
          </cell>
          <cell r="BH327">
            <v>22.715151089999999</v>
          </cell>
          <cell r="BI327">
            <v>22.913291229999999</v>
          </cell>
        </row>
        <row r="329">
          <cell r="E329" t="str">
            <v>CF_toe_cgas_0</v>
          </cell>
          <cell r="F329">
            <v>34.455909929999997</v>
          </cell>
          <cell r="G329">
            <v>34.735827729999997</v>
          </cell>
          <cell r="H329">
            <v>34.995736540000003</v>
          </cell>
          <cell r="I329">
            <v>35.262800059999996</v>
          </cell>
          <cell r="J329">
            <v>35.54540737</v>
          </cell>
          <cell r="K329">
            <v>35.859706240000001</v>
          </cell>
          <cell r="L329">
            <v>36.189815840000001</v>
          </cell>
          <cell r="M329">
            <v>36.543720530000002</v>
          </cell>
          <cell r="N329">
            <v>36.918847040000003</v>
          </cell>
          <cell r="O329">
            <v>37.31092039</v>
          </cell>
          <cell r="P329">
            <v>37.750746650000004</v>
          </cell>
          <cell r="Q329">
            <v>38.181040979999999</v>
          </cell>
          <cell r="R329">
            <v>38.61398234</v>
          </cell>
          <cell r="S329">
            <v>39.051442809999998</v>
          </cell>
          <cell r="T329">
            <v>39.493438840000003</v>
          </cell>
          <cell r="U329">
            <v>39.939729460000002</v>
          </cell>
          <cell r="V329">
            <v>40.390138090000001</v>
          </cell>
          <cell r="W329">
            <v>40.844607400000001</v>
          </cell>
          <cell r="X329">
            <v>41.303192789999997</v>
          </cell>
          <cell r="Y329">
            <v>41.766041950000002</v>
          </cell>
          <cell r="Z329">
            <v>42.20831707</v>
          </cell>
          <cell r="AA329">
            <v>42.66986034</v>
          </cell>
          <cell r="AB329">
            <v>43.140639149999998</v>
          </cell>
          <cell r="AC329">
            <v>43.618656739999999</v>
          </cell>
          <cell r="AD329">
            <v>44.103556339999997</v>
          </cell>
          <cell r="AE329">
            <v>44.5238005</v>
          </cell>
          <cell r="AF329">
            <v>44.958608820000002</v>
          </cell>
          <cell r="AG329">
            <v>45.397820119999999</v>
          </cell>
          <cell r="AH329">
            <v>45.840496799999997</v>
          </cell>
          <cell r="AI329">
            <v>46.287105910000001</v>
          </cell>
          <cell r="AJ329">
            <v>46.738403920000003</v>
          </cell>
          <cell r="AK329">
            <v>47.195129999999999</v>
          </cell>
          <cell r="AL329">
            <v>47.65790724</v>
          </cell>
          <cell r="AM329">
            <v>48.127221910000003</v>
          </cell>
          <cell r="AN329">
            <v>48.603430539999998</v>
          </cell>
          <cell r="AO329">
            <v>49.086777939999997</v>
          </cell>
          <cell r="AP329">
            <v>49.560524800000003</v>
          </cell>
          <cell r="AQ329">
            <v>50.034354639999997</v>
          </cell>
          <cell r="AR329">
            <v>50.510984720000003</v>
          </cell>
          <cell r="AS329">
            <v>50.991610729999998</v>
          </cell>
          <cell r="AT329">
            <v>51.476987549999997</v>
          </cell>
          <cell r="AU329">
            <v>51.967675669999998</v>
          </cell>
          <cell r="AV329">
            <v>52.464104069999998</v>
          </cell>
          <cell r="AW329">
            <v>52.966582770000002</v>
          </cell>
          <cell r="AX329">
            <v>53.475287020000003</v>
          </cell>
          <cell r="AY329">
            <v>53.990182799999999</v>
          </cell>
          <cell r="AZ329">
            <v>54.512204799999999</v>
          </cell>
          <cell r="BA329">
            <v>55.039883420000002</v>
          </cell>
          <cell r="BB329">
            <v>55.57055124</v>
          </cell>
          <cell r="BC329">
            <v>56.107931260000001</v>
          </cell>
          <cell r="BD329">
            <v>56.65502729</v>
          </cell>
          <cell r="BE329">
            <v>57.212583930000001</v>
          </cell>
          <cell r="BF329">
            <v>57.78021777</v>
          </cell>
          <cell r="BG329">
            <v>58.357289119999997</v>
          </cell>
          <cell r="BH329">
            <v>58.943272460000003</v>
          </cell>
          <cell r="BI329">
            <v>59.537846909999999</v>
          </cell>
        </row>
        <row r="335">
          <cell r="E335" t="str">
            <v>CF_toe_cele_0</v>
          </cell>
          <cell r="F335">
            <v>37.992390440000001</v>
          </cell>
          <cell r="G335">
            <v>38.276743850000003</v>
          </cell>
          <cell r="H335">
            <v>38.530684659999999</v>
          </cell>
          <cell r="I335">
            <v>38.797107590000003</v>
          </cell>
          <cell r="J335">
            <v>39.089575879999998</v>
          </cell>
          <cell r="K335">
            <v>39.418549560000002</v>
          </cell>
          <cell r="L335">
            <v>39.764851989999997</v>
          </cell>
          <cell r="M335">
            <v>40.133085790000003</v>
          </cell>
          <cell r="N335">
            <v>40.519239079999998</v>
          </cell>
          <cell r="O335">
            <v>40.918433110000002</v>
          </cell>
          <cell r="P335">
            <v>41.360046449999999</v>
          </cell>
          <cell r="Q335">
            <v>41.789856239999999</v>
          </cell>
          <cell r="R335">
            <v>42.218939630000001</v>
          </cell>
          <cell r="S335">
            <v>42.649196609999997</v>
          </cell>
          <cell r="T335">
            <v>43.080938510000003</v>
          </cell>
          <cell r="U335">
            <v>43.514363189999997</v>
          </cell>
          <cell r="V335">
            <v>43.949823160000001</v>
          </cell>
          <cell r="W335">
            <v>44.387842929999998</v>
          </cell>
          <cell r="X335">
            <v>44.829082409999998</v>
          </cell>
          <cell r="Y335">
            <v>45.274291079999998</v>
          </cell>
          <cell r="Z335">
            <v>45.70000924</v>
          </cell>
          <cell r="AA335">
            <v>46.14484367</v>
          </cell>
          <cell r="AB335">
            <v>46.600240429999999</v>
          </cell>
          <cell r="AC335">
            <v>47.064854609999998</v>
          </cell>
          <cell r="AD335">
            <v>47.538761289999997</v>
          </cell>
          <cell r="AE335">
            <v>47.952820389999999</v>
          </cell>
          <cell r="AF335">
            <v>48.38259798</v>
          </cell>
          <cell r="AG335">
            <v>48.819584149999997</v>
          </cell>
          <cell r="AH335">
            <v>49.263543400000003</v>
          </cell>
          <cell r="AI335">
            <v>49.715632079999999</v>
          </cell>
          <cell r="AJ335">
            <v>50.177029169999997</v>
          </cell>
          <cell r="AK335">
            <v>50.648656260000003</v>
          </cell>
          <cell r="AL335">
            <v>51.131139730000001</v>
          </cell>
          <cell r="AM335">
            <v>51.624838250000003</v>
          </cell>
          <cell r="AN335">
            <v>52.129891090000001</v>
          </cell>
          <cell r="AO335">
            <v>52.646271650000003</v>
          </cell>
          <cell r="AP335">
            <v>53.157286360000001</v>
          </cell>
          <cell r="AQ335">
            <v>53.671763210000002</v>
          </cell>
          <cell r="AR335">
            <v>54.192208280000003</v>
          </cell>
          <cell r="AS335">
            <v>54.7197478</v>
          </cell>
          <cell r="AT335">
            <v>55.255125990000003</v>
          </cell>
          <cell r="AU335">
            <v>55.7989076</v>
          </cell>
          <cell r="AV335">
            <v>56.351518759999998</v>
          </cell>
          <cell r="AW335">
            <v>56.913262000000003</v>
          </cell>
          <cell r="AX335">
            <v>57.484299839999998</v>
          </cell>
          <cell r="AY335">
            <v>58.064578140000002</v>
          </cell>
          <cell r="AZ335">
            <v>58.65489693</v>
          </cell>
          <cell r="BA335">
            <v>59.254107359999999</v>
          </cell>
          <cell r="BB335">
            <v>59.861396640000002</v>
          </cell>
          <cell r="BC335">
            <v>60.477901840000001</v>
          </cell>
          <cell r="BD335">
            <v>61.104611460000001</v>
          </cell>
          <cell r="BE335">
            <v>61.74176568</v>
          </cell>
          <cell r="BF335">
            <v>62.38919945</v>
          </cell>
          <cell r="BG335">
            <v>63.046672119999997</v>
          </cell>
          <cell r="BH335">
            <v>63.714026439999998</v>
          </cell>
          <cell r="BI335">
            <v>64.391228699999999</v>
          </cell>
        </row>
        <row r="345">
          <cell r="E345" t="str">
            <v>CF_toe_chea_0</v>
          </cell>
          <cell r="F345">
            <v>5.141788762</v>
          </cell>
          <cell r="G345">
            <v>5.2038577220000004</v>
          </cell>
          <cell r="H345">
            <v>5.272784723</v>
          </cell>
          <cell r="I345">
            <v>5.3464468939999996</v>
          </cell>
          <cell r="J345">
            <v>5.4244188009999998</v>
          </cell>
          <cell r="K345">
            <v>5.4986044500000002</v>
          </cell>
          <cell r="L345">
            <v>5.5637983950000001</v>
          </cell>
          <cell r="M345">
            <v>5.6246720999999997</v>
          </cell>
          <cell r="N345">
            <v>5.6838613320000002</v>
          </cell>
          <cell r="O345">
            <v>5.7427184630000001</v>
          </cell>
          <cell r="P345">
            <v>5.8100617410000002</v>
          </cell>
          <cell r="Q345">
            <v>5.8729796179999996</v>
          </cell>
          <cell r="R345">
            <v>5.9345830260000003</v>
          </cell>
          <cell r="S345">
            <v>5.9959337350000004</v>
          </cell>
          <cell r="T345">
            <v>6.0574305739999996</v>
          </cell>
          <cell r="U345">
            <v>6.1192296129999999</v>
          </cell>
          <cell r="V345">
            <v>6.1813979530000003</v>
          </cell>
          <cell r="W345">
            <v>6.2439747270000003</v>
          </cell>
          <cell r="X345">
            <v>6.3069945299999999</v>
          </cell>
          <cell r="Y345">
            <v>6.3704948769999996</v>
          </cell>
          <cell r="Z345">
            <v>6.4288669470000004</v>
          </cell>
          <cell r="AA345">
            <v>6.4912066299999998</v>
          </cell>
          <cell r="AB345">
            <v>6.555427581</v>
          </cell>
          <cell r="AC345">
            <v>6.6208422320000002</v>
          </cell>
          <cell r="AD345">
            <v>6.687201387</v>
          </cell>
          <cell r="AE345">
            <v>6.7386794639999996</v>
          </cell>
          <cell r="AF345">
            <v>6.7930565270000001</v>
          </cell>
          <cell r="AG345">
            <v>6.8487941259999996</v>
          </cell>
          <cell r="AH345">
            <v>6.9055178890000004</v>
          </cell>
          <cell r="AI345">
            <v>6.963121524</v>
          </cell>
          <cell r="AJ345">
            <v>7.0215934549999997</v>
          </cell>
          <cell r="AK345">
            <v>7.0809500200000004</v>
          </cell>
          <cell r="AL345">
            <v>7.1412106319999999</v>
          </cell>
          <cell r="AM345">
            <v>7.2023888789999999</v>
          </cell>
          <cell r="AN345">
            <v>7.2644908130000001</v>
          </cell>
          <cell r="AO345">
            <v>7.3275164479999999</v>
          </cell>
          <cell r="AP345">
            <v>7.3879447669999996</v>
          </cell>
          <cell r="AQ345">
            <v>7.4478830030000003</v>
          </cell>
          <cell r="AR345">
            <v>7.5081002889999997</v>
          </cell>
          <cell r="AS345">
            <v>7.5689295550000004</v>
          </cell>
          <cell r="AT345">
            <v>7.6305429059999996</v>
          </cell>
          <cell r="AU345">
            <v>7.6930538850000003</v>
          </cell>
          <cell r="AV345">
            <v>7.7565623219999997</v>
          </cell>
          <cell r="AW345">
            <v>7.8211817039999998</v>
          </cell>
          <cell r="AX345">
            <v>7.8870722439999996</v>
          </cell>
          <cell r="AY345">
            <v>7.9545178600000002</v>
          </cell>
          <cell r="AZ345">
            <v>8.0245126889999998</v>
          </cell>
          <cell r="BA345">
            <v>8.0941614479999995</v>
          </cell>
          <cell r="BB345">
            <v>8.1630874510000009</v>
          </cell>
          <cell r="BC345">
            <v>8.2315352159999993</v>
          </cell>
          <cell r="BD345">
            <v>8.2999362029999997</v>
          </cell>
          <cell r="BE345">
            <v>8.3686502580000006</v>
          </cell>
          <cell r="BF345">
            <v>8.4378963389999999</v>
          </cell>
          <cell r="BG345">
            <v>8.5077865020000001</v>
          </cell>
          <cell r="BH345">
            <v>8.5783745420000006</v>
          </cell>
          <cell r="BI345">
            <v>8.6496890289999993</v>
          </cell>
        </row>
        <row r="347">
          <cell r="E347" t="str">
            <v>CF_toe_cbio_0</v>
          </cell>
          <cell r="F347">
            <v>8.2066322189999994</v>
          </cell>
          <cell r="G347">
            <v>8.2272731690000001</v>
          </cell>
          <cell r="H347">
            <v>8.2228348679999996</v>
          </cell>
          <cell r="I347">
            <v>8.2111086919999998</v>
          </cell>
          <cell r="J347">
            <v>8.1980360670000003</v>
          </cell>
          <cell r="K347">
            <v>8.1912228710000008</v>
          </cell>
          <cell r="L347">
            <v>8.1896895839999999</v>
          </cell>
          <cell r="M347">
            <v>8.1943002400000005</v>
          </cell>
          <cell r="N347">
            <v>8.2038736439999997</v>
          </cell>
          <cell r="O347">
            <v>8.2169014390000008</v>
          </cell>
          <cell r="P347">
            <v>8.2375590889999994</v>
          </cell>
          <cell r="Q347">
            <v>8.2567148180000007</v>
          </cell>
          <cell r="R347">
            <v>8.2757273080000004</v>
          </cell>
          <cell r="S347">
            <v>8.2949545189999991</v>
          </cell>
          <cell r="T347">
            <v>8.3144870379999993</v>
          </cell>
          <cell r="U347">
            <v>8.334349521</v>
          </cell>
          <cell r="V347">
            <v>8.3545609420000009</v>
          </cell>
          <cell r="W347">
            <v>8.3751510800000002</v>
          </cell>
          <cell r="X347">
            <v>8.3961620690000007</v>
          </cell>
          <cell r="Y347">
            <v>8.4176451130000007</v>
          </cell>
          <cell r="Z347">
            <v>8.4359667060000003</v>
          </cell>
          <cell r="AA347">
            <v>8.4569724399999995</v>
          </cell>
          <cell r="AB347">
            <v>8.4794336050000005</v>
          </cell>
          <cell r="AC347">
            <v>8.5029590339999999</v>
          </cell>
          <cell r="AD347">
            <v>8.5274204939999994</v>
          </cell>
          <cell r="AE347">
            <v>8.5424752650000002</v>
          </cell>
          <cell r="AF347">
            <v>8.5594171150000005</v>
          </cell>
          <cell r="AG347">
            <v>8.5773864199999998</v>
          </cell>
          <cell r="AH347">
            <v>8.5962145680000006</v>
          </cell>
          <cell r="AI347">
            <v>8.6159032930000006</v>
          </cell>
          <cell r="AJ347">
            <v>8.6364932640000003</v>
          </cell>
          <cell r="AK347">
            <v>8.6580247589999999</v>
          </cell>
          <cell r="AL347">
            <v>8.6805255890000002</v>
          </cell>
          <cell r="AM347">
            <v>8.7040090709999998</v>
          </cell>
          <cell r="AN347">
            <v>8.7284761050000004</v>
          </cell>
          <cell r="AO347">
            <v>8.7539186230000006</v>
          </cell>
          <cell r="AP347">
            <v>8.7779996009999994</v>
          </cell>
          <cell r="AQ347">
            <v>8.8020076419999995</v>
          </cell>
          <cell r="AR347">
            <v>8.8264244769999998</v>
          </cell>
          <cell r="AS347">
            <v>8.8514643769999992</v>
          </cell>
          <cell r="AT347">
            <v>8.8772394999999999</v>
          </cell>
          <cell r="AU347">
            <v>8.9038171009999996</v>
          </cell>
          <cell r="AV347">
            <v>8.9312391830000006</v>
          </cell>
          <cell r="AW347">
            <v>8.959522582</v>
          </cell>
          <cell r="AX347">
            <v>8.9886436140000008</v>
          </cell>
          <cell r="AY347">
            <v>9.0184773529999998</v>
          </cell>
          <cell r="AZ347">
            <v>9.0486460009999998</v>
          </cell>
          <cell r="BA347">
            <v>9.0791002560000003</v>
          </cell>
          <cell r="BB347">
            <v>9.1099882290000007</v>
          </cell>
          <cell r="BC347">
            <v>9.1415748319999999</v>
          </cell>
          <cell r="BD347">
            <v>9.1740776650000004</v>
          </cell>
          <cell r="BE347">
            <v>9.2075599859999997</v>
          </cell>
          <cell r="BF347">
            <v>9.2419809060000002</v>
          </cell>
          <cell r="BG347">
            <v>9.2772670829999999</v>
          </cell>
          <cell r="BH347">
            <v>9.3133553520000003</v>
          </cell>
          <cell r="BI347">
            <v>9.3502069730000006</v>
          </cell>
        </row>
        <row r="350">
          <cell r="E350" t="str">
            <v>CF_toe_cote_0</v>
          </cell>
          <cell r="F350">
            <v>8.7302247630000007</v>
          </cell>
          <cell r="G350">
            <v>8.8392994750000007</v>
          </cell>
          <cell r="H350">
            <v>8.9605790719999998</v>
          </cell>
          <cell r="I350">
            <v>9.0916645809999999</v>
          </cell>
          <cell r="J350">
            <v>9.2312718960000009</v>
          </cell>
          <cell r="K350">
            <v>9.3780936659999998</v>
          </cell>
          <cell r="L350">
            <v>9.5244017670000005</v>
          </cell>
          <cell r="M350">
            <v>9.6736646989999997</v>
          </cell>
          <cell r="N350">
            <v>9.8259246529999995</v>
          </cell>
          <cell r="O350">
            <v>9.980826295</v>
          </cell>
          <cell r="P350">
            <v>10.14941758</v>
          </cell>
          <cell r="Q350">
            <v>10.31207163</v>
          </cell>
          <cell r="R350">
            <v>10.475117559999999</v>
          </cell>
          <cell r="S350">
            <v>10.63951984</v>
          </cell>
          <cell r="T350">
            <v>10.805468149999999</v>
          </cell>
          <cell r="U350">
            <v>10.97307751</v>
          </cell>
          <cell r="V350">
            <v>11.14249027</v>
          </cell>
          <cell r="W350">
            <v>11.31388022</v>
          </cell>
          <cell r="X350">
            <v>11.487440769999999</v>
          </cell>
          <cell r="Y350">
            <v>11.66337225</v>
          </cell>
          <cell r="Z350">
            <v>11.83343228</v>
          </cell>
          <cell r="AA350">
            <v>12.012213839999999</v>
          </cell>
          <cell r="AB350">
            <v>12.19509948</v>
          </cell>
          <cell r="AC350">
            <v>12.38148816</v>
          </cell>
          <cell r="AD350">
            <v>12.57137518</v>
          </cell>
          <cell r="AE350">
            <v>12.74043378</v>
          </cell>
          <cell r="AF350">
            <v>12.91874074</v>
          </cell>
          <cell r="AG350">
            <v>13.10053126</v>
          </cell>
          <cell r="AH350">
            <v>13.28521198</v>
          </cell>
          <cell r="AI350">
            <v>13.47293387</v>
          </cell>
          <cell r="AJ350">
            <v>13.663908299999999</v>
          </cell>
          <cell r="AK350">
            <v>13.858294689999999</v>
          </cell>
          <cell r="AL350">
            <v>14.056186609999999</v>
          </cell>
          <cell r="AM350">
            <v>14.25761922</v>
          </cell>
          <cell r="AN350">
            <v>14.46258241</v>
          </cell>
          <cell r="AO350">
            <v>14.67103487</v>
          </cell>
          <cell r="AP350">
            <v>14.876980379999999</v>
          </cell>
          <cell r="AQ350">
            <v>15.084459560000001</v>
          </cell>
          <cell r="AR350">
            <v>15.29420689</v>
          </cell>
          <cell r="AS350">
            <v>15.50644185</v>
          </cell>
          <cell r="AT350">
            <v>15.721295319999999</v>
          </cell>
          <cell r="AU350">
            <v>15.93887222</v>
          </cell>
          <cell r="AV350">
            <v>16.159257360000002</v>
          </cell>
          <cell r="AW350">
            <v>16.382514740000001</v>
          </cell>
          <cell r="AX350">
            <v>16.60868851</v>
          </cell>
          <cell r="AY350">
            <v>16.83780659</v>
          </cell>
          <cell r="AZ350">
            <v>17.070428589999999</v>
          </cell>
          <cell r="BA350">
            <v>17.306192790000001</v>
          </cell>
          <cell r="BB350">
            <v>17.545036020000001</v>
          </cell>
          <cell r="BC350">
            <v>17.786933609999998</v>
          </cell>
          <cell r="BD350">
            <v>18.031872100000001</v>
          </cell>
          <cell r="BE350">
            <v>18.279850719999999</v>
          </cell>
          <cell r="BF350">
            <v>18.530881969999999</v>
          </cell>
          <cell r="BG350">
            <v>18.78499064</v>
          </cell>
          <cell r="BH350">
            <v>19.042212459999998</v>
          </cell>
          <cell r="BI350">
            <v>19.30259251</v>
          </cell>
        </row>
        <row r="353">
          <cell r="F353">
            <v>64.301440170000006</v>
          </cell>
          <cell r="G353">
            <v>64.22072695</v>
          </cell>
          <cell r="H353">
            <v>63.922664949999998</v>
          </cell>
          <cell r="I353">
            <v>63.619772910000002</v>
          </cell>
          <cell r="J353">
            <v>63.377791629999997</v>
          </cell>
          <cell r="K353">
            <v>63.202465400000001</v>
          </cell>
          <cell r="L353">
            <v>63.058966820000002</v>
          </cell>
          <cell r="M353">
            <v>62.953107009999997</v>
          </cell>
          <cell r="N353">
            <v>62.888777130000001</v>
          </cell>
          <cell r="O353">
            <v>62.863858239999999</v>
          </cell>
          <cell r="P353">
            <v>62.901636799999999</v>
          </cell>
          <cell r="Q353">
            <v>62.951887190000001</v>
          </cell>
          <cell r="R353">
            <v>63.016270300000002</v>
          </cell>
          <cell r="S353">
            <v>63.09334681</v>
          </cell>
          <cell r="T353">
            <v>63.180248659999997</v>
          </cell>
          <cell r="U353">
            <v>63.274416410000001</v>
          </cell>
          <cell r="V353">
            <v>63.373734919999997</v>
          </cell>
          <cell r="W353">
            <v>63.4765041</v>
          </cell>
          <cell r="X353">
            <v>63.581382480000002</v>
          </cell>
          <cell r="Y353">
            <v>63.687294690000002</v>
          </cell>
          <cell r="Z353">
            <v>63.773940289999999</v>
          </cell>
          <cell r="AA353">
            <v>63.869491019999998</v>
          </cell>
          <cell r="AB353">
            <v>63.968244200000001</v>
          </cell>
          <cell r="AC353">
            <v>64.06739528</v>
          </cell>
          <cell r="AD353">
            <v>64.165623670000002</v>
          </cell>
          <cell r="AE353">
            <v>64.209194229999994</v>
          </cell>
          <cell r="AF353">
            <v>64.252018840000005</v>
          </cell>
          <cell r="AG353">
            <v>64.292273789999996</v>
          </cell>
          <cell r="AH353">
            <v>64.329214690000001</v>
          </cell>
          <cell r="AI353">
            <v>64.362750090000006</v>
          </cell>
          <cell r="AJ353">
            <v>64.392941219999997</v>
          </cell>
          <cell r="AK353">
            <v>64.420329839999994</v>
          </cell>
          <cell r="AL353">
            <v>64.445711810000006</v>
          </cell>
          <cell r="AM353">
            <v>64.469975489999996</v>
          </cell>
          <cell r="AN353">
            <v>64.493987559999994</v>
          </cell>
          <cell r="AO353">
            <v>64.518509190000003</v>
          </cell>
          <cell r="AP353">
            <v>64.532800010000003</v>
          </cell>
          <cell r="AQ353">
            <v>64.542817850000006</v>
          </cell>
          <cell r="AR353">
            <v>64.551316069999999</v>
          </cell>
          <cell r="AS353">
            <v>64.559496039999999</v>
          </cell>
          <cell r="AT353">
            <v>64.567824169999994</v>
          </cell>
          <cell r="AU353">
            <v>64.576426600000005</v>
          </cell>
          <cell r="AV353">
            <v>64.585244560000007</v>
          </cell>
          <cell r="AW353">
            <v>64.594099139999997</v>
          </cell>
          <cell r="AX353">
            <v>64.602731919999997</v>
          </cell>
          <cell r="AY353">
            <v>64.6108914</v>
          </cell>
          <cell r="AZ353">
            <v>64.620784700000002</v>
          </cell>
          <cell r="BA353">
            <v>64.634201219999994</v>
          </cell>
          <cell r="BB353">
            <v>64.652930810000001</v>
          </cell>
          <cell r="BC353">
            <v>64.678061749999998</v>
          </cell>
          <cell r="BD353">
            <v>64.709902819999996</v>
          </cell>
          <cell r="BE353">
            <v>64.748205549999994</v>
          </cell>
          <cell r="BF353">
            <v>64.792382880000005</v>
          </cell>
          <cell r="BG353">
            <v>64.841665149999997</v>
          </cell>
          <cell r="BH353">
            <v>64.895230900000001</v>
          </cell>
          <cell r="BI353">
            <v>64.952292700000001</v>
          </cell>
        </row>
        <row r="354">
          <cell r="F354">
            <v>42.52087745</v>
          </cell>
          <cell r="G354">
            <v>42.739836780000005</v>
          </cell>
          <cell r="H354">
            <v>42.61933861</v>
          </cell>
          <cell r="I354">
            <v>42.40910435</v>
          </cell>
          <cell r="J354">
            <v>42.199241030000003</v>
          </cell>
          <cell r="K354">
            <v>42.011194340000003</v>
          </cell>
          <cell r="L354">
            <v>41.82297174</v>
          </cell>
          <cell r="M354">
            <v>41.647298159999998</v>
          </cell>
          <cell r="N354">
            <v>41.492982659999996</v>
          </cell>
          <cell r="O354">
            <v>41.361586299999999</v>
          </cell>
          <cell r="P354">
            <v>41.274898740000005</v>
          </cell>
          <cell r="Q354">
            <v>41.189825859999999</v>
          </cell>
          <cell r="R354">
            <v>41.11010297</v>
          </cell>
          <cell r="S354">
            <v>41.036071479999997</v>
          </cell>
          <cell r="T354">
            <v>40.966345840000002</v>
          </cell>
          <cell r="U354">
            <v>40.899591619999995</v>
          </cell>
          <cell r="V354">
            <v>40.83483081</v>
          </cell>
          <cell r="W354">
            <v>40.771259490000006</v>
          </cell>
          <cell r="X354">
            <v>40.708267490000004</v>
          </cell>
          <cell r="Y354">
            <v>40.645393640000002</v>
          </cell>
          <cell r="Z354">
            <v>40.565982779999999</v>
          </cell>
          <cell r="AA354">
            <v>40.495270590000004</v>
          </cell>
          <cell r="AB354">
            <v>40.427868109999999</v>
          </cell>
          <cell r="AC354">
            <v>40.361187840000007</v>
          </cell>
          <cell r="AD354">
            <v>40.294095759999998</v>
          </cell>
          <cell r="AE354">
            <v>40.181782759999997</v>
          </cell>
          <cell r="AF354">
            <v>40.072900490000002</v>
          </cell>
          <cell r="AG354">
            <v>39.965268569999999</v>
          </cell>
          <cell r="AH354">
            <v>39.857629680000002</v>
          </cell>
          <cell r="AI354">
            <v>39.749349430000002</v>
          </cell>
          <cell r="AJ354">
            <v>39.63998007</v>
          </cell>
          <cell r="AK354">
            <v>39.529593219999995</v>
          </cell>
          <cell r="AL354">
            <v>39.418601649999999</v>
          </cell>
          <cell r="AM354">
            <v>39.3075847</v>
          </cell>
          <cell r="AN354">
            <v>39.19715686</v>
          </cell>
          <cell r="AO354">
            <v>39.087870240000001</v>
          </cell>
          <cell r="AP354">
            <v>38.970562780000002</v>
          </cell>
          <cell r="AQ354">
            <v>38.850812049999995</v>
          </cell>
          <cell r="AR354">
            <v>38.731061509999996</v>
          </cell>
          <cell r="AS354">
            <v>38.612196470000001</v>
          </cell>
          <cell r="AT354">
            <v>38.494364170000004</v>
          </cell>
          <cell r="AU354">
            <v>38.37736022</v>
          </cell>
          <cell r="AV354">
            <v>38.260857630000004</v>
          </cell>
          <cell r="AW354">
            <v>38.14447371</v>
          </cell>
          <cell r="AX354">
            <v>38.027803320000004</v>
          </cell>
          <cell r="AY354">
            <v>37.910498369999999</v>
          </cell>
          <cell r="AZ354">
            <v>37.794445670000002</v>
          </cell>
          <cell r="BA354">
            <v>37.681397509999996</v>
          </cell>
          <cell r="BB354">
            <v>37.573179570000001</v>
          </cell>
          <cell r="BC354">
            <v>37.470950240000001</v>
          </cell>
          <cell r="BD354">
            <v>37.37510545</v>
          </cell>
          <cell r="BE354">
            <v>37.28543286</v>
          </cell>
          <cell r="BF354">
            <v>37.201431710000001</v>
          </cell>
          <cell r="BG354">
            <v>37.122452530000004</v>
          </cell>
          <cell r="BH354">
            <v>37.04780564</v>
          </cell>
          <cell r="BI354">
            <v>36.976839909999995</v>
          </cell>
        </row>
        <row r="362">
          <cell r="F362">
            <v>21.78056273</v>
          </cell>
          <cell r="G362">
            <v>21.480890170000002</v>
          </cell>
          <cell r="H362">
            <v>21.303326329999997</v>
          </cell>
          <cell r="I362">
            <v>21.210668559999998</v>
          </cell>
          <cell r="J362">
            <v>21.178550600000001</v>
          </cell>
          <cell r="K362">
            <v>21.191271059999998</v>
          </cell>
          <cell r="L362">
            <v>21.235995089999999</v>
          </cell>
          <cell r="M362">
            <v>21.305808859999999</v>
          </cell>
          <cell r="N362">
            <v>21.395794469999998</v>
          </cell>
          <cell r="O362">
            <v>21.502271950000001</v>
          </cell>
          <cell r="P362">
            <v>21.626738059999997</v>
          </cell>
          <cell r="Q362">
            <v>21.762061329999998</v>
          </cell>
          <cell r="R362">
            <v>21.906167329999999</v>
          </cell>
          <cell r="S362">
            <v>22.05727533</v>
          </cell>
          <cell r="T362">
            <v>22.213902820000001</v>
          </cell>
          <cell r="U362">
            <v>22.374824789999998</v>
          </cell>
          <cell r="V362">
            <v>22.538904110000001</v>
          </cell>
          <cell r="W362">
            <v>22.705244610000001</v>
          </cell>
          <cell r="X362">
            <v>22.873114999999999</v>
          </cell>
          <cell r="Y362">
            <v>23.04190105</v>
          </cell>
          <cell r="Z362">
            <v>23.20795751</v>
          </cell>
          <cell r="AA362">
            <v>23.374220430000001</v>
          </cell>
          <cell r="AB362">
            <v>23.540376089999999</v>
          </cell>
          <cell r="AC362">
            <v>23.70620744</v>
          </cell>
          <cell r="AD362">
            <v>23.871527910000001</v>
          </cell>
          <cell r="AE362">
            <v>24.027411470000001</v>
          </cell>
          <cell r="AF362">
            <v>24.179118350000003</v>
          </cell>
          <cell r="AG362">
            <v>24.32700522</v>
          </cell>
          <cell r="AH362">
            <v>24.471585010000002</v>
          </cell>
          <cell r="AI362">
            <v>24.61340066</v>
          </cell>
          <cell r="AJ362">
            <v>24.75296114</v>
          </cell>
          <cell r="AK362">
            <v>24.890736620000002</v>
          </cell>
          <cell r="AL362">
            <v>25.027110159999999</v>
          </cell>
          <cell r="AM362">
            <v>25.16239079</v>
          </cell>
          <cell r="AN362">
            <v>25.296830700000001</v>
          </cell>
          <cell r="AO362">
            <v>25.43063896</v>
          </cell>
          <cell r="AP362">
            <v>25.562237230000001</v>
          </cell>
          <cell r="AQ362">
            <v>25.6920058</v>
          </cell>
          <cell r="AR362">
            <v>25.820254559999999</v>
          </cell>
          <cell r="AS362">
            <v>25.947299570000002</v>
          </cell>
          <cell r="AT362">
            <v>26.073460000000001</v>
          </cell>
          <cell r="AU362">
            <v>26.199066379999998</v>
          </cell>
          <cell r="AV362">
            <v>26.32438694</v>
          </cell>
          <cell r="AW362">
            <v>26.449625430000001</v>
          </cell>
          <cell r="AX362">
            <v>26.5749286</v>
          </cell>
          <cell r="AY362">
            <v>26.700393030000001</v>
          </cell>
          <cell r="AZ362">
            <v>26.82633903</v>
          </cell>
          <cell r="BA362">
            <v>26.952803719999999</v>
          </cell>
          <cell r="BB362">
            <v>27.079751239999997</v>
          </cell>
          <cell r="BC362">
            <v>27.207111510000001</v>
          </cell>
          <cell r="BD362">
            <v>27.33479737</v>
          </cell>
          <cell r="BE362">
            <v>27.462772690000001</v>
          </cell>
          <cell r="BF362">
            <v>27.59095117</v>
          </cell>
          <cell r="BG362">
            <v>27.71921262</v>
          </cell>
          <cell r="BH362">
            <v>27.847425260000001</v>
          </cell>
          <cell r="BI362">
            <v>27.975452789999999</v>
          </cell>
        </row>
        <row r="366">
          <cell r="F366">
            <v>25.84335038</v>
          </cell>
          <cell r="G366">
            <v>25.97016473</v>
          </cell>
          <cell r="H366">
            <v>26.183670960000001</v>
          </cell>
          <cell r="I366">
            <v>26.44123115</v>
          </cell>
          <cell r="J366">
            <v>26.73473504</v>
          </cell>
          <cell r="K366">
            <v>27.059648889999998</v>
          </cell>
          <cell r="L366">
            <v>27.395693170000001</v>
          </cell>
          <cell r="M366">
            <v>27.74736403</v>
          </cell>
          <cell r="N366">
            <v>28.112916479999999</v>
          </cell>
          <cell r="O366">
            <v>28.489656459999999</v>
          </cell>
          <cell r="P366">
            <v>28.901369509999999</v>
          </cell>
          <cell r="Q366">
            <v>29.301978259999998</v>
          </cell>
          <cell r="R366">
            <v>29.702515739999999</v>
          </cell>
          <cell r="S366">
            <v>30.10454228</v>
          </cell>
          <cell r="T366">
            <v>30.508030949999998</v>
          </cell>
          <cell r="U366">
            <v>30.912896570000001</v>
          </cell>
          <cell r="V366">
            <v>31.31684465</v>
          </cell>
          <cell r="W366">
            <v>31.721909050000001</v>
          </cell>
          <cell r="X366">
            <v>32.128834820000002</v>
          </cell>
          <cell r="Y366">
            <v>32.538184440000002</v>
          </cell>
          <cell r="Z366">
            <v>32.931232080000001</v>
          </cell>
          <cell r="AA366">
            <v>33.339058250000001</v>
          </cell>
          <cell r="AB366">
            <v>33.754190749999999</v>
          </cell>
          <cell r="AC366">
            <v>34.175387450000002</v>
          </cell>
          <cell r="AD366">
            <v>34.602634960000003</v>
          </cell>
          <cell r="AE366">
            <v>34.980976859999998</v>
          </cell>
          <cell r="AF366">
            <v>35.372762090000002</v>
          </cell>
          <cell r="AG366">
            <v>35.769626899999999</v>
          </cell>
          <cell r="AH366">
            <v>36.171026519999998</v>
          </cell>
          <cell r="AI366">
            <v>36.577804329999999</v>
          </cell>
          <cell r="AJ366">
            <v>36.99085814</v>
          </cell>
          <cell r="AK366">
            <v>37.411411780000002</v>
          </cell>
          <cell r="AL366">
            <v>37.839531260000001</v>
          </cell>
          <cell r="AM366">
            <v>38.275390309999999</v>
          </cell>
          <cell r="AN366">
            <v>38.719067549999998</v>
          </cell>
          <cell r="AO366">
            <v>39.170552659999998</v>
          </cell>
          <cell r="AP366">
            <v>39.621367380000002</v>
          </cell>
          <cell r="AQ366">
            <v>40.075499219999998</v>
          </cell>
          <cell r="AR366">
            <v>40.534314670000001</v>
          </cell>
          <cell r="AS366">
            <v>40.998499459999998</v>
          </cell>
          <cell r="AT366">
            <v>41.468541639999998</v>
          </cell>
          <cell r="AU366">
            <v>41.945586740000003</v>
          </cell>
          <cell r="AV366">
            <v>42.429390740000002</v>
          </cell>
          <cell r="AW366">
            <v>42.920041079999997</v>
          </cell>
          <cell r="AX366">
            <v>43.417617030000002</v>
          </cell>
          <cell r="AY366">
            <v>43.922150780000003</v>
          </cell>
          <cell r="AZ366">
            <v>44.437397079999997</v>
          </cell>
          <cell r="BA366">
            <v>44.960838840000001</v>
          </cell>
          <cell r="BB366">
            <v>45.491848910000002</v>
          </cell>
          <cell r="BC366">
            <v>46.030156740000002</v>
          </cell>
          <cell r="BD366">
            <v>46.57559577</v>
          </cell>
          <cell r="BE366">
            <v>47.129683749999998</v>
          </cell>
          <cell r="BF366">
            <v>47.69123853</v>
          </cell>
          <cell r="BG366">
            <v>48.260007010000002</v>
          </cell>
          <cell r="BH366">
            <v>48.835925320000001</v>
          </cell>
          <cell r="BI366">
            <v>49.418996880000002</v>
          </cell>
        </row>
        <row r="378">
          <cell r="F378">
            <v>4.7928841450000004</v>
          </cell>
          <cell r="G378">
            <v>4.7866539699999997</v>
          </cell>
          <cell r="H378">
            <v>4.7976650530000002</v>
          </cell>
          <cell r="I378">
            <v>4.8227564679999997</v>
          </cell>
          <cell r="J378">
            <v>4.8609786750000001</v>
          </cell>
          <cell r="K378">
            <v>4.9108848350000001</v>
          </cell>
          <cell r="L378">
            <v>4.96790062</v>
          </cell>
          <cell r="M378">
            <v>5.0314680320000003</v>
          </cell>
          <cell r="N378">
            <v>5.1004572570000004</v>
          </cell>
          <cell r="O378">
            <v>5.1737757950000001</v>
          </cell>
          <cell r="P378">
            <v>5.2551767360000001</v>
          </cell>
          <cell r="Q378">
            <v>5.3367844670000002</v>
          </cell>
          <cell r="R378">
            <v>5.419484679</v>
          </cell>
          <cell r="S378">
            <v>5.5031548289999996</v>
          </cell>
          <cell r="T378">
            <v>5.5875546680000001</v>
          </cell>
          <cell r="U378">
            <v>5.6725033590000002</v>
          </cell>
          <cell r="V378">
            <v>5.7574628299999997</v>
          </cell>
          <cell r="W378">
            <v>5.842665727</v>
          </cell>
          <cell r="X378">
            <v>5.9281670770000003</v>
          </cell>
          <cell r="Y378">
            <v>6.0140160619999996</v>
          </cell>
          <cell r="Z378">
            <v>6.0968265349999999</v>
          </cell>
          <cell r="AA378">
            <v>6.1815924579999999</v>
          </cell>
          <cell r="AB378">
            <v>6.2675187479999996</v>
          </cell>
          <cell r="AC378">
            <v>6.3544827110000002</v>
          </cell>
          <cell r="AD378">
            <v>6.4425016890000002</v>
          </cell>
          <cell r="AE378">
            <v>6.5217243639999998</v>
          </cell>
          <cell r="AF378">
            <v>6.6017342479999996</v>
          </cell>
          <cell r="AG378">
            <v>6.6818930930000002</v>
          </cell>
          <cell r="AH378">
            <v>6.762397977</v>
          </cell>
          <cell r="AI378">
            <v>6.8435815340000001</v>
          </cell>
          <cell r="AJ378">
            <v>6.9257416550000004</v>
          </cell>
          <cell r="AK378">
            <v>7.0092028649999998</v>
          </cell>
          <cell r="AL378">
            <v>7.0940664340000001</v>
          </cell>
          <cell r="AM378">
            <v>7.1804273319999998</v>
          </cell>
          <cell r="AN378">
            <v>7.2683460799999997</v>
          </cell>
          <cell r="AO378">
            <v>7.3578539889999997</v>
          </cell>
          <cell r="AP378">
            <v>7.4474445439999997</v>
          </cell>
          <cell r="AQ378">
            <v>7.5375370420000003</v>
          </cell>
          <cell r="AR378">
            <v>7.6284044030000002</v>
          </cell>
          <cell r="AS378">
            <v>7.7202455680000002</v>
          </cell>
          <cell r="AT378">
            <v>7.813219557</v>
          </cell>
          <cell r="AU378">
            <v>7.9075865939999996</v>
          </cell>
          <cell r="AV378">
            <v>8.0033578320000007</v>
          </cell>
          <cell r="AW378">
            <v>8.1005832380000005</v>
          </cell>
          <cell r="AX378">
            <v>8.199297971</v>
          </cell>
          <cell r="AY378">
            <v>8.2995187510000008</v>
          </cell>
          <cell r="AZ378">
            <v>8.4019127180000002</v>
          </cell>
          <cell r="BA378">
            <v>8.5061068570000007</v>
          </cell>
          <cell r="BB378">
            <v>8.6120029490000007</v>
          </cell>
          <cell r="BC378">
            <v>8.7195471090000005</v>
          </cell>
          <cell r="BD378">
            <v>8.8286939879999995</v>
          </cell>
          <cell r="BE378">
            <v>8.9396863609999997</v>
          </cell>
          <cell r="BF378">
            <v>9.0523173549999996</v>
          </cell>
          <cell r="BG378">
            <v>9.1665335589999994</v>
          </cell>
          <cell r="BH378">
            <v>9.2823127670000005</v>
          </cell>
          <cell r="BI378">
            <v>9.3996437119999996</v>
          </cell>
        </row>
        <row r="390">
          <cell r="F390">
            <v>42.880290989999999</v>
          </cell>
          <cell r="G390">
            <v>42.956177969999999</v>
          </cell>
          <cell r="H390">
            <v>43.25029885</v>
          </cell>
          <cell r="I390">
            <v>43.651243999999998</v>
          </cell>
          <cell r="J390">
            <v>44.139366459999998</v>
          </cell>
          <cell r="K390">
            <v>44.703743019999997</v>
          </cell>
          <cell r="L390">
            <v>45.302734510000001</v>
          </cell>
          <cell r="M390">
            <v>45.942784170000003</v>
          </cell>
          <cell r="N390">
            <v>46.617184569999999</v>
          </cell>
          <cell r="O390">
            <v>47.318186140000002</v>
          </cell>
          <cell r="P390">
            <v>48.08880636</v>
          </cell>
          <cell r="Q390">
            <v>48.837585330000003</v>
          </cell>
          <cell r="R390">
            <v>49.587848710000003</v>
          </cell>
          <cell r="S390">
            <v>50.341283160000003</v>
          </cell>
          <cell r="T390">
            <v>51.096712570000001</v>
          </cell>
          <cell r="U390">
            <v>51.853164640000003</v>
          </cell>
          <cell r="V390">
            <v>52.604464100000001</v>
          </cell>
          <cell r="W390">
            <v>53.355227540000001</v>
          </cell>
          <cell r="X390">
            <v>54.106833969999997</v>
          </cell>
          <cell r="Y390">
            <v>54.860427119999997</v>
          </cell>
          <cell r="Z390">
            <v>55.580764969999997</v>
          </cell>
          <cell r="AA390">
            <v>56.328225600000003</v>
          </cell>
          <cell r="AB390">
            <v>57.087183760000002</v>
          </cell>
          <cell r="AC390">
            <v>57.856040950000001</v>
          </cell>
          <cell r="AD390">
            <v>58.635504619999999</v>
          </cell>
          <cell r="AE390">
            <v>59.322215399999997</v>
          </cell>
          <cell r="AF390">
            <v>60.038064579999997</v>
          </cell>
          <cell r="AG390">
            <v>60.763180269999999</v>
          </cell>
          <cell r="AH390">
            <v>61.49647332</v>
          </cell>
          <cell r="AI390">
            <v>62.239700859999999</v>
          </cell>
          <cell r="AJ390">
            <v>62.994718220000003</v>
          </cell>
          <cell r="AK390">
            <v>63.764278359999999</v>
          </cell>
          <cell r="AL390">
            <v>64.548465489999998</v>
          </cell>
          <cell r="AM390">
            <v>65.347787659999995</v>
          </cell>
          <cell r="AN390">
            <v>66.162542720000005</v>
          </cell>
          <cell r="AO390">
            <v>66.992782460000001</v>
          </cell>
          <cell r="AP390">
            <v>67.824729750000003</v>
          </cell>
          <cell r="AQ390">
            <v>68.664354860000003</v>
          </cell>
          <cell r="AR390">
            <v>69.51352765</v>
          </cell>
          <cell r="AS390">
            <v>70.373099740000001</v>
          </cell>
          <cell r="AT390">
            <v>71.243560520000003</v>
          </cell>
          <cell r="AU390">
            <v>72.126982769999998</v>
          </cell>
          <cell r="AV390">
            <v>73.022202669999999</v>
          </cell>
          <cell r="AW390">
            <v>73.929090430000002</v>
          </cell>
          <cell r="AX390">
            <v>74.847594349999994</v>
          </cell>
          <cell r="AY390">
            <v>75.777614139999997</v>
          </cell>
          <cell r="AZ390">
            <v>76.727201239999999</v>
          </cell>
          <cell r="BA390">
            <v>77.690362309999998</v>
          </cell>
          <cell r="BB390">
            <v>78.665928469999997</v>
          </cell>
          <cell r="BC390">
            <v>79.65345026</v>
          </cell>
          <cell r="BD390">
            <v>80.652588629999997</v>
          </cell>
          <cell r="BE390">
            <v>81.666798560000004</v>
          </cell>
          <cell r="BF390">
            <v>82.693098520000007</v>
          </cell>
          <cell r="BG390">
            <v>83.731002070000002</v>
          </cell>
          <cell r="BH390">
            <v>84.780437809999995</v>
          </cell>
          <cell r="BI390">
            <v>85.84143109</v>
          </cell>
        </row>
        <row r="402">
          <cell r="F402">
            <v>22.177395480000001</v>
          </cell>
          <cell r="G402">
            <v>22.2533046</v>
          </cell>
          <cell r="H402">
            <v>22.391001039999999</v>
          </cell>
          <cell r="I402">
            <v>22.579882000000001</v>
          </cell>
          <cell r="J402">
            <v>22.82013456</v>
          </cell>
          <cell r="K402">
            <v>23.108762039999998</v>
          </cell>
          <cell r="L402">
            <v>23.425277250000001</v>
          </cell>
          <cell r="M402">
            <v>23.770206160000001</v>
          </cell>
          <cell r="N402">
            <v>24.138828239999999</v>
          </cell>
          <cell r="O402">
            <v>24.526192850000001</v>
          </cell>
          <cell r="P402">
            <v>24.95299486</v>
          </cell>
          <cell r="Q402">
            <v>25.376479150000002</v>
          </cell>
          <cell r="R402">
            <v>25.80387095</v>
          </cell>
          <cell r="S402">
            <v>26.234936380000001</v>
          </cell>
          <cell r="T402">
            <v>26.668539729999999</v>
          </cell>
          <cell r="U402">
            <v>27.10377081</v>
          </cell>
          <cell r="V402">
            <v>27.538751739999999</v>
          </cell>
          <cell r="W402">
            <v>27.973891930000001</v>
          </cell>
          <cell r="X402">
            <v>28.409359630000001</v>
          </cell>
          <cell r="Y402">
            <v>28.845427449999999</v>
          </cell>
          <cell r="Z402">
            <v>29.263891099999999</v>
          </cell>
          <cell r="AA402">
            <v>29.69363646</v>
          </cell>
          <cell r="AB402">
            <v>30.128261370000001</v>
          </cell>
          <cell r="AC402">
            <v>30.567064120000001</v>
          </cell>
          <cell r="AD402">
            <v>31.010330010000001</v>
          </cell>
          <cell r="AE402">
            <v>31.404877729999999</v>
          </cell>
          <cell r="AF402">
            <v>31.807951769999999</v>
          </cell>
          <cell r="AG402">
            <v>32.212643630000002</v>
          </cell>
          <cell r="AH402">
            <v>32.61924879</v>
          </cell>
          <cell r="AI402">
            <v>33.029163439999998</v>
          </cell>
          <cell r="AJ402">
            <v>33.443735109999999</v>
          </cell>
          <cell r="AK402">
            <v>33.864332140000002</v>
          </cell>
          <cell r="AL402">
            <v>34.291633109999999</v>
          </cell>
          <cell r="AM402">
            <v>34.726193279999997</v>
          </cell>
          <cell r="AN402">
            <v>35.168390950000003</v>
          </cell>
          <cell r="AO402">
            <v>35.618451270000001</v>
          </cell>
          <cell r="AP402">
            <v>36.066029700000001</v>
          </cell>
          <cell r="AQ402">
            <v>36.516515810000001</v>
          </cell>
          <cell r="AR402">
            <v>36.971505639999997</v>
          </cell>
          <cell r="AS402">
            <v>37.431824149999997</v>
          </cell>
          <cell r="AT402">
            <v>37.898040020000003</v>
          </cell>
          <cell r="AU402">
            <v>38.370944829999999</v>
          </cell>
          <cell r="AV402">
            <v>38.850643920000003</v>
          </cell>
          <cell r="AW402">
            <v>39.337306179999999</v>
          </cell>
          <cell r="AX402">
            <v>39.831042940000003</v>
          </cell>
          <cell r="AY402">
            <v>40.331899450000002</v>
          </cell>
          <cell r="AZ402">
            <v>40.84225782</v>
          </cell>
          <cell r="BA402">
            <v>41.36081583</v>
          </cell>
          <cell r="BB402">
            <v>41.887227789999997</v>
          </cell>
          <cell r="BC402">
            <v>42.421293730000002</v>
          </cell>
          <cell r="BD402">
            <v>42.96282574</v>
          </cell>
          <cell r="BE402">
            <v>43.512415349999998</v>
          </cell>
          <cell r="BF402">
            <v>44.06953223</v>
          </cell>
          <cell r="BG402">
            <v>44.63404422</v>
          </cell>
          <cell r="BH402">
            <v>45.205909370000001</v>
          </cell>
          <cell r="BI402">
            <v>45.785113269999997</v>
          </cell>
        </row>
        <row r="414">
          <cell r="F414">
            <v>64.301440170000006</v>
          </cell>
          <cell r="G414">
            <v>64.244438369999997</v>
          </cell>
          <cell r="H414">
            <v>63.979054079999997</v>
          </cell>
          <cell r="I414">
            <v>63.707653299999997</v>
          </cell>
          <cell r="J414">
            <v>63.482470339999999</v>
          </cell>
          <cell r="K414">
            <v>63.336263180000003</v>
          </cell>
          <cell r="L414">
            <v>63.253989920000002</v>
          </cell>
          <cell r="M414">
            <v>63.230666970000001</v>
          </cell>
          <cell r="N414">
            <v>63.25270673</v>
          </cell>
          <cell r="O414">
            <v>63.306551419999998</v>
          </cell>
          <cell r="P414">
            <v>63.411263310000002</v>
          </cell>
          <cell r="Q414">
            <v>63.516182149999999</v>
          </cell>
          <cell r="R414">
            <v>63.624458709999999</v>
          </cell>
          <cell r="S414">
            <v>63.736656179999997</v>
          </cell>
          <cell r="T414">
            <v>63.852380940000003</v>
          </cell>
          <cell r="U414">
            <v>63.970977120000001</v>
          </cell>
          <cell r="V414">
            <v>64.091795520000005</v>
          </cell>
          <cell r="W414">
            <v>64.214278820000004</v>
          </cell>
          <cell r="X414">
            <v>64.337974070000001</v>
          </cell>
          <cell r="Y414">
            <v>64.462521510000002</v>
          </cell>
          <cell r="Z414">
            <v>64.56813957</v>
          </cell>
          <cell r="AA414">
            <v>64.683683909999999</v>
          </cell>
          <cell r="AB414">
            <v>64.80393067</v>
          </cell>
          <cell r="AC414">
            <v>64.926449239999997</v>
          </cell>
          <cell r="AD414">
            <v>65.050136899999998</v>
          </cell>
          <cell r="AE414">
            <v>65.121097919999997</v>
          </cell>
          <cell r="AF414">
            <v>65.193553410000007</v>
          </cell>
          <cell r="AG414">
            <v>65.265840319999995</v>
          </cell>
          <cell r="AH414">
            <v>65.337381640000004</v>
          </cell>
          <cell r="AI414">
            <v>65.407922859999999</v>
          </cell>
          <cell r="AJ414">
            <v>65.477596989999995</v>
          </cell>
          <cell r="AK414">
            <v>65.546739970000004</v>
          </cell>
          <cell r="AL414">
            <v>65.615738300000004</v>
          </cell>
          <cell r="AM414">
            <v>65.684962839999997</v>
          </cell>
          <cell r="AN414">
            <v>65.754746539999999</v>
          </cell>
          <cell r="AO414">
            <v>65.825382790000006</v>
          </cell>
          <cell r="AP414">
            <v>65.885648000000003</v>
          </cell>
          <cell r="AQ414">
            <v>65.941298040000007</v>
          </cell>
          <cell r="AR414">
            <v>65.995158930000002</v>
          </cell>
          <cell r="AS414">
            <v>66.048712100000003</v>
          </cell>
          <cell r="AT414">
            <v>66.102831510000001</v>
          </cell>
          <cell r="AU414">
            <v>66.158103350000005</v>
          </cell>
          <cell r="AV414">
            <v>66.214953399999999</v>
          </cell>
          <cell r="AW414">
            <v>66.273683890000001</v>
          </cell>
          <cell r="AX414">
            <v>66.334418209999995</v>
          </cell>
          <cell r="AY414">
            <v>66.396859359999993</v>
          </cell>
          <cell r="AZ414">
            <v>66.46001579</v>
          </cell>
          <cell r="BA414">
            <v>66.519687910000002</v>
          </cell>
          <cell r="BB414">
            <v>66.57202839</v>
          </cell>
          <cell r="BC414">
            <v>66.623567769999994</v>
          </cell>
          <cell r="BD414">
            <v>66.679880150000002</v>
          </cell>
          <cell r="BE414">
            <v>66.742631790000004</v>
          </cell>
          <cell r="BF414">
            <v>66.811291710000006</v>
          </cell>
          <cell r="BG414">
            <v>66.884671749999995</v>
          </cell>
          <cell r="BH414">
            <v>66.961664510000006</v>
          </cell>
          <cell r="BI414">
            <v>67.041464809999994</v>
          </cell>
        </row>
        <row r="415">
          <cell r="F415">
            <v>42.52087745</v>
          </cell>
          <cell r="G415">
            <v>42.741900170000001</v>
          </cell>
          <cell r="H415">
            <v>42.617083280000003</v>
          </cell>
          <cell r="I415">
            <v>42.393360119999997</v>
          </cell>
          <cell r="J415">
            <v>42.152352619999995</v>
          </cell>
          <cell r="K415">
            <v>41.94586262</v>
          </cell>
          <cell r="L415">
            <v>41.773745030000001</v>
          </cell>
          <cell r="M415">
            <v>41.639066840000005</v>
          </cell>
          <cell r="N415">
            <v>41.533635529999998</v>
          </cell>
          <cell r="O415">
            <v>41.447631350000002</v>
          </cell>
          <cell r="P415">
            <v>41.398385959999999</v>
          </cell>
          <cell r="Q415">
            <v>41.341999100000002</v>
          </cell>
          <cell r="R415">
            <v>41.283366979999997</v>
          </cell>
          <cell r="S415">
            <v>41.224530710000003</v>
          </cell>
          <cell r="T415">
            <v>41.16629167</v>
          </cell>
          <cell r="U415">
            <v>41.108941299999998</v>
          </cell>
          <cell r="V415">
            <v>41.052575740000002</v>
          </cell>
          <cell r="W415">
            <v>40.997223499999997</v>
          </cell>
          <cell r="X415">
            <v>40.942892560000004</v>
          </cell>
          <cell r="Y415">
            <v>40.889585029999999</v>
          </cell>
          <cell r="Z415">
            <v>40.820963829999997</v>
          </cell>
          <cell r="AA415">
            <v>40.762713789999999</v>
          </cell>
          <cell r="AB415">
            <v>40.709698780000004</v>
          </cell>
          <cell r="AC415">
            <v>40.659504759999997</v>
          </cell>
          <cell r="AD415">
            <v>40.611042320000003</v>
          </cell>
          <cell r="AE415">
            <v>40.519310560000001</v>
          </cell>
          <cell r="AF415">
            <v>40.433222590000007</v>
          </cell>
          <cell r="AG415">
            <v>40.350661860000002</v>
          </cell>
          <cell r="AH415">
            <v>40.270437369999996</v>
          </cell>
          <cell r="AI415">
            <v>40.191665130000004</v>
          </cell>
          <cell r="AJ415">
            <v>40.113901240000004</v>
          </cell>
          <cell r="AK415">
            <v>40.036984629999999</v>
          </cell>
          <cell r="AL415">
            <v>39.960888650000001</v>
          </cell>
          <cell r="AM415">
            <v>39.885646189999996</v>
          </cell>
          <cell r="AN415">
            <v>39.811313869999999</v>
          </cell>
          <cell r="AO415">
            <v>39.737956459999999</v>
          </cell>
          <cell r="AP415">
            <v>39.656155529999999</v>
          </cell>
          <cell r="AQ415">
            <v>39.571361189999998</v>
          </cell>
          <cell r="AR415">
            <v>39.486073079999997</v>
          </cell>
          <cell r="AS415">
            <v>39.401410720000001</v>
          </cell>
          <cell r="AT415">
            <v>39.317875829999998</v>
          </cell>
          <cell r="AU415">
            <v>39.23570015</v>
          </cell>
          <cell r="AV415">
            <v>39.154993070000003</v>
          </cell>
          <cell r="AW415">
            <v>39.075788719999998</v>
          </cell>
          <cell r="AX415">
            <v>38.997992880000005</v>
          </cell>
          <cell r="AY415">
            <v>38.921137969999997</v>
          </cell>
          <cell r="AZ415">
            <v>38.843933960000001</v>
          </cell>
          <cell r="BA415">
            <v>38.762096509999999</v>
          </cell>
          <cell r="BB415">
            <v>38.67172343</v>
          </cell>
          <cell r="BC415">
            <v>38.579317549999999</v>
          </cell>
          <cell r="BD415">
            <v>38.490445799999996</v>
          </cell>
          <cell r="BE415">
            <v>38.406781009999996</v>
          </cell>
          <cell r="BF415">
            <v>38.327807299999996</v>
          </cell>
          <cell r="BG415">
            <v>38.25235722</v>
          </cell>
          <cell r="BH415">
            <v>38.17934837</v>
          </cell>
          <cell r="BI415">
            <v>38.108004489999999</v>
          </cell>
        </row>
        <row r="423">
          <cell r="F423">
            <v>21.78056273</v>
          </cell>
          <cell r="G423">
            <v>21.5025382</v>
          </cell>
          <cell r="H423">
            <v>21.361970790000001</v>
          </cell>
          <cell r="I423">
            <v>21.31429318</v>
          </cell>
          <cell r="J423">
            <v>21.330117720000001</v>
          </cell>
          <cell r="K423">
            <v>21.390400570000001</v>
          </cell>
          <cell r="L423">
            <v>21.480244890000002</v>
          </cell>
          <cell r="M423">
            <v>21.591600140000001</v>
          </cell>
          <cell r="N423">
            <v>21.719071199999998</v>
          </cell>
          <cell r="O423">
            <v>21.85892007</v>
          </cell>
          <cell r="P423">
            <v>22.012877360000001</v>
          </cell>
          <cell r="Q423">
            <v>22.17418305</v>
          </cell>
          <cell r="R423">
            <v>22.341091729999999</v>
          </cell>
          <cell r="S423">
            <v>22.512125469999997</v>
          </cell>
          <cell r="T423">
            <v>22.68608927</v>
          </cell>
          <cell r="U423">
            <v>22.862035819999999</v>
          </cell>
          <cell r="V423">
            <v>23.03921978</v>
          </cell>
          <cell r="W423">
            <v>23.217055309999999</v>
          </cell>
          <cell r="X423">
            <v>23.395081510000001</v>
          </cell>
          <cell r="Y423">
            <v>23.572936479999999</v>
          </cell>
          <cell r="Z423">
            <v>23.747175730000002</v>
          </cell>
          <cell r="AA423">
            <v>23.92097012</v>
          </cell>
          <cell r="AB423">
            <v>24.09423189</v>
          </cell>
          <cell r="AC423">
            <v>24.266944489999997</v>
          </cell>
          <cell r="AD423">
            <v>24.439094579999999</v>
          </cell>
          <cell r="AE423">
            <v>24.601787350000002</v>
          </cell>
          <cell r="AF423">
            <v>24.76033082</v>
          </cell>
          <cell r="AG423">
            <v>24.915178469999997</v>
          </cell>
          <cell r="AH423">
            <v>25.06694427</v>
          </cell>
          <cell r="AI423">
            <v>25.216257729999999</v>
          </cell>
          <cell r="AJ423">
            <v>25.363695760000002</v>
          </cell>
          <cell r="AK423">
            <v>25.509755339999998</v>
          </cell>
          <cell r="AL423">
            <v>25.654849649999999</v>
          </cell>
          <cell r="AM423">
            <v>25.799316649999998</v>
          </cell>
          <cell r="AN423">
            <v>25.943432670000004</v>
          </cell>
          <cell r="AO423">
            <v>26.08742633</v>
          </cell>
          <cell r="AP423">
            <v>26.229492480000001</v>
          </cell>
          <cell r="AQ423">
            <v>26.369936850000002</v>
          </cell>
          <cell r="AR423">
            <v>26.509085850000002</v>
          </cell>
          <cell r="AS423">
            <v>26.647301370000001</v>
          </cell>
          <cell r="AT423">
            <v>26.784955679999999</v>
          </cell>
          <cell r="AU423">
            <v>26.922403190000001</v>
          </cell>
          <cell r="AV423">
            <v>27.059960329999999</v>
          </cell>
          <cell r="AW423">
            <v>27.197895160000002</v>
          </cell>
          <cell r="AX423">
            <v>27.336425329999997</v>
          </cell>
          <cell r="AY423">
            <v>27.47572138</v>
          </cell>
          <cell r="AZ423">
            <v>27.616081829999999</v>
          </cell>
          <cell r="BA423">
            <v>27.757591399999999</v>
          </cell>
          <cell r="BB423">
            <v>27.90030496</v>
          </cell>
          <cell r="BC423">
            <v>28.044250229999999</v>
          </cell>
          <cell r="BD423">
            <v>28.189434339999998</v>
          </cell>
          <cell r="BE423">
            <v>28.33585077</v>
          </cell>
          <cell r="BF423">
            <v>28.483484409999999</v>
          </cell>
          <cell r="BG423">
            <v>28.632314530000002</v>
          </cell>
          <cell r="BH423">
            <v>28.782316139999999</v>
          </cell>
          <cell r="BI423">
            <v>28.933460309999997</v>
          </cell>
        </row>
        <row r="427">
          <cell r="F427">
            <v>26.37987115</v>
          </cell>
          <cell r="G427">
            <v>26.68954651</v>
          </cell>
          <cell r="H427">
            <v>27.01817612</v>
          </cell>
          <cell r="I427">
            <v>27.368658150000002</v>
          </cell>
          <cell r="J427">
            <v>27.74120967</v>
          </cell>
          <cell r="K427">
            <v>28.13400811</v>
          </cell>
          <cell r="L427">
            <v>28.528733840000001</v>
          </cell>
          <cell r="M427">
            <v>28.931914150000001</v>
          </cell>
          <cell r="N427">
            <v>29.343819929999999</v>
          </cell>
          <cell r="O427">
            <v>29.763610629999999</v>
          </cell>
          <cell r="P427">
            <v>30.217983709999999</v>
          </cell>
          <cell r="Q427">
            <v>30.66237564</v>
          </cell>
          <cell r="R427">
            <v>31.107693279999999</v>
          </cell>
          <cell r="S427">
            <v>31.555929559999999</v>
          </cell>
          <cell r="T427">
            <v>32.007439150000003</v>
          </cell>
          <cell r="U427">
            <v>32.462404919999997</v>
          </cell>
          <cell r="V427">
            <v>32.921099069999997</v>
          </cell>
          <cell r="W427">
            <v>33.383893200000003</v>
          </cell>
          <cell r="X427">
            <v>33.8512226</v>
          </cell>
          <cell r="Y427">
            <v>34.323550640000001</v>
          </cell>
          <cell r="Z427">
            <v>34.780851679999998</v>
          </cell>
          <cell r="AA427">
            <v>35.256059579999999</v>
          </cell>
          <cell r="AB427">
            <v>35.741056260000001</v>
          </cell>
          <cell r="AC427">
            <v>36.234440220000003</v>
          </cell>
          <cell r="AD427">
            <v>36.736105350000003</v>
          </cell>
          <cell r="AE427">
            <v>37.186976510000001</v>
          </cell>
          <cell r="AF427">
            <v>37.652840159999997</v>
          </cell>
          <cell r="AG427">
            <v>38.125171440000003</v>
          </cell>
          <cell r="AH427">
            <v>38.603413750000001</v>
          </cell>
          <cell r="AI427">
            <v>39.088421289999999</v>
          </cell>
          <cell r="AJ427">
            <v>39.581094669999999</v>
          </cell>
          <cell r="AK427">
            <v>40.082111329999996</v>
          </cell>
          <cell r="AL427">
            <v>40.591904800000002</v>
          </cell>
          <cell r="AM427">
            <v>41.110705840000001</v>
          </cell>
          <cell r="AN427">
            <v>41.63859626</v>
          </cell>
          <cell r="AO427">
            <v>42.175559499999999</v>
          </cell>
          <cell r="AP427">
            <v>42.707177549999997</v>
          </cell>
          <cell r="AQ427">
            <v>43.241588370000002</v>
          </cell>
          <cell r="AR427">
            <v>43.781027960000003</v>
          </cell>
          <cell r="AS427">
            <v>44.326505830000002</v>
          </cell>
          <cell r="AT427">
            <v>44.878725410000001</v>
          </cell>
          <cell r="AU427">
            <v>45.438246919999997</v>
          </cell>
          <cell r="AV427">
            <v>46.005509140000001</v>
          </cell>
          <cell r="AW427">
            <v>46.580835880000002</v>
          </cell>
          <cell r="AX427">
            <v>47.164449439999999</v>
          </cell>
          <cell r="AY427">
            <v>47.756491279999999</v>
          </cell>
          <cell r="AZ427">
            <v>48.358352050000001</v>
          </cell>
          <cell r="BA427">
            <v>48.969339869999999</v>
          </cell>
          <cell r="BB427">
            <v>49.58928006</v>
          </cell>
          <cell r="BC427">
            <v>50.218076879999998</v>
          </cell>
          <cell r="BD427">
            <v>50.855660749999998</v>
          </cell>
          <cell r="BE427">
            <v>51.501995659999999</v>
          </cell>
          <cell r="BF427">
            <v>52.157082010000003</v>
          </cell>
          <cell r="BG427">
            <v>52.820953580000001</v>
          </cell>
          <cell r="BH427">
            <v>53.493672580000002</v>
          </cell>
          <cell r="BI427">
            <v>54.175324420000003</v>
          </cell>
        </row>
        <row r="439">
          <cell r="F439">
            <v>4.8967256030000001</v>
          </cell>
          <cell r="G439">
            <v>4.9371381330000004</v>
          </cell>
          <cell r="H439">
            <v>4.9821183519999996</v>
          </cell>
          <cell r="I439">
            <v>5.0356536429999998</v>
          </cell>
          <cell r="J439">
            <v>5.0980337310000001</v>
          </cell>
          <cell r="K439">
            <v>5.1684125679999999</v>
          </cell>
          <cell r="L439">
            <v>5.2427701239999998</v>
          </cell>
          <cell r="M439">
            <v>5.3211436980000002</v>
          </cell>
          <cell r="N439">
            <v>5.4029623689999999</v>
          </cell>
          <cell r="O439">
            <v>5.4876413069999996</v>
          </cell>
          <cell r="P439">
            <v>5.579664008</v>
          </cell>
          <cell r="Q439">
            <v>5.6715202119999999</v>
          </cell>
          <cell r="R439">
            <v>5.7642180229999997</v>
          </cell>
          <cell r="S439">
            <v>5.8578144600000002</v>
          </cell>
          <cell r="T439">
            <v>5.9522154660000002</v>
          </cell>
          <cell r="U439">
            <v>6.0473505769999996</v>
          </cell>
          <cell r="V439">
            <v>6.1431971120000002</v>
          </cell>
          <cell r="W439">
            <v>6.2397721429999997</v>
          </cell>
          <cell r="X439">
            <v>6.3371204560000001</v>
          </cell>
          <cell r="Y439">
            <v>6.4353045169999996</v>
          </cell>
          <cell r="Z439">
            <v>6.5306901310000001</v>
          </cell>
          <cell r="AA439">
            <v>6.6286546729999998</v>
          </cell>
          <cell r="AB439">
            <v>6.7283058179999999</v>
          </cell>
          <cell r="AC439">
            <v>6.8295040890000003</v>
          </cell>
          <cell r="AD439">
            <v>6.9322594569999998</v>
          </cell>
          <cell r="AE439">
            <v>7.025880366</v>
          </cell>
          <cell r="AF439">
            <v>7.1206103560000003</v>
          </cell>
          <cell r="AG439">
            <v>7.2157772390000003</v>
          </cell>
          <cell r="AH439">
            <v>7.3115759430000002</v>
          </cell>
          <cell r="AI439">
            <v>7.4083459989999998</v>
          </cell>
          <cell r="AJ439">
            <v>7.506391195</v>
          </cell>
          <cell r="AK439">
            <v>7.605943023</v>
          </cell>
          <cell r="AL439">
            <v>7.7071629609999999</v>
          </cell>
          <cell r="AM439">
            <v>7.8101549270000001</v>
          </cell>
          <cell r="AN439">
            <v>7.9149793600000002</v>
          </cell>
          <cell r="AO439">
            <v>8.0216660399999995</v>
          </cell>
          <cell r="AP439">
            <v>8.1276290410000005</v>
          </cell>
          <cell r="AQ439">
            <v>8.2339534570000001</v>
          </cell>
          <cell r="AR439">
            <v>8.3410495630000003</v>
          </cell>
          <cell r="AS439">
            <v>8.4491758600000004</v>
          </cell>
          <cell r="AT439">
            <v>8.5585446750000003</v>
          </cell>
          <cell r="AU439">
            <v>8.6693354629999995</v>
          </cell>
          <cell r="AV439">
            <v>8.7816934179999997</v>
          </cell>
          <cell r="AW439">
            <v>8.8957294620000003</v>
          </cell>
          <cell r="AX439">
            <v>9.0115234789999992</v>
          </cell>
          <cell r="AY439">
            <v>9.1291295189999992</v>
          </cell>
          <cell r="AZ439">
            <v>9.2488160480000001</v>
          </cell>
          <cell r="BA439">
            <v>9.3705138550000004</v>
          </cell>
          <cell r="BB439">
            <v>9.4942086450000005</v>
          </cell>
          <cell r="BC439">
            <v>9.6198788650000004</v>
          </cell>
          <cell r="BD439">
            <v>9.7475017370000003</v>
          </cell>
          <cell r="BE439">
            <v>9.8770616429999993</v>
          </cell>
          <cell r="BF439">
            <v>10.008551750000001</v>
          </cell>
          <cell r="BG439">
            <v>10.14197321</v>
          </cell>
          <cell r="BH439">
            <v>10.27733388</v>
          </cell>
          <cell r="BI439">
            <v>10.414647069999999</v>
          </cell>
        </row>
        <row r="451">
          <cell r="F451">
            <v>44.244008659999999</v>
          </cell>
          <cell r="G451">
            <v>44.769815770000001</v>
          </cell>
          <cell r="H451">
            <v>45.353067879999998</v>
          </cell>
          <cell r="I451">
            <v>45.991688310000001</v>
          </cell>
          <cell r="J451">
            <v>46.683978760000002</v>
          </cell>
          <cell r="K451">
            <v>47.425375170000002</v>
          </cell>
          <cell r="L451">
            <v>48.179204910000003</v>
          </cell>
          <cell r="M451">
            <v>48.957183690000001</v>
          </cell>
          <cell r="N451">
            <v>49.757438260000001</v>
          </cell>
          <cell r="O451">
            <v>50.57647034</v>
          </cell>
          <cell r="P451">
            <v>51.464484409999997</v>
          </cell>
          <cell r="Q451">
            <v>52.33302553</v>
          </cell>
          <cell r="R451">
            <v>53.20541806</v>
          </cell>
          <cell r="S451">
            <v>54.084782130000001</v>
          </cell>
          <cell r="T451">
            <v>54.971196970000001</v>
          </cell>
          <cell r="U451">
            <v>55.864593280000001</v>
          </cell>
          <cell r="V451">
            <v>56.765192820000003</v>
          </cell>
          <cell r="W451">
            <v>57.673515629999997</v>
          </cell>
          <cell r="X451">
            <v>58.5903128</v>
          </cell>
          <cell r="Y451">
            <v>59.516491930000001</v>
          </cell>
          <cell r="Z451">
            <v>60.413300229999997</v>
          </cell>
          <cell r="AA451">
            <v>61.345848240000002</v>
          </cell>
          <cell r="AB451">
            <v>62.296504030000001</v>
          </cell>
          <cell r="AC451">
            <v>63.263019219999997</v>
          </cell>
          <cell r="AD451">
            <v>64.24565054</v>
          </cell>
          <cell r="AE451">
            <v>65.130067479999994</v>
          </cell>
          <cell r="AF451">
            <v>66.047222950000005</v>
          </cell>
          <cell r="AG451">
            <v>66.976295680000007</v>
          </cell>
          <cell r="AH451">
            <v>67.915770940000002</v>
          </cell>
          <cell r="AI451">
            <v>68.867155019999998</v>
          </cell>
          <cell r="AJ451">
            <v>69.832134839999995</v>
          </cell>
          <cell r="AK451">
            <v>70.812064419999999</v>
          </cell>
          <cell r="AL451">
            <v>71.807892300000006</v>
          </cell>
          <cell r="AM451">
            <v>72.820190310000001</v>
          </cell>
          <cell r="AN451">
            <v>73.849212980000004</v>
          </cell>
          <cell r="AO451">
            <v>74.894966800000006</v>
          </cell>
          <cell r="AP451">
            <v>75.929390150000003</v>
          </cell>
          <cell r="AQ451">
            <v>76.968864949999997</v>
          </cell>
          <cell r="AR451">
            <v>78.016891319999999</v>
          </cell>
          <cell r="AS451">
            <v>79.074750649999999</v>
          </cell>
          <cell r="AT451">
            <v>80.143301080000001</v>
          </cell>
          <cell r="AU451">
            <v>81.223257189999998</v>
          </cell>
          <cell r="AV451">
            <v>82.315217099999998</v>
          </cell>
          <cell r="AW451">
            <v>83.419659249999995</v>
          </cell>
          <cell r="AX451">
            <v>84.536947389999995</v>
          </cell>
          <cell r="AY451">
            <v>85.667348399999995</v>
          </cell>
          <cell r="AZ451">
            <v>86.813606890000003</v>
          </cell>
          <cell r="BA451">
            <v>87.974380490000001</v>
          </cell>
          <cell r="BB451">
            <v>89.149470109999996</v>
          </cell>
          <cell r="BC451">
            <v>90.338799089999995</v>
          </cell>
          <cell r="BD451">
            <v>91.542314669999996</v>
          </cell>
          <cell r="BE451">
            <v>92.760016559999997</v>
          </cell>
          <cell r="BF451">
            <v>93.991976210000004</v>
          </cell>
          <cell r="BG451">
            <v>95.238342090000003</v>
          </cell>
          <cell r="BH451">
            <v>96.499336099999994</v>
          </cell>
          <cell r="BI451">
            <v>97.775244869999995</v>
          </cell>
        </row>
        <row r="463">
          <cell r="F463">
            <v>22.50335888</v>
          </cell>
          <cell r="G463">
            <v>22.774689129999999</v>
          </cell>
          <cell r="H463">
            <v>23.068699509999998</v>
          </cell>
          <cell r="I463">
            <v>23.3894132</v>
          </cell>
          <cell r="J463">
            <v>23.739312510000001</v>
          </cell>
          <cell r="K463">
            <v>24.117521020000002</v>
          </cell>
          <cell r="L463">
            <v>24.506353669999999</v>
          </cell>
          <cell r="M463">
            <v>24.909746550000001</v>
          </cell>
          <cell r="N463">
            <v>25.32621091</v>
          </cell>
          <cell r="O463">
            <v>25.753605199999999</v>
          </cell>
          <cell r="P463">
            <v>26.21601175</v>
          </cell>
          <cell r="Q463">
            <v>26.672396259999999</v>
          </cell>
          <cell r="R463">
            <v>27.13121065</v>
          </cell>
          <cell r="S463">
            <v>27.593303120000002</v>
          </cell>
          <cell r="T463">
            <v>28.05837249</v>
          </cell>
          <cell r="U463">
            <v>28.526130460000001</v>
          </cell>
          <cell r="V463">
            <v>28.996476479999998</v>
          </cell>
          <cell r="W463">
            <v>29.46948819</v>
          </cell>
          <cell r="X463">
            <v>29.945383440000001</v>
          </cell>
          <cell r="Y463">
            <v>30.424483169999998</v>
          </cell>
          <cell r="Z463">
            <v>30.887701979999999</v>
          </cell>
          <cell r="AA463">
            <v>31.365087460000002</v>
          </cell>
          <cell r="AB463">
            <v>31.849861130000001</v>
          </cell>
          <cell r="AC463">
            <v>32.341159429999998</v>
          </cell>
          <cell r="AD463">
            <v>32.83913819</v>
          </cell>
          <cell r="AE463">
            <v>33.28769217</v>
          </cell>
          <cell r="AF463">
            <v>33.746018810000002</v>
          </cell>
          <cell r="AG463">
            <v>34.206947810000003</v>
          </cell>
          <cell r="AH463">
            <v>34.6706292</v>
          </cell>
          <cell r="AI463">
            <v>35.138377970000001</v>
          </cell>
          <cell r="AJ463">
            <v>35.611491450000003</v>
          </cell>
          <cell r="AK463">
            <v>36.09102317</v>
          </cell>
          <cell r="AL463">
            <v>36.57776295</v>
          </cell>
          <cell r="AM463">
            <v>37.072266280000001</v>
          </cell>
          <cell r="AN463">
            <v>37.57489554</v>
          </cell>
          <cell r="AO463">
            <v>38.085862319999997</v>
          </cell>
          <cell r="AP463">
            <v>38.591610670000001</v>
          </cell>
          <cell r="AQ463">
            <v>39.099130000000002</v>
          </cell>
          <cell r="AR463">
            <v>39.610352450000001</v>
          </cell>
          <cell r="AS463">
            <v>40.126269409999999</v>
          </cell>
          <cell r="AT463">
            <v>40.647653939999998</v>
          </cell>
          <cell r="AU463">
            <v>41.17516543</v>
          </cell>
          <cell r="AV463">
            <v>41.709353620000002</v>
          </cell>
          <cell r="AW463">
            <v>42.250657529999998</v>
          </cell>
          <cell r="AX463">
            <v>42.799413780000002</v>
          </cell>
          <cell r="AY463">
            <v>43.355873619999997</v>
          </cell>
          <cell r="AZ463">
            <v>43.921469690000002</v>
          </cell>
          <cell r="BA463">
            <v>44.495740189999999</v>
          </cell>
          <cell r="BB463">
            <v>45.078645389999998</v>
          </cell>
          <cell r="BC463">
            <v>45.670144180000001</v>
          </cell>
          <cell r="BD463">
            <v>46.270179079999998</v>
          </cell>
          <cell r="BE463">
            <v>46.878710140000003</v>
          </cell>
          <cell r="BF463">
            <v>47.495731849999999</v>
          </cell>
          <cell r="BG463">
            <v>48.121277630000002</v>
          </cell>
          <cell r="BH463">
            <v>48.755417379999997</v>
          </cell>
          <cell r="BI463">
            <v>49.398251590000001</v>
          </cell>
        </row>
        <row r="1365">
          <cell r="E1365" t="str">
            <v>100*(GDP_2/GDP_0-1)</v>
          </cell>
          <cell r="F1365">
            <v>-1.7036346357309995</v>
          </cell>
          <cell r="G1365">
            <v>-2.0957758832077622</v>
          </cell>
          <cell r="H1365">
            <v>-2.453958824374125</v>
          </cell>
          <cell r="I1365">
            <v>-2.7541990328077359</v>
          </cell>
          <cell r="J1365">
            <v>-3.0028678933924358</v>
          </cell>
          <cell r="K1365">
            <v>-3.2088589823111913</v>
          </cell>
          <cell r="L1365">
            <v>-3.3820554010658976</v>
          </cell>
          <cell r="M1365">
            <v>-3.5279053021591067</v>
          </cell>
          <cell r="N1365">
            <v>-3.6525979163630873</v>
          </cell>
          <cell r="O1365">
            <v>-3.7616626926608832</v>
          </cell>
          <cell r="P1365">
            <v>-3.8593173352646781</v>
          </cell>
          <cell r="Q1365">
            <v>-3.9563875692188777</v>
          </cell>
          <cell r="R1365">
            <v>-4.0497189813623162</v>
          </cell>
          <cell r="S1365">
            <v>-4.1408090749020188</v>
          </cell>
          <cell r="T1365">
            <v>-4.2305629247721193</v>
          </cell>
          <cell r="U1365">
            <v>-4.319544978057122</v>
          </cell>
          <cell r="V1365">
            <v>-4.4139146097471489</v>
          </cell>
          <cell r="W1365">
            <v>-4.5088346449273065</v>
          </cell>
          <cell r="X1365">
            <v>-4.6042763833483047</v>
          </cell>
          <cell r="Y1365">
            <v>-4.7000885381289663</v>
          </cell>
          <cell r="Z1365">
            <v>-4.7964308543476104</v>
          </cell>
          <cell r="AA1365">
            <v>-4.8924418702819938</v>
          </cell>
          <cell r="AB1365">
            <v>-4.9883225421250676</v>
          </cell>
          <cell r="AC1365">
            <v>-5.0840745097930125</v>
          </cell>
          <cell r="AD1365">
            <v>-5.1796112278934325</v>
          </cell>
          <cell r="AE1365">
            <v>-5.275454391044776</v>
          </cell>
          <cell r="AF1365">
            <v>-5.3681715965679828</v>
          </cell>
          <cell r="AG1365">
            <v>-5.4595549509663055</v>
          </cell>
          <cell r="AH1365">
            <v>-5.5496459937126819</v>
          </cell>
          <cell r="AI1365">
            <v>-5.6384592195742105</v>
          </cell>
          <cell r="AJ1365">
            <v>-5.7259575885249099</v>
          </cell>
          <cell r="AK1365">
            <v>-5.8110064454952042</v>
          </cell>
          <cell r="AL1365">
            <v>-5.8944223513563987</v>
          </cell>
          <cell r="AM1365">
            <v>-5.9761738458447233</v>
          </cell>
          <cell r="AN1365">
            <v>-6.0562559748587823</v>
          </cell>
          <cell r="AO1365">
            <v>-6.1346691606585679</v>
          </cell>
          <cell r="AP1365">
            <v>-6.2026802826856242</v>
          </cell>
          <cell r="AQ1365">
            <v>-6.2676049464918222</v>
          </cell>
          <cell r="AR1365">
            <v>-6.3297499321441686</v>
          </cell>
          <cell r="AS1365">
            <v>-6.3896088078294833</v>
          </cell>
          <cell r="AT1365">
            <v>-6.4475972414518745</v>
          </cell>
          <cell r="AU1365">
            <v>-6.502700172083598</v>
          </cell>
          <cell r="AV1365">
            <v>-6.556260895841481</v>
          </cell>
          <cell r="AW1365">
            <v>-6.6085454498184699</v>
          </cell>
          <cell r="AX1365">
            <v>-6.6598052960962555</v>
          </cell>
          <cell r="AY1365">
            <v>-6.7102526296655469</v>
          </cell>
          <cell r="AZ1365">
            <v>-6.7558014891395679</v>
          </cell>
          <cell r="BA1365">
            <v>-6.8000759638614072</v>
          </cell>
          <cell r="BB1365">
            <v>-6.8434351195525434</v>
          </cell>
          <cell r="BC1365">
            <v>-6.886219151155915</v>
          </cell>
          <cell r="BD1365">
            <v>-6.928671017203591</v>
          </cell>
          <cell r="BE1365">
            <v>-6.9684378484795477</v>
          </cell>
          <cell r="BF1365">
            <v>-7.0076720630980471</v>
          </cell>
          <cell r="BG1365">
            <v>-7.0465933671150394</v>
          </cell>
          <cell r="BH1365">
            <v>-7.0854247903734731</v>
          </cell>
          <cell r="BI1365">
            <v>-7.1243312096950229</v>
          </cell>
        </row>
        <row r="1366">
          <cell r="C1366" t="str">
            <v>VA du secteur marchand</v>
          </cell>
          <cell r="E1366" t="str">
            <v>100*((VA_2-VA_spub_2)/(VA_0-VA_spub_0)-1)</v>
          </cell>
          <cell r="F1366">
            <v>-2.1315513192873059</v>
          </cell>
          <cell r="G1366">
            <v>-2.5494055126711213</v>
          </cell>
          <cell r="H1366">
            <v>-2.9407448068585973</v>
          </cell>
          <cell r="I1366">
            <v>-3.2688583703867402</v>
          </cell>
          <cell r="J1366">
            <v>-3.5409085567739362</v>
          </cell>
          <cell r="K1366">
            <v>-3.767100744083629</v>
          </cell>
          <cell r="L1366">
            <v>-3.9584497314320788</v>
          </cell>
          <cell r="M1366">
            <v>-4.1210490318764119</v>
          </cell>
          <cell r="N1366">
            <v>-4.2616634682572148</v>
          </cell>
          <cell r="O1366">
            <v>-4.3863288843606574</v>
          </cell>
          <cell r="P1366">
            <v>-4.5000495695643465</v>
          </cell>
          <cell r="Q1366">
            <v>-4.6146073011458899</v>
          </cell>
          <cell r="R1366">
            <v>-4.726122801329069</v>
          </cell>
          <cell r="S1366">
            <v>-4.8362035630922229</v>
          </cell>
          <cell r="T1366">
            <v>-4.9457646687089074</v>
          </cell>
          <cell r="U1366">
            <v>-5.0553254887453996</v>
          </cell>
          <cell r="V1366">
            <v>-5.1724348004847931</v>
          </cell>
          <cell r="W1366">
            <v>-5.2906203696591376</v>
          </cell>
          <cell r="X1366">
            <v>-5.4097727718272921</v>
          </cell>
          <cell r="Y1366">
            <v>-5.5296013853128549</v>
          </cell>
          <cell r="Z1366">
            <v>-5.649843531368548</v>
          </cell>
          <cell r="AA1366">
            <v>-5.7702410095839207</v>
          </cell>
          <cell r="AB1366">
            <v>-5.8903630517352701</v>
          </cell>
          <cell r="AC1366">
            <v>-6.0101570988849939</v>
          </cell>
          <cell r="AD1366">
            <v>-6.1294606055549821</v>
          </cell>
          <cell r="AE1366">
            <v>-6.2478500800485897</v>
          </cell>
          <cell r="AF1366">
            <v>-6.3631804087930677</v>
          </cell>
          <cell r="AG1366">
            <v>-6.4767836544715411</v>
          </cell>
          <cell r="AH1366">
            <v>-6.5886699983497721</v>
          </cell>
          <cell r="AI1366">
            <v>-6.6988150442253813</v>
          </cell>
          <cell r="AJ1366">
            <v>-6.8071479268891677</v>
          </cell>
          <cell r="AK1366">
            <v>-6.912243083791858</v>
          </cell>
          <cell r="AL1366">
            <v>-7.015170916553604</v>
          </cell>
          <cell r="AM1366">
            <v>-7.1158896614011979</v>
          </cell>
          <cell r="AN1366">
            <v>-7.2144021982448621</v>
          </cell>
          <cell r="AO1366">
            <v>-7.3107225453500568</v>
          </cell>
          <cell r="AP1366">
            <v>-7.3937098258851535</v>
          </cell>
          <cell r="AQ1366">
            <v>-7.4732726077731186</v>
          </cell>
          <cell r="AR1366">
            <v>-7.5496380597716577</v>
          </cell>
          <cell r="AS1366">
            <v>-7.6233378459035883</v>
          </cell>
          <cell r="AT1366">
            <v>-7.6948285153670799</v>
          </cell>
          <cell r="AU1366">
            <v>-7.7627934834324623</v>
          </cell>
          <cell r="AV1366">
            <v>-7.8289242723786128</v>
          </cell>
          <cell r="AW1366">
            <v>-7.8934997139873175</v>
          </cell>
          <cell r="AX1366">
            <v>-7.9567949672891158</v>
          </cell>
          <cell r="AY1366">
            <v>-8.0190449631349576</v>
          </cell>
          <cell r="AZ1366">
            <v>-8.0751526852177449</v>
          </cell>
          <cell r="BA1366">
            <v>-8.1297567443866079</v>
          </cell>
          <cell r="BB1366">
            <v>-8.183234735677603</v>
          </cell>
          <cell r="BC1366">
            <v>-8.2359561197726912</v>
          </cell>
          <cell r="BD1366">
            <v>-8.2881870657310781</v>
          </cell>
          <cell r="BE1366">
            <v>-8.3369692135554789</v>
          </cell>
          <cell r="BF1366">
            <v>-8.3850724177476632</v>
          </cell>
          <cell r="BG1366">
            <v>-8.4327198840908437</v>
          </cell>
          <cell r="BH1366">
            <v>-8.4801582269554476</v>
          </cell>
          <cell r="BI1366">
            <v>-8.5275707768680107</v>
          </cell>
        </row>
        <row r="1367">
          <cell r="E1367" t="str">
            <v>100*((CH_2-CH_0)/GDP_0)</v>
          </cell>
          <cell r="F1367">
            <v>-0.30977196104206356</v>
          </cell>
          <cell r="G1367">
            <v>-0.67771498387398077</v>
          </cell>
          <cell r="H1367">
            <v>-1.0190822948049283</v>
          </cell>
          <cell r="I1367">
            <v>-1.3112557282225505</v>
          </cell>
          <cell r="J1367">
            <v>-1.5513744974401908</v>
          </cell>
          <cell r="K1367">
            <v>-1.7434709199454019</v>
          </cell>
          <cell r="L1367">
            <v>-1.8949359070708625</v>
          </cell>
          <cell r="M1367">
            <v>-2.0118124736849978</v>
          </cell>
          <cell r="N1367">
            <v>-2.1007740594923376</v>
          </cell>
          <cell r="O1367">
            <v>-2.1678502342813486</v>
          </cell>
          <cell r="P1367">
            <v>-2.2168754988156754</v>
          </cell>
          <cell r="Q1367">
            <v>-2.2559219280085361</v>
          </cell>
          <cell r="R1367">
            <v>-2.2861056851632511</v>
          </cell>
          <cell r="S1367">
            <v>-2.3092321001192162</v>
          </cell>
          <cell r="T1367">
            <v>-2.3266204380380588</v>
          </cell>
          <cell r="U1367">
            <v>-2.3393275230242647</v>
          </cell>
          <cell r="V1367">
            <v>-2.3493043706222565</v>
          </cell>
          <cell r="W1367">
            <v>-2.3574643405384297</v>
          </cell>
          <cell r="X1367">
            <v>-2.3643803413223368</v>
          </cell>
          <cell r="Y1367">
            <v>-2.3705397200672849</v>
          </cell>
          <cell r="Z1367">
            <v>-2.3772211435586601</v>
          </cell>
          <cell r="AA1367">
            <v>-2.3827615326648921</v>
          </cell>
          <cell r="AB1367">
            <v>-2.3888007908457132</v>
          </cell>
          <cell r="AC1367">
            <v>-2.3957353796493321</v>
          </cell>
          <cell r="AD1367">
            <v>-2.4038347657817765</v>
          </cell>
          <cell r="AE1367">
            <v>-2.4154162408209472</v>
          </cell>
          <cell r="AF1367">
            <v>-2.4255355013020923</v>
          </cell>
          <cell r="AG1367">
            <v>-2.435993136754445</v>
          </cell>
          <cell r="AH1367">
            <v>-2.4470602506352872</v>
          </cell>
          <cell r="AI1367">
            <v>-2.4589330740952855</v>
          </cell>
          <cell r="AJ1367">
            <v>-2.4717035480405189</v>
          </cell>
          <cell r="AK1367">
            <v>-2.4851835634989174</v>
          </cell>
          <cell r="AL1367">
            <v>-2.4993304812516168</v>
          </cell>
          <cell r="AM1367">
            <v>-2.5141306235077381</v>
          </cell>
          <cell r="AN1367">
            <v>-2.5295615400376454</v>
          </cell>
          <cell r="AO1367">
            <v>-2.5455884243409446</v>
          </cell>
          <cell r="AP1367">
            <v>-2.560922643724215</v>
          </cell>
          <cell r="AQ1367">
            <v>-2.5747175920164613</v>
          </cell>
          <cell r="AR1367">
            <v>-2.5873440034831847</v>
          </cell>
          <cell r="AS1367">
            <v>-2.5992362874105046</v>
          </cell>
          <cell r="AT1367">
            <v>-2.6107542164942674</v>
          </cell>
          <cell r="AU1367">
            <v>-2.6219187354802997</v>
          </cell>
          <cell r="AV1367">
            <v>-2.6329437011242711</v>
          </cell>
          <cell r="AW1367">
            <v>-2.6440720438858221</v>
          </cell>
          <cell r="AX1367">
            <v>-2.6555164797152244</v>
          </cell>
          <cell r="AY1367">
            <v>-2.6674491167842489</v>
          </cell>
          <cell r="AZ1367">
            <v>-2.6791495818767985</v>
          </cell>
          <cell r="BA1367">
            <v>-2.690793082480845</v>
          </cell>
          <cell r="BB1367">
            <v>-2.7026893413201285</v>
          </cell>
          <cell r="BC1367">
            <v>-2.7151008576994049</v>
          </cell>
          <cell r="BD1367">
            <v>-2.7281968814820607</v>
          </cell>
          <cell r="BE1367">
            <v>-2.7415853051396639</v>
          </cell>
          <cell r="BF1367">
            <v>-2.7553314922540926</v>
          </cell>
          <cell r="BG1367">
            <v>-2.7696118476262148</v>
          </cell>
          <cell r="BH1367">
            <v>-2.7845792297308205</v>
          </cell>
          <cell r="BI1367">
            <v>-2.8003346706662153</v>
          </cell>
        </row>
        <row r="1368">
          <cell r="C1368" t="str">
            <v>Consommation des ménages automobile</v>
          </cell>
          <cell r="E1368" t="str">
            <v>100*((CH_cveh_2-CH_cveh_0)/GDP_0)</v>
          </cell>
          <cell r="F1368">
            <v>-2.7082338318940431E-4</v>
          </cell>
          <cell r="G1368">
            <v>-2.4837670974877664E-2</v>
          </cell>
          <cell r="H1368">
            <v>-5.4794164015276842E-2</v>
          </cell>
          <cell r="I1368">
            <v>-7.9641941963128238E-2</v>
          </cell>
          <cell r="J1368">
            <v>-9.6498626520301722E-2</v>
          </cell>
          <cell r="K1368">
            <v>-0.10593120323777125</v>
          </cell>
          <cell r="L1368">
            <v>-0.10981930601611445</v>
          </cell>
          <cell r="M1368">
            <v>-0.11000665976183205</v>
          </cell>
          <cell r="N1368">
            <v>-0.1080375265134197</v>
          </cell>
          <cell r="O1368">
            <v>-0.10499607006868145</v>
          </cell>
          <cell r="P1368">
            <v>-0.10151138343833255</v>
          </cell>
          <cell r="Q1368">
            <v>-9.8187151956097868E-2</v>
          </cell>
          <cell r="R1368">
            <v>-9.5067795767351249E-2</v>
          </cell>
          <cell r="S1368">
            <v>-9.2164547785134915E-2</v>
          </cell>
          <cell r="T1368">
            <v>-8.9460563625866699E-2</v>
          </cell>
          <cell r="U1368">
            <v>-8.6940031837016526E-2</v>
          </cell>
          <cell r="V1368">
            <v>-8.4708160995368056E-2</v>
          </cell>
          <cell r="W1368">
            <v>-8.2747851916885828E-2</v>
          </cell>
          <cell r="X1368">
            <v>-8.1026618281545587E-2</v>
          </cell>
          <cell r="Y1368">
            <v>-7.9525844373623242E-2</v>
          </cell>
          <cell r="Z1368">
            <v>-7.8257531045451856E-2</v>
          </cell>
          <cell r="AA1368">
            <v>-7.7150140744110057E-2</v>
          </cell>
          <cell r="AB1368">
            <v>-7.6254116644317055E-2</v>
          </cell>
          <cell r="AC1368">
            <v>-7.5564124796296428E-2</v>
          </cell>
          <cell r="AD1368">
            <v>-7.5064598847150693E-2</v>
          </cell>
          <cell r="AE1368">
            <v>-7.478106635406144E-2</v>
          </cell>
          <cell r="AF1368">
            <v>-7.450310042635451E-2</v>
          </cell>
          <cell r="AG1368">
            <v>-7.4308184696555132E-2</v>
          </cell>
          <cell r="AH1368">
            <v>-7.421491542985871E-2</v>
          </cell>
          <cell r="AI1368">
            <v>-7.4223366681414396E-2</v>
          </cell>
          <cell r="AJ1368">
            <v>-7.4321820390698762E-2</v>
          </cell>
          <cell r="AK1368">
            <v>-7.4476104768873438E-2</v>
          </cell>
          <cell r="AL1368">
            <v>-7.4674992667924656E-2</v>
          </cell>
          <cell r="AM1368">
            <v>-7.4914001631082874E-2</v>
          </cell>
          <cell r="AN1368">
            <v>-7.5188671278758695E-2</v>
          </cell>
          <cell r="AO1368">
            <v>-7.5494294539650744E-2</v>
          </cell>
          <cell r="AP1368">
            <v>-7.5685941175010776E-2</v>
          </cell>
          <cell r="AQ1368">
            <v>-7.5766197143590397E-2</v>
          </cell>
          <cell r="AR1368">
            <v>-7.5805968302940396E-2</v>
          </cell>
          <cell r="AS1368">
            <v>-7.5854994413319152E-2</v>
          </cell>
          <cell r="AT1368">
            <v>-7.5938474355405003E-2</v>
          </cell>
          <cell r="AU1368">
            <v>-7.6046557785808405E-2</v>
          </cell>
          <cell r="AV1368">
            <v>-7.6189303647827306E-2</v>
          </cell>
          <cell r="AW1368">
            <v>-7.638080093356428E-2</v>
          </cell>
          <cell r="AX1368">
            <v>-7.6631024964454467E-2</v>
          </cell>
          <cell r="AY1368">
            <v>-7.6946062557927991E-2</v>
          </cell>
          <cell r="AZ1368">
            <v>-7.7265627846047416E-2</v>
          </cell>
          <cell r="BA1368">
            <v>-7.7608139920097255E-2</v>
          </cell>
          <cell r="BB1368">
            <v>-7.8007217799170969E-2</v>
          </cell>
          <cell r="BC1368">
            <v>-7.8481970277575266E-2</v>
          </cell>
          <cell r="BD1368">
            <v>-7.9038619669928825E-2</v>
          </cell>
          <cell r="BE1368">
            <v>-7.9641512057209429E-2</v>
          </cell>
          <cell r="BF1368">
            <v>-8.0298177761476477E-2</v>
          </cell>
          <cell r="BG1368">
            <v>-8.1027828046212114E-2</v>
          </cell>
          <cell r="BH1368">
            <v>-8.184283671900644E-2</v>
          </cell>
          <cell r="BI1368">
            <v>-8.2748596111253334E-2</v>
          </cell>
        </row>
        <row r="1369">
          <cell r="C1369" t="str">
            <v>Dépenses publiques</v>
          </cell>
          <cell r="E1369" t="str">
            <v>100*((G_2-G_0)/GDP_0)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  <cell r="AP1369">
            <v>0</v>
          </cell>
          <cell r="AQ1369">
            <v>0</v>
          </cell>
          <cell r="AR1369">
            <v>0</v>
          </cell>
          <cell r="AS1369">
            <v>0</v>
          </cell>
          <cell r="AT1369">
            <v>0</v>
          </cell>
          <cell r="AU1369">
            <v>0</v>
          </cell>
          <cell r="AV1369">
            <v>0</v>
          </cell>
          <cell r="AW1369">
            <v>0</v>
          </cell>
          <cell r="AX1369">
            <v>0</v>
          </cell>
          <cell r="AY1369">
            <v>0</v>
          </cell>
          <cell r="AZ1369">
            <v>0</v>
          </cell>
          <cell r="BA1369">
            <v>0</v>
          </cell>
          <cell r="BB1369">
            <v>0</v>
          </cell>
          <cell r="BC1369">
            <v>0</v>
          </cell>
          <cell r="BD1369">
            <v>0</v>
          </cell>
          <cell r="BE1369">
            <v>0</v>
          </cell>
          <cell r="BF1369">
            <v>0</v>
          </cell>
          <cell r="BG1369">
            <v>0</v>
          </cell>
          <cell r="BH1369">
            <v>0</v>
          </cell>
          <cell r="BI1369">
            <v>0</v>
          </cell>
        </row>
        <row r="1370">
          <cell r="E1370" t="str">
            <v>100*((I_2-I_0)/GDP_0)</v>
          </cell>
          <cell r="F1370">
            <v>-0.25560542584534335</v>
          </cell>
          <cell r="G1370">
            <v>-0.42098075215452346</v>
          </cell>
          <cell r="H1370">
            <v>-0.53715993419685293</v>
          </cell>
          <cell r="I1370">
            <v>-0.62972826115271874</v>
          </cell>
          <cell r="J1370">
            <v>-0.71039472087487687</v>
          </cell>
          <cell r="K1370">
            <v>-0.78440555988328431</v>
          </cell>
          <cell r="L1370">
            <v>-0.85458883228431526</v>
          </cell>
          <cell r="M1370">
            <v>-0.92165583342753221</v>
          </cell>
          <cell r="N1370">
            <v>-0.98620017255078141</v>
          </cell>
          <cell r="O1370">
            <v>-1.0486676415519391</v>
          </cell>
          <cell r="P1370">
            <v>-1.1088938947199907</v>
          </cell>
          <cell r="Q1370">
            <v>-1.1693443900294664</v>
          </cell>
          <cell r="R1370">
            <v>-1.2290642615922347</v>
          </cell>
          <cell r="S1370">
            <v>-1.287934641528431</v>
          </cell>
          <cell r="T1370">
            <v>-1.3458454260922621</v>
          </cell>
          <cell r="U1370">
            <v>-1.4026791956896589</v>
          </cell>
          <cell r="V1370">
            <v>-1.4591902298907216</v>
          </cell>
          <cell r="W1370">
            <v>-1.514873761871347</v>
          </cell>
          <cell r="X1370">
            <v>-1.5693992318911152</v>
          </cell>
          <cell r="Y1370">
            <v>-1.622555449596641</v>
          </cell>
          <cell r="Z1370">
            <v>-1.6747333637776716</v>
          </cell>
          <cell r="AA1370">
            <v>-1.72458086391531</v>
          </cell>
          <cell r="AB1370">
            <v>-1.7727510429712563</v>
          </cell>
          <cell r="AC1370">
            <v>-1.8191685295744646</v>
          </cell>
          <cell r="AD1370">
            <v>-1.8637917671922712</v>
          </cell>
          <cell r="AE1370">
            <v>-1.9082206501024022</v>
          </cell>
          <cell r="AF1370">
            <v>-1.949105251476652</v>
          </cell>
          <cell r="AG1370">
            <v>-1.9877769773094707</v>
          </cell>
          <cell r="AH1370">
            <v>-2.0242564573724318</v>
          </cell>
          <cell r="AI1370">
            <v>-2.0585661832965205</v>
          </cell>
          <cell r="AJ1370">
            <v>-2.0907274006633272</v>
          </cell>
          <cell r="AK1370">
            <v>-2.1205962877563551</v>
          </cell>
          <cell r="AL1370">
            <v>-2.1482611386020056</v>
          </cell>
          <cell r="AM1370">
            <v>-2.1737908223807714</v>
          </cell>
          <cell r="AN1370">
            <v>-2.197243580572243</v>
          </cell>
          <cell r="AO1370">
            <v>-2.2186752934683933</v>
          </cell>
          <cell r="AP1370">
            <v>-2.2371584245525553</v>
          </cell>
          <cell r="AQ1370">
            <v>-2.2527610507416163</v>
          </cell>
          <cell r="AR1370">
            <v>-2.2659090358426512</v>
          </cell>
          <cell r="AS1370">
            <v>-2.2768752314798739</v>
          </cell>
          <cell r="AT1370">
            <v>-2.2858558920687506</v>
          </cell>
          <cell r="AU1370">
            <v>-2.2927959540345522</v>
          </cell>
          <cell r="AV1370">
            <v>-2.2979046001533816</v>
          </cell>
          <cell r="AW1370">
            <v>-2.3013561590048948</v>
          </cell>
          <cell r="AX1370">
            <v>-2.3033028584592921</v>
          </cell>
          <cell r="AY1370">
            <v>-2.3038857702407531</v>
          </cell>
          <cell r="AZ1370">
            <v>-2.3025378056357066</v>
          </cell>
          <cell r="BA1370">
            <v>-2.2996778235411668</v>
          </cell>
          <cell r="BB1370">
            <v>-2.2956044644385161</v>
          </cell>
          <cell r="BC1370">
            <v>-2.2905473205007714</v>
          </cell>
          <cell r="BD1370">
            <v>-2.2846893594032034</v>
          </cell>
          <cell r="BE1370">
            <v>-2.2777836405710601</v>
          </cell>
          <cell r="BF1370">
            <v>-2.2701028047945724</v>
          </cell>
          <cell r="BG1370">
            <v>-2.2618678989873446</v>
          </cell>
          <cell r="BH1370">
            <v>-2.2532579897976501</v>
          </cell>
          <cell r="BI1370">
            <v>-2.2444226554997391</v>
          </cell>
        </row>
        <row r="1371">
          <cell r="C1371" t="str">
            <v>Variations de stocks</v>
          </cell>
          <cell r="E1371" t="str">
            <v>100*((DS_2-DS_0)/GDP_0)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  <cell r="AP1371">
            <v>0</v>
          </cell>
          <cell r="AQ1371">
            <v>0</v>
          </cell>
          <cell r="AR1371">
            <v>0</v>
          </cell>
          <cell r="AS1371">
            <v>0</v>
          </cell>
          <cell r="AT1371">
            <v>0</v>
          </cell>
          <cell r="AU1371">
            <v>0</v>
          </cell>
          <cell r="AV1371">
            <v>0</v>
          </cell>
          <cell r="AW1371">
            <v>0</v>
          </cell>
          <cell r="AX1371">
            <v>0</v>
          </cell>
          <cell r="AY1371">
            <v>0</v>
          </cell>
          <cell r="AZ1371">
            <v>0</v>
          </cell>
          <cell r="BA1371">
            <v>0</v>
          </cell>
          <cell r="BB1371">
            <v>0</v>
          </cell>
          <cell r="BC1371">
            <v>0</v>
          </cell>
          <cell r="BD1371">
            <v>0</v>
          </cell>
          <cell r="BE1371">
            <v>0</v>
          </cell>
          <cell r="BF1371">
            <v>0</v>
          </cell>
          <cell r="BG1371">
            <v>0</v>
          </cell>
          <cell r="BH1371">
            <v>0</v>
          </cell>
          <cell r="BI1371">
            <v>0</v>
          </cell>
        </row>
        <row r="1372">
          <cell r="E1372" t="str">
            <v>100*((X_2-X_0)/GDP_0)-100*((M_2-M_0)/GDP_0)</v>
          </cell>
          <cell r="F1372">
            <v>-1.138257262476043</v>
          </cell>
          <cell r="G1372">
            <v>-0.99708014717926707</v>
          </cell>
          <cell r="H1372">
            <v>-0.89771661307740158</v>
          </cell>
          <cell r="I1372">
            <v>-0.81321507833736084</v>
          </cell>
          <cell r="J1372">
            <v>-0.74109871376330738</v>
          </cell>
          <cell r="K1372">
            <v>-0.68098251518079511</v>
          </cell>
          <cell r="L1372">
            <v>-0.63253065754143489</v>
          </cell>
          <cell r="M1372">
            <v>-0.59443699915280512</v>
          </cell>
          <cell r="N1372">
            <v>-0.56562369240734545</v>
          </cell>
          <cell r="O1372">
            <v>-0.54514481284581251</v>
          </cell>
          <cell r="P1372">
            <v>-0.53354791823090153</v>
          </cell>
          <cell r="Q1372">
            <v>-0.53112127431056</v>
          </cell>
          <cell r="R1372">
            <v>-0.53454901183874037</v>
          </cell>
          <cell r="S1372">
            <v>-0.54364231831203957</v>
          </cell>
          <cell r="T1372">
            <v>-0.55809705696416567</v>
          </cell>
          <cell r="U1372">
            <v>-0.57753830641392545</v>
          </cell>
          <cell r="V1372">
            <v>-0.60541998784362283</v>
          </cell>
          <cell r="W1372">
            <v>-0.63649656006952071</v>
          </cell>
          <cell r="X1372">
            <v>-0.67049681704824771</v>
          </cell>
          <cell r="Y1372">
            <v>-0.70699337186897671</v>
          </cell>
          <cell r="Z1372">
            <v>-0.74447636042890464</v>
          </cell>
          <cell r="AA1372">
            <v>-0.78509946709381584</v>
          </cell>
          <cell r="AB1372">
            <v>-0.82677071481664788</v>
          </cell>
          <cell r="AC1372">
            <v>-0.86917060056920725</v>
          </cell>
          <cell r="AD1372">
            <v>-0.91198467597847621</v>
          </cell>
          <cell r="AE1372">
            <v>-0.95181750012141686</v>
          </cell>
          <cell r="AF1372">
            <v>-0.99353086836478743</v>
          </cell>
          <cell r="AG1372">
            <v>-1.0357848338724622</v>
          </cell>
          <cell r="AH1372">
            <v>-1.0783292767389692</v>
          </cell>
          <cell r="AI1372">
            <v>-1.1209599828188579</v>
          </cell>
          <cell r="AJ1372">
            <v>-1.1635266485451918</v>
          </cell>
          <cell r="AK1372">
            <v>-1.2052266085826582</v>
          </cell>
          <cell r="AL1372">
            <v>-1.2468306890596397</v>
          </cell>
          <cell r="AM1372">
            <v>-1.2882524529857649</v>
          </cell>
          <cell r="AN1372">
            <v>-1.3294508845318633</v>
          </cell>
          <cell r="AO1372">
            <v>-1.3704054428492172</v>
          </cell>
          <cell r="AP1372">
            <v>-1.4045992010117003</v>
          </cell>
          <cell r="AQ1372">
            <v>-1.4401263090220437</v>
          </cell>
          <cell r="AR1372">
            <v>-1.4764969345708234</v>
          </cell>
          <cell r="AS1372">
            <v>-1.5134973043921964</v>
          </cell>
          <cell r="AT1372">
            <v>-1.5509871201786343</v>
          </cell>
          <cell r="AU1372">
            <v>-1.5879854650052092</v>
          </cell>
          <cell r="AV1372">
            <v>-1.6254125970404059</v>
          </cell>
          <cell r="AW1372">
            <v>-1.6631172615948429</v>
          </cell>
          <cell r="AX1372">
            <v>-1.7009859748119136</v>
          </cell>
          <cell r="AY1372">
            <v>-1.7389177569305088</v>
          </cell>
          <cell r="AZ1372">
            <v>-1.7741140875224315</v>
          </cell>
          <cell r="BA1372">
            <v>-1.8096050415975733</v>
          </cell>
          <cell r="BB1372">
            <v>-1.8451413229544347</v>
          </cell>
          <cell r="BC1372">
            <v>-1.8805709752161506</v>
          </cell>
          <cell r="BD1372">
            <v>-1.9157847941665223</v>
          </cell>
          <cell r="BE1372">
            <v>-1.9490688719402973</v>
          </cell>
          <cell r="BF1372">
            <v>-1.9822377291010707</v>
          </cell>
          <cell r="BG1372">
            <v>-2.0151135969043419</v>
          </cell>
          <cell r="BH1372">
            <v>-2.0475875581410414</v>
          </cell>
          <cell r="BI1372">
            <v>-2.0795739190559628</v>
          </cell>
        </row>
        <row r="1373">
          <cell r="C1373" t="str">
            <v>Consommation des ménages</v>
          </cell>
          <cell r="E1373" t="str">
            <v>100*((CH_2-CH_ccon_2-(CH_0-CH_ccon_0))/GDP_0)</v>
          </cell>
          <cell r="F1373">
            <v>-0.30495565021374865</v>
          </cell>
          <cell r="G1373">
            <v>-0.66824771205745026</v>
          </cell>
          <cell r="H1373">
            <v>-1.0058588818837506</v>
          </cell>
          <cell r="I1373">
            <v>-1.2949464380996116</v>
          </cell>
          <cell r="J1373">
            <v>-1.5323888845871536</v>
          </cell>
          <cell r="K1373">
            <v>-1.7221112358418407</v>
          </cell>
          <cell r="L1373">
            <v>-1.8714749509776654</v>
          </cell>
          <cell r="M1373">
            <v>-1.9865361363969016</v>
          </cell>
          <cell r="N1373">
            <v>-2.0739582454162813</v>
          </cell>
          <cell r="O1373">
            <v>-2.1397478377446078</v>
          </cell>
          <cell r="P1373">
            <v>-2.1877263725433358</v>
          </cell>
          <cell r="Q1373">
            <v>-2.225877349062189</v>
          </cell>
          <cell r="R1373">
            <v>-2.2553147510598746</v>
          </cell>
          <cell r="S1373">
            <v>-2.2778256570434485</v>
          </cell>
          <cell r="T1373">
            <v>-2.2947124506702243</v>
          </cell>
          <cell r="U1373">
            <v>-2.307015250330092</v>
          </cell>
          <cell r="V1373">
            <v>-2.3166537878084799</v>
          </cell>
          <cell r="W1373">
            <v>-2.3245253444434111</v>
          </cell>
          <cell r="X1373">
            <v>-2.331191070202447</v>
          </cell>
          <cell r="Y1373">
            <v>-2.3371268629135593</v>
          </cell>
          <cell r="Z1373">
            <v>-2.3435877203243765</v>
          </cell>
          <cell r="AA1373">
            <v>-2.3489293727407983</v>
          </cell>
          <cell r="AB1373">
            <v>-2.3547634588001807</v>
          </cell>
          <cell r="AC1373">
            <v>-2.3614768713638243</v>
          </cell>
          <cell r="AD1373">
            <v>-2.369332411515507</v>
          </cell>
          <cell r="AE1373">
            <v>-2.3806111620623742</v>
          </cell>
          <cell r="AF1373">
            <v>-2.3904390693160176</v>
          </cell>
          <cell r="AG1373">
            <v>-2.4005883826356498</v>
          </cell>
          <cell r="AH1373">
            <v>-2.4113245358933586</v>
          </cell>
          <cell r="AI1373">
            <v>-2.4228403832142273</v>
          </cell>
          <cell r="AJ1373">
            <v>-2.4352272864505911</v>
          </cell>
          <cell r="AK1373">
            <v>-2.4483015178345875</v>
          </cell>
          <cell r="AL1373">
            <v>-2.4620225618505471</v>
          </cell>
          <cell r="AM1373">
            <v>-2.4763783263911621</v>
          </cell>
          <cell r="AN1373">
            <v>-2.491348071738233</v>
          </cell>
          <cell r="AO1373">
            <v>-2.5068989361353848</v>
          </cell>
          <cell r="AP1373">
            <v>-2.521764343575541</v>
          </cell>
          <cell r="AQ1373">
            <v>-2.5351098201643061</v>
          </cell>
          <cell r="AR1373">
            <v>-2.5472986296585471</v>
          </cell>
          <cell r="AS1373">
            <v>-2.5587580079795615</v>
          </cell>
          <cell r="AT1373">
            <v>-2.5698437764214175</v>
          </cell>
          <cell r="AU1373">
            <v>-2.5805799495956143</v>
          </cell>
          <cell r="AV1373">
            <v>-2.591180599922168</v>
          </cell>
          <cell r="AW1373">
            <v>-2.6018880903716899</v>
          </cell>
          <cell r="AX1373">
            <v>-2.6129146175405018</v>
          </cell>
          <cell r="AY1373">
            <v>-2.6244318509075804</v>
          </cell>
          <cell r="AZ1373">
            <v>-2.6357320722211943</v>
          </cell>
          <cell r="BA1373">
            <v>-2.6469856839880133</v>
          </cell>
          <cell r="BB1373">
            <v>-2.6584951774366337</v>
          </cell>
          <cell r="BC1373">
            <v>-2.6705202022743784</v>
          </cell>
          <cell r="BD1373">
            <v>-2.6832294853230638</v>
          </cell>
          <cell r="BE1373">
            <v>-2.6962395628441849</v>
          </cell>
          <cell r="BF1373">
            <v>-2.7096156551054786</v>
          </cell>
          <cell r="BG1373">
            <v>-2.7235313580793497</v>
          </cell>
          <cell r="BH1373">
            <v>-2.7381370855440972</v>
          </cell>
          <cell r="BI1373">
            <v>-2.7535326360116694</v>
          </cell>
        </row>
        <row r="1374">
          <cell r="E1374" t="str">
            <v>100*((I_2+CH_ccon_2-(I_0+CH_ccon_0))/GDP_0)</v>
          </cell>
          <cell r="F1374">
            <v>-0.26042173667366086</v>
          </cell>
          <cell r="G1374">
            <v>-0.43044802397106169</v>
          </cell>
          <cell r="H1374">
            <v>-0.55038334711803316</v>
          </cell>
          <cell r="I1374">
            <v>-0.64603755127565243</v>
          </cell>
          <cell r="J1374">
            <v>-0.72938033372791167</v>
          </cell>
          <cell r="K1374">
            <v>-0.8057652439868479</v>
          </cell>
          <cell r="L1374">
            <v>-0.8780497883775098</v>
          </cell>
          <cell r="M1374">
            <v>-0.94693217071562841</v>
          </cell>
          <cell r="N1374">
            <v>-1.0130159866268353</v>
          </cell>
          <cell r="O1374">
            <v>-1.0767700380886802</v>
          </cell>
          <cell r="P1374">
            <v>-1.1380430209923302</v>
          </cell>
          <cell r="Q1374">
            <v>-1.1993889689758093</v>
          </cell>
          <cell r="R1374">
            <v>-1.2598551956956023</v>
          </cell>
          <cell r="S1374">
            <v>-1.3193410846041986</v>
          </cell>
          <cell r="T1374">
            <v>-1.3777534134600926</v>
          </cell>
          <cell r="U1374">
            <v>-1.4349914683838316</v>
          </cell>
          <cell r="V1374">
            <v>-1.491840812704502</v>
          </cell>
          <cell r="W1374">
            <v>-1.5478127579663694</v>
          </cell>
          <cell r="X1374">
            <v>-1.6025885030110008</v>
          </cell>
          <cell r="Y1374">
            <v>-1.655968306750363</v>
          </cell>
          <cell r="Z1374">
            <v>-1.7083667870119592</v>
          </cell>
          <cell r="AA1374">
            <v>-1.7584130238394002</v>
          </cell>
          <cell r="AB1374">
            <v>-1.8067883750167886</v>
          </cell>
          <cell r="AC1374">
            <v>-1.8534270378599722</v>
          </cell>
          <cell r="AD1374">
            <v>-1.8982941214585447</v>
          </cell>
          <cell r="AE1374">
            <v>-1.9430257288609754</v>
          </cell>
          <cell r="AF1374">
            <v>-1.9842016834627267</v>
          </cell>
          <cell r="AG1374">
            <v>-2.0231817314282727</v>
          </cell>
          <cell r="AH1374">
            <v>-2.0599921721143564</v>
          </cell>
          <cell r="AI1374">
            <v>-2.0946588741775787</v>
          </cell>
          <cell r="AJ1374">
            <v>-2.1272036622532586</v>
          </cell>
          <cell r="AK1374">
            <v>-2.1574783334206886</v>
          </cell>
          <cell r="AL1374">
            <v>-2.1855690580030753</v>
          </cell>
          <cell r="AM1374">
            <v>-2.2115431194973412</v>
          </cell>
          <cell r="AN1374">
            <v>-2.2354570488716528</v>
          </cell>
          <cell r="AO1374">
            <v>-2.2573647816739593</v>
          </cell>
          <cell r="AP1374">
            <v>-2.2763167247012257</v>
          </cell>
          <cell r="AQ1374">
            <v>-2.2923688225937688</v>
          </cell>
          <cell r="AR1374">
            <v>-2.3059544096672822</v>
          </cell>
          <cell r="AS1374">
            <v>-2.3173535109108174</v>
          </cell>
          <cell r="AT1374">
            <v>-2.3267663321415974</v>
          </cell>
          <cell r="AU1374">
            <v>-2.3341347399192411</v>
          </cell>
          <cell r="AV1374">
            <v>-2.3396677013554816</v>
          </cell>
          <cell r="AW1374">
            <v>-2.3435401125190323</v>
          </cell>
          <cell r="AX1374">
            <v>-2.3459047206340147</v>
          </cell>
          <cell r="AY1374">
            <v>-2.3469030361174243</v>
          </cell>
          <cell r="AZ1374">
            <v>-2.3459553152913188</v>
          </cell>
          <cell r="BA1374">
            <v>-2.3434852220340097</v>
          </cell>
          <cell r="BB1374">
            <v>-2.3397986283220136</v>
          </cell>
          <cell r="BC1374">
            <v>-2.3351279759257983</v>
          </cell>
          <cell r="BD1374">
            <v>-2.3296567555621928</v>
          </cell>
          <cell r="BE1374">
            <v>-2.3231293828665369</v>
          </cell>
          <cell r="BF1374">
            <v>-2.3158186419431868</v>
          </cell>
          <cell r="BG1374">
            <v>-2.3079483885342178</v>
          </cell>
          <cell r="BH1374">
            <v>-2.2997001339843703</v>
          </cell>
          <cell r="BI1374">
            <v>-2.2912246901542801</v>
          </cell>
        </row>
        <row r="1375">
          <cell r="C1375" t="str">
            <v>Investissement entreprises</v>
          </cell>
          <cell r="E1375" t="str">
            <v>100*((I_2-IA_spub_2-(I_0-IA_spub_0))/GDP_0)</v>
          </cell>
          <cell r="F1375">
            <v>-0.2523630262873694</v>
          </cell>
          <cell r="G1375">
            <v>-0.41601576410749597</v>
          </cell>
          <cell r="H1375">
            <v>-0.53137841237137207</v>
          </cell>
          <cell r="I1375">
            <v>-0.62338989195837513</v>
          </cell>
          <cell r="J1375">
            <v>-0.70343039344685265</v>
          </cell>
          <cell r="K1375">
            <v>-0.77663226882847569</v>
          </cell>
          <cell r="L1375">
            <v>-0.84580816486896582</v>
          </cell>
          <cell r="M1375">
            <v>-0.91170544166643741</v>
          </cell>
          <cell r="N1375">
            <v>-0.97495254393374586</v>
          </cell>
          <cell r="O1375">
            <v>-1.0360242831522721</v>
          </cell>
          <cell r="P1375">
            <v>-1.0947884441321831</v>
          </cell>
          <cell r="Q1375">
            <v>-1.1537001481184219</v>
          </cell>
          <cell r="R1375">
            <v>-1.2118455073473833</v>
          </cell>
          <cell r="S1375">
            <v>-1.2691324070619756</v>
          </cell>
          <cell r="T1375">
            <v>-1.3254733448627463</v>
          </cell>
          <cell r="U1375">
            <v>-1.3807699673496572</v>
          </cell>
          <cell r="V1375">
            <v>-1.4357799883300029</v>
          </cell>
          <cell r="W1375">
            <v>-1.4900169446210376</v>
          </cell>
          <cell r="X1375">
            <v>-1.5431637654945545</v>
          </cell>
          <cell r="Y1375">
            <v>-1.5950175143672161</v>
          </cell>
          <cell r="Z1375">
            <v>-1.645966586100631</v>
          </cell>
          <cell r="AA1375">
            <v>-1.6946776495209623</v>
          </cell>
          <cell r="AB1375">
            <v>-1.7417905814638288</v>
          </cell>
          <cell r="AC1375">
            <v>-1.7872278805545581</v>
          </cell>
          <cell r="AD1375">
            <v>-1.8309443743821425</v>
          </cell>
          <cell r="AE1375">
            <v>-1.8745159460859842</v>
          </cell>
          <cell r="AF1375">
            <v>-1.9146346596781205</v>
          </cell>
          <cell r="AG1375">
            <v>-1.952602890531463</v>
          </cell>
          <cell r="AH1375">
            <v>-1.9884339678915526</v>
          </cell>
          <cell r="AI1375">
            <v>-2.0221432315112029</v>
          </cell>
          <cell r="AJ1375">
            <v>-2.0537456394821638</v>
          </cell>
          <cell r="AK1375">
            <v>-2.0830945854158109</v>
          </cell>
          <cell r="AL1375">
            <v>-2.1102726110480283</v>
          </cell>
          <cell r="AM1375">
            <v>-2.135343287777963</v>
          </cell>
          <cell r="AN1375">
            <v>-2.1583603100135349</v>
          </cell>
          <cell r="AO1375">
            <v>-2.1793756762646264</v>
          </cell>
          <cell r="AP1375">
            <v>-2.1974769931681593</v>
          </cell>
          <cell r="AQ1375">
            <v>-2.2127290504012098</v>
          </cell>
          <cell r="AR1375">
            <v>-2.2255451411057514</v>
          </cell>
          <cell r="AS1375">
            <v>-2.2361898445942607</v>
          </cell>
          <cell r="AT1375">
            <v>-2.2448548087755524</v>
          </cell>
          <cell r="AU1375">
            <v>-2.2514865632334353</v>
          </cell>
          <cell r="AV1375">
            <v>-2.2562925878524731</v>
          </cell>
          <cell r="AW1375">
            <v>-2.2594459474965016</v>
          </cell>
          <cell r="AX1375">
            <v>-2.2610983404060612</v>
          </cell>
          <cell r="AY1375">
            <v>-2.2613908261283533</v>
          </cell>
          <cell r="AZ1375">
            <v>-2.2597689388908835</v>
          </cell>
          <cell r="BA1375">
            <v>-2.2566472250091678</v>
          </cell>
          <cell r="BB1375">
            <v>-2.2523194872860088</v>
          </cell>
          <cell r="BC1375">
            <v>-2.2470124520782719</v>
          </cell>
          <cell r="BD1375">
            <v>-2.2409081047125552</v>
          </cell>
          <cell r="BE1375">
            <v>-2.2337670562791372</v>
          </cell>
          <cell r="BF1375">
            <v>-2.2258604414948717</v>
          </cell>
          <cell r="BG1375">
            <v>-2.2174068640579674</v>
          </cell>
          <cell r="BH1375">
            <v>-2.2085837229476528</v>
          </cell>
          <cell r="BI1375">
            <v>-2.1995398807167921</v>
          </cell>
        </row>
        <row r="1376">
          <cell r="C1376" t="str">
            <v>Investissement ménages</v>
          </cell>
          <cell r="E1376" t="str">
            <v>100*((CH_ccon_2-CH_ccon_0)/GDP_0)</v>
          </cell>
          <cell r="F1376">
            <v>-4.8163108283168655E-3</v>
          </cell>
          <cell r="G1376">
            <v>-9.4672718165387908E-3</v>
          </cell>
          <cell r="H1376">
            <v>-1.322341292117976E-2</v>
          </cell>
          <cell r="I1376">
            <v>-1.6309290122934417E-2</v>
          </cell>
          <cell r="J1376">
            <v>-1.8985612853036019E-2</v>
          </cell>
          <cell r="K1376">
            <v>-2.135968410356184E-2</v>
          </cell>
          <cell r="L1376">
            <v>-2.3460956093192382E-2</v>
          </cell>
          <cell r="M1376">
            <v>-2.5276337288096647E-2</v>
          </cell>
          <cell r="N1376">
            <v>-2.681581407605662E-2</v>
          </cell>
          <cell r="O1376">
            <v>-2.8102396536742832E-2</v>
          </cell>
          <cell r="P1376">
            <v>-2.9149126272339388E-2</v>
          </cell>
          <cell r="Q1376">
            <v>-3.004457894634403E-2</v>
          </cell>
          <cell r="R1376">
            <v>-3.079093410336977E-2</v>
          </cell>
          <cell r="S1376">
            <v>-3.1406443075765449E-2</v>
          </cell>
          <cell r="T1376">
            <v>-3.1907987367831132E-2</v>
          </cell>
          <cell r="U1376">
            <v>-3.2312272694170974E-2</v>
          </cell>
          <cell r="V1376">
            <v>-3.26505828137807E-2</v>
          </cell>
          <cell r="W1376">
            <v>-3.2938996095021669E-2</v>
          </cell>
          <cell r="X1376">
            <v>-3.3189271119887134E-2</v>
          </cell>
          <cell r="Y1376">
            <v>-3.3412857153725432E-2</v>
          </cell>
          <cell r="Z1376">
            <v>-3.3633423234285205E-2</v>
          </cell>
          <cell r="AA1376">
            <v>-3.3832159924089444E-2</v>
          </cell>
          <cell r="AB1376">
            <v>-3.4037332045530506E-2</v>
          </cell>
          <cell r="AC1376">
            <v>-3.4258508285507659E-2</v>
          </cell>
          <cell r="AD1376">
            <v>-3.4502354266272593E-2</v>
          </cell>
          <cell r="AE1376">
            <v>-3.4805078758571757E-2</v>
          </cell>
          <cell r="AF1376">
            <v>-3.5096431986075309E-2</v>
          </cell>
          <cell r="AG1376">
            <v>-3.5404754118800709E-2</v>
          </cell>
          <cell r="AH1376">
            <v>-3.573571474192358E-2</v>
          </cell>
          <cell r="AI1376">
            <v>-3.6092690881057446E-2</v>
          </cell>
          <cell r="AJ1376">
            <v>-3.6476261589931856E-2</v>
          </cell>
          <cell r="AK1376">
            <v>-3.6882045664331613E-2</v>
          </cell>
          <cell r="AL1376">
            <v>-3.7307919401067605E-2</v>
          </cell>
          <cell r="AM1376">
            <v>-3.7752297116571069E-2</v>
          </cell>
          <cell r="AN1376">
            <v>-3.8213468299410927E-2</v>
          </cell>
          <cell r="AO1376">
            <v>-3.8689488205563199E-2</v>
          </cell>
          <cell r="AP1376">
            <v>-3.9158300148670513E-2</v>
          </cell>
          <cell r="AQ1376">
            <v>-3.9607771852155131E-2</v>
          </cell>
          <cell r="AR1376">
            <v>-4.0045373824632281E-2</v>
          </cell>
          <cell r="AS1376">
            <v>-4.0478279430942683E-2</v>
          </cell>
          <cell r="AT1376">
            <v>-4.0910440072847477E-2</v>
          </cell>
          <cell r="AU1376">
            <v>-4.1338785884687833E-2</v>
          </cell>
          <cell r="AV1376">
            <v>-4.176310120209837E-2</v>
          </cell>
          <cell r="AW1376">
            <v>-4.2183953514138291E-2</v>
          </cell>
          <cell r="AX1376">
            <v>-4.2601862174720999E-2</v>
          </cell>
          <cell r="AY1376">
            <v>-4.3017265876670839E-2</v>
          </cell>
          <cell r="AZ1376">
            <v>-4.341750965561194E-2</v>
          </cell>
          <cell r="BA1376">
            <v>-4.3807398492840717E-2</v>
          </cell>
          <cell r="BB1376">
            <v>-4.4194163883495584E-2</v>
          </cell>
          <cell r="BC1376">
            <v>-4.4580655425026379E-2</v>
          </cell>
          <cell r="BD1376">
            <v>-4.4967396158989467E-2</v>
          </cell>
          <cell r="BE1376">
            <v>-4.5345742295475187E-2</v>
          </cell>
          <cell r="BF1376">
            <v>-4.5715837148615671E-2</v>
          </cell>
          <cell r="BG1376">
            <v>-4.6080489546872272E-2</v>
          </cell>
          <cell r="BH1376">
            <v>-4.6442144186721421E-2</v>
          </cell>
          <cell r="BI1376">
            <v>-4.6802034654543197E-2</v>
          </cell>
        </row>
        <row r="1377">
          <cell r="C1377" t="str">
            <v>Investissement public</v>
          </cell>
          <cell r="E1377" t="str">
            <v>100*((IA_spub_2-IA_spub_0)/GDP_0)</v>
          </cell>
          <cell r="F1377">
            <v>-3.2423995579753122E-3</v>
          </cell>
          <cell r="G1377">
            <v>-4.9649880470290508E-3</v>
          </cell>
          <cell r="H1377">
            <v>-5.7815218254814466E-3</v>
          </cell>
          <cell r="I1377">
            <v>-6.3383691943416668E-3</v>
          </cell>
          <cell r="J1377">
            <v>-6.9643274280239559E-3</v>
          </cell>
          <cell r="K1377">
            <v>-7.7732910548098371E-3</v>
          </cell>
          <cell r="L1377">
            <v>-8.7806674153502531E-3</v>
          </cell>
          <cell r="M1377">
            <v>-9.950391761094227E-3</v>
          </cell>
          <cell r="N1377">
            <v>-1.1247628617034672E-2</v>
          </cell>
          <cell r="O1377">
            <v>-1.2643358399666734E-2</v>
          </cell>
          <cell r="P1377">
            <v>-1.4105450587807367E-2</v>
          </cell>
          <cell r="Q1377">
            <v>-1.5644241911045034E-2</v>
          </cell>
          <cell r="R1377">
            <v>-1.7218754244851229E-2</v>
          </cell>
          <cell r="S1377">
            <v>-1.8802234466453772E-2</v>
          </cell>
          <cell r="T1377">
            <v>-2.0372081229517551E-2</v>
          </cell>
          <cell r="U1377">
            <v>-2.1909228340004541E-2</v>
          </cell>
          <cell r="V1377">
            <v>-2.3410241560719337E-2</v>
          </cell>
          <cell r="W1377">
            <v>-2.4856817250307438E-2</v>
          </cell>
          <cell r="X1377">
            <v>-2.6235466396562615E-2</v>
          </cell>
          <cell r="Y1377">
            <v>-2.7537935229425541E-2</v>
          </cell>
          <cell r="Z1377">
            <v>-2.8766777677042107E-2</v>
          </cell>
          <cell r="AA1377">
            <v>-2.9903214394347354E-2</v>
          </cell>
          <cell r="AB1377">
            <v>-3.0960461507426762E-2</v>
          </cell>
          <cell r="AC1377">
            <v>-3.1940649019908868E-2</v>
          </cell>
          <cell r="AD1377">
            <v>-3.2847392810128176E-2</v>
          </cell>
          <cell r="AE1377">
            <v>-3.3704704016417827E-2</v>
          </cell>
          <cell r="AF1377">
            <v>-3.4470591798531298E-2</v>
          </cell>
          <cell r="AG1377">
            <v>-3.5174086778008817E-2</v>
          </cell>
          <cell r="AH1377">
            <v>-3.5822489480876185E-2</v>
          </cell>
          <cell r="AI1377">
            <v>-3.6422951785314413E-2</v>
          </cell>
          <cell r="AJ1377">
            <v>-3.6981761181162406E-2</v>
          </cell>
          <cell r="AK1377">
            <v>-3.7501702340542502E-2</v>
          </cell>
          <cell r="AL1377">
            <v>-3.7988527553977233E-2</v>
          </cell>
          <cell r="AM1377">
            <v>-3.8447534602806747E-2</v>
          </cell>
          <cell r="AN1377">
            <v>-3.8883270558709562E-2</v>
          </cell>
          <cell r="AO1377">
            <v>-3.9299617203766582E-2</v>
          </cell>
          <cell r="AP1377">
            <v>-3.9681431384395158E-2</v>
          </cell>
          <cell r="AQ1377">
            <v>-4.0032000340405417E-2</v>
          </cell>
          <cell r="AR1377">
            <v>-4.0363894736900698E-2</v>
          </cell>
          <cell r="AS1377">
            <v>-4.0685386885613434E-2</v>
          </cell>
          <cell r="AT1377">
            <v>-4.1001083293198327E-2</v>
          </cell>
          <cell r="AU1377">
            <v>-4.1309390801118229E-2</v>
          </cell>
          <cell r="AV1377">
            <v>-4.161201230090885E-2</v>
          </cell>
          <cell r="AW1377">
            <v>-4.1910211508394753E-2</v>
          </cell>
          <cell r="AX1377">
            <v>-4.2204518053229348E-2</v>
          </cell>
          <cell r="AY1377">
            <v>-4.2494944112401116E-2</v>
          </cell>
          <cell r="AZ1377">
            <v>-4.2768866744823254E-2</v>
          </cell>
          <cell r="BA1377">
            <v>-4.3030598531999024E-2</v>
          </cell>
          <cell r="BB1377">
            <v>-4.3284977152505753E-2</v>
          </cell>
          <cell r="BC1377">
            <v>-4.353486842249879E-2</v>
          </cell>
          <cell r="BD1377">
            <v>-4.378125469065014E-2</v>
          </cell>
          <cell r="BE1377">
            <v>-4.4016584291921027E-2</v>
          </cell>
          <cell r="BF1377">
            <v>-4.4242363299700681E-2</v>
          </cell>
          <cell r="BG1377">
            <v>-4.4461034929377488E-2</v>
          </cell>
          <cell r="BH1377">
            <v>-4.4674266849998034E-2</v>
          </cell>
          <cell r="BI1377">
            <v>-4.4882774782946978E-2</v>
          </cell>
        </row>
        <row r="1378">
          <cell r="C1378" t="str">
            <v>Consommation des ménages</v>
          </cell>
          <cell r="E1378" t="str">
            <v>100*(CH_2/CH_0-1)</v>
          </cell>
          <cell r="F1378">
            <v>-0.5666682809290613</v>
          </cell>
          <cell r="G1378">
            <v>-1.2395170708021319</v>
          </cell>
          <cell r="H1378">
            <v>-1.8642544262781779</v>
          </cell>
          <cell r="I1378">
            <v>-2.3995504615482499</v>
          </cell>
          <cell r="J1378">
            <v>-2.8402537860907628</v>
          </cell>
          <cell r="K1378">
            <v>-3.1934686684805036</v>
          </cell>
          <cell r="L1378">
            <v>-3.4716212313782302</v>
          </cell>
          <cell r="M1378">
            <v>-3.6866438629216347</v>
          </cell>
          <cell r="N1378">
            <v>-3.8504772321023895</v>
          </cell>
          <cell r="O1378">
            <v>-3.9740187685502137</v>
          </cell>
          <cell r="P1378">
            <v>-4.0655652458283171</v>
          </cell>
          <cell r="Q1378">
            <v>-4.136165082254295</v>
          </cell>
          <cell r="R1378">
            <v>-4.1906927027379304</v>
          </cell>
          <cell r="S1378">
            <v>-4.2324823806411231</v>
          </cell>
          <cell r="T1378">
            <v>-4.2640097134048371</v>
          </cell>
          <cell r="U1378">
            <v>-4.2872559870419158</v>
          </cell>
          <cell r="V1378">
            <v>-4.3058255049592598</v>
          </cell>
          <cell r="W1378">
            <v>-4.3214104001684017</v>
          </cell>
          <cell r="X1378">
            <v>-4.3350727829247315</v>
          </cell>
          <cell r="Y1378">
            <v>-4.3477140978665174</v>
          </cell>
          <cell r="Z1378">
            <v>-4.3607858332969318</v>
          </cell>
          <cell r="AA1378">
            <v>-4.3738185663958706</v>
          </cell>
          <cell r="AB1378">
            <v>-4.3879140679936146</v>
          </cell>
          <cell r="AC1378">
            <v>-4.403846905483122</v>
          </cell>
          <cell r="AD1378">
            <v>-4.4221319679761839</v>
          </cell>
          <cell r="AE1378">
            <v>-4.4446010573032435</v>
          </cell>
          <cell r="AF1378">
            <v>-4.4680669332921479</v>
          </cell>
          <cell r="AG1378">
            <v>-4.4928040270744258</v>
          </cell>
          <cell r="AH1378">
            <v>-4.5191664124449087</v>
          </cell>
          <cell r="AI1378">
            <v>-4.5473640587978315</v>
          </cell>
          <cell r="AJ1378">
            <v>-4.5774479614488666</v>
          </cell>
          <cell r="AK1378">
            <v>-4.6089846293164261</v>
          </cell>
          <cell r="AL1378">
            <v>-4.6418356833663683</v>
          </cell>
          <cell r="AM1378">
            <v>-4.6759349599901467</v>
          </cell>
          <cell r="AN1378">
            <v>-4.7112117979465573</v>
          </cell>
          <cell r="AO1378">
            <v>-4.7475792498219427</v>
          </cell>
          <cell r="AP1378">
            <v>-4.7820636393336224</v>
          </cell>
          <cell r="AQ1378">
            <v>-4.8140887720020453</v>
          </cell>
          <cell r="AR1378">
            <v>-4.8441865443023646</v>
          </cell>
          <cell r="AS1378">
            <v>-4.8730411558672859</v>
          </cell>
          <cell r="AT1378">
            <v>-4.9012175121048056</v>
          </cell>
          <cell r="AU1378">
            <v>-4.9286659100057477</v>
          </cell>
          <cell r="AV1378">
            <v>-4.9557200638058019</v>
          </cell>
          <cell r="AW1378">
            <v>-4.982789416965594</v>
          </cell>
          <cell r="AX1378">
            <v>-5.0102445767623234</v>
          </cell>
          <cell r="AY1378">
            <v>-5.0383936518141432</v>
          </cell>
          <cell r="AZ1378">
            <v>-5.0659138803890835</v>
          </cell>
          <cell r="BA1378">
            <v>-5.0930438659193005</v>
          </cell>
          <cell r="BB1378">
            <v>-5.1203820065213073</v>
          </cell>
          <cell r="BC1378">
            <v>-5.148438980711834</v>
          </cell>
          <cell r="BD1378">
            <v>-5.1775512587039501</v>
          </cell>
          <cell r="BE1378">
            <v>-5.2069903102013093</v>
          </cell>
          <cell r="BF1378">
            <v>-5.2368941014538928</v>
          </cell>
          <cell r="BG1378">
            <v>-5.2676111849407903</v>
          </cell>
          <cell r="BH1378">
            <v>-5.2994453125017156</v>
          </cell>
          <cell r="BI1378">
            <v>-5.3326016068405258</v>
          </cell>
        </row>
        <row r="1379">
          <cell r="C1379" t="str">
            <v>Consommation des ménages automobile</v>
          </cell>
          <cell r="E1379" t="str">
            <v>100*(CH_cveh_2/CH_cveh_0-1)</v>
          </cell>
          <cell r="F1379">
            <v>-9.589619816119388E-3</v>
          </cell>
          <cell r="G1379">
            <v>-0.83463492793885985</v>
          </cell>
          <cell r="H1379">
            <v>-1.7471230253297554</v>
          </cell>
          <cell r="I1379">
            <v>-2.443513225900118</v>
          </cell>
          <cell r="J1379">
            <v>-2.8907404119186464</v>
          </cell>
          <cell r="K1379">
            <v>-3.1331694428678225</v>
          </cell>
          <cell r="L1379">
            <v>-3.2318140013056773</v>
          </cell>
          <cell r="M1379">
            <v>-3.2368344325425347</v>
          </cell>
          <cell r="N1379">
            <v>-3.1873863034033278</v>
          </cell>
          <cell r="O1379">
            <v>-3.1108338678064396</v>
          </cell>
          <cell r="P1379">
            <v>-3.0222595857049339</v>
          </cell>
          <cell r="Q1379">
            <v>-2.9389174082958602</v>
          </cell>
          <cell r="R1379">
            <v>-2.8626116962220505</v>
          </cell>
          <cell r="S1379">
            <v>-2.7929498134022013</v>
          </cell>
          <cell r="T1379">
            <v>-2.7291327833952828</v>
          </cell>
          <cell r="U1379">
            <v>-2.6705675358282055</v>
          </cell>
          <cell r="V1379">
            <v>-2.6204835912513769</v>
          </cell>
          <cell r="W1379">
            <v>-2.5784453387211692</v>
          </cell>
          <cell r="X1379">
            <v>-2.5435533600193572</v>
          </cell>
          <cell r="Y1379">
            <v>-2.5153382577470462</v>
          </cell>
          <cell r="Z1379">
            <v>-2.4947798956370448</v>
          </cell>
          <cell r="AA1379">
            <v>-2.4792429527749404</v>
          </cell>
          <cell r="AB1379">
            <v>-2.4699278730725083</v>
          </cell>
          <cell r="AC1379">
            <v>-2.4670741842676147</v>
          </cell>
          <cell r="AD1379">
            <v>-2.4704386127559208</v>
          </cell>
          <cell r="AE1379">
            <v>-2.4824246838340169</v>
          </cell>
          <cell r="AF1379">
            <v>-2.4954547015965556</v>
          </cell>
          <cell r="AG1379">
            <v>-2.5107467184354526</v>
          </cell>
          <cell r="AH1379">
            <v>-2.5290795535499178</v>
          </cell>
          <cell r="AI1379">
            <v>-2.5505873212942953</v>
          </cell>
          <cell r="AJ1379">
            <v>-2.5750096218306928</v>
          </cell>
          <cell r="AK1379">
            <v>-2.6012994334260409</v>
          </cell>
          <cell r="AL1379">
            <v>-2.6291785097018572</v>
          </cell>
          <cell r="AM1379">
            <v>-2.6585853346404287</v>
          </cell>
          <cell r="AN1379">
            <v>-2.6894393443311349</v>
          </cell>
          <cell r="AO1379">
            <v>-2.7216307103708925</v>
          </cell>
          <cell r="AP1379">
            <v>-2.7502804103079259</v>
          </cell>
          <cell r="AQ1379">
            <v>-2.775375193882379</v>
          </cell>
          <cell r="AR1379">
            <v>-2.7991013418748545</v>
          </cell>
          <cell r="AS1379">
            <v>-2.8231122692294441</v>
          </cell>
          <cell r="AT1379">
            <v>-2.848288783385744</v>
          </cell>
          <cell r="AU1379">
            <v>-2.8742701031161833</v>
          </cell>
          <cell r="AV1379">
            <v>-2.9014751171230424</v>
          </cell>
          <cell r="AW1379">
            <v>-2.9305068100080045</v>
          </cell>
          <cell r="AX1379">
            <v>-2.9618322854033985</v>
          </cell>
          <cell r="AY1379">
            <v>-2.9957784539040411</v>
          </cell>
          <cell r="AZ1379">
            <v>-3.0300406310726502</v>
          </cell>
          <cell r="BA1379">
            <v>-3.0653819083128253</v>
          </cell>
          <cell r="BB1379">
            <v>-3.1032128884812993</v>
          </cell>
          <cell r="BC1379">
            <v>-3.1443813064702231</v>
          </cell>
          <cell r="BD1379">
            <v>-3.1892261512751263</v>
          </cell>
          <cell r="BE1379">
            <v>-3.2363851956424439</v>
          </cell>
          <cell r="BF1379">
            <v>-3.2862185275625566</v>
          </cell>
          <cell r="BG1379">
            <v>-3.3395744580502429</v>
          </cell>
          <cell r="BH1379">
            <v>-3.3970399444760879</v>
          </cell>
          <cell r="BI1379">
            <v>-3.4589261909338531</v>
          </cell>
        </row>
        <row r="1380">
          <cell r="C1380" t="str">
            <v>Dépenses publiques</v>
          </cell>
          <cell r="E1380" t="str">
            <v>100*(G_2/G_0-1)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>
            <v>0</v>
          </cell>
          <cell r="BB1380">
            <v>0</v>
          </cell>
          <cell r="BC1380">
            <v>0</v>
          </cell>
          <cell r="BD1380">
            <v>0</v>
          </cell>
          <cell r="BE1380">
            <v>0</v>
          </cell>
          <cell r="BF1380">
            <v>0</v>
          </cell>
          <cell r="BG1380">
            <v>0</v>
          </cell>
          <cell r="BH1380">
            <v>0</v>
          </cell>
          <cell r="BI1380">
            <v>0</v>
          </cell>
        </row>
        <row r="1381">
          <cell r="C1381" t="str">
            <v>Investissement</v>
          </cell>
          <cell r="E1381" t="str">
            <v>100*(I_2/I_0-1)</v>
          </cell>
          <cell r="F1381">
            <v>-1.1886443718217343</v>
          </cell>
          <cell r="G1381">
            <v>-1.9563518936873026</v>
          </cell>
          <cell r="H1381">
            <v>-2.4949899683867183</v>
          </cell>
          <cell r="I1381">
            <v>-2.9231042254264983</v>
          </cell>
          <cell r="J1381">
            <v>-3.2953129152045069</v>
          </cell>
          <cell r="K1381">
            <v>-3.6360740301478844</v>
          </cell>
          <cell r="L1381">
            <v>-3.9573917006896497</v>
          </cell>
          <cell r="M1381">
            <v>-4.2638453667414371</v>
          </cell>
          <cell r="N1381">
            <v>-4.5579477949252318</v>
          </cell>
          <cell r="O1381">
            <v>-4.841564014407906</v>
          </cell>
          <cell r="P1381">
            <v>-5.1160829766630833</v>
          </cell>
          <cell r="Q1381">
            <v>-5.3872259564330172</v>
          </cell>
          <cell r="R1381">
            <v>-5.6538653063803785</v>
          </cell>
          <cell r="S1381">
            <v>-5.9151681793567557</v>
          </cell>
          <cell r="T1381">
            <v>-6.1704959394451748</v>
          </cell>
          <cell r="U1381">
            <v>-6.4192627806056723</v>
          </cell>
          <cell r="V1381">
            <v>-6.6649159603186519</v>
          </cell>
          <cell r="W1381">
            <v>-6.9051647197495676</v>
          </cell>
          <cell r="X1381">
            <v>-7.1385483908612883</v>
          </cell>
          <cell r="Y1381">
            <v>-7.3641765398649088</v>
          </cell>
          <cell r="Z1381">
            <v>-7.5817079134313792</v>
          </cell>
          <cell r="AA1381">
            <v>-7.7903700929066737</v>
          </cell>
          <cell r="AB1381">
            <v>-7.9899765031852699</v>
          </cell>
          <cell r="AC1381">
            <v>-8.1805020357285869</v>
          </cell>
          <cell r="AD1381">
            <v>-8.3619645880014914</v>
          </cell>
          <cell r="AE1381">
            <v>-8.5349989922653524</v>
          </cell>
          <cell r="AF1381">
            <v>-8.6974949650332043</v>
          </cell>
          <cell r="AG1381">
            <v>-8.849994476032375</v>
          </cell>
          <cell r="AH1381">
            <v>-8.9929814037892353</v>
          </cell>
          <cell r="AI1381">
            <v>-9.1268286922737918</v>
          </cell>
          <cell r="AJ1381">
            <v>-9.2518279940621113</v>
          </cell>
          <cell r="AK1381">
            <v>-9.3674925443796191</v>
          </cell>
          <cell r="AL1381">
            <v>-9.4743319840170486</v>
          </cell>
          <cell r="AM1381">
            <v>-9.5727468509920968</v>
          </cell>
          <cell r="AN1381">
            <v>-9.6630743283632086</v>
          </cell>
          <cell r="AO1381">
            <v>-9.7456279096932441</v>
          </cell>
          <cell r="AP1381">
            <v>-9.8147701201811817</v>
          </cell>
          <cell r="AQ1381">
            <v>-9.8730964018262863</v>
          </cell>
          <cell r="AR1381">
            <v>-9.9223436444245685</v>
          </cell>
          <cell r="AS1381">
            <v>-9.9636850775854704</v>
          </cell>
          <cell r="AT1381">
            <v>-9.9979804746867735</v>
          </cell>
          <cell r="AU1381">
            <v>-10.024979468837071</v>
          </cell>
          <cell r="AV1381">
            <v>-10.045566658138883</v>
          </cell>
          <cell r="AW1381">
            <v>-10.060452906905859</v>
          </cell>
          <cell r="AX1381">
            <v>-10.070235464632749</v>
          </cell>
          <cell r="AY1381">
            <v>-10.075450495820492</v>
          </cell>
          <cell r="AZ1381">
            <v>-10.073660238847904</v>
          </cell>
          <cell r="BA1381">
            <v>-10.066412265521219</v>
          </cell>
          <cell r="BB1381">
            <v>-10.05492683826189</v>
          </cell>
          <cell r="BC1381">
            <v>-10.040111298730558</v>
          </cell>
          <cell r="BD1381">
            <v>-10.022666995468377</v>
          </cell>
          <cell r="BE1381">
            <v>-10.001408805631762</v>
          </cell>
          <cell r="BF1381">
            <v>-9.9774306311914529</v>
          </cell>
          <cell r="BG1381">
            <v>-9.9516043804049215</v>
          </cell>
          <cell r="BH1381">
            <v>-9.9246223826747642</v>
          </cell>
          <cell r="BI1381">
            <v>-9.8970523505787504</v>
          </cell>
        </row>
        <row r="1382">
          <cell r="C1382" t="str">
            <v>Investissement entreprises</v>
          </cell>
          <cell r="E1382" t="str">
            <v>100*((I_2-IA_spub_2)/(I_0-IA_spub_0)-1)</v>
          </cell>
          <cell r="F1382">
            <v>-1.2806660673623682</v>
          </cell>
          <cell r="G1382">
            <v>-2.1099584527060178</v>
          </cell>
          <cell r="H1382">
            <v>-2.6940542390544664</v>
          </cell>
          <cell r="I1382">
            <v>-3.1589028494536486</v>
          </cell>
          <cell r="J1382">
            <v>-3.5623649931537105</v>
          </cell>
          <cell r="K1382">
            <v>-3.9305170140212953</v>
          </cell>
          <cell r="L1382">
            <v>-4.2762932239472029</v>
          </cell>
          <cell r="M1382">
            <v>-4.6049291315689134</v>
          </cell>
          <cell r="N1382">
            <v>-4.9193651734645405</v>
          </cell>
          <cell r="O1382">
            <v>-5.2217891296848729</v>
          </cell>
          <cell r="P1382">
            <v>-5.5140176361087256</v>
          </cell>
          <cell r="Q1382">
            <v>-5.8019637349635218</v>
          </cell>
          <cell r="R1382">
            <v>-6.0847015583389785</v>
          </cell>
          <cell r="S1382">
            <v>-6.3615117515098962</v>
          </cell>
          <cell r="T1382">
            <v>-6.631831006149957</v>
          </cell>
          <cell r="U1382">
            <v>-6.8951246281472311</v>
          </cell>
          <cell r="V1382">
            <v>-7.1551759268146942</v>
          </cell>
          <cell r="W1382">
            <v>-7.4095786646893309</v>
          </cell>
          <cell r="X1382">
            <v>-7.6568072363755064</v>
          </cell>
          <cell r="Y1382">
            <v>-7.8959313198116554</v>
          </cell>
          <cell r="Z1382">
            <v>-8.1264483176691442</v>
          </cell>
          <cell r="AA1382">
            <v>-8.3478521342935768</v>
          </cell>
          <cell r="AB1382">
            <v>-8.5597974932476557</v>
          </cell>
          <cell r="AC1382">
            <v>-8.7621992133757658</v>
          </cell>
          <cell r="AD1382">
            <v>-8.9550470830116797</v>
          </cell>
          <cell r="AE1382">
            <v>-9.1385630787569454</v>
          </cell>
          <cell r="AF1382">
            <v>-9.3112184331890724</v>
          </cell>
          <cell r="AG1382">
            <v>-9.4734174799509514</v>
          </cell>
          <cell r="AH1382">
            <v>-9.6255871099513275</v>
          </cell>
          <cell r="AI1382">
            <v>-9.7680738060399221</v>
          </cell>
          <cell r="AJ1382">
            <v>-9.9011536931015502</v>
          </cell>
          <cell r="AK1382">
            <v>-10.024278112531281</v>
          </cell>
          <cell r="AL1382">
            <v>-10.137973495484975</v>
          </cell>
          <cell r="AM1382">
            <v>-10.242652286538224</v>
          </cell>
          <cell r="AN1382">
            <v>-10.338663479068778</v>
          </cell>
          <cell r="AO1382">
            <v>-10.426334754140232</v>
          </cell>
          <cell r="AP1382">
            <v>-10.499520070924873</v>
          </cell>
          <cell r="AQ1382">
            <v>-10.561127457473884</v>
          </cell>
          <cell r="AR1382">
            <v>-10.613029777658333</v>
          </cell>
          <cell r="AS1382">
            <v>-10.656471637797893</v>
          </cell>
          <cell r="AT1382">
            <v>-10.69236435781602</v>
          </cell>
          <cell r="AU1382">
            <v>-10.720437758769618</v>
          </cell>
          <cell r="AV1382">
            <v>-10.741641830898141</v>
          </cell>
          <cell r="AW1382">
            <v>-10.756739900476219</v>
          </cell>
          <cell r="AX1382">
            <v>-10.766375550361795</v>
          </cell>
          <cell r="AY1382">
            <v>-10.771128682249842</v>
          </cell>
          <cell r="AZ1382">
            <v>-10.768407129777213</v>
          </cell>
          <cell r="BA1382">
            <v>-10.759864462001833</v>
          </cell>
          <cell r="BB1382">
            <v>-10.746799698723763</v>
          </cell>
          <cell r="BC1382">
            <v>-10.730183235235447</v>
          </cell>
          <cell r="BD1382">
            <v>-10.710770661930269</v>
          </cell>
          <cell r="BE1382">
            <v>-10.687302771512087</v>
          </cell>
          <cell r="BF1382">
            <v>-10.660959655637514</v>
          </cell>
          <cell r="BG1382">
            <v>-10.632674886220794</v>
          </cell>
          <cell r="BH1382">
            <v>-10.603189921356593</v>
          </cell>
          <cell r="BI1382">
            <v>-10.573114908605486</v>
          </cell>
        </row>
        <row r="1383">
          <cell r="E1383" t="str">
            <v>100*(X_2/X_0-1)</v>
          </cell>
          <cell r="F1383">
            <v>-6.0774364449199698</v>
          </cell>
          <cell r="G1383">
            <v>-6.3378218018381505</v>
          </cell>
          <cell r="H1383">
            <v>-6.5433521659517986</v>
          </cell>
          <cell r="I1383">
            <v>-6.7147829045742231</v>
          </cell>
          <cell r="J1383">
            <v>-6.8672974882983855</v>
          </cell>
          <cell r="K1383">
            <v>-7.0109129140240256</v>
          </cell>
          <cell r="L1383">
            <v>-7.1581300441136868</v>
          </cell>
          <cell r="M1383">
            <v>-7.3067805067122631</v>
          </cell>
          <cell r="N1383">
            <v>-7.4599681034119403</v>
          </cell>
          <cell r="O1383">
            <v>-7.620104277531869</v>
          </cell>
          <cell r="P1383">
            <v>-7.789101863836267</v>
          </cell>
          <cell r="Q1383">
            <v>-7.990522463082117</v>
          </cell>
          <cell r="R1383">
            <v>-8.2015619177199675</v>
          </cell>
          <cell r="S1383">
            <v>-8.4223640793467567</v>
          </cell>
          <cell r="T1383">
            <v>-8.6526731017209535</v>
          </cell>
          <cell r="U1383">
            <v>-8.8918988117633546</v>
          </cell>
          <cell r="V1383">
            <v>-9.1597736628802657</v>
          </cell>
          <cell r="W1383">
            <v>-9.4335212953185472</v>
          </cell>
          <cell r="X1383">
            <v>-9.7119213125226871</v>
          </cell>
          <cell r="Y1383">
            <v>-9.9937488614505803</v>
          </cell>
          <cell r="Z1383">
            <v>-10.277778234895829</v>
          </cell>
          <cell r="AA1383">
            <v>-10.562017712706339</v>
          </cell>
          <cell r="AB1383">
            <v>-10.84635801256516</v>
          </cell>
          <cell r="AC1383">
            <v>-11.129874950786157</v>
          </cell>
          <cell r="AD1383">
            <v>-11.411738488396949</v>
          </cell>
          <cell r="AE1383">
            <v>-11.691124717655265</v>
          </cell>
          <cell r="AF1383">
            <v>-11.958422301314453</v>
          </cell>
          <cell r="AG1383">
            <v>-12.222483812135977</v>
          </cell>
          <cell r="AH1383">
            <v>-12.482985999844887</v>
          </cell>
          <cell r="AI1383">
            <v>-12.739699287785777</v>
          </cell>
          <cell r="AJ1383">
            <v>-12.992463183767654</v>
          </cell>
          <cell r="AK1383">
            <v>-13.23744327038966</v>
          </cell>
          <cell r="AL1383">
            <v>-13.478456769449876</v>
          </cell>
          <cell r="AM1383">
            <v>-13.715509702936002</v>
          </cell>
          <cell r="AN1383">
            <v>-13.948643707995267</v>
          </cell>
          <cell r="AO1383">
            <v>-14.177929654410937</v>
          </cell>
          <cell r="AP1383">
            <v>-14.372946268700327</v>
          </cell>
          <cell r="AQ1383">
            <v>-14.565223583863386</v>
          </cell>
          <cell r="AR1383">
            <v>-14.755033029647979</v>
          </cell>
          <cell r="AS1383">
            <v>-14.942639189563423</v>
          </cell>
          <cell r="AT1383">
            <v>-15.128260934807347</v>
          </cell>
          <cell r="AU1383">
            <v>-15.307482565779384</v>
          </cell>
          <cell r="AV1383">
            <v>-15.485098750037185</v>
          </cell>
          <cell r="AW1383">
            <v>-15.661196711891945</v>
          </cell>
          <cell r="AX1383">
            <v>-15.835827167883165</v>
          </cell>
          <cell r="AY1383">
            <v>-16.00900682295795</v>
          </cell>
          <cell r="AZ1383">
            <v>-16.166229813664934</v>
          </cell>
          <cell r="BA1383">
            <v>-16.322236639540133</v>
          </cell>
          <cell r="BB1383">
            <v>-16.477061191458098</v>
          </cell>
          <cell r="BC1383">
            <v>-16.630722979514434</v>
          </cell>
          <cell r="BD1383">
            <v>-16.78320948432178</v>
          </cell>
          <cell r="BE1383">
            <v>-16.926016668500175</v>
          </cell>
          <cell r="BF1383">
            <v>-17.067655875541977</v>
          </cell>
          <cell r="BG1383">
            <v>-17.20809725280159</v>
          </cell>
          <cell r="BH1383">
            <v>-17.347307982205471</v>
          </cell>
          <cell r="BI1383">
            <v>-17.485240932597122</v>
          </cell>
        </row>
        <row r="1384">
          <cell r="E1384" t="str">
            <v>100*(M_2/M_0-1)</v>
          </cell>
          <cell r="F1384">
            <v>-2.0486605379585909</v>
          </cell>
          <cell r="G1384">
            <v>-2.7956544965377139</v>
          </cell>
          <cell r="H1384">
            <v>-3.3503689230467537</v>
          </cell>
          <cell r="I1384">
            <v>-3.8201931164259628</v>
          </cell>
          <cell r="J1384">
            <v>-4.2285385442301422</v>
          </cell>
          <cell r="K1384">
            <v>-4.586132641991858</v>
          </cell>
          <cell r="L1384">
            <v>-4.9034912090816452</v>
          </cell>
          <cell r="M1384">
            <v>-5.1862010803713998</v>
          </cell>
          <cell r="N1384">
            <v>-5.4402164664210106</v>
          </cell>
          <cell r="O1384">
            <v>-5.6707532225527046</v>
          </cell>
          <cell r="P1384">
            <v>-5.881807928603644</v>
          </cell>
          <cell r="Q1384">
            <v>-6.0844951244171552</v>
          </cell>
          <cell r="R1384">
            <v>-6.2756207815876763</v>
          </cell>
          <cell r="S1384">
            <v>-6.455856809610161</v>
          </cell>
          <cell r="T1384">
            <v>-6.6261237096940757</v>
          </cell>
          <cell r="U1384">
            <v>-6.7873094289568003</v>
          </cell>
          <cell r="V1384">
            <v>-6.9473129417217949</v>
          </cell>
          <cell r="W1384">
            <v>-7.1016958270869512</v>
          </cell>
          <cell r="X1384">
            <v>-7.2503967558194997</v>
          </cell>
          <cell r="Y1384">
            <v>-7.3938780310830126</v>
          </cell>
          <cell r="Z1384">
            <v>-7.5328454685948625</v>
          </cell>
          <cell r="AA1384">
            <v>-7.667638574214708</v>
          </cell>
          <cell r="AB1384">
            <v>-7.7987912969944677</v>
          </cell>
          <cell r="AC1384">
            <v>-7.9269086740021866</v>
          </cell>
          <cell r="AD1384">
            <v>-8.0524737651102569</v>
          </cell>
          <cell r="AE1384">
            <v>-8.1759748481937464</v>
          </cell>
          <cell r="AF1384">
            <v>-8.2952217413946876</v>
          </cell>
          <cell r="AG1384">
            <v>-8.4119640508658495</v>
          </cell>
          <cell r="AH1384">
            <v>-8.5266972131529783</v>
          </cell>
          <cell r="AI1384">
            <v>-8.6396627314999304</v>
          </cell>
          <cell r="AJ1384">
            <v>-8.7509857953449899</v>
          </cell>
          <cell r="AK1384">
            <v>-8.8594472497022458</v>
          </cell>
          <cell r="AL1384">
            <v>-8.9660032421831186</v>
          </cell>
          <cell r="AM1384">
            <v>-9.0708208297948687</v>
          </cell>
          <cell r="AN1384">
            <v>-9.1739630656177624</v>
          </cell>
          <cell r="AO1384">
            <v>-9.2754595985788946</v>
          </cell>
          <cell r="AP1384">
            <v>-9.3647785710929909</v>
          </cell>
          <cell r="AQ1384">
            <v>-9.4498353616294217</v>
          </cell>
          <cell r="AR1384">
            <v>-9.5319585239977851</v>
          </cell>
          <cell r="AS1384">
            <v>-9.6117170341512566</v>
          </cell>
          <cell r="AT1384">
            <v>-9.68945422235279</v>
          </cell>
          <cell r="AU1384">
            <v>-9.7638368829904287</v>
          </cell>
          <cell r="AV1384">
            <v>-9.8362144685158466</v>
          </cell>
          <cell r="AW1384">
            <v>-9.9069812514451243</v>
          </cell>
          <cell r="AX1384">
            <v>-9.9764056196023567</v>
          </cell>
          <cell r="AY1384">
            <v>-10.044711042996523</v>
          </cell>
          <cell r="AZ1384">
            <v>-10.107083570266484</v>
          </cell>
          <cell r="BA1384">
            <v>-10.167348838993529</v>
          </cell>
          <cell r="BB1384">
            <v>-10.226354731724363</v>
          </cell>
          <cell r="BC1384">
            <v>-10.284593332733349</v>
          </cell>
          <cell r="BD1384">
            <v>-10.342383200421612</v>
          </cell>
          <cell r="BE1384">
            <v>-10.396985108110645</v>
          </cell>
          <cell r="BF1384">
            <v>-10.450700552863113</v>
          </cell>
          <cell r="BG1384">
            <v>-10.504072565229617</v>
          </cell>
          <cell r="BH1384">
            <v>-10.557405876908788</v>
          </cell>
          <cell r="BI1384">
            <v>-10.610912553172724</v>
          </cell>
        </row>
        <row r="1385">
          <cell r="C1385" t="str">
            <v>Consommation des ménages</v>
          </cell>
          <cell r="E1385" t="str">
            <v>100*((CH_2-CH_ccon_2)/(CH_0-CH_ccon_0)-1)</v>
          </cell>
          <cell r="F1385">
            <v>-0.56629507594331274</v>
          </cell>
          <cell r="G1385">
            <v>-1.240652459482916</v>
          </cell>
          <cell r="H1385">
            <v>-1.8677927835495045</v>
          </cell>
          <cell r="I1385">
            <v>-2.405373558473356</v>
          </cell>
          <cell r="J1385">
            <v>-2.847698144623334</v>
          </cell>
          <cell r="K1385">
            <v>-3.2017839520912084</v>
          </cell>
          <cell r="L1385">
            <v>-3.4802004043070323</v>
          </cell>
          <cell r="M1385">
            <v>-3.6950698682773231</v>
          </cell>
          <cell r="N1385">
            <v>-3.8584970351921322</v>
          </cell>
          <cell r="O1385">
            <v>-3.9815032525602589</v>
          </cell>
          <cell r="P1385">
            <v>-4.0724676272156923</v>
          </cell>
          <cell r="Q1385">
            <v>-4.1424933951044736</v>
          </cell>
          <cell r="R1385">
            <v>-4.1964861994962526</v>
          </cell>
          <cell r="S1385">
            <v>-4.2377961390538061</v>
          </cell>
          <cell r="T1385">
            <v>-4.2689038034668281</v>
          </cell>
          <cell r="U1385">
            <v>-4.2917882934230711</v>
          </cell>
          <cell r="V1385">
            <v>-4.3100491293602383</v>
          </cell>
          <cell r="W1385">
            <v>-4.3253732249207255</v>
          </cell>
          <cell r="X1385">
            <v>-4.3388160877196764</v>
          </cell>
          <cell r="Y1385">
            <v>-4.3512707952633729</v>
          </cell>
          <cell r="Z1385">
            <v>-4.3641808199235239</v>
          </cell>
          <cell r="AA1385">
            <v>-4.3770650663140014</v>
          </cell>
          <cell r="AB1385">
            <v>-4.391016888360932</v>
          </cell>
          <cell r="AC1385">
            <v>-4.4068035871878797</v>
          </cell>
          <cell r="AD1385">
            <v>-4.4249345743140989</v>
          </cell>
          <cell r="AE1385">
            <v>-4.4472420625506937</v>
          </cell>
          <cell r="AF1385">
            <v>-4.470531586851811</v>
          </cell>
          <cell r="AG1385">
            <v>-4.4950742197705118</v>
          </cell>
          <cell r="AH1385">
            <v>-4.5212207402320903</v>
          </cell>
          <cell r="AI1385">
            <v>-4.5491794733548474</v>
          </cell>
          <cell r="AJ1385">
            <v>-4.5790020114898073</v>
          </cell>
          <cell r="AK1385">
            <v>-4.6102569599571268</v>
          </cell>
          <cell r="AL1385">
            <v>-4.6428080797757731</v>
          </cell>
          <cell r="AM1385">
            <v>-4.6765913345988235</v>
          </cell>
          <cell r="AN1385">
            <v>-4.7115383402823614</v>
          </cell>
          <cell r="AO1385">
            <v>-4.7475646588355458</v>
          </cell>
          <cell r="AP1385">
            <v>-4.7817024169645173</v>
          </cell>
          <cell r="AQ1385">
            <v>-4.8133737143791429</v>
          </cell>
          <cell r="AR1385">
            <v>-4.8431070096904723</v>
          </cell>
          <cell r="AS1385">
            <v>-4.8715854371912615</v>
          </cell>
          <cell r="AT1385">
            <v>-4.8993766762544748</v>
          </cell>
          <cell r="AU1385">
            <v>-4.9264372232805886</v>
          </cell>
          <cell r="AV1385">
            <v>-4.9531071578239994</v>
          </cell>
          <cell r="AW1385">
            <v>-4.9798016896353108</v>
          </cell>
          <cell r="AX1385">
            <v>-5.0068964709107266</v>
          </cell>
          <cell r="AY1385">
            <v>-5.0347037015684553</v>
          </cell>
          <cell r="AZ1385">
            <v>-5.0619034150296116</v>
          </cell>
          <cell r="BA1385">
            <v>-5.0887302512924615</v>
          </cell>
          <cell r="BB1385">
            <v>-5.1157778508055145</v>
          </cell>
          <cell r="BC1385">
            <v>-5.14355893029167</v>
          </cell>
          <cell r="BD1385">
            <v>-5.1724138036846501</v>
          </cell>
          <cell r="BE1385">
            <v>-5.2016188330970214</v>
          </cell>
          <cell r="BF1385">
            <v>-5.2313136738651789</v>
          </cell>
          <cell r="BG1385">
            <v>-5.2618467864398273</v>
          </cell>
          <cell r="BH1385">
            <v>-5.2935218341901287</v>
          </cell>
          <cell r="BI1385">
            <v>-5.3265446244620591</v>
          </cell>
        </row>
        <row r="1386">
          <cell r="C1386" t="str">
            <v>Investissement</v>
          </cell>
          <cell r="E1386" t="str">
            <v>100*((I_2+CH_ccon_2)/(I_0+CH_ccon_0)-1)</v>
          </cell>
          <cell r="F1386">
            <v>-1.1668470054058466</v>
          </cell>
          <cell r="G1386">
            <v>-1.9275126779456309</v>
          </cell>
          <cell r="H1386">
            <v>-2.4635497072733381</v>
          </cell>
          <cell r="I1386">
            <v>-2.8901008756394675</v>
          </cell>
          <cell r="J1386">
            <v>-3.2609341569486583</v>
          </cell>
          <cell r="K1386">
            <v>-3.6000951319170249</v>
          </cell>
          <cell r="L1386">
            <v>-3.91926457455406</v>
          </cell>
          <cell r="M1386">
            <v>-4.2228331710753686</v>
          </cell>
          <cell r="N1386">
            <v>-4.5132626163829404</v>
          </cell>
          <cell r="O1386">
            <v>-4.792448545156736</v>
          </cell>
          <cell r="P1386">
            <v>-5.0618281605114284</v>
          </cell>
          <cell r="Q1386">
            <v>-5.3271915206784755</v>
          </cell>
          <cell r="R1386">
            <v>-5.5875551414191431</v>
          </cell>
          <cell r="S1386">
            <v>-5.8422026539003635</v>
          </cell>
          <cell r="T1386">
            <v>-6.0905991400961534</v>
          </cell>
          <cell r="U1386">
            <v>-6.332259222849479</v>
          </cell>
          <cell r="V1386">
            <v>-6.5706500205180767</v>
          </cell>
          <cell r="W1386">
            <v>-6.8036379708700023</v>
          </cell>
          <cell r="X1386">
            <v>-7.0298699059229914</v>
          </cell>
          <cell r="Y1386">
            <v>-7.2485402302817743</v>
          </cell>
          <cell r="Z1386">
            <v>-7.4593978551891098</v>
          </cell>
          <cell r="AA1386">
            <v>-7.6616999758179922</v>
          </cell>
          <cell r="AB1386">
            <v>-7.8553233784779408</v>
          </cell>
          <cell r="AC1386">
            <v>-8.0402845684327104</v>
          </cell>
          <cell r="AD1386">
            <v>-8.2166289588420973</v>
          </cell>
          <cell r="AE1386">
            <v>-8.3850532664068389</v>
          </cell>
          <cell r="AF1386">
            <v>-8.5434050869074181</v>
          </cell>
          <cell r="AG1386">
            <v>-8.6922156484604667</v>
          </cell>
          <cell r="AH1386">
            <v>-8.8319587987527814</v>
          </cell>
          <cell r="AI1386">
            <v>-8.9629950962760283</v>
          </cell>
          <cell r="AJ1386">
            <v>-9.0855986014003349</v>
          </cell>
          <cell r="AK1386">
            <v>-9.1992738170474819</v>
          </cell>
          <cell r="AL1386">
            <v>-9.3044986437920247</v>
          </cell>
          <cell r="AM1386">
            <v>-9.4016492929769981</v>
          </cell>
          <cell r="AN1386">
            <v>-9.491041036037462</v>
          </cell>
          <cell r="AO1386">
            <v>-9.5729656860258583</v>
          </cell>
          <cell r="AP1386">
            <v>-9.6418686959698796</v>
          </cell>
          <cell r="AQ1386">
            <v>-9.7002362942378522</v>
          </cell>
          <cell r="AR1386">
            <v>-9.7497679906067169</v>
          </cell>
          <cell r="AS1386">
            <v>-9.7916186131598248</v>
          </cell>
          <cell r="AT1386">
            <v>-9.8266285622235046</v>
          </cell>
          <cell r="AU1386">
            <v>-9.8545389987567447</v>
          </cell>
          <cell r="AV1386">
            <v>-9.8762012944171857</v>
          </cell>
          <cell r="AW1386">
            <v>-9.8923042454883046</v>
          </cell>
          <cell r="AX1386">
            <v>-9.9034281193400844</v>
          </cell>
          <cell r="AY1386">
            <v>-9.9100947513937712</v>
          </cell>
          <cell r="AZ1386">
            <v>-9.9099010136426298</v>
          </cell>
          <cell r="BA1386">
            <v>-9.9043611423942135</v>
          </cell>
          <cell r="BB1386">
            <v>-9.8946876543341666</v>
          </cell>
          <cell r="BC1386">
            <v>-9.8817735698758078</v>
          </cell>
          <cell r="BD1386">
            <v>-9.8663028659599856</v>
          </cell>
          <cell r="BE1386">
            <v>-9.8470987864638708</v>
          </cell>
          <cell r="BF1386">
            <v>-9.8252214440972097</v>
          </cell>
          <cell r="BG1386">
            <v>-9.8015275408616542</v>
          </cell>
          <cell r="BH1386">
            <v>-9.7766986482099032</v>
          </cell>
          <cell r="BI1386">
            <v>-9.7512907330759226</v>
          </cell>
        </row>
        <row r="1387">
          <cell r="C1387" t="str">
            <v>Investissement ménages</v>
          </cell>
          <cell r="E1387" t="str">
            <v>100*((CH_ccon_2)/(CH_ccon_0)-1)</v>
          </cell>
          <cell r="F1387">
            <v>-0.59134383436015847</v>
          </cell>
          <cell r="G1387">
            <v>-1.1643072335156379</v>
          </cell>
          <cell r="H1387">
            <v>-1.6294494124210579</v>
          </cell>
          <cell r="I1387">
            <v>-2.0126819480311586</v>
          </cell>
          <cell r="J1387">
            <v>-2.345383322084027</v>
          </cell>
          <cell r="K1387">
            <v>-2.6405662540495034</v>
          </cell>
          <cell r="L1387">
            <v>-2.9011325279707623</v>
          </cell>
          <cell r="M1387">
            <v>-3.1263465705567484</v>
          </cell>
          <cell r="N1387">
            <v>-3.3172283799333235</v>
          </cell>
          <cell r="O1387">
            <v>-3.4764330582661374</v>
          </cell>
          <cell r="P1387">
            <v>-3.6067622100069752</v>
          </cell>
          <cell r="Q1387">
            <v>-3.715637434377117</v>
          </cell>
          <cell r="R1387">
            <v>-3.8058438221175606</v>
          </cell>
          <cell r="S1387">
            <v>-3.8796592457124079</v>
          </cell>
          <cell r="T1387">
            <v>-3.9392252372823289</v>
          </cell>
          <cell r="U1387">
            <v>-3.9866664684949926</v>
          </cell>
          <cell r="V1387">
            <v>-4.0259037483555744</v>
          </cell>
          <cell r="W1387">
            <v>-4.058975473496707</v>
          </cell>
          <cell r="X1387">
            <v>-4.0873822759077028</v>
          </cell>
          <cell r="Y1387">
            <v>-4.1125809091041461</v>
          </cell>
          <cell r="Z1387">
            <v>-4.1365604141519903</v>
          </cell>
          <cell r="AA1387">
            <v>-4.1596154383006123</v>
          </cell>
          <cell r="AB1387">
            <v>-4.1834047108000982</v>
          </cell>
          <cell r="AC1387">
            <v>-4.2091793571510934</v>
          </cell>
          <cell r="AD1387">
            <v>-4.2378112632285747</v>
          </cell>
          <cell r="AE1387">
            <v>-4.2711146054027038</v>
          </cell>
          <cell r="AF1387">
            <v>-4.3063624699302805</v>
          </cell>
          <cell r="AG1387">
            <v>-4.3440473319605655</v>
          </cell>
          <cell r="AH1387">
            <v>-4.3847320533527467</v>
          </cell>
          <cell r="AI1387">
            <v>-4.4287251847500597</v>
          </cell>
          <cell r="AJ1387">
            <v>-4.4760296674181905</v>
          </cell>
          <cell r="AK1387">
            <v>-4.5260672144112668</v>
          </cell>
          <cell r="AL1387">
            <v>-4.5785534350327612</v>
          </cell>
          <cell r="AM1387">
            <v>-4.6332785429566421</v>
          </cell>
          <cell r="AN1387">
            <v>-4.6900199219328531</v>
          </cell>
          <cell r="AO1387">
            <v>-4.74852486911076</v>
          </cell>
          <cell r="AP1387">
            <v>-4.8054415697441177</v>
          </cell>
          <cell r="AQ1387">
            <v>-4.8603025129950623</v>
          </cell>
          <cell r="AR1387">
            <v>-4.9138592584899836</v>
          </cell>
          <cell r="AS1387">
            <v>-4.9668613523239591</v>
          </cell>
          <cell r="AT1387">
            <v>-5.019691730435194</v>
          </cell>
          <cell r="AU1387">
            <v>-5.0718999876236186</v>
          </cell>
          <cell r="AV1387">
            <v>-5.1234112431943419</v>
          </cell>
          <cell r="AW1387">
            <v>-5.1742675235009301</v>
          </cell>
          <cell r="AX1387">
            <v>-5.2245206371293822</v>
          </cell>
          <cell r="AY1387">
            <v>-5.2742228449267898</v>
          </cell>
          <cell r="AZ1387">
            <v>-5.3218799132406236</v>
          </cell>
          <cell r="BA1387">
            <v>-5.3679900819800785</v>
          </cell>
          <cell r="BB1387">
            <v>-5.4134607160902792</v>
          </cell>
          <cell r="BC1387">
            <v>-5.4586788069608705</v>
          </cell>
          <cell r="BD1387">
            <v>-5.5037430260186593</v>
          </cell>
          <cell r="BE1387">
            <v>-5.5476211464003278</v>
          </cell>
          <cell r="BF1387">
            <v>-5.5903513004617711</v>
          </cell>
          <cell r="BG1387">
            <v>-5.6322949983952704</v>
          </cell>
          <cell r="BH1387">
            <v>-5.6737684079891544</v>
          </cell>
          <cell r="BI1387">
            <v>-5.7149399994264822</v>
          </cell>
        </row>
        <row r="1388">
          <cell r="C1388" t="str">
            <v>Investissement public</v>
          </cell>
          <cell r="E1388" t="str">
            <v>100*((IA_spub_2)/(IA_spub_0)-1)</v>
          </cell>
          <cell r="F1388">
            <v>-0.18029986903937978</v>
          </cell>
          <cell r="G1388">
            <v>-0.27554382726217019</v>
          </cell>
          <cell r="H1388">
            <v>-0.32023038266887349</v>
          </cell>
          <cell r="I1388">
            <v>-0.35042736961171661</v>
          </cell>
          <cell r="J1388">
            <v>-0.38443623226362966</v>
          </cell>
          <cell r="K1388">
            <v>-0.4285555601615143</v>
          </cell>
          <cell r="L1388">
            <v>-0.4835843793722594</v>
          </cell>
          <cell r="M1388">
            <v>-0.54758733693121009</v>
          </cell>
          <cell r="N1388">
            <v>-0.61859006724571675</v>
          </cell>
          <cell r="O1388">
            <v>-0.69496520662144512</v>
          </cell>
          <cell r="P1388">
            <v>-0.77501442666279008</v>
          </cell>
          <cell r="Q1388">
            <v>-0.85899653087211369</v>
          </cell>
          <cell r="R1388">
            <v>-0.94493833552560247</v>
          </cell>
          <cell r="S1388">
            <v>-1.031246073334946</v>
          </cell>
          <cell r="T1388">
            <v>-1.116621176854149</v>
          </cell>
          <cell r="U1388">
            <v>-1.1999885439218816</v>
          </cell>
          <cell r="V1388">
            <v>-1.2811454143787482</v>
          </cell>
          <cell r="W1388">
            <v>-1.3590855763801368</v>
          </cell>
          <cell r="X1388">
            <v>-1.4330763894203291</v>
          </cell>
          <cell r="Y1388">
            <v>-1.5026796812544596</v>
          </cell>
          <cell r="Z1388">
            <v>-1.5679360344368565</v>
          </cell>
          <cell r="AA1388">
            <v>-1.6282016915628361</v>
          </cell>
          <cell r="AB1388">
            <v>-1.6838371863552082</v>
          </cell>
          <cell r="AC1388">
            <v>-1.7351172317237817</v>
          </cell>
          <cell r="AD1388">
            <v>-1.7823047453474183</v>
          </cell>
          <cell r="AE1388">
            <v>-1.826373014403615</v>
          </cell>
          <cell r="AF1388">
            <v>-1.8660024319212543</v>
          </cell>
          <cell r="AG1388">
            <v>-1.9019371066385959</v>
          </cell>
          <cell r="AH1388">
            <v>-1.9347840955245665</v>
          </cell>
          <cell r="AI1388">
            <v>-1.9650335957987597</v>
          </cell>
          <cell r="AJ1388">
            <v>-1.9930840813087491</v>
          </cell>
          <cell r="AK1388">
            <v>-2.0191219456363596</v>
          </cell>
          <cell r="AL1388">
            <v>-2.0434789850761303</v>
          </cell>
          <cell r="AM1388">
            <v>-2.0664520680450327</v>
          </cell>
          <cell r="AN1388">
            <v>-2.0882901395193443</v>
          </cell>
          <cell r="AO1388">
            <v>-2.1092009946712564</v>
          </cell>
          <cell r="AP1388">
            <v>-2.1282790042976174</v>
          </cell>
          <cell r="AQ1388">
            <v>-2.1458758985772319</v>
          </cell>
          <cell r="AR1388">
            <v>-2.1625473441639786</v>
          </cell>
          <cell r="AS1388">
            <v>-2.1787161091396556</v>
          </cell>
          <cell r="AT1388">
            <v>-2.1946339161944661</v>
          </cell>
          <cell r="AU1388">
            <v>-2.2102238609720493</v>
          </cell>
          <cell r="AV1388">
            <v>-2.2255825012935326</v>
          </cell>
          <cell r="AW1388">
            <v>-2.2407785908903688</v>
          </cell>
          <cell r="AX1388">
            <v>-2.2558378599107476</v>
          </cell>
          <cell r="AY1388">
            <v>-2.270755604603758</v>
          </cell>
          <cell r="AZ1388">
            <v>-2.2848581033108051</v>
          </cell>
          <cell r="BA1388">
            <v>-2.2983521237522564</v>
          </cell>
          <cell r="BB1388">
            <v>-2.3114973729603805</v>
          </cell>
          <cell r="BC1388">
            <v>-2.3244396157941161</v>
          </cell>
          <cell r="BD1388">
            <v>-2.3372222378277185</v>
          </cell>
          <cell r="BE1388">
            <v>-2.349433459472372</v>
          </cell>
          <cell r="BF1388">
            <v>-2.3611462050594723</v>
          </cell>
          <cell r="BG1388">
            <v>-2.3724846422277568</v>
          </cell>
          <cell r="BH1388">
            <v>-2.383532777308206</v>
          </cell>
          <cell r="BI1388">
            <v>-2.3943249572512038</v>
          </cell>
        </row>
        <row r="1389">
          <cell r="C1389" t="str">
            <v>Revenu disponible des ménages</v>
          </cell>
          <cell r="E1389" t="str">
            <v>100*(DISPINC_AT_VAL_2/DISPINC_AT_VAL_0-1)</v>
          </cell>
          <cell r="F1389">
            <v>-1.0477976999619276</v>
          </cell>
          <cell r="G1389">
            <v>-2.0221042633128961</v>
          </cell>
          <cell r="H1389">
            <v>-2.9110951207188651</v>
          </cell>
          <cell r="I1389">
            <v>-3.7087297635558514</v>
          </cell>
          <cell r="J1389">
            <v>-4.4132270554506299</v>
          </cell>
          <cell r="K1389">
            <v>-5.027787511893111</v>
          </cell>
          <cell r="L1389">
            <v>-5.5607533824397208</v>
          </cell>
          <cell r="M1389">
            <v>-6.0185273737630158</v>
          </cell>
          <cell r="N1389">
            <v>-6.4089403575834814</v>
          </cell>
          <cell r="O1389">
            <v>-6.7392521404968209</v>
          </cell>
          <cell r="P1389">
            <v>-7.0143484842098536</v>
          </cell>
          <cell r="Q1389">
            <v>-7.246636445046839</v>
          </cell>
          <cell r="R1389">
            <v>-7.4384904829615017</v>
          </cell>
          <cell r="S1389">
            <v>-7.5941680260571136</v>
          </cell>
          <cell r="T1389">
            <v>-7.7177603058306126</v>
          </cell>
          <cell r="U1389">
            <v>-7.8132525085920612</v>
          </cell>
          <cell r="V1389">
            <v>-7.8875032231795377</v>
          </cell>
          <cell r="W1389">
            <v>-7.9438374968398895</v>
          </cell>
          <cell r="X1389">
            <v>-7.9854952918683715</v>
          </cell>
          <cell r="Y1389">
            <v>-8.0155630130483768</v>
          </cell>
          <cell r="Z1389">
            <v>-8.0379619896757895</v>
          </cell>
          <cell r="AA1389">
            <v>-8.0528317894690176</v>
          </cell>
          <cell r="AB1389">
            <v>-8.0637499827559189</v>
          </cell>
          <cell r="AC1389">
            <v>-8.0726450388593936</v>
          </cell>
          <cell r="AD1389">
            <v>-8.0811196691422111</v>
          </cell>
          <cell r="AE1389">
            <v>-8.0931888300936343</v>
          </cell>
          <cell r="AF1389">
            <v>-8.1037579680434018</v>
          </cell>
          <cell r="AG1389">
            <v>-8.1155688511094777</v>
          </cell>
          <cell r="AH1389">
            <v>-8.1292193385153251</v>
          </cell>
          <cell r="AI1389">
            <v>-8.1450649672888851</v>
          </cell>
          <cell r="AJ1389">
            <v>-8.1632976401220354</v>
          </cell>
          <cell r="AK1389">
            <v>-8.1835124070892551</v>
          </cell>
          <cell r="AL1389">
            <v>-8.2057737084623046</v>
          </cell>
          <cell r="AM1389">
            <v>-8.230049546524242</v>
          </cell>
          <cell r="AN1389">
            <v>-8.2562394445792169</v>
          </cell>
          <cell r="AO1389">
            <v>-8.2841988034933358</v>
          </cell>
          <cell r="AP1389">
            <v>-8.3104918380638164</v>
          </cell>
          <cell r="AQ1389">
            <v>-8.3348353438009948</v>
          </cell>
          <cell r="AR1389">
            <v>-8.3574859167444782</v>
          </cell>
          <cell r="AS1389">
            <v>-8.378626450807614</v>
          </cell>
          <cell r="AT1389">
            <v>-8.3984617255140179</v>
          </cell>
          <cell r="AU1389">
            <v>-8.4167167471217326</v>
          </cell>
          <cell r="AV1389">
            <v>-8.4337936858407616</v>
          </cell>
          <cell r="AW1389">
            <v>-8.4500858213257928</v>
          </cell>
          <cell r="AX1389">
            <v>-8.4659774418879721</v>
          </cell>
          <cell r="AY1389">
            <v>-8.4818467240080473</v>
          </cell>
          <cell r="AZ1389">
            <v>-8.4964232236923625</v>
          </cell>
          <cell r="BA1389">
            <v>-8.5104185587115744</v>
          </cell>
          <cell r="BB1389">
            <v>-8.5243435234431342</v>
          </cell>
          <cell r="BC1389">
            <v>-8.5385936807867999</v>
          </cell>
          <cell r="BD1389">
            <v>-8.5535168127101162</v>
          </cell>
          <cell r="BE1389">
            <v>-8.5685467544360012</v>
          </cell>
          <cell r="BF1389">
            <v>-8.5841685686284031</v>
          </cell>
          <cell r="BG1389">
            <v>-8.6007641737854144</v>
          </cell>
          <cell r="BH1389">
            <v>-8.6186480112219179</v>
          </cell>
          <cell r="BI1389">
            <v>-8.6380988045624783</v>
          </cell>
        </row>
        <row r="1390">
          <cell r="C1390" t="str">
            <v>Revenu disponible réel des ménages</v>
          </cell>
          <cell r="E1390" t="str">
            <v>100*(DISPINC_AT_VAL_2/DISPINC_AT_VAL_0-1)-100*(PCH_2/PCH_0-1)</v>
          </cell>
          <cell r="F1390">
            <v>-0.83027531351649309</v>
          </cell>
          <cell r="G1390">
            <v>-1.477452784814548</v>
          </cell>
          <cell r="H1390">
            <v>-2.0053961893337746</v>
          </cell>
          <cell r="I1390">
            <v>-2.4440585846240981</v>
          </cell>
          <cell r="J1390">
            <v>-2.8064432168572124</v>
          </cell>
          <cell r="K1390">
            <v>-3.1010683668752255</v>
          </cell>
          <cell r="L1390">
            <v>-3.3380388315440328</v>
          </cell>
          <cell r="M1390">
            <v>-3.5249494767432439</v>
          </cell>
          <cell r="N1390">
            <v>-3.6708439047052788</v>
          </cell>
          <cell r="O1390">
            <v>-3.7839844487179142</v>
          </cell>
          <cell r="P1390">
            <v>-3.8699888419492012</v>
          </cell>
          <cell r="Q1390">
            <v>-3.9402528741308784</v>
          </cell>
          <cell r="R1390">
            <v>-3.9957198206467148</v>
          </cell>
          <cell r="S1390">
            <v>-4.0390032394744821</v>
          </cell>
          <cell r="T1390">
            <v>-4.072312202981232</v>
          </cell>
          <cell r="U1390">
            <v>-4.0975492607562725</v>
          </cell>
          <cell r="V1390">
            <v>-4.1190900606337681</v>
          </cell>
          <cell r="W1390">
            <v>-4.1375786883218302</v>
          </cell>
          <cell r="X1390">
            <v>-4.1538745766525711</v>
          </cell>
          <cell r="Y1390">
            <v>-4.1689174709774406</v>
          </cell>
          <cell r="Z1390">
            <v>-4.184471963230207</v>
          </cell>
          <cell r="AA1390">
            <v>-4.1991591134228798</v>
          </cell>
          <cell r="AB1390">
            <v>-4.2150380783930181</v>
          </cell>
          <cell r="AC1390">
            <v>-4.232653243484318</v>
          </cell>
          <cell r="AD1390">
            <v>-4.252378642382503</v>
          </cell>
          <cell r="AE1390">
            <v>-4.2766257482349861</v>
          </cell>
          <cell r="AF1390">
            <v>-4.2997728095482195</v>
          </cell>
          <cell r="AG1390">
            <v>-4.3242860868764943</v>
          </cell>
          <cell r="AH1390">
            <v>-4.3504915592891269</v>
          </cell>
          <cell r="AI1390">
            <v>-4.3784790881158839</v>
          </cell>
          <cell r="AJ1390">
            <v>-4.4082070672450726</v>
          </cell>
          <cell r="AK1390">
            <v>-4.4390411083580545</v>
          </cell>
          <cell r="AL1390">
            <v>-4.4710490509192287</v>
          </cell>
          <cell r="AM1390">
            <v>-4.5042140256490111</v>
          </cell>
          <cell r="AN1390">
            <v>-4.5384691993521908</v>
          </cell>
          <cell r="AO1390">
            <v>-4.5737274346872461</v>
          </cell>
          <cell r="AP1390">
            <v>-4.6057948295726074</v>
          </cell>
          <cell r="AQ1390">
            <v>-4.6355819533669624</v>
          </cell>
          <cell r="AR1390">
            <v>-4.6641211695985341</v>
          </cell>
          <cell r="AS1390">
            <v>-4.6920093579553743</v>
          </cell>
          <cell r="AT1390">
            <v>-4.7196143077045232</v>
          </cell>
          <cell r="AU1390">
            <v>-4.7465206183112558</v>
          </cell>
          <cell r="AV1390">
            <v>-4.7732423881567616</v>
          </cell>
          <cell r="AW1390">
            <v>-4.8001720523244593</v>
          </cell>
          <cell r="AX1390">
            <v>-4.8276093802136035</v>
          </cell>
          <cell r="AY1390">
            <v>-4.8557946049681782</v>
          </cell>
          <cell r="AZ1390">
            <v>-4.8826636234599379</v>
          </cell>
          <cell r="BA1390">
            <v>-4.9093659214399903</v>
          </cell>
          <cell r="BB1390">
            <v>-4.9366003724082619</v>
          </cell>
          <cell r="BC1390">
            <v>-4.964738609893649</v>
          </cell>
          <cell r="BD1390">
            <v>-4.9939735856257332</v>
          </cell>
          <cell r="BE1390">
            <v>-5.023073744949901</v>
          </cell>
          <cell r="BF1390">
            <v>-5.0526929994041625</v>
          </cell>
          <cell r="BG1390">
            <v>-5.0832481284773143</v>
          </cell>
          <cell r="BH1390">
            <v>-5.1149698938021668</v>
          </cell>
          <cell r="BI1390">
            <v>-5.1479809215391201</v>
          </cell>
        </row>
        <row r="1391">
          <cell r="C1391" t="str">
            <v>Revenu disponible par emploi en valeur</v>
          </cell>
          <cell r="E1391" t="str">
            <v>100*(DISPINC_AT_VAL_2/DISPINC_AT_VAL_0-1)-100*((F_L_2/F_L_0)-1)</v>
          </cell>
          <cell r="F1391">
            <v>-0.187213315142154</v>
          </cell>
          <cell r="G1391">
            <v>-0.42633981404336385</v>
          </cell>
          <cell r="H1391">
            <v>-0.74893643351843231</v>
          </cell>
          <cell r="I1391">
            <v>-1.1260471687097984</v>
          </cell>
          <cell r="J1391">
            <v>-1.5248264598212375</v>
          </cell>
          <cell r="K1391">
            <v>-1.9209961909208313</v>
          </cell>
          <cell r="L1391">
            <v>-2.2997188448852683</v>
          </cell>
          <cell r="M1391">
            <v>-2.6498439665734725</v>
          </cell>
          <cell r="N1391">
            <v>-2.9653310462973703</v>
          </cell>
          <cell r="O1391">
            <v>-3.2425563284854353</v>
          </cell>
          <cell r="P1391">
            <v>-3.4784235930453211</v>
          </cell>
          <cell r="Q1391">
            <v>-3.6761234706741197</v>
          </cell>
          <cell r="R1391">
            <v>-3.834255122752539</v>
          </cell>
          <cell r="S1391">
            <v>-3.9549992131720728</v>
          </cell>
          <cell r="T1391">
            <v>-4.041382468582233</v>
          </cell>
          <cell r="U1391">
            <v>-4.0969625259382862</v>
          </cell>
          <cell r="V1391">
            <v>-4.1265384006170311</v>
          </cell>
          <cell r="W1391">
            <v>-4.1339462105491664</v>
          </cell>
          <cell r="X1391">
            <v>-4.123282765630842</v>
          </cell>
          <cell r="Y1391">
            <v>-4.0984805674150753</v>
          </cell>
          <cell r="Z1391">
            <v>-4.0639545824528884</v>
          </cell>
          <cell r="AA1391">
            <v>-4.0209377293569659</v>
          </cell>
          <cell r="AB1391">
            <v>-3.9735220254554786</v>
          </cell>
          <cell r="AC1391">
            <v>-3.9240442679101974</v>
          </cell>
          <cell r="AD1391">
            <v>-3.8744686887098529</v>
          </cell>
          <cell r="AE1391">
            <v>-3.8285144868118515</v>
          </cell>
          <cell r="AF1391">
            <v>-3.7826965800713097</v>
          </cell>
          <cell r="AG1391">
            <v>-3.740238186027689</v>
          </cell>
          <cell r="AH1391">
            <v>-3.701946816592538</v>
          </cell>
          <cell r="AI1391">
            <v>-3.6682857939388871</v>
          </cell>
          <cell r="AJ1391">
            <v>-3.6395277258432941</v>
          </cell>
          <cell r="AK1391">
            <v>-3.6155292438608377</v>
          </cell>
          <cell r="AL1391">
            <v>-3.596480508312327</v>
          </cell>
          <cell r="AM1391">
            <v>-3.5823781092520148</v>
          </cell>
          <cell r="AN1391">
            <v>-3.5731178645200039</v>
          </cell>
          <cell r="AO1391">
            <v>-3.5685374650609933</v>
          </cell>
          <cell r="AP1391">
            <v>-3.566007756477708</v>
          </cell>
          <cell r="AQ1391">
            <v>-3.5659818792846636</v>
          </cell>
          <cell r="AR1391">
            <v>-3.5685204066970506</v>
          </cell>
          <cell r="AS1391">
            <v>-3.5733223679637494</v>
          </cell>
          <cell r="AT1391">
            <v>-3.5800540225470314</v>
          </cell>
          <cell r="AU1391">
            <v>-3.5880086173742498</v>
          </cell>
          <cell r="AV1391">
            <v>-3.5973186436041189</v>
          </cell>
          <cell r="AW1391">
            <v>-3.6080239486258385</v>
          </cell>
          <cell r="AX1391">
            <v>-3.6201684787344526</v>
          </cell>
          <cell r="AY1391">
            <v>-3.6338302071224025</v>
          </cell>
          <cell r="AZ1391">
            <v>-3.6474192189451919</v>
          </cell>
          <cell r="BA1391">
            <v>-3.6620044352810632</v>
          </cell>
          <cell r="BB1391">
            <v>-3.6779081943961849</v>
          </cell>
          <cell r="BC1391">
            <v>-3.6952333623438864</v>
          </cell>
          <cell r="BD1391">
            <v>-3.7140584614985936</v>
          </cell>
          <cell r="BE1391">
            <v>-3.7334260974440916</v>
          </cell>
          <cell r="BF1391">
            <v>-3.7540976692804868</v>
          </cell>
          <cell r="BG1391">
            <v>-3.7763955585271685</v>
          </cell>
          <cell r="BH1391">
            <v>-3.8004683256596552</v>
          </cell>
          <cell r="BI1391">
            <v>-3.8264171253374899</v>
          </cell>
        </row>
        <row r="1392">
          <cell r="C1392" t="str">
            <v>Revenu disponible réel par emploi</v>
          </cell>
          <cell r="E1392" t="str">
            <v>100*(DISPINC_AT_VAL_2/DISPINC_AT_VAL_0-1)-100*((F_L_2/F_L_0)-1)-100*(PCH_2/PCH_0-1)</v>
          </cell>
          <cell r="F1392">
            <v>3.0309071303280533E-2</v>
          </cell>
          <cell r="G1392">
            <v>0.1183116644549842</v>
          </cell>
          <cell r="H1392">
            <v>0.15676249786665819</v>
          </cell>
          <cell r="I1392">
            <v>0.13862401022195492</v>
          </cell>
          <cell r="J1392">
            <v>8.1957378772179901E-2</v>
          </cell>
          <cell r="K1392">
            <v>5.7229540970542558E-3</v>
          </cell>
          <cell r="L1392">
            <v>-7.7004293989580308E-2</v>
          </cell>
          <cell r="M1392">
            <v>-0.15626606955370059</v>
          </cell>
          <cell r="N1392">
            <v>-0.22723459341916774</v>
          </cell>
          <cell r="O1392">
            <v>-0.2872886367065286</v>
          </cell>
          <cell r="P1392">
            <v>-0.33406395078466877</v>
          </cell>
          <cell r="Q1392">
            <v>-0.36973989975815913</v>
          </cell>
          <cell r="R1392">
            <v>-0.39148446043775209</v>
          </cell>
          <cell r="S1392">
            <v>-0.39983442658944091</v>
          </cell>
          <cell r="T1392">
            <v>-0.3959343657328529</v>
          </cell>
          <cell r="U1392">
            <v>-0.38125927810249749</v>
          </cell>
          <cell r="V1392">
            <v>-0.35812523807126162</v>
          </cell>
          <cell r="W1392">
            <v>-0.32768740203110713</v>
          </cell>
          <cell r="X1392">
            <v>-0.29166205041504201</v>
          </cell>
          <cell r="Y1392">
            <v>-0.2518350253441386</v>
          </cell>
          <cell r="Z1392">
            <v>-0.21046455600730551</v>
          </cell>
          <cell r="AA1392">
            <v>-0.16726505331082775</v>
          </cell>
          <cell r="AB1392">
            <v>-0.12481012109257827</v>
          </cell>
          <cell r="AC1392">
            <v>-8.405247253512238E-2</v>
          </cell>
          <cell r="AD1392">
            <v>-4.5727661950145215E-2</v>
          </cell>
          <cell r="AE1392">
            <v>-1.1951404953203237E-2</v>
          </cell>
          <cell r="AF1392">
            <v>2.1288578423872551E-2</v>
          </cell>
          <cell r="AG1392">
            <v>5.1044578205294844E-2</v>
          </cell>
          <cell r="AH1392">
            <v>7.6780962633660632E-2</v>
          </cell>
          <cell r="AI1392">
            <v>9.8300085234114043E-2</v>
          </cell>
          <cell r="AJ1392">
            <v>0.11556284703366826</v>
          </cell>
          <cell r="AK1392">
            <v>0.12894205487036237</v>
          </cell>
          <cell r="AL1392">
            <v>0.1382441492307489</v>
          </cell>
          <cell r="AM1392">
            <v>0.14345741162321657</v>
          </cell>
          <cell r="AN1392">
            <v>0.14465238070702169</v>
          </cell>
          <cell r="AO1392">
            <v>0.1419339037450964</v>
          </cell>
          <cell r="AP1392">
            <v>0.13868925201350102</v>
          </cell>
          <cell r="AQ1392">
            <v>0.1332715111493683</v>
          </cell>
          <cell r="AR1392">
            <v>0.12484434044889348</v>
          </cell>
          <cell r="AS1392">
            <v>0.11329472488849079</v>
          </cell>
          <cell r="AT1392">
            <v>9.8793395262462891E-2</v>
          </cell>
          <cell r="AU1392">
            <v>8.2187511436226934E-2</v>
          </cell>
          <cell r="AV1392">
            <v>6.3232654079881545E-2</v>
          </cell>
          <cell r="AW1392">
            <v>4.1889820375495379E-2</v>
          </cell>
          <cell r="AX1392">
            <v>1.819958293991597E-2</v>
          </cell>
          <cell r="AY1392">
            <v>-7.7780880825337739E-3</v>
          </cell>
          <cell r="AZ1392">
            <v>-3.3659618712767347E-2</v>
          </cell>
          <cell r="BA1392">
            <v>-6.0951798009478697E-2</v>
          </cell>
          <cell r="BB1392">
            <v>-9.0165043361312591E-2</v>
          </cell>
          <cell r="BC1392">
            <v>-0.12137829145073598</v>
          </cell>
          <cell r="BD1392">
            <v>-0.15451523441421067</v>
          </cell>
          <cell r="BE1392">
            <v>-0.18795308795799182</v>
          </cell>
          <cell r="BF1392">
            <v>-0.22262210005624627</v>
          </cell>
          <cell r="BG1392">
            <v>-0.25887951321906844</v>
          </cell>
          <cell r="BH1392">
            <v>-0.29679020823990454</v>
          </cell>
          <cell r="BI1392">
            <v>-0.33629924231413177</v>
          </cell>
        </row>
        <row r="1393">
          <cell r="C1393" t="str">
            <v>Taux d'épargne</v>
          </cell>
          <cell r="E1393" t="str">
            <v>100*(MPS_n_2-MPS_n_0)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  <cell r="AP1393">
            <v>0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C1393">
            <v>0</v>
          </cell>
          <cell r="BD1393">
            <v>0</v>
          </cell>
          <cell r="BE1393">
            <v>0</v>
          </cell>
          <cell r="BF1393">
            <v>0</v>
          </cell>
          <cell r="BG1393">
            <v>0</v>
          </cell>
          <cell r="BH1393">
            <v>0</v>
          </cell>
          <cell r="BI1393">
            <v>0</v>
          </cell>
        </row>
        <row r="1394">
          <cell r="C1394" t="str">
            <v>Prix à la consommation des ménages</v>
          </cell>
          <cell r="E1394" t="str">
            <v>100*(PCH_2/PCH_0-1)</v>
          </cell>
          <cell r="F1394">
            <v>-0.83027531351649309</v>
          </cell>
          <cell r="G1394">
            <v>-1.477452784814548</v>
          </cell>
          <cell r="H1394">
            <v>-2.0053961893337746</v>
          </cell>
          <cell r="I1394">
            <v>-2.4440585846240981</v>
          </cell>
          <cell r="J1394">
            <v>-2.8064432168572124</v>
          </cell>
          <cell r="K1394">
            <v>-3.1010683668752255</v>
          </cell>
          <cell r="L1394">
            <v>-3.3380388315440328</v>
          </cell>
          <cell r="M1394">
            <v>-3.5249494767432439</v>
          </cell>
          <cell r="N1394">
            <v>-3.6708439047052788</v>
          </cell>
          <cell r="O1394">
            <v>-3.7839844487179142</v>
          </cell>
          <cell r="P1394">
            <v>-3.8699888419492012</v>
          </cell>
          <cell r="Q1394">
            <v>-3.9402528741308784</v>
          </cell>
          <cell r="R1394">
            <v>-3.9957198206467148</v>
          </cell>
          <cell r="S1394">
            <v>-4.0390032394744821</v>
          </cell>
          <cell r="T1394">
            <v>-4.072312202981232</v>
          </cell>
          <cell r="U1394">
            <v>-4.0975492607562725</v>
          </cell>
          <cell r="V1394">
            <v>-4.1190900606337681</v>
          </cell>
          <cell r="W1394">
            <v>-4.1375786883218302</v>
          </cell>
          <cell r="X1394">
            <v>-4.1538745766525711</v>
          </cell>
          <cell r="Y1394">
            <v>-4.1689174709774406</v>
          </cell>
          <cell r="Z1394">
            <v>-4.184471963230207</v>
          </cell>
          <cell r="AA1394">
            <v>-4.1991591134228798</v>
          </cell>
          <cell r="AB1394">
            <v>-4.2150380783930181</v>
          </cell>
          <cell r="AC1394">
            <v>-4.232653243484318</v>
          </cell>
          <cell r="AD1394">
            <v>-4.252378642382503</v>
          </cell>
          <cell r="AE1394">
            <v>-4.2766257482349861</v>
          </cell>
          <cell r="AF1394">
            <v>-4.2997728095482195</v>
          </cell>
          <cell r="AG1394">
            <v>-4.3242860868764943</v>
          </cell>
          <cell r="AH1394">
            <v>-4.3504915592891269</v>
          </cell>
          <cell r="AI1394">
            <v>-4.3784790881158839</v>
          </cell>
          <cell r="AJ1394">
            <v>-4.4082070672450726</v>
          </cell>
          <cell r="AK1394">
            <v>-4.4390411083580545</v>
          </cell>
          <cell r="AL1394">
            <v>-4.4710490509192287</v>
          </cell>
          <cell r="AM1394">
            <v>-4.5042140256490111</v>
          </cell>
          <cell r="AN1394">
            <v>-4.5384691993521908</v>
          </cell>
          <cell r="AO1394">
            <v>-4.5737274346872461</v>
          </cell>
          <cell r="AP1394">
            <v>-4.6057948295726074</v>
          </cell>
          <cell r="AQ1394">
            <v>-4.6355819533669624</v>
          </cell>
          <cell r="AR1394">
            <v>-4.6641211695985341</v>
          </cell>
          <cell r="AS1394">
            <v>-4.6920093579553743</v>
          </cell>
          <cell r="AT1394">
            <v>-4.7196143077045232</v>
          </cell>
          <cell r="AU1394">
            <v>-4.7465206183112558</v>
          </cell>
          <cell r="AV1394">
            <v>-4.7732423881567616</v>
          </cell>
          <cell r="AW1394">
            <v>-4.8001720523244593</v>
          </cell>
          <cell r="AX1394">
            <v>-4.8276093802136035</v>
          </cell>
          <cell r="AY1394">
            <v>-4.8557946049681782</v>
          </cell>
          <cell r="AZ1394">
            <v>-4.8826636234599379</v>
          </cell>
          <cell r="BA1394">
            <v>-4.9093659214399903</v>
          </cell>
          <cell r="BB1394">
            <v>-4.9366003724082619</v>
          </cell>
          <cell r="BC1394">
            <v>-4.964738609893649</v>
          </cell>
          <cell r="BD1394">
            <v>-4.9939735856257332</v>
          </cell>
          <cell r="BE1394">
            <v>-5.023073744949901</v>
          </cell>
          <cell r="BF1394">
            <v>-5.0526929994041625</v>
          </cell>
          <cell r="BG1394">
            <v>-5.0832481284773143</v>
          </cell>
          <cell r="BH1394">
            <v>-5.1149698938021668</v>
          </cell>
          <cell r="BI1394">
            <v>-5.1479809215391201</v>
          </cell>
        </row>
        <row r="1395">
          <cell r="C1395" t="str">
            <v>Prix à la production marchande</v>
          </cell>
          <cell r="E1395" t="str">
            <v>100*(PY_2/PY_0-1)</v>
          </cell>
          <cell r="F1395">
            <v>-0.27102548775410629</v>
          </cell>
          <cell r="G1395">
            <v>-0.6755120557786376</v>
          </cell>
          <cell r="H1395">
            <v>-1.1188971070935971</v>
          </cell>
          <cell r="I1395">
            <v>-1.5558767714504484</v>
          </cell>
          <cell r="J1395">
            <v>-1.9682934392435847</v>
          </cell>
          <cell r="K1395">
            <v>-2.3503947435712824</v>
          </cell>
          <cell r="L1395">
            <v>-2.7010645117462428</v>
          </cell>
          <cell r="M1395">
            <v>-3.0197670714461999</v>
          </cell>
          <cell r="N1395">
            <v>-3.3057943759434827</v>
          </cell>
          <cell r="O1395">
            <v>-3.5585050544681973</v>
          </cell>
          <cell r="P1395">
            <v>-3.7774406808520178</v>
          </cell>
          <cell r="Q1395">
            <v>-3.9641795796503954</v>
          </cell>
          <cell r="R1395">
            <v>-4.1206325450096504</v>
          </cell>
          <cell r="S1395">
            <v>-4.2489328262039656</v>
          </cell>
          <cell r="T1395">
            <v>-4.3514196527248306</v>
          </cell>
          <cell r="U1395">
            <v>-4.4306095324427197</v>
          </cell>
          <cell r="V1395">
            <v>-4.4894794548492651</v>
          </cell>
          <cell r="W1395">
            <v>-4.5311750113002365</v>
          </cell>
          <cell r="X1395">
            <v>-4.5584623275399361</v>
          </cell>
          <cell r="Y1395">
            <v>-4.5738029438869177</v>
          </cell>
          <cell r="Z1395">
            <v>-4.5796376011852935</v>
          </cell>
          <cell r="AA1395">
            <v>-4.5777080325535513</v>
          </cell>
          <cell r="AB1395">
            <v>-4.5697286528679326</v>
          </cell>
          <cell r="AC1395">
            <v>-4.5572687530937568</v>
          </cell>
          <cell r="AD1395">
            <v>-4.5417318951248786</v>
          </cell>
          <cell r="AE1395">
            <v>-4.5249053281411156</v>
          </cell>
          <cell r="AF1395">
            <v>-4.5074487306810074</v>
          </cell>
          <cell r="AG1395">
            <v>-4.4896575850937426</v>
          </cell>
          <cell r="AH1395">
            <v>-4.4718402729139743</v>
          </cell>
          <cell r="AI1395">
            <v>-4.4543206451930111</v>
          </cell>
          <cell r="AJ1395">
            <v>-4.437393630596576</v>
          </cell>
          <cell r="AK1395">
            <v>-4.4213523766278628</v>
          </cell>
          <cell r="AL1395">
            <v>-4.4062084577293774</v>
          </cell>
          <cell r="AM1395">
            <v>-4.3919591016761466</v>
          </cell>
          <cell r="AN1395">
            <v>-4.3785823065081164</v>
          </cell>
          <cell r="AO1395">
            <v>-4.3660299520998702</v>
          </cell>
          <cell r="AP1395">
            <v>-4.3552120877370815</v>
          </cell>
          <cell r="AQ1395">
            <v>-4.3446943856493503</v>
          </cell>
          <cell r="AR1395">
            <v>-4.3335413356957453</v>
          </cell>
          <cell r="AS1395">
            <v>-4.3212881436110013</v>
          </cell>
          <cell r="AT1395">
            <v>-4.3077963345235286</v>
          </cell>
          <cell r="AU1395">
            <v>-4.2932988006078476</v>
          </cell>
          <cell r="AV1395">
            <v>-4.2777121155813784</v>
          </cell>
          <cell r="AW1395">
            <v>-4.2610755806864802</v>
          </cell>
          <cell r="AX1395">
            <v>-4.2435213617860734</v>
          </cell>
          <cell r="AY1395">
            <v>-4.2252386794517705</v>
          </cell>
          <cell r="AZ1395">
            <v>-4.2072015164397625</v>
          </cell>
          <cell r="BA1395">
            <v>-4.1888711254972506</v>
          </cell>
          <cell r="BB1395">
            <v>-4.1700010867649517</v>
          </cell>
          <cell r="BC1395">
            <v>-4.1506177953870793</v>
          </cell>
          <cell r="BD1395">
            <v>-4.1309180925302442</v>
          </cell>
          <cell r="BE1395">
            <v>-4.1117176236615594</v>
          </cell>
          <cell r="BF1395">
            <v>-4.0928110454567683</v>
          </cell>
          <cell r="BG1395">
            <v>-4.0741442008255131</v>
          </cell>
          <cell r="BH1395">
            <v>-4.0558128554427757</v>
          </cell>
          <cell r="BI1395">
            <v>-4.038004585951338</v>
          </cell>
        </row>
        <row r="1396">
          <cell r="C1396" t="str">
            <v>Prix des exportations</v>
          </cell>
          <cell r="E1396" t="str">
            <v>100*(PX_2/PX_0-1)</v>
          </cell>
          <cell r="F1396">
            <v>-0.3186550483131767</v>
          </cell>
          <cell r="G1396">
            <v>-0.71090682205749989</v>
          </cell>
          <cell r="H1396">
            <v>-1.0962453409300799</v>
          </cell>
          <cell r="I1396">
            <v>-1.451589390839747</v>
          </cell>
          <cell r="J1396">
            <v>-1.7742519783866206</v>
          </cell>
          <cell r="K1396">
            <v>-2.0673032845866413</v>
          </cell>
          <cell r="L1396">
            <v>-2.3340616970643491</v>
          </cell>
          <cell r="M1396">
            <v>-2.5759272789454446</v>
          </cell>
          <cell r="N1396">
            <v>-2.7928173507105192</v>
          </cell>
          <cell r="O1396">
            <v>-2.9841087849645231</v>
          </cell>
          <cell r="P1396">
            <v>-3.1491990116477742</v>
          </cell>
          <cell r="Q1396">
            <v>-3.2893433420399631</v>
          </cell>
          <cell r="R1396">
            <v>-3.405857365235232</v>
          </cell>
          <cell r="S1396">
            <v>-3.500288261907647</v>
          </cell>
          <cell r="T1396">
            <v>-3.5744698781348783</v>
          </cell>
          <cell r="U1396">
            <v>-3.6304531230512249</v>
          </cell>
          <cell r="V1396">
            <v>-3.6710350485268495</v>
          </cell>
          <cell r="W1396">
            <v>-3.6986506972163102</v>
          </cell>
          <cell r="X1396">
            <v>-3.7154174153788189</v>
          </cell>
          <cell r="Y1396">
            <v>-3.7232503169833731</v>
          </cell>
          <cell r="Z1396">
            <v>-3.7240583359078205</v>
          </cell>
          <cell r="AA1396">
            <v>-3.7192697112065409</v>
          </cell>
          <cell r="AB1396">
            <v>-3.7101918676236911</v>
          </cell>
          <cell r="AC1396">
            <v>-3.6980332603243182</v>
          </cell>
          <cell r="AD1396">
            <v>-3.6838738663543702</v>
          </cell>
          <cell r="AE1396">
            <v>-3.6690671277891829</v>
          </cell>
          <cell r="AF1396">
            <v>-3.6541127540694496</v>
          </cell>
          <cell r="AG1396">
            <v>-3.6392267055552985</v>
          </cell>
          <cell r="AH1396">
            <v>-3.6246233372086989</v>
          </cell>
          <cell r="AI1396">
            <v>-3.6105114842038377</v>
          </cell>
          <cell r="AJ1396">
            <v>-3.5970761853306832</v>
          </cell>
          <cell r="AK1396">
            <v>-3.5844413210436632</v>
          </cell>
          <cell r="AL1396">
            <v>-3.5726124379306667</v>
          </cell>
          <cell r="AM1396">
            <v>-3.5615834250210199</v>
          </cell>
          <cell r="AN1396">
            <v>-3.5513256059474085</v>
          </cell>
          <cell r="AO1396">
            <v>-3.5417850134419449</v>
          </cell>
          <cell r="AP1396">
            <v>-3.5331259289178907</v>
          </cell>
          <cell r="AQ1396">
            <v>-3.5244968007997035</v>
          </cell>
          <cell r="AR1396">
            <v>-3.5153528930147449</v>
          </cell>
          <cell r="AS1396">
            <v>-3.5054048188823184</v>
          </cell>
          <cell r="AT1396">
            <v>-3.4945565618846319</v>
          </cell>
          <cell r="AU1396">
            <v>-3.4828999553617512</v>
          </cell>
          <cell r="AV1396">
            <v>-3.4703922626486805</v>
          </cell>
          <cell r="AW1396">
            <v>-3.4570773912006025</v>
          </cell>
          <cell r="AX1396">
            <v>-3.4430603350123934</v>
          </cell>
          <cell r="AY1396">
            <v>-3.4284856129431218</v>
          </cell>
          <cell r="AZ1396">
            <v>-3.4138639022231021</v>
          </cell>
          <cell r="BA1396">
            <v>-3.3988979048956924</v>
          </cell>
          <cell r="BB1396">
            <v>-3.3834785777085652</v>
          </cell>
          <cell r="BC1396">
            <v>-3.3676622642314857</v>
          </cell>
          <cell r="BD1396">
            <v>-3.351614025934968</v>
          </cell>
          <cell r="BE1396">
            <v>-3.3358306634934221</v>
          </cell>
          <cell r="BF1396">
            <v>-3.3202262725638976</v>
          </cell>
          <cell r="BG1396">
            <v>-3.3048040333904072</v>
          </cell>
          <cell r="BH1396">
            <v>-3.2896540618748249</v>
          </cell>
          <cell r="BI1396">
            <v>-3.2749248317134882</v>
          </cell>
        </row>
        <row r="1397">
          <cell r="C1397" t="str">
            <v>Prix des importations</v>
          </cell>
          <cell r="E1397" t="str">
            <v>100*(PM_2/PM_0-1)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0</v>
          </cell>
          <cell r="AA1397">
            <v>0</v>
          </cell>
          <cell r="AB1397">
            <v>0</v>
          </cell>
          <cell r="AC1397">
            <v>0</v>
          </cell>
          <cell r="AD1397">
            <v>0</v>
          </cell>
          <cell r="AE1397">
            <v>0</v>
          </cell>
          <cell r="AF1397">
            <v>0</v>
          </cell>
          <cell r="AG1397">
            <v>0</v>
          </cell>
          <cell r="AH1397">
            <v>0</v>
          </cell>
          <cell r="AI1397">
            <v>0</v>
          </cell>
          <cell r="AJ1397">
            <v>0</v>
          </cell>
          <cell r="AK1397">
            <v>0</v>
          </cell>
          <cell r="AL1397">
            <v>0</v>
          </cell>
          <cell r="AM1397">
            <v>0</v>
          </cell>
          <cell r="AN1397">
            <v>0</v>
          </cell>
          <cell r="AO1397">
            <v>0</v>
          </cell>
          <cell r="AP1397">
            <v>0</v>
          </cell>
          <cell r="AQ1397">
            <v>0</v>
          </cell>
          <cell r="AR1397">
            <v>0</v>
          </cell>
          <cell r="AS1397">
            <v>0</v>
          </cell>
          <cell r="AT1397">
            <v>0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  <cell r="AZ1397">
            <v>0</v>
          </cell>
          <cell r="BA1397">
            <v>0</v>
          </cell>
          <cell r="BB1397">
            <v>0</v>
          </cell>
          <cell r="BC1397">
            <v>0</v>
          </cell>
          <cell r="BD1397">
            <v>0</v>
          </cell>
          <cell r="BE1397">
            <v>0</v>
          </cell>
          <cell r="BF1397">
            <v>0</v>
          </cell>
          <cell r="BG1397">
            <v>0</v>
          </cell>
          <cell r="BH1397">
            <v>0</v>
          </cell>
          <cell r="BI1397">
            <v>0</v>
          </cell>
        </row>
        <row r="1398">
          <cell r="C1398" t="str">
            <v>Salaire net nominal (hors cotisations employeurs et employés, unitaire)</v>
          </cell>
          <cell r="E1398" t="str">
            <v>100*(W_2/W_0-1)</v>
          </cell>
          <cell r="F1398">
            <v>-0.21742079720888929</v>
          </cell>
          <cell r="G1398">
            <v>-0.53604834247409361</v>
          </cell>
          <cell r="H1398">
            <v>-0.94048704241939118</v>
          </cell>
          <cell r="I1398">
            <v>-1.4017128326165973</v>
          </cell>
          <cell r="J1398">
            <v>-1.8883952100348766</v>
          </cell>
          <cell r="K1398">
            <v>-2.3746686062115163</v>
          </cell>
          <cell r="L1398">
            <v>-2.8429975087662873</v>
          </cell>
          <cell r="M1398">
            <v>-3.2822026312572694</v>
          </cell>
          <cell r="N1398">
            <v>-3.6863135016228177</v>
          </cell>
          <cell r="O1398">
            <v>-4.0527168017319486</v>
          </cell>
          <cell r="P1398">
            <v>-4.3804082322606908</v>
          </cell>
          <cell r="Q1398">
            <v>-4.6718263259080022</v>
          </cell>
          <cell r="R1398">
            <v>-4.9282350440998819</v>
          </cell>
          <cell r="S1398">
            <v>-5.1515582158922264</v>
          </cell>
          <cell r="T1398">
            <v>-5.3441031510081842</v>
          </cell>
          <cell r="U1398">
            <v>-5.5084008926464918</v>
          </cell>
          <cell r="V1398">
            <v>-5.6482580435119223</v>
          </cell>
          <cell r="W1398">
            <v>-5.766380932136328</v>
          </cell>
          <cell r="X1398">
            <v>-5.8655614379603875</v>
          </cell>
          <cell r="Y1398">
            <v>-5.9485705768132169</v>
          </cell>
          <cell r="Z1398">
            <v>-6.0183684167410707</v>
          </cell>
          <cell r="AA1398">
            <v>-6.0769079237255719</v>
          </cell>
          <cell r="AB1398">
            <v>-6.1266245022153498</v>
          </cell>
          <cell r="AC1398">
            <v>-6.1696495901649273</v>
          </cell>
          <cell r="AD1398">
            <v>-6.2078585062562137</v>
          </cell>
          <cell r="AE1398">
            <v>-6.2437353418187236</v>
          </cell>
          <cell r="AF1398">
            <v>-6.2770309958341102</v>
          </cell>
          <cell r="AG1398">
            <v>-6.3091342285954362</v>
          </cell>
          <cell r="AH1398">
            <v>-6.3410529524578703</v>
          </cell>
          <cell r="AI1398">
            <v>-6.3735051203172137</v>
          </cell>
          <cell r="AJ1398">
            <v>-6.4070005135412611</v>
          </cell>
          <cell r="AK1398">
            <v>-6.4415953151835126</v>
          </cell>
          <cell r="AL1398">
            <v>-6.4775976315403438</v>
          </cell>
          <cell r="AM1398">
            <v>-6.5151726860235959</v>
          </cell>
          <cell r="AN1398">
            <v>-6.5543744823056249</v>
          </cell>
          <cell r="AO1398">
            <v>-6.595177493453674</v>
          </cell>
          <cell r="AP1398">
            <v>-6.6349388663002546</v>
          </cell>
          <cell r="AQ1398">
            <v>-6.6742032478401043</v>
          </cell>
          <cell r="AR1398">
            <v>-6.7131309987580661</v>
          </cell>
          <cell r="AS1398">
            <v>-6.7516196578532472</v>
          </cell>
          <cell r="AT1398">
            <v>-6.7894775798918676</v>
          </cell>
          <cell r="AU1398">
            <v>-6.8260841864357662</v>
          </cell>
          <cell r="AV1398">
            <v>-6.8614983503802236</v>
          </cell>
          <cell r="AW1398">
            <v>-6.8957799819665988</v>
          </cell>
          <cell r="AX1398">
            <v>-6.9290067574505176</v>
          </cell>
          <cell r="AY1398">
            <v>-6.9612897675208067</v>
          </cell>
          <cell r="AZ1398">
            <v>-6.9911893453413754</v>
          </cell>
          <cell r="BA1398">
            <v>-7.0194758985481336</v>
          </cell>
          <cell r="BB1398">
            <v>-7.0466414317418957</v>
          </cell>
          <cell r="BC1398">
            <v>-7.0729965086830271</v>
          </cell>
          <cell r="BD1398">
            <v>-7.0987729668578918</v>
          </cell>
          <cell r="BE1398">
            <v>-7.1231917113852683</v>
          </cell>
          <cell r="BF1398">
            <v>-7.1468733072664214</v>
          </cell>
          <cell r="BG1398">
            <v>-7.1702502678852138</v>
          </cell>
          <cell r="BH1398">
            <v>-7.1936243671716689</v>
          </cell>
          <cell r="BI1398">
            <v>-7.2172352112362281</v>
          </cell>
        </row>
        <row r="1399">
          <cell r="C1399" t="str">
            <v>Salaire net réel (hors cotisations employeurs et employés, unitaire)</v>
          </cell>
          <cell r="E1399" t="str">
            <v>100*((W_2/PCH_2)/(W_0/PCH_0)-1)</v>
          </cell>
          <cell r="F1399">
            <v>1.0181069760584194E-4</v>
          </cell>
          <cell r="G1399">
            <v>8.650249737351956E-3</v>
          </cell>
          <cell r="H1399">
            <v>-3.5106066301648919E-2</v>
          </cell>
          <cell r="I1399">
            <v>-0.13879697907644983</v>
          </cell>
          <cell r="J1399">
            <v>-0.28621014987404436</v>
          </cell>
          <cell r="K1399">
            <v>-0.45674974599454465</v>
          </cell>
          <cell r="L1399">
            <v>-0.63438349205704458</v>
          </cell>
          <cell r="M1399">
            <v>-0.80879260794185504</v>
          </cell>
          <cell r="N1399">
            <v>-0.97491105372538023</v>
          </cell>
          <cell r="O1399">
            <v>-1.1308693257738756</v>
          </cell>
          <cell r="P1399">
            <v>-1.2761761580788233</v>
          </cell>
          <cell r="Q1399">
            <v>-1.4121332983687229</v>
          </cell>
          <cell r="R1399">
            <v>-1.5384289627761061</v>
          </cell>
          <cell r="S1399">
            <v>-1.6552399366715931</v>
          </cell>
          <cell r="T1399">
            <v>-1.7629214341341792</v>
          </cell>
          <cell r="U1399">
            <v>-1.8618795642503461</v>
          </cell>
          <cell r="V1399">
            <v>-1.9534592982878185</v>
          </cell>
          <cell r="W1399">
            <v>-2.0376815573858287</v>
          </cell>
          <cell r="X1399">
            <v>-2.1149786841280327</v>
          </cell>
          <cell r="Y1399">
            <v>-2.1860132146112043</v>
          </cell>
          <cell r="Z1399">
            <v>-2.25164531805776</v>
          </cell>
          <cell r="AA1399">
            <v>-2.3123454733621651</v>
          </cell>
          <cell r="AB1399">
            <v>-2.3690921286324662</v>
          </cell>
          <cell r="AC1399">
            <v>-2.422688847771759</v>
          </cell>
          <cell r="AD1399">
            <v>-2.4738341838266953</v>
          </cell>
          <cell r="AE1399">
            <v>-2.523482563869861</v>
          </cell>
          <cell r="AF1399">
            <v>-2.5708402176676359</v>
          </cell>
          <cell r="AG1399">
            <v>-2.6170720665490865</v>
          </cell>
          <cell r="AH1399">
            <v>-2.6629508362273291</v>
          </cell>
          <cell r="AI1399">
            <v>-2.7089543325056087</v>
          </cell>
          <cell r="AJ1399">
            <v>-2.7553768364989129</v>
          </cell>
          <cell r="AK1399">
            <v>-2.8020458178801277</v>
          </cell>
          <cell r="AL1399">
            <v>-2.8492859592824993</v>
          </cell>
          <cell r="AM1399">
            <v>-2.8972852480617206</v>
          </cell>
          <cell r="AN1399">
            <v>-2.9461347585149622</v>
          </cell>
          <cell r="AO1399">
            <v>-2.9958669085363598</v>
          </cell>
          <cell r="AP1399">
            <v>-3.0429748562787573</v>
          </cell>
          <cell r="AQ1399">
            <v>-3.0892282377284919</v>
          </cell>
          <cell r="AR1399">
            <v>-3.1355744530827789</v>
          </cell>
          <cell r="AS1399">
            <v>-3.1823226144552241</v>
          </cell>
          <cell r="AT1399">
            <v>-3.2294361920431558</v>
          </cell>
          <cell r="AU1399">
            <v>-3.2761283951592945</v>
          </cell>
          <cell r="AV1399">
            <v>-3.322571486356507</v>
          </cell>
          <cell r="AW1399">
            <v>-3.3688254364228842</v>
          </cell>
          <cell r="AX1399">
            <v>-3.4148847726886311</v>
          </cell>
          <cell r="AY1399">
            <v>-3.4607253534955085</v>
          </cell>
          <cell r="AZ1399">
            <v>-3.5040579766373869</v>
          </cell>
          <cell r="BA1399">
            <v>-3.5461209430158513</v>
          </cell>
          <cell r="BB1399">
            <v>-3.5876126062742819</v>
          </cell>
          <cell r="BC1399">
            <v>-3.6288305836165824</v>
          </cell>
          <cell r="BD1399">
            <v>-3.6698599925829689</v>
          </cell>
          <cell r="BE1399">
            <v>-3.7092283934491044</v>
          </cell>
          <cell r="BF1399">
            <v>-3.7477485629383023</v>
          </cell>
          <cell r="BG1399">
            <v>-3.7859040033551006</v>
          </cell>
          <cell r="BH1399">
            <v>-3.8239242468142587</v>
          </cell>
          <cell r="BI1399">
            <v>-3.8619022699616923</v>
          </cell>
        </row>
        <row r="1400">
          <cell r="C1400" t="str">
            <v>Coût du travail nominal (yc. Cotisations employeurs et employés, unitaire)</v>
          </cell>
          <cell r="E1400" t="str">
            <v>100*(C_L_2/C_L_0-1)</v>
          </cell>
          <cell r="F1400">
            <v>-0.21742079839029982</v>
          </cell>
          <cell r="G1400">
            <v>-0.53604834839324766</v>
          </cell>
          <cell r="H1400">
            <v>-0.94048704374724013</v>
          </cell>
          <cell r="I1400">
            <v>-1.4017128284148694</v>
          </cell>
          <cell r="J1400">
            <v>-1.8883952435085782</v>
          </cell>
          <cell r="K1400">
            <v>-2.3746685933651146</v>
          </cell>
          <cell r="L1400">
            <v>-2.8429975031915911</v>
          </cell>
          <cell r="M1400">
            <v>-3.2822026168968343</v>
          </cell>
          <cell r="N1400">
            <v>-3.6863134981149792</v>
          </cell>
          <cell r="O1400">
            <v>-4.0527168094356192</v>
          </cell>
          <cell r="P1400">
            <v>-4.3804082345721973</v>
          </cell>
          <cell r="Q1400">
            <v>-4.671826341314345</v>
          </cell>
          <cell r="R1400">
            <v>-4.9282350418953902</v>
          </cell>
          <cell r="S1400">
            <v>-5.1515582114309506</v>
          </cell>
          <cell r="T1400">
            <v>-5.3441031462612258</v>
          </cell>
          <cell r="U1400">
            <v>-5.5084008964645603</v>
          </cell>
          <cell r="V1400">
            <v>-5.6482580567349778</v>
          </cell>
          <cell r="W1400">
            <v>-5.7663809317026971</v>
          </cell>
          <cell r="X1400">
            <v>-5.8655614331525658</v>
          </cell>
          <cell r="Y1400">
            <v>-5.9485705714354626</v>
          </cell>
          <cell r="Z1400">
            <v>-6.0183684276331135</v>
          </cell>
          <cell r="AA1400">
            <v>-6.0769079541344251</v>
          </cell>
          <cell r="AB1400">
            <v>-6.1266245280105718</v>
          </cell>
          <cell r="AC1400">
            <v>-6.1696495585305877</v>
          </cell>
          <cell r="AD1400">
            <v>-6.207858532904897</v>
          </cell>
          <cell r="AE1400">
            <v>-6.2437353492086007</v>
          </cell>
          <cell r="AF1400">
            <v>-6.2770310261075597</v>
          </cell>
          <cell r="AG1400">
            <v>-6.3091342408551299</v>
          </cell>
          <cell r="AH1400">
            <v>-6.3410530352118517</v>
          </cell>
          <cell r="AI1400">
            <v>-6.373505180611283</v>
          </cell>
          <cell r="AJ1400">
            <v>-6.4070004802478593</v>
          </cell>
          <cell r="AK1400">
            <v>-6.4415952956184297</v>
          </cell>
          <cell r="AL1400">
            <v>-6.4775976422563168</v>
          </cell>
          <cell r="AM1400">
            <v>-6.5151726691517027</v>
          </cell>
          <cell r="AN1400">
            <v>-6.5543745125642427</v>
          </cell>
          <cell r="AO1400">
            <v>-6.5951775664544137</v>
          </cell>
          <cell r="AP1400">
            <v>-6.6349388984871416</v>
          </cell>
          <cell r="AQ1400">
            <v>-6.6742032107833911</v>
          </cell>
          <cell r="AR1400">
            <v>-6.7131309586804466</v>
          </cell>
          <cell r="AS1400">
            <v>-6.7516196875850536</v>
          </cell>
          <cell r="AT1400">
            <v>-6.7894775991526934</v>
          </cell>
          <cell r="AU1400">
            <v>-6.8260841955320339</v>
          </cell>
          <cell r="AV1400">
            <v>-6.8614983650859944</v>
          </cell>
          <cell r="AW1400">
            <v>-6.8957799740407726</v>
          </cell>
          <cell r="AX1400">
            <v>-6.929006756273937</v>
          </cell>
          <cell r="AY1400">
            <v>-6.9612898000147254</v>
          </cell>
          <cell r="AZ1400">
            <v>-6.9911893651778971</v>
          </cell>
          <cell r="BA1400">
            <v>-7.0194758510821238</v>
          </cell>
          <cell r="BB1400">
            <v>-7.0466414648338915</v>
          </cell>
          <cell r="BC1400">
            <v>-7.0729965250083122</v>
          </cell>
          <cell r="BD1400">
            <v>-7.0987729711218588</v>
          </cell>
          <cell r="BE1400">
            <v>-7.1231916736403056</v>
          </cell>
          <cell r="BF1400">
            <v>-7.1468733074604778</v>
          </cell>
          <cell r="BG1400">
            <v>-7.1702502936737407</v>
          </cell>
          <cell r="BH1400">
            <v>-7.1936243555991481</v>
          </cell>
          <cell r="BI1400">
            <v>-7.2172351777162529</v>
          </cell>
        </row>
        <row r="1401">
          <cell r="C1401" t="str">
            <v>Coût réel du travail (yc. Cotisations employeurs et employés, unitaire)</v>
          </cell>
          <cell r="E1401" t="str">
            <v>100*((C_L_2/PVA_2)/(C_L_0/PVA_0)-1)</v>
          </cell>
          <cell r="F1401">
            <v>0.10447609134425218</v>
          </cell>
          <cell r="G1401">
            <v>0.26951245700295168</v>
          </cell>
          <cell r="H1401">
            <v>0.39784150658057627</v>
          </cell>
          <cell r="I1401">
            <v>0.46184563733930872</v>
          </cell>
          <cell r="J1401">
            <v>0.46919133614624631</v>
          </cell>
          <cell r="K1401">
            <v>0.43816105909302294</v>
          </cell>
          <cell r="L1401">
            <v>0.38517130604431848</v>
          </cell>
          <cell r="M1401">
            <v>0.32117781494482855</v>
          </cell>
          <cell r="N1401">
            <v>0.25190678454554138</v>
          </cell>
          <cell r="O1401">
            <v>0.17970358771843831</v>
          </cell>
          <cell r="P1401">
            <v>0.10526136344466419</v>
          </cell>
          <cell r="Q1401">
            <v>2.8678306361507033E-2</v>
          </cell>
          <cell r="R1401">
            <v>-4.905630000631156E-2</v>
          </cell>
          <cell r="S1401">
            <v>-0.12704723096853554</v>
          </cell>
          <cell r="T1401">
            <v>-0.20466050561008808</v>
          </cell>
          <cell r="U1401">
            <v>-0.28133332007235223</v>
          </cell>
          <cell r="V1401">
            <v>-0.35733411804965698</v>
          </cell>
          <cell r="W1401">
            <v>-0.4315616313826931</v>
          </cell>
          <cell r="X1401">
            <v>-0.5034947700531367</v>
          </cell>
          <cell r="Y1401">
            <v>-0.57300548260469375</v>
          </cell>
          <cell r="Z1401">
            <v>-0.64010621993750849</v>
          </cell>
          <cell r="AA1401">
            <v>-0.70500758491148785</v>
          </cell>
          <cell r="AB1401">
            <v>-0.76796227751588786</v>
          </cell>
          <cell r="AC1401">
            <v>-0.82934449385902997</v>
          </cell>
          <cell r="AD1401">
            <v>-0.88942562173556228</v>
          </cell>
          <cell r="AE1401">
            <v>-0.94837599115997762</v>
          </cell>
          <cell r="AF1401">
            <v>-1.0057297449453495</v>
          </cell>
          <cell r="AG1401">
            <v>-1.06224134997428</v>
          </cell>
          <cell r="AH1401">
            <v>-1.1186526350901893</v>
          </cell>
          <cell r="AI1401">
            <v>-1.1753249832168522</v>
          </cell>
          <cell r="AJ1401">
            <v>-1.2324252378112743</v>
          </cell>
          <cell r="AK1401">
            <v>-1.2896380785008543</v>
          </cell>
          <cell r="AL1401">
            <v>-1.3472721717351366</v>
          </cell>
          <cell r="AM1401">
            <v>-1.4055036868261372</v>
          </cell>
          <cell r="AN1401">
            <v>-1.4644122211244559</v>
          </cell>
          <cell r="AO1401">
            <v>-1.524023843212674</v>
          </cell>
          <cell r="AP1401">
            <v>-1.5803283782308997</v>
          </cell>
          <cell r="AQ1401">
            <v>-1.6357892987711509</v>
          </cell>
          <cell r="AR1401">
            <v>-1.6917302201392759</v>
          </cell>
          <cell r="AS1401">
            <v>-1.748602984807579</v>
          </cell>
          <cell r="AT1401">
            <v>-1.8063493515685924</v>
          </cell>
          <cell r="AU1401">
            <v>-1.8639910330598086</v>
          </cell>
          <cell r="AV1401">
            <v>-1.9216720857848091</v>
          </cell>
          <cell r="AW1401">
            <v>-1.9793927705865189</v>
          </cell>
          <cell r="AX1401">
            <v>-2.0370592274943311</v>
          </cell>
          <cell r="AY1401">
            <v>-2.0945457422573144</v>
          </cell>
          <cell r="AZ1401">
            <v>-2.1491109155207355</v>
          </cell>
          <cell r="BA1401">
            <v>-2.202234744750764</v>
          </cell>
          <cell r="BB1401">
            <v>-2.2547552894754519</v>
          </cell>
          <cell r="BC1401">
            <v>-2.3069702692717353</v>
          </cell>
          <cell r="BD1401">
            <v>-2.3588814972423933</v>
          </cell>
          <cell r="BE1401">
            <v>-2.4086537793575613</v>
          </cell>
          <cell r="BF1401">
            <v>-2.457202431850114</v>
          </cell>
          <cell r="BG1401">
            <v>-2.5050608668988228</v>
          </cell>
          <cell r="BH1401">
            <v>-2.5524324029700285</v>
          </cell>
          <cell r="BI1401">
            <v>-2.5993396449578654</v>
          </cell>
        </row>
        <row r="1402">
          <cell r="C1402" t="str">
            <v>Emploi en %</v>
          </cell>
          <cell r="E1402" t="str">
            <v>((F_L_2/F_L_0)-1)*100</v>
          </cell>
          <cell r="F1402">
            <v>-0.86058438481977362</v>
          </cell>
          <cell r="G1402">
            <v>-1.5957644492695322</v>
          </cell>
          <cell r="H1402">
            <v>-2.1621586872004328</v>
          </cell>
          <cell r="I1402">
            <v>-2.582682594846053</v>
          </cell>
          <cell r="J1402">
            <v>-2.8884005956293923</v>
          </cell>
          <cell r="K1402">
            <v>-3.1067913209722797</v>
          </cell>
          <cell r="L1402">
            <v>-3.2610345375544525</v>
          </cell>
          <cell r="M1402">
            <v>-3.3686834071895433</v>
          </cell>
          <cell r="N1402">
            <v>-3.443609311286111</v>
          </cell>
          <cell r="O1402">
            <v>-3.4966958120113856</v>
          </cell>
          <cell r="P1402">
            <v>-3.5359248911645325</v>
          </cell>
          <cell r="Q1402">
            <v>-3.5705129743727193</v>
          </cell>
          <cell r="R1402">
            <v>-3.6042353602089627</v>
          </cell>
          <cell r="S1402">
            <v>-3.6391688128850408</v>
          </cell>
          <cell r="T1402">
            <v>-3.6763778372483791</v>
          </cell>
          <cell r="U1402">
            <v>-3.7162899826537754</v>
          </cell>
          <cell r="V1402">
            <v>-3.760964822562507</v>
          </cell>
          <cell r="W1402">
            <v>-3.809891286290723</v>
          </cell>
          <cell r="X1402">
            <v>-3.8622125262375295</v>
          </cell>
          <cell r="Y1402">
            <v>-3.917082445633302</v>
          </cell>
          <cell r="Z1402">
            <v>-3.9740074072229015</v>
          </cell>
          <cell r="AA1402">
            <v>-4.0318940601120516</v>
          </cell>
          <cell r="AB1402">
            <v>-4.0902279573004403</v>
          </cell>
          <cell r="AC1402">
            <v>-4.1486007709491961</v>
          </cell>
          <cell r="AD1402">
            <v>-4.2066509804323582</v>
          </cell>
          <cell r="AE1402">
            <v>-4.2646743432817829</v>
          </cell>
          <cell r="AF1402">
            <v>-4.321061387972092</v>
          </cell>
          <cell r="AG1402">
            <v>-4.3753306650817887</v>
          </cell>
          <cell r="AH1402">
            <v>-4.4272725219227871</v>
          </cell>
          <cell r="AI1402">
            <v>-4.476779173349998</v>
          </cell>
          <cell r="AJ1402">
            <v>-4.5237699142787413</v>
          </cell>
          <cell r="AK1402">
            <v>-4.5679831632284174</v>
          </cell>
          <cell r="AL1402">
            <v>-4.6092932001499776</v>
          </cell>
          <cell r="AM1402">
            <v>-4.6476714372722272</v>
          </cell>
          <cell r="AN1402">
            <v>-4.683121580059213</v>
          </cell>
          <cell r="AO1402">
            <v>-4.7156613384323425</v>
          </cell>
          <cell r="AP1402">
            <v>-4.7444840815861085</v>
          </cell>
          <cell r="AQ1402">
            <v>-4.7688534645163312</v>
          </cell>
          <cell r="AR1402">
            <v>-4.7889655100474275</v>
          </cell>
          <cell r="AS1402">
            <v>-4.8053040828438647</v>
          </cell>
          <cell r="AT1402">
            <v>-4.8184077029669865</v>
          </cell>
          <cell r="AU1402">
            <v>-4.8287081297474828</v>
          </cell>
          <cell r="AV1402">
            <v>-4.8364750422366427</v>
          </cell>
          <cell r="AW1402">
            <v>-4.8420618726999543</v>
          </cell>
          <cell r="AX1402">
            <v>-4.8458089631535195</v>
          </cell>
          <cell r="AY1402">
            <v>-4.8480165168856448</v>
          </cell>
          <cell r="AZ1402">
            <v>-4.8490040047471705</v>
          </cell>
          <cell r="BA1402">
            <v>-4.8484141234305111</v>
          </cell>
          <cell r="BB1402">
            <v>-4.8464353290469493</v>
          </cell>
          <cell r="BC1402">
            <v>-4.8433603184429135</v>
          </cell>
          <cell r="BD1402">
            <v>-4.8394583512115226</v>
          </cell>
          <cell r="BE1402">
            <v>-4.8351206569919096</v>
          </cell>
          <cell r="BF1402">
            <v>-4.8300708993479162</v>
          </cell>
          <cell r="BG1402">
            <v>-4.8243686152582459</v>
          </cell>
          <cell r="BH1402">
            <v>-4.8181796855622627</v>
          </cell>
          <cell r="BI1402">
            <v>-4.8116816792249884</v>
          </cell>
        </row>
        <row r="1403">
          <cell r="C1403" t="str">
            <v>Emploi en millier</v>
          </cell>
          <cell r="E1403" t="str">
            <v>F_L_2-F_L_0</v>
          </cell>
          <cell r="F1403">
            <v>-235.55784000000131</v>
          </cell>
          <cell r="G1403">
            <v>-437.26488999999856</v>
          </cell>
          <cell r="H1403">
            <v>-593.28639999999723</v>
          </cell>
          <cell r="I1403">
            <v>-710.10362999999779</v>
          </cell>
          <cell r="J1403">
            <v>-796.33909999999742</v>
          </cell>
          <cell r="K1403">
            <v>-859.49092000000019</v>
          </cell>
          <cell r="L1403">
            <v>-905.43690000000061</v>
          </cell>
          <cell r="M1403">
            <v>-938.85686999999962</v>
          </cell>
          <cell r="N1403">
            <v>-963.46675999999934</v>
          </cell>
          <cell r="O1403">
            <v>-982.19338000000062</v>
          </cell>
          <cell r="P1403">
            <v>-997.82054000000062</v>
          </cell>
          <cell r="Q1403">
            <v>-1012.1499799999983</v>
          </cell>
          <cell r="R1403">
            <v>-1026.1919699999999</v>
          </cell>
          <cell r="S1403">
            <v>-1040.5313400000014</v>
          </cell>
          <cell r="T1403">
            <v>-1055.4828500000003</v>
          </cell>
          <cell r="U1403">
            <v>-1071.1865499999985</v>
          </cell>
          <cell r="V1403">
            <v>-1088.2588700000015</v>
          </cell>
          <cell r="W1403">
            <v>-1106.5798800000011</v>
          </cell>
          <cell r="X1403">
            <v>-1125.9268400000001</v>
          </cell>
          <cell r="Y1403">
            <v>-1146.0760599999994</v>
          </cell>
          <cell r="Z1403">
            <v>-1166.4327000000012</v>
          </cell>
          <cell r="AA1403">
            <v>-1187.2344400000002</v>
          </cell>
          <cell r="AB1403">
            <v>-1208.3611300000011</v>
          </cell>
          <cell r="AC1403">
            <v>-1229.6931499999992</v>
          </cell>
          <cell r="AD1403">
            <v>-1251.1166200000007</v>
          </cell>
          <cell r="AE1403">
            <v>-1271.3348100000003</v>
          </cell>
          <cell r="AF1403">
            <v>-1290.7925099999993</v>
          </cell>
          <cell r="AG1403">
            <v>-1309.482759999999</v>
          </cell>
          <cell r="AH1403">
            <v>-1327.4275799999996</v>
          </cell>
          <cell r="AI1403">
            <v>-1344.6548600000024</v>
          </cell>
          <cell r="AJ1403">
            <v>-1361.1824400000005</v>
          </cell>
          <cell r="AK1403">
            <v>-1376.9579699999995</v>
          </cell>
          <cell r="AL1403">
            <v>-1391.9563600000001</v>
          </cell>
          <cell r="AM1403">
            <v>-1406.1710700000003</v>
          </cell>
          <cell r="AN1403">
            <v>-1419.5975199999993</v>
          </cell>
          <cell r="AO1403">
            <v>-1432.2302500000005</v>
          </cell>
          <cell r="AP1403">
            <v>-1443.4839699999975</v>
          </cell>
          <cell r="AQ1403">
            <v>-1453.1718299999993</v>
          </cell>
          <cell r="AR1403">
            <v>-1461.4035299999996</v>
          </cell>
          <cell r="AS1403">
            <v>-1468.3717399999987</v>
          </cell>
          <cell r="AT1403">
            <v>-1474.2778399999988</v>
          </cell>
          <cell r="AU1403">
            <v>-1479.2823200000021</v>
          </cell>
          <cell r="AV1403">
            <v>-1483.4882099999995</v>
          </cell>
          <cell r="AW1403">
            <v>-1487.0172700000003</v>
          </cell>
          <cell r="AX1403">
            <v>-1489.9816400000018</v>
          </cell>
          <cell r="AY1403">
            <v>-1492.4769000000015</v>
          </cell>
          <cell r="AZ1403">
            <v>-1494.6287000000011</v>
          </cell>
          <cell r="BA1403">
            <v>-1496.32071</v>
          </cell>
          <cell r="BB1403">
            <v>-1497.6027099999992</v>
          </cell>
          <cell r="BC1403">
            <v>-1498.5563999999977</v>
          </cell>
          <cell r="BD1403">
            <v>-1499.2572400000026</v>
          </cell>
          <cell r="BE1403">
            <v>-1499.8203900000008</v>
          </cell>
          <cell r="BF1403">
            <v>-1500.1560200000022</v>
          </cell>
          <cell r="BG1403">
            <v>-1500.2799400000004</v>
          </cell>
          <cell r="BH1403">
            <v>-1500.24251</v>
          </cell>
          <cell r="BI1403">
            <v>-1500.0990100000017</v>
          </cell>
        </row>
        <row r="1404">
          <cell r="C1404" t="str">
            <v>Taux de chômage (en point)</v>
          </cell>
          <cell r="E1404" t="str">
            <v>100*(UnR_2-UnR_0)</v>
          </cell>
          <cell r="F1404">
            <v>0.62889464000000228</v>
          </cell>
          <cell r="G1404">
            <v>1.1190571799999993</v>
          </cell>
          <cell r="H1404">
            <v>1.4717675299999984</v>
          </cell>
          <cell r="I1404">
            <v>1.7216757200000017</v>
          </cell>
          <cell r="J1404">
            <v>1.8976419299999991</v>
          </cell>
          <cell r="K1404">
            <v>2.02063623</v>
          </cell>
          <cell r="L1404">
            <v>2.1073152499999996</v>
          </cell>
          <cell r="M1404">
            <v>2.1671509400000009</v>
          </cell>
          <cell r="N1404">
            <v>2.2086722099999982</v>
          </cell>
          <cell r="O1404">
            <v>2.2383877400000003</v>
          </cell>
          <cell r="P1404">
            <v>2.2592980799999998</v>
          </cell>
          <cell r="Q1404">
            <v>2.2815120899999988</v>
          </cell>
          <cell r="R1404">
            <v>2.30373049</v>
          </cell>
          <cell r="S1404">
            <v>2.3270601099999983</v>
          </cell>
          <cell r="T1404">
            <v>2.3520054799999994</v>
          </cell>
          <cell r="U1404">
            <v>2.3787161000000001</v>
          </cell>
          <cell r="V1404">
            <v>2.4086286300000008</v>
          </cell>
          <cell r="W1404">
            <v>2.4412345099999984</v>
          </cell>
          <cell r="X1404">
            <v>2.4758851299999995</v>
          </cell>
          <cell r="Y1404">
            <v>2.51200563</v>
          </cell>
          <cell r="Z1404">
            <v>2.5504789299999997</v>
          </cell>
          <cell r="AA1404">
            <v>2.5874447800000007</v>
          </cell>
          <cell r="AB1404">
            <v>2.6248830200000017</v>
          </cell>
          <cell r="AC1404">
            <v>2.6624337100000006</v>
          </cell>
          <cell r="AD1404">
            <v>2.6998179499999999</v>
          </cell>
          <cell r="AE1404">
            <v>2.7406485399999987</v>
          </cell>
          <cell r="AF1404">
            <v>2.776306710000001</v>
          </cell>
          <cell r="AG1404">
            <v>2.8104047899999984</v>
          </cell>
          <cell r="AH1404">
            <v>2.8428851999999978</v>
          </cell>
          <cell r="AI1404">
            <v>2.8737494700000004</v>
          </cell>
          <cell r="AJ1404">
            <v>2.9029978300000008</v>
          </cell>
          <cell r="AK1404">
            <v>2.9304763199999999</v>
          </cell>
          <cell r="AL1404">
            <v>2.9561244300000009</v>
          </cell>
          <cell r="AM1404">
            <v>2.9799376399999993</v>
          </cell>
          <cell r="AN1404">
            <v>3.0019197699999998</v>
          </cell>
          <cell r="AO1404">
            <v>3.0220753900000008</v>
          </cell>
          <cell r="AP1404">
            <v>3.0405798799999992</v>
          </cell>
          <cell r="AQ1404">
            <v>3.0556132400000018</v>
          </cell>
          <cell r="AR1404">
            <v>3.0675805700000005</v>
          </cell>
          <cell r="AS1404">
            <v>3.0769697799999998</v>
          </cell>
          <cell r="AT1404">
            <v>3.0842305399999992</v>
          </cell>
          <cell r="AU1404">
            <v>3.0896908999999999</v>
          </cell>
          <cell r="AV1404">
            <v>3.0935410899999987</v>
          </cell>
          <cell r="AW1404">
            <v>3.0960299400000002</v>
          </cell>
          <cell r="AX1404">
            <v>3.0973871200000005</v>
          </cell>
          <cell r="AY1404">
            <v>3.0978070100000004</v>
          </cell>
          <cell r="AZ1404">
            <v>3.0974333399999998</v>
          </cell>
          <cell r="BA1404">
            <v>3.0960778999999992</v>
          </cell>
          <cell r="BB1404">
            <v>3.0938667300000002</v>
          </cell>
          <cell r="BC1404">
            <v>3.0909950999999989</v>
          </cell>
          <cell r="BD1404">
            <v>3.0876330000000007</v>
          </cell>
          <cell r="BE1404">
            <v>3.08403998</v>
          </cell>
          <cell r="BF1404">
            <v>3.0799780099999978</v>
          </cell>
          <cell r="BG1404">
            <v>3.075491420000001</v>
          </cell>
          <cell r="BH1404">
            <v>3.0707004199999997</v>
          </cell>
          <cell r="BI1404">
            <v>3.0657273600000008</v>
          </cell>
        </row>
        <row r="1405">
          <cell r="C1405" t="str">
            <v>Balance commerciale</v>
          </cell>
          <cell r="E1405" t="str">
            <v>100*(Bal_Trade_VAL_2/(GDP_2*PGDP_2)-Bal_Trade_VAL_0/(GDP_0*PGDP_0))</v>
          </cell>
          <cell r="F1405">
            <v>-1.271142079722255</v>
          </cell>
          <cell r="G1405">
            <v>-1.2523012882088993</v>
          </cell>
          <cell r="H1405">
            <v>-1.2738760146421171</v>
          </cell>
          <cell r="I1405">
            <v>-1.3006160684777601</v>
          </cell>
          <cell r="J1405">
            <v>-1.3287598289433422</v>
          </cell>
          <cell r="K1405">
            <v>-1.358951767439605</v>
          </cell>
          <cell r="L1405">
            <v>-1.3927357941380547</v>
          </cell>
          <cell r="M1405">
            <v>-1.4287526473935794</v>
          </cell>
          <cell r="N1405">
            <v>-1.4662640519138508</v>
          </cell>
          <cell r="O1405">
            <v>-1.5043507321720213</v>
          </cell>
          <cell r="P1405">
            <v>-1.5425566260300476</v>
          </cell>
          <cell r="Q1405">
            <v>-1.5844493590680748</v>
          </cell>
          <cell r="R1405">
            <v>-1.6249600911977111</v>
          </cell>
          <cell r="S1405">
            <v>-1.6645587608573054</v>
          </cell>
          <cell r="T1405">
            <v>-1.7035528322313684</v>
          </cell>
          <cell r="U1405">
            <v>-1.7422116514430201</v>
          </cell>
          <cell r="V1405">
            <v>-1.7851432907048672</v>
          </cell>
          <cell r="W1405">
            <v>-1.8275119705259766</v>
          </cell>
          <cell r="X1405">
            <v>-1.8697052272603154</v>
          </cell>
          <cell r="Y1405">
            <v>-1.9118637660686264</v>
          </cell>
          <cell r="Z1405">
            <v>-1.9537649920393216</v>
          </cell>
          <cell r="AA1405">
            <v>-1.9959720592760692</v>
          </cell>
          <cell r="AB1405">
            <v>-2.0382419154288511</v>
          </cell>
          <cell r="AC1405">
            <v>-2.0804708665115816</v>
          </cell>
          <cell r="AD1405">
            <v>-2.1226057188014082</v>
          </cell>
          <cell r="AE1405">
            <v>-2.1636804104651151</v>
          </cell>
          <cell r="AF1405">
            <v>-2.2038885510499355</v>
          </cell>
          <cell r="AG1405">
            <v>-2.2445817058780202</v>
          </cell>
          <cell r="AH1405">
            <v>-2.2854958603365749</v>
          </cell>
          <cell r="AI1405">
            <v>-2.3265011520035106</v>
          </cell>
          <cell r="AJ1405">
            <v>-2.3675210857364775</v>
          </cell>
          <cell r="AK1405">
            <v>-2.407732518136815</v>
          </cell>
          <cell r="AL1405">
            <v>-2.4479852246172862</v>
          </cell>
          <cell r="AM1405">
            <v>-2.4881849881743521</v>
          </cell>
          <cell r="AN1405">
            <v>-2.5282797397186938</v>
          </cell>
          <cell r="AO1405">
            <v>-2.5682324657542588</v>
          </cell>
          <cell r="AP1405">
            <v>-2.6014543274716715</v>
          </cell>
          <cell r="AQ1405">
            <v>-2.6356296769936995</v>
          </cell>
          <cell r="AR1405">
            <v>-2.6702058067325787</v>
          </cell>
          <cell r="AS1405">
            <v>-2.7049507750082409</v>
          </cell>
          <cell r="AT1405">
            <v>-2.7397524519957672</v>
          </cell>
          <cell r="AU1405">
            <v>-2.773612181709213</v>
          </cell>
          <cell r="AV1405">
            <v>-2.8075750993485378</v>
          </cell>
          <cell r="AW1405">
            <v>-2.8415217473512744</v>
          </cell>
          <cell r="AX1405">
            <v>-2.8753868451920068</v>
          </cell>
          <cell r="AY1405">
            <v>-2.9091250706017746</v>
          </cell>
          <cell r="AZ1405">
            <v>-2.9397594099077673</v>
          </cell>
          <cell r="BA1405">
            <v>-2.9706381739562659</v>
          </cell>
          <cell r="BB1405">
            <v>-3.0014454635891386</v>
          </cell>
          <cell r="BC1405">
            <v>-3.0320378391540603</v>
          </cell>
          <cell r="BD1405">
            <v>-3.0623543923692957</v>
          </cell>
          <cell r="BE1405">
            <v>-3.0906503498572846</v>
          </cell>
          <cell r="BF1405">
            <v>-3.1189171510885076</v>
          </cell>
          <cell r="BG1405">
            <v>-3.1469615767975876</v>
          </cell>
          <cell r="BH1405">
            <v>-3.1746981759357902</v>
          </cell>
          <cell r="BI1405">
            <v>-3.2020854712903515</v>
          </cell>
        </row>
        <row r="1406">
          <cell r="C1406" t="str">
            <v>Facture énergétique</v>
          </cell>
          <cell r="E1406" t="str">
            <v>100*(ENER_BILL_2/(GDP_2*PGDP_2)-ENER_BILL_0/(GDP_0*PGDP_0))</v>
          </cell>
          <cell r="F1406">
            <v>4.0718795333770721E-2</v>
          </cell>
          <cell r="G1406">
            <v>4.3087161832591932E-2</v>
          </cell>
          <cell r="H1406">
            <v>5.0986027391592553E-2</v>
          </cell>
          <cell r="I1406">
            <v>5.9290167111067209E-2</v>
          </cell>
          <cell r="J1406">
            <v>6.7275477909351483E-2</v>
          </cell>
          <cell r="K1406">
            <v>7.4637276130875424E-2</v>
          </cell>
          <cell r="L1406">
            <v>8.1295226390068129E-2</v>
          </cell>
          <cell r="M1406">
            <v>8.7298867284263393E-2</v>
          </cell>
          <cell r="N1406">
            <v>9.2759333700539487E-2</v>
          </cell>
          <cell r="O1406">
            <v>9.7724656894701903E-2</v>
          </cell>
          <cell r="P1406">
            <v>0.10215259184258879</v>
          </cell>
          <cell r="Q1406">
            <v>0.10624212600645211</v>
          </cell>
          <cell r="R1406">
            <v>0.10979925138708077</v>
          </cell>
          <cell r="S1406">
            <v>0.11285773938678345</v>
          </cell>
          <cell r="T1406">
            <v>0.11543378642001767</v>
          </cell>
          <cell r="U1406">
            <v>0.11755310961686256</v>
          </cell>
          <cell r="V1406">
            <v>0.11937503370156345</v>
          </cell>
          <cell r="W1406">
            <v>0.12080143722388442</v>
          </cell>
          <cell r="X1406">
            <v>0.12190285517641436</v>
          </cell>
          <cell r="Y1406">
            <v>0.12272774867414915</v>
          </cell>
          <cell r="Z1406">
            <v>0.12334623141697573</v>
          </cell>
          <cell r="AA1406">
            <v>0.12375081356066839</v>
          </cell>
          <cell r="AB1406">
            <v>0.12399900032161129</v>
          </cell>
          <cell r="AC1406">
            <v>0.1241205871955543</v>
          </cell>
          <cell r="AD1406">
            <v>0.12414437721606462</v>
          </cell>
          <cell r="AE1406">
            <v>0.12415928205413498</v>
          </cell>
          <cell r="AF1406">
            <v>0.12407584431120382</v>
          </cell>
          <cell r="AG1406">
            <v>0.12398204345214231</v>
          </cell>
          <cell r="AH1406">
            <v>0.12387577110858951</v>
          </cell>
          <cell r="AI1406">
            <v>0.12376400930607326</v>
          </cell>
          <cell r="AJ1406">
            <v>0.12365142262811685</v>
          </cell>
          <cell r="AK1406">
            <v>0.12352309691626533</v>
          </cell>
          <cell r="AL1406">
            <v>0.1234071720537841</v>
          </cell>
          <cell r="AM1406">
            <v>0.12330221899639043</v>
          </cell>
          <cell r="AN1406">
            <v>0.12320978215600471</v>
          </cell>
          <cell r="AO1406">
            <v>0.12313089213592687</v>
          </cell>
          <cell r="AP1406">
            <v>0.12291956821622232</v>
          </cell>
          <cell r="AQ1406">
            <v>0.12276427210710111</v>
          </cell>
          <cell r="AR1406">
            <v>0.12261801578265491</v>
          </cell>
          <cell r="AS1406">
            <v>0.12246759961292361</v>
          </cell>
          <cell r="AT1406">
            <v>0.12230669885167078</v>
          </cell>
          <cell r="AU1406">
            <v>0.12210849828768154</v>
          </cell>
          <cell r="AV1406">
            <v>0.12189746739909249</v>
          </cell>
          <cell r="AW1406">
            <v>0.12166409193053712</v>
          </cell>
          <cell r="AX1406">
            <v>0.12140519679193651</v>
          </cell>
          <cell r="AY1406">
            <v>0.12112121143509763</v>
          </cell>
          <cell r="AZ1406">
            <v>0.12075876619364358</v>
          </cell>
          <cell r="BA1406">
            <v>0.12042865531925792</v>
          </cell>
          <cell r="BB1406">
            <v>0.12013633837477544</v>
          </cell>
          <cell r="BC1406">
            <v>0.1198543342281165</v>
          </cell>
          <cell r="BD1406">
            <v>0.11956050063159571</v>
          </cell>
          <cell r="BE1406">
            <v>0.11921076922787287</v>
          </cell>
          <cell r="BF1406">
            <v>0.11885785461576669</v>
          </cell>
          <cell r="BG1406">
            <v>0.1184926930773135</v>
          </cell>
          <cell r="BH1406">
            <v>0.11811546047016311</v>
          </cell>
          <cell r="BI1406">
            <v>0.11772732425397829</v>
          </cell>
        </row>
        <row r="1407">
          <cell r="C1407" t="str">
            <v>Solde public primaire</v>
          </cell>
          <cell r="E1407" t="str">
            <v>100*((-Bal_G_prim_VAL_2)/(GDP_2*PGDP_2)-(-Bal_G_prim_VAL_0)/(GDP_0*PGDP_0))</v>
          </cell>
          <cell r="F1407">
            <v>0.66640132782773664</v>
          </cell>
          <cell r="G1407">
            <v>1.1415501243873094</v>
          </cell>
          <cell r="H1407">
            <v>1.5184983348798098</v>
          </cell>
          <cell r="I1407">
            <v>1.8143705650737079</v>
          </cell>
          <cell r="J1407">
            <v>2.0429308334140228</v>
          </cell>
          <cell r="K1407">
            <v>2.2163675207141518</v>
          </cell>
          <cell r="L1407">
            <v>2.34601090075375</v>
          </cell>
          <cell r="M1407">
            <v>2.4418180493547914</v>
          </cell>
          <cell r="N1407">
            <v>2.511725024338689</v>
          </cell>
          <cell r="O1407">
            <v>2.5622770261821812</v>
          </cell>
          <cell r="P1407">
            <v>2.5992657927674903</v>
          </cell>
          <cell r="Q1407">
            <v>2.6270138540764574</v>
          </cell>
          <cell r="R1407">
            <v>2.6489121620448994</v>
          </cell>
          <cell r="S1407">
            <v>2.6665288266344538</v>
          </cell>
          <cell r="T1407">
            <v>2.6810465152033585</v>
          </cell>
          <cell r="U1407">
            <v>2.6933936240249272</v>
          </cell>
          <cell r="V1407">
            <v>2.7066500598248466</v>
          </cell>
          <cell r="W1407">
            <v>2.7204744339576226</v>
          </cell>
          <cell r="X1407">
            <v>2.734987509715618</v>
          </cell>
          <cell r="Y1407">
            <v>2.7503679810053265</v>
          </cell>
          <cell r="Z1407">
            <v>2.7662928812394538</v>
          </cell>
          <cell r="AA1407">
            <v>2.7845821218334748</v>
          </cell>
          <cell r="AB1407">
            <v>2.8040257102435779</v>
          </cell>
          <cell r="AC1407">
            <v>2.8247415904191606</v>
          </cell>
          <cell r="AD1407">
            <v>2.8467829247737693</v>
          </cell>
          <cell r="AE1407">
            <v>2.868476817109431</v>
          </cell>
          <cell r="AF1407">
            <v>2.893243565109064</v>
          </cell>
          <cell r="AG1407">
            <v>2.9189375510161013</v>
          </cell>
          <cell r="AH1407">
            <v>2.9454249319178123</v>
          </cell>
          <cell r="AI1407">
            <v>2.9725310783234824</v>
          </cell>
          <cell r="AJ1407">
            <v>3.0000701276599613</v>
          </cell>
          <cell r="AK1407">
            <v>3.0274578328183925</v>
          </cell>
          <cell r="AL1407">
            <v>3.0547155409417921</v>
          </cell>
          <cell r="AM1407">
            <v>3.0817965815846655</v>
          </cell>
          <cell r="AN1407">
            <v>3.1086535680188141</v>
          </cell>
          <cell r="AO1407">
            <v>3.1352439821079914</v>
          </cell>
          <cell r="AP1407">
            <v>3.1577266080013535</v>
          </cell>
          <cell r="AQ1407">
            <v>3.1783870620233303</v>
          </cell>
          <cell r="AR1407">
            <v>3.1977558727682891</v>
          </cell>
          <cell r="AS1407">
            <v>3.2161919940940447</v>
          </cell>
          <cell r="AT1407">
            <v>3.2339494328278158</v>
          </cell>
          <cell r="AU1407">
            <v>3.2507328151540618</v>
          </cell>
          <cell r="AV1407">
            <v>3.266935437317886</v>
          </cell>
          <cell r="AW1407">
            <v>3.2828221395816035</v>
          </cell>
          <cell r="AX1407">
            <v>3.2986140227424299</v>
          </cell>
          <cell r="AY1407">
            <v>3.3144964464606388</v>
          </cell>
          <cell r="AZ1407">
            <v>3.3290995828973866</v>
          </cell>
          <cell r="BA1407">
            <v>3.3431681467543788</v>
          </cell>
          <cell r="BB1407">
            <v>3.3571392437884269</v>
          </cell>
          <cell r="BC1407">
            <v>3.3713181592942516</v>
          </cell>
          <cell r="BD1407">
            <v>3.3859030339054526</v>
          </cell>
          <cell r="BE1407">
            <v>3.4001143931417364</v>
          </cell>
          <cell r="BF1407">
            <v>3.4144441168542352</v>
          </cell>
          <cell r="BG1407">
            <v>3.4291433332072381</v>
          </cell>
          <cell r="BH1407">
            <v>3.4443811269970266</v>
          </cell>
          <cell r="BI1407">
            <v>3.4602660768779185</v>
          </cell>
        </row>
        <row r="1408">
          <cell r="C1408" t="str">
            <v xml:space="preserve">Solde public </v>
          </cell>
          <cell r="E1408" t="str">
            <v>100*((-Bal_G_tot_VAL_2)/(GDP_2*PGDP_2)-(-Bal_G_tot_VAL_0)/(GDP_0*PGDP_0))</v>
          </cell>
          <cell r="F1408">
            <v>0.70782992481876439</v>
          </cell>
          <cell r="G1408">
            <v>1.1069239348958297</v>
          </cell>
          <cell r="H1408">
            <v>1.4092083207184234</v>
          </cell>
          <cell r="I1408">
            <v>1.6666404922292113</v>
          </cell>
          <cell r="J1408">
            <v>1.8944378351100541</v>
          </cell>
          <cell r="K1408">
            <v>2.0961182707711079</v>
          </cell>
          <cell r="L1408">
            <v>2.2738347348391428</v>
          </cell>
          <cell r="M1408">
            <v>2.4306037127838276</v>
          </cell>
          <cell r="N1408">
            <v>2.570031711992494</v>
          </cell>
          <cell r="O1408">
            <v>2.6961532087454883</v>
          </cell>
          <cell r="P1408">
            <v>2.8128429586618675</v>
          </cell>
          <cell r="Q1408">
            <v>2.9242539989990197</v>
          </cell>
          <cell r="R1408">
            <v>3.0313819553885581</v>
          </cell>
          <cell r="S1408">
            <v>3.1342036270002462</v>
          </cell>
          <cell r="T1408">
            <v>3.2328141193105759</v>
          </cell>
          <cell r="U1408">
            <v>3.3272878347624291</v>
          </cell>
          <cell r="V1408">
            <v>3.4201754053434938</v>
          </cell>
          <cell r="W1408">
            <v>3.510323318095558</v>
          </cell>
          <cell r="X1408">
            <v>3.5972823807461243</v>
          </cell>
          <cell r="Y1408">
            <v>3.6810764261990983</v>
          </cell>
          <cell r="Z1408">
            <v>3.7621882674687521</v>
          </cell>
          <cell r="AA1408">
            <v>3.8405451469641179</v>
          </cell>
          <cell r="AB1408">
            <v>3.9164815752150717</v>
          </cell>
          <cell r="AC1408">
            <v>3.9905925510546973</v>
          </cell>
          <cell r="AD1408">
            <v>4.0632437259709615</v>
          </cell>
          <cell r="AE1408">
            <v>4.1356037319191579</v>
          </cell>
          <cell r="AF1408">
            <v>4.2057169319649521</v>
          </cell>
          <cell r="AG1408">
            <v>4.2740250470706078</v>
          </cell>
          <cell r="AH1408">
            <v>4.3414840370903365</v>
          </cell>
          <cell r="AI1408">
            <v>4.4085097907772584</v>
          </cell>
          <cell r="AJ1408">
            <v>4.4752822404023114</v>
          </cell>
          <cell r="AK1408">
            <v>4.541482775306287</v>
          </cell>
          <cell r="AL1408">
            <v>4.6073967879541291</v>
          </cell>
          <cell r="AM1408">
            <v>4.6733548863412295</v>
          </cell>
          <cell r="AN1408">
            <v>4.7395757568275396</v>
          </cell>
          <cell r="AO1408">
            <v>4.8062053278255794</v>
          </cell>
          <cell r="AP1408">
            <v>4.8699873248764609</v>
          </cell>
          <cell r="AQ1408">
            <v>4.9316246965228903</v>
          </cell>
          <cell r="AR1408">
            <v>4.9927282098007</v>
          </cell>
          <cell r="AS1408">
            <v>5.054037848590923</v>
          </cell>
          <cell r="AT1408">
            <v>5.1157808094283901</v>
          </cell>
          <cell r="AU1408">
            <v>5.1774317808177708</v>
          </cell>
          <cell r="AV1408">
            <v>5.2390670508462573</v>
          </cell>
          <cell r="AW1408">
            <v>5.300987039567425</v>
          </cell>
          <cell r="AX1408">
            <v>5.3633497297279575</v>
          </cell>
          <cell r="AY1408">
            <v>5.4262440535982099</v>
          </cell>
          <cell r="AZ1408">
            <v>5.4880077594567256</v>
          </cell>
          <cell r="BA1408">
            <v>5.548931457905212</v>
          </cell>
          <cell r="BB1408">
            <v>5.6101533338826153</v>
          </cell>
          <cell r="BC1408">
            <v>5.6721070677607166</v>
          </cell>
          <cell r="BD1408">
            <v>5.7348509302939883</v>
          </cell>
          <cell r="BE1408">
            <v>5.7973185394265183</v>
          </cell>
          <cell r="BF1408">
            <v>5.8594368271300281</v>
          </cell>
          <cell r="BG1408">
            <v>5.9218560454437501</v>
          </cell>
          <cell r="BH1408">
            <v>5.9848172661018131</v>
          </cell>
          <cell r="BI1408">
            <v>6.0483468455902649</v>
          </cell>
        </row>
        <row r="1409">
          <cell r="C1409" t="str">
            <v>Dette publique</v>
          </cell>
          <cell r="E1409" t="str">
            <v>(DEBT_G_VAL_2/(PGDP_2*GDP_2)-DEBT_G_VAL_0/(PGDP_0*GDP_0))*100</v>
          </cell>
          <cell r="F1409">
            <v>2.6123347100953653</v>
          </cell>
          <cell r="G1409">
            <v>4.4752053591719188</v>
          </cell>
          <cell r="H1409">
            <v>6.6115874763415183</v>
          </cell>
          <cell r="I1409">
            <v>8.8885883336539138</v>
          </cell>
          <cell r="J1409">
            <v>11.248436512640458</v>
          </cell>
          <cell r="K1409">
            <v>13.655964351700744</v>
          </cell>
          <cell r="L1409">
            <v>16.097205089264609</v>
          </cell>
          <cell r="M1409">
            <v>18.54496358847706</v>
          </cell>
          <cell r="N1409">
            <v>20.983189520388489</v>
          </cell>
          <cell r="O1409">
            <v>23.400689110151795</v>
          </cell>
          <cell r="P1409">
            <v>25.763420377551995</v>
          </cell>
          <cell r="Q1409">
            <v>28.124850808986302</v>
          </cell>
          <cell r="R1409">
            <v>30.462078622653809</v>
          </cell>
          <cell r="S1409">
            <v>32.776271085843092</v>
          </cell>
          <cell r="T1409">
            <v>35.068509488857259</v>
          </cell>
          <cell r="U1409">
            <v>37.340118870522701</v>
          </cell>
          <cell r="V1409">
            <v>39.603106791096074</v>
          </cell>
          <cell r="W1409">
            <v>41.854369023196526</v>
          </cell>
          <cell r="X1409">
            <v>44.09614601658317</v>
          </cell>
          <cell r="Y1409">
            <v>46.33004874450446</v>
          </cell>
          <cell r="Z1409">
            <v>48.591610114884276</v>
          </cell>
          <cell r="AA1409">
            <v>50.824615197194355</v>
          </cell>
          <cell r="AB1409">
            <v>53.051873347885262</v>
          </cell>
          <cell r="AC1409">
            <v>55.274579172435509</v>
          </cell>
          <cell r="AD1409">
            <v>57.49410016358086</v>
          </cell>
          <cell r="AE1409">
            <v>59.824619420717418</v>
          </cell>
          <cell r="AF1409">
            <v>62.127665097098685</v>
          </cell>
          <cell r="AG1409">
            <v>64.440692950182992</v>
          </cell>
          <cell r="AH1409">
            <v>66.760966795157145</v>
          </cell>
          <cell r="AI1409">
            <v>69.086622430228829</v>
          </cell>
          <cell r="AJ1409">
            <v>71.416019471413222</v>
          </cell>
          <cell r="AK1409">
            <v>73.745703794960136</v>
          </cell>
          <cell r="AL1409">
            <v>76.075132963686656</v>
          </cell>
          <cell r="AM1409">
            <v>78.402954739740622</v>
          </cell>
          <cell r="AN1409">
            <v>80.728217470028781</v>
          </cell>
          <cell r="AO1409">
            <v>83.050232522238929</v>
          </cell>
          <cell r="AP1409">
            <v>85.386526217867925</v>
          </cell>
          <cell r="AQ1409">
            <v>87.721194131752881</v>
          </cell>
          <cell r="AR1409">
            <v>90.050526467932286</v>
          </cell>
          <cell r="AS1409">
            <v>92.372633969762163</v>
          </cell>
          <cell r="AT1409">
            <v>94.686488334089702</v>
          </cell>
          <cell r="AU1409">
            <v>96.989057984724028</v>
          </cell>
          <cell r="AV1409">
            <v>99.28095236594217</v>
          </cell>
          <cell r="AW1409">
            <v>101.56170697233253</v>
          </cell>
          <cell r="AX1409">
            <v>103.83138593205084</v>
          </cell>
          <cell r="AY1409">
            <v>106.09037847625061</v>
          </cell>
          <cell r="AZ1409">
            <v>108.32822709353785</v>
          </cell>
          <cell r="BA1409">
            <v>110.55122402782685</v>
          </cell>
          <cell r="BB1409">
            <v>112.7595420099077</v>
          </cell>
          <cell r="BC1409">
            <v>114.9545011212338</v>
          </cell>
          <cell r="BD1409">
            <v>117.1377434788224</v>
          </cell>
          <cell r="BE1409">
            <v>119.30640244283607</v>
          </cell>
          <cell r="BF1409">
            <v>121.46378316885098</v>
          </cell>
          <cell r="BG1409">
            <v>123.61054351228439</v>
          </cell>
          <cell r="BH1409">
            <v>125.74792444667769</v>
          </cell>
          <cell r="BI1409">
            <v>127.87727656062917</v>
          </cell>
        </row>
        <row r="1410">
          <cell r="C1410" t="str">
            <v>PIB</v>
          </cell>
          <cell r="E1410" t="str">
            <v>GDP_2</v>
          </cell>
          <cell r="F1410">
            <v>2163139.0809999998</v>
          </cell>
          <cell r="G1410">
            <v>2181760.7590000001</v>
          </cell>
          <cell r="H1410">
            <v>2203799.9619999998</v>
          </cell>
          <cell r="I1410">
            <v>2228818.1889999998</v>
          </cell>
          <cell r="J1410">
            <v>2256566.5839999998</v>
          </cell>
          <cell r="K1410">
            <v>2286712.1090000002</v>
          </cell>
          <cell r="L1410">
            <v>2317372.9509999999</v>
          </cell>
          <cell r="M1410">
            <v>2349411.2880000002</v>
          </cell>
          <cell r="N1410">
            <v>2382658.5269999998</v>
          </cell>
          <cell r="O1410">
            <v>2416960.3330000001</v>
          </cell>
          <cell r="P1410">
            <v>2454853.156</v>
          </cell>
          <cell r="Q1410">
            <v>2491437.517</v>
          </cell>
          <cell r="R1410">
            <v>2528545.2650000001</v>
          </cell>
          <cell r="S1410">
            <v>2566109.0580000002</v>
          </cell>
          <cell r="T1410">
            <v>2604098.4449999998</v>
          </cell>
          <cell r="U1410">
            <v>2642503.6439999999</v>
          </cell>
          <cell r="V1410">
            <v>2681166.398</v>
          </cell>
          <cell r="W1410">
            <v>2720236.9929999998</v>
          </cell>
          <cell r="X1410">
            <v>2759737.9139999999</v>
          </cell>
          <cell r="Y1410">
            <v>2799695.878</v>
          </cell>
          <cell r="Z1410">
            <v>2838163.0789999999</v>
          </cell>
          <cell r="AA1410">
            <v>2878565.4070000001</v>
          </cell>
          <cell r="AB1410">
            <v>2919606.8960000002</v>
          </cell>
          <cell r="AC1410">
            <v>2961306.4789999998</v>
          </cell>
          <cell r="AD1410">
            <v>3003671.0589999999</v>
          </cell>
          <cell r="AE1410">
            <v>3041026.42</v>
          </cell>
          <cell r="AF1410">
            <v>3080520.33</v>
          </cell>
          <cell r="AG1410">
            <v>3120227.2280000001</v>
          </cell>
          <cell r="AH1410">
            <v>3160284.0660000001</v>
          </cell>
          <cell r="AI1410">
            <v>3200794.929</v>
          </cell>
          <cell r="AJ1410">
            <v>3241839.8319999999</v>
          </cell>
          <cell r="AK1410">
            <v>3283513.173</v>
          </cell>
          <cell r="AL1410">
            <v>3325822.1740000001</v>
          </cell>
          <cell r="AM1410">
            <v>3368787.2549999999</v>
          </cell>
          <cell r="AN1410">
            <v>3412417.1490000002</v>
          </cell>
          <cell r="AO1410">
            <v>3456713.8289999999</v>
          </cell>
          <cell r="AP1410">
            <v>3500641.8909999998</v>
          </cell>
          <cell r="AQ1410">
            <v>3544899.21</v>
          </cell>
          <cell r="AR1410">
            <v>3589543.57</v>
          </cell>
          <cell r="AS1410">
            <v>3634628.2220000001</v>
          </cell>
          <cell r="AT1410">
            <v>3680202.605</v>
          </cell>
          <cell r="AU1410">
            <v>3726363.3339999998</v>
          </cell>
          <cell r="AV1410">
            <v>3773103.673</v>
          </cell>
          <cell r="AW1410">
            <v>3820448.08</v>
          </cell>
          <cell r="AX1410">
            <v>3868412.2250000001</v>
          </cell>
          <cell r="AY1410">
            <v>3917005.9330000002</v>
          </cell>
          <cell r="AZ1410">
            <v>3966539.2859999998</v>
          </cell>
          <cell r="BA1410">
            <v>4016786.1510000001</v>
          </cell>
          <cell r="BB1410">
            <v>4067734.8280000002</v>
          </cell>
          <cell r="BC1410">
            <v>4119371.74</v>
          </cell>
          <cell r="BD1410">
            <v>4171687.6060000001</v>
          </cell>
          <cell r="BE1410">
            <v>4224792.4680000003</v>
          </cell>
          <cell r="BF1410">
            <v>4278597.091</v>
          </cell>
          <cell r="BG1410">
            <v>4333099.5619999999</v>
          </cell>
          <cell r="BH1410">
            <v>4388299.3289999999</v>
          </cell>
          <cell r="BI1410">
            <v>4444199.7189999996</v>
          </cell>
        </row>
        <row r="1411">
          <cell r="C1411" t="str">
            <v>Ecart PIB</v>
          </cell>
          <cell r="E1411" t="str">
            <v>(GDPter_2/GDPbis_2-1)*100</v>
          </cell>
          <cell r="F1411">
            <v>0</v>
          </cell>
          <cell r="G1411">
            <v>0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0</v>
          </cell>
          <cell r="AF1411">
            <v>0</v>
          </cell>
          <cell r="AG1411">
            <v>0</v>
          </cell>
          <cell r="AH1411">
            <v>0</v>
          </cell>
          <cell r="AI1411">
            <v>0</v>
          </cell>
          <cell r="AJ1411">
            <v>0</v>
          </cell>
          <cell r="AK1411">
            <v>0</v>
          </cell>
          <cell r="AL1411">
            <v>0</v>
          </cell>
          <cell r="AM1411">
            <v>0</v>
          </cell>
          <cell r="AN1411">
            <v>0</v>
          </cell>
          <cell r="AO1411">
            <v>0</v>
          </cell>
          <cell r="AP1411">
            <v>0</v>
          </cell>
          <cell r="AQ1411">
            <v>0</v>
          </cell>
          <cell r="AR1411">
            <v>0</v>
          </cell>
          <cell r="AS1411">
            <v>0</v>
          </cell>
          <cell r="AT1411">
            <v>0</v>
          </cell>
          <cell r="AU1411">
            <v>-2.6835822453108449E-8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C1411">
            <v>0</v>
          </cell>
          <cell r="BD1411">
            <v>0</v>
          </cell>
          <cell r="BE1411">
            <v>0</v>
          </cell>
          <cell r="BF1411">
            <v>0</v>
          </cell>
          <cell r="BG1411">
            <v>0</v>
          </cell>
          <cell r="BH1411">
            <v>0</v>
          </cell>
          <cell r="BI1411">
            <v>0</v>
          </cell>
        </row>
        <row r="1412">
          <cell r="C1412" t="str">
            <v>Dépenses publiques</v>
          </cell>
          <cell r="E1412" t="str">
            <v>SPEND_G_VAL_2</v>
          </cell>
          <cell r="F1412">
            <v>1178414.0730000001</v>
          </cell>
          <cell r="G1412">
            <v>1214042.9380000001</v>
          </cell>
          <cell r="H1412">
            <v>1250891.452</v>
          </cell>
          <cell r="I1412">
            <v>1289546.9010000001</v>
          </cell>
          <cell r="J1412">
            <v>1330792.578</v>
          </cell>
          <cell r="K1412">
            <v>1374871.8559999999</v>
          </cell>
          <cell r="L1412">
            <v>1420430.1189999999</v>
          </cell>
          <cell r="M1412">
            <v>1468743.9850000001</v>
          </cell>
          <cell r="N1412">
            <v>1519792.96</v>
          </cell>
          <cell r="O1412">
            <v>1573601.493</v>
          </cell>
          <cell r="P1412">
            <v>1632790.8230000001</v>
          </cell>
          <cell r="Q1412">
            <v>1692366.08</v>
          </cell>
          <cell r="R1412">
            <v>1754835.5379999999</v>
          </cell>
          <cell r="S1412">
            <v>1820169.402</v>
          </cell>
          <cell r="T1412">
            <v>1888363.39</v>
          </cell>
          <cell r="U1412">
            <v>1959414.1629999999</v>
          </cell>
          <cell r="V1412">
            <v>2033320.4669999999</v>
          </cell>
          <cell r="W1412">
            <v>2110060.1719999998</v>
          </cell>
          <cell r="X1412">
            <v>2189614.39</v>
          </cell>
          <cell r="Y1412">
            <v>2271983.304</v>
          </cell>
          <cell r="Z1412">
            <v>2354854.608</v>
          </cell>
          <cell r="AA1412">
            <v>2442783.898</v>
          </cell>
          <cell r="AB1412">
            <v>2533578.0210000002</v>
          </cell>
          <cell r="AC1412">
            <v>2627320.3849999998</v>
          </cell>
          <cell r="AD1412">
            <v>2724080.9440000001</v>
          </cell>
          <cell r="AE1412">
            <v>2816496.92</v>
          </cell>
          <cell r="AF1412">
            <v>2915523.6409999998</v>
          </cell>
          <cell r="AG1412">
            <v>3017414.33</v>
          </cell>
          <cell r="AH1412">
            <v>3122336.051</v>
          </cell>
          <cell r="AI1412">
            <v>3230419.8</v>
          </cell>
          <cell r="AJ1412">
            <v>3341794.1869999999</v>
          </cell>
          <cell r="AK1412">
            <v>3456598.429</v>
          </cell>
          <cell r="AL1412">
            <v>3574994.3029999998</v>
          </cell>
          <cell r="AM1412">
            <v>3697168.5440000002</v>
          </cell>
          <cell r="AN1412">
            <v>3823314.872</v>
          </cell>
          <cell r="AO1412">
            <v>3953632.3450000002</v>
          </cell>
          <cell r="AP1412">
            <v>4086060.3679999998</v>
          </cell>
          <cell r="AQ1412">
            <v>4222813.068</v>
          </cell>
          <cell r="AR1412">
            <v>4364152.7120000003</v>
          </cell>
          <cell r="AS1412">
            <v>4510311.9649999999</v>
          </cell>
          <cell r="AT1412">
            <v>4661494.4440000001</v>
          </cell>
          <cell r="AU1412">
            <v>4817881.0379999997</v>
          </cell>
          <cell r="AV1412">
            <v>4979654.915</v>
          </cell>
          <cell r="AW1412">
            <v>5147033.2659999998</v>
          </cell>
          <cell r="AX1412">
            <v>5320230.693</v>
          </cell>
          <cell r="AY1412">
            <v>5499463.5489999996</v>
          </cell>
          <cell r="AZ1412">
            <v>5685156.3459999999</v>
          </cell>
          <cell r="BA1412">
            <v>5877278.6560000004</v>
          </cell>
          <cell r="BB1412">
            <v>6076152.5959999999</v>
          </cell>
          <cell r="BC1412">
            <v>6282047.6739999996</v>
          </cell>
          <cell r="BD1412">
            <v>6495204.585</v>
          </cell>
          <cell r="BE1412">
            <v>6715825.8130000001</v>
          </cell>
          <cell r="BF1412">
            <v>6944108.176</v>
          </cell>
          <cell r="BG1412">
            <v>7180359.5130000003</v>
          </cell>
          <cell r="BH1412">
            <v>7424855.5599999996</v>
          </cell>
          <cell r="BI1412">
            <v>7677855.8839999996</v>
          </cell>
        </row>
        <row r="1413">
          <cell r="C1413" t="str">
            <v>Recettes publiques</v>
          </cell>
          <cell r="E1413" t="str">
            <v>INC_G_VAL_2</v>
          </cell>
          <cell r="F1413">
            <v>997226.69579999999</v>
          </cell>
          <cell r="G1413">
            <v>1017199.037</v>
          </cell>
          <cell r="H1413">
            <v>1039108.986</v>
          </cell>
          <cell r="I1413">
            <v>1063318.7990000001</v>
          </cell>
          <cell r="J1413">
            <v>1090237.338</v>
          </cell>
          <cell r="K1413">
            <v>1120098.7309999999</v>
          </cell>
          <cell r="L1413">
            <v>1152298.524</v>
          </cell>
          <cell r="M1413">
            <v>1187097.7350000001</v>
          </cell>
          <cell r="N1413">
            <v>1224499.871</v>
          </cell>
          <cell r="O1413">
            <v>1264488.165</v>
          </cell>
          <cell r="P1413">
            <v>1308315.5449999999</v>
          </cell>
          <cell r="Q1413">
            <v>1354131.6680000001</v>
          </cell>
          <cell r="R1413">
            <v>1402292.2790000001</v>
          </cell>
          <cell r="S1413">
            <v>1452751.0819999999</v>
          </cell>
          <cell r="T1413">
            <v>1505478.922</v>
          </cell>
          <cell r="U1413">
            <v>1560455.2039999999</v>
          </cell>
          <cell r="V1413">
            <v>1617595.095</v>
          </cell>
          <cell r="W1413">
            <v>1676893.672</v>
          </cell>
          <cell r="X1413">
            <v>1738338.9310000001</v>
          </cell>
          <cell r="Y1413">
            <v>1801920.135</v>
          </cell>
          <cell r="Z1413">
            <v>1866462.0759999999</v>
          </cell>
          <cell r="AA1413">
            <v>1933557.314</v>
          </cell>
          <cell r="AB1413">
            <v>2002874.0889999999</v>
          </cell>
          <cell r="AC1413">
            <v>2074439.5649999999</v>
          </cell>
          <cell r="AD1413">
            <v>2148273.415</v>
          </cell>
          <cell r="AE1413">
            <v>2220664.145</v>
          </cell>
          <cell r="AF1413">
            <v>2294969.281</v>
          </cell>
          <cell r="AG1413">
            <v>2370758.9849999999</v>
          </cell>
          <cell r="AH1413">
            <v>2448238.1850000001</v>
          </cell>
          <cell r="AI1413">
            <v>2527594.807</v>
          </cell>
          <cell r="AJ1413">
            <v>2609000.0499999998</v>
          </cell>
          <cell r="AK1413">
            <v>2692629.24</v>
          </cell>
          <cell r="AL1413">
            <v>2778625.6230000001</v>
          </cell>
          <cell r="AM1413">
            <v>2867128.0649999999</v>
          </cell>
          <cell r="AN1413">
            <v>2958271.952</v>
          </cell>
          <cell r="AO1413">
            <v>3052191.6370000001</v>
          </cell>
          <cell r="AP1413">
            <v>3148083.801</v>
          </cell>
          <cell r="AQ1413">
            <v>3246430.6150000002</v>
          </cell>
          <cell r="AR1413">
            <v>3347434.0329999998</v>
          </cell>
          <cell r="AS1413">
            <v>3451312.6519999998</v>
          </cell>
          <cell r="AT1413">
            <v>3558283.7050000001</v>
          </cell>
          <cell r="AU1413">
            <v>3668582.22</v>
          </cell>
          <cell r="AV1413">
            <v>3782397.0839999998</v>
          </cell>
          <cell r="AW1413">
            <v>3899908.5189999999</v>
          </cell>
          <cell r="AX1413">
            <v>4021285.9759999998</v>
          </cell>
          <cell r="AY1413">
            <v>4146690.5249999999</v>
          </cell>
          <cell r="AZ1413">
            <v>4276495.8059999999</v>
          </cell>
          <cell r="BA1413">
            <v>4410796.5199999996</v>
          </cell>
          <cell r="BB1413">
            <v>4549735.2529999996</v>
          </cell>
          <cell r="BC1413">
            <v>4693454.0939999996</v>
          </cell>
          <cell r="BD1413">
            <v>4842096.3859999999</v>
          </cell>
          <cell r="BE1413">
            <v>4995872.7280000001</v>
          </cell>
          <cell r="BF1413">
            <v>5154922.773</v>
          </cell>
          <cell r="BG1413">
            <v>5319402.7980000004</v>
          </cell>
          <cell r="BH1413">
            <v>5489475.6610000003</v>
          </cell>
          <cell r="BI1413">
            <v>5665310.0959999999</v>
          </cell>
        </row>
        <row r="1414">
          <cell r="C1414" t="str">
            <v>Solde public</v>
          </cell>
          <cell r="E1414" t="str">
            <v>Bal_G_tot_VAL_2</v>
          </cell>
          <cell r="F1414">
            <v>-79210.309179999997</v>
          </cell>
          <cell r="G1414">
            <v>-90906.31813</v>
          </cell>
          <cell r="H1414">
            <v>-101299.5671</v>
          </cell>
          <cell r="I1414">
            <v>-110680.22380000001</v>
          </cell>
          <cell r="J1414">
            <v>-119473.3512</v>
          </cell>
          <cell r="K1414">
            <v>-127717.5687</v>
          </cell>
          <cell r="L1414">
            <v>-134690.1605</v>
          </cell>
          <cell r="M1414">
            <v>-141470.3075</v>
          </cell>
          <cell r="N1414">
            <v>-148043.6306</v>
          </cell>
          <cell r="O1414">
            <v>-154461.68840000001</v>
          </cell>
          <cell r="P1414">
            <v>-162100.55429999999</v>
          </cell>
          <cell r="Q1414">
            <v>-167754.6594</v>
          </cell>
          <cell r="R1414">
            <v>-173675.77470000001</v>
          </cell>
          <cell r="S1414">
            <v>-179867.04670000001</v>
          </cell>
          <cell r="T1414">
            <v>-186339.842</v>
          </cell>
          <cell r="U1414">
            <v>-193097.3412</v>
          </cell>
          <cell r="V1414">
            <v>-200208.8872</v>
          </cell>
          <cell r="W1414">
            <v>-207639.57019999999</v>
          </cell>
          <cell r="X1414">
            <v>-215366.55170000001</v>
          </cell>
          <cell r="Y1414">
            <v>-223385.93350000001</v>
          </cell>
          <cell r="Z1414">
            <v>-230546.0001</v>
          </cell>
          <cell r="AA1414">
            <v>-239852.7518</v>
          </cell>
          <cell r="AB1414">
            <v>-249337.46230000001</v>
          </cell>
          <cell r="AC1414">
            <v>-259047.4768</v>
          </cell>
          <cell r="AD1414">
            <v>-269021.81219999999</v>
          </cell>
          <cell r="AE1414">
            <v>-275595.96799999999</v>
          </cell>
          <cell r="AF1414">
            <v>-286537.755</v>
          </cell>
          <cell r="AG1414">
            <v>-298311.8517</v>
          </cell>
          <cell r="AH1414">
            <v>-310838.77970000001</v>
          </cell>
          <cell r="AI1414">
            <v>-324023.96730000002</v>
          </cell>
          <cell r="AJ1414">
            <v>-337791.91350000002</v>
          </cell>
          <cell r="AK1414">
            <v>-352077.37070000003</v>
          </cell>
          <cell r="AL1414">
            <v>-366872.99180000002</v>
          </cell>
          <cell r="AM1414">
            <v>-382201.14130000002</v>
          </cell>
          <cell r="AN1414">
            <v>-398093.5258</v>
          </cell>
          <cell r="AO1414">
            <v>-414586.63770000002</v>
          </cell>
          <cell r="AP1414">
            <v>-430393.16519999999</v>
          </cell>
          <cell r="AQ1414">
            <v>-447279.39179999998</v>
          </cell>
          <cell r="AR1414">
            <v>-465251.64889999997</v>
          </cell>
          <cell r="AS1414">
            <v>-484269.70010000002</v>
          </cell>
          <cell r="AT1414">
            <v>-504267.64159999997</v>
          </cell>
          <cell r="AU1414">
            <v>-525142.33869999996</v>
          </cell>
          <cell r="AV1414">
            <v>-546844.2341</v>
          </cell>
          <cell r="AW1414">
            <v>-569368.93839999998</v>
          </cell>
          <cell r="AX1414">
            <v>-592720.46160000004</v>
          </cell>
          <cell r="AY1414">
            <v>-616912.74529999995</v>
          </cell>
          <cell r="AZ1414">
            <v>-641954.62479999999</v>
          </cell>
          <cell r="BA1414">
            <v>-667678.48970000003</v>
          </cell>
          <cell r="BB1414">
            <v>-694229.77179999999</v>
          </cell>
          <cell r="BC1414">
            <v>-721694.52</v>
          </cell>
          <cell r="BD1414">
            <v>-750124.41339999996</v>
          </cell>
          <cell r="BE1414">
            <v>-779463.07849999995</v>
          </cell>
          <cell r="BF1414">
            <v>-809722.24269999994</v>
          </cell>
          <cell r="BG1414">
            <v>-841007.44240000006</v>
          </cell>
          <cell r="BH1414">
            <v>-873380.25430000003</v>
          </cell>
          <cell r="BI1414">
            <v>-906877.12990000006</v>
          </cell>
        </row>
        <row r="1415">
          <cell r="C1415" t="str">
            <v>Dette publique</v>
          </cell>
          <cell r="E1415" t="str">
            <v>DEBT_G_VAL_2</v>
          </cell>
          <cell r="F1415">
            <v>2118751.6630000002</v>
          </cell>
          <cell r="G1415">
            <v>2209657.9810000001</v>
          </cell>
          <cell r="H1415">
            <v>2310957.548</v>
          </cell>
          <cell r="I1415">
            <v>2421637.7719999999</v>
          </cell>
          <cell r="J1415">
            <v>2541111.1230000001</v>
          </cell>
          <cell r="K1415">
            <v>2668828.6919999998</v>
          </cell>
          <cell r="L1415">
            <v>2803518.852</v>
          </cell>
          <cell r="M1415">
            <v>2944989.16</v>
          </cell>
          <cell r="N1415">
            <v>3093032.79</v>
          </cell>
          <cell r="O1415">
            <v>3247494.4789999998</v>
          </cell>
          <cell r="P1415">
            <v>3409595.0329999998</v>
          </cell>
          <cell r="Q1415">
            <v>3577349.6919999998</v>
          </cell>
          <cell r="R1415">
            <v>3751025.4670000002</v>
          </cell>
          <cell r="S1415">
            <v>3930892.514</v>
          </cell>
          <cell r="T1415">
            <v>4117232.3560000001</v>
          </cell>
          <cell r="U1415">
            <v>4310329.6969999997</v>
          </cell>
          <cell r="V1415">
            <v>4510538.5839999998</v>
          </cell>
          <cell r="W1415">
            <v>4718178.1540000001</v>
          </cell>
          <cell r="X1415">
            <v>4933544.7060000002</v>
          </cell>
          <cell r="Y1415">
            <v>5156930.6390000004</v>
          </cell>
          <cell r="Z1415">
            <v>5387476.6399999997</v>
          </cell>
          <cell r="AA1415">
            <v>5627329.3909999998</v>
          </cell>
          <cell r="AB1415">
            <v>5876666.8540000003</v>
          </cell>
          <cell r="AC1415">
            <v>6135714.3300000001</v>
          </cell>
          <cell r="AD1415">
            <v>6404736.1430000002</v>
          </cell>
          <cell r="AE1415">
            <v>6680332.1109999996</v>
          </cell>
          <cell r="AF1415">
            <v>6966869.8660000004</v>
          </cell>
          <cell r="AG1415">
            <v>7265181.7170000002</v>
          </cell>
          <cell r="AH1415">
            <v>7576020.4970000004</v>
          </cell>
          <cell r="AI1415">
            <v>7900044.4639999997</v>
          </cell>
          <cell r="AJ1415">
            <v>8237836.3779999996</v>
          </cell>
          <cell r="AK1415">
            <v>8589913.7489999998</v>
          </cell>
          <cell r="AL1415">
            <v>8956786.7400000002</v>
          </cell>
          <cell r="AM1415">
            <v>9338987.8819999993</v>
          </cell>
          <cell r="AN1415">
            <v>9737081.4079999998</v>
          </cell>
          <cell r="AO1415">
            <v>10151668.050000001</v>
          </cell>
          <cell r="AP1415">
            <v>10582061.210000001</v>
          </cell>
          <cell r="AQ1415">
            <v>11029340.6</v>
          </cell>
          <cell r="AR1415">
            <v>11494592.25</v>
          </cell>
          <cell r="AS1415">
            <v>11978861.949999999</v>
          </cell>
          <cell r="AT1415">
            <v>12483129.59</v>
          </cell>
          <cell r="AU1415">
            <v>13008271.93</v>
          </cell>
          <cell r="AV1415">
            <v>13555116.17</v>
          </cell>
          <cell r="AW1415">
            <v>14124485.1</v>
          </cell>
          <cell r="AX1415">
            <v>14717205.57</v>
          </cell>
          <cell r="AY1415">
            <v>15334118.310000001</v>
          </cell>
          <cell r="AZ1415">
            <v>15976072.939999999</v>
          </cell>
          <cell r="BA1415">
            <v>16643751.43</v>
          </cell>
          <cell r="BB1415">
            <v>17337981.199999999</v>
          </cell>
          <cell r="BC1415">
            <v>18059675.719999999</v>
          </cell>
          <cell r="BD1415">
            <v>18809800.129999999</v>
          </cell>
          <cell r="BE1415">
            <v>19589263.210000001</v>
          </cell>
          <cell r="BF1415">
            <v>20398985.449999999</v>
          </cell>
          <cell r="BG1415">
            <v>21239992.890000001</v>
          </cell>
          <cell r="BH1415">
            <v>22113373.149999999</v>
          </cell>
          <cell r="BI1415">
            <v>23020250.280000001</v>
          </cell>
        </row>
        <row r="1434">
          <cell r="F1434">
            <v>27136.28903</v>
          </cell>
          <cell r="G1434">
            <v>26964.32876</v>
          </cell>
          <cell r="H1434">
            <v>26846.253700000001</v>
          </cell>
          <cell r="I1434">
            <v>26784.704730000001</v>
          </cell>
          <cell r="J1434">
            <v>26773.905180000002</v>
          </cell>
          <cell r="K1434">
            <v>26805.41577</v>
          </cell>
          <cell r="L1434">
            <v>26859.890009999999</v>
          </cell>
          <cell r="M1434">
            <v>26931.285749999999</v>
          </cell>
          <cell r="N1434">
            <v>27014.93244</v>
          </cell>
          <cell r="O1434">
            <v>27106.992320000001</v>
          </cell>
          <cell r="P1434">
            <v>27221.685549999998</v>
          </cell>
          <cell r="Q1434">
            <v>27335.31682</v>
          </cell>
          <cell r="R1434">
            <v>27445.64373</v>
          </cell>
          <cell r="S1434">
            <v>27552.023539999998</v>
          </cell>
          <cell r="T1434">
            <v>27654.374970000001</v>
          </cell>
          <cell r="U1434">
            <v>27752.897550000002</v>
          </cell>
          <cell r="V1434">
            <v>27847.37125</v>
          </cell>
          <cell r="W1434">
            <v>27938.340219999998</v>
          </cell>
          <cell r="X1434">
            <v>28026.45233</v>
          </cell>
          <cell r="Y1434">
            <v>28112.3344</v>
          </cell>
          <cell r="Z1434">
            <v>28185.11551</v>
          </cell>
          <cell r="AA1434">
            <v>28258.83786</v>
          </cell>
          <cell r="AB1434">
            <v>28334.27421</v>
          </cell>
          <cell r="AC1434">
            <v>28411.461009999999</v>
          </cell>
          <cell r="AD1434">
            <v>28490.276849999998</v>
          </cell>
          <cell r="AE1434">
            <v>28539.494989999999</v>
          </cell>
          <cell r="AF1434">
            <v>28581.324410000001</v>
          </cell>
          <cell r="AG1434">
            <v>28619.289720000001</v>
          </cell>
          <cell r="AH1434">
            <v>28655.537629999999</v>
          </cell>
          <cell r="AI1434">
            <v>28691.556619999999</v>
          </cell>
          <cell r="AJ1434">
            <v>28728.377059999999</v>
          </cell>
          <cell r="AK1434">
            <v>28766.716400000001</v>
          </cell>
          <cell r="AL1434">
            <v>28806.954829999999</v>
          </cell>
          <cell r="AM1434">
            <v>28849.21787</v>
          </cell>
          <cell r="AN1434">
            <v>28893.463879999999</v>
          </cell>
          <cell r="AO1434">
            <v>28939.54896</v>
          </cell>
          <cell r="AP1434">
            <v>28980.982530000001</v>
          </cell>
          <cell r="AQ1434">
            <v>29018.970809999999</v>
          </cell>
          <cell r="AR1434">
            <v>29054.65525</v>
          </cell>
          <cell r="AS1434">
            <v>29088.93982</v>
          </cell>
          <cell r="AT1434">
            <v>29122.50705</v>
          </cell>
          <cell r="AU1434">
            <v>29155.874749999999</v>
          </cell>
          <cell r="AV1434">
            <v>29189.433639999999</v>
          </cell>
          <cell r="AW1434">
            <v>29223.397199999999</v>
          </cell>
          <cell r="AX1434">
            <v>29257.85946</v>
          </cell>
          <cell r="AY1434">
            <v>29292.83282</v>
          </cell>
          <cell r="AZ1434">
            <v>29328.787789999998</v>
          </cell>
          <cell r="BA1434">
            <v>29365.744119999999</v>
          </cell>
          <cell r="BB1434">
            <v>29403.515500000001</v>
          </cell>
          <cell r="BC1434">
            <v>29441.871350000001</v>
          </cell>
          <cell r="BD1434">
            <v>29480.598999999998</v>
          </cell>
          <cell r="BE1434">
            <v>29519.475640000001</v>
          </cell>
          <cell r="BF1434">
            <v>29558.518919999999</v>
          </cell>
          <cell r="BG1434">
            <v>29597.674210000001</v>
          </cell>
          <cell r="BH1434">
            <v>29636.879970000002</v>
          </cell>
          <cell r="BI1434">
            <v>29676.09073</v>
          </cell>
        </row>
        <row r="1435">
          <cell r="F1435">
            <v>750.78111750000005</v>
          </cell>
          <cell r="G1435">
            <v>741.68078170000001</v>
          </cell>
          <cell r="H1435">
            <v>733.98793850000004</v>
          </cell>
          <cell r="I1435">
            <v>728.36314179999999</v>
          </cell>
          <cell r="J1435">
            <v>724.88973759999999</v>
          </cell>
          <cell r="K1435">
            <v>723.35199309999996</v>
          </cell>
          <cell r="L1435">
            <v>723.14771389999999</v>
          </cell>
          <cell r="M1435">
            <v>723.93549700000005</v>
          </cell>
          <cell r="N1435">
            <v>725.43566499999997</v>
          </cell>
          <cell r="O1435">
            <v>727.42076640000005</v>
          </cell>
          <cell r="P1435">
            <v>730.13126030000001</v>
          </cell>
          <cell r="Q1435">
            <v>732.95232780000003</v>
          </cell>
          <cell r="R1435">
            <v>735.73859230000005</v>
          </cell>
          <cell r="S1435">
            <v>738.41958780000004</v>
          </cell>
          <cell r="T1435">
            <v>740.96184000000005</v>
          </cell>
          <cell r="U1435">
            <v>743.35438009999996</v>
          </cell>
          <cell r="V1435">
            <v>745.57281999999998</v>
          </cell>
          <cell r="W1435">
            <v>747.63601200000005</v>
          </cell>
          <cell r="X1435">
            <v>749.56700560000002</v>
          </cell>
          <cell r="Y1435">
            <v>751.38869790000001</v>
          </cell>
          <cell r="Z1435">
            <v>752.84689430000003</v>
          </cell>
          <cell r="AA1435">
            <v>754.25230369999997</v>
          </cell>
          <cell r="AB1435">
            <v>755.65726210000003</v>
          </cell>
          <cell r="AC1435">
            <v>757.08161380000001</v>
          </cell>
          <cell r="AD1435">
            <v>758.5329011</v>
          </cell>
          <cell r="AE1435">
            <v>759.26858990000005</v>
          </cell>
          <cell r="AF1435">
            <v>759.73340689999998</v>
          </cell>
          <cell r="AG1435">
            <v>760.04238269999996</v>
          </cell>
          <cell r="AH1435">
            <v>760.27439479999998</v>
          </cell>
          <cell r="AI1435">
            <v>760.48845080000001</v>
          </cell>
          <cell r="AJ1435">
            <v>760.72741900000005</v>
          </cell>
          <cell r="AK1435">
            <v>761.02379169999995</v>
          </cell>
          <cell r="AL1435">
            <v>761.39394379999999</v>
          </cell>
          <cell r="AM1435">
            <v>761.84465580000006</v>
          </cell>
          <cell r="AN1435">
            <v>762.37616949999995</v>
          </cell>
          <cell r="AO1435">
            <v>762.98457229999997</v>
          </cell>
          <cell r="AP1435">
            <v>763.53443870000001</v>
          </cell>
          <cell r="AQ1435">
            <v>764.02491180000004</v>
          </cell>
          <cell r="AR1435">
            <v>764.47166760000005</v>
          </cell>
          <cell r="AS1435">
            <v>764.89428680000003</v>
          </cell>
          <cell r="AT1435">
            <v>765.31147120000003</v>
          </cell>
          <cell r="AU1435">
            <v>765.74238679999996</v>
          </cell>
          <cell r="AV1435">
            <v>766.1989026</v>
          </cell>
          <cell r="AW1435">
            <v>766.68791720000002</v>
          </cell>
          <cell r="AX1435">
            <v>767.21247359999995</v>
          </cell>
          <cell r="AY1435">
            <v>767.7727079</v>
          </cell>
          <cell r="AZ1435">
            <v>768.38869250000005</v>
          </cell>
          <cell r="BA1435">
            <v>769.0588285</v>
          </cell>
          <cell r="BB1435">
            <v>769.77591329999996</v>
          </cell>
          <cell r="BC1435">
            <v>770.53143660000001</v>
          </cell>
          <cell r="BD1435">
            <v>771.31722850000006</v>
          </cell>
          <cell r="BE1435">
            <v>772.13050799999996</v>
          </cell>
          <cell r="BF1435">
            <v>772.96714840000004</v>
          </cell>
          <cell r="BG1435">
            <v>773.82210380000004</v>
          </cell>
          <cell r="BH1435">
            <v>774.69095019999997</v>
          </cell>
          <cell r="BI1435">
            <v>775.57029360000001</v>
          </cell>
        </row>
        <row r="1438">
          <cell r="F1438">
            <v>4310.8866609999995</v>
          </cell>
          <cell r="G1438">
            <v>4271.5462129999996</v>
          </cell>
          <cell r="H1438">
            <v>4245.3813579999996</v>
          </cell>
          <cell r="I1438">
            <v>4231.1182699999999</v>
          </cell>
          <cell r="J1438">
            <v>4226.6172329999999</v>
          </cell>
          <cell r="K1438">
            <v>4229.7174080000004</v>
          </cell>
          <cell r="L1438">
            <v>4237.0832330000003</v>
          </cell>
          <cell r="M1438">
            <v>4247.3088349999998</v>
          </cell>
          <cell r="N1438">
            <v>4259.4416650000003</v>
          </cell>
          <cell r="O1438">
            <v>4272.8044309999996</v>
          </cell>
          <cell r="P1438">
            <v>4289.2305390000001</v>
          </cell>
          <cell r="Q1438">
            <v>4305.6588279999996</v>
          </cell>
          <cell r="R1438">
            <v>4321.6724169999998</v>
          </cell>
          <cell r="S1438">
            <v>4337.1428980000001</v>
          </cell>
          <cell r="T1438">
            <v>4352.0602920000001</v>
          </cell>
          <cell r="U1438">
            <v>4366.4736339999999</v>
          </cell>
          <cell r="V1438">
            <v>4380.3022469999996</v>
          </cell>
          <cell r="W1438">
            <v>4393.6887749999996</v>
          </cell>
          <cell r="X1438">
            <v>4406.7801049999998</v>
          </cell>
          <cell r="Y1438">
            <v>4419.7110819999998</v>
          </cell>
          <cell r="Z1438">
            <v>4431.0777619999999</v>
          </cell>
          <cell r="AA1438">
            <v>4442.6282890000002</v>
          </cell>
          <cell r="AB1438">
            <v>4454.5909869999996</v>
          </cell>
          <cell r="AC1438">
            <v>4467.0404360000002</v>
          </cell>
          <cell r="AD1438">
            <v>4479.9941090000002</v>
          </cell>
          <cell r="AE1438">
            <v>4489.325245</v>
          </cell>
          <cell r="AF1438">
            <v>4497.5688179999997</v>
          </cell>
          <cell r="AG1438">
            <v>4505.2402220000004</v>
          </cell>
          <cell r="AH1438">
            <v>4512.6658450000004</v>
          </cell>
          <cell r="AI1438">
            <v>4520.0691740000002</v>
          </cell>
          <cell r="AJ1438">
            <v>4527.5998250000002</v>
          </cell>
          <cell r="AK1438">
            <v>4535.3707130000003</v>
          </cell>
          <cell r="AL1438">
            <v>4543.4231840000002</v>
          </cell>
          <cell r="AM1438">
            <v>4551.7605270000004</v>
          </cell>
          <cell r="AN1438">
            <v>4560.3602330000003</v>
          </cell>
          <cell r="AO1438">
            <v>4569.1833530000004</v>
          </cell>
          <cell r="AP1438">
            <v>4577.4670770000002</v>
          </cell>
          <cell r="AQ1438">
            <v>4585.2099580000004</v>
          </cell>
          <cell r="AR1438">
            <v>4592.4755150000001</v>
          </cell>
          <cell r="AS1438">
            <v>4599.3376289999997</v>
          </cell>
          <cell r="AT1438">
            <v>4605.8627809999998</v>
          </cell>
          <cell r="AU1438">
            <v>4612.124202</v>
          </cell>
          <cell r="AV1438">
            <v>4618.162867</v>
          </cell>
          <cell r="AW1438">
            <v>4624.0019670000001</v>
          </cell>
          <cell r="AX1438">
            <v>4629.6526080000003</v>
          </cell>
          <cell r="AY1438">
            <v>4635.1175519999997</v>
          </cell>
          <cell r="AZ1438">
            <v>4640.5136320000001</v>
          </cell>
          <cell r="BA1438">
            <v>4645.8404950000004</v>
          </cell>
          <cell r="BB1438">
            <v>4651.0707560000001</v>
          </cell>
          <cell r="BC1438">
            <v>4656.1724990000002</v>
          </cell>
          <cell r="BD1438">
            <v>4661.1182220000001</v>
          </cell>
          <cell r="BE1438">
            <v>4665.911368</v>
          </cell>
          <cell r="BF1438">
            <v>4670.5519619999995</v>
          </cell>
          <cell r="BG1438">
            <v>4675.0351339999997</v>
          </cell>
          <cell r="BH1438">
            <v>4679.3586619999996</v>
          </cell>
          <cell r="BI1438">
            <v>4683.5251319999998</v>
          </cell>
        </row>
        <row r="1450">
          <cell r="F1450">
            <v>858.18659909999997</v>
          </cell>
          <cell r="G1450">
            <v>850.93417139999997</v>
          </cell>
          <cell r="H1450">
            <v>845.72060810000005</v>
          </cell>
          <cell r="I1450">
            <v>842.40305650000005</v>
          </cell>
          <cell r="J1450">
            <v>840.719741</v>
          </cell>
          <cell r="K1450">
            <v>840.37645880000002</v>
          </cell>
          <cell r="L1450">
            <v>840.77910150000002</v>
          </cell>
          <cell r="M1450">
            <v>841.71819830000004</v>
          </cell>
          <cell r="N1450">
            <v>843.03136900000004</v>
          </cell>
          <cell r="O1450">
            <v>844.58324889999994</v>
          </cell>
          <cell r="P1450">
            <v>846.75213359999998</v>
          </cell>
          <cell r="Q1450">
            <v>848.83995000000004</v>
          </cell>
          <cell r="R1450">
            <v>850.77089639999997</v>
          </cell>
          <cell r="S1450">
            <v>852.52744629999995</v>
          </cell>
          <cell r="T1450">
            <v>854.1106016</v>
          </cell>
          <cell r="U1450">
            <v>855.53058369999997</v>
          </cell>
          <cell r="V1450">
            <v>856.77366649999999</v>
          </cell>
          <cell r="W1450">
            <v>857.86873890000004</v>
          </cell>
          <cell r="X1450">
            <v>858.84538569999995</v>
          </cell>
          <cell r="Y1450">
            <v>859.73064250000004</v>
          </cell>
          <cell r="Z1450">
            <v>860.22890659999996</v>
          </cell>
          <cell r="AA1450">
            <v>860.73955179999996</v>
          </cell>
          <cell r="AB1450">
            <v>861.29589120000003</v>
          </cell>
          <cell r="AC1450">
            <v>861.90272289999996</v>
          </cell>
          <cell r="AD1450">
            <v>862.55941659999996</v>
          </cell>
          <cell r="AE1450">
            <v>862.40121280000005</v>
          </cell>
          <cell r="AF1450">
            <v>862.05200509999997</v>
          </cell>
          <cell r="AG1450">
            <v>861.62478390000001</v>
          </cell>
          <cell r="AH1450">
            <v>861.18267060000005</v>
          </cell>
          <cell r="AI1450">
            <v>860.76820629999997</v>
          </cell>
          <cell r="AJ1450">
            <v>860.41044780000004</v>
          </cell>
          <cell r="AK1450">
            <v>860.13161560000003</v>
          </cell>
          <cell r="AL1450">
            <v>859.94031110000003</v>
          </cell>
          <cell r="AM1450">
            <v>859.83803479999995</v>
          </cell>
          <cell r="AN1450">
            <v>859.82163849999995</v>
          </cell>
          <cell r="AO1450">
            <v>859.8851244</v>
          </cell>
          <cell r="AP1450">
            <v>859.86800070000004</v>
          </cell>
          <cell r="AQ1450">
            <v>859.79096270000002</v>
          </cell>
          <cell r="AR1450">
            <v>859.68019319999996</v>
          </cell>
          <cell r="AS1450">
            <v>859.55761329999996</v>
          </cell>
          <cell r="AT1450">
            <v>859.4400071</v>
          </cell>
          <cell r="AU1450">
            <v>859.34314400000005</v>
          </cell>
          <cell r="AV1450">
            <v>859.27496900000006</v>
          </cell>
          <cell r="AW1450">
            <v>859.23916499999996</v>
          </cell>
          <cell r="AX1450">
            <v>859.23658</v>
          </cell>
          <cell r="AY1450">
            <v>859.26609819999999</v>
          </cell>
          <cell r="AZ1450">
            <v>859.34911680000005</v>
          </cell>
          <cell r="BA1450">
            <v>859.4804302</v>
          </cell>
          <cell r="BB1450">
            <v>859.65063229999998</v>
          </cell>
          <cell r="BC1450">
            <v>859.8505609</v>
          </cell>
          <cell r="BD1450">
            <v>860.07252679999999</v>
          </cell>
          <cell r="BE1450">
            <v>860.31492939999998</v>
          </cell>
          <cell r="BF1450">
            <v>860.5746312</v>
          </cell>
          <cell r="BG1450">
            <v>860.84768340000005</v>
          </cell>
          <cell r="BH1450">
            <v>861.13086229999999</v>
          </cell>
          <cell r="BI1450">
            <v>861.42196980000006</v>
          </cell>
        </row>
        <row r="1455">
          <cell r="F1455">
            <v>21112.466479999999</v>
          </cell>
          <cell r="G1455">
            <v>20997.222239999999</v>
          </cell>
          <cell r="H1455">
            <v>20919.244620000001</v>
          </cell>
          <cell r="I1455">
            <v>20881.833719999999</v>
          </cell>
          <cell r="J1455">
            <v>20881.47795</v>
          </cell>
          <cell r="K1455">
            <v>20912.396990000001</v>
          </cell>
          <cell r="L1455">
            <v>20959.82504</v>
          </cell>
          <cell r="M1455">
            <v>21019.70074</v>
          </cell>
          <cell r="N1455">
            <v>21088.76642</v>
          </cell>
          <cell r="O1455">
            <v>21164.2408</v>
          </cell>
          <cell r="P1455">
            <v>21257.857260000001</v>
          </cell>
          <cell r="Q1455">
            <v>21350.36808</v>
          </cell>
          <cell r="R1455">
            <v>21440.185549999998</v>
          </cell>
          <cell r="S1455">
            <v>21526.88884</v>
          </cell>
          <cell r="T1455">
            <v>21610.441139999999</v>
          </cell>
          <cell r="U1455">
            <v>21690.994200000001</v>
          </cell>
          <cell r="V1455">
            <v>21768.44886</v>
          </cell>
          <cell r="W1455">
            <v>21843.156999999999</v>
          </cell>
          <cell r="X1455">
            <v>21915.564419999999</v>
          </cell>
          <cell r="Y1455">
            <v>21986.110560000001</v>
          </cell>
          <cell r="Z1455">
            <v>22045.907790000001</v>
          </cell>
          <cell r="AA1455">
            <v>22106.501029999999</v>
          </cell>
          <cell r="AB1455">
            <v>22168.342789999999</v>
          </cell>
          <cell r="AC1455">
            <v>22231.369429999999</v>
          </cell>
          <cell r="AD1455">
            <v>22295.435219999999</v>
          </cell>
          <cell r="AE1455">
            <v>22335.133239999999</v>
          </cell>
          <cell r="AF1455">
            <v>22369.01037</v>
          </cell>
          <cell r="AG1455">
            <v>22399.831320000001</v>
          </cell>
          <cell r="AH1455">
            <v>22429.26685</v>
          </cell>
          <cell r="AI1455">
            <v>22458.476139999999</v>
          </cell>
          <cell r="AJ1455">
            <v>22488.265469999998</v>
          </cell>
          <cell r="AK1455">
            <v>22519.182779999999</v>
          </cell>
          <cell r="AL1455">
            <v>22551.541089999999</v>
          </cell>
          <cell r="AM1455">
            <v>22585.454089999999</v>
          </cell>
          <cell r="AN1455">
            <v>22620.905709999999</v>
          </cell>
          <cell r="AO1455">
            <v>22657.801289999999</v>
          </cell>
          <cell r="AP1455">
            <v>22690.7251</v>
          </cell>
          <cell r="AQ1455">
            <v>22720.863300000001</v>
          </cell>
          <cell r="AR1455">
            <v>22749.248889999999</v>
          </cell>
          <cell r="AS1455">
            <v>22776.668010000001</v>
          </cell>
          <cell r="AT1455">
            <v>22803.699659999998</v>
          </cell>
          <cell r="AU1455">
            <v>22830.752420000001</v>
          </cell>
          <cell r="AV1455">
            <v>22858.155920000001</v>
          </cell>
          <cell r="AW1455">
            <v>22886.09002</v>
          </cell>
          <cell r="AX1455">
            <v>22914.634109999999</v>
          </cell>
          <cell r="AY1455">
            <v>22943.79927</v>
          </cell>
          <cell r="AZ1455">
            <v>22973.895980000001</v>
          </cell>
          <cell r="BA1455">
            <v>23004.950990000001</v>
          </cell>
          <cell r="BB1455">
            <v>23036.82228</v>
          </cell>
          <cell r="BC1455">
            <v>23069.329129999998</v>
          </cell>
          <cell r="BD1455">
            <v>23102.302670000001</v>
          </cell>
          <cell r="BE1455">
            <v>23135.521280000001</v>
          </cell>
          <cell r="BF1455">
            <v>23169.01022</v>
          </cell>
          <cell r="BG1455">
            <v>23202.729299999999</v>
          </cell>
          <cell r="BH1455">
            <v>23236.627380000002</v>
          </cell>
          <cell r="BI1455">
            <v>23270.66246</v>
          </cell>
        </row>
        <row r="1458">
          <cell r="F1458">
            <v>17.73422691</v>
          </cell>
          <cell r="G1458">
            <v>17.507231279999999</v>
          </cell>
          <cell r="H1458">
            <v>17.301473980000001</v>
          </cell>
          <cell r="I1458">
            <v>17.12655509</v>
          </cell>
          <cell r="J1458">
            <v>16.987725220000002</v>
          </cell>
          <cell r="K1458">
            <v>16.884386769999999</v>
          </cell>
          <cell r="L1458">
            <v>16.806369719999999</v>
          </cell>
          <cell r="M1458">
            <v>16.749066729999999</v>
          </cell>
          <cell r="N1458">
            <v>16.707957619999998</v>
          </cell>
          <cell r="O1458">
            <v>16.678873759999998</v>
          </cell>
          <cell r="P1458">
            <v>16.6670041</v>
          </cell>
          <cell r="Q1458">
            <v>16.6579747</v>
          </cell>
          <cell r="R1458">
            <v>16.649870279999998</v>
          </cell>
          <cell r="S1458">
            <v>16.641871080000001</v>
          </cell>
          <cell r="T1458">
            <v>16.633455860000002</v>
          </cell>
          <cell r="U1458">
            <v>16.62428384</v>
          </cell>
          <cell r="V1458">
            <v>16.613398069999999</v>
          </cell>
          <cell r="W1458">
            <v>16.601020200000001</v>
          </cell>
          <cell r="X1458">
            <v>16.587394679999999</v>
          </cell>
          <cell r="Y1458">
            <v>16.572733700000001</v>
          </cell>
          <cell r="Z1458">
            <v>16.55158643</v>
          </cell>
          <cell r="AA1458">
            <v>16.531049169999999</v>
          </cell>
          <cell r="AB1458">
            <v>16.51134399</v>
          </cell>
          <cell r="AC1458">
            <v>16.492303669999998</v>
          </cell>
          <cell r="AD1458">
            <v>16.47379054</v>
          </cell>
          <cell r="AE1458">
            <v>16.44056642</v>
          </cell>
          <cell r="AF1458">
            <v>16.40433853</v>
          </cell>
          <cell r="AG1458">
            <v>16.366786860000001</v>
          </cell>
          <cell r="AH1458">
            <v>16.328691809999999</v>
          </cell>
          <cell r="AI1458">
            <v>16.290578020000002</v>
          </cell>
          <cell r="AJ1458">
            <v>16.252833939999999</v>
          </cell>
          <cell r="AK1458">
            <v>16.215859909999999</v>
          </cell>
          <cell r="AL1458">
            <v>16.179819160000001</v>
          </cell>
          <cell r="AM1458">
            <v>16.14480717</v>
          </cell>
          <cell r="AN1458">
            <v>16.11087156</v>
          </cell>
          <cell r="AO1458">
            <v>16.078020609999999</v>
          </cell>
          <cell r="AP1458">
            <v>16.043923039999999</v>
          </cell>
          <cell r="AQ1458">
            <v>16.0089711</v>
          </cell>
          <cell r="AR1458">
            <v>15.97360342</v>
          </cell>
          <cell r="AS1458">
            <v>15.93816633</v>
          </cell>
          <cell r="AT1458">
            <v>15.90290755</v>
          </cell>
          <cell r="AU1458">
            <v>15.868107500000001</v>
          </cell>
          <cell r="AV1458">
            <v>15.833834749999999</v>
          </cell>
          <cell r="AW1458">
            <v>15.800109539999999</v>
          </cell>
          <cell r="AX1458">
            <v>15.766926639999999</v>
          </cell>
          <cell r="AY1458">
            <v>15.734261760000001</v>
          </cell>
          <cell r="AZ1458">
            <v>15.70266715</v>
          </cell>
          <cell r="BA1458">
            <v>15.67198634</v>
          </cell>
          <cell r="BB1458">
            <v>15.64205394</v>
          </cell>
          <cell r="BC1458">
            <v>15.612741890000001</v>
          </cell>
          <cell r="BD1458">
            <v>15.583943720000001</v>
          </cell>
          <cell r="BE1458">
            <v>15.555732860000001</v>
          </cell>
          <cell r="BF1458">
            <v>15.527981690000001</v>
          </cell>
          <cell r="BG1458">
            <v>15.50056309</v>
          </cell>
          <cell r="BH1458">
            <v>15.473376330000001</v>
          </cell>
          <cell r="BI1458">
            <v>15.44634237</v>
          </cell>
        </row>
        <row r="1460">
          <cell r="F1460">
            <v>6.5963204089999996</v>
          </cell>
          <cell r="G1460">
            <v>6.5118088920000003</v>
          </cell>
          <cell r="H1460">
            <v>6.4291016929999998</v>
          </cell>
          <cell r="I1460">
            <v>6.3553387959999998</v>
          </cell>
          <cell r="J1460">
            <v>6.2949739759999996</v>
          </cell>
          <cell r="K1460">
            <v>6.2489696070000003</v>
          </cell>
          <cell r="L1460">
            <v>6.214150965</v>
          </cell>
          <cell r="M1460">
            <v>6.1886222030000004</v>
          </cell>
          <cell r="N1460">
            <v>6.1702864450000003</v>
          </cell>
          <cell r="O1460">
            <v>6.1572138509999998</v>
          </cell>
          <cell r="P1460">
            <v>6.1507074020000001</v>
          </cell>
          <cell r="Q1460">
            <v>6.1457048749999998</v>
          </cell>
          <cell r="R1460">
            <v>6.1414726579999996</v>
          </cell>
          <cell r="S1460">
            <v>6.1376010460000003</v>
          </cell>
          <cell r="T1460">
            <v>6.1338118189999999</v>
          </cell>
          <cell r="U1460">
            <v>6.1299177540000001</v>
          </cell>
          <cell r="V1460">
            <v>6.1255386620000003</v>
          </cell>
          <cell r="W1460">
            <v>6.1207143620000002</v>
          </cell>
          <cell r="X1460">
            <v>6.1154920629999996</v>
          </cell>
          <cell r="Y1460">
            <v>6.1099131849999999</v>
          </cell>
          <cell r="Z1460">
            <v>6.1021443870000001</v>
          </cell>
          <cell r="AA1460">
            <v>6.0945241750000001</v>
          </cell>
          <cell r="AB1460">
            <v>6.0870625389999997</v>
          </cell>
          <cell r="AC1460">
            <v>6.0797032389999996</v>
          </cell>
          <cell r="AD1460">
            <v>6.0724085499999996</v>
          </cell>
          <cell r="AE1460">
            <v>6.0601204549999999</v>
          </cell>
          <cell r="AF1460">
            <v>6.0467445360000003</v>
          </cell>
          <cell r="AG1460">
            <v>6.032718536</v>
          </cell>
          <cell r="AH1460">
            <v>6.0182850449999998</v>
          </cell>
          <cell r="AI1460">
            <v>6.0036346959999998</v>
          </cell>
          <cell r="AJ1460">
            <v>5.9889245239999997</v>
          </cell>
          <cell r="AK1460">
            <v>5.9743160289999997</v>
          </cell>
          <cell r="AL1460">
            <v>5.959886097</v>
          </cell>
          <cell r="AM1460">
            <v>5.9456850860000001</v>
          </cell>
          <cell r="AN1460">
            <v>5.9317428559999996</v>
          </cell>
          <cell r="AO1460">
            <v>5.9180727820000003</v>
          </cell>
          <cell r="AP1460">
            <v>5.9039085580000004</v>
          </cell>
          <cell r="AQ1460">
            <v>5.8893874359999998</v>
          </cell>
          <cell r="AR1460">
            <v>5.8746461200000004</v>
          </cell>
          <cell r="AS1460">
            <v>5.8597961190000003</v>
          </cell>
          <cell r="AT1460">
            <v>5.8449240009999999</v>
          </cell>
          <cell r="AU1460">
            <v>5.8301324040000004</v>
          </cell>
          <cell r="AV1460">
            <v>5.8154554220000003</v>
          </cell>
          <cell r="AW1460">
            <v>5.8009124280000002</v>
          </cell>
          <cell r="AX1460">
            <v>5.786512654</v>
          </cell>
          <cell r="AY1460">
            <v>5.7722563669999998</v>
          </cell>
          <cell r="AZ1460">
            <v>5.7583256550000002</v>
          </cell>
          <cell r="BA1460">
            <v>5.7446586010000003</v>
          </cell>
          <cell r="BB1460">
            <v>5.7311929099999999</v>
          </cell>
          <cell r="BC1460">
            <v>5.7178784399999998</v>
          </cell>
          <cell r="BD1460">
            <v>5.7046738100000001</v>
          </cell>
          <cell r="BE1460">
            <v>5.6915980800000003</v>
          </cell>
          <cell r="BF1460">
            <v>5.6786065150000002</v>
          </cell>
          <cell r="BG1460">
            <v>5.6656579010000003</v>
          </cell>
          <cell r="BH1460">
            <v>5.6527195729999997</v>
          </cell>
          <cell r="BI1460">
            <v>5.6397651040000003</v>
          </cell>
        </row>
        <row r="1462">
          <cell r="F1462">
            <v>0.70957273880000005</v>
          </cell>
          <cell r="G1462">
            <v>0.70097171960000004</v>
          </cell>
          <cell r="H1462">
            <v>0.69402584089999997</v>
          </cell>
          <cell r="I1462">
            <v>0.68862054419999996</v>
          </cell>
          <cell r="J1462">
            <v>0.6846059565</v>
          </cell>
          <cell r="K1462">
            <v>0.68180237519999998</v>
          </cell>
          <cell r="L1462">
            <v>0.67971807399999995</v>
          </cell>
          <cell r="M1462">
            <v>0.6782105907</v>
          </cell>
          <cell r="N1462">
            <v>0.67717219780000004</v>
          </cell>
          <cell r="O1462">
            <v>0.67649600679999999</v>
          </cell>
          <cell r="P1462">
            <v>0.67650325379999998</v>
          </cell>
          <cell r="Q1462">
            <v>0.67656596710000005</v>
          </cell>
          <cell r="R1462">
            <v>0.6765870195</v>
          </cell>
          <cell r="S1462">
            <v>0.67654292439999997</v>
          </cell>
          <cell r="T1462">
            <v>0.67642385350000001</v>
          </cell>
          <cell r="U1462">
            <v>0.67622559900000001</v>
          </cell>
          <cell r="V1462">
            <v>0.67591786880000004</v>
          </cell>
          <cell r="W1462">
            <v>0.67551489539999998</v>
          </cell>
          <cell r="X1462">
            <v>0.67503347849999995</v>
          </cell>
          <cell r="Y1462">
            <v>0.67448913570000002</v>
          </cell>
          <cell r="Z1462">
            <v>0.67362374810000003</v>
          </cell>
          <cell r="AA1462">
            <v>0.67277522769999998</v>
          </cell>
          <cell r="AB1462">
            <v>0.67197723490000005</v>
          </cell>
          <cell r="AC1462">
            <v>0.67122633070000004</v>
          </cell>
          <cell r="AD1462">
            <v>0.67051625120000002</v>
          </cell>
          <cell r="AE1462">
            <v>0.66911293660000004</v>
          </cell>
          <cell r="AF1462">
            <v>0.66755197840000002</v>
          </cell>
          <cell r="AG1462">
            <v>0.66595211750000005</v>
          </cell>
          <cell r="AH1462">
            <v>0.66436299450000003</v>
          </cell>
          <cell r="AI1462">
            <v>0.66281189019999998</v>
          </cell>
          <cell r="AJ1462">
            <v>0.66131492629999999</v>
          </cell>
          <cell r="AK1462">
            <v>0.6598865035</v>
          </cell>
          <cell r="AL1462">
            <v>0.65853128979999997</v>
          </cell>
          <cell r="AM1462">
            <v>0.65725081149999998</v>
          </cell>
          <cell r="AN1462">
            <v>0.65604475929999995</v>
          </cell>
          <cell r="AO1462">
            <v>0.6549113822</v>
          </cell>
          <cell r="AP1462">
            <v>0.65372989879999999</v>
          </cell>
          <cell r="AQ1462">
            <v>0.65251665969999995</v>
          </cell>
          <cell r="AR1462">
            <v>0.65129700670000001</v>
          </cell>
          <cell r="AS1462">
            <v>0.6500912808</v>
          </cell>
          <cell r="AT1462">
            <v>0.64891301260000001</v>
          </cell>
          <cell r="AU1462">
            <v>0.64777445069999995</v>
          </cell>
          <cell r="AV1462">
            <v>0.64667836629999997</v>
          </cell>
          <cell r="AW1462">
            <v>0.64562436840000004</v>
          </cell>
          <cell r="AX1462">
            <v>0.64461075079999997</v>
          </cell>
          <cell r="AY1462">
            <v>0.64363509090000004</v>
          </cell>
          <cell r="AZ1462">
            <v>0.64271928730000005</v>
          </cell>
          <cell r="BA1462">
            <v>0.64185717129999997</v>
          </cell>
          <cell r="BB1462">
            <v>0.64104051240000004</v>
          </cell>
          <cell r="BC1462">
            <v>0.6402629822</v>
          </cell>
          <cell r="BD1462">
            <v>0.63951965369999997</v>
          </cell>
          <cell r="BE1462">
            <v>0.63881276090000005</v>
          </cell>
          <cell r="BF1462">
            <v>0.63813800629999995</v>
          </cell>
          <cell r="BG1462">
            <v>0.63749058000000003</v>
          </cell>
          <cell r="BH1462">
            <v>0.63686688359999999</v>
          </cell>
          <cell r="BI1462">
            <v>0.63626434099999996</v>
          </cell>
        </row>
        <row r="1463">
          <cell r="F1463">
            <v>86.233943370000006</v>
          </cell>
          <cell r="G1463">
            <v>85.43812801</v>
          </cell>
          <cell r="H1463">
            <v>84.617696890000005</v>
          </cell>
          <cell r="I1463">
            <v>83.859981579999996</v>
          </cell>
          <cell r="J1463">
            <v>83.212793570000002</v>
          </cell>
          <cell r="K1463">
            <v>82.688535299999998</v>
          </cell>
          <cell r="L1463">
            <v>82.248554920000004</v>
          </cell>
          <cell r="M1463">
            <v>81.873416449999993</v>
          </cell>
          <cell r="N1463">
            <v>81.549363549999995</v>
          </cell>
          <cell r="O1463">
            <v>81.264196720000001</v>
          </cell>
          <cell r="P1463">
            <v>81.047347560000006</v>
          </cell>
          <cell r="Q1463">
            <v>80.839651259999997</v>
          </cell>
          <cell r="R1463">
            <v>80.626404370000003</v>
          </cell>
          <cell r="S1463">
            <v>80.402904939999999</v>
          </cell>
          <cell r="T1463">
            <v>80.167632549999993</v>
          </cell>
          <cell r="U1463">
            <v>79.920464120000005</v>
          </cell>
          <cell r="V1463">
            <v>79.660257810000004</v>
          </cell>
          <cell r="W1463">
            <v>79.388674980000005</v>
          </cell>
          <cell r="X1463">
            <v>79.10801386</v>
          </cell>
          <cell r="Y1463">
            <v>78.82067954</v>
          </cell>
          <cell r="Z1463">
            <v>78.502572459999996</v>
          </cell>
          <cell r="AA1463">
            <v>78.185643040000002</v>
          </cell>
          <cell r="AB1463">
            <v>77.875937179999994</v>
          </cell>
          <cell r="AC1463">
            <v>77.57449604</v>
          </cell>
          <cell r="AD1463">
            <v>77.281421219999999</v>
          </cell>
          <cell r="AE1463">
            <v>76.92613498</v>
          </cell>
          <cell r="AF1463">
            <v>76.555471549999993</v>
          </cell>
          <cell r="AG1463">
            <v>76.184220999999994</v>
          </cell>
          <cell r="AH1463">
            <v>75.819179570000003</v>
          </cell>
          <cell r="AI1463">
            <v>75.464064250000007</v>
          </cell>
          <cell r="AJ1463">
            <v>75.121059250000002</v>
          </cell>
          <cell r="AK1463">
            <v>74.791644050000002</v>
          </cell>
          <cell r="AL1463">
            <v>74.476488700000004</v>
          </cell>
          <cell r="AM1463">
            <v>74.175750399999998</v>
          </cell>
          <cell r="AN1463">
            <v>73.889257380000004</v>
          </cell>
          <cell r="AO1463">
            <v>73.616594370000001</v>
          </cell>
          <cell r="AP1463">
            <v>73.343993280000007</v>
          </cell>
          <cell r="AQ1463">
            <v>73.072711979999994</v>
          </cell>
          <cell r="AR1463">
            <v>72.80538147</v>
          </cell>
          <cell r="AS1463">
            <v>72.544116650000007</v>
          </cell>
          <cell r="AT1463">
            <v>72.290226669999996</v>
          </cell>
          <cell r="AU1463">
            <v>72.044490640000006</v>
          </cell>
          <cell r="AV1463">
            <v>71.807148330000004</v>
          </cell>
          <cell r="AW1463">
            <v>71.578027570000003</v>
          </cell>
          <cell r="AX1463">
            <v>71.356768209999998</v>
          </cell>
          <cell r="AY1463">
            <v>71.14292786</v>
          </cell>
          <cell r="AZ1463">
            <v>70.937700280000001</v>
          </cell>
          <cell r="BA1463">
            <v>70.741382000000002</v>
          </cell>
          <cell r="BB1463">
            <v>70.55386996</v>
          </cell>
          <cell r="BC1463">
            <v>70.374979269999997</v>
          </cell>
          <cell r="BD1463">
            <v>70.204409130000002</v>
          </cell>
          <cell r="BE1463">
            <v>70.041818090000007</v>
          </cell>
          <cell r="BF1463">
            <v>69.886979769999996</v>
          </cell>
          <cell r="BG1463">
            <v>69.739434279999998</v>
          </cell>
          <cell r="BH1463">
            <v>69.598739570000006</v>
          </cell>
          <cell r="BI1463">
            <v>69.464531269999995</v>
          </cell>
        </row>
        <row r="1473">
          <cell r="F1473">
            <v>27371.846870000001</v>
          </cell>
          <cell r="G1473">
            <v>27401.593649999999</v>
          </cell>
          <cell r="H1473">
            <v>27439.540099999998</v>
          </cell>
          <cell r="I1473">
            <v>27494.808359999999</v>
          </cell>
          <cell r="J1473">
            <v>27570.244279999999</v>
          </cell>
          <cell r="K1473">
            <v>27664.90669</v>
          </cell>
          <cell r="L1473">
            <v>27765.32691</v>
          </cell>
          <cell r="M1473">
            <v>27870.142619999999</v>
          </cell>
          <cell r="N1473">
            <v>27978.3992</v>
          </cell>
          <cell r="O1473">
            <v>28089.185700000002</v>
          </cell>
          <cell r="P1473">
            <v>28219.506089999999</v>
          </cell>
          <cell r="Q1473">
            <v>28347.466799999998</v>
          </cell>
          <cell r="R1473">
            <v>28471.8357</v>
          </cell>
          <cell r="S1473">
            <v>28592.55488</v>
          </cell>
          <cell r="T1473">
            <v>28709.857820000001</v>
          </cell>
          <cell r="U1473">
            <v>28824.0841</v>
          </cell>
          <cell r="V1473">
            <v>28935.630120000002</v>
          </cell>
          <cell r="W1473">
            <v>29044.920099999999</v>
          </cell>
          <cell r="X1473">
            <v>29152.37917</v>
          </cell>
          <cell r="Y1473">
            <v>29258.410459999999</v>
          </cell>
          <cell r="Z1473">
            <v>29351.548210000001</v>
          </cell>
          <cell r="AA1473">
            <v>29446.0723</v>
          </cell>
          <cell r="AB1473">
            <v>29542.635340000001</v>
          </cell>
          <cell r="AC1473">
            <v>29641.154159999998</v>
          </cell>
          <cell r="AD1473">
            <v>29741.393469999999</v>
          </cell>
          <cell r="AE1473">
            <v>29810.8298</v>
          </cell>
          <cell r="AF1473">
            <v>29872.11692</v>
          </cell>
          <cell r="AG1473">
            <v>29928.77248</v>
          </cell>
          <cell r="AH1473">
            <v>29982.965209999998</v>
          </cell>
          <cell r="AI1473">
            <v>30036.211480000002</v>
          </cell>
          <cell r="AJ1473">
            <v>30089.559499999999</v>
          </cell>
          <cell r="AK1473">
            <v>30143.674370000001</v>
          </cell>
          <cell r="AL1473">
            <v>30198.911189999999</v>
          </cell>
          <cell r="AM1473">
            <v>30255.388940000001</v>
          </cell>
          <cell r="AN1473">
            <v>30313.061399999999</v>
          </cell>
          <cell r="AO1473">
            <v>30371.779210000001</v>
          </cell>
          <cell r="AP1473">
            <v>30424.466499999999</v>
          </cell>
          <cell r="AQ1473">
            <v>30472.142639999998</v>
          </cell>
          <cell r="AR1473">
            <v>30516.058779999999</v>
          </cell>
          <cell r="AS1473">
            <v>30557.311559999998</v>
          </cell>
          <cell r="AT1473">
            <v>30596.784889999999</v>
          </cell>
          <cell r="AU1473">
            <v>30635.157070000001</v>
          </cell>
          <cell r="AV1473">
            <v>30672.921849999999</v>
          </cell>
          <cell r="AW1473">
            <v>30710.41447</v>
          </cell>
          <cell r="AX1473">
            <v>30747.841100000001</v>
          </cell>
          <cell r="AY1473">
            <v>30785.309720000001</v>
          </cell>
          <cell r="AZ1473">
            <v>30823.41649</v>
          </cell>
          <cell r="BA1473">
            <v>30862.064829999999</v>
          </cell>
          <cell r="BB1473">
            <v>30901.118210000001</v>
          </cell>
          <cell r="BC1473">
            <v>30940.427749999999</v>
          </cell>
          <cell r="BD1473">
            <v>30979.856240000001</v>
          </cell>
          <cell r="BE1473">
            <v>31019.296030000001</v>
          </cell>
          <cell r="BF1473">
            <v>31058.674940000001</v>
          </cell>
          <cell r="BG1473">
            <v>31097.954150000001</v>
          </cell>
          <cell r="BH1473">
            <v>31137.122480000002</v>
          </cell>
          <cell r="BI1473">
            <v>31176.189740000002</v>
          </cell>
        </row>
        <row r="1474">
          <cell r="F1474">
            <v>760.53305020000005</v>
          </cell>
          <cell r="G1474">
            <v>759.21501550000005</v>
          </cell>
          <cell r="H1474">
            <v>757.3148377</v>
          </cell>
          <cell r="I1474">
            <v>755.9167549</v>
          </cell>
          <cell r="J1474">
            <v>755.49152949999996</v>
          </cell>
          <cell r="K1474">
            <v>756.13115930000004</v>
          </cell>
          <cell r="L1474">
            <v>757.46432259999995</v>
          </cell>
          <cell r="M1474">
            <v>759.32508589999998</v>
          </cell>
          <cell r="N1474">
            <v>761.56709569999998</v>
          </cell>
          <cell r="O1474">
            <v>764.06698710000001</v>
          </cell>
          <cell r="P1474">
            <v>767.16900250000003</v>
          </cell>
          <cell r="Q1474">
            <v>770.32745969999996</v>
          </cell>
          <cell r="R1474">
            <v>773.43415379999999</v>
          </cell>
          <cell r="S1474">
            <v>776.44274029999997</v>
          </cell>
          <cell r="T1474">
            <v>779.334608</v>
          </cell>
          <cell r="U1474">
            <v>782.1070651</v>
          </cell>
          <cell r="V1474">
            <v>784.76720220000004</v>
          </cell>
          <cell r="W1474">
            <v>787.32772309999996</v>
          </cell>
          <cell r="X1474">
            <v>789.80393730000003</v>
          </cell>
          <cell r="Y1474">
            <v>792.21168990000001</v>
          </cell>
          <cell r="Z1474">
            <v>794.27426930000001</v>
          </cell>
          <cell r="AA1474">
            <v>796.31609519999995</v>
          </cell>
          <cell r="AB1474">
            <v>798.38529249999999</v>
          </cell>
          <cell r="AC1474">
            <v>800.49781399999995</v>
          </cell>
          <cell r="AD1474">
            <v>802.6576215</v>
          </cell>
          <cell r="AE1474">
            <v>804.06893500000001</v>
          </cell>
          <cell r="AF1474">
            <v>805.19966420000003</v>
          </cell>
          <cell r="AG1474">
            <v>806.16685840000002</v>
          </cell>
          <cell r="AH1474">
            <v>807.05121999999994</v>
          </cell>
          <cell r="AI1474">
            <v>807.91324780000002</v>
          </cell>
          <cell r="AJ1474">
            <v>808.79660369999999</v>
          </cell>
          <cell r="AK1474">
            <v>809.73002459999998</v>
          </cell>
          <cell r="AL1474">
            <v>810.72975099999996</v>
          </cell>
          <cell r="AM1474">
            <v>811.8023657</v>
          </cell>
          <cell r="AN1474">
            <v>812.94762170000001</v>
          </cell>
          <cell r="AO1474">
            <v>814.16093509999996</v>
          </cell>
          <cell r="AP1474">
            <v>815.26672710000003</v>
          </cell>
          <cell r="AQ1474">
            <v>816.268328</v>
          </cell>
          <cell r="AR1474">
            <v>817.19005890000005</v>
          </cell>
          <cell r="AS1474">
            <v>818.06017039999995</v>
          </cell>
          <cell r="AT1474">
            <v>818.9050522</v>
          </cell>
          <cell r="AU1474">
            <v>819.74677210000004</v>
          </cell>
          <cell r="AV1474">
            <v>820.60211370000002</v>
          </cell>
          <cell r="AW1474">
            <v>821.48254110000005</v>
          </cell>
          <cell r="AX1474">
            <v>822.3947604</v>
          </cell>
          <cell r="AY1474">
            <v>823.34158400000001</v>
          </cell>
          <cell r="AZ1474">
            <v>824.33631890000004</v>
          </cell>
          <cell r="BA1474">
            <v>825.37649220000003</v>
          </cell>
          <cell r="BB1474">
            <v>826.45734300000004</v>
          </cell>
          <cell r="BC1474">
            <v>827.57273789999999</v>
          </cell>
          <cell r="BD1474">
            <v>828.71630670000002</v>
          </cell>
          <cell r="BE1474">
            <v>829.88232570000002</v>
          </cell>
          <cell r="BF1474">
            <v>831.06610660000001</v>
          </cell>
          <cell r="BG1474">
            <v>832.26405199999999</v>
          </cell>
          <cell r="BH1474">
            <v>833.47354150000001</v>
          </cell>
          <cell r="BI1474">
            <v>834.69274770000004</v>
          </cell>
        </row>
        <row r="1477">
          <cell r="F1477">
            <v>4367.1201650000003</v>
          </cell>
          <cell r="G1477">
            <v>4371.5474240000003</v>
          </cell>
          <cell r="H1477">
            <v>4377.7143210000004</v>
          </cell>
          <cell r="I1477">
            <v>4387.0979770000004</v>
          </cell>
          <cell r="J1477">
            <v>4400.0579740000003</v>
          </cell>
          <cell r="K1477">
            <v>4416.3723090000003</v>
          </cell>
          <cell r="L1477">
            <v>4434.1015550000002</v>
          </cell>
          <cell r="M1477">
            <v>4452.838436</v>
          </cell>
          <cell r="N1477">
            <v>4472.3342259999999</v>
          </cell>
          <cell r="O1477">
            <v>4492.4070579999998</v>
          </cell>
          <cell r="P1477">
            <v>4515.3617729999996</v>
          </cell>
          <cell r="Q1477">
            <v>4538.420169</v>
          </cell>
          <cell r="R1477">
            <v>4561.269722</v>
          </cell>
          <cell r="S1477">
            <v>4583.8285830000004</v>
          </cell>
          <cell r="T1477">
            <v>4606.0978020000002</v>
          </cell>
          <cell r="U1477">
            <v>4628.1141660000003</v>
          </cell>
          <cell r="V1477">
            <v>4649.9314109999996</v>
          </cell>
          <cell r="W1477">
            <v>4671.6105239999997</v>
          </cell>
          <cell r="X1477">
            <v>4693.2133860000004</v>
          </cell>
          <cell r="Y1477">
            <v>4714.7981049999999</v>
          </cell>
          <cell r="Z1477">
            <v>4734.7919910000001</v>
          </cell>
          <cell r="AA1477">
            <v>4754.9928719999998</v>
          </cell>
          <cell r="AB1477">
            <v>4775.5807119999999</v>
          </cell>
          <cell r="AC1477">
            <v>4796.5866800000003</v>
          </cell>
          <cell r="AD1477">
            <v>4817.989106</v>
          </cell>
          <cell r="AE1477">
            <v>4835.31149</v>
          </cell>
          <cell r="AF1477">
            <v>4851.1993949999996</v>
          </cell>
          <cell r="AG1477">
            <v>4866.1657990000003</v>
          </cell>
          <cell r="AH1477">
            <v>4880.5376409999999</v>
          </cell>
          <cell r="AI1477">
            <v>4894.5395420000004</v>
          </cell>
          <cell r="AJ1477">
            <v>4908.3212670000003</v>
          </cell>
          <cell r="AK1477">
            <v>4921.9726780000001</v>
          </cell>
          <cell r="AL1477">
            <v>4935.5357789999998</v>
          </cell>
          <cell r="AM1477">
            <v>4949.016001</v>
          </cell>
          <cell r="AN1477">
            <v>4962.3928159999996</v>
          </cell>
          <cell r="AO1477">
            <v>4975.629269</v>
          </cell>
          <cell r="AP1477">
            <v>4987.7316879999998</v>
          </cell>
          <cell r="AQ1477">
            <v>4998.7244849999997</v>
          </cell>
          <cell r="AR1477">
            <v>5008.7239149999996</v>
          </cell>
          <cell r="AS1477">
            <v>5017.8594860000003</v>
          </cell>
          <cell r="AT1477">
            <v>5026.2494139999999</v>
          </cell>
          <cell r="AU1477">
            <v>5033.9929750000001</v>
          </cell>
          <cell r="AV1477">
            <v>5041.1692460000004</v>
          </cell>
          <cell r="AW1477">
            <v>5047.838667</v>
          </cell>
          <cell r="AX1477">
            <v>5054.0460030000004</v>
          </cell>
          <cell r="AY1477">
            <v>5059.8239819999999</v>
          </cell>
          <cell r="AZ1477">
            <v>5065.2740039999999</v>
          </cell>
          <cell r="BA1477">
            <v>5070.4102800000001</v>
          </cell>
          <cell r="BB1477">
            <v>5075.2376009999998</v>
          </cell>
          <cell r="BC1477">
            <v>5079.7579009999999</v>
          </cell>
          <cell r="BD1477">
            <v>5083.9747909999996</v>
          </cell>
          <cell r="BE1477">
            <v>5087.8965070000004</v>
          </cell>
          <cell r="BF1477">
            <v>5091.5369529999998</v>
          </cell>
          <cell r="BG1477">
            <v>5094.9155010000004</v>
          </cell>
          <cell r="BH1477">
            <v>5098.0561630000002</v>
          </cell>
          <cell r="BI1477">
            <v>5100.986527</v>
          </cell>
        </row>
        <row r="1489">
          <cell r="F1489">
            <v>868.26537050000002</v>
          </cell>
          <cell r="G1489">
            <v>868.48347030000002</v>
          </cell>
          <cell r="H1489">
            <v>868.50546039999995</v>
          </cell>
          <cell r="I1489">
            <v>868.81863209999995</v>
          </cell>
          <cell r="J1489">
            <v>869.64341139999999</v>
          </cell>
          <cell r="K1489">
            <v>871.02130099999999</v>
          </cell>
          <cell r="L1489">
            <v>872.59028590000003</v>
          </cell>
          <cell r="M1489">
            <v>874.31068909999999</v>
          </cell>
          <cell r="N1489">
            <v>876.14799879999998</v>
          </cell>
          <cell r="O1489">
            <v>878.06463399999996</v>
          </cell>
          <cell r="P1489">
            <v>880.53449699999999</v>
          </cell>
          <cell r="Q1489">
            <v>882.92085080000004</v>
          </cell>
          <cell r="R1489">
            <v>885.17503450000004</v>
          </cell>
          <cell r="S1489">
            <v>887.29482059999998</v>
          </cell>
          <cell r="T1489">
            <v>889.28897119999999</v>
          </cell>
          <cell r="U1489">
            <v>891.1703804</v>
          </cell>
          <cell r="V1489">
            <v>892.95437389999995</v>
          </cell>
          <cell r="W1489">
            <v>894.65764179999996</v>
          </cell>
          <cell r="X1489">
            <v>896.29719290000003</v>
          </cell>
          <cell r="Y1489">
            <v>897.88943459999996</v>
          </cell>
          <cell r="Z1489">
            <v>899.11346800000001</v>
          </cell>
          <cell r="AA1489">
            <v>900.38128549999999</v>
          </cell>
          <cell r="AB1489">
            <v>901.71975139999995</v>
          </cell>
          <cell r="AC1489">
            <v>903.12793239999996</v>
          </cell>
          <cell r="AD1489">
            <v>904.60016940000003</v>
          </cell>
          <cell r="AE1489">
            <v>905.21651770000005</v>
          </cell>
          <cell r="AF1489">
            <v>905.6259</v>
          </cell>
          <cell r="AG1489">
            <v>905.94349139999997</v>
          </cell>
          <cell r="AH1489">
            <v>906.23398910000003</v>
          </cell>
          <cell r="AI1489">
            <v>906.54089169999997</v>
          </cell>
          <cell r="AJ1489">
            <v>906.89355450000005</v>
          </cell>
          <cell r="AK1489">
            <v>907.30994120000003</v>
          </cell>
          <cell r="AL1489">
            <v>907.79879249999999</v>
          </cell>
          <cell r="AM1489">
            <v>908.36181020000004</v>
          </cell>
          <cell r="AN1489">
            <v>908.99577120000004</v>
          </cell>
          <cell r="AO1489">
            <v>909.69439699999998</v>
          </cell>
          <cell r="AP1489">
            <v>910.25577280000005</v>
          </cell>
          <cell r="AQ1489">
            <v>910.70801930000005</v>
          </cell>
          <cell r="AR1489">
            <v>911.08818220000001</v>
          </cell>
          <cell r="AS1489">
            <v>911.42770419999999</v>
          </cell>
          <cell r="AT1489">
            <v>911.75090869999997</v>
          </cell>
          <cell r="AU1489">
            <v>912.07565580000005</v>
          </cell>
          <cell r="AV1489">
            <v>912.41423980000002</v>
          </cell>
          <cell r="AW1489">
            <v>912.77429219999999</v>
          </cell>
          <cell r="AX1489">
            <v>913.15970219999997</v>
          </cell>
          <cell r="AY1489">
            <v>913.57154109999999</v>
          </cell>
          <cell r="AZ1489">
            <v>914.02462709999998</v>
          </cell>
          <cell r="BA1489">
            <v>914.51409769999998</v>
          </cell>
          <cell r="BB1489">
            <v>915.03384289999997</v>
          </cell>
          <cell r="BC1489">
            <v>915.57776909999995</v>
          </cell>
          <cell r="BD1489">
            <v>916.14035469999999</v>
          </cell>
          <cell r="BE1489">
            <v>916.71702189999996</v>
          </cell>
          <cell r="BF1489">
            <v>917.30426469999998</v>
          </cell>
          <cell r="BG1489">
            <v>917.89959539999995</v>
          </cell>
          <cell r="BH1489">
            <v>918.50139330000002</v>
          </cell>
          <cell r="BI1489">
            <v>919.10872210000002</v>
          </cell>
        </row>
        <row r="1494">
          <cell r="F1494">
            <v>21270.980510000001</v>
          </cell>
          <cell r="G1494">
            <v>21297.637299999999</v>
          </cell>
          <cell r="H1494">
            <v>21331.772209999999</v>
          </cell>
          <cell r="I1494">
            <v>21379.30891</v>
          </cell>
          <cell r="J1494">
            <v>21441.94224</v>
          </cell>
          <cell r="K1494">
            <v>21518.764060000001</v>
          </cell>
          <cell r="L1494">
            <v>21598.988659999999</v>
          </cell>
          <cell r="M1494">
            <v>21681.864089999999</v>
          </cell>
          <cell r="N1494">
            <v>21766.871660000001</v>
          </cell>
          <cell r="O1494">
            <v>21853.454989999998</v>
          </cell>
          <cell r="P1494">
            <v>21955.455330000001</v>
          </cell>
          <cell r="Q1494">
            <v>22055.009829999999</v>
          </cell>
          <cell r="R1494">
            <v>22151.369979999999</v>
          </cell>
          <cell r="S1494">
            <v>22244.611550000001</v>
          </cell>
          <cell r="T1494">
            <v>22334.976930000001</v>
          </cell>
          <cell r="U1494">
            <v>22422.757689999999</v>
          </cell>
          <cell r="V1494">
            <v>22508.272639999999</v>
          </cell>
          <cell r="W1494">
            <v>22591.853930000001</v>
          </cell>
          <cell r="X1494">
            <v>22673.83078</v>
          </cell>
          <cell r="Y1494">
            <v>22754.514169999999</v>
          </cell>
          <cell r="Z1494">
            <v>22824.64068</v>
          </cell>
          <cell r="AA1494">
            <v>22895.915850000001</v>
          </cell>
          <cell r="AB1494">
            <v>22968.731889999999</v>
          </cell>
          <cell r="AC1494">
            <v>23042.959500000001</v>
          </cell>
          <cell r="AD1494">
            <v>23118.387610000002</v>
          </cell>
          <cell r="AE1494">
            <v>23168.77648</v>
          </cell>
          <cell r="AF1494">
            <v>23212.9568</v>
          </cell>
          <cell r="AG1494">
            <v>23253.684639999999</v>
          </cell>
          <cell r="AH1494">
            <v>23292.648980000002</v>
          </cell>
          <cell r="AI1494">
            <v>23331.03357</v>
          </cell>
          <cell r="AJ1494">
            <v>23369.661499999998</v>
          </cell>
          <cell r="AK1494">
            <v>23409.060010000001</v>
          </cell>
          <cell r="AL1494">
            <v>23449.516660000001</v>
          </cell>
          <cell r="AM1494">
            <v>23491.136740000002</v>
          </cell>
          <cell r="AN1494">
            <v>23533.898420000001</v>
          </cell>
          <cell r="AO1494">
            <v>23577.700819999998</v>
          </cell>
          <cell r="AP1494">
            <v>23616.858929999999</v>
          </cell>
          <cell r="AQ1494">
            <v>23652.334350000001</v>
          </cell>
          <cell r="AR1494">
            <v>23685.196599999999</v>
          </cell>
          <cell r="AS1494">
            <v>23716.34978</v>
          </cell>
          <cell r="AT1494">
            <v>23746.50649</v>
          </cell>
          <cell r="AU1494">
            <v>23776.204300000001</v>
          </cell>
          <cell r="AV1494">
            <v>23805.827870000001</v>
          </cell>
          <cell r="AW1494">
            <v>23835.632420000002</v>
          </cell>
          <cell r="AX1494">
            <v>23865.76857</v>
          </cell>
          <cell r="AY1494">
            <v>23896.307799999999</v>
          </cell>
          <cell r="AZ1494">
            <v>23927.715800000002</v>
          </cell>
          <cell r="BA1494">
            <v>23959.89143</v>
          </cell>
          <cell r="BB1494">
            <v>23992.706450000001</v>
          </cell>
          <cell r="BC1494">
            <v>24026.022389999998</v>
          </cell>
          <cell r="BD1494">
            <v>24059.709320000002</v>
          </cell>
          <cell r="BE1494">
            <v>24093.660889999999</v>
          </cell>
          <cell r="BF1494">
            <v>24127.79898</v>
          </cell>
          <cell r="BG1494">
            <v>24162.07171</v>
          </cell>
          <cell r="BH1494">
            <v>24196.448530000001</v>
          </cell>
          <cell r="BI1494">
            <v>24230.914799999999</v>
          </cell>
        </row>
        <row r="1497">
          <cell r="F1497">
            <v>17.994161080000001</v>
          </cell>
          <cell r="G1497">
            <v>17.949905300000001</v>
          </cell>
          <cell r="H1497">
            <v>17.86685567</v>
          </cell>
          <cell r="I1497">
            <v>17.77748777</v>
          </cell>
          <cell r="J1497">
            <v>17.7016581</v>
          </cell>
          <cell r="K1497">
            <v>17.647790860000001</v>
          </cell>
          <cell r="L1497">
            <v>17.61105147</v>
          </cell>
          <cell r="M1497">
            <v>17.589661119999999</v>
          </cell>
          <cell r="N1497">
            <v>17.580510279999999</v>
          </cell>
          <cell r="O1497">
            <v>17.580221269999999</v>
          </cell>
          <cell r="P1497">
            <v>17.595222769999999</v>
          </cell>
          <cell r="Q1497">
            <v>17.611663610000001</v>
          </cell>
          <cell r="R1497">
            <v>17.627821820000001</v>
          </cell>
          <cell r="S1497">
            <v>17.643106620000001</v>
          </cell>
          <cell r="T1497">
            <v>17.657250959999999</v>
          </cell>
          <cell r="U1497">
            <v>17.67014515</v>
          </cell>
          <cell r="V1497">
            <v>17.681783729999999</v>
          </cell>
          <cell r="W1497">
            <v>17.692233040000001</v>
          </cell>
          <cell r="X1497">
            <v>17.70160542</v>
          </cell>
          <cell r="Y1497">
            <v>17.710038789999999</v>
          </cell>
          <cell r="Z1497">
            <v>17.711501370000001</v>
          </cell>
          <cell r="AA1497">
            <v>17.713757000000001</v>
          </cell>
          <cell r="AB1497">
            <v>17.71697571</v>
          </cell>
          <cell r="AC1497">
            <v>17.720931419999999</v>
          </cell>
          <cell r="AD1497">
            <v>17.725439420000001</v>
          </cell>
          <cell r="AE1497">
            <v>17.713594260000001</v>
          </cell>
          <cell r="AF1497">
            <v>17.698174219999999</v>
          </cell>
          <cell r="AG1497">
            <v>17.681034019999998</v>
          </cell>
          <cell r="AH1497">
            <v>17.66303473</v>
          </cell>
          <cell r="AI1497">
            <v>17.644732149999999</v>
          </cell>
          <cell r="AJ1497">
            <v>17.626527759999998</v>
          </cell>
          <cell r="AK1497">
            <v>17.60870972</v>
          </cell>
          <cell r="AL1497">
            <v>17.59147123</v>
          </cell>
          <cell r="AM1497">
            <v>17.574926219999998</v>
          </cell>
          <cell r="AN1497">
            <v>17.559125649999999</v>
          </cell>
          <cell r="AO1497">
            <v>17.544073740000002</v>
          </cell>
          <cell r="AP1497">
            <v>17.526192819999999</v>
          </cell>
          <cell r="AQ1497">
            <v>17.506284449999999</v>
          </cell>
          <cell r="AR1497">
            <v>17.485142759999999</v>
          </cell>
          <cell r="AS1497">
            <v>17.46334594</v>
          </cell>
          <cell r="AT1497">
            <v>17.441295</v>
          </cell>
          <cell r="AU1497">
            <v>17.41926638</v>
          </cell>
          <cell r="AV1497">
            <v>17.39744834</v>
          </cell>
          <cell r="AW1497">
            <v>17.375964140000001</v>
          </cell>
          <cell r="AX1497">
            <v>17.354886929999999</v>
          </cell>
          <cell r="AY1497">
            <v>17.334248219999999</v>
          </cell>
          <cell r="AZ1497">
            <v>17.314316470000001</v>
          </cell>
          <cell r="BA1497">
            <v>17.294972380000001</v>
          </cell>
          <cell r="BB1497">
            <v>17.2760642</v>
          </cell>
          <cell r="BC1497">
            <v>17.257568930000001</v>
          </cell>
          <cell r="BD1497">
            <v>17.23951928</v>
          </cell>
          <cell r="BE1497">
            <v>17.221929249999999</v>
          </cell>
          <cell r="BF1497">
            <v>17.204779439999999</v>
          </cell>
          <cell r="BG1497">
            <v>17.188030040000001</v>
          </cell>
          <cell r="BH1497">
            <v>17.171636670000002</v>
          </cell>
          <cell r="BI1497">
            <v>17.155560520000002</v>
          </cell>
        </row>
        <row r="1499">
          <cell r="F1499">
            <v>6.6863688339999996</v>
          </cell>
          <cell r="G1499">
            <v>6.6636884539999999</v>
          </cell>
          <cell r="H1499">
            <v>6.6230406139999998</v>
          </cell>
          <cell r="I1499">
            <v>6.5796770139999996</v>
          </cell>
          <cell r="J1499">
            <v>6.5429209100000003</v>
          </cell>
          <cell r="K1499">
            <v>6.5163610030000001</v>
          </cell>
          <cell r="L1499">
            <v>6.4981650689999997</v>
          </cell>
          <cell r="M1499">
            <v>6.4871787830000001</v>
          </cell>
          <cell r="N1499">
            <v>6.4817429339999997</v>
          </cell>
          <cell r="O1499">
            <v>6.4802288389999996</v>
          </cell>
          <cell r="P1499">
            <v>6.4844130570000003</v>
          </cell>
          <cell r="Q1499">
            <v>6.4894319080000002</v>
          </cell>
          <cell r="R1499">
            <v>6.494634596</v>
          </cell>
          <cell r="S1499">
            <v>6.4997009400000003</v>
          </cell>
          <cell r="T1499">
            <v>6.5044421210000003</v>
          </cell>
          <cell r="U1499">
            <v>6.5087515700000003</v>
          </cell>
          <cell r="V1499">
            <v>6.512581076</v>
          </cell>
          <cell r="W1499">
            <v>6.5159227250000002</v>
          </cell>
          <cell r="X1499">
            <v>6.5187945860000003</v>
          </cell>
          <cell r="Y1499">
            <v>6.52123001</v>
          </cell>
          <cell r="Z1499">
            <v>6.5212052409999997</v>
          </cell>
          <cell r="AA1499">
            <v>6.5213172029999997</v>
          </cell>
          <cell r="AB1499">
            <v>6.5215674210000003</v>
          </cell>
          <cell r="AC1499">
            <v>6.5218916699999996</v>
          </cell>
          <cell r="AD1499">
            <v>6.5222483130000004</v>
          </cell>
          <cell r="AE1499">
            <v>6.5169956060000001</v>
          </cell>
          <cell r="AF1499">
            <v>6.510447256</v>
          </cell>
          <cell r="AG1499">
            <v>6.503102835</v>
          </cell>
          <cell r="AH1499">
            <v>6.4952354650000004</v>
          </cell>
          <cell r="AI1499">
            <v>6.4870515050000002</v>
          </cell>
          <cell r="AJ1499">
            <v>6.4787162949999999</v>
          </cell>
          <cell r="AK1499">
            <v>6.4703575750000004</v>
          </cell>
          <cell r="AL1499">
            <v>6.4620677540000004</v>
          </cell>
          <cell r="AM1499">
            <v>6.4539081559999998</v>
          </cell>
          <cell r="AN1499">
            <v>6.4459147239999997</v>
          </cell>
          <cell r="AO1499">
            <v>6.4381041669999997</v>
          </cell>
          <cell r="AP1499">
            <v>6.4292883920000001</v>
          </cell>
          <cell r="AQ1499">
            <v>6.4197541989999998</v>
          </cell>
          <cell r="AR1499">
            <v>6.4097546779999997</v>
          </cell>
          <cell r="AS1499">
            <v>6.3994753019999999</v>
          </cell>
          <cell r="AT1499">
            <v>6.3890510169999999</v>
          </cell>
          <cell r="AU1499">
            <v>6.3785813559999998</v>
          </cell>
          <cell r="AV1499">
            <v>6.3681394989999998</v>
          </cell>
          <cell r="AW1499">
            <v>6.3577777390000003</v>
          </cell>
          <cell r="AX1499">
            <v>6.3475313519999998</v>
          </cell>
          <cell r="AY1499">
            <v>6.337421848</v>
          </cell>
          <cell r="AZ1499">
            <v>6.3275552050000003</v>
          </cell>
          <cell r="BA1499">
            <v>6.3179103239999996</v>
          </cell>
          <cell r="BB1499">
            <v>6.3084635369999997</v>
          </cell>
          <cell r="BC1499">
            <v>6.2991946240000001</v>
          </cell>
          <cell r="BD1499">
            <v>6.2900861509999997</v>
          </cell>
          <cell r="BE1499">
            <v>6.2811224890000004</v>
          </cell>
          <cell r="BF1499">
            <v>6.2722897079999997</v>
          </cell>
          <cell r="BG1499">
            <v>6.2635758299999997</v>
          </cell>
          <cell r="BH1499">
            <v>6.2549709770000002</v>
          </cell>
          <cell r="BI1499">
            <v>6.246467269</v>
          </cell>
        </row>
        <row r="1501">
          <cell r="F1501">
            <v>0.72011375379999998</v>
          </cell>
          <cell r="G1501">
            <v>0.71952820179999999</v>
          </cell>
          <cell r="H1501">
            <v>0.71808296900000002</v>
          </cell>
          <cell r="I1501">
            <v>0.71643770839999998</v>
          </cell>
          <cell r="J1501">
            <v>0.71500132709999997</v>
          </cell>
          <cell r="K1501">
            <v>0.71402231270000005</v>
          </cell>
          <cell r="L1501">
            <v>0.71332271650000001</v>
          </cell>
          <cell r="M1501">
            <v>0.71293185709999995</v>
          </cell>
          <cell r="N1501">
            <v>0.71283224720000005</v>
          </cell>
          <cell r="O1501">
            <v>0.71296734230000003</v>
          </cell>
          <cell r="P1501">
            <v>0.71371919179999999</v>
          </cell>
          <cell r="Q1501">
            <v>0.71448810380000005</v>
          </cell>
          <cell r="R1501">
            <v>0.71518993649999996</v>
          </cell>
          <cell r="S1501">
            <v>0.71581337840000003</v>
          </cell>
          <cell r="T1501">
            <v>0.71636218500000004</v>
          </cell>
          <cell r="U1501">
            <v>0.71684346499999996</v>
          </cell>
          <cell r="V1501">
            <v>0.71726540009999995</v>
          </cell>
          <cell r="W1501">
            <v>0.71763680240000005</v>
          </cell>
          <cell r="X1501">
            <v>0.71796691300000004</v>
          </cell>
          <cell r="Y1501">
            <v>0.71826516279999997</v>
          </cell>
          <cell r="Z1501">
            <v>0.7182473533</v>
          </cell>
          <cell r="AA1501">
            <v>0.71827279649999998</v>
          </cell>
          <cell r="AB1501">
            <v>0.71837072540000002</v>
          </cell>
          <cell r="AC1501">
            <v>0.71853226879999998</v>
          </cell>
          <cell r="AD1501">
            <v>0.71874629609999996</v>
          </cell>
          <cell r="AE1501">
            <v>0.71821127709999999</v>
          </cell>
          <cell r="AF1501">
            <v>0.71749857350000001</v>
          </cell>
          <cell r="AG1501">
            <v>0.71673278350000003</v>
          </cell>
          <cell r="AH1501">
            <v>0.71596546800000005</v>
          </cell>
          <cell r="AI1501">
            <v>0.71522345610000004</v>
          </cell>
          <cell r="AJ1501">
            <v>0.71452254010000005</v>
          </cell>
          <cell r="AK1501">
            <v>0.71387219069999996</v>
          </cell>
          <cell r="AL1501">
            <v>0.71327755100000001</v>
          </cell>
          <cell r="AM1501">
            <v>0.71274055430000005</v>
          </cell>
          <cell r="AN1501">
            <v>0.71226073069999996</v>
          </cell>
          <cell r="AO1501">
            <v>0.71183587390000003</v>
          </cell>
          <cell r="AP1501">
            <v>0.7112964249</v>
          </cell>
          <cell r="AQ1501">
            <v>0.71067126629999999</v>
          </cell>
          <cell r="AR1501">
            <v>0.70999985720000003</v>
          </cell>
          <cell r="AS1501">
            <v>0.70931208649999999</v>
          </cell>
          <cell r="AT1501">
            <v>0.70862796400000005</v>
          </cell>
          <cell r="AU1501">
            <v>0.70796015759999997</v>
          </cell>
          <cell r="AV1501">
            <v>0.70731625129999998</v>
          </cell>
          <cell r="AW1501">
            <v>0.70670034469999998</v>
          </cell>
          <cell r="AX1501">
            <v>0.70611408470000003</v>
          </cell>
          <cell r="AY1501">
            <v>0.70555718460000005</v>
          </cell>
          <cell r="AZ1501">
            <v>0.70504022420000001</v>
          </cell>
          <cell r="BA1501">
            <v>0.70455032579999999</v>
          </cell>
          <cell r="BB1501">
            <v>0.70406853960000004</v>
          </cell>
          <cell r="BC1501">
            <v>0.70359757089999997</v>
          </cell>
          <cell r="BD1501">
            <v>0.70314928840000002</v>
          </cell>
          <cell r="BE1501">
            <v>0.70273191369999999</v>
          </cell>
          <cell r="BF1501">
            <v>0.70234733469999999</v>
          </cell>
          <cell r="BG1501">
            <v>0.70199313080000003</v>
          </cell>
          <cell r="BH1501">
            <v>0.7016651948</v>
          </cell>
          <cell r="BI1501">
            <v>0.70135950209999998</v>
          </cell>
        </row>
        <row r="1502">
          <cell r="F1502">
            <v>86.953612710000002</v>
          </cell>
          <cell r="G1502">
            <v>86.760530610000004</v>
          </cell>
          <cell r="H1502">
            <v>86.366415599999996</v>
          </cell>
          <cell r="I1502">
            <v>85.888597649999994</v>
          </cell>
          <cell r="J1502">
            <v>85.407461519999998</v>
          </cell>
          <cell r="K1502">
            <v>84.970071660000002</v>
          </cell>
          <cell r="L1502">
            <v>84.571033679999999</v>
          </cell>
          <cell r="M1502">
            <v>84.214655640000004</v>
          </cell>
          <cell r="N1502">
            <v>83.897711020000003</v>
          </cell>
          <cell r="O1502">
            <v>83.611805290000007</v>
          </cell>
          <cell r="P1502">
            <v>83.390268919999997</v>
          </cell>
          <cell r="Q1502">
            <v>83.176826890000001</v>
          </cell>
          <cell r="R1502">
            <v>82.958994540000006</v>
          </cell>
          <cell r="S1502">
            <v>82.734078679999996</v>
          </cell>
          <cell r="T1502">
            <v>82.502258979999993</v>
          </cell>
          <cell r="U1502">
            <v>82.264650849999995</v>
          </cell>
          <cell r="V1502">
            <v>82.022713850000002</v>
          </cell>
          <cell r="W1502">
            <v>81.778043629999999</v>
          </cell>
          <cell r="X1502">
            <v>81.532275389999995</v>
          </cell>
          <cell r="Y1502">
            <v>81.287020190000007</v>
          </cell>
          <cell r="Z1502">
            <v>81.016300670000007</v>
          </cell>
          <cell r="AA1502">
            <v>80.752447599999996</v>
          </cell>
          <cell r="AB1502">
            <v>80.500716499999996</v>
          </cell>
          <cell r="AC1502">
            <v>80.261309109999999</v>
          </cell>
          <cell r="AD1502">
            <v>80.033516039999995</v>
          </cell>
          <cell r="AE1502">
            <v>79.742775789999996</v>
          </cell>
          <cell r="AF1502">
            <v>79.43697976</v>
          </cell>
          <cell r="AG1502">
            <v>79.130658019999998</v>
          </cell>
          <cell r="AH1502">
            <v>78.830344109999999</v>
          </cell>
          <cell r="AI1502">
            <v>78.539497240000003</v>
          </cell>
          <cell r="AJ1502">
            <v>78.260053540000001</v>
          </cell>
          <cell r="AK1502">
            <v>77.993015360000001</v>
          </cell>
          <cell r="AL1502">
            <v>77.738736189999997</v>
          </cell>
          <cell r="AM1502">
            <v>77.497098640000004</v>
          </cell>
          <cell r="AN1502">
            <v>77.267649680000005</v>
          </cell>
          <cell r="AO1502">
            <v>77.049713179999998</v>
          </cell>
          <cell r="AP1502">
            <v>76.827197069999997</v>
          </cell>
          <cell r="AQ1502">
            <v>76.601173770000003</v>
          </cell>
          <cell r="AR1502">
            <v>76.374873730000004</v>
          </cell>
          <cell r="AS1502">
            <v>76.151072540000001</v>
          </cell>
          <cell r="AT1502">
            <v>75.93172869</v>
          </cell>
          <cell r="AU1502">
            <v>75.718101680000004</v>
          </cell>
          <cell r="AV1502">
            <v>75.510929820000001</v>
          </cell>
          <cell r="AW1502">
            <v>75.310584460000001</v>
          </cell>
          <cell r="AX1502">
            <v>75.117171029999994</v>
          </cell>
          <cell r="AY1502">
            <v>74.930562600000002</v>
          </cell>
          <cell r="AZ1502">
            <v>74.751422219999995</v>
          </cell>
          <cell r="BA1502">
            <v>74.577560410000004</v>
          </cell>
          <cell r="BB1502">
            <v>74.406905809999998</v>
          </cell>
          <cell r="BC1502">
            <v>74.239388529999999</v>
          </cell>
          <cell r="BD1502">
            <v>74.075950550000002</v>
          </cell>
          <cell r="BE1502">
            <v>73.917362299999994</v>
          </cell>
          <cell r="BF1502">
            <v>73.763858429999999</v>
          </cell>
          <cell r="BG1502">
            <v>73.615262169999994</v>
          </cell>
          <cell r="BH1502">
            <v>73.471221920000005</v>
          </cell>
          <cell r="BI1502">
            <v>73.331388410000002</v>
          </cell>
        </row>
        <row r="1512">
          <cell r="F1512">
            <v>1934505.389</v>
          </cell>
          <cell r="G1512">
            <v>1951835.247</v>
          </cell>
          <cell r="H1512">
            <v>1972221.3289999999</v>
          </cell>
          <cell r="I1512">
            <v>1995251.3219999999</v>
          </cell>
          <cell r="J1512">
            <v>2020689.784</v>
          </cell>
          <cell r="K1512">
            <v>2048218.004</v>
          </cell>
          <cell r="L1512">
            <v>2076092.307</v>
          </cell>
          <cell r="M1512">
            <v>2105154.2050000001</v>
          </cell>
          <cell r="N1512">
            <v>2135243.9580000001</v>
          </cell>
          <cell r="O1512">
            <v>2166223.9330000002</v>
          </cell>
          <cell r="P1512">
            <v>2200447.0950000002</v>
          </cell>
          <cell r="Q1512">
            <v>2233318.7080000001</v>
          </cell>
          <cell r="R1512">
            <v>2266642.61</v>
          </cell>
          <cell r="S1512">
            <v>2300357.9610000001</v>
          </cell>
          <cell r="T1512">
            <v>2334441.4759999998</v>
          </cell>
          <cell r="U1512">
            <v>2368888.64</v>
          </cell>
          <cell r="V1512">
            <v>2403555.6839999999</v>
          </cell>
          <cell r="W1512">
            <v>2438589.9270000001</v>
          </cell>
          <cell r="X1512">
            <v>2474014.3650000002</v>
          </cell>
          <cell r="Y1512">
            <v>2509856.0699999998</v>
          </cell>
          <cell r="Z1512">
            <v>2544317.1910000001</v>
          </cell>
          <cell r="AA1512">
            <v>2580621.8149999999</v>
          </cell>
          <cell r="AB1512">
            <v>2617502.463</v>
          </cell>
          <cell r="AC1512">
            <v>2654982.9040000001</v>
          </cell>
          <cell r="AD1512">
            <v>2693072.6140000001</v>
          </cell>
          <cell r="AE1512">
            <v>2726529.6540000001</v>
          </cell>
          <cell r="AF1512">
            <v>2762122.892</v>
          </cell>
          <cell r="AG1512">
            <v>2797941.9360000002</v>
          </cell>
          <cell r="AH1512">
            <v>2834107.503</v>
          </cell>
          <cell r="AI1512">
            <v>2870707.591</v>
          </cell>
          <cell r="AJ1512">
            <v>2907809.219</v>
          </cell>
          <cell r="AK1512">
            <v>2945494.7</v>
          </cell>
          <cell r="AL1512">
            <v>2983765.9369999999</v>
          </cell>
          <cell r="AM1512">
            <v>3022639.483</v>
          </cell>
          <cell r="AN1512">
            <v>3062121.77</v>
          </cell>
          <cell r="AO1512">
            <v>3102213.4249999998</v>
          </cell>
          <cell r="AP1512">
            <v>3141958.1340000001</v>
          </cell>
          <cell r="AQ1512">
            <v>3182029.253</v>
          </cell>
          <cell r="AR1512">
            <v>3222470.946</v>
          </cell>
          <cell r="AS1512">
            <v>3263325.5630000001</v>
          </cell>
          <cell r="AT1512">
            <v>3304632.9569999999</v>
          </cell>
          <cell r="AU1512">
            <v>3346477.9909999999</v>
          </cell>
          <cell r="AV1512">
            <v>3388849.2009999999</v>
          </cell>
          <cell r="AW1512">
            <v>3431766.8739999998</v>
          </cell>
          <cell r="AX1512">
            <v>3475243.9670000002</v>
          </cell>
          <cell r="AY1512">
            <v>3519288.699</v>
          </cell>
          <cell r="AZ1512">
            <v>3564188.6379999998</v>
          </cell>
          <cell r="BA1512">
            <v>3609725.8280000002</v>
          </cell>
          <cell r="BB1512">
            <v>3655891.389</v>
          </cell>
          <cell r="BC1512">
            <v>3702674.13</v>
          </cell>
          <cell r="BD1512">
            <v>3750066.5970000001</v>
          </cell>
          <cell r="BE1512">
            <v>3798172.3110000002</v>
          </cell>
          <cell r="BF1512">
            <v>3846906.423</v>
          </cell>
          <cell r="BG1512">
            <v>3896268.54</v>
          </cell>
          <cell r="BH1512">
            <v>3946259.0980000002</v>
          </cell>
          <cell r="BI1512">
            <v>3996881.858</v>
          </cell>
        </row>
        <row r="1513">
          <cell r="F1513">
            <v>35300.801299999999</v>
          </cell>
          <cell r="G1513">
            <v>35400.438770000001</v>
          </cell>
          <cell r="H1513">
            <v>35557.360489999999</v>
          </cell>
          <cell r="I1513">
            <v>35784.721440000001</v>
          </cell>
          <cell r="J1513">
            <v>36080.534330000002</v>
          </cell>
          <cell r="K1513">
            <v>36435.404069999997</v>
          </cell>
          <cell r="L1513">
            <v>36814.852209999997</v>
          </cell>
          <cell r="M1513">
            <v>37227.268649999998</v>
          </cell>
          <cell r="N1513">
            <v>37667.840389999998</v>
          </cell>
          <cell r="O1513">
            <v>38132.114629999996</v>
          </cell>
          <cell r="P1513">
            <v>38656.088609999999</v>
          </cell>
          <cell r="Q1513">
            <v>39164.355519999997</v>
          </cell>
          <cell r="R1513">
            <v>39682.397510000003</v>
          </cell>
          <cell r="S1513">
            <v>40207.714440000003</v>
          </cell>
          <cell r="T1513">
            <v>40738.862359999999</v>
          </cell>
          <cell r="U1513">
            <v>41275.049249999996</v>
          </cell>
          <cell r="V1513">
            <v>41812.335930000001</v>
          </cell>
          <cell r="W1513">
            <v>42353.964789999998</v>
          </cell>
          <cell r="X1513">
            <v>42899.959799999997</v>
          </cell>
          <cell r="Y1513">
            <v>43450.617879999998</v>
          </cell>
          <cell r="Z1513">
            <v>43976.95289</v>
          </cell>
          <cell r="AA1513">
            <v>44528.955670000003</v>
          </cell>
          <cell r="AB1513">
            <v>45088.689610000001</v>
          </cell>
          <cell r="AC1513">
            <v>45656.561979999999</v>
          </cell>
          <cell r="AD1513">
            <v>46232.761429999999</v>
          </cell>
          <cell r="AE1513">
            <v>46733.472569999998</v>
          </cell>
          <cell r="AF1513">
            <v>47261.955249999999</v>
          </cell>
          <cell r="AG1513">
            <v>47791.702039999996</v>
          </cell>
          <cell r="AH1513">
            <v>48325.41102</v>
          </cell>
          <cell r="AI1513">
            <v>48865.144520000002</v>
          </cell>
          <cell r="AJ1513">
            <v>49412.469530000002</v>
          </cell>
          <cell r="AK1513">
            <v>49969.336190000002</v>
          </cell>
          <cell r="AL1513">
            <v>50535.788860000001</v>
          </cell>
          <cell r="AM1513">
            <v>51112.333859999999</v>
          </cell>
          <cell r="AN1513">
            <v>51699.232239999998</v>
          </cell>
          <cell r="AO1513">
            <v>52296.596290000001</v>
          </cell>
          <cell r="AP1513">
            <v>52891.708400000003</v>
          </cell>
          <cell r="AQ1513">
            <v>53491.439980000003</v>
          </cell>
          <cell r="AR1513">
            <v>54097.065130000003</v>
          </cell>
          <cell r="AS1513">
            <v>54709.562339999997</v>
          </cell>
          <cell r="AT1513">
            <v>55329.783490000002</v>
          </cell>
          <cell r="AU1513">
            <v>55959.596409999998</v>
          </cell>
          <cell r="AV1513">
            <v>56598.511890000002</v>
          </cell>
          <cell r="AW1513">
            <v>57246.903610000001</v>
          </cell>
          <cell r="AX1513">
            <v>57904.942620000002</v>
          </cell>
          <cell r="AY1513">
            <v>58572.694940000001</v>
          </cell>
          <cell r="AZ1513">
            <v>59256.169240000003</v>
          </cell>
          <cell r="BA1513">
            <v>59951.074130000001</v>
          </cell>
          <cell r="BB1513">
            <v>60657.637199999997</v>
          </cell>
          <cell r="BC1513">
            <v>61375.789449999997</v>
          </cell>
          <cell r="BD1513">
            <v>62105.36565</v>
          </cell>
          <cell r="BE1513">
            <v>62848.67009</v>
          </cell>
          <cell r="BF1513">
            <v>63603.360090000002</v>
          </cell>
          <cell r="BG1513">
            <v>64369.311979999999</v>
          </cell>
          <cell r="BH1513">
            <v>65146.349609999997</v>
          </cell>
          <cell r="BI1513">
            <v>65934.354070000001</v>
          </cell>
        </row>
        <row r="1516">
          <cell r="F1516">
            <v>322376.22350000002</v>
          </cell>
          <cell r="G1516">
            <v>326284.0822</v>
          </cell>
          <cell r="H1516">
            <v>329993.5588</v>
          </cell>
          <cell r="I1516">
            <v>333988.51939999999</v>
          </cell>
          <cell r="J1516">
            <v>338294.82079999999</v>
          </cell>
          <cell r="K1516">
            <v>342865.7524</v>
          </cell>
          <cell r="L1516">
            <v>347416.12209999998</v>
          </cell>
          <cell r="M1516">
            <v>352121.30369999999</v>
          </cell>
          <cell r="N1516">
            <v>356953.01429999998</v>
          </cell>
          <cell r="O1516">
            <v>361897.73920000001</v>
          </cell>
          <cell r="P1516">
            <v>367354.65139999997</v>
          </cell>
          <cell r="Q1516">
            <v>372523.22230000002</v>
          </cell>
          <cell r="R1516">
            <v>377787.68359999999</v>
          </cell>
          <cell r="S1516">
            <v>383121.44209999999</v>
          </cell>
          <cell r="T1516">
            <v>388522.92440000002</v>
          </cell>
          <cell r="U1516">
            <v>393995.62469999999</v>
          </cell>
          <cell r="V1516">
            <v>399501.59519999998</v>
          </cell>
          <cell r="W1516">
            <v>405091.77189999999</v>
          </cell>
          <cell r="X1516">
            <v>410769.14809999999</v>
          </cell>
          <cell r="Y1516">
            <v>416540.35489999998</v>
          </cell>
          <cell r="Z1516">
            <v>422113.04190000001</v>
          </cell>
          <cell r="AA1516">
            <v>428038.59649999999</v>
          </cell>
          <cell r="AB1516">
            <v>434070.3064</v>
          </cell>
          <cell r="AC1516">
            <v>440226.38909999997</v>
          </cell>
          <cell r="AD1516">
            <v>446510.6398</v>
          </cell>
          <cell r="AE1516">
            <v>452068.87550000002</v>
          </cell>
          <cell r="AF1516">
            <v>458071.08799999999</v>
          </cell>
          <cell r="AG1516">
            <v>464111.36099999998</v>
          </cell>
          <cell r="AH1516">
            <v>470224.17489999998</v>
          </cell>
          <cell r="AI1516">
            <v>476422.14130000002</v>
          </cell>
          <cell r="AJ1516">
            <v>482712.53619999997</v>
          </cell>
          <cell r="AK1516">
            <v>489109.52750000003</v>
          </cell>
          <cell r="AL1516">
            <v>495605.2709</v>
          </cell>
          <cell r="AM1516">
            <v>502200.59100000001</v>
          </cell>
          <cell r="AN1516">
            <v>508894.10639999999</v>
          </cell>
          <cell r="AO1516">
            <v>515683.5552</v>
          </cell>
          <cell r="AP1516">
            <v>522448.91310000001</v>
          </cell>
          <cell r="AQ1516">
            <v>529264.87890000001</v>
          </cell>
          <cell r="AR1516">
            <v>536131.92180000001</v>
          </cell>
          <cell r="AS1516">
            <v>543052.64610000001</v>
          </cell>
          <cell r="AT1516">
            <v>550030.15139999997</v>
          </cell>
          <cell r="AU1516">
            <v>557081.51950000005</v>
          </cell>
          <cell r="AV1516">
            <v>564195.6544</v>
          </cell>
          <cell r="AW1516">
            <v>571375.51679999998</v>
          </cell>
          <cell r="AX1516">
            <v>578622.25280000002</v>
          </cell>
          <cell r="AY1516">
            <v>585936.47360000003</v>
          </cell>
          <cell r="AZ1516">
            <v>593384.70730000001</v>
          </cell>
          <cell r="BA1516">
            <v>600905.95109999995</v>
          </cell>
          <cell r="BB1516">
            <v>608503.65949999995</v>
          </cell>
          <cell r="BC1516">
            <v>616176.65049999999</v>
          </cell>
          <cell r="BD1516">
            <v>623924.01630000002</v>
          </cell>
          <cell r="BE1516">
            <v>631775.86230000004</v>
          </cell>
          <cell r="BF1516">
            <v>639703.8996</v>
          </cell>
          <cell r="BG1516">
            <v>647711.23869999999</v>
          </cell>
          <cell r="BH1516">
            <v>655798.90850000002</v>
          </cell>
          <cell r="BI1516">
            <v>663968.29839999997</v>
          </cell>
        </row>
        <row r="1528">
          <cell r="F1528">
            <v>47294.129979999998</v>
          </cell>
          <cell r="G1528">
            <v>47807.913180000003</v>
          </cell>
          <cell r="H1528">
            <v>48287.41085</v>
          </cell>
          <cell r="I1528">
            <v>48813.004079999999</v>
          </cell>
          <cell r="J1528">
            <v>49394.67482</v>
          </cell>
          <cell r="K1528">
            <v>50027.179340000002</v>
          </cell>
          <cell r="L1528">
            <v>50666.582479999997</v>
          </cell>
          <cell r="M1528">
            <v>51336.50101</v>
          </cell>
          <cell r="N1528">
            <v>52030.106050000002</v>
          </cell>
          <cell r="O1528">
            <v>52742.624559999997</v>
          </cell>
          <cell r="P1528">
            <v>53531.667860000001</v>
          </cell>
          <cell r="Q1528">
            <v>54275.257859999998</v>
          </cell>
          <cell r="R1528">
            <v>55028.424010000002</v>
          </cell>
          <cell r="S1528">
            <v>55786.706330000001</v>
          </cell>
          <cell r="T1528">
            <v>56549.036959999998</v>
          </cell>
          <cell r="U1528">
            <v>57315.283969999997</v>
          </cell>
          <cell r="V1528">
            <v>58079.971290000001</v>
          </cell>
          <cell r="W1528">
            <v>58849.623310000003</v>
          </cell>
          <cell r="X1528">
            <v>59624.600700000003</v>
          </cell>
          <cell r="Y1528">
            <v>60405.805039999999</v>
          </cell>
          <cell r="Z1528">
            <v>61149.035940000002</v>
          </cell>
          <cell r="AA1528">
            <v>61938.146260000001</v>
          </cell>
          <cell r="AB1528">
            <v>62736.345370000003</v>
          </cell>
          <cell r="AC1528">
            <v>63546.165500000003</v>
          </cell>
          <cell r="AD1528">
            <v>64368.386469999998</v>
          </cell>
          <cell r="AE1528">
            <v>65073.995289999999</v>
          </cell>
          <cell r="AF1528">
            <v>65841.500780000002</v>
          </cell>
          <cell r="AG1528">
            <v>66611.69975</v>
          </cell>
          <cell r="AH1528">
            <v>67389.962060000005</v>
          </cell>
          <cell r="AI1528">
            <v>68178.910480000006</v>
          </cell>
          <cell r="AJ1528">
            <v>68980.329190000004</v>
          </cell>
          <cell r="AK1528">
            <v>69796.758159999998</v>
          </cell>
          <cell r="AL1528">
            <v>70627.667260000002</v>
          </cell>
          <cell r="AM1528">
            <v>71473.557700000005</v>
          </cell>
          <cell r="AN1528">
            <v>72334.573749999996</v>
          </cell>
          <cell r="AO1528">
            <v>73210.690279999995</v>
          </cell>
          <cell r="AP1528">
            <v>74082.443570000003</v>
          </cell>
          <cell r="AQ1528">
            <v>74963.478889999999</v>
          </cell>
          <cell r="AR1528">
            <v>75854.428889999996</v>
          </cell>
          <cell r="AS1528">
            <v>76756.151320000004</v>
          </cell>
          <cell r="AT1528">
            <v>77669.502259999994</v>
          </cell>
          <cell r="AU1528">
            <v>78597.10742</v>
          </cell>
          <cell r="AV1528">
            <v>79537.744000000006</v>
          </cell>
          <cell r="AW1528">
            <v>80491.946119999993</v>
          </cell>
          <cell r="AX1528">
            <v>81459.949080000006</v>
          </cell>
          <cell r="AY1528">
            <v>82441.862989999994</v>
          </cell>
          <cell r="AZ1528">
            <v>83446.886180000001</v>
          </cell>
          <cell r="BA1528">
            <v>84466.566850000003</v>
          </cell>
          <cell r="BB1528">
            <v>85501.210819999993</v>
          </cell>
          <cell r="BC1528">
            <v>86550.555900000007</v>
          </cell>
          <cell r="BD1528">
            <v>87614.365829999995</v>
          </cell>
          <cell r="BE1528">
            <v>88696.519</v>
          </cell>
          <cell r="BF1528">
            <v>89793.118570000006</v>
          </cell>
          <cell r="BG1528">
            <v>90904.405360000004</v>
          </cell>
          <cell r="BH1528">
            <v>92030.380900000004</v>
          </cell>
          <cell r="BI1528">
            <v>93171.097240000003</v>
          </cell>
        </row>
        <row r="1533">
          <cell r="F1533">
            <v>1491600.996</v>
          </cell>
          <cell r="G1533">
            <v>1504224.898</v>
          </cell>
          <cell r="H1533">
            <v>1520110.689</v>
          </cell>
          <cell r="I1533">
            <v>1538209.3</v>
          </cell>
          <cell r="J1533">
            <v>1558236.237</v>
          </cell>
          <cell r="K1533">
            <v>1579937.334</v>
          </cell>
          <cell r="L1533">
            <v>1601965.6</v>
          </cell>
          <cell r="M1533">
            <v>1624944.6839999999</v>
          </cell>
          <cell r="N1533">
            <v>1648756.3540000001</v>
          </cell>
          <cell r="O1533">
            <v>1673288.514</v>
          </cell>
          <cell r="P1533">
            <v>1700365.534</v>
          </cell>
          <cell r="Q1533">
            <v>1726466.5490000001</v>
          </cell>
          <cell r="R1533">
            <v>1752903.8859999999</v>
          </cell>
          <cell r="S1533">
            <v>1779651.3959999999</v>
          </cell>
          <cell r="T1533">
            <v>1806690.798</v>
          </cell>
          <cell r="U1533">
            <v>1834015.452</v>
          </cell>
          <cell r="V1533">
            <v>1861531.895</v>
          </cell>
          <cell r="W1533">
            <v>1889323.6850000001</v>
          </cell>
          <cell r="X1533">
            <v>1917410.06</v>
          </cell>
          <cell r="Y1533">
            <v>1945809.5360000001</v>
          </cell>
          <cell r="Z1533">
            <v>1973117.3529999999</v>
          </cell>
          <cell r="AA1533">
            <v>2001821.2819999999</v>
          </cell>
          <cell r="AB1533">
            <v>2030973.7930000001</v>
          </cell>
          <cell r="AC1533">
            <v>2060577.3019999999</v>
          </cell>
          <cell r="AD1533">
            <v>2090635.9469999999</v>
          </cell>
          <cell r="AE1533">
            <v>2117054.6469999999</v>
          </cell>
          <cell r="AF1533">
            <v>2145045.0090000001</v>
          </cell>
          <cell r="AG1533">
            <v>2173215.34</v>
          </cell>
          <cell r="AH1533">
            <v>2201642.4</v>
          </cell>
          <cell r="AI1533">
            <v>2230395.477</v>
          </cell>
          <cell r="AJ1533">
            <v>2259529.8539999998</v>
          </cell>
          <cell r="AK1533">
            <v>2289107.6680000001</v>
          </cell>
          <cell r="AL1533">
            <v>2319139.0929999999</v>
          </cell>
          <cell r="AM1533">
            <v>2349638.338</v>
          </cell>
          <cell r="AN1533">
            <v>2380612.52</v>
          </cell>
          <cell r="AO1533">
            <v>2412064.3110000002</v>
          </cell>
          <cell r="AP1533">
            <v>2443202.7850000001</v>
          </cell>
          <cell r="AQ1533">
            <v>2474597.4569999999</v>
          </cell>
          <cell r="AR1533">
            <v>2506288.622</v>
          </cell>
          <cell r="AS1533">
            <v>2538313.5359999998</v>
          </cell>
          <cell r="AT1533">
            <v>2570706.9240000001</v>
          </cell>
          <cell r="AU1533">
            <v>2603531.0419999999</v>
          </cell>
          <cell r="AV1533">
            <v>2636788.0320000001</v>
          </cell>
          <cell r="AW1533">
            <v>2670494.2779999999</v>
          </cell>
          <cell r="AX1533">
            <v>2704661.2540000002</v>
          </cell>
          <cell r="AY1533">
            <v>2739296.4929999998</v>
          </cell>
          <cell r="AZ1533">
            <v>2774600.9470000002</v>
          </cell>
          <cell r="BA1533">
            <v>2810433.9619999998</v>
          </cell>
          <cell r="BB1533">
            <v>2846782.0989999999</v>
          </cell>
          <cell r="BC1533">
            <v>2883635.4550000001</v>
          </cell>
          <cell r="BD1533">
            <v>2920987.8840000001</v>
          </cell>
          <cell r="BE1533">
            <v>2958904.8560000001</v>
          </cell>
          <cell r="BF1533">
            <v>2997337.9240000001</v>
          </cell>
          <cell r="BG1533">
            <v>3036283.4109999998</v>
          </cell>
          <cell r="BH1533">
            <v>3075740.91</v>
          </cell>
          <cell r="BI1533">
            <v>3115712.8429999999</v>
          </cell>
        </row>
        <row r="1537">
          <cell r="F1537">
            <v>-2144.109794</v>
          </cell>
          <cell r="G1537">
            <v>-2088.6828420000002</v>
          </cell>
          <cell r="H1537">
            <v>-2083.2294029999998</v>
          </cell>
          <cell r="I1537">
            <v>-2087.2735899999998</v>
          </cell>
          <cell r="J1537">
            <v>-2095.989309</v>
          </cell>
          <cell r="K1537">
            <v>-2109.3086640000001</v>
          </cell>
          <cell r="L1537">
            <v>-2127.2405220000001</v>
          </cell>
          <cell r="M1537">
            <v>-2146.4134479999998</v>
          </cell>
          <cell r="N1537">
            <v>-2167.4063160000001</v>
          </cell>
          <cell r="O1537">
            <v>-2189.9612350000002</v>
          </cell>
          <cell r="P1537">
            <v>-2212.872601</v>
          </cell>
          <cell r="Q1537">
            <v>-2240.7337499999999</v>
          </cell>
          <cell r="R1537">
            <v>-2266.583881</v>
          </cell>
          <cell r="S1537">
            <v>-2292.2501010000001</v>
          </cell>
          <cell r="T1537">
            <v>-2318.060422</v>
          </cell>
          <cell r="U1537">
            <v>-2344.0241719999999</v>
          </cell>
          <cell r="V1537">
            <v>-2370.2117370000001</v>
          </cell>
          <cell r="W1537">
            <v>-2396.1211680000001</v>
          </cell>
          <cell r="X1537">
            <v>-2422.0856910000002</v>
          </cell>
          <cell r="Y1537">
            <v>-2448.1788029999998</v>
          </cell>
          <cell r="Z1537">
            <v>-2475.024128</v>
          </cell>
          <cell r="AA1537">
            <v>-2499.1643800000002</v>
          </cell>
          <cell r="AB1537">
            <v>-2525.1297439999998</v>
          </cell>
          <cell r="AC1537">
            <v>-2551.719713</v>
          </cell>
          <cell r="AD1537">
            <v>-2578.6731239999999</v>
          </cell>
          <cell r="AE1537">
            <v>-2607.6487870000001</v>
          </cell>
          <cell r="AF1537">
            <v>-2629.5170819999998</v>
          </cell>
          <cell r="AG1537">
            <v>-2653.4319959999998</v>
          </cell>
          <cell r="AH1537">
            <v>-2677.9395469999999</v>
          </cell>
          <cell r="AI1537">
            <v>-2702.7550030000002</v>
          </cell>
          <cell r="AJ1537">
            <v>-2727.870359</v>
          </cell>
          <cell r="AK1537">
            <v>-2753.3005320000002</v>
          </cell>
          <cell r="AL1537">
            <v>-2779.1910830000002</v>
          </cell>
          <cell r="AM1537">
            <v>-2805.4974219999999</v>
          </cell>
          <cell r="AN1537">
            <v>-2832.2249619999998</v>
          </cell>
          <cell r="AO1537">
            <v>-2859.3821240000002</v>
          </cell>
          <cell r="AP1537">
            <v>-2887.182339</v>
          </cell>
          <cell r="AQ1537">
            <v>-2914.6446729999998</v>
          </cell>
          <cell r="AR1537">
            <v>-2942.1943670000001</v>
          </cell>
          <cell r="AS1537">
            <v>-2969.9751609999998</v>
          </cell>
          <cell r="AT1537">
            <v>-2998.0438159999999</v>
          </cell>
          <cell r="AU1537">
            <v>-3026.3992480000002</v>
          </cell>
          <cell r="AV1537">
            <v>-3055.211292</v>
          </cell>
          <cell r="AW1537">
            <v>-3084.3897440000001</v>
          </cell>
          <cell r="AX1537">
            <v>-3113.9218599999999</v>
          </cell>
          <cell r="AY1537">
            <v>-3143.805852</v>
          </cell>
          <cell r="AZ1537">
            <v>-3173.89536</v>
          </cell>
          <cell r="BA1537">
            <v>-3204.8807379999998</v>
          </cell>
          <cell r="BB1537">
            <v>-3236.3414429999998</v>
          </cell>
          <cell r="BC1537">
            <v>-3268.2075020000002</v>
          </cell>
          <cell r="BD1537">
            <v>-3300.4706500000002</v>
          </cell>
          <cell r="BE1537">
            <v>-3333.0605249999999</v>
          </cell>
          <cell r="BF1537">
            <v>-3366.286681</v>
          </cell>
          <cell r="BG1537">
            <v>-3399.9240719999998</v>
          </cell>
          <cell r="BH1537">
            <v>-3433.9231279999999</v>
          </cell>
          <cell r="BI1537">
            <v>-3468.2691869999999</v>
          </cell>
        </row>
        <row r="1538">
          <cell r="F1538">
            <v>-607.24778779999997</v>
          </cell>
          <cell r="G1538">
            <v>-602.04486919999999</v>
          </cell>
          <cell r="H1538">
            <v>-601.55610279999996</v>
          </cell>
          <cell r="I1538">
            <v>-602.17483230000005</v>
          </cell>
          <cell r="J1538">
            <v>-604.05185270000004</v>
          </cell>
          <cell r="K1538">
            <v>-607.28381899999999</v>
          </cell>
          <cell r="L1538">
            <v>-611.58302330000004</v>
          </cell>
          <cell r="M1538">
            <v>-616.57648630000006</v>
          </cell>
          <cell r="N1538">
            <v>-622.19115650000003</v>
          </cell>
          <cell r="O1538">
            <v>-628.28214960000003</v>
          </cell>
          <cell r="P1538">
            <v>-634.93064690000006</v>
          </cell>
          <cell r="Q1538">
            <v>-642.03180889999999</v>
          </cell>
          <cell r="R1538">
            <v>-649.03606230000003</v>
          </cell>
          <cell r="S1538">
            <v>-656.12944870000001</v>
          </cell>
          <cell r="T1538">
            <v>-663.32005770000001</v>
          </cell>
          <cell r="U1538">
            <v>-670.59165559999997</v>
          </cell>
          <cell r="V1538">
            <v>-677.90502230000004</v>
          </cell>
          <cell r="W1538">
            <v>-685.2290544</v>
          </cell>
          <cell r="X1538">
            <v>-692.59639030000005</v>
          </cell>
          <cell r="Y1538">
            <v>-700.01032880000002</v>
          </cell>
          <cell r="Z1538">
            <v>-707.32371239999998</v>
          </cell>
          <cell r="AA1538">
            <v>-714.53276310000001</v>
          </cell>
          <cell r="AB1538">
            <v>-721.97620970000003</v>
          </cell>
          <cell r="AC1538">
            <v>-729.5154675</v>
          </cell>
          <cell r="AD1538">
            <v>-737.12796730000002</v>
          </cell>
          <cell r="AE1538">
            <v>-744.39204740000002</v>
          </cell>
          <cell r="AF1538">
            <v>-751.10811279999996</v>
          </cell>
          <cell r="AG1538">
            <v>-758.0390936</v>
          </cell>
          <cell r="AH1538">
            <v>-765.01523999999995</v>
          </cell>
          <cell r="AI1538">
            <v>-772.02253740000003</v>
          </cell>
          <cell r="AJ1538">
            <v>-779.07394799999997</v>
          </cell>
          <cell r="AK1538">
            <v>-786.18980790000001</v>
          </cell>
          <cell r="AL1538">
            <v>-793.38687949999996</v>
          </cell>
          <cell r="AM1538">
            <v>-800.66539039999998</v>
          </cell>
          <cell r="AN1538">
            <v>-808.02982540000005</v>
          </cell>
          <cell r="AO1538">
            <v>-815.48358529999996</v>
          </cell>
          <cell r="AP1538">
            <v>-822.97820049999996</v>
          </cell>
          <cell r="AQ1538">
            <v>-830.45357639999997</v>
          </cell>
          <cell r="AR1538">
            <v>-837.95865409999999</v>
          </cell>
          <cell r="AS1538">
            <v>-845.5111733</v>
          </cell>
          <cell r="AT1538">
            <v>-853.12141999999994</v>
          </cell>
          <cell r="AU1538">
            <v>-860.80490829999997</v>
          </cell>
          <cell r="AV1538">
            <v>-868.57444740000005</v>
          </cell>
          <cell r="AW1538">
            <v>-876.42275059999997</v>
          </cell>
          <cell r="AX1538">
            <v>-884.35083239999994</v>
          </cell>
          <cell r="AY1538">
            <v>-892.35983120000003</v>
          </cell>
          <cell r="AZ1538">
            <v>-900.48496009999997</v>
          </cell>
          <cell r="BA1538">
            <v>-908.75765579999995</v>
          </cell>
          <cell r="BB1538">
            <v>-917.12636239999995</v>
          </cell>
          <cell r="BC1538">
            <v>-925.58073360000003</v>
          </cell>
          <cell r="BD1538">
            <v>-934.11683029999995</v>
          </cell>
          <cell r="BE1538">
            <v>-942.74770809999995</v>
          </cell>
          <cell r="BF1538">
            <v>-951.48437720000004</v>
          </cell>
          <cell r="BG1538">
            <v>-960.29914380000002</v>
          </cell>
          <cell r="BH1538">
            <v>-969.18531340000004</v>
          </cell>
          <cell r="BI1538">
            <v>-978.139635</v>
          </cell>
        </row>
        <row r="1540">
          <cell r="F1540">
            <v>483.10237389999998</v>
          </cell>
          <cell r="G1540">
            <v>484.75818809999998</v>
          </cell>
          <cell r="H1540">
            <v>487.42105459999999</v>
          </cell>
          <cell r="I1540">
            <v>490.65336889999998</v>
          </cell>
          <cell r="J1540">
            <v>494.46499460000001</v>
          </cell>
          <cell r="K1540">
            <v>498.82359380000003</v>
          </cell>
          <cell r="L1540">
            <v>503.30884939999999</v>
          </cell>
          <cell r="M1540">
            <v>508.10883769999998</v>
          </cell>
          <cell r="N1540">
            <v>513.20864719999997</v>
          </cell>
          <cell r="O1540">
            <v>518.56365249999999</v>
          </cell>
          <cell r="P1540">
            <v>524.67638899999997</v>
          </cell>
          <cell r="Q1540">
            <v>530.520171</v>
          </cell>
          <cell r="R1540">
            <v>536.40950480000004</v>
          </cell>
          <cell r="S1540">
            <v>542.36451499999998</v>
          </cell>
          <cell r="T1540">
            <v>548.37562709999997</v>
          </cell>
          <cell r="U1540">
            <v>554.43356319999998</v>
          </cell>
          <cell r="V1540">
            <v>560.47958610000001</v>
          </cell>
          <cell r="W1540">
            <v>566.55677049999997</v>
          </cell>
          <cell r="X1540">
            <v>572.67061279999996</v>
          </cell>
          <cell r="Y1540">
            <v>578.82524530000001</v>
          </cell>
          <cell r="Z1540">
            <v>584.62953349999998</v>
          </cell>
          <cell r="AA1540">
            <v>590.7608434</v>
          </cell>
          <cell r="AB1540">
            <v>597.00407580000001</v>
          </cell>
          <cell r="AC1540">
            <v>603.33529650000003</v>
          </cell>
          <cell r="AD1540">
            <v>609.75247409999997</v>
          </cell>
          <cell r="AE1540">
            <v>615.13280629999997</v>
          </cell>
          <cell r="AF1540">
            <v>620.87426479999999</v>
          </cell>
          <cell r="AG1540">
            <v>626.69628139999998</v>
          </cell>
          <cell r="AH1540">
            <v>632.58504570000002</v>
          </cell>
          <cell r="AI1540">
            <v>638.54951459999995</v>
          </cell>
          <cell r="AJ1540">
            <v>644.59970529999998</v>
          </cell>
          <cell r="AK1540">
            <v>650.75681480000003</v>
          </cell>
          <cell r="AL1540">
            <v>657.0185894</v>
          </cell>
          <cell r="AM1540">
            <v>663.3897968</v>
          </cell>
          <cell r="AN1540">
            <v>669.87416719999999</v>
          </cell>
          <cell r="AO1540">
            <v>676.47402480000005</v>
          </cell>
          <cell r="AP1540">
            <v>683.03001970000003</v>
          </cell>
          <cell r="AQ1540">
            <v>689.63504369999998</v>
          </cell>
          <cell r="AR1540">
            <v>696.31469630000004</v>
          </cell>
          <cell r="AS1540">
            <v>703.08095639999999</v>
          </cell>
          <cell r="AT1540">
            <v>709.94070829999998</v>
          </cell>
          <cell r="AU1540">
            <v>716.91477399999997</v>
          </cell>
          <cell r="AV1540">
            <v>723.99223870000003</v>
          </cell>
          <cell r="AW1540">
            <v>731.17356970000003</v>
          </cell>
          <cell r="AX1540">
            <v>738.45940819999998</v>
          </cell>
          <cell r="AY1540">
            <v>745.84992350000005</v>
          </cell>
          <cell r="AZ1540">
            <v>753.42474270000002</v>
          </cell>
          <cell r="BA1540">
            <v>761.12314760000004</v>
          </cell>
          <cell r="BB1540">
            <v>768.9393953</v>
          </cell>
          <cell r="BC1540">
            <v>776.87223870000003</v>
          </cell>
          <cell r="BD1540">
            <v>784.9205978</v>
          </cell>
          <cell r="BE1540">
            <v>793.11786159999997</v>
          </cell>
          <cell r="BF1540">
            <v>801.43403060000003</v>
          </cell>
          <cell r="BG1540">
            <v>809.86572579999995</v>
          </cell>
          <cell r="BH1540">
            <v>818.41204740000001</v>
          </cell>
          <cell r="BI1540">
            <v>827.07269689999998</v>
          </cell>
        </row>
        <row r="1541">
          <cell r="F1541">
            <v>39996.93838</v>
          </cell>
          <cell r="G1541">
            <v>40118.369729999999</v>
          </cell>
          <cell r="H1541">
            <v>40262.968419999997</v>
          </cell>
          <cell r="I1541">
            <v>40446.479500000001</v>
          </cell>
          <cell r="J1541">
            <v>40679.376750000003</v>
          </cell>
          <cell r="K1541">
            <v>40958.534189999998</v>
          </cell>
          <cell r="L1541">
            <v>41251.202389999999</v>
          </cell>
          <cell r="M1541">
            <v>41563.833489999997</v>
          </cell>
          <cell r="N1541">
            <v>41895.376680000001</v>
          </cell>
          <cell r="O1541">
            <v>42242.696279999996</v>
          </cell>
          <cell r="P1541">
            <v>42639.752899999999</v>
          </cell>
          <cell r="Q1541">
            <v>43016.58109</v>
          </cell>
          <cell r="R1541">
            <v>43391.951979999998</v>
          </cell>
          <cell r="S1541">
            <v>43766.718459999996</v>
          </cell>
          <cell r="T1541">
            <v>44140.313990000002</v>
          </cell>
          <cell r="U1541">
            <v>44512.300920000001</v>
          </cell>
          <cell r="V1541">
            <v>44879.852070000001</v>
          </cell>
          <cell r="W1541">
            <v>45245.42699</v>
          </cell>
          <cell r="X1541">
            <v>45609.768150000004</v>
          </cell>
          <cell r="Y1541">
            <v>45973.67166</v>
          </cell>
          <cell r="Z1541">
            <v>46310.626020000003</v>
          </cell>
          <cell r="AA1541">
            <v>46667.261630000001</v>
          </cell>
          <cell r="AB1541">
            <v>47030.270969999998</v>
          </cell>
          <cell r="AC1541">
            <v>47398.540500000003</v>
          </cell>
          <cell r="AD1541">
            <v>47772.360959999998</v>
          </cell>
          <cell r="AE1541">
            <v>48074.751369999998</v>
          </cell>
          <cell r="AF1541">
            <v>48399.822749999999</v>
          </cell>
          <cell r="AG1541">
            <v>48730.86634</v>
          </cell>
          <cell r="AH1541">
            <v>49067.683210000003</v>
          </cell>
          <cell r="AI1541">
            <v>49411.371959999997</v>
          </cell>
          <cell r="AJ1541">
            <v>49763.034169999999</v>
          </cell>
          <cell r="AK1541">
            <v>50124.189740000002</v>
          </cell>
          <cell r="AL1541">
            <v>50495.06637</v>
          </cell>
          <cell r="AM1541">
            <v>50876.122280000003</v>
          </cell>
          <cell r="AN1541">
            <v>51267.655059999997</v>
          </cell>
          <cell r="AO1541">
            <v>51669.80143</v>
          </cell>
          <cell r="AP1541">
            <v>52069.774859999998</v>
          </cell>
          <cell r="AQ1541">
            <v>52475.022129999998</v>
          </cell>
          <cell r="AR1541">
            <v>52887.474670000003</v>
          </cell>
          <cell r="AS1541">
            <v>53307.930229999998</v>
          </cell>
          <cell r="AT1541">
            <v>53736.768819999998</v>
          </cell>
          <cell r="AU1541">
            <v>54175.00505</v>
          </cell>
          <cell r="AV1541">
            <v>54622.040999999997</v>
          </cell>
          <cell r="AW1541">
            <v>55077.81134</v>
          </cell>
          <cell r="AX1541">
            <v>55542.234349999999</v>
          </cell>
          <cell r="AY1541">
            <v>56015.209239999996</v>
          </cell>
          <cell r="AZ1541">
            <v>56501.388659999997</v>
          </cell>
          <cell r="BA1541">
            <v>56998.029629999997</v>
          </cell>
          <cell r="BB1541">
            <v>57505.237260000002</v>
          </cell>
          <cell r="BC1541">
            <v>58023.157339999998</v>
          </cell>
          <cell r="BD1541">
            <v>58551.781999999999</v>
          </cell>
          <cell r="BE1541">
            <v>59092.767370000001</v>
          </cell>
          <cell r="BF1541">
            <v>59644.604249999997</v>
          </cell>
          <cell r="BG1541">
            <v>60207.102050000001</v>
          </cell>
          <cell r="BH1541">
            <v>60780.19412</v>
          </cell>
          <cell r="BI1541">
            <v>61363.878259999998</v>
          </cell>
        </row>
        <row r="1551">
          <cell r="F1551">
            <v>1969443.8570000001</v>
          </cell>
          <cell r="G1551">
            <v>1994425.953</v>
          </cell>
          <cell r="H1551">
            <v>2022137.4</v>
          </cell>
          <cell r="I1551">
            <v>2051600.6240000001</v>
          </cell>
          <cell r="J1551">
            <v>2082683.2790000001</v>
          </cell>
          <cell r="K1551">
            <v>2115213.7659999998</v>
          </cell>
          <cell r="L1551">
            <v>2147570.3930000002</v>
          </cell>
          <cell r="M1551">
            <v>2180707.344</v>
          </cell>
          <cell r="N1551">
            <v>2214571.2039999999</v>
          </cell>
          <cell r="O1551">
            <v>2249123.054</v>
          </cell>
          <cell r="P1551">
            <v>2286889.0329999998</v>
          </cell>
          <cell r="Q1551">
            <v>2323348.554</v>
          </cell>
          <cell r="R1551">
            <v>2360285.31</v>
          </cell>
          <cell r="S1551">
            <v>2397668.4300000002</v>
          </cell>
          <cell r="T1551">
            <v>2435493.202</v>
          </cell>
          <cell r="U1551">
            <v>2473767.162</v>
          </cell>
          <cell r="V1551">
            <v>2512506.375</v>
          </cell>
          <cell r="W1551">
            <v>2551732.33</v>
          </cell>
          <cell r="X1551">
            <v>2591469.128</v>
          </cell>
          <cell r="Y1551">
            <v>2631741.3620000002</v>
          </cell>
          <cell r="Z1551">
            <v>2670666.4240000001</v>
          </cell>
          <cell r="AA1551">
            <v>2711601.949</v>
          </cell>
          <cell r="AB1551">
            <v>2753225.2340000002</v>
          </cell>
          <cell r="AC1551">
            <v>2795561.6460000002</v>
          </cell>
          <cell r="AD1551">
            <v>2838619.1639999999</v>
          </cell>
          <cell r="AE1551">
            <v>2876883.2220000001</v>
          </cell>
          <cell r="AF1551">
            <v>2917378.7560000001</v>
          </cell>
          <cell r="AG1551">
            <v>2958149.449</v>
          </cell>
          <cell r="AH1551">
            <v>2999322.642</v>
          </cell>
          <cell r="AI1551">
            <v>3040991.02</v>
          </cell>
          <cell r="AJ1551">
            <v>3083223.8760000002</v>
          </cell>
          <cell r="AK1551">
            <v>3126069.2740000002</v>
          </cell>
          <cell r="AL1551">
            <v>3169557.128</v>
          </cell>
          <cell r="AM1551">
            <v>3213703.327</v>
          </cell>
          <cell r="AN1551">
            <v>3258513.9879999999</v>
          </cell>
          <cell r="AO1551">
            <v>3303989.219</v>
          </cell>
          <cell r="AP1551">
            <v>3348785.3539999998</v>
          </cell>
          <cell r="AQ1551">
            <v>3393886.6159999999</v>
          </cell>
          <cell r="AR1551">
            <v>3439346.0929999999</v>
          </cell>
          <cell r="AS1551">
            <v>3485223.4619999998</v>
          </cell>
          <cell r="AT1551">
            <v>3531574.0159999998</v>
          </cell>
          <cell r="AU1551">
            <v>3578445.4410000001</v>
          </cell>
          <cell r="AV1551">
            <v>3625876.5780000002</v>
          </cell>
          <cell r="AW1551">
            <v>3673897.4980000001</v>
          </cell>
          <cell r="AX1551">
            <v>3722530.5550000002</v>
          </cell>
          <cell r="AY1551">
            <v>3771792.0430000001</v>
          </cell>
          <cell r="AZ1551">
            <v>3821815.9789999998</v>
          </cell>
          <cell r="BA1551">
            <v>3872521.5950000002</v>
          </cell>
          <cell r="BB1551">
            <v>3923912.3960000002</v>
          </cell>
          <cell r="BC1551">
            <v>3975989.0060000001</v>
          </cell>
          <cell r="BD1551">
            <v>4028752.8330000001</v>
          </cell>
          <cell r="BE1551">
            <v>4082207.531</v>
          </cell>
          <cell r="BF1551">
            <v>4136359.1949999998</v>
          </cell>
          <cell r="BG1551">
            <v>4191216.1639999999</v>
          </cell>
          <cell r="BH1551">
            <v>4246788.7010000004</v>
          </cell>
          <cell r="BI1551">
            <v>4303088.6150000002</v>
          </cell>
        </row>
        <row r="1552">
          <cell r="F1552">
            <v>36136.789320000003</v>
          </cell>
          <cell r="G1552">
            <v>36370.171040000001</v>
          </cell>
          <cell r="H1552">
            <v>36676.619830000003</v>
          </cell>
          <cell r="I1552">
            <v>37037.658810000001</v>
          </cell>
          <cell r="J1552">
            <v>37448.082139999999</v>
          </cell>
          <cell r="K1552">
            <v>37903.642749999999</v>
          </cell>
          <cell r="L1552">
            <v>38374.085830000004</v>
          </cell>
          <cell r="M1552">
            <v>38869.8338</v>
          </cell>
          <cell r="N1552">
            <v>39386.631560000002</v>
          </cell>
          <cell r="O1552">
            <v>39921.072690000001</v>
          </cell>
          <cell r="P1552">
            <v>40512.812409999999</v>
          </cell>
          <cell r="Q1552">
            <v>41088.014230000001</v>
          </cell>
          <cell r="R1552">
            <v>41671.936750000001</v>
          </cell>
          <cell r="S1552">
            <v>42263.200120000001</v>
          </cell>
          <cell r="T1552">
            <v>42861.130899999996</v>
          </cell>
          <cell r="U1552">
            <v>43465.496169999999</v>
          </cell>
          <cell r="V1552">
            <v>44076.359759999999</v>
          </cell>
          <cell r="W1552">
            <v>44693.977789999997</v>
          </cell>
          <cell r="X1552">
            <v>45318.718670000002</v>
          </cell>
          <cell r="Y1552">
            <v>45951.00578</v>
          </cell>
          <cell r="Z1552">
            <v>46560.019489999999</v>
          </cell>
          <cell r="AA1552">
            <v>47199.146560000001</v>
          </cell>
          <cell r="AB1552">
            <v>47849.032879999999</v>
          </cell>
          <cell r="AC1552">
            <v>48510.222589999998</v>
          </cell>
          <cell r="AD1552">
            <v>49182.920590000002</v>
          </cell>
          <cell r="AE1552">
            <v>49777.050410000003</v>
          </cell>
          <cell r="AF1552">
            <v>50402.413439999997</v>
          </cell>
          <cell r="AG1552">
            <v>51031.139450000002</v>
          </cell>
          <cell r="AH1552">
            <v>51666.100689999999</v>
          </cell>
          <cell r="AI1552">
            <v>52309.482680000001</v>
          </cell>
          <cell r="AJ1552">
            <v>52962.89774</v>
          </cell>
          <cell r="AK1552">
            <v>53627.459289999999</v>
          </cell>
          <cell r="AL1552">
            <v>54303.870219999997</v>
          </cell>
          <cell r="AM1552">
            <v>54992.521180000003</v>
          </cell>
          <cell r="AN1552">
            <v>55693.58524</v>
          </cell>
          <cell r="AO1552">
            <v>56407.098910000001</v>
          </cell>
          <cell r="AP1552">
            <v>57111.258580000002</v>
          </cell>
          <cell r="AQ1552">
            <v>57820.870540000004</v>
          </cell>
          <cell r="AR1552">
            <v>58537.104120000004</v>
          </cell>
          <cell r="AS1552">
            <v>59261.27218</v>
          </cell>
          <cell r="AT1552">
            <v>59994.601929999997</v>
          </cell>
          <cell r="AU1552">
            <v>60738.13912</v>
          </cell>
          <cell r="AV1552">
            <v>61492.713669999997</v>
          </cell>
          <cell r="AW1552">
            <v>62258.938840000003</v>
          </cell>
          <cell r="AX1552">
            <v>63037.228439999999</v>
          </cell>
          <cell r="AY1552">
            <v>63827.804279999997</v>
          </cell>
          <cell r="AZ1552">
            <v>64632.53196</v>
          </cell>
          <cell r="BA1552">
            <v>65450.165679999998</v>
          </cell>
          <cell r="BB1552">
            <v>66280.791089999999</v>
          </cell>
          <cell r="BC1552">
            <v>67124.418250000002</v>
          </cell>
          <cell r="BD1552">
            <v>67981.054489999995</v>
          </cell>
          <cell r="BE1552">
            <v>68850.687130000006</v>
          </cell>
          <cell r="BF1552">
            <v>69733.297990000006</v>
          </cell>
          <cell r="BG1552">
            <v>70628.889800000004</v>
          </cell>
          <cell r="BH1552">
            <v>71537.501120000001</v>
          </cell>
          <cell r="BI1552">
            <v>72459.207580000002</v>
          </cell>
        </row>
        <row r="1555">
          <cell r="F1555">
            <v>332226.51280000003</v>
          </cell>
          <cell r="G1555">
            <v>336606.99489999999</v>
          </cell>
          <cell r="H1555">
            <v>341544.85859999998</v>
          </cell>
          <cell r="I1555">
            <v>346740.18349999998</v>
          </cell>
          <cell r="J1555">
            <v>352165.58</v>
          </cell>
          <cell r="K1555">
            <v>357796.63419999997</v>
          </cell>
          <cell r="L1555">
            <v>363368.59940000001</v>
          </cell>
          <cell r="M1555">
            <v>369072.96110000001</v>
          </cell>
          <cell r="N1555">
            <v>374895.6556</v>
          </cell>
          <cell r="O1555">
            <v>380835.71759999997</v>
          </cell>
          <cell r="P1555">
            <v>387326.41110000003</v>
          </cell>
          <cell r="Q1555">
            <v>393574.64659999998</v>
          </cell>
          <cell r="R1555">
            <v>399948.45539999998</v>
          </cell>
          <cell r="S1555">
            <v>406425.71789999999</v>
          </cell>
          <cell r="T1555">
            <v>413005.64529999997</v>
          </cell>
          <cell r="U1555">
            <v>419691.25280000002</v>
          </cell>
          <cell r="V1555">
            <v>426486.68229999999</v>
          </cell>
          <cell r="W1555">
            <v>433396.5379</v>
          </cell>
          <cell r="X1555">
            <v>440425.4803</v>
          </cell>
          <cell r="Y1555">
            <v>447577.91070000001</v>
          </cell>
          <cell r="Z1555">
            <v>454535.58980000002</v>
          </cell>
          <cell r="AA1555">
            <v>461889.86109999998</v>
          </cell>
          <cell r="AB1555">
            <v>469371.17389999999</v>
          </cell>
          <cell r="AC1555">
            <v>476998.03159999999</v>
          </cell>
          <cell r="AD1555">
            <v>484772.78629999998</v>
          </cell>
          <cell r="AE1555">
            <v>491762.09629999998</v>
          </cell>
          <cell r="AF1555">
            <v>499220.90970000002</v>
          </cell>
          <cell r="AG1555">
            <v>506720.10580000002</v>
          </cell>
          <cell r="AH1555">
            <v>514295.065</v>
          </cell>
          <cell r="AI1555">
            <v>521958.47850000003</v>
          </cell>
          <cell r="AJ1555">
            <v>529717.30240000004</v>
          </cell>
          <cell r="AK1555">
            <v>537575.30590000004</v>
          </cell>
          <cell r="AL1555">
            <v>545533.76100000006</v>
          </cell>
          <cell r="AM1555">
            <v>553592.01520000002</v>
          </cell>
          <cell r="AN1555">
            <v>561748.09369999997</v>
          </cell>
          <cell r="AO1555">
            <v>569999.26399999997</v>
          </cell>
          <cell r="AP1555">
            <v>578115.05299999996</v>
          </cell>
          <cell r="AQ1555">
            <v>586276.22779999999</v>
          </cell>
          <cell r="AR1555">
            <v>594475.22309999994</v>
          </cell>
          <cell r="AS1555">
            <v>602716.46869999997</v>
          </cell>
          <cell r="AT1555">
            <v>611005.60120000003</v>
          </cell>
          <cell r="AU1555">
            <v>619347.76560000004</v>
          </cell>
          <cell r="AV1555">
            <v>627747.29579999996</v>
          </cell>
          <cell r="AW1555">
            <v>636207.6875</v>
          </cell>
          <cell r="AX1555">
            <v>644731.71019999997</v>
          </cell>
          <cell r="AY1555">
            <v>653321.61120000004</v>
          </cell>
          <cell r="AZ1555">
            <v>662000.13589999999</v>
          </cell>
          <cell r="BA1555">
            <v>670752.51540000003</v>
          </cell>
          <cell r="BB1555">
            <v>679581.17949999997</v>
          </cell>
          <cell r="BC1555">
            <v>688487.1925</v>
          </cell>
          <cell r="BD1555">
            <v>697471.93530000001</v>
          </cell>
          <cell r="BE1555">
            <v>706537.44090000005</v>
          </cell>
          <cell r="BF1555">
            <v>715686.34459999995</v>
          </cell>
          <cell r="BG1555">
            <v>724921.79559999995</v>
          </cell>
          <cell r="BH1555">
            <v>734247.37589999998</v>
          </cell>
          <cell r="BI1555">
            <v>743667.02529999998</v>
          </cell>
        </row>
        <row r="1567">
          <cell r="F1567">
            <v>48571.10615</v>
          </cell>
          <cell r="G1567">
            <v>49156.962379999997</v>
          </cell>
          <cell r="H1567">
            <v>49805.651899999997</v>
          </cell>
          <cell r="I1567">
            <v>50492.57415</v>
          </cell>
          <cell r="J1567">
            <v>51216.412420000001</v>
          </cell>
          <cell r="K1567">
            <v>51973.058449999997</v>
          </cell>
          <cell r="L1567">
            <v>52721.454619999997</v>
          </cell>
          <cell r="M1567">
            <v>53488.57417</v>
          </cell>
          <cell r="N1567">
            <v>54271.017500000002</v>
          </cell>
          <cell r="O1567">
            <v>55067.195809999997</v>
          </cell>
          <cell r="P1567">
            <v>55940.548569999999</v>
          </cell>
          <cell r="Q1567">
            <v>56771.173430000003</v>
          </cell>
          <cell r="R1567">
            <v>57612.814100000003</v>
          </cell>
          <cell r="S1567">
            <v>58462.266759999999</v>
          </cell>
          <cell r="T1567">
            <v>59319.136700000003</v>
          </cell>
          <cell r="U1567">
            <v>60183.712780000002</v>
          </cell>
          <cell r="V1567">
            <v>61056.593860000001</v>
          </cell>
          <cell r="W1567">
            <v>61938.551480000002</v>
          </cell>
          <cell r="X1567">
            <v>62830.439590000002</v>
          </cell>
          <cell r="Y1567">
            <v>63733.13132</v>
          </cell>
          <cell r="Z1567">
            <v>64599.400450000001</v>
          </cell>
          <cell r="AA1567">
            <v>65518.390370000001</v>
          </cell>
          <cell r="AB1567">
            <v>66450.514519999997</v>
          </cell>
          <cell r="AC1567">
            <v>67398.457550000006</v>
          </cell>
          <cell r="AD1567">
            <v>68362.920549999995</v>
          </cell>
          <cell r="AE1567">
            <v>69205.133960000006</v>
          </cell>
          <cell r="AF1567">
            <v>70114.507689999999</v>
          </cell>
          <cell r="AG1567">
            <v>71029.039050000007</v>
          </cell>
          <cell r="AH1567">
            <v>71954.308080000003</v>
          </cell>
          <cell r="AI1567">
            <v>72893.040219999995</v>
          </cell>
          <cell r="AJ1567">
            <v>73847.06482</v>
          </cell>
          <cell r="AK1567">
            <v>74817.613769999996</v>
          </cell>
          <cell r="AL1567">
            <v>75805.441319999998</v>
          </cell>
          <cell r="AM1567">
            <v>76810.936879999994</v>
          </cell>
          <cell r="AN1567">
            <v>77834.234450000004</v>
          </cell>
          <cell r="AO1567">
            <v>78875.307520000002</v>
          </cell>
          <cell r="AP1567">
            <v>79900.191120000003</v>
          </cell>
          <cell r="AQ1567">
            <v>80936.603130000003</v>
          </cell>
          <cell r="AR1567">
            <v>81984.286779999995</v>
          </cell>
          <cell r="AS1567">
            <v>83044.396869999997</v>
          </cell>
          <cell r="AT1567">
            <v>84118.169529999999</v>
          </cell>
          <cell r="AU1567">
            <v>85206.681549999994</v>
          </cell>
          <cell r="AV1567">
            <v>86310.792820000002</v>
          </cell>
          <cell r="AW1567">
            <v>87431.144020000007</v>
          </cell>
          <cell r="AX1567">
            <v>88568.183189999996</v>
          </cell>
          <cell r="AY1567">
            <v>89722.207670000003</v>
          </cell>
          <cell r="AZ1567">
            <v>90896.503970000005</v>
          </cell>
          <cell r="BA1567">
            <v>92088.679350000006</v>
          </cell>
          <cell r="BB1567">
            <v>93298.853440000006</v>
          </cell>
          <cell r="BC1567">
            <v>94526.951889999997</v>
          </cell>
          <cell r="BD1567">
            <v>95772.900750000001</v>
          </cell>
          <cell r="BE1567">
            <v>97036.683510000003</v>
          </cell>
          <cell r="BF1567">
            <v>98318.348419999995</v>
          </cell>
          <cell r="BG1567">
            <v>99618.002680000005</v>
          </cell>
          <cell r="BH1567">
            <v>100935.8033</v>
          </cell>
          <cell r="BI1567">
            <v>102271.9477</v>
          </cell>
        </row>
        <row r="1572">
          <cell r="F1572">
            <v>1513908.568</v>
          </cell>
          <cell r="G1572">
            <v>1533424.8459999999</v>
          </cell>
          <cell r="H1572">
            <v>1554985.311</v>
          </cell>
          <cell r="I1572">
            <v>1577934.709</v>
          </cell>
          <cell r="J1572">
            <v>1602168.7050000001</v>
          </cell>
          <cell r="K1572">
            <v>1627543.085</v>
          </cell>
          <cell r="L1572">
            <v>1652794.8019999999</v>
          </cell>
          <cell r="M1572">
            <v>1678634.3419999999</v>
          </cell>
          <cell r="N1572">
            <v>1705033.024</v>
          </cell>
          <cell r="O1572">
            <v>1731961.3259999999</v>
          </cell>
          <cell r="P1572">
            <v>1761370.497</v>
          </cell>
          <cell r="Q1572">
            <v>1789801.183</v>
          </cell>
          <cell r="R1572">
            <v>1818562.7949999999</v>
          </cell>
          <cell r="S1572">
            <v>1847650.8489999999</v>
          </cell>
          <cell r="T1572">
            <v>1877062.3419999999</v>
          </cell>
          <cell r="U1572">
            <v>1906801.443</v>
          </cell>
          <cell r="V1572">
            <v>1936878.977</v>
          </cell>
          <cell r="W1572">
            <v>1967310.2450000001</v>
          </cell>
          <cell r="X1572">
            <v>1998112.82</v>
          </cell>
          <cell r="Y1572">
            <v>2029304.8870000001</v>
          </cell>
          <cell r="Z1572">
            <v>2059429.1640000001</v>
          </cell>
          <cell r="AA1572">
            <v>2091056.0009999999</v>
          </cell>
          <cell r="AB1572">
            <v>2123211.2420000001</v>
          </cell>
          <cell r="AC1572">
            <v>2155898.4589999998</v>
          </cell>
          <cell r="AD1572">
            <v>2189122.0630000001</v>
          </cell>
          <cell r="AE1572">
            <v>2218614.2740000002</v>
          </cell>
          <cell r="AF1572">
            <v>2249735.5299999998</v>
          </cell>
          <cell r="AG1572">
            <v>2281077.2149999999</v>
          </cell>
          <cell r="AH1572">
            <v>2312721.548</v>
          </cell>
          <cell r="AI1572">
            <v>2344742.344</v>
          </cell>
          <cell r="AJ1572">
            <v>2377197.523</v>
          </cell>
          <cell r="AK1572">
            <v>2410128.335</v>
          </cell>
          <cell r="AL1572">
            <v>2443561.5129999998</v>
          </cell>
          <cell r="AM1572">
            <v>2477512.5759999999</v>
          </cell>
          <cell r="AN1572">
            <v>2511989.2379999999</v>
          </cell>
          <cell r="AO1572">
            <v>2546994.3829999999</v>
          </cell>
          <cell r="AP1572">
            <v>2581490.7850000001</v>
          </cell>
          <cell r="AQ1572">
            <v>2616224.2459999998</v>
          </cell>
          <cell r="AR1572">
            <v>2651253.4500000002</v>
          </cell>
          <cell r="AS1572">
            <v>2686630.4210000001</v>
          </cell>
          <cell r="AT1572">
            <v>2722401.736</v>
          </cell>
          <cell r="AU1572">
            <v>2758607.3319999999</v>
          </cell>
          <cell r="AV1572">
            <v>2795279.662</v>
          </cell>
          <cell r="AW1572">
            <v>2832443.77</v>
          </cell>
          <cell r="AX1572">
            <v>2870118.1979999999</v>
          </cell>
          <cell r="AY1572">
            <v>2908316.429</v>
          </cell>
          <cell r="AZ1572">
            <v>2947143.1979999999</v>
          </cell>
          <cell r="BA1572">
            <v>2986539.7450000001</v>
          </cell>
          <cell r="BB1572">
            <v>3026507.8509999998</v>
          </cell>
          <cell r="BC1572">
            <v>3067045.4610000001</v>
          </cell>
          <cell r="BD1572">
            <v>3108151.25</v>
          </cell>
          <cell r="BE1572">
            <v>3149826.42</v>
          </cell>
          <cell r="BF1572">
            <v>3192074.4819999998</v>
          </cell>
          <cell r="BG1572">
            <v>3234900.736</v>
          </cell>
          <cell r="BH1572">
            <v>3278311.8259999999</v>
          </cell>
          <cell r="BI1572">
            <v>3322315.398</v>
          </cell>
        </row>
        <row r="1575">
          <cell r="F1575">
            <v>-2029.2272170000001</v>
          </cell>
          <cell r="G1575">
            <v>-2061.3507399999999</v>
          </cell>
          <cell r="H1575">
            <v>-2071.5629049999998</v>
          </cell>
          <cell r="I1575">
            <v>-2078.5601919999999</v>
          </cell>
          <cell r="J1575">
            <v>-2089.264259</v>
          </cell>
          <cell r="K1575">
            <v>-2105.0898179999999</v>
          </cell>
          <cell r="L1575">
            <v>-2126.5200289999998</v>
          </cell>
          <cell r="M1575">
            <v>-2149.6003420000002</v>
          </cell>
          <cell r="N1575">
            <v>-2174.754567</v>
          </cell>
          <cell r="O1575">
            <v>-2201.496263</v>
          </cell>
          <cell r="P1575">
            <v>-2227.8009579999998</v>
          </cell>
          <cell r="Q1575">
            <v>-2259.9861839999999</v>
          </cell>
          <cell r="R1575">
            <v>-2290.0864900000001</v>
          </cell>
          <cell r="S1575">
            <v>-2319.9692300000002</v>
          </cell>
          <cell r="T1575">
            <v>-2350.0041369999999</v>
          </cell>
          <cell r="U1575">
            <v>-2380.2406679999999</v>
          </cell>
          <cell r="V1575">
            <v>-2410.680218</v>
          </cell>
          <cell r="W1575">
            <v>-2441.3270699999998</v>
          </cell>
          <cell r="X1575">
            <v>-2472.193608</v>
          </cell>
          <cell r="Y1575">
            <v>-2503.2977569999998</v>
          </cell>
          <cell r="Z1575">
            <v>-2535.7777350000001</v>
          </cell>
          <cell r="AA1575">
            <v>-2564.7380779999999</v>
          </cell>
          <cell r="AB1575">
            <v>-2595.9381819999999</v>
          </cell>
          <cell r="AC1575">
            <v>-2627.9115959999999</v>
          </cell>
          <cell r="AD1575">
            <v>-2660.350011</v>
          </cell>
          <cell r="AE1575">
            <v>-2696.4174859999998</v>
          </cell>
          <cell r="AF1575">
            <v>-2723.4790790000002</v>
          </cell>
          <cell r="AG1575">
            <v>-2752.9183119999998</v>
          </cell>
          <cell r="AH1575">
            <v>-2783.053167</v>
          </cell>
          <cell r="AI1575">
            <v>-2813.5538150000002</v>
          </cell>
          <cell r="AJ1575">
            <v>-2844.4019020000001</v>
          </cell>
          <cell r="AK1575">
            <v>-2875.6345040000001</v>
          </cell>
          <cell r="AL1575">
            <v>-2907.2888680000001</v>
          </cell>
          <cell r="AM1575">
            <v>-2939.391388</v>
          </cell>
          <cell r="AN1575">
            <v>-2971.957355</v>
          </cell>
          <cell r="AO1575">
            <v>-3004.9933609999998</v>
          </cell>
          <cell r="AP1575">
            <v>-3039.2719050000001</v>
          </cell>
          <cell r="AQ1575">
            <v>-3072.156704</v>
          </cell>
          <cell r="AR1575">
            <v>-3104.9850329999999</v>
          </cell>
          <cell r="AS1575">
            <v>-3138.062124</v>
          </cell>
          <cell r="AT1575">
            <v>-3171.46837</v>
          </cell>
          <cell r="AU1575">
            <v>-3205.2405869999998</v>
          </cell>
          <cell r="AV1575">
            <v>-3239.4062199999998</v>
          </cell>
          <cell r="AW1575">
            <v>-3273.987905</v>
          </cell>
          <cell r="AX1575">
            <v>-3309.003463</v>
          </cell>
          <cell r="AY1575">
            <v>-3344.466312</v>
          </cell>
          <cell r="AZ1575">
            <v>-3380.3194100000001</v>
          </cell>
          <cell r="BA1575">
            <v>-3416.8081000000002</v>
          </cell>
          <cell r="BB1575">
            <v>-3453.837137</v>
          </cell>
          <cell r="BC1575">
            <v>-3491.3091979999999</v>
          </cell>
          <cell r="BD1575">
            <v>-3529.221935</v>
          </cell>
          <cell r="BE1575">
            <v>-3567.6021810000002</v>
          </cell>
          <cell r="BF1575">
            <v>-3606.4638150000001</v>
          </cell>
          <cell r="BG1575">
            <v>-3645.8083750000001</v>
          </cell>
          <cell r="BH1575">
            <v>-3685.6332179999999</v>
          </cell>
          <cell r="BI1575">
            <v>-3725.9365120000002</v>
          </cell>
        </row>
        <row r="1577">
          <cell r="F1577">
            <v>-613.16616880000004</v>
          </cell>
          <cell r="G1577">
            <v>-619.24248320000004</v>
          </cell>
          <cell r="H1577">
            <v>-622.12187400000005</v>
          </cell>
          <cell r="I1577">
            <v>-624.95296489999998</v>
          </cell>
          <cell r="J1577">
            <v>-628.92143380000005</v>
          </cell>
          <cell r="K1577">
            <v>-634.21492760000001</v>
          </cell>
          <cell r="L1577">
            <v>-640.51520630000005</v>
          </cell>
          <cell r="M1577">
            <v>-647.42360159999998</v>
          </cell>
          <cell r="N1577">
            <v>-654.8620621</v>
          </cell>
          <cell r="O1577">
            <v>-662.69161870000005</v>
          </cell>
          <cell r="P1577">
            <v>-671.02334740000003</v>
          </cell>
          <cell r="Q1577">
            <v>-679.79294879999998</v>
          </cell>
          <cell r="R1577">
            <v>-688.44883479999999</v>
          </cell>
          <cell r="S1577">
            <v>-697.17306889999998</v>
          </cell>
          <cell r="T1577">
            <v>-705.98297630000002</v>
          </cell>
          <cell r="U1577">
            <v>-714.87174389999996</v>
          </cell>
          <cell r="V1577">
            <v>-723.83298200000002</v>
          </cell>
          <cell r="W1577">
            <v>-732.8637172</v>
          </cell>
          <cell r="X1577">
            <v>-741.96377459999997</v>
          </cell>
          <cell r="Y1577">
            <v>-751.13485300000002</v>
          </cell>
          <cell r="Z1577">
            <v>-760.21649830000001</v>
          </cell>
          <cell r="AA1577">
            <v>-769.20765930000005</v>
          </cell>
          <cell r="AB1577">
            <v>-778.48711230000004</v>
          </cell>
          <cell r="AC1577">
            <v>-787.90036769999995</v>
          </cell>
          <cell r="AD1577">
            <v>-797.42373689999999</v>
          </cell>
          <cell r="AE1577">
            <v>-806.58448020000003</v>
          </cell>
          <cell r="AF1577">
            <v>-815.14959650000003</v>
          </cell>
          <cell r="AG1577">
            <v>-823.97126209999999</v>
          </cell>
          <cell r="AH1577">
            <v>-832.87020329999996</v>
          </cell>
          <cell r="AI1577">
            <v>-841.83097710000004</v>
          </cell>
          <cell r="AJ1577">
            <v>-850.86678989999996</v>
          </cell>
          <cell r="AK1577">
            <v>-859.99300870000002</v>
          </cell>
          <cell r="AL1577">
            <v>-869.22215189999997</v>
          </cell>
          <cell r="AM1577">
            <v>-878.5633517</v>
          </cell>
          <cell r="AN1577">
            <v>-888.02282979999995</v>
          </cell>
          <cell r="AO1577">
            <v>-897.60458470000003</v>
          </cell>
          <cell r="AP1577">
            <v>-907.19701090000001</v>
          </cell>
          <cell r="AQ1577">
            <v>-916.68407549999995</v>
          </cell>
          <cell r="AR1577">
            <v>-926.21001520000004</v>
          </cell>
          <cell r="AS1577">
            <v>-935.80826439999998</v>
          </cell>
          <cell r="AT1577">
            <v>-945.4925796</v>
          </cell>
          <cell r="AU1577">
            <v>-955.27313560000005</v>
          </cell>
          <cell r="AV1577">
            <v>-965.15874350000001</v>
          </cell>
          <cell r="AW1577">
            <v>-975.15683669999999</v>
          </cell>
          <cell r="AX1577">
            <v>-985.2733432</v>
          </cell>
          <cell r="AY1577">
            <v>-995.51273309999999</v>
          </cell>
          <cell r="AZ1577">
            <v>-1005.888476</v>
          </cell>
          <cell r="BA1577">
            <v>-1016.4132949999999</v>
          </cell>
          <cell r="BB1577">
            <v>-1027.075693</v>
          </cell>
          <cell r="BC1577">
            <v>-1037.8739619999999</v>
          </cell>
          <cell r="BD1577">
            <v>-1048.8081500000001</v>
          </cell>
          <cell r="BE1577">
            <v>-1059.878426</v>
          </cell>
          <cell r="BF1577">
            <v>-1071.0849029999999</v>
          </cell>
          <cell r="BG1577">
            <v>-1082.427788</v>
          </cell>
          <cell r="BH1577">
            <v>-1093.907508</v>
          </cell>
          <cell r="BI1577">
            <v>-1105.5247440000001</v>
          </cell>
        </row>
        <row r="1579">
          <cell r="F1579">
            <v>495.70005170000002</v>
          </cell>
        </row>
        <row r="1580">
          <cell r="F1580">
            <v>40630.107230000001</v>
          </cell>
          <cell r="G1580">
            <v>40928.329590000001</v>
          </cell>
          <cell r="H1580">
            <v>41196.521780000003</v>
          </cell>
          <cell r="I1580">
            <v>41474.059399999998</v>
          </cell>
          <cell r="J1580">
            <v>41773.763559999999</v>
          </cell>
          <cell r="K1580">
            <v>42102.436009999998</v>
          </cell>
          <cell r="L1580">
            <v>42437.970869999997</v>
          </cell>
          <cell r="M1580">
            <v>42791.233269999997</v>
          </cell>
          <cell r="N1580">
            <v>43159.62934</v>
          </cell>
          <cell r="O1580">
            <v>43539.238169999997</v>
          </cell>
          <cell r="P1580">
            <v>43966.565150000002</v>
          </cell>
          <cell r="Q1580">
            <v>44373.52319</v>
          </cell>
          <cell r="R1580">
            <v>44779.395409999997</v>
          </cell>
          <cell r="S1580">
            <v>45186.365550000002</v>
          </cell>
          <cell r="T1580">
            <v>45594.950689999998</v>
          </cell>
          <cell r="U1580">
            <v>46005.49742</v>
          </cell>
          <cell r="V1580">
            <v>46418.442320000002</v>
          </cell>
          <cell r="W1580">
            <v>46834.344369999999</v>
          </cell>
          <cell r="X1580">
            <v>47253.86346</v>
          </cell>
          <cell r="Y1580">
            <v>47677.725429999999</v>
          </cell>
          <cell r="Z1580">
            <v>48078.02781</v>
          </cell>
          <cell r="AA1580">
            <v>48503.288030000003</v>
          </cell>
          <cell r="AB1580">
            <v>48939.209049999998</v>
          </cell>
          <cell r="AC1580">
            <v>49384.386899999998</v>
          </cell>
          <cell r="AD1580">
            <v>49838.823909999999</v>
          </cell>
          <cell r="AE1580">
            <v>50221.084739999998</v>
          </cell>
          <cell r="AF1580">
            <v>50628.87429</v>
          </cell>
          <cell r="AG1580">
            <v>51044.867890000001</v>
          </cell>
          <cell r="AH1580">
            <v>51468.672859999999</v>
          </cell>
          <cell r="AI1580">
            <v>51901.228730000003</v>
          </cell>
          <cell r="AJ1580">
            <v>52343.490030000001</v>
          </cell>
          <cell r="AK1580">
            <v>52796.19399</v>
          </cell>
          <cell r="AL1580">
            <v>53259.831299999998</v>
          </cell>
          <cell r="AM1580">
            <v>53734.669439999998</v>
          </cell>
          <cell r="AN1580">
            <v>54220.794549999999</v>
          </cell>
          <cell r="AO1580">
            <v>54718.158179999999</v>
          </cell>
          <cell r="AP1580">
            <v>55207.338190000002</v>
          </cell>
          <cell r="AQ1580">
            <v>55700.825270000001</v>
          </cell>
          <cell r="AR1580">
            <v>56201.013279999999</v>
          </cell>
          <cell r="AS1580">
            <v>56708.965539999997</v>
          </cell>
          <cell r="AT1580">
            <v>57225.376080000002</v>
          </cell>
          <cell r="AU1580">
            <v>57750.763039999998</v>
          </cell>
          <cell r="AV1580">
            <v>58285.520080000002</v>
          </cell>
          <cell r="AW1580">
            <v>58829.94528</v>
          </cell>
          <cell r="AX1580">
            <v>59384.238669999999</v>
          </cell>
          <cell r="AY1580">
            <v>59948.457459999998</v>
          </cell>
          <cell r="AZ1580">
            <v>60523.928979999997</v>
          </cell>
          <cell r="BA1580">
            <v>61107.297850000003</v>
          </cell>
          <cell r="BB1580">
            <v>61697.558680000002</v>
          </cell>
          <cell r="BC1580">
            <v>62296.29178</v>
          </cell>
          <cell r="BD1580">
            <v>62904.914019999997</v>
          </cell>
          <cell r="BE1580">
            <v>63523.90148</v>
          </cell>
          <cell r="BF1580">
            <v>64153.185389999999</v>
          </cell>
          <cell r="BG1580">
            <v>64792.548999999999</v>
          </cell>
          <cell r="BH1580">
            <v>65441.828399999999</v>
          </cell>
          <cell r="BI1580">
            <v>66100.972569999998</v>
          </cell>
        </row>
        <row r="1600">
          <cell r="F1600">
            <v>467597.27539999998</v>
          </cell>
          <cell r="G1600">
            <v>470154.31189999997</v>
          </cell>
          <cell r="H1600">
            <v>474268.47979999997</v>
          </cell>
          <cell r="I1600">
            <v>479323.30969999998</v>
          </cell>
          <cell r="J1600">
            <v>484997.8885</v>
          </cell>
          <cell r="K1600">
            <v>491132.09269999998</v>
          </cell>
          <cell r="L1600">
            <v>497450.94439999998</v>
          </cell>
          <cell r="M1600">
            <v>503965.32040000003</v>
          </cell>
          <cell r="N1600">
            <v>510689.92869999999</v>
          </cell>
          <cell r="O1600">
            <v>517631.73710000003</v>
          </cell>
          <cell r="P1600">
            <v>525125.77430000005</v>
          </cell>
          <cell r="Q1600">
            <v>532731.69310000003</v>
          </cell>
          <cell r="R1600">
            <v>540477.63340000005</v>
          </cell>
          <cell r="S1600">
            <v>548387.68209999998</v>
          </cell>
          <cell r="T1600">
            <v>556474.15209999995</v>
          </cell>
          <cell r="U1600">
            <v>564744.52110000001</v>
          </cell>
          <cell r="V1600">
            <v>573180.29319999996</v>
          </cell>
          <cell r="W1600">
            <v>581797.08019999997</v>
          </cell>
          <cell r="X1600">
            <v>590606.10179999995</v>
          </cell>
          <cell r="Y1600">
            <v>599615.26879999996</v>
          </cell>
          <cell r="Z1600">
            <v>608584.20620000002</v>
          </cell>
          <cell r="AA1600">
            <v>617821.22239999997</v>
          </cell>
          <cell r="AB1600">
            <v>627313.71699999995</v>
          </cell>
          <cell r="AC1600">
            <v>637048.00690000004</v>
          </cell>
          <cell r="AD1600">
            <v>647016.67480000004</v>
          </cell>
          <cell r="AE1600">
            <v>656504.52410000004</v>
          </cell>
          <cell r="AF1600">
            <v>666055.84970000002</v>
          </cell>
          <cell r="AG1600">
            <v>675693.80290000001</v>
          </cell>
          <cell r="AH1600">
            <v>685423.92009999999</v>
          </cell>
          <cell r="AI1600">
            <v>695253.92009999999</v>
          </cell>
          <cell r="AJ1600">
            <v>705191.66570000001</v>
          </cell>
          <cell r="AK1600">
            <v>715248.97279999999</v>
          </cell>
          <cell r="AL1600">
            <v>725427.26049999997</v>
          </cell>
          <cell r="AM1600">
            <v>735726.1298</v>
          </cell>
          <cell r="AN1600">
            <v>746143.64110000001</v>
          </cell>
          <cell r="AO1600">
            <v>756676.73690000002</v>
          </cell>
          <cell r="AP1600">
            <v>767201.21400000004</v>
          </cell>
          <cell r="AQ1600">
            <v>777732.73569999996</v>
          </cell>
          <cell r="AR1600">
            <v>788284.22369999997</v>
          </cell>
          <cell r="AS1600">
            <v>798864.06570000004</v>
          </cell>
          <cell r="AT1600">
            <v>809479.02520000003</v>
          </cell>
          <cell r="AU1600">
            <v>820143.78540000005</v>
          </cell>
          <cell r="AV1600">
            <v>830861.5416</v>
          </cell>
          <cell r="AW1600">
            <v>841635.72510000004</v>
          </cell>
          <cell r="AX1600">
            <v>852469.6422</v>
          </cell>
          <cell r="AY1600">
            <v>863366.21909999999</v>
          </cell>
          <cell r="AZ1600">
            <v>874372.17209999997</v>
          </cell>
          <cell r="BA1600">
            <v>885477.14520000003</v>
          </cell>
          <cell r="BB1600">
            <v>896674.24</v>
          </cell>
          <cell r="BC1600">
            <v>907959.9129</v>
          </cell>
          <cell r="BD1600">
            <v>919332.97519999999</v>
          </cell>
          <cell r="BE1600">
            <v>930812.20239999995</v>
          </cell>
          <cell r="BF1600">
            <v>942393.93870000006</v>
          </cell>
          <cell r="BG1600">
            <v>954077.09809999994</v>
          </cell>
          <cell r="BH1600">
            <v>965862.75060000003</v>
          </cell>
          <cell r="BI1600">
            <v>977753.52130000002</v>
          </cell>
        </row>
        <row r="1601">
          <cell r="F1601">
            <v>4377.210806</v>
          </cell>
          <cell r="G1601">
            <v>4379.1765079999996</v>
          </cell>
          <cell r="H1601">
            <v>4394.3786559999999</v>
          </cell>
          <cell r="I1601">
            <v>4420.3612869999997</v>
          </cell>
          <cell r="J1601">
            <v>4455.4452670000001</v>
          </cell>
          <cell r="K1601">
            <v>4498.3273289999997</v>
          </cell>
          <cell r="L1601">
            <v>4546.0542809999997</v>
          </cell>
          <cell r="M1601">
            <v>4598.1136749999996</v>
          </cell>
          <cell r="N1601">
            <v>4654.0820970000004</v>
          </cell>
          <cell r="O1601">
            <v>4713.5245990000003</v>
          </cell>
          <cell r="P1601">
            <v>4779.143333</v>
          </cell>
          <cell r="Q1601">
            <v>4846.5331310000001</v>
          </cell>
          <cell r="R1601">
            <v>4915.5553739999996</v>
          </cell>
          <cell r="S1601">
            <v>4986.1651320000001</v>
          </cell>
          <cell r="T1601">
            <v>5058.2778390000003</v>
          </cell>
          <cell r="U1601">
            <v>5131.8173450000004</v>
          </cell>
          <cell r="V1601">
            <v>5206.446852</v>
          </cell>
          <cell r="W1601">
            <v>5282.2715589999998</v>
          </cell>
          <cell r="X1601">
            <v>5359.3527519999998</v>
          </cell>
          <cell r="Y1601">
            <v>5437.7260420000002</v>
          </cell>
          <cell r="Z1601">
            <v>5515.1251199999997</v>
          </cell>
          <cell r="AA1601">
            <v>5594.3040380000002</v>
          </cell>
          <cell r="AB1601">
            <v>5675.2502459999996</v>
          </cell>
          <cell r="AC1601">
            <v>5757.871486</v>
          </cell>
          <cell r="AD1601">
            <v>5842.1131370000003</v>
          </cell>
          <cell r="AE1601">
            <v>5921.3447660000002</v>
          </cell>
          <cell r="AF1601">
            <v>6000.3728810000002</v>
          </cell>
          <cell r="AG1601">
            <v>6079.6176910000004</v>
          </cell>
          <cell r="AH1601">
            <v>6159.2868850000004</v>
          </cell>
          <cell r="AI1601">
            <v>6239.5942859999996</v>
          </cell>
          <cell r="AJ1601">
            <v>6320.7370929999997</v>
          </cell>
          <cell r="AK1601">
            <v>6402.9412140000004</v>
          </cell>
          <cell r="AL1601">
            <v>6486.2918200000004</v>
          </cell>
          <cell r="AM1601">
            <v>6570.8452109999998</v>
          </cell>
          <cell r="AN1601">
            <v>6656.6329459999997</v>
          </cell>
          <cell r="AO1601">
            <v>6743.6678430000002</v>
          </cell>
          <cell r="AP1601">
            <v>6830.9720219999999</v>
          </cell>
          <cell r="AQ1601">
            <v>6918.5762519999998</v>
          </cell>
          <cell r="AR1601">
            <v>7006.6113169999999</v>
          </cell>
          <cell r="AS1601">
            <v>7095.2124000000003</v>
          </cell>
          <cell r="AT1601">
            <v>7184.5118270000003</v>
          </cell>
          <cell r="AU1601">
            <v>7274.7334510000001</v>
          </cell>
          <cell r="AV1601">
            <v>7365.950116</v>
          </cell>
          <cell r="AW1601">
            <v>7458.2310950000001</v>
          </cell>
          <cell r="AX1601">
            <v>7551.6350570000004</v>
          </cell>
          <cell r="AY1601">
            <v>7646.2071859999996</v>
          </cell>
          <cell r="AZ1601">
            <v>7742.4661500000002</v>
          </cell>
          <cell r="BA1601">
            <v>7840.2874709999996</v>
          </cell>
          <cell r="BB1601">
            <v>7939.5912859999999</v>
          </cell>
          <cell r="BC1601">
            <v>8040.3325130000003</v>
          </cell>
          <cell r="BD1601">
            <v>8142.4852499999997</v>
          </cell>
          <cell r="BE1601">
            <v>8246.2515430000003</v>
          </cell>
          <cell r="BF1601">
            <v>8351.5471249999991</v>
          </cell>
          <cell r="BG1601">
            <v>8458.3247589999992</v>
          </cell>
          <cell r="BH1601">
            <v>8566.5635600000005</v>
          </cell>
          <cell r="BI1601">
            <v>8676.2588149999992</v>
          </cell>
        </row>
        <row r="1604">
          <cell r="F1604">
            <v>232030.75330000001</v>
          </cell>
          <cell r="G1604">
            <v>233272.49849999999</v>
          </cell>
          <cell r="H1604">
            <v>235368.57320000001</v>
          </cell>
          <cell r="I1604">
            <v>237942.45749999999</v>
          </cell>
          <cell r="J1604">
            <v>240801.2923</v>
          </cell>
          <cell r="K1604">
            <v>243851.72930000001</v>
          </cell>
          <cell r="L1604">
            <v>246966.6189</v>
          </cell>
          <cell r="M1604">
            <v>250148.2813</v>
          </cell>
          <cell r="N1604">
            <v>253408.49770000001</v>
          </cell>
          <cell r="O1604">
            <v>256758.19149999999</v>
          </cell>
          <cell r="P1604">
            <v>260351.32560000001</v>
          </cell>
          <cell r="Q1604">
            <v>264009.38219999999</v>
          </cell>
          <cell r="R1604">
            <v>267744.83149999997</v>
          </cell>
          <cell r="S1604">
            <v>271570.68770000001</v>
          </cell>
          <cell r="T1604">
            <v>275495.83679999999</v>
          </cell>
          <cell r="U1604">
            <v>279526.89169999998</v>
          </cell>
          <cell r="V1604">
            <v>283655.93209999998</v>
          </cell>
          <cell r="W1604">
            <v>287893.5355</v>
          </cell>
          <cell r="X1604">
            <v>292247.29269999999</v>
          </cell>
          <cell r="Y1604">
            <v>296722.80349999998</v>
          </cell>
          <cell r="Z1604">
            <v>301217.40980000002</v>
          </cell>
          <cell r="AA1604">
            <v>305858.86</v>
          </cell>
          <cell r="AB1604">
            <v>310647.49080000003</v>
          </cell>
          <cell r="AC1604">
            <v>315579.87809999997</v>
          </cell>
          <cell r="AD1604">
            <v>320653.55</v>
          </cell>
          <cell r="AE1604">
            <v>325558.43780000001</v>
          </cell>
          <cell r="AF1604">
            <v>330508.67440000002</v>
          </cell>
          <cell r="AG1604">
            <v>335516.56569999998</v>
          </cell>
          <cell r="AH1604">
            <v>340584.68949999998</v>
          </cell>
          <cell r="AI1604">
            <v>345714.69339999999</v>
          </cell>
          <cell r="AJ1604">
            <v>350907.65519999998</v>
          </cell>
          <cell r="AK1604">
            <v>356166.94620000001</v>
          </cell>
          <cell r="AL1604">
            <v>361490.61839999998</v>
          </cell>
          <cell r="AM1604">
            <v>366876.16360000003</v>
          </cell>
          <cell r="AN1604">
            <v>372320.48340000003</v>
          </cell>
          <cell r="AO1604">
            <v>377820.0221</v>
          </cell>
          <cell r="AP1604">
            <v>383324.3958</v>
          </cell>
          <cell r="AQ1604">
            <v>388830.0269</v>
          </cell>
          <cell r="AR1604">
            <v>394337.18680000002</v>
          </cell>
          <cell r="AS1604">
            <v>399846.07980000001</v>
          </cell>
          <cell r="AT1604">
            <v>405356.85570000001</v>
          </cell>
          <cell r="AU1604">
            <v>410874.4045</v>
          </cell>
          <cell r="AV1604">
            <v>416397.74930000002</v>
          </cell>
          <cell r="AW1604">
            <v>421926.5784</v>
          </cell>
          <cell r="AX1604">
            <v>427460.90749999997</v>
          </cell>
          <cell r="AY1604">
            <v>433000.89750000002</v>
          </cell>
          <cell r="AZ1604">
            <v>438569.1335</v>
          </cell>
          <cell r="BA1604">
            <v>444160.01199999999</v>
          </cell>
          <cell r="BB1604">
            <v>449769.94099999999</v>
          </cell>
          <cell r="BC1604">
            <v>455396.9865</v>
          </cell>
          <cell r="BD1604">
            <v>461040.45559999999</v>
          </cell>
          <cell r="BE1604">
            <v>466710.5527</v>
          </cell>
          <cell r="BF1604">
            <v>472405.36560000002</v>
          </cell>
          <cell r="BG1604">
            <v>478124.71649999998</v>
          </cell>
          <cell r="BH1604">
            <v>483869.63380000001</v>
          </cell>
          <cell r="BI1604">
            <v>489642.01880000002</v>
          </cell>
        </row>
        <row r="1616">
          <cell r="F1616">
            <v>7841.3663980000001</v>
          </cell>
          <cell r="G1616">
            <v>7861.8746899999996</v>
          </cell>
          <cell r="H1616">
            <v>7927.1336959999999</v>
          </cell>
          <cell r="I1616">
            <v>8012.3215469999996</v>
          </cell>
          <cell r="J1616">
            <v>8108.4648610000004</v>
          </cell>
          <cell r="K1616">
            <v>8211.9764479999994</v>
          </cell>
          <cell r="L1616">
            <v>8316.9426609999991</v>
          </cell>
          <cell r="M1616">
            <v>8424.2768899999992</v>
          </cell>
          <cell r="N1616">
            <v>8534.19067</v>
          </cell>
          <cell r="O1616">
            <v>8646.5429800000002</v>
          </cell>
          <cell r="P1616">
            <v>8768.0873869999996</v>
          </cell>
          <cell r="Q1616">
            <v>8887.6607449999992</v>
          </cell>
          <cell r="R1616">
            <v>9007.1558839999998</v>
          </cell>
          <cell r="S1616">
            <v>9127.4147069999999</v>
          </cell>
          <cell r="T1616">
            <v>9248.7410419999997</v>
          </cell>
          <cell r="U1616">
            <v>9371.2821129999993</v>
          </cell>
          <cell r="V1616">
            <v>9494.3482480000002</v>
          </cell>
          <cell r="W1616">
            <v>9618.5473440000005</v>
          </cell>
          <cell r="X1616">
            <v>9744.2176710000003</v>
          </cell>
          <cell r="Y1616">
            <v>9871.5823529999998</v>
          </cell>
          <cell r="Z1616">
            <v>9995.7021029999996</v>
          </cell>
          <cell r="AA1616">
            <v>10124.13053</v>
          </cell>
          <cell r="AB1616">
            <v>10255.82813</v>
          </cell>
          <cell r="AC1616">
            <v>10390.347030000001</v>
          </cell>
          <cell r="AD1616">
            <v>10527.57418</v>
          </cell>
          <cell r="AE1616">
            <v>10652.83439</v>
          </cell>
          <cell r="AF1616">
            <v>10780.68721</v>
          </cell>
          <cell r="AG1616">
            <v>10910.61902</v>
          </cell>
          <cell r="AH1616">
            <v>11042.418009999999</v>
          </cell>
          <cell r="AI1616">
            <v>11176.168240000001</v>
          </cell>
          <cell r="AJ1616">
            <v>11312.031590000001</v>
          </cell>
          <cell r="AK1616">
            <v>11450.343430000001</v>
          </cell>
          <cell r="AL1616">
            <v>11591.108200000001</v>
          </cell>
          <cell r="AM1616">
            <v>11734.34527</v>
          </cell>
          <cell r="AN1616">
            <v>11880.06243</v>
          </cell>
          <cell r="AO1616">
            <v>12028.25086</v>
          </cell>
          <cell r="AP1616">
            <v>12177.02406</v>
          </cell>
          <cell r="AQ1616">
            <v>12326.94261</v>
          </cell>
          <cell r="AR1616">
            <v>12478.32645</v>
          </cell>
          <cell r="AS1616">
            <v>12631.35094</v>
          </cell>
          <cell r="AT1616">
            <v>12786.14113</v>
          </cell>
          <cell r="AU1616">
            <v>12943.07063</v>
          </cell>
          <cell r="AV1616">
            <v>13102.09008</v>
          </cell>
          <cell r="AW1616">
            <v>13263.21486</v>
          </cell>
          <cell r="AX1616">
            <v>13426.477790000001</v>
          </cell>
          <cell r="AY1616">
            <v>13591.909460000001</v>
          </cell>
          <cell r="AZ1616">
            <v>13760.762580000001</v>
          </cell>
          <cell r="BA1616">
            <v>13932.440199999999</v>
          </cell>
          <cell r="BB1616">
            <v>14106.678610000001</v>
          </cell>
          <cell r="BC1616">
            <v>14283.36428</v>
          </cell>
          <cell r="BD1616">
            <v>14462.44666</v>
          </cell>
          <cell r="BE1616">
            <v>14644.48294</v>
          </cell>
          <cell r="BF1616">
            <v>14829.17584</v>
          </cell>
          <cell r="BG1616">
            <v>15016.40674</v>
          </cell>
          <cell r="BH1616">
            <v>15206.13861</v>
          </cell>
          <cell r="BI1616">
            <v>15398.37112</v>
          </cell>
        </row>
        <row r="1621">
          <cell r="F1621">
            <v>217525.54670000001</v>
          </cell>
          <cell r="G1621">
            <v>218815.66940000001</v>
          </cell>
          <cell r="H1621">
            <v>220744.34700000001</v>
          </cell>
          <cell r="I1621">
            <v>223099.6017</v>
          </cell>
          <cell r="J1621">
            <v>225763.01699999999</v>
          </cell>
          <cell r="K1621">
            <v>228672.41620000001</v>
          </cell>
          <cell r="L1621">
            <v>231691.71890000001</v>
          </cell>
          <cell r="M1621">
            <v>234829.33910000001</v>
          </cell>
          <cell r="N1621">
            <v>238088.6072</v>
          </cell>
          <cell r="O1621">
            <v>241466.4958</v>
          </cell>
          <cell r="P1621">
            <v>245131.39350000001</v>
          </cell>
          <cell r="Q1621">
            <v>248842.58660000001</v>
          </cell>
          <cell r="R1621">
            <v>252614.11900000001</v>
          </cell>
          <cell r="S1621">
            <v>256456.1967</v>
          </cell>
          <cell r="T1621">
            <v>260372.08439999999</v>
          </cell>
          <cell r="U1621">
            <v>264362.67389999999</v>
          </cell>
          <cell r="V1621">
            <v>268418.82699999999</v>
          </cell>
          <cell r="W1621">
            <v>272544.76390000002</v>
          </cell>
          <cell r="X1621">
            <v>276743.64130000002</v>
          </cell>
          <cell r="Y1621">
            <v>281017.45380000002</v>
          </cell>
          <cell r="Z1621">
            <v>285238.26240000001</v>
          </cell>
          <cell r="AA1621">
            <v>289572.86330000003</v>
          </cell>
          <cell r="AB1621">
            <v>294009.41200000001</v>
          </cell>
          <cell r="AC1621">
            <v>298538.35149999999</v>
          </cell>
          <cell r="AD1621">
            <v>303154.946</v>
          </cell>
          <cell r="AE1621">
            <v>307482.80469999998</v>
          </cell>
          <cell r="AF1621">
            <v>311826.50650000002</v>
          </cell>
          <cell r="AG1621">
            <v>316196.38669999997</v>
          </cell>
          <cell r="AH1621">
            <v>320595.28450000001</v>
          </cell>
          <cell r="AI1621">
            <v>325028.83100000001</v>
          </cell>
          <cell r="AJ1621">
            <v>329503.2893</v>
          </cell>
          <cell r="AK1621">
            <v>334026.31189999997</v>
          </cell>
          <cell r="AL1621">
            <v>338601.0675</v>
          </cell>
          <cell r="AM1621">
            <v>343229.4901</v>
          </cell>
          <cell r="AN1621">
            <v>347912.61440000002</v>
          </cell>
          <cell r="AO1621">
            <v>352650.86959999998</v>
          </cell>
          <cell r="AP1621">
            <v>357374.35830000002</v>
          </cell>
          <cell r="AQ1621">
            <v>362101.51240000001</v>
          </cell>
          <cell r="AR1621">
            <v>366844.27840000001</v>
          </cell>
          <cell r="AS1621">
            <v>371610.36339999997</v>
          </cell>
          <cell r="AT1621">
            <v>376406.02130000002</v>
          </cell>
          <cell r="AU1621">
            <v>381240.28279999999</v>
          </cell>
          <cell r="AV1621">
            <v>386117.29830000002</v>
          </cell>
          <cell r="AW1621">
            <v>391040.72379999998</v>
          </cell>
          <cell r="AX1621">
            <v>396013.7549</v>
          </cell>
          <cell r="AY1621">
            <v>401039.08110000001</v>
          </cell>
          <cell r="AZ1621">
            <v>406138.54670000001</v>
          </cell>
          <cell r="BA1621">
            <v>411308.2586</v>
          </cell>
          <cell r="BB1621">
            <v>416545.30839999998</v>
          </cell>
          <cell r="BC1621">
            <v>421848.25290000002</v>
          </cell>
          <cell r="BD1621">
            <v>427216.67589999997</v>
          </cell>
          <cell r="BE1621">
            <v>432658.18790000002</v>
          </cell>
          <cell r="BF1621">
            <v>438171.53499999997</v>
          </cell>
          <cell r="BG1621">
            <v>443756.04129999998</v>
          </cell>
          <cell r="BH1621">
            <v>449411.84330000001</v>
          </cell>
          <cell r="BI1621">
            <v>455139.6924</v>
          </cell>
        </row>
        <row r="1624">
          <cell r="F1624">
            <v>2211.584867</v>
          </cell>
          <cell r="G1624">
            <v>2208.1975240000002</v>
          </cell>
          <cell r="H1624">
            <v>2209.5489109999999</v>
          </cell>
          <cell r="I1624">
            <v>2214.0721589999998</v>
          </cell>
          <cell r="J1624">
            <v>2221.7597649999998</v>
          </cell>
          <cell r="K1624">
            <v>2232.5800340000001</v>
          </cell>
          <cell r="L1624">
            <v>2245.3714799999998</v>
          </cell>
          <cell r="M1624">
            <v>2260.1276769999999</v>
          </cell>
          <cell r="N1624">
            <v>2276.722514</v>
          </cell>
          <cell r="O1624">
            <v>2294.9559559999998</v>
          </cell>
          <cell r="P1624">
            <v>2316.0626050000001</v>
          </cell>
          <cell r="Q1624">
            <v>2337.723935</v>
          </cell>
          <cell r="R1624">
            <v>2360.063294</v>
          </cell>
          <cell r="S1624">
            <v>2383.1325400000001</v>
          </cell>
          <cell r="T1624">
            <v>2406.8943220000001</v>
          </cell>
          <cell r="U1624">
            <v>2431.288239</v>
          </cell>
          <cell r="V1624">
            <v>2456.0889080000002</v>
          </cell>
          <cell r="W1624">
            <v>2481.3388110000001</v>
          </cell>
          <cell r="X1624">
            <v>2507.046789</v>
          </cell>
          <cell r="Y1624">
            <v>2533.206189</v>
          </cell>
          <cell r="Z1624">
            <v>2558.7697069999999</v>
          </cell>
          <cell r="AA1624">
            <v>2585.1370870000001</v>
          </cell>
          <cell r="AB1624">
            <v>2612.1585490000002</v>
          </cell>
          <cell r="AC1624">
            <v>2639.727128</v>
          </cell>
          <cell r="AD1624">
            <v>2667.802115</v>
          </cell>
          <cell r="AE1624">
            <v>2693.4104430000002</v>
          </cell>
          <cell r="AF1624">
            <v>2719.2150029999998</v>
          </cell>
          <cell r="AG1624">
            <v>2745.2373889999999</v>
          </cell>
          <cell r="AH1624">
            <v>2771.443608</v>
          </cell>
          <cell r="AI1624">
            <v>2797.8521230000001</v>
          </cell>
          <cell r="AJ1624">
            <v>2824.502606</v>
          </cell>
          <cell r="AK1624">
            <v>2851.4763419999999</v>
          </cell>
          <cell r="AL1624">
            <v>2878.7941729999998</v>
          </cell>
          <cell r="AM1624">
            <v>2906.4804629999999</v>
          </cell>
          <cell r="AN1624">
            <v>2934.5580869999999</v>
          </cell>
          <cell r="AO1624">
            <v>2963.045361</v>
          </cell>
          <cell r="AP1624">
            <v>2991.588377</v>
          </cell>
          <cell r="AQ1624">
            <v>3020.2675669999999</v>
          </cell>
          <cell r="AR1624">
            <v>3049.152407</v>
          </cell>
          <cell r="AS1624">
            <v>3078.2871639999998</v>
          </cell>
          <cell r="AT1624">
            <v>3107.7020790000001</v>
          </cell>
          <cell r="AU1624">
            <v>3137.4727379999999</v>
          </cell>
          <cell r="AV1624">
            <v>3167.5903159999998</v>
          </cell>
          <cell r="AW1624">
            <v>3198.055261</v>
          </cell>
          <cell r="AX1624">
            <v>3228.871333</v>
          </cell>
          <cell r="AY1624">
            <v>3260.041381</v>
          </cell>
          <cell r="AZ1624">
            <v>3291.8148759999999</v>
          </cell>
          <cell r="BA1624">
            <v>3324.095468</v>
          </cell>
          <cell r="BB1624">
            <v>3356.841762</v>
          </cell>
          <cell r="BC1624">
            <v>3390.039835</v>
          </cell>
          <cell r="BD1624">
            <v>3423.6818119999998</v>
          </cell>
          <cell r="BE1624">
            <v>3457.871142</v>
          </cell>
          <cell r="BF1624">
            <v>3492.5432580000002</v>
          </cell>
          <cell r="BG1624">
            <v>3527.6618979999998</v>
          </cell>
          <cell r="BH1624">
            <v>3563.2065069999999</v>
          </cell>
          <cell r="BI1624">
            <v>3599.1624320000001</v>
          </cell>
        </row>
        <row r="1629">
          <cell r="F1629">
            <v>3610.8132439999999</v>
          </cell>
          <cell r="G1629">
            <v>3616.8952789999998</v>
          </cell>
          <cell r="H1629">
            <v>3624.4983809999999</v>
          </cell>
          <cell r="I1629">
            <v>3634.4954870000001</v>
          </cell>
          <cell r="J1629">
            <v>3647.909275</v>
          </cell>
          <cell r="K1629">
            <v>3665.063396</v>
          </cell>
          <cell r="L1629">
            <v>3684.2381599999999</v>
          </cell>
          <cell r="M1629">
            <v>3705.1818349999999</v>
          </cell>
          <cell r="N1629">
            <v>3727.828516</v>
          </cell>
          <cell r="O1629">
            <v>3752.0262910000001</v>
          </cell>
          <cell r="P1629">
            <v>3779.7619060000002</v>
          </cell>
          <cell r="Q1629">
            <v>3807.8064810000001</v>
          </cell>
          <cell r="R1629">
            <v>3835.9082880000001</v>
          </cell>
          <cell r="S1629">
            <v>3864.08527</v>
          </cell>
          <cell r="T1629">
            <v>3892.317689</v>
          </cell>
          <cell r="U1629">
            <v>3920.5678469999998</v>
          </cell>
          <cell r="V1629">
            <v>3948.6500209999999</v>
          </cell>
          <cell r="W1629">
            <v>3976.6231210000001</v>
          </cell>
          <cell r="X1629">
            <v>4004.550561</v>
          </cell>
          <cell r="Y1629">
            <v>4032.49694</v>
          </cell>
          <cell r="Z1629">
            <v>4058.9370159999999</v>
          </cell>
          <cell r="AA1629">
            <v>4085.9273920000001</v>
          </cell>
          <cell r="AB1629">
            <v>4113.5772260000003</v>
          </cell>
          <cell r="AC1629">
            <v>4141.831604</v>
          </cell>
          <cell r="AD1629">
            <v>4170.689351</v>
          </cell>
          <cell r="AE1629">
            <v>4195.6919589999998</v>
          </cell>
          <cell r="AF1629">
            <v>4220.3937820000001</v>
          </cell>
          <cell r="AG1629">
            <v>4245.3763319999998</v>
          </cell>
          <cell r="AH1629">
            <v>4270.7975919999999</v>
          </cell>
          <cell r="AI1629">
            <v>4296.781105</v>
          </cell>
          <cell r="AJ1629">
            <v>4323.4498869999998</v>
          </cell>
          <cell r="AK1629">
            <v>4350.953673</v>
          </cell>
          <cell r="AL1629">
            <v>4379.3803269999999</v>
          </cell>
          <cell r="AM1629">
            <v>4408.8051070000001</v>
          </cell>
          <cell r="AN1629">
            <v>4439.2898400000004</v>
          </cell>
          <cell r="AO1629">
            <v>4470.8812209999996</v>
          </cell>
          <cell r="AP1629">
            <v>4502.875419</v>
          </cell>
          <cell r="AQ1629">
            <v>4535.4099859999997</v>
          </cell>
          <cell r="AR1629">
            <v>4568.6683499999999</v>
          </cell>
          <cell r="AS1629">
            <v>4602.7720339999996</v>
          </cell>
          <cell r="AT1629">
            <v>4637.7930640000004</v>
          </cell>
          <cell r="AU1629">
            <v>4673.8212780000003</v>
          </cell>
          <cell r="AV1629">
            <v>4710.8634940000002</v>
          </cell>
          <cell r="AW1629">
            <v>4748.9216759999999</v>
          </cell>
          <cell r="AX1629">
            <v>4787.9956599999996</v>
          </cell>
          <cell r="AY1629">
            <v>4828.0824130000001</v>
          </cell>
          <cell r="AZ1629">
            <v>4869.4482829999997</v>
          </cell>
          <cell r="BA1629">
            <v>4912.051504</v>
          </cell>
          <cell r="BB1629">
            <v>4955.8788709999999</v>
          </cell>
          <cell r="BC1629">
            <v>5000.9368119999999</v>
          </cell>
          <cell r="BD1629">
            <v>5047.2299460000004</v>
          </cell>
          <cell r="BE1629">
            <v>5094.8561959999997</v>
          </cell>
          <cell r="BF1629">
            <v>5143.7719500000003</v>
          </cell>
          <cell r="BG1629">
            <v>5193.9468900000002</v>
          </cell>
          <cell r="BH1629">
            <v>5245.3648210000001</v>
          </cell>
          <cell r="BI1629">
            <v>5298.0177279999998</v>
          </cell>
        </row>
        <row r="1639">
          <cell r="F1639">
            <v>473222.20449999999</v>
          </cell>
          <cell r="G1639">
            <v>479535.71799999999</v>
          </cell>
          <cell r="H1639">
            <v>486404.21620000002</v>
          </cell>
          <cell r="I1639">
            <v>493756.32160000002</v>
          </cell>
          <cell r="J1639">
            <v>501524.69660000002</v>
          </cell>
          <cell r="K1639">
            <v>509663.84749999997</v>
          </cell>
          <cell r="L1639">
            <v>517948.18280000001</v>
          </cell>
          <cell r="M1639">
            <v>526410.6568</v>
          </cell>
          <cell r="N1639">
            <v>535078.52870000002</v>
          </cell>
          <cell r="O1639">
            <v>543968.31110000005</v>
          </cell>
          <cell r="P1639">
            <v>553440.23600000003</v>
          </cell>
          <cell r="Q1639">
            <v>563065.29269999999</v>
          </cell>
          <cell r="R1639">
            <v>572866.74769999995</v>
          </cell>
          <cell r="S1639">
            <v>582865.13509999996</v>
          </cell>
          <cell r="T1639">
            <v>593069.48030000005</v>
          </cell>
          <cell r="U1639">
            <v>603483.72739999997</v>
          </cell>
          <cell r="V1639">
            <v>614110.22349999996</v>
          </cell>
          <cell r="W1639">
            <v>624950.97439999995</v>
          </cell>
          <cell r="X1639">
            <v>636007.8284</v>
          </cell>
          <cell r="Y1639">
            <v>647282.27850000001</v>
          </cell>
          <cell r="Z1639">
            <v>658510.55290000001</v>
          </cell>
          <cell r="AA1639">
            <v>670018.11309999996</v>
          </cell>
          <cell r="AB1639">
            <v>681788.45429999998</v>
          </cell>
          <cell r="AC1639">
            <v>693804.71580000001</v>
          </cell>
          <cell r="AD1639">
            <v>706056.90300000005</v>
          </cell>
          <cell r="AE1639">
            <v>717765.83050000004</v>
          </cell>
          <cell r="AF1639">
            <v>729504.46369999996</v>
          </cell>
          <cell r="AG1639">
            <v>741298.69660000002</v>
          </cell>
          <cell r="AH1639">
            <v>753155.01009999996</v>
          </cell>
          <cell r="AI1639">
            <v>765081.6078</v>
          </cell>
          <cell r="AJ1639">
            <v>777086.35900000005</v>
          </cell>
          <cell r="AK1639">
            <v>789174.86990000005</v>
          </cell>
          <cell r="AL1639">
            <v>801349.80099999998</v>
          </cell>
          <cell r="AM1639">
            <v>813611.05660000001</v>
          </cell>
          <cell r="AN1639">
            <v>825956.42429999996</v>
          </cell>
          <cell r="AO1639">
            <v>838382.36239999998</v>
          </cell>
          <cell r="AP1639">
            <v>850694.96970000002</v>
          </cell>
          <cell r="AQ1639">
            <v>862930.71730000002</v>
          </cell>
          <cell r="AR1639">
            <v>875116.26699999999</v>
          </cell>
          <cell r="AS1639">
            <v>887268.72750000004</v>
          </cell>
          <cell r="AT1639">
            <v>899400.95730000001</v>
          </cell>
          <cell r="AU1639">
            <v>911523.86580000003</v>
          </cell>
          <cell r="AV1639">
            <v>923647.12970000005</v>
          </cell>
          <cell r="AW1639">
            <v>935779.36769999994</v>
          </cell>
          <cell r="AX1639">
            <v>947928.24890000001</v>
          </cell>
          <cell r="AY1639">
            <v>960100.68870000006</v>
          </cell>
          <cell r="AZ1639">
            <v>972320.42850000004</v>
          </cell>
          <cell r="BA1639">
            <v>984590.03749999998</v>
          </cell>
          <cell r="BB1639">
            <v>996913.12540000002</v>
          </cell>
          <cell r="BC1639">
            <v>1009294.171</v>
          </cell>
          <cell r="BD1639">
            <v>1021738.414</v>
          </cell>
          <cell r="BE1639">
            <v>1034251.97</v>
          </cell>
          <cell r="BF1639">
            <v>1046841.8590000001</v>
          </cell>
          <cell r="BG1639">
            <v>1059515.932</v>
          </cell>
          <cell r="BH1639">
            <v>1072282.7660000001</v>
          </cell>
          <cell r="BI1639">
            <v>1085151.537</v>
          </cell>
        </row>
        <row r="1640">
          <cell r="F1640">
            <v>4444.0176270000002</v>
          </cell>
          <cell r="G1640">
            <v>4488.0620580000004</v>
          </cell>
          <cell r="H1640">
            <v>4532.6467709999997</v>
          </cell>
          <cell r="I1640">
            <v>4582.237263</v>
          </cell>
          <cell r="J1640">
            <v>4637.9010760000001</v>
          </cell>
          <cell r="K1640">
            <v>4699.4452179999998</v>
          </cell>
          <cell r="L1640">
            <v>4764.3885289999998</v>
          </cell>
          <cell r="M1640">
            <v>4832.4695449999999</v>
          </cell>
          <cell r="N1640">
            <v>4903.4569190000002</v>
          </cell>
          <cell r="O1640">
            <v>4977.1101099999996</v>
          </cell>
          <cell r="P1640">
            <v>5056.5187210000004</v>
          </cell>
          <cell r="Q1640">
            <v>5137.5110070000001</v>
          </cell>
          <cell r="R1640">
            <v>5219.9802650000001</v>
          </cell>
          <cell r="S1640">
            <v>5303.9302559999996</v>
          </cell>
          <cell r="T1640">
            <v>5389.3211099999999</v>
          </cell>
          <cell r="U1640">
            <v>5476.1104560000003</v>
          </cell>
          <cell r="V1640">
            <v>5564.274813</v>
          </cell>
          <cell r="W1640">
            <v>5653.8114839999998</v>
          </cell>
          <cell r="X1640">
            <v>5744.7326730000004</v>
          </cell>
          <cell r="Y1640">
            <v>5837.0585529999998</v>
          </cell>
          <cell r="Z1640">
            <v>5928.335583</v>
          </cell>
          <cell r="AA1640">
            <v>6021.5515079999996</v>
          </cell>
          <cell r="AB1640">
            <v>6116.6896889999998</v>
          </cell>
          <cell r="AC1640">
            <v>6213.6633659999998</v>
          </cell>
          <cell r="AD1640">
            <v>6312.4292160000005</v>
          </cell>
          <cell r="AE1640">
            <v>6405.7649430000001</v>
          </cell>
          <cell r="AF1640">
            <v>6498.8306670000002</v>
          </cell>
          <cell r="AG1640">
            <v>6592.1205030000001</v>
          </cell>
          <cell r="AH1640">
            <v>6685.8917419999998</v>
          </cell>
          <cell r="AI1640">
            <v>6780.4005040000002</v>
          </cell>
          <cell r="AJ1640">
            <v>6875.8779500000001</v>
          </cell>
          <cell r="AK1640">
            <v>6972.507834</v>
          </cell>
          <cell r="AL1640">
            <v>7070.4217179999996</v>
          </cell>
          <cell r="AM1640">
            <v>7169.705242</v>
          </cell>
          <cell r="AN1640">
            <v>7270.4089160000003</v>
          </cell>
          <cell r="AO1640">
            <v>7372.5594629999996</v>
          </cell>
          <cell r="AP1640">
            <v>7474.4116599999998</v>
          </cell>
          <cell r="AQ1640">
            <v>7576.3010370000002</v>
          </cell>
          <cell r="AR1640">
            <v>7678.5395319999998</v>
          </cell>
          <cell r="AS1640">
            <v>7781.3699729999998</v>
          </cell>
          <cell r="AT1640">
            <v>7884.9984240000003</v>
          </cell>
          <cell r="AU1640">
            <v>7989.6052239999999</v>
          </cell>
          <cell r="AV1640">
            <v>8095.3451020000002</v>
          </cell>
          <cell r="AW1640">
            <v>8202.3458269999992</v>
          </cell>
          <cell r="AX1640">
            <v>8310.7088889999995</v>
          </cell>
          <cell r="AY1640">
            <v>8420.5122200000005</v>
          </cell>
          <cell r="AZ1640">
            <v>8531.9724729999998</v>
          </cell>
          <cell r="BA1640">
            <v>8645.1093579999997</v>
          </cell>
          <cell r="BB1640">
            <v>8759.9395179999992</v>
          </cell>
          <cell r="BC1640">
            <v>8876.4714600000007</v>
          </cell>
          <cell r="BD1640">
            <v>8994.7104450000006</v>
          </cell>
          <cell r="BE1640">
            <v>9114.6644689999994</v>
          </cell>
          <cell r="BF1640">
            <v>9236.3463040000006</v>
          </cell>
          <cell r="BG1640">
            <v>9359.7733740000003</v>
          </cell>
          <cell r="BH1640">
            <v>9484.9669319999994</v>
          </cell>
          <cell r="BI1640">
            <v>9611.9510869999995</v>
          </cell>
        </row>
        <row r="1643">
          <cell r="F1643">
            <v>235100.95420000001</v>
          </cell>
          <cell r="G1643">
            <v>238344.5226</v>
          </cell>
          <cell r="H1643">
            <v>241920.59419999999</v>
          </cell>
          <cell r="I1643">
            <v>245745.02059999999</v>
          </cell>
          <cell r="J1643">
            <v>249762.5914</v>
          </cell>
          <cell r="K1643">
            <v>253946.9258</v>
          </cell>
          <cell r="L1643">
            <v>258201.8113</v>
          </cell>
          <cell r="M1643">
            <v>262543.01449999999</v>
          </cell>
          <cell r="N1643">
            <v>266988.00459999999</v>
          </cell>
          <cell r="O1643">
            <v>271550.33130000002</v>
          </cell>
          <cell r="P1643">
            <v>276394.68890000001</v>
          </cell>
          <cell r="Q1643">
            <v>281345.98469999997</v>
          </cell>
          <cell r="R1643">
            <v>286411.80930000002</v>
          </cell>
          <cell r="S1643">
            <v>291601.40600000002</v>
          </cell>
          <cell r="T1643">
            <v>296920.24180000002</v>
          </cell>
          <cell r="U1643">
            <v>302371.5024</v>
          </cell>
          <cell r="V1643">
            <v>307957.24550000002</v>
          </cell>
          <cell r="W1643">
            <v>313678.95939999999</v>
          </cell>
          <cell r="X1643">
            <v>319537.72519999999</v>
          </cell>
          <cell r="Y1643">
            <v>325534.18520000001</v>
          </cell>
          <cell r="Z1643">
            <v>331551.12560000003</v>
          </cell>
          <cell r="AA1643">
            <v>337724.21899999998</v>
          </cell>
          <cell r="AB1643">
            <v>344050.01890000002</v>
          </cell>
          <cell r="AC1643">
            <v>350521.8898</v>
          </cell>
          <cell r="AD1643">
            <v>357134.49540000001</v>
          </cell>
          <cell r="AE1643">
            <v>363540.1017</v>
          </cell>
          <cell r="AF1643">
            <v>369966.99890000001</v>
          </cell>
          <cell r="AG1643">
            <v>376427.0281</v>
          </cell>
          <cell r="AH1643">
            <v>382921.5368</v>
          </cell>
          <cell r="AI1643">
            <v>389450.804</v>
          </cell>
          <cell r="AJ1643">
            <v>396014.40879999998</v>
          </cell>
          <cell r="AK1643">
            <v>402610.96629999997</v>
          </cell>
          <cell r="AL1643">
            <v>409237.97979999997</v>
          </cell>
          <cell r="AM1643">
            <v>415891.91729999997</v>
          </cell>
          <cell r="AN1643">
            <v>422568.46039999998</v>
          </cell>
          <cell r="AO1643">
            <v>429262.83840000001</v>
          </cell>
          <cell r="AP1643">
            <v>435885.40120000002</v>
          </cell>
          <cell r="AQ1643">
            <v>442443.24699999997</v>
          </cell>
          <cell r="AR1643">
            <v>448942.93099999998</v>
          </cell>
          <cell r="AS1643">
            <v>455388.5552</v>
          </cell>
          <cell r="AT1643">
            <v>461783.05959999998</v>
          </cell>
          <cell r="AU1643">
            <v>468128.98599999998</v>
          </cell>
          <cell r="AV1643">
            <v>474428.79379999998</v>
          </cell>
          <cell r="AW1643">
            <v>480684.962</v>
          </cell>
          <cell r="AX1643">
            <v>486900.03269999998</v>
          </cell>
          <cell r="AY1643">
            <v>493076.67249999999</v>
          </cell>
          <cell r="AZ1643">
            <v>499225.49550000002</v>
          </cell>
          <cell r="BA1643">
            <v>505348.59850000002</v>
          </cell>
          <cell r="BB1643">
            <v>511448.57020000002</v>
          </cell>
          <cell r="BC1643">
            <v>517528.63699999999</v>
          </cell>
          <cell r="BD1643">
            <v>523592.6752</v>
          </cell>
          <cell r="BE1643">
            <v>529645.24699999997</v>
          </cell>
          <cell r="BF1643">
            <v>535691.58920000005</v>
          </cell>
          <cell r="BG1643">
            <v>541737.56449999998</v>
          </cell>
          <cell r="BH1643">
            <v>547789.59270000004</v>
          </cell>
          <cell r="BI1643">
            <v>553854.57290000003</v>
          </cell>
        </row>
        <row r="1655">
          <cell r="F1655">
            <v>8024.1639029999997</v>
          </cell>
          <cell r="G1655">
            <v>8132.0422669999998</v>
          </cell>
          <cell r="H1655">
            <v>8248.5171609999998</v>
          </cell>
          <cell r="I1655">
            <v>8372.0966580000004</v>
          </cell>
          <cell r="J1655">
            <v>8501.6821060000002</v>
          </cell>
          <cell r="K1655">
            <v>8636.3994610000009</v>
          </cell>
          <cell r="L1655">
            <v>8771.2897589999993</v>
          </cell>
          <cell r="M1655">
            <v>8907.7087510000001</v>
          </cell>
          <cell r="N1655">
            <v>9046.177087</v>
          </cell>
          <cell r="O1655">
            <v>9186.8322250000001</v>
          </cell>
          <cell r="P1655">
            <v>9337.1962390000008</v>
          </cell>
          <cell r="Q1655">
            <v>9486.3876619999992</v>
          </cell>
          <cell r="R1655">
            <v>9636.1222080000007</v>
          </cell>
          <cell r="S1655">
            <v>9787.2138699999996</v>
          </cell>
          <cell r="T1655">
            <v>9939.9767790000005</v>
          </cell>
          <cell r="U1655">
            <v>10094.566650000001</v>
          </cell>
          <cell r="V1655">
            <v>10251.10511</v>
          </cell>
          <cell r="W1655">
            <v>10409.7155</v>
          </cell>
          <cell r="X1655">
            <v>10570.527190000001</v>
          </cell>
          <cell r="Y1655">
            <v>10733.67078</v>
          </cell>
          <cell r="Z1655">
            <v>10893.636490000001</v>
          </cell>
          <cell r="AA1655">
            <v>11058.68102</v>
          </cell>
          <cell r="AB1655">
            <v>11227.617469999999</v>
          </cell>
          <cell r="AC1655">
            <v>11399.929690000001</v>
          </cell>
          <cell r="AD1655">
            <v>11575.47306</v>
          </cell>
          <cell r="AE1655">
            <v>11737.84527</v>
          </cell>
          <cell r="AF1655">
            <v>11902.896059999999</v>
          </cell>
          <cell r="AG1655">
            <v>12070.222540000001</v>
          </cell>
          <cell r="AH1655">
            <v>12239.661</v>
          </cell>
          <cell r="AI1655">
            <v>12411.33244</v>
          </cell>
          <cell r="AJ1655">
            <v>12585.427439999999</v>
          </cell>
          <cell r="AK1655">
            <v>12762.11657</v>
          </cell>
          <cell r="AL1655">
            <v>12941.522800000001</v>
          </cell>
          <cell r="AM1655">
            <v>13123.72055</v>
          </cell>
          <cell r="AN1655">
            <v>13308.745269999999</v>
          </cell>
          <cell r="AO1655">
            <v>13496.605729999999</v>
          </cell>
          <cell r="AP1655">
            <v>13683.2808</v>
          </cell>
          <cell r="AQ1655">
            <v>13870.48345</v>
          </cell>
          <cell r="AR1655">
            <v>14059.032999999999</v>
          </cell>
          <cell r="AS1655">
            <v>14249.329400000001</v>
          </cell>
          <cell r="AT1655">
            <v>14441.620199999999</v>
          </cell>
          <cell r="AU1655">
            <v>14636.091119999999</v>
          </cell>
          <cell r="AV1655">
            <v>14832.89234</v>
          </cell>
          <cell r="AW1655">
            <v>15032.145479999999</v>
          </cell>
          <cell r="AX1655">
            <v>15233.94686</v>
          </cell>
          <cell r="AY1655">
            <v>15438.37138</v>
          </cell>
          <cell r="AZ1655">
            <v>15645.845020000001</v>
          </cell>
          <cell r="BA1655">
            <v>15856.25864</v>
          </cell>
          <cell r="BB1655">
            <v>16069.578310000001</v>
          </cell>
          <cell r="BC1655">
            <v>16285.801589999999</v>
          </cell>
          <cell r="BD1655">
            <v>16504.938389999999</v>
          </cell>
          <cell r="BE1655">
            <v>16727.007669999999</v>
          </cell>
          <cell r="BF1655">
            <v>16952.03688</v>
          </cell>
          <cell r="BG1655">
            <v>17180.061409999998</v>
          </cell>
          <cell r="BH1655">
            <v>17411.123469999999</v>
          </cell>
          <cell r="BI1655">
            <v>17645.270850000001</v>
          </cell>
        </row>
        <row r="1660">
          <cell r="F1660">
            <v>219751.9693</v>
          </cell>
          <cell r="G1660">
            <v>222616.73790000001</v>
          </cell>
          <cell r="H1660">
            <v>225704.5876</v>
          </cell>
          <cell r="I1660">
            <v>229017.53779999999</v>
          </cell>
          <cell r="J1660">
            <v>232539.38320000001</v>
          </cell>
          <cell r="K1660">
            <v>236250.1574</v>
          </cell>
          <cell r="L1660">
            <v>240029.6177</v>
          </cell>
          <cell r="M1660">
            <v>243893.4762</v>
          </cell>
          <cell r="N1660">
            <v>247851.3339</v>
          </cell>
          <cell r="O1660">
            <v>251906.64920000001</v>
          </cell>
          <cell r="P1660">
            <v>256240.8358</v>
          </cell>
          <cell r="Q1660">
            <v>260620.41329999999</v>
          </cell>
          <cell r="R1660">
            <v>265059.50229999999</v>
          </cell>
          <cell r="S1660">
            <v>269568.36969999998</v>
          </cell>
          <cell r="T1660">
            <v>274150.20850000001</v>
          </cell>
          <cell r="U1660">
            <v>278805.63020000001</v>
          </cell>
          <cell r="V1660">
            <v>283534.80050000001</v>
          </cell>
          <cell r="W1660">
            <v>288338.07860000001</v>
          </cell>
          <cell r="X1660">
            <v>293216.03639999998</v>
          </cell>
          <cell r="Y1660">
            <v>298169.30589999998</v>
          </cell>
          <cell r="Z1660">
            <v>303062.0711</v>
          </cell>
          <cell r="AA1660">
            <v>308069.12109999999</v>
          </cell>
          <cell r="AB1660">
            <v>313178.66509999998</v>
          </cell>
          <cell r="AC1660">
            <v>318381.2634</v>
          </cell>
          <cell r="AD1660">
            <v>323672.50170000002</v>
          </cell>
          <cell r="AE1660">
            <v>328652.71100000001</v>
          </cell>
          <cell r="AF1660">
            <v>333638.8848</v>
          </cell>
          <cell r="AG1660">
            <v>338644.32659999997</v>
          </cell>
          <cell r="AH1660">
            <v>343673.94630000001</v>
          </cell>
          <cell r="AI1660">
            <v>348735.15130000003</v>
          </cell>
          <cell r="AJ1660">
            <v>353835.6507</v>
          </cell>
          <cell r="AK1660">
            <v>358981.92959999997</v>
          </cell>
          <cell r="AL1660">
            <v>364178.7623</v>
          </cell>
          <cell r="AM1660">
            <v>369429.3247</v>
          </cell>
          <cell r="AN1660">
            <v>374735.5637</v>
          </cell>
          <cell r="AO1660">
            <v>380098.62229999999</v>
          </cell>
          <cell r="AP1660">
            <v>385421.92340000003</v>
          </cell>
          <cell r="AQ1660">
            <v>390732.23229999997</v>
          </cell>
          <cell r="AR1660">
            <v>396048.0834</v>
          </cell>
          <cell r="AS1660">
            <v>401381.58519999997</v>
          </cell>
          <cell r="AT1660">
            <v>406742.04139999999</v>
          </cell>
          <cell r="AU1660">
            <v>412137.3371</v>
          </cell>
          <cell r="AV1660">
            <v>417574.29229999997</v>
          </cell>
          <cell r="AW1660">
            <v>423058.72220000002</v>
          </cell>
          <cell r="AX1660">
            <v>428595.49560000002</v>
          </cell>
          <cell r="AY1660">
            <v>434188.66700000002</v>
          </cell>
          <cell r="AZ1660">
            <v>439850.54840000003</v>
          </cell>
          <cell r="BA1660">
            <v>445581.87430000002</v>
          </cell>
          <cell r="BB1660">
            <v>451383.82030000002</v>
          </cell>
          <cell r="BC1660">
            <v>457257.57049999997</v>
          </cell>
          <cell r="BD1660">
            <v>463204.34379999997</v>
          </cell>
          <cell r="BE1660">
            <v>469225.5808</v>
          </cell>
          <cell r="BF1660">
            <v>475322.99050000001</v>
          </cell>
          <cell r="BG1660">
            <v>481498.50959999999</v>
          </cell>
          <cell r="BH1660">
            <v>487754.23979999998</v>
          </cell>
          <cell r="BI1660">
            <v>494092.39010000002</v>
          </cell>
        </row>
        <row r="1663">
          <cell r="F1663">
            <v>2252.437441</v>
          </cell>
          <cell r="G1663">
            <v>2272.7715079999998</v>
          </cell>
          <cell r="H1663">
            <v>2289.9450120000001</v>
          </cell>
          <cell r="I1663">
            <v>2307.390758</v>
          </cell>
          <cell r="J1663">
            <v>2326.783179</v>
          </cell>
          <cell r="K1663">
            <v>2348.7159969999998</v>
          </cell>
          <cell r="L1663">
            <v>2372.272974</v>
          </cell>
          <cell r="M1663">
            <v>2397.497034</v>
          </cell>
          <cell r="N1663">
            <v>2424.2398410000001</v>
          </cell>
          <cell r="O1663">
            <v>2452.2855359999999</v>
          </cell>
          <cell r="P1663">
            <v>2483.0136830000001</v>
          </cell>
          <cell r="Q1663">
            <v>2514.1315129999998</v>
          </cell>
          <cell r="R1663">
            <v>2545.7482500000001</v>
          </cell>
          <cell r="S1663">
            <v>2577.9376160000002</v>
          </cell>
          <cell r="T1663">
            <v>2610.6974580000001</v>
          </cell>
          <cell r="U1663">
            <v>2644.0019010000001</v>
          </cell>
          <cell r="V1663">
            <v>2677.82503</v>
          </cell>
          <cell r="W1663">
            <v>2712.1478350000002</v>
          </cell>
          <cell r="X1663">
            <v>2746.9588140000001</v>
          </cell>
          <cell r="Y1663">
            <v>2782.25272</v>
          </cell>
          <cell r="Z1663">
            <v>2816.8592469999999</v>
          </cell>
          <cell r="AA1663">
            <v>2852.3653450000002</v>
          </cell>
          <cell r="AB1663">
            <v>2888.605689</v>
          </cell>
          <cell r="AC1663">
            <v>2925.4671739999999</v>
          </cell>
          <cell r="AD1663">
            <v>2962.9107389999999</v>
          </cell>
          <cell r="AE1663">
            <v>2997.5465319999998</v>
          </cell>
          <cell r="AF1663">
            <v>3032.352476</v>
          </cell>
          <cell r="AG1663">
            <v>3067.3839039999998</v>
          </cell>
          <cell r="AH1663">
            <v>3102.6169890000001</v>
          </cell>
          <cell r="AI1663">
            <v>3138.0768349999998</v>
          </cell>
          <cell r="AJ1663">
            <v>3173.8103420000002</v>
          </cell>
          <cell r="AK1663">
            <v>3209.8672729999998</v>
          </cell>
          <cell r="AL1663">
            <v>3246.2920399999998</v>
          </cell>
          <cell r="AM1663">
            <v>3283.1212190000001</v>
          </cell>
          <cell r="AN1663">
            <v>3320.3836230000002</v>
          </cell>
          <cell r="AO1663">
            <v>3358.1014150000001</v>
          </cell>
          <cell r="AP1663">
            <v>3395.4739490000002</v>
          </cell>
          <cell r="AQ1663">
            <v>3432.7992239999999</v>
          </cell>
          <cell r="AR1663">
            <v>3470.2532339999998</v>
          </cell>
          <cell r="AS1663">
            <v>3507.927079</v>
          </cell>
          <cell r="AT1663">
            <v>3545.8782569999998</v>
          </cell>
          <cell r="AU1663">
            <v>3584.151374</v>
          </cell>
          <cell r="AV1663">
            <v>3622.7845349999998</v>
          </cell>
          <cell r="AW1663">
            <v>3661.8107829999999</v>
          </cell>
          <cell r="AX1663">
            <v>3701.2580640000001</v>
          </cell>
          <cell r="AY1663">
            <v>3741.1482470000001</v>
          </cell>
          <cell r="AZ1663">
            <v>3781.5656920000001</v>
          </cell>
          <cell r="BA1663">
            <v>3822.4931489999999</v>
          </cell>
          <cell r="BB1663">
            <v>3863.9172440000002</v>
          </cell>
          <cell r="BC1663">
            <v>3905.8592859999999</v>
          </cell>
          <cell r="BD1663">
            <v>3948.349134</v>
          </cell>
          <cell r="BE1663">
            <v>3991.4074009999999</v>
          </cell>
          <cell r="BF1663">
            <v>4035.0450980000001</v>
          </cell>
          <cell r="BG1663">
            <v>4079.2683910000001</v>
          </cell>
          <cell r="BH1663">
            <v>4124.0824540000003</v>
          </cell>
          <cell r="BI1663">
            <v>4169.4933609999998</v>
          </cell>
        </row>
        <row r="1668">
          <cell r="F1668">
            <v>3648.662045</v>
          </cell>
          <cell r="G1668">
            <v>3681.5816500000001</v>
          </cell>
          <cell r="H1668">
            <v>3707.9254270000001</v>
          </cell>
          <cell r="I1668">
            <v>3732.0385390000001</v>
          </cell>
          <cell r="J1668">
            <v>3756.3557030000002</v>
          </cell>
          <cell r="K1668">
            <v>3782.2036290000001</v>
          </cell>
          <cell r="L1668">
            <v>3808.8024679999999</v>
          </cell>
          <cell r="M1668">
            <v>3836.4908030000001</v>
          </cell>
          <cell r="N1668">
            <v>3865.316268</v>
          </cell>
          <cell r="O1668">
            <v>3895.1027199999999</v>
          </cell>
          <cell r="P1668">
            <v>3927.982622</v>
          </cell>
          <cell r="Q1668">
            <v>3960.8645179999999</v>
          </cell>
          <cell r="R1668">
            <v>3993.5854810000001</v>
          </cell>
          <cell r="S1668">
            <v>4026.277685</v>
          </cell>
          <cell r="T1668">
            <v>4059.0346359999999</v>
          </cell>
          <cell r="U1668">
            <v>4091.915782</v>
          </cell>
          <cell r="V1668">
            <v>4124.972589</v>
          </cell>
          <cell r="W1668">
            <v>4158.2615930000002</v>
          </cell>
          <cell r="X1668">
            <v>4191.8480790000003</v>
          </cell>
          <cell r="Y1668">
            <v>4225.8053680000003</v>
          </cell>
          <cell r="Z1668">
            <v>4258.5247920000002</v>
          </cell>
          <cell r="AA1668">
            <v>4292.1750730000003</v>
          </cell>
          <cell r="AB1668">
            <v>4326.8575430000001</v>
          </cell>
          <cell r="AC1668">
            <v>4362.502391</v>
          </cell>
          <cell r="AD1668">
            <v>4399.092944</v>
          </cell>
          <cell r="AE1668">
            <v>4431.8611010000004</v>
          </cell>
          <cell r="AF1668">
            <v>4464.5008349999998</v>
          </cell>
          <cell r="AG1668">
            <v>4497.6148380000004</v>
          </cell>
          <cell r="AH1668">
            <v>4531.3573459999998</v>
          </cell>
          <cell r="AI1668">
            <v>4565.8427570000003</v>
          </cell>
          <cell r="AJ1668">
            <v>4601.1837569999998</v>
          </cell>
          <cell r="AK1668">
            <v>4637.4823470000001</v>
          </cell>
          <cell r="AL1668">
            <v>4674.8224209999998</v>
          </cell>
          <cell r="AM1668">
            <v>4713.2675939999999</v>
          </cell>
          <cell r="AN1668">
            <v>4752.862392</v>
          </cell>
          <cell r="AO1668">
            <v>4793.6350769999999</v>
          </cell>
          <cell r="AP1668">
            <v>4834.4787310000002</v>
          </cell>
          <cell r="AQ1668">
            <v>4875.6543119999997</v>
          </cell>
          <cell r="AR1668">
            <v>4917.4268099999999</v>
          </cell>
          <cell r="AS1668">
            <v>4959.9606709999998</v>
          </cell>
          <cell r="AT1668">
            <v>5003.3593979999996</v>
          </cell>
          <cell r="AU1668">
            <v>5047.6949949999998</v>
          </cell>
          <cell r="AV1668">
            <v>5093.0215779999999</v>
          </cell>
          <cell r="AW1668">
            <v>5139.3814499999999</v>
          </cell>
          <cell r="AX1668">
            <v>5186.806799</v>
          </cell>
          <cell r="AY1668">
            <v>5235.3173909999996</v>
          </cell>
          <cell r="AZ1668">
            <v>5285.0013900000004</v>
          </cell>
          <cell r="BA1668">
            <v>5335.7035539999997</v>
          </cell>
          <cell r="BB1668">
            <v>5387.2998159999997</v>
          </cell>
          <cell r="BC1668">
            <v>5439.8311519999997</v>
          </cell>
          <cell r="BD1668">
            <v>5493.3967839999996</v>
          </cell>
          <cell r="BE1668">
            <v>5548.0632059999998</v>
          </cell>
          <cell r="BF1668">
            <v>5603.8512639999999</v>
          </cell>
          <cell r="BG1668">
            <v>5660.7549870000003</v>
          </cell>
          <cell r="BH1668">
            <v>5718.7607859999998</v>
          </cell>
          <cell r="BI1668">
            <v>5777.8583090000002</v>
          </cell>
        </row>
        <row r="1702">
          <cell r="F1702">
            <v>1196167.9920000001</v>
          </cell>
          <cell r="G1702">
            <v>1203326.4879999999</v>
          </cell>
          <cell r="H1702">
            <v>1211975.449</v>
          </cell>
          <cell r="I1702">
            <v>1222399.362</v>
          </cell>
          <cell r="J1702">
            <v>1234625.183</v>
          </cell>
          <cell r="K1702">
            <v>1248626.6200000001</v>
          </cell>
          <cell r="L1702">
            <v>1263733.0419999999</v>
          </cell>
          <cell r="M1702">
            <v>1279971.1170000001</v>
          </cell>
          <cell r="N1702">
            <v>1297279.98</v>
          </cell>
          <cell r="O1702">
            <v>1315556.568</v>
          </cell>
          <cell r="P1702">
            <v>1335713.165</v>
          </cell>
          <cell r="Q1702">
            <v>1356321.0859999999</v>
          </cell>
          <cell r="R1702">
            <v>1377344.787</v>
          </cell>
          <cell r="S1702">
            <v>1398723.939</v>
          </cell>
          <cell r="T1702">
            <v>1420407.808</v>
          </cell>
          <cell r="U1702">
            <v>1442360.25</v>
          </cell>
          <cell r="V1702">
            <v>1464527.237</v>
          </cell>
          <cell r="W1702">
            <v>1486886.8929999999</v>
          </cell>
          <cell r="X1702">
            <v>1509428.7760000001</v>
          </cell>
          <cell r="Y1702">
            <v>1532145.37</v>
          </cell>
          <cell r="Z1702">
            <v>1554264.548</v>
          </cell>
          <cell r="AA1702">
            <v>1576731.3430000001</v>
          </cell>
          <cell r="AB1702">
            <v>1599491.7649999999</v>
          </cell>
          <cell r="AC1702">
            <v>1622524.7109999999</v>
          </cell>
          <cell r="AD1702">
            <v>1645814.523</v>
          </cell>
          <cell r="AE1702">
            <v>1667140.068</v>
          </cell>
          <cell r="AF1702">
            <v>1688197.99</v>
          </cell>
          <cell r="AG1702">
            <v>1709083.4140000001</v>
          </cell>
          <cell r="AH1702">
            <v>1729916.1850000001</v>
          </cell>
          <cell r="AI1702">
            <v>1750804.831</v>
          </cell>
          <cell r="AJ1702">
            <v>1771835.574</v>
          </cell>
          <cell r="AK1702">
            <v>1793078.45</v>
          </cell>
          <cell r="AL1702">
            <v>1814577.263</v>
          </cell>
          <cell r="AM1702">
            <v>1836359.034</v>
          </cell>
          <cell r="AN1702">
            <v>1858440.5630000001</v>
          </cell>
          <cell r="AO1702">
            <v>1880832.835</v>
          </cell>
          <cell r="AP1702">
            <v>1903080.375</v>
          </cell>
          <cell r="AQ1702">
            <v>1925317.486</v>
          </cell>
          <cell r="AR1702">
            <v>1947628.8160000001</v>
          </cell>
          <cell r="AS1702">
            <v>1970086.202</v>
          </cell>
          <cell r="AT1702">
            <v>1992754.28</v>
          </cell>
          <cell r="AU1702">
            <v>2015698.459</v>
          </cell>
          <cell r="AV1702">
            <v>2038962.8910000001</v>
          </cell>
          <cell r="AW1702">
            <v>2062577.0930000001</v>
          </cell>
          <cell r="AX1702">
            <v>2086560.0519999999</v>
          </cell>
          <cell r="AY1702">
            <v>2110923.1</v>
          </cell>
          <cell r="AZ1702">
            <v>2135754.219</v>
          </cell>
          <cell r="BA1702">
            <v>2161046.358</v>
          </cell>
          <cell r="BB1702">
            <v>2186783.87</v>
          </cell>
          <cell r="BC1702">
            <v>2212951.54</v>
          </cell>
          <cell r="BD1702">
            <v>2239537.4610000001</v>
          </cell>
          <cell r="BE1702">
            <v>2266555.58</v>
          </cell>
          <cell r="BF1702">
            <v>2294001.1030000001</v>
          </cell>
          <cell r="BG1702">
            <v>2321865.4180000001</v>
          </cell>
          <cell r="BH1702">
            <v>2350141.898</v>
          </cell>
          <cell r="BI1702">
            <v>2378826.9709999999</v>
          </cell>
        </row>
        <row r="1731">
          <cell r="F1731">
            <v>1202984.926</v>
          </cell>
          <cell r="G1731">
            <v>1218429.125</v>
          </cell>
          <cell r="H1731">
            <v>1234998.9720000001</v>
          </cell>
          <cell r="I1731">
            <v>1252452.594</v>
          </cell>
          <cell r="J1731">
            <v>1270716.764</v>
          </cell>
          <cell r="K1731">
            <v>1289816.5060000001</v>
          </cell>
          <cell r="L1731">
            <v>1309182.9140000001</v>
          </cell>
          <cell r="M1731">
            <v>1328965.3359999999</v>
          </cell>
          <cell r="N1731">
            <v>1349231.845</v>
          </cell>
          <cell r="O1731">
            <v>1370000.6510000001</v>
          </cell>
          <cell r="P1731">
            <v>1392318.794</v>
          </cell>
          <cell r="Q1731">
            <v>1414841.2560000001</v>
          </cell>
          <cell r="R1731">
            <v>1437589.7560000001</v>
          </cell>
          <cell r="S1731">
            <v>1460541.0830000001</v>
          </cell>
          <cell r="T1731">
            <v>1483671.7139999999</v>
          </cell>
          <cell r="U1731">
            <v>1506967.818</v>
          </cell>
          <cell r="V1731">
            <v>1530424.652</v>
          </cell>
          <cell r="W1731">
            <v>1554043.49</v>
          </cell>
          <cell r="X1731">
            <v>1577828.8030000001</v>
          </cell>
          <cell r="Y1731">
            <v>1601786.466</v>
          </cell>
          <cell r="Z1731">
            <v>1625133.1229999999</v>
          </cell>
          <cell r="AA1731">
            <v>1648849.007</v>
          </cell>
          <cell r="AB1731">
            <v>1672897.05</v>
          </cell>
          <cell r="AC1731">
            <v>1697269.878</v>
          </cell>
          <cell r="AD1731">
            <v>1721961.953</v>
          </cell>
          <cell r="AE1731">
            <v>1744684.3259999999</v>
          </cell>
          <cell r="AF1731">
            <v>1767155.689</v>
          </cell>
          <cell r="AG1731">
            <v>1789481.3019999999</v>
          </cell>
          <cell r="AH1731">
            <v>1811794.179</v>
          </cell>
          <cell r="AI1731">
            <v>1834213.182</v>
          </cell>
          <cell r="AJ1731">
            <v>1856831.0490000001</v>
          </cell>
          <cell r="AK1731">
            <v>1879714.1880000001</v>
          </cell>
          <cell r="AL1731">
            <v>1902907.0830000001</v>
          </cell>
          <cell r="AM1731">
            <v>1926438.023</v>
          </cell>
          <cell r="AN1731">
            <v>1950324.48</v>
          </cell>
          <cell r="AO1731">
            <v>1974577.4650000001</v>
          </cell>
          <cell r="AP1731">
            <v>1998657.446</v>
          </cell>
          <cell r="AQ1731">
            <v>2022691.6580000001</v>
          </cell>
          <cell r="AR1731">
            <v>2046778.5889999999</v>
          </cell>
          <cell r="AS1731">
            <v>2071007.237</v>
          </cell>
          <cell r="AT1731">
            <v>2095457.1950000001</v>
          </cell>
          <cell r="AU1731">
            <v>2120195.8280000002</v>
          </cell>
          <cell r="AV1731">
            <v>2145276.804</v>
          </cell>
          <cell r="AW1731">
            <v>2170740.5219999999</v>
          </cell>
          <cell r="AX1731">
            <v>2196615.88</v>
          </cell>
          <cell r="AY1731">
            <v>2222922.696</v>
          </cell>
          <cell r="AZ1731">
            <v>2249723.2620000001</v>
          </cell>
          <cell r="BA1731">
            <v>2277015.77</v>
          </cell>
          <cell r="BB1731">
            <v>2304798.35</v>
          </cell>
          <cell r="BC1731">
            <v>2333068.1290000002</v>
          </cell>
          <cell r="BD1731">
            <v>2361822.0060000001</v>
          </cell>
          <cell r="BE1731">
            <v>2391057.7239999999</v>
          </cell>
          <cell r="BF1731">
            <v>2420774.5</v>
          </cell>
          <cell r="BG1731">
            <v>2450973.1540000001</v>
          </cell>
          <cell r="BH1731">
            <v>2481655.895</v>
          </cell>
          <cell r="BI1731">
            <v>2512825.969</v>
          </cell>
        </row>
        <row r="1760">
          <cell r="F1760">
            <v>0.99710964359999998</v>
          </cell>
          <cell r="G1760">
            <v>1.0124446650000001</v>
          </cell>
          <cell r="H1760">
            <v>1.0274469660000001</v>
          </cell>
          <cell r="I1760">
            <v>1.0427658769999999</v>
          </cell>
          <cell r="J1760">
            <v>1.058755457</v>
          </cell>
          <cell r="K1760">
            <v>1.075590955</v>
          </cell>
          <cell r="L1760">
            <v>1.0933241339999999</v>
          </cell>
          <cell r="M1760">
            <v>1.111983167</v>
          </cell>
          <cell r="N1760">
            <v>1.1315888860000001</v>
          </cell>
          <cell r="O1760">
            <v>1.152156535</v>
          </cell>
          <cell r="P1760">
            <v>1.173748456</v>
          </cell>
          <cell r="Q1760">
            <v>1.196326453</v>
          </cell>
          <cell r="R1760">
            <v>1.2198567899999999</v>
          </cell>
          <cell r="S1760">
            <v>1.244307362</v>
          </cell>
          <cell r="T1760">
            <v>1.2696431379999999</v>
          </cell>
          <cell r="U1760">
            <v>1.295824868</v>
          </cell>
          <cell r="V1760">
            <v>1.3228062789999999</v>
          </cell>
          <cell r="W1760">
            <v>1.3505372630000001</v>
          </cell>
          <cell r="X1760">
            <v>1.378971707</v>
          </cell>
          <cell r="Y1760">
            <v>1.40806769</v>
          </cell>
          <cell r="Z1760">
            <v>1.437745048</v>
          </cell>
          <cell r="AA1760">
            <v>1.4679931770000001</v>
          </cell>
          <cell r="AB1760">
            <v>1.498795732</v>
          </cell>
          <cell r="AC1760">
            <v>1.530135652</v>
          </cell>
          <cell r="AD1760">
            <v>1.561998649</v>
          </cell>
          <cell r="AE1760">
            <v>1.5942491089999999</v>
          </cell>
          <cell r="AF1760">
            <v>1.626885868</v>
          </cell>
          <cell r="AG1760">
            <v>1.6599161629999999</v>
          </cell>
          <cell r="AH1760">
            <v>1.693348434</v>
          </cell>
          <cell r="AI1760">
            <v>1.727194216</v>
          </cell>
          <cell r="AJ1760">
            <v>1.7614700350000001</v>
          </cell>
          <cell r="AK1760">
            <v>1.7961970979999999</v>
          </cell>
          <cell r="AL1760">
            <v>1.8314048590000001</v>
          </cell>
          <cell r="AM1760">
            <v>1.867125924</v>
          </cell>
          <cell r="AN1760">
            <v>1.9033949320000001</v>
          </cell>
          <cell r="AO1760">
            <v>1.940247598</v>
          </cell>
          <cell r="AP1760">
            <v>1.9776722499999999</v>
          </cell>
          <cell r="AQ1760">
            <v>2.0157096449999998</v>
          </cell>
          <cell r="AR1760">
            <v>2.0544001110000001</v>
          </cell>
          <cell r="AS1760">
            <v>2.0937799090000002</v>
          </cell>
          <cell r="AT1760">
            <v>2.133881411</v>
          </cell>
          <cell r="AU1760">
            <v>2.1747310799999999</v>
          </cell>
          <cell r="AV1760">
            <v>2.2163616400000001</v>
          </cell>
          <cell r="AW1760">
            <v>2.25880401</v>
          </cell>
          <cell r="AX1760">
            <v>2.3020875709999999</v>
          </cell>
          <cell r="AY1760">
            <v>2.3462404299999999</v>
          </cell>
          <cell r="AZ1760">
            <v>2.3912770729999999</v>
          </cell>
          <cell r="BA1760">
            <v>2.4372399210000002</v>
          </cell>
          <cell r="BB1760">
            <v>2.4841645780000001</v>
          </cell>
          <cell r="BC1760">
            <v>2.5320802759999999</v>
          </cell>
          <cell r="BD1760">
            <v>2.5810115499999999</v>
          </cell>
          <cell r="BE1760">
            <v>2.630967681</v>
          </cell>
          <cell r="BF1760">
            <v>2.6819789140000001</v>
          </cell>
          <cell r="BG1760">
            <v>2.7340713760000002</v>
          </cell>
          <cell r="BH1760">
            <v>2.787267355</v>
          </cell>
          <cell r="BI1760">
            <v>2.841586505</v>
          </cell>
        </row>
        <row r="1789">
          <cell r="F1789">
            <v>0.99928330850000002</v>
          </cell>
          <cell r="G1789">
            <v>1.017989158</v>
          </cell>
          <cell r="H1789">
            <v>1.036837593</v>
          </cell>
          <cell r="I1789">
            <v>1.056122352</v>
          </cell>
          <cell r="J1789">
            <v>1.0760451769999999</v>
          </cell>
          <cell r="K1789">
            <v>1.096721702</v>
          </cell>
          <cell r="L1789">
            <v>1.1181780400000001</v>
          </cell>
          <cell r="M1789">
            <v>1.1404204389999999</v>
          </cell>
          <cell r="N1789">
            <v>1.163445136</v>
          </cell>
          <cell r="O1789">
            <v>1.187242736</v>
          </cell>
          <cell r="P1789">
            <v>1.211853488</v>
          </cell>
          <cell r="Q1789">
            <v>1.2372341600000001</v>
          </cell>
          <cell r="R1789">
            <v>1.2633510699999999</v>
          </cell>
          <cell r="S1789">
            <v>1.290175217</v>
          </cell>
          <cell r="T1789">
            <v>1.3176784210000001</v>
          </cell>
          <cell r="U1789">
            <v>1.3458319910000001</v>
          </cell>
          <cell r="V1789">
            <v>1.3746071559999999</v>
          </cell>
          <cell r="W1789">
            <v>1.403976232</v>
          </cell>
          <cell r="X1789">
            <v>1.4339138469999999</v>
          </cell>
          <cell r="Y1789">
            <v>1.464397886</v>
          </cell>
          <cell r="Z1789">
            <v>1.495368941</v>
          </cell>
          <cell r="AA1789">
            <v>1.526832296</v>
          </cell>
          <cell r="AB1789">
            <v>1.5587890310000001</v>
          </cell>
          <cell r="AC1789">
            <v>1.5912391029999999</v>
          </cell>
          <cell r="AD1789">
            <v>1.624184466</v>
          </cell>
          <cell r="AE1789">
            <v>1.657508985</v>
          </cell>
          <cell r="AF1789">
            <v>1.691219611</v>
          </cell>
          <cell r="AG1789">
            <v>1.7253282350000001</v>
          </cell>
          <cell r="AH1789">
            <v>1.7598483110000001</v>
          </cell>
          <cell r="AI1789">
            <v>1.794796778</v>
          </cell>
          <cell r="AJ1789">
            <v>1.8301955350000001</v>
          </cell>
          <cell r="AK1789">
            <v>1.866071614</v>
          </cell>
          <cell r="AL1789">
            <v>1.902456366</v>
          </cell>
          <cell r="AM1789">
            <v>1.9393841890000001</v>
          </cell>
          <cell r="AN1789">
            <v>1.976891205</v>
          </cell>
          <cell r="AO1789">
            <v>2.01501412</v>
          </cell>
          <cell r="AP1789">
            <v>2.0537577520000001</v>
          </cell>
          <cell r="AQ1789">
            <v>2.0931402050000001</v>
          </cell>
          <cell r="AR1789">
            <v>2.1331864679999999</v>
          </cell>
          <cell r="AS1789">
            <v>2.1739241690000002</v>
          </cell>
          <cell r="AT1789">
            <v>2.2153819320000001</v>
          </cell>
          <cell r="AU1789">
            <v>2.2575890250000001</v>
          </cell>
          <cell r="AV1789">
            <v>2.3005753819999999</v>
          </cell>
          <cell r="AW1789">
            <v>2.34437155</v>
          </cell>
          <cell r="AX1789">
            <v>2.389008493</v>
          </cell>
          <cell r="AY1789">
            <v>2.4345172960000001</v>
          </cell>
          <cell r="AZ1789">
            <v>2.4809319909999998</v>
          </cell>
          <cell r="BA1789">
            <v>2.528284787</v>
          </cell>
          <cell r="BB1789">
            <v>2.5766066049999998</v>
          </cell>
          <cell r="BC1789">
            <v>2.6259271050000002</v>
          </cell>
          <cell r="BD1789">
            <v>2.676274705</v>
          </cell>
          <cell r="BE1789">
            <v>2.7276767230000001</v>
          </cell>
          <cell r="BF1789">
            <v>2.7801595699999999</v>
          </cell>
          <cell r="BG1789">
            <v>2.8337489499999999</v>
          </cell>
          <cell r="BH1789">
            <v>2.8884700479999998</v>
          </cell>
          <cell r="BI1789">
            <v>2.9443477109999998</v>
          </cell>
        </row>
      </sheetData>
      <sheetData sheetId="7"/>
      <sheetData sheetId="8">
        <row r="820">
          <cell r="B820">
            <v>350.5914343</v>
          </cell>
          <cell r="C820">
            <v>352.95918829999999</v>
          </cell>
          <cell r="D820">
            <v>355.1013524</v>
          </cell>
          <cell r="E820">
            <v>357.50077920000001</v>
          </cell>
          <cell r="F820">
            <v>360.28418249999999</v>
          </cell>
          <cell r="G820">
            <v>363.50913229999998</v>
          </cell>
          <cell r="H820">
            <v>366.97360450000002</v>
          </cell>
          <cell r="I820">
            <v>370.70665650000001</v>
          </cell>
          <cell r="J820">
            <v>374.6667769</v>
          </cell>
          <cell r="K820">
            <v>378.8064996</v>
          </cell>
          <cell r="L820">
            <v>383.39145619999999</v>
          </cell>
          <cell r="M820">
            <v>387.92491530000001</v>
          </cell>
          <cell r="N820">
            <v>392.50193359999997</v>
          </cell>
          <cell r="O820">
            <v>397.13402439999999</v>
          </cell>
          <cell r="P820">
            <v>401.81830129999997</v>
          </cell>
          <cell r="Q820">
            <v>406.55097360000002</v>
          </cell>
          <cell r="R820">
            <v>411.32977269999998</v>
          </cell>
          <cell r="S820">
            <v>416.15408669999999</v>
          </cell>
          <cell r="T820">
            <v>421.02463870000003</v>
          </cell>
          <cell r="U820">
            <v>425.9431252</v>
          </cell>
          <cell r="V820">
            <v>430.68878239999998</v>
          </cell>
          <cell r="W820">
            <v>435.60816030000001</v>
          </cell>
          <cell r="X820">
            <v>440.61967650000003</v>
          </cell>
          <cell r="Y820">
            <v>445.70789300000001</v>
          </cell>
          <cell r="Z820">
            <v>450.8708087</v>
          </cell>
          <cell r="AA820">
            <v>455.46838939999998</v>
          </cell>
          <cell r="AB820">
            <v>460.1846501</v>
          </cell>
          <cell r="AC820">
            <v>464.93809199999998</v>
          </cell>
          <cell r="AD820">
            <v>469.7240132</v>
          </cell>
          <cell r="AE820">
            <v>474.55095189999997</v>
          </cell>
          <cell r="AF820">
            <v>479.42876719999998</v>
          </cell>
          <cell r="AG820">
            <v>484.3659576</v>
          </cell>
          <cell r="AH820">
            <v>489.36906800000003</v>
          </cell>
          <cell r="AI820">
            <v>494.4427632</v>
          </cell>
          <cell r="AJ820">
            <v>499.59011720000001</v>
          </cell>
          <cell r="AK820">
            <v>504.8129629</v>
          </cell>
          <cell r="AL820">
            <v>509.95921349999998</v>
          </cell>
          <cell r="AM820">
            <v>515.1103061</v>
          </cell>
          <cell r="AN820">
            <v>520.28988430000004</v>
          </cell>
          <cell r="AO820">
            <v>525.50918639999998</v>
          </cell>
          <cell r="AP820">
            <v>530.77613780000001</v>
          </cell>
          <cell r="AQ820">
            <v>536.09717950000004</v>
          </cell>
          <cell r="AR820">
            <v>541.47760259999995</v>
          </cell>
          <cell r="AS820">
            <v>546.92158019999999</v>
          </cell>
          <cell r="AT820">
            <v>552.43208770000001</v>
          </cell>
          <cell r="AU820">
            <v>558.01046250000002</v>
          </cell>
          <cell r="AV820">
            <v>563.66744889999995</v>
          </cell>
          <cell r="AW820">
            <v>569.39278030000003</v>
          </cell>
          <cell r="AX820">
            <v>575.17944030000001</v>
          </cell>
          <cell r="AY820">
            <v>581.03923329999998</v>
          </cell>
          <cell r="AZ820">
            <v>586.98229509999999</v>
          </cell>
          <cell r="BA820">
            <v>593.0118688</v>
          </cell>
          <cell r="BB820">
            <v>599.12746000000004</v>
          </cell>
          <cell r="BC820">
            <v>605.32766649999996</v>
          </cell>
          <cell r="BD820">
            <v>611.61152130000005</v>
          </cell>
          <cell r="BE820">
            <v>617.97887030000004</v>
          </cell>
        </row>
        <row r="821">
          <cell r="B821">
            <v>215.82068699999999</v>
          </cell>
          <cell r="C821">
            <v>218.20709239999999</v>
          </cell>
          <cell r="D821">
            <v>220.73455340000001</v>
          </cell>
          <cell r="E821">
            <v>223.4761982</v>
          </cell>
          <cell r="F821">
            <v>226.4608605</v>
          </cell>
          <cell r="G821">
            <v>229.68027979999999</v>
          </cell>
          <cell r="H821">
            <v>232.97611319999999</v>
          </cell>
          <cell r="I821">
            <v>236.39875280000001</v>
          </cell>
          <cell r="J821">
            <v>239.94219290000001</v>
          </cell>
          <cell r="K821">
            <v>243.59069729999999</v>
          </cell>
          <cell r="L821">
            <v>247.57081840000001</v>
          </cell>
          <cell r="M821">
            <v>251.4925696</v>
          </cell>
          <cell r="N821">
            <v>255.4435742</v>
          </cell>
          <cell r="O821">
            <v>259.43598700000001</v>
          </cell>
          <cell r="P821">
            <v>263.46891720000002</v>
          </cell>
          <cell r="Q821">
            <v>267.54049379999998</v>
          </cell>
          <cell r="R821">
            <v>271.6499872</v>
          </cell>
          <cell r="S821">
            <v>275.79793419999999</v>
          </cell>
          <cell r="T821">
            <v>279.98588940000002</v>
          </cell>
          <cell r="U821">
            <v>284.21614190000003</v>
          </cell>
          <cell r="V821">
            <v>288.31110210000003</v>
          </cell>
          <cell r="W821">
            <v>292.55461910000002</v>
          </cell>
          <cell r="X821">
            <v>296.87729569999999</v>
          </cell>
          <cell r="Y821">
            <v>301.26773650000001</v>
          </cell>
          <cell r="Z821">
            <v>305.72553870000002</v>
          </cell>
          <cell r="AA821">
            <v>309.7305528</v>
          </cell>
          <cell r="AB821">
            <v>313.84786500000001</v>
          </cell>
          <cell r="AC821">
            <v>318.00346389999999</v>
          </cell>
          <cell r="AD821">
            <v>322.1930595</v>
          </cell>
          <cell r="AE821">
            <v>326.42455890000002</v>
          </cell>
          <cell r="AF821">
            <v>330.70665550000001</v>
          </cell>
          <cell r="AG821">
            <v>335.046536</v>
          </cell>
          <cell r="AH821">
            <v>339.44955870000001</v>
          </cell>
          <cell r="AI821">
            <v>343.91941489999999</v>
          </cell>
          <cell r="AJ821">
            <v>348.45841819999998</v>
          </cell>
          <cell r="AK821">
            <v>353.06781749999999</v>
          </cell>
          <cell r="AL821">
            <v>357.62179809999998</v>
          </cell>
          <cell r="AM821">
            <v>362.18903849999998</v>
          </cell>
          <cell r="AN821">
            <v>366.7879542</v>
          </cell>
          <cell r="AO821">
            <v>371.4269377</v>
          </cell>
          <cell r="AP821">
            <v>376.11202350000002</v>
          </cell>
          <cell r="AQ821">
            <v>380.8482444</v>
          </cell>
          <cell r="AR821">
            <v>385.63982449999997</v>
          </cell>
          <cell r="AS821">
            <v>390.49022980000001</v>
          </cell>
          <cell r="AT821">
            <v>395.40224929999999</v>
          </cell>
          <cell r="AU821">
            <v>400.37813590000002</v>
          </cell>
          <cell r="AV821">
            <v>405.43125190000001</v>
          </cell>
          <cell r="AW821">
            <v>410.5533403</v>
          </cell>
          <cell r="AX821">
            <v>415.74273360000001</v>
          </cell>
          <cell r="AY821">
            <v>421.00052590000001</v>
          </cell>
          <cell r="AZ821">
            <v>426.32828799999999</v>
          </cell>
          <cell r="BA821">
            <v>431.72720079999999</v>
          </cell>
          <cell r="BB821">
            <v>437.19813370000003</v>
          </cell>
          <cell r="BC821">
            <v>442.74192210000001</v>
          </cell>
          <cell r="BD821">
            <v>448.3595578</v>
          </cell>
          <cell r="BE821">
            <v>454.0522618</v>
          </cell>
        </row>
        <row r="822">
          <cell r="B822">
            <v>2.7572479300000001E-2</v>
          </cell>
          <cell r="C822">
            <v>2.7809588999999999E-2</v>
          </cell>
          <cell r="D822">
            <v>2.8093171900000002E-2</v>
          </cell>
          <cell r="E822">
            <v>2.84252342E-2</v>
          </cell>
          <cell r="F822">
            <v>2.8802333199999999E-2</v>
          </cell>
          <cell r="G822">
            <v>2.92177624E-2</v>
          </cell>
          <cell r="H822">
            <v>2.9647495199999999E-2</v>
          </cell>
          <cell r="I822">
            <v>3.0095369899999998E-2</v>
          </cell>
          <cell r="J822">
            <v>3.05588431E-2</v>
          </cell>
          <cell r="K822">
            <v>3.1035655400000001E-2</v>
          </cell>
          <cell r="L822">
            <v>3.1554350100000003E-2</v>
          </cell>
          <cell r="M822">
            <v>3.2066256500000001E-2</v>
          </cell>
          <cell r="N822">
            <v>3.2583339599999997E-2</v>
          </cell>
          <cell r="O822">
            <v>3.3105612600000001E-2</v>
          </cell>
          <cell r="P822">
            <v>3.3632771800000003E-2</v>
          </cell>
          <cell r="Q822">
            <v>3.4164703900000003E-2</v>
          </cell>
          <cell r="R822">
            <v>3.4701521200000002E-2</v>
          </cell>
          <cell r="S822">
            <v>3.5243499900000003E-2</v>
          </cell>
          <cell r="T822">
            <v>3.5791012499999997E-2</v>
          </cell>
          <cell r="U822">
            <v>3.6344476399999999E-2</v>
          </cell>
          <cell r="V822">
            <v>3.6881732899999999E-2</v>
          </cell>
          <cell r="W822">
            <v>3.7438228599999998E-2</v>
          </cell>
          <cell r="X822">
            <v>3.8004683599999999E-2</v>
          </cell>
          <cell r="Y822">
            <v>3.8580796700000003E-2</v>
          </cell>
          <cell r="Z822">
            <v>3.9166629100000003E-2</v>
          </cell>
          <cell r="AA822">
            <v>3.9696930900000003E-2</v>
          </cell>
          <cell r="AB822">
            <v>4.0241883399999998E-2</v>
          </cell>
          <cell r="AC822">
            <v>4.0790200800000002E-2</v>
          </cell>
          <cell r="AD822">
            <v>4.1343509799999997E-2</v>
          </cell>
          <cell r="AE822">
            <v>4.1903663600000002E-2</v>
          </cell>
          <cell r="AF822">
            <v>4.2472173699999997E-2</v>
          </cell>
          <cell r="AG822">
            <v>4.3050117899999997E-2</v>
          </cell>
          <cell r="AH822">
            <v>4.3638188000000001E-2</v>
          </cell>
          <cell r="AI822">
            <v>4.4236773899999998E-2</v>
          </cell>
          <cell r="AJ822">
            <v>4.4846051999999997E-2</v>
          </cell>
          <cell r="AK822">
            <v>4.5466062600000003E-2</v>
          </cell>
          <cell r="AL822">
            <v>4.6080918800000002E-2</v>
          </cell>
          <cell r="AM822">
            <v>4.66990979E-2</v>
          </cell>
          <cell r="AN822">
            <v>4.73223859E-2</v>
          </cell>
          <cell r="AO822">
            <v>4.7952115599999998E-2</v>
          </cell>
          <cell r="AP822">
            <v>4.8589435399999999E-2</v>
          </cell>
          <cell r="AQ822">
            <v>4.9235315199999997E-2</v>
          </cell>
          <cell r="AR822">
            <v>4.9890527599999998E-2</v>
          </cell>
          <cell r="AS822">
            <v>5.05556494E-2</v>
          </cell>
          <cell r="AT822">
            <v>5.1231084199999999E-2</v>
          </cell>
          <cell r="AU822">
            <v>5.1917100200000003E-2</v>
          </cell>
          <cell r="AV822">
            <v>5.26153273E-2</v>
          </cell>
          <cell r="AW822">
            <v>5.3325138199999997E-2</v>
          </cell>
          <cell r="AX822">
            <v>5.4046461099999998E-2</v>
          </cell>
          <cell r="AY822">
            <v>5.4779132000000001E-2</v>
          </cell>
          <cell r="AZ822">
            <v>5.5522994999999999E-2</v>
          </cell>
          <cell r="BA822">
            <v>5.6277960199999998E-2</v>
          </cell>
          <cell r="BB822">
            <v>5.7044000999999997E-2</v>
          </cell>
          <cell r="BC822">
            <v>5.7821139700000003E-2</v>
          </cell>
          <cell r="BD822">
            <v>5.8609433599999997E-2</v>
          </cell>
          <cell r="BE822">
            <v>5.9408965600000002E-2</v>
          </cell>
        </row>
        <row r="823">
          <cell r="B823">
            <v>15.25268883</v>
          </cell>
          <cell r="C823">
            <v>15.454644330000001</v>
          </cell>
          <cell r="D823">
            <v>15.675064730000001</v>
          </cell>
          <cell r="E823">
            <v>15.9100652</v>
          </cell>
          <cell r="F823">
            <v>16.1579342</v>
          </cell>
          <cell r="G823">
            <v>16.417116419999999</v>
          </cell>
          <cell r="H823">
            <v>16.676856900000001</v>
          </cell>
          <cell r="I823">
            <v>16.94149316</v>
          </cell>
          <cell r="J823">
            <v>17.21156611</v>
          </cell>
          <cell r="K823">
            <v>17.48707194</v>
          </cell>
          <cell r="L823">
            <v>17.784381929999999</v>
          </cell>
          <cell r="M823">
            <v>18.077374720000002</v>
          </cell>
          <cell r="N823">
            <v>18.37322627</v>
          </cell>
          <cell r="O823">
            <v>18.673209629999999</v>
          </cell>
          <cell r="P823">
            <v>18.97766871</v>
          </cell>
          <cell r="Q823">
            <v>19.286804249999999</v>
          </cell>
          <cell r="R823">
            <v>19.600809850000001</v>
          </cell>
          <cell r="S823">
            <v>19.919890710000001</v>
          </cell>
          <cell r="T823">
            <v>20.244256839999998</v>
          </cell>
          <cell r="U823">
            <v>20.574111680000001</v>
          </cell>
          <cell r="V823">
            <v>20.897386560000001</v>
          </cell>
          <cell r="W823">
            <v>21.23362461</v>
          </cell>
          <cell r="X823">
            <v>21.577612469999998</v>
          </cell>
          <cell r="Y823">
            <v>21.928512430000001</v>
          </cell>
          <cell r="Z823">
            <v>22.28616315</v>
          </cell>
          <cell r="AA823">
            <v>22.614994280000001</v>
          </cell>
          <cell r="AB823">
            <v>22.95414104</v>
          </cell>
          <cell r="AC823">
            <v>23.297610670000001</v>
          </cell>
          <cell r="AD823">
            <v>23.644914910000001</v>
          </cell>
          <cell r="AE823">
            <v>23.99631522</v>
          </cell>
          <cell r="AF823">
            <v>24.352098850000001</v>
          </cell>
          <cell r="AG823">
            <v>24.712459939999999</v>
          </cell>
          <cell r="AH823">
            <v>25.0774881</v>
          </cell>
          <cell r="AI823">
            <v>25.447183639999999</v>
          </cell>
          <cell r="AJ823">
            <v>25.821481070000001</v>
          </cell>
          <cell r="AK823">
            <v>26.200273589999998</v>
          </cell>
          <cell r="AL823">
            <v>26.574777990000001</v>
          </cell>
          <cell r="AM823">
            <v>26.949753439999999</v>
          </cell>
          <cell r="AN823">
            <v>27.326279509999999</v>
          </cell>
          <cell r="AO823">
            <v>27.70480779</v>
          </cell>
          <cell r="AP823">
            <v>28.085646669999999</v>
          </cell>
          <cell r="AQ823">
            <v>28.469045220000002</v>
          </cell>
          <cell r="AR823">
            <v>28.85520846</v>
          </cell>
          <cell r="AS823">
            <v>29.244301979999999</v>
          </cell>
          <cell r="AT823">
            <v>29.636457530000001</v>
          </cell>
          <cell r="AU823">
            <v>30.031781339999998</v>
          </cell>
          <cell r="AV823">
            <v>30.43115375</v>
          </cell>
          <cell r="AW823">
            <v>30.83421594</v>
          </cell>
          <cell r="AX823">
            <v>31.240946359999999</v>
          </cell>
          <cell r="AY823">
            <v>31.6513785</v>
          </cell>
          <cell r="AZ823">
            <v>32.065570870000002</v>
          </cell>
          <cell r="BA823">
            <v>32.483608429999997</v>
          </cell>
          <cell r="BB823">
            <v>32.905602610000003</v>
          </cell>
          <cell r="BC823">
            <v>33.331689339999997</v>
          </cell>
          <cell r="BD823">
            <v>33.762025970000003</v>
          </cell>
          <cell r="BE823">
            <v>34.196787829999998</v>
          </cell>
        </row>
        <row r="824">
          <cell r="B824">
            <v>119.490486</v>
          </cell>
          <cell r="C824">
            <v>119.269642</v>
          </cell>
          <cell r="D824">
            <v>118.66364110000001</v>
          </cell>
          <cell r="E824">
            <v>118.08609060000001</v>
          </cell>
          <cell r="F824">
            <v>117.6365855</v>
          </cell>
          <cell r="G824">
            <v>117.3825184</v>
          </cell>
          <cell r="H824">
            <v>117.2909868</v>
          </cell>
          <cell r="I824">
            <v>117.3363152</v>
          </cell>
          <cell r="J824">
            <v>117.48245900000001</v>
          </cell>
          <cell r="K824">
            <v>117.6976947</v>
          </cell>
          <cell r="L824">
            <v>118.0047015</v>
          </cell>
          <cell r="M824">
            <v>118.3229047</v>
          </cell>
          <cell r="N824">
            <v>118.6525498</v>
          </cell>
          <cell r="O824">
            <v>118.9917221</v>
          </cell>
          <cell r="P824">
            <v>119.3380827</v>
          </cell>
          <cell r="Q824">
            <v>119.68951079999999</v>
          </cell>
          <cell r="R824">
            <v>120.0442742</v>
          </cell>
          <cell r="S824">
            <v>120.4010183</v>
          </cell>
          <cell r="T824">
            <v>120.75870140000001</v>
          </cell>
          <cell r="U824">
            <v>121.11652719999999</v>
          </cell>
          <cell r="V824">
            <v>121.443412</v>
          </cell>
          <cell r="W824">
            <v>121.7824784</v>
          </cell>
          <cell r="X824">
            <v>122.1267637</v>
          </cell>
          <cell r="Y824">
            <v>122.47306330000001</v>
          </cell>
          <cell r="Z824">
            <v>122.8199402</v>
          </cell>
          <cell r="AA824">
            <v>123.08314540000001</v>
          </cell>
          <cell r="AB824">
            <v>123.3424022</v>
          </cell>
          <cell r="AC824">
            <v>123.5962273</v>
          </cell>
          <cell r="AD824">
            <v>123.8446953</v>
          </cell>
          <cell r="AE824">
            <v>124.0881741</v>
          </cell>
          <cell r="AF824">
            <v>124.32754060000001</v>
          </cell>
          <cell r="AG824">
            <v>124.5639115</v>
          </cell>
          <cell r="AH824">
            <v>124.798383</v>
          </cell>
          <cell r="AI824">
            <v>125.0319279</v>
          </cell>
          <cell r="AJ824">
            <v>125.26537190000001</v>
          </cell>
          <cell r="AK824">
            <v>125.4994057</v>
          </cell>
          <cell r="AL824">
            <v>125.7165566</v>
          </cell>
          <cell r="AM824">
            <v>125.924815</v>
          </cell>
          <cell r="AN824">
            <v>126.12832830000001</v>
          </cell>
          <cell r="AO824">
            <v>126.32948879999999</v>
          </cell>
          <cell r="AP824">
            <v>126.5298781</v>
          </cell>
          <cell r="AQ824">
            <v>126.73065459999999</v>
          </cell>
          <cell r="AR824">
            <v>126.9326791</v>
          </cell>
          <cell r="AS824">
            <v>127.13649289999999</v>
          </cell>
          <cell r="AT824">
            <v>127.3421498</v>
          </cell>
          <cell r="AU824">
            <v>127.5486282</v>
          </cell>
          <cell r="AV824">
            <v>127.7524279</v>
          </cell>
          <cell r="AW824">
            <v>127.951899</v>
          </cell>
          <cell r="AX824">
            <v>128.14171390000001</v>
          </cell>
          <cell r="AY824">
            <v>128.33254969999999</v>
          </cell>
          <cell r="AZ824">
            <v>128.5329132</v>
          </cell>
          <cell r="BA824">
            <v>128.74478160000001</v>
          </cell>
          <cell r="BB824">
            <v>128.96667969999999</v>
          </cell>
          <cell r="BC824">
            <v>129.19623390000001</v>
          </cell>
          <cell r="BD824">
            <v>129.4313281</v>
          </cell>
          <cell r="BE824">
            <v>129.67041169999999</v>
          </cell>
        </row>
        <row r="825">
          <cell r="B825">
            <v>345.58961720000002</v>
          </cell>
          <cell r="C825">
            <v>345.92322380000002</v>
          </cell>
          <cell r="D825">
            <v>346.58629710000002</v>
          </cell>
          <cell r="E825">
            <v>347.71144170000002</v>
          </cell>
          <cell r="F825">
            <v>349.39695390000003</v>
          </cell>
          <cell r="G825">
            <v>351.61959250000001</v>
          </cell>
          <cell r="H825">
            <v>354.12025469999998</v>
          </cell>
          <cell r="I825">
            <v>356.93289520000002</v>
          </cell>
          <cell r="J825">
            <v>360.03364399999998</v>
          </cell>
          <cell r="K825">
            <v>363.38118270000001</v>
          </cell>
          <cell r="L825">
            <v>367.21994260000002</v>
          </cell>
          <cell r="M825">
            <v>371.04173530000003</v>
          </cell>
          <cell r="N825">
            <v>374.9353686</v>
          </cell>
          <cell r="O825">
            <v>378.90098160000002</v>
          </cell>
          <cell r="P825">
            <v>382.92431970000001</v>
          </cell>
          <cell r="Q825">
            <v>386.99285370000001</v>
          </cell>
          <cell r="R825">
            <v>391.07643489999998</v>
          </cell>
          <cell r="S825">
            <v>395.18436359999998</v>
          </cell>
          <cell r="T825">
            <v>399.3165899</v>
          </cell>
          <cell r="U825">
            <v>403.47310169999997</v>
          </cell>
          <cell r="V825">
            <v>407.445311</v>
          </cell>
          <cell r="W825">
            <v>411.55857029999999</v>
          </cell>
          <cell r="X825">
            <v>415.73658970000002</v>
          </cell>
          <cell r="Y825">
            <v>419.96477040000002</v>
          </cell>
          <cell r="Z825">
            <v>424.24164619999999</v>
          </cell>
          <cell r="AA825">
            <v>427.97142830000001</v>
          </cell>
          <cell r="AB825">
            <v>431.80167440000002</v>
          </cell>
          <cell r="AC825">
            <v>435.6536365</v>
          </cell>
          <cell r="AD825">
            <v>439.52335820000002</v>
          </cell>
          <cell r="AE825">
            <v>443.42022220000001</v>
          </cell>
          <cell r="AF825">
            <v>447.35429579999999</v>
          </cell>
          <cell r="AG825">
            <v>451.33951259999998</v>
          </cell>
          <cell r="AH825">
            <v>455.38038649999999</v>
          </cell>
          <cell r="AI825">
            <v>459.48248339999998</v>
          </cell>
          <cell r="AJ825">
            <v>463.6502294</v>
          </cell>
          <cell r="AK825">
            <v>467.88667570000001</v>
          </cell>
          <cell r="AL825">
            <v>472.09420180000001</v>
          </cell>
          <cell r="AM825">
            <v>476.3190889</v>
          </cell>
          <cell r="AN825">
            <v>480.57839610000002</v>
          </cell>
          <cell r="AO825">
            <v>484.88060949999999</v>
          </cell>
          <cell r="AP825">
            <v>489.2308256</v>
          </cell>
          <cell r="AQ825">
            <v>493.6388202</v>
          </cell>
          <cell r="AR825">
            <v>498.10211040000002</v>
          </cell>
          <cell r="AS825">
            <v>502.62093329999999</v>
          </cell>
          <cell r="AT825">
            <v>507.1952766</v>
          </cell>
          <cell r="AU825">
            <v>511.82471729999997</v>
          </cell>
          <cell r="AV825">
            <v>516.54668079999999</v>
          </cell>
          <cell r="AW825">
            <v>521.34462159999998</v>
          </cell>
          <cell r="AX825">
            <v>526.21844880000003</v>
          </cell>
          <cell r="AY825">
            <v>531.16892080000002</v>
          </cell>
          <cell r="AZ825">
            <v>536.19525829999998</v>
          </cell>
          <cell r="BA825">
            <v>541.30912809999995</v>
          </cell>
          <cell r="BB825">
            <v>546.49867300000005</v>
          </cell>
          <cell r="BC825">
            <v>551.75987989999999</v>
          </cell>
          <cell r="BD825">
            <v>557.09013809999999</v>
          </cell>
          <cell r="BE825">
            <v>562.48730860000001</v>
          </cell>
        </row>
        <row r="826">
          <cell r="B826">
            <v>211.0379126</v>
          </cell>
          <cell r="C826">
            <v>211.5400649</v>
          </cell>
          <cell r="D826">
            <v>212.7312311</v>
          </cell>
          <cell r="E826">
            <v>214.3317543</v>
          </cell>
          <cell r="F826">
            <v>216.3203034</v>
          </cell>
          <cell r="G826">
            <v>218.67377339999999</v>
          </cell>
          <cell r="H826">
            <v>221.21321599999999</v>
          </cell>
          <cell r="I826">
            <v>223.96235189999999</v>
          </cell>
          <cell r="J826">
            <v>226.89426330000001</v>
          </cell>
          <cell r="K826">
            <v>229.97638509999999</v>
          </cell>
          <cell r="L826">
            <v>233.4070835</v>
          </cell>
          <cell r="M826">
            <v>236.7858411</v>
          </cell>
          <cell r="N826">
            <v>240.19816610000001</v>
          </cell>
          <cell r="O826">
            <v>243.64999520000001</v>
          </cell>
          <cell r="P826">
            <v>247.13492059999999</v>
          </cell>
          <cell r="Q826">
            <v>250.64679179999999</v>
          </cell>
          <cell r="R826">
            <v>254.16133809999999</v>
          </cell>
          <cell r="S826">
            <v>257.69106920000002</v>
          </cell>
          <cell r="T826">
            <v>261.23867410000003</v>
          </cell>
          <cell r="U826">
            <v>264.80630079999997</v>
          </cell>
          <cell r="V826">
            <v>268.2291755</v>
          </cell>
          <cell r="W826">
            <v>271.77210989999998</v>
          </cell>
          <cell r="X826">
            <v>275.37190229999999</v>
          </cell>
          <cell r="Y826">
            <v>279.01878190000002</v>
          </cell>
          <cell r="Z826">
            <v>282.71330899999998</v>
          </cell>
          <cell r="AA826">
            <v>285.97749859999999</v>
          </cell>
          <cell r="AB826">
            <v>289.34166349999998</v>
          </cell>
          <cell r="AC826">
            <v>292.73490520000001</v>
          </cell>
          <cell r="AD826">
            <v>296.1540779</v>
          </cell>
          <cell r="AE826">
            <v>299.60763859999997</v>
          </cell>
          <cell r="AF826">
            <v>303.10455519999999</v>
          </cell>
          <cell r="AG826">
            <v>306.65666399999998</v>
          </cell>
          <cell r="AH826">
            <v>310.26639060000002</v>
          </cell>
          <cell r="AI826">
            <v>313.93708040000001</v>
          </cell>
          <cell r="AJ826">
            <v>317.67110939999998</v>
          </cell>
          <cell r="AK826">
            <v>321.46982680000002</v>
          </cell>
          <cell r="AL826">
            <v>325.25829570000002</v>
          </cell>
          <cell r="AM826">
            <v>329.07098580000002</v>
          </cell>
          <cell r="AN826">
            <v>332.92032440000003</v>
          </cell>
          <cell r="AO826">
            <v>336.8128567</v>
          </cell>
          <cell r="AP826">
            <v>340.7529404</v>
          </cell>
          <cell r="AQ826">
            <v>344.74987859999999</v>
          </cell>
          <cell r="AR826">
            <v>348.80159479999998</v>
          </cell>
          <cell r="AS826">
            <v>352.90889629999998</v>
          </cell>
          <cell r="AT826">
            <v>357.07254999999998</v>
          </cell>
          <cell r="AU826">
            <v>361.29290850000001</v>
          </cell>
          <cell r="AV826">
            <v>365.60073110000002</v>
          </cell>
          <cell r="AW826">
            <v>369.97550030000002</v>
          </cell>
          <cell r="AX826">
            <v>374.41289649999999</v>
          </cell>
          <cell r="AY826">
            <v>378.91133300000001</v>
          </cell>
          <cell r="AZ826">
            <v>383.46968279999999</v>
          </cell>
          <cell r="BA826">
            <v>388.09995140000001</v>
          </cell>
          <cell r="BB826">
            <v>392.79249069999997</v>
          </cell>
          <cell r="BC826">
            <v>397.54563530000001</v>
          </cell>
          <cell r="BD826">
            <v>402.35917139999998</v>
          </cell>
          <cell r="BE826">
            <v>407.23323920000001</v>
          </cell>
        </row>
        <row r="827">
          <cell r="B827">
            <v>2.6945346299999999E-2</v>
          </cell>
          <cell r="C827">
            <v>2.69911514E-2</v>
          </cell>
          <cell r="D827">
            <v>2.7125668299999999E-2</v>
          </cell>
          <cell r="E827">
            <v>2.73323156E-2</v>
          </cell>
          <cell r="F827">
            <v>2.7602288499999999E-2</v>
          </cell>
          <cell r="G827">
            <v>2.79260455E-2</v>
          </cell>
          <cell r="H827">
            <v>2.8277258999999999E-2</v>
          </cell>
          <cell r="I827">
            <v>2.86572155E-2</v>
          </cell>
          <cell r="J827">
            <v>2.9060723100000001E-2</v>
          </cell>
          <cell r="K827">
            <v>2.94830905E-2</v>
          </cell>
          <cell r="L827">
            <v>2.9949239700000001E-2</v>
          </cell>
          <cell r="M827">
            <v>3.0408734699999999E-2</v>
          </cell>
          <cell r="N827">
            <v>3.08735399E-2</v>
          </cell>
          <cell r="O827">
            <v>3.1342985400000002E-2</v>
          </cell>
          <cell r="P827">
            <v>3.1816266500000003E-2</v>
          </cell>
          <cell r="Q827">
            <v>3.2292914700000001E-2</v>
          </cell>
          <cell r="R827">
            <v>3.2770106100000002E-2</v>
          </cell>
          <cell r="S827">
            <v>3.3250021999999997E-2</v>
          </cell>
          <cell r="T827">
            <v>3.3733091999999999E-2</v>
          </cell>
          <cell r="U827">
            <v>3.4219732900000001E-2</v>
          </cell>
          <cell r="V827">
            <v>3.4689215599999997E-2</v>
          </cell>
          <cell r="W827">
            <v>3.51747003E-2</v>
          </cell>
          <cell r="X827">
            <v>3.5667682100000001E-2</v>
          </cell>
          <cell r="Y827">
            <v>3.6167865100000002E-2</v>
          </cell>
          <cell r="Z827">
            <v>3.6675315200000003E-2</v>
          </cell>
          <cell r="AA827">
            <v>3.7129477500000001E-2</v>
          </cell>
          <cell r="AB827">
            <v>3.7596336500000001E-2</v>
          </cell>
          <cell r="AC827">
            <v>3.8065075599999998E-2</v>
          </cell>
          <cell r="AD827">
            <v>3.8537219499999997E-2</v>
          </cell>
          <cell r="AE827">
            <v>3.9014518800000002E-2</v>
          </cell>
          <cell r="AF827">
            <v>3.9498417000000001E-2</v>
          </cell>
          <cell r="AG827">
            <v>3.9990562700000003E-2</v>
          </cell>
          <cell r="AH827">
            <v>4.04911747E-2</v>
          </cell>
          <cell r="AI827">
            <v>4.1000596399999999E-2</v>
          </cell>
          <cell r="AJ827">
            <v>4.1518984100000003E-2</v>
          </cell>
          <cell r="AK827">
            <v>4.20463674E-2</v>
          </cell>
          <cell r="AL827">
            <v>4.2573593200000003E-2</v>
          </cell>
          <cell r="AM827">
            <v>4.3104174600000003E-2</v>
          </cell>
          <cell r="AN827">
            <v>4.3639374199999997E-2</v>
          </cell>
          <cell r="AO827">
            <v>4.4180173500000003E-2</v>
          </cell>
          <cell r="AP827">
            <v>4.4727427299999997E-2</v>
          </cell>
          <cell r="AQ827">
            <v>4.5282724900000002E-2</v>
          </cell>
          <cell r="AR827">
            <v>4.5845997899999998E-2</v>
          </cell>
          <cell r="AS827">
            <v>4.64175899E-2</v>
          </cell>
          <cell r="AT827">
            <v>4.6997726900000002E-2</v>
          </cell>
          <cell r="AU827">
            <v>4.7586530299999999E-2</v>
          </cell>
          <cell r="AV827">
            <v>4.81882639E-2</v>
          </cell>
          <cell r="AW827">
            <v>4.8800028799999999E-2</v>
          </cell>
          <cell r="AX827">
            <v>4.9421355399999999E-2</v>
          </cell>
          <cell r="AY827">
            <v>5.0051914599999997E-2</v>
          </cell>
          <cell r="AZ827">
            <v>5.0691464700000001E-2</v>
          </cell>
          <cell r="BA827">
            <v>5.1341694700000003E-2</v>
          </cell>
          <cell r="BB827">
            <v>5.2001157200000002E-2</v>
          </cell>
          <cell r="BC827">
            <v>5.2669663200000001E-2</v>
          </cell>
          <cell r="BD827">
            <v>5.3347127299999998E-2</v>
          </cell>
          <cell r="BE827">
            <v>5.4033530500000003E-2</v>
          </cell>
        </row>
        <row r="828">
          <cell r="B828">
            <v>15.03427323</v>
          </cell>
          <cell r="C828">
            <v>15.14519739</v>
          </cell>
          <cell r="D828">
            <v>15.306905759999999</v>
          </cell>
          <cell r="E828">
            <v>15.49559912</v>
          </cell>
          <cell r="F828">
            <v>15.703548270000001</v>
          </cell>
          <cell r="G828">
            <v>15.92653088</v>
          </cell>
          <cell r="H828">
            <v>16.152350070000001</v>
          </cell>
          <cell r="I828">
            <v>16.384425149999998</v>
          </cell>
          <cell r="J828">
            <v>16.622612719999999</v>
          </cell>
          <cell r="K828">
            <v>16.866346889999999</v>
          </cell>
          <cell r="L828">
            <v>17.131003979999999</v>
          </cell>
          <cell r="M828">
            <v>17.389901550000001</v>
          </cell>
          <cell r="N828">
            <v>17.6503704</v>
          </cell>
          <cell r="O828">
            <v>17.913646459999999</v>
          </cell>
          <cell r="P828">
            <v>18.180047559999998</v>
          </cell>
          <cell r="Q828">
            <v>18.449784340000001</v>
          </cell>
          <cell r="R828">
            <v>18.722136259999999</v>
          </cell>
          <cell r="S828">
            <v>18.997998920000001</v>
          </cell>
          <cell r="T828">
            <v>19.27782333</v>
          </cell>
          <cell r="U828">
            <v>19.561962919999999</v>
          </cell>
          <cell r="V828">
            <v>19.83898228</v>
          </cell>
          <cell r="W828">
            <v>20.127828940000001</v>
          </cell>
          <cell r="X828">
            <v>20.423546850000001</v>
          </cell>
          <cell r="Y828">
            <v>20.725407929999999</v>
          </cell>
          <cell r="Z828">
            <v>21.033338109999999</v>
          </cell>
          <cell r="AA828">
            <v>21.313545430000001</v>
          </cell>
          <cell r="AB828">
            <v>21.604073230000001</v>
          </cell>
          <cell r="AC828">
            <v>21.898974819999999</v>
          </cell>
          <cell r="AD828">
            <v>22.19777741</v>
          </cell>
          <cell r="AE828">
            <v>22.500756150000001</v>
          </cell>
          <cell r="AF828">
            <v>22.80821993</v>
          </cell>
          <cell r="AG828">
            <v>23.120610920000001</v>
          </cell>
          <cell r="AH828">
            <v>23.437920219999999</v>
          </cell>
          <cell r="AI828">
            <v>23.76015061</v>
          </cell>
          <cell r="AJ828">
            <v>24.08725828</v>
          </cell>
          <cell r="AK828">
            <v>24.419161089999999</v>
          </cell>
          <cell r="AL828">
            <v>24.749533450000001</v>
          </cell>
          <cell r="AM828">
            <v>25.081741019999999</v>
          </cell>
          <cell r="AN828">
            <v>25.416494539999999</v>
          </cell>
          <cell r="AO828">
            <v>25.754064790000001</v>
          </cell>
          <cell r="AP828">
            <v>26.094631369999998</v>
          </cell>
          <cell r="AQ828">
            <v>26.438655149999999</v>
          </cell>
          <cell r="AR828">
            <v>26.78607525</v>
          </cell>
          <cell r="AS828">
            <v>27.136937629999998</v>
          </cell>
          <cell r="AT828">
            <v>27.491287589999999</v>
          </cell>
          <cell r="AU828">
            <v>27.84915646</v>
          </cell>
          <cell r="AV828">
            <v>28.212363960000001</v>
          </cell>
          <cell r="AW828">
            <v>28.579874060000002</v>
          </cell>
          <cell r="AX828">
            <v>28.951415740000002</v>
          </cell>
          <cell r="AY828">
            <v>29.326870799999998</v>
          </cell>
          <cell r="AZ828">
            <v>29.70618202</v>
          </cell>
          <cell r="BA828">
            <v>30.090009370000001</v>
          </cell>
          <cell r="BB828">
            <v>30.477989789999999</v>
          </cell>
          <cell r="BC828">
            <v>30.870066420000001</v>
          </cell>
          <cell r="BD828">
            <v>31.266259810000001</v>
          </cell>
          <cell r="BE828">
            <v>31.666629560000001</v>
          </cell>
        </row>
        <row r="829">
          <cell r="B829">
            <v>119.490486</v>
          </cell>
          <cell r="C829">
            <v>119.2109703</v>
          </cell>
          <cell r="D829">
            <v>118.52103459999999</v>
          </cell>
          <cell r="E829">
            <v>117.8567559</v>
          </cell>
          <cell r="F829">
            <v>117.34549989999999</v>
          </cell>
          <cell r="G829">
            <v>116.9913622</v>
          </cell>
          <cell r="H829">
            <v>116.7264114</v>
          </cell>
          <cell r="I829">
            <v>116.557461</v>
          </cell>
          <cell r="J829">
            <v>116.4877072</v>
          </cell>
          <cell r="K829">
            <v>116.5089675</v>
          </cell>
          <cell r="L829">
            <v>116.6519059</v>
          </cell>
          <cell r="M829">
            <v>116.8355839</v>
          </cell>
          <cell r="N829">
            <v>117.0559585</v>
          </cell>
          <cell r="O829">
            <v>117.305997</v>
          </cell>
          <cell r="P829">
            <v>117.57753529999999</v>
          </cell>
          <cell r="Q829">
            <v>117.86398459999999</v>
          </cell>
          <cell r="R829">
            <v>118.1601904</v>
          </cell>
          <cell r="S829">
            <v>118.4620455</v>
          </cell>
          <cell r="T829">
            <v>118.7663594</v>
          </cell>
          <cell r="U829">
            <v>119.0706182</v>
          </cell>
          <cell r="V829">
            <v>119.34246400000001</v>
          </cell>
          <cell r="W829">
            <v>119.62345670000001</v>
          </cell>
          <cell r="X829">
            <v>119.90547290000001</v>
          </cell>
          <cell r="Y829">
            <v>120.1844127</v>
          </cell>
          <cell r="Z829">
            <v>120.4583238</v>
          </cell>
          <cell r="AA829">
            <v>120.64325479999999</v>
          </cell>
          <cell r="AB829">
            <v>120.81834139999999</v>
          </cell>
          <cell r="AC829">
            <v>120.9816915</v>
          </cell>
          <cell r="AD829">
            <v>121.1329657</v>
          </cell>
          <cell r="AE829">
            <v>121.27281290000001</v>
          </cell>
          <cell r="AF829">
            <v>121.4020222</v>
          </cell>
          <cell r="AG829">
            <v>121.5222471</v>
          </cell>
          <cell r="AH829">
            <v>121.63558449999999</v>
          </cell>
          <cell r="AI829">
            <v>121.7442518</v>
          </cell>
          <cell r="AJ829">
            <v>121.85034280000001</v>
          </cell>
          <cell r="AK829">
            <v>121.9556414</v>
          </cell>
          <cell r="AL829">
            <v>122.0437991</v>
          </cell>
          <cell r="AM829">
            <v>122.1232579</v>
          </cell>
          <cell r="AN829">
            <v>122.19793780000001</v>
          </cell>
          <cell r="AO829">
            <v>122.2695078</v>
          </cell>
          <cell r="AP829">
            <v>122.3385263</v>
          </cell>
          <cell r="AQ829">
            <v>122.40500369999999</v>
          </cell>
          <cell r="AR829">
            <v>122.4685944</v>
          </cell>
          <cell r="AS829">
            <v>122.5286818</v>
          </cell>
          <cell r="AT829">
            <v>122.5844412</v>
          </cell>
          <cell r="AU829">
            <v>122.63506580000001</v>
          </cell>
          <cell r="AV829">
            <v>122.68539749999999</v>
          </cell>
          <cell r="AW829">
            <v>122.74044720000001</v>
          </cell>
          <cell r="AX829">
            <v>122.8047153</v>
          </cell>
          <cell r="AY829">
            <v>122.8806651</v>
          </cell>
          <cell r="AZ829">
            <v>122.9687021</v>
          </cell>
          <cell r="BA829">
            <v>123.06782560000001</v>
          </cell>
          <cell r="BB829">
            <v>123.17619139999999</v>
          </cell>
          <cell r="BC829">
            <v>123.29150850000001</v>
          </cell>
          <cell r="BD829">
            <v>123.4113598</v>
          </cell>
          <cell r="BE829">
            <v>123.5334063</v>
          </cell>
        </row>
        <row r="830">
          <cell r="A830" t="str">
            <v>ems_ci_co2_sagr_2</v>
          </cell>
          <cell r="B830">
            <v>13.95212008</v>
          </cell>
          <cell r="C830">
            <v>13.93185443</v>
          </cell>
          <cell r="D830">
            <v>13.96181215</v>
          </cell>
          <cell r="E830">
            <v>14.03217291</v>
          </cell>
          <cell r="F830">
            <v>14.140440509999999</v>
          </cell>
          <cell r="G830">
            <v>14.282865989999999</v>
          </cell>
          <cell r="H830">
            <v>14.44650768</v>
          </cell>
          <cell r="I830">
            <v>14.629978339999999</v>
          </cell>
          <cell r="J830">
            <v>14.83002767</v>
          </cell>
          <cell r="K830">
            <v>15.043486290000001</v>
          </cell>
          <cell r="L830">
            <v>15.28138195</v>
          </cell>
          <cell r="M830">
            <v>15.520719740000001</v>
          </cell>
          <cell r="N830">
            <v>15.76408728</v>
          </cell>
          <cell r="O830">
            <v>16.011075949999999</v>
          </cell>
          <cell r="P830">
            <v>16.260923080000001</v>
          </cell>
          <cell r="Q830">
            <v>16.513034189999999</v>
          </cell>
          <cell r="R830">
            <v>16.765754529999999</v>
          </cell>
          <cell r="S830">
            <v>17.019692240000001</v>
          </cell>
          <cell r="T830">
            <v>17.27493059</v>
          </cell>
          <cell r="U830">
            <v>17.531536559999999</v>
          </cell>
          <cell r="V830">
            <v>17.77950564</v>
          </cell>
          <cell r="W830">
            <v>18.033361840000001</v>
          </cell>
          <cell r="X830">
            <v>18.290725980000001</v>
          </cell>
          <cell r="Y830">
            <v>18.551204940000002</v>
          </cell>
          <cell r="Z830">
            <v>18.814814899999998</v>
          </cell>
          <cell r="AA830">
            <v>19.052597909999999</v>
          </cell>
          <cell r="AB830">
            <v>19.29250201</v>
          </cell>
          <cell r="AC830">
            <v>19.532597389999999</v>
          </cell>
          <cell r="AD830">
            <v>19.773451250000001</v>
          </cell>
          <cell r="AE830">
            <v>20.016039599999999</v>
          </cell>
          <cell r="AF830">
            <v>20.261240650000001</v>
          </cell>
          <cell r="AG830">
            <v>20.510014850000001</v>
          </cell>
          <cell r="AH830">
            <v>20.762669979999998</v>
          </cell>
          <cell r="AI830">
            <v>21.0194999</v>
          </cell>
          <cell r="AJ830">
            <v>21.280701000000001</v>
          </cell>
          <cell r="AK830">
            <v>21.546386949999999</v>
          </cell>
          <cell r="AL830">
            <v>21.812154570000001</v>
          </cell>
          <cell r="AM830">
            <v>22.079227509999999</v>
          </cell>
          <cell r="AN830">
            <v>22.34841724</v>
          </cell>
          <cell r="AO830">
            <v>22.62033065</v>
          </cell>
          <cell r="AP830">
            <v>22.895461770000001</v>
          </cell>
          <cell r="AQ830">
            <v>23.17460161</v>
          </cell>
          <cell r="AR830">
            <v>23.45780744</v>
          </cell>
          <cell r="AS830">
            <v>23.745249529999999</v>
          </cell>
          <cell r="AT830">
            <v>24.03705287</v>
          </cell>
          <cell r="AU830">
            <v>24.333285450000002</v>
          </cell>
          <cell r="AV830">
            <v>24.63590374</v>
          </cell>
          <cell r="AW830">
            <v>24.943799290000001</v>
          </cell>
          <cell r="AX830">
            <v>25.256676339999999</v>
          </cell>
          <cell r="AY830">
            <v>25.574377779999999</v>
          </cell>
          <cell r="AZ830">
            <v>25.896778090000002</v>
          </cell>
          <cell r="BA830">
            <v>26.224598629999999</v>
          </cell>
          <cell r="BB830">
            <v>26.557241659999999</v>
          </cell>
          <cell r="BC830">
            <v>26.894561660000001</v>
          </cell>
          <cell r="BD830">
            <v>27.236503039999999</v>
          </cell>
          <cell r="BE830">
            <v>27.583039490000001</v>
          </cell>
        </row>
        <row r="832">
          <cell r="A832" t="str">
            <v>ems_ci_co2_sfor_2</v>
          </cell>
          <cell r="B832">
            <v>0.5389522162</v>
          </cell>
          <cell r="C832">
            <v>0.53601699879999998</v>
          </cell>
          <cell r="D832">
            <v>0.53197760650000003</v>
          </cell>
          <cell r="E832">
            <v>0.528152497</v>
          </cell>
          <cell r="F832">
            <v>0.52502021340000005</v>
          </cell>
          <cell r="G832">
            <v>0.52262635820000003</v>
          </cell>
          <cell r="H832">
            <v>0.52060203530000004</v>
          </cell>
          <cell r="I832">
            <v>0.51897424380000001</v>
          </cell>
          <cell r="J832">
            <v>0.51782631069999996</v>
          </cell>
          <cell r="K832">
            <v>0.517172666</v>
          </cell>
          <cell r="L832">
            <v>0.51730767339999995</v>
          </cell>
          <cell r="M832">
            <v>0.51759858889999999</v>
          </cell>
          <cell r="N832">
            <v>0.51807043320000001</v>
          </cell>
          <cell r="O832">
            <v>0.51869934250000005</v>
          </cell>
          <cell r="P832">
            <v>0.51944734530000003</v>
          </cell>
          <cell r="Q832">
            <v>0.5202784868</v>
          </cell>
          <cell r="R832">
            <v>0.52114548549999995</v>
          </cell>
          <cell r="S832">
            <v>0.52203730299999995</v>
          </cell>
          <cell r="T832">
            <v>0.52293855460000005</v>
          </cell>
          <cell r="U832">
            <v>0.52383816080000001</v>
          </cell>
          <cell r="V832">
            <v>0.52448881749999998</v>
          </cell>
          <cell r="W832">
            <v>0.52525401019999995</v>
          </cell>
          <cell r="X832">
            <v>0.52606221949999998</v>
          </cell>
          <cell r="Y832">
            <v>0.52688075570000004</v>
          </cell>
          <cell r="Z832">
            <v>0.52769889810000004</v>
          </cell>
          <cell r="AA832">
            <v>0.52784745249999998</v>
          </cell>
          <cell r="AB832">
            <v>0.52804537979999999</v>
          </cell>
          <cell r="AC832">
            <v>0.52825970960000002</v>
          </cell>
          <cell r="AD832">
            <v>0.52847559</v>
          </cell>
          <cell r="AE832">
            <v>0.52869083299999997</v>
          </cell>
          <cell r="AF832">
            <v>0.5289102081</v>
          </cell>
          <cell r="AG832">
            <v>0.52914681009999998</v>
          </cell>
          <cell r="AH832">
            <v>0.52940983720000001</v>
          </cell>
          <cell r="AI832">
            <v>0.52971211949999997</v>
          </cell>
          <cell r="AJ832">
            <v>0.53006631329999998</v>
          </cell>
          <cell r="AK832">
            <v>0.53048308219999996</v>
          </cell>
          <cell r="AL832">
            <v>0.53085338579999997</v>
          </cell>
          <cell r="AM832">
            <v>0.5312340405</v>
          </cell>
          <cell r="AN832">
            <v>0.53165519900000002</v>
          </cell>
          <cell r="AO832">
            <v>0.53212688990000001</v>
          </cell>
          <cell r="AP832">
            <v>0.53264876920000004</v>
          </cell>
          <cell r="AQ832">
            <v>0.53322076220000003</v>
          </cell>
          <cell r="AR832">
            <v>0.53383134080000005</v>
          </cell>
          <cell r="AS832">
            <v>0.53447154779999995</v>
          </cell>
          <cell r="AT832">
            <v>0.535132461</v>
          </cell>
          <cell r="AU832">
            <v>0.53580643169999997</v>
          </cell>
          <cell r="AV832">
            <v>0.53654458599999999</v>
          </cell>
          <cell r="AW832">
            <v>0.53736720979999997</v>
          </cell>
          <cell r="AX832">
            <v>0.53830807719999996</v>
          </cell>
          <cell r="AY832">
            <v>0.53938981900000005</v>
          </cell>
          <cell r="AZ832">
            <v>0.54062017949999996</v>
          </cell>
          <cell r="BA832">
            <v>0.54200645739999997</v>
          </cell>
          <cell r="BB832">
            <v>0.5435303682</v>
          </cell>
          <cell r="BC832">
            <v>0.54517817869999996</v>
          </cell>
          <cell r="BD832">
            <v>0.54693674459999997</v>
          </cell>
          <cell r="BE832">
            <v>0.54879387980000005</v>
          </cell>
        </row>
        <row r="834">
          <cell r="A834" t="str">
            <v>ems_ci_co2_sfoo_2</v>
          </cell>
          <cell r="B834">
            <v>8.5999008060000008</v>
          </cell>
          <cell r="C834">
            <v>8.5951947250000007</v>
          </cell>
          <cell r="D834">
            <v>8.6120463009999995</v>
          </cell>
          <cell r="E834">
            <v>8.6513294490000003</v>
          </cell>
          <cell r="F834">
            <v>8.7147131410000007</v>
          </cell>
          <cell r="G834">
            <v>8.8011979109999992</v>
          </cell>
          <cell r="H834">
            <v>8.9032612669999995</v>
          </cell>
          <cell r="I834">
            <v>9.0196328730000008</v>
          </cell>
          <cell r="J834">
            <v>9.1479342310000007</v>
          </cell>
          <cell r="K834">
            <v>9.2858859089999992</v>
          </cell>
          <cell r="L834">
            <v>9.4399103540000002</v>
          </cell>
          <cell r="M834">
            <v>9.5963207120000007</v>
          </cell>
          <cell r="N834">
            <v>9.7559866149999994</v>
          </cell>
          <cell r="O834">
            <v>9.9182835810000007</v>
          </cell>
          <cell r="P834">
            <v>10.082512789999999</v>
          </cell>
          <cell r="Q834">
            <v>10.248141499999999</v>
          </cell>
          <cell r="R834">
            <v>10.4141549</v>
          </cell>
          <cell r="S834">
            <v>10.580673600000001</v>
          </cell>
          <cell r="T834">
            <v>10.747622740000001</v>
          </cell>
          <cell r="U834">
            <v>10.914974040000001</v>
          </cell>
          <cell r="V834">
            <v>11.07654593</v>
          </cell>
          <cell r="W834">
            <v>11.240901089999999</v>
          </cell>
          <cell r="X834">
            <v>11.4068337</v>
          </cell>
          <cell r="Y834">
            <v>11.57421362</v>
          </cell>
          <cell r="Z834">
            <v>11.743106170000001</v>
          </cell>
          <cell r="AA834">
            <v>11.89572628</v>
          </cell>
          <cell r="AB834">
            <v>12.0482978</v>
          </cell>
          <cell r="AC834">
            <v>12.20000606</v>
          </cell>
          <cell r="AD834">
            <v>12.351428589999999</v>
          </cell>
          <cell r="AE834">
            <v>12.50333026</v>
          </cell>
          <cell r="AF834">
            <v>12.656384660000001</v>
          </cell>
          <cell r="AG834">
            <v>12.81126315</v>
          </cell>
          <cell r="AH834">
            <v>12.968287070000001</v>
          </cell>
          <cell r="AI834">
            <v>13.1277347</v>
          </cell>
          <cell r="AJ834">
            <v>13.289804</v>
          </cell>
          <cell r="AK834">
            <v>13.45462663</v>
          </cell>
          <cell r="AL834">
            <v>13.619227710000001</v>
          </cell>
          <cell r="AM834">
            <v>13.784463239999999</v>
          </cell>
          <cell r="AN834">
            <v>13.950903930000001</v>
          </cell>
          <cell r="AO834">
            <v>14.11898236</v>
          </cell>
          <cell r="AP834">
            <v>14.289050270000001</v>
          </cell>
          <cell r="AQ834">
            <v>14.46157796</v>
          </cell>
          <cell r="AR834">
            <v>14.636671379999999</v>
          </cell>
          <cell r="AS834">
            <v>14.81447073</v>
          </cell>
          <cell r="AT834">
            <v>14.995072909999999</v>
          </cell>
          <cell r="AU834">
            <v>15.178531359999999</v>
          </cell>
          <cell r="AV834">
            <v>15.365870940000001</v>
          </cell>
          <cell r="AW834">
            <v>15.556579259999999</v>
          </cell>
          <cell r="AX834">
            <v>15.75053181</v>
          </cell>
          <cell r="AY834">
            <v>15.94764475</v>
          </cell>
          <cell r="AZ834">
            <v>16.147833930000001</v>
          </cell>
          <cell r="BA834">
            <v>16.351408500000002</v>
          </cell>
          <cell r="BB834">
            <v>16.558076369999998</v>
          </cell>
          <cell r="BC834">
            <v>16.767766989999998</v>
          </cell>
          <cell r="BD834">
            <v>16.980444219999999</v>
          </cell>
          <cell r="BE834">
            <v>17.196081580000001</v>
          </cell>
        </row>
        <row r="836">
          <cell r="A836" t="str">
            <v>ems_ci_co2_sveh_2</v>
          </cell>
          <cell r="B836">
            <v>1.0722773539999999</v>
          </cell>
          <cell r="C836">
            <v>1.0617087789999999</v>
          </cell>
          <cell r="D836">
            <v>1.05763856</v>
          </cell>
          <cell r="E836">
            <v>1.0585994400000001</v>
          </cell>
          <cell r="F836">
            <v>1.066010014</v>
          </cell>
          <cell r="G836">
            <v>1.080217736</v>
          </cell>
          <cell r="H836">
            <v>1.0995203609999999</v>
          </cell>
          <cell r="I836">
            <v>1.1234407900000001</v>
          </cell>
          <cell r="J836">
            <v>1.1508685679999999</v>
          </cell>
          <cell r="K836">
            <v>1.1807257280000001</v>
          </cell>
          <cell r="L836">
            <v>1.2138944819999999</v>
          </cell>
          <cell r="M836">
            <v>1.2464164179999999</v>
          </cell>
          <cell r="N836">
            <v>1.2786794029999999</v>
          </cell>
          <cell r="O836">
            <v>1.3102257799999999</v>
          </cell>
          <cell r="P836">
            <v>1.34060815</v>
          </cell>
          <cell r="Q836">
            <v>1.3694883</v>
          </cell>
          <cell r="R836">
            <v>1.3963875429999999</v>
          </cell>
          <cell r="S836">
            <v>1.4213478230000001</v>
          </cell>
          <cell r="T836">
            <v>1.4443466869999999</v>
          </cell>
          <cell r="U836">
            <v>1.465435338</v>
          </cell>
          <cell r="V836">
            <v>1.483317647</v>
          </cell>
          <cell r="W836">
            <v>1.5005030720000001</v>
          </cell>
          <cell r="X836">
            <v>1.516472708</v>
          </cell>
          <cell r="Y836">
            <v>1.531388594</v>
          </cell>
          <cell r="Z836">
            <v>1.545491108</v>
          </cell>
          <cell r="AA836">
            <v>1.555009745</v>
          </cell>
          <cell r="AB836">
            <v>1.5649550489999999</v>
          </cell>
          <cell r="AC836">
            <v>1.574560043</v>
          </cell>
          <cell r="AD836">
            <v>1.584014627</v>
          </cell>
          <cell r="AE836">
            <v>1.5935932049999999</v>
          </cell>
          <cell r="AF836">
            <v>1.603536139</v>
          </cell>
          <cell r="AG836">
            <v>1.614088223</v>
          </cell>
          <cell r="AH836">
            <v>1.6253678490000001</v>
          </cell>
          <cell r="AI836">
            <v>1.6374940170000001</v>
          </cell>
          <cell r="AJ836">
            <v>1.6505520659999999</v>
          </cell>
          <cell r="AK836">
            <v>1.6645922310000001</v>
          </cell>
          <cell r="AL836">
            <v>1.6791275960000001</v>
          </cell>
          <cell r="AM836">
            <v>1.6944024959999999</v>
          </cell>
          <cell r="AN836">
            <v>1.7105052059999999</v>
          </cell>
          <cell r="AO836">
            <v>1.7274697489999999</v>
          </cell>
          <cell r="AP836">
            <v>1.7452896529999999</v>
          </cell>
          <cell r="AQ836">
            <v>1.763991383</v>
          </cell>
          <cell r="AR836">
            <v>1.7834768270000001</v>
          </cell>
          <cell r="AS836">
            <v>1.803697163</v>
          </cell>
          <cell r="AT836">
            <v>1.8246054810000001</v>
          </cell>
          <cell r="AU836">
            <v>1.8461521780000001</v>
          </cell>
          <cell r="AV836">
            <v>1.8685614079999999</v>
          </cell>
          <cell r="AW836">
            <v>1.8915639580000001</v>
          </cell>
          <cell r="AX836">
            <v>1.915116877</v>
          </cell>
          <cell r="AY836">
            <v>1.9391858209999999</v>
          </cell>
          <cell r="AZ836">
            <v>1.9637201070000001</v>
          </cell>
          <cell r="BA836">
            <v>1.9887770650000001</v>
          </cell>
          <cell r="BB836">
            <v>2.0141948730000001</v>
          </cell>
          <cell r="BC836">
            <v>2.039937611</v>
          </cell>
          <cell r="BD836">
            <v>2.0659807090000002</v>
          </cell>
          <cell r="BE836">
            <v>2.0922958029999998</v>
          </cell>
        </row>
        <row r="838">
          <cell r="A838" t="str">
            <v>ems_ci_co2_sgla_2</v>
          </cell>
          <cell r="B838">
            <v>7.6848881330000003</v>
          </cell>
          <cell r="C838">
            <v>7.7137413209999997</v>
          </cell>
          <cell r="D838">
            <v>7.7708443379999999</v>
          </cell>
          <cell r="E838">
            <v>7.8445291470000003</v>
          </cell>
          <cell r="F838">
            <v>7.9313876280000004</v>
          </cell>
          <cell r="G838">
            <v>8.0293517199999993</v>
          </cell>
          <cell r="H838">
            <v>8.1326850519999994</v>
          </cell>
          <cell r="I838">
            <v>8.2416691150000005</v>
          </cell>
          <cell r="J838">
            <v>8.3557414889999997</v>
          </cell>
          <cell r="K838">
            <v>8.4742553859999994</v>
          </cell>
          <cell r="L838">
            <v>8.6033774469999997</v>
          </cell>
          <cell r="M838">
            <v>8.7323678949999994</v>
          </cell>
          <cell r="N838">
            <v>8.8630028500000009</v>
          </cell>
          <cell r="O838">
            <v>8.9955381289999998</v>
          </cell>
          <cell r="P838">
            <v>9.1299603640000004</v>
          </cell>
          <cell r="Q838">
            <v>9.2662477449999994</v>
          </cell>
          <cell r="R838">
            <v>9.4037791110000004</v>
          </cell>
          <cell r="S838">
            <v>9.5430251810000009</v>
          </cell>
          <cell r="T838">
            <v>9.6841790400000001</v>
          </cell>
          <cell r="U838">
            <v>9.8273950170000006</v>
          </cell>
          <cell r="V838">
            <v>9.9678587180000005</v>
          </cell>
          <cell r="W838">
            <v>10.112764370000001</v>
          </cell>
          <cell r="X838">
            <v>10.26095349</v>
          </cell>
          <cell r="Y838">
            <v>10.412211490000001</v>
          </cell>
          <cell r="Z838">
            <v>10.566527990000001</v>
          </cell>
          <cell r="AA838">
            <v>10.709686639999999</v>
          </cell>
          <cell r="AB838">
            <v>10.855375220000001</v>
          </cell>
          <cell r="AC838">
            <v>11.00250771</v>
          </cell>
          <cell r="AD838">
            <v>11.151129859999999</v>
          </cell>
          <cell r="AE838">
            <v>11.30147884</v>
          </cell>
          <cell r="AF838">
            <v>11.45378182</v>
          </cell>
          <cell r="AG838">
            <v>11.60835531</v>
          </cell>
          <cell r="AH838">
            <v>11.76522557</v>
          </cell>
          <cell r="AI838">
            <v>11.924431569999999</v>
          </cell>
          <cell r="AJ838">
            <v>12.085978949999999</v>
          </cell>
          <cell r="AK838">
            <v>12.24984214</v>
          </cell>
          <cell r="AL838">
            <v>12.413814690000001</v>
          </cell>
          <cell r="AM838">
            <v>12.57841655</v>
          </cell>
          <cell r="AN838">
            <v>12.743919480000001</v>
          </cell>
          <cell r="AO838">
            <v>12.91047957</v>
          </cell>
          <cell r="AP838">
            <v>13.078202640000001</v>
          </cell>
          <cell r="AQ838">
            <v>13.24736979</v>
          </cell>
          <cell r="AR838">
            <v>13.417923549999999</v>
          </cell>
          <cell r="AS838">
            <v>13.589883479999999</v>
          </cell>
          <cell r="AT838">
            <v>13.76326993</v>
          </cell>
          <cell r="AU838">
            <v>13.93809416</v>
          </cell>
          <cell r="AV838">
            <v>14.115345570000001</v>
          </cell>
          <cell r="AW838">
            <v>14.294498129999999</v>
          </cell>
          <cell r="AX838">
            <v>14.47541174</v>
          </cell>
          <cell r="AY838">
            <v>14.658020130000001</v>
          </cell>
          <cell r="AZ838">
            <v>14.842281760000001</v>
          </cell>
          <cell r="BA838">
            <v>15.028599699999999</v>
          </cell>
          <cell r="BB838">
            <v>15.216721290000001</v>
          </cell>
          <cell r="BC838">
            <v>15.406605649999999</v>
          </cell>
          <cell r="BD838">
            <v>15.598257930000001</v>
          </cell>
          <cell r="BE838">
            <v>15.791702709999999</v>
          </cell>
        </row>
        <row r="840">
          <cell r="A840" t="str">
            <v>ems_ci_co2_spap_2</v>
          </cell>
          <cell r="B840">
            <v>2.4867780640000001</v>
          </cell>
          <cell r="C840">
            <v>2.492706439</v>
          </cell>
          <cell r="D840">
            <v>2.5110534869999999</v>
          </cell>
          <cell r="E840">
            <v>2.5351422559999999</v>
          </cell>
          <cell r="F840">
            <v>2.563543315</v>
          </cell>
          <cell r="G840">
            <v>2.5955931049999998</v>
          </cell>
          <cell r="H840">
            <v>2.6290085749999998</v>
          </cell>
          <cell r="I840">
            <v>2.6643313119999998</v>
          </cell>
          <cell r="J840">
            <v>2.7013584719999999</v>
          </cell>
          <cell r="K840">
            <v>2.7397822220000001</v>
          </cell>
          <cell r="L840">
            <v>2.782190849</v>
          </cell>
          <cell r="M840">
            <v>2.8234069100000001</v>
          </cell>
          <cell r="N840">
            <v>2.8647771999999998</v>
          </cell>
          <cell r="O840">
            <v>2.906470433</v>
          </cell>
          <cell r="P840">
            <v>2.9484632479999999</v>
          </cell>
          <cell r="Q840">
            <v>2.9907251380000002</v>
          </cell>
          <cell r="R840">
            <v>3.0329301850000001</v>
          </cell>
          <cell r="S840">
            <v>3.0753353309999998</v>
          </cell>
          <cell r="T840">
            <v>3.1180131919999998</v>
          </cell>
          <cell r="U840">
            <v>3.1610127370000001</v>
          </cell>
          <cell r="V840">
            <v>3.2022810210000001</v>
          </cell>
          <cell r="W840">
            <v>3.2452521820000002</v>
          </cell>
          <cell r="X840">
            <v>3.2890336329999998</v>
          </cell>
          <cell r="Y840">
            <v>3.333481404</v>
          </cell>
          <cell r="Z840">
            <v>3.3785947539999999</v>
          </cell>
          <cell r="AA840">
            <v>3.4183838280000001</v>
          </cell>
          <cell r="AB840">
            <v>3.4598119399999998</v>
          </cell>
          <cell r="AC840">
            <v>3.5018161459999999</v>
          </cell>
          <cell r="AD840">
            <v>3.544302643</v>
          </cell>
          <cell r="AE840">
            <v>3.5873505720000001</v>
          </cell>
          <cell r="AF840">
            <v>3.6310524449999999</v>
          </cell>
          <cell r="AG840">
            <v>3.67555304</v>
          </cell>
          <cell r="AH840">
            <v>3.7208499900000001</v>
          </cell>
          <cell r="AI840">
            <v>3.7669646000000001</v>
          </cell>
          <cell r="AJ840">
            <v>3.813909647</v>
          </cell>
          <cell r="AK840">
            <v>3.8616880400000002</v>
          </cell>
          <cell r="AL840">
            <v>3.9094869509999999</v>
          </cell>
          <cell r="AM840">
            <v>3.9576739609999998</v>
          </cell>
          <cell r="AN840">
            <v>4.0063794509999999</v>
          </cell>
          <cell r="AO840">
            <v>4.0556690079999997</v>
          </cell>
          <cell r="AP840">
            <v>4.1055891779999998</v>
          </cell>
          <cell r="AQ840">
            <v>4.1562768009999997</v>
          </cell>
          <cell r="AR840">
            <v>4.207686399</v>
          </cell>
          <cell r="AS840">
            <v>4.2598248090000004</v>
          </cell>
          <cell r="AT840">
            <v>4.312701025</v>
          </cell>
          <cell r="AU840">
            <v>4.36631955</v>
          </cell>
          <cell r="AV840">
            <v>4.4211462419999998</v>
          </cell>
          <cell r="AW840">
            <v>4.4768509009999997</v>
          </cell>
          <cell r="AX840">
            <v>4.5333617039999998</v>
          </cell>
          <cell r="AY840">
            <v>4.590651823</v>
          </cell>
          <cell r="AZ840">
            <v>4.6487052120000003</v>
          </cell>
          <cell r="BA840">
            <v>4.7077232110000002</v>
          </cell>
          <cell r="BB840">
            <v>4.7675445710000002</v>
          </cell>
          <cell r="BC840">
            <v>4.8281395749999998</v>
          </cell>
          <cell r="BD840">
            <v>4.8895025130000001</v>
          </cell>
          <cell r="BE840">
            <v>4.9516344090000004</v>
          </cell>
        </row>
        <row r="842">
          <cell r="A842" t="str">
            <v>ems_ci_co2_sche_2</v>
          </cell>
          <cell r="B842">
            <v>13.127115679999999</v>
          </cell>
          <cell r="C842">
            <v>13.173403690000001</v>
          </cell>
          <cell r="D842">
            <v>13.2989148</v>
          </cell>
          <cell r="E842">
            <v>13.45231486</v>
          </cell>
          <cell r="F842">
            <v>13.62415655</v>
          </cell>
          <cell r="G842">
            <v>13.810766620000001</v>
          </cell>
          <cell r="H842">
            <v>13.99869071</v>
          </cell>
          <cell r="I842">
            <v>14.19332335</v>
          </cell>
          <cell r="J842">
            <v>14.39387161</v>
          </cell>
          <cell r="K842">
            <v>14.59886727</v>
          </cell>
          <cell r="L842">
            <v>14.824569459999999</v>
          </cell>
          <cell r="M842">
            <v>15.037072119999999</v>
          </cell>
          <cell r="N842">
            <v>15.24823044</v>
          </cell>
          <cell r="O842">
            <v>15.45951434</v>
          </cell>
          <cell r="P842">
            <v>15.671023910000001</v>
          </cell>
          <cell r="Q842">
            <v>15.882808430000001</v>
          </cell>
          <cell r="R842">
            <v>16.092798510000001</v>
          </cell>
          <cell r="S842">
            <v>16.303159449999999</v>
          </cell>
          <cell r="T842">
            <v>16.51451861</v>
          </cell>
          <cell r="U842">
            <v>16.727307209999999</v>
          </cell>
          <cell r="V842">
            <v>16.929156559999999</v>
          </cell>
          <cell r="W842">
            <v>17.142840929999998</v>
          </cell>
          <cell r="X842">
            <v>17.36090694</v>
          </cell>
          <cell r="Y842">
            <v>17.58250048</v>
          </cell>
          <cell r="Z842">
            <v>17.807725099999999</v>
          </cell>
          <cell r="AA842">
            <v>18.000339050000001</v>
          </cell>
          <cell r="AB842">
            <v>18.20788099</v>
          </cell>
          <cell r="AC842">
            <v>18.42016576</v>
          </cell>
          <cell r="AD842">
            <v>18.636124089999999</v>
          </cell>
          <cell r="AE842">
            <v>18.85597641</v>
          </cell>
          <cell r="AF842">
            <v>19.080053679999999</v>
          </cell>
          <cell r="AG842">
            <v>19.309109960000001</v>
          </cell>
          <cell r="AH842">
            <v>19.54288626</v>
          </cell>
          <cell r="AI842">
            <v>19.78138903</v>
          </cell>
          <cell r="AJ842">
            <v>20.024607190000001</v>
          </cell>
          <cell r="AK842">
            <v>20.272489239999999</v>
          </cell>
          <cell r="AL842">
            <v>20.520692919999998</v>
          </cell>
          <cell r="AM842">
            <v>20.771806739999999</v>
          </cell>
          <cell r="AN842">
            <v>21.02634557</v>
          </cell>
          <cell r="AO842">
            <v>21.28447169</v>
          </cell>
          <cell r="AP842">
            <v>21.54627795</v>
          </cell>
          <cell r="AQ842">
            <v>21.81253869</v>
          </cell>
          <cell r="AR842">
            <v>22.082726170000001</v>
          </cell>
          <cell r="AS842">
            <v>22.356780919999999</v>
          </cell>
          <cell r="AT842">
            <v>22.634692909999998</v>
          </cell>
          <cell r="AU842">
            <v>22.916446690000001</v>
          </cell>
          <cell r="AV842">
            <v>23.205187200000001</v>
          </cell>
          <cell r="AW842">
            <v>23.498368419999998</v>
          </cell>
          <cell r="AX842">
            <v>23.79555714</v>
          </cell>
          <cell r="AY842">
            <v>24.09663132</v>
          </cell>
          <cell r="AZ842">
            <v>24.401527699999999</v>
          </cell>
          <cell r="BA842">
            <v>24.711710010000001</v>
          </cell>
          <cell r="BB842">
            <v>25.025949390000001</v>
          </cell>
          <cell r="BC842">
            <v>25.344065400000002</v>
          </cell>
          <cell r="BD842">
            <v>25.666039659999999</v>
          </cell>
          <cell r="BE842">
            <v>25.991890640000001</v>
          </cell>
        </row>
        <row r="844">
          <cell r="A844" t="str">
            <v>ems_ci_co2_spla_2</v>
          </cell>
          <cell r="B844">
            <v>1.455592534</v>
          </cell>
          <cell r="C844">
            <v>1.457908669</v>
          </cell>
          <cell r="D844">
            <v>1.468721398</v>
          </cell>
          <cell r="E844">
            <v>1.4829871649999999</v>
          </cell>
          <cell r="F844">
            <v>1.4998298940000001</v>
          </cell>
          <cell r="G844">
            <v>1.518922989</v>
          </cell>
          <cell r="H844">
            <v>1.5388880309999999</v>
          </cell>
          <cell r="I844">
            <v>1.56008228</v>
          </cell>
          <cell r="J844">
            <v>1.5823371799999999</v>
          </cell>
          <cell r="K844">
            <v>1.6054130369999999</v>
          </cell>
          <cell r="L844">
            <v>1.630845662</v>
          </cell>
          <cell r="M844">
            <v>1.655328758</v>
          </cell>
          <cell r="N844">
            <v>1.6797708179999999</v>
          </cell>
          <cell r="O844">
            <v>1.7042648279999999</v>
          </cell>
          <cell r="P844">
            <v>1.728781127</v>
          </cell>
          <cell r="Q844">
            <v>1.75329227</v>
          </cell>
          <cell r="R844">
            <v>1.7775673759999999</v>
          </cell>
          <cell r="S844">
            <v>1.801795198</v>
          </cell>
          <cell r="T844">
            <v>1.8260345520000001</v>
          </cell>
          <cell r="U844">
            <v>1.8503305400000001</v>
          </cell>
          <cell r="V844">
            <v>1.8734471939999999</v>
          </cell>
          <cell r="W844">
            <v>1.8975622059999999</v>
          </cell>
          <cell r="X844">
            <v>1.9220813059999999</v>
          </cell>
          <cell r="Y844">
            <v>1.9469316459999999</v>
          </cell>
          <cell r="Z844">
            <v>1.97213459</v>
          </cell>
          <cell r="AA844">
            <v>1.9940622109999999</v>
          </cell>
          <cell r="AB844">
            <v>2.017156129</v>
          </cell>
          <cell r="AC844">
            <v>2.040650641</v>
          </cell>
          <cell r="AD844">
            <v>2.0644695309999999</v>
          </cell>
          <cell r="AE844">
            <v>2.0886559760000001</v>
          </cell>
          <cell r="AF844">
            <v>2.1132642869999998</v>
          </cell>
          <cell r="AG844">
            <v>2.138388704</v>
          </cell>
          <cell r="AH844">
            <v>2.1640227240000001</v>
          </cell>
          <cell r="AI844">
            <v>2.1901796980000001</v>
          </cell>
          <cell r="AJ844">
            <v>2.2168677020000001</v>
          </cell>
          <cell r="AK844">
            <v>2.2440871809999998</v>
          </cell>
          <cell r="AL844">
            <v>2.271397194</v>
          </cell>
          <cell r="AM844">
            <v>2.2990018600000002</v>
          </cell>
          <cell r="AN844">
            <v>2.3269619110000002</v>
          </cell>
          <cell r="AO844">
            <v>2.3553009459999998</v>
          </cell>
          <cell r="AP844">
            <v>2.3840305399999999</v>
          </cell>
          <cell r="AQ844">
            <v>2.4132258740000001</v>
          </cell>
          <cell r="AR844">
            <v>2.442836588</v>
          </cell>
          <cell r="AS844">
            <v>2.4728542990000002</v>
          </cell>
          <cell r="AT844">
            <v>2.5032754960000001</v>
          </cell>
          <cell r="AU844">
            <v>2.5340958269999998</v>
          </cell>
          <cell r="AV844">
            <v>2.5656207960000001</v>
          </cell>
          <cell r="AW844">
            <v>2.5976165180000002</v>
          </cell>
          <cell r="AX844">
            <v>2.630037433</v>
          </cell>
          <cell r="AY844">
            <v>2.6628689959999998</v>
          </cell>
          <cell r="AZ844">
            <v>2.6961013810000001</v>
          </cell>
          <cell r="BA844">
            <v>2.729871787</v>
          </cell>
          <cell r="BB844">
            <v>2.764062612</v>
          </cell>
          <cell r="BC844">
            <v>2.7986527080000001</v>
          </cell>
          <cell r="BD844">
            <v>2.833637892</v>
          </cell>
          <cell r="BE844">
            <v>2.8690177829999999</v>
          </cell>
        </row>
        <row r="846">
          <cell r="A846" t="str">
            <v>ems_ci_co2_smet_2</v>
          </cell>
          <cell r="B846">
            <v>19.08504946</v>
          </cell>
          <cell r="C846">
            <v>19.135440200000001</v>
          </cell>
          <cell r="D846">
            <v>19.30770631</v>
          </cell>
          <cell r="E846">
            <v>19.521401910000002</v>
          </cell>
          <cell r="F846">
            <v>19.757380040000001</v>
          </cell>
          <cell r="G846">
            <v>20.009544529999999</v>
          </cell>
          <cell r="H846">
            <v>20.26159518</v>
          </cell>
          <cell r="I846">
            <v>20.520676009999999</v>
          </cell>
          <cell r="J846">
            <v>20.787433409999998</v>
          </cell>
          <cell r="K846">
            <v>21.061169939999999</v>
          </cell>
          <cell r="L846">
            <v>21.363066979999999</v>
          </cell>
          <cell r="M846">
            <v>21.652474680000001</v>
          </cell>
          <cell r="N846">
            <v>21.942145610000001</v>
          </cell>
          <cell r="O846">
            <v>22.234451549999999</v>
          </cell>
          <cell r="P846">
            <v>22.529768010000002</v>
          </cell>
          <cell r="Q846">
            <v>22.82820044</v>
          </cell>
          <cell r="R846">
            <v>23.127037560000002</v>
          </cell>
          <cell r="S846">
            <v>23.4288241</v>
          </cell>
          <cell r="T846">
            <v>23.734356080000001</v>
          </cell>
          <cell r="U846">
            <v>24.04411468</v>
          </cell>
          <cell r="V846">
            <v>24.342473510000001</v>
          </cell>
          <cell r="W846">
            <v>24.656661410000002</v>
          </cell>
          <cell r="X846">
            <v>24.97888081</v>
          </cell>
          <cell r="Y846">
            <v>25.307703589999999</v>
          </cell>
          <cell r="Z846">
            <v>25.643010050000001</v>
          </cell>
          <cell r="AA846">
            <v>25.939115449999999</v>
          </cell>
          <cell r="AB846">
            <v>26.252007649999999</v>
          </cell>
          <cell r="AC846">
            <v>26.571896980000002</v>
          </cell>
          <cell r="AD846">
            <v>26.897141390000002</v>
          </cell>
          <cell r="AE846">
            <v>27.227721880000001</v>
          </cell>
          <cell r="AF846">
            <v>27.563879150000002</v>
          </cell>
          <cell r="AG846">
            <v>27.906473500000001</v>
          </cell>
          <cell r="AH846">
            <v>28.255143709999999</v>
          </cell>
          <cell r="AI846">
            <v>28.60984053</v>
          </cell>
          <cell r="AJ846">
            <v>28.970516889999999</v>
          </cell>
          <cell r="AK846">
            <v>29.33708635</v>
          </cell>
          <cell r="AL846">
            <v>29.704190440000001</v>
          </cell>
          <cell r="AM846">
            <v>30.07440158</v>
          </cell>
          <cell r="AN846">
            <v>30.448432220000001</v>
          </cell>
          <cell r="AO846">
            <v>30.826507370000002</v>
          </cell>
          <cell r="AP846">
            <v>31.20872597</v>
          </cell>
          <cell r="AQ846">
            <v>31.5960593</v>
          </cell>
          <cell r="AR846">
            <v>31.987872629999998</v>
          </cell>
          <cell r="AS846">
            <v>32.384069590000003</v>
          </cell>
          <cell r="AT846">
            <v>32.784642210000001</v>
          </cell>
          <cell r="AU846">
            <v>33.189589300000002</v>
          </cell>
          <cell r="AV846">
            <v>33.602950730000003</v>
          </cell>
          <cell r="AW846">
            <v>34.021775290000001</v>
          </cell>
          <cell r="AX846">
            <v>34.445448169999999</v>
          </cell>
          <cell r="AY846">
            <v>34.873810429999999</v>
          </cell>
          <cell r="AZ846">
            <v>35.30680658</v>
          </cell>
          <cell r="BA846">
            <v>35.746343099999997</v>
          </cell>
          <cell r="BB846">
            <v>36.190994930000002</v>
          </cell>
          <cell r="BC846">
            <v>36.640515280000002</v>
          </cell>
          <cell r="BD846">
            <v>37.094891230000002</v>
          </cell>
          <cell r="BE846">
            <v>37.55417061</v>
          </cell>
        </row>
        <row r="848">
          <cell r="A848" t="str">
            <v>ems_ci_co2_sigo_2</v>
          </cell>
          <cell r="B848">
            <v>1.1705436</v>
          </cell>
          <cell r="C848">
            <v>1.172737396</v>
          </cell>
          <cell r="D848">
            <v>1.1818758970000001</v>
          </cell>
          <cell r="E848">
            <v>1.1932419949999999</v>
          </cell>
          <cell r="F848">
            <v>1.206622385</v>
          </cell>
          <cell r="G848">
            <v>1.222010018</v>
          </cell>
          <cell r="H848">
            <v>1.2381679809999999</v>
          </cell>
          <cell r="I848">
            <v>1.2555980870000001</v>
          </cell>
          <cell r="J848">
            <v>1.2740879839999999</v>
          </cell>
          <cell r="K848">
            <v>1.293365163</v>
          </cell>
          <cell r="L848">
            <v>1.314898704</v>
          </cell>
          <cell r="M848">
            <v>1.335208779</v>
          </cell>
          <cell r="N848">
            <v>1.355482326</v>
          </cell>
          <cell r="O848">
            <v>1.3757632989999999</v>
          </cell>
          <cell r="P848">
            <v>1.395980759</v>
          </cell>
          <cell r="Q848">
            <v>1.416077016</v>
          </cell>
          <cell r="R848">
            <v>1.435770617</v>
          </cell>
          <cell r="S848">
            <v>1.4552642739999999</v>
          </cell>
          <cell r="T848">
            <v>1.4745936479999999</v>
          </cell>
          <cell r="U848">
            <v>1.4937883270000001</v>
          </cell>
          <cell r="V848">
            <v>1.5116347649999999</v>
          </cell>
          <cell r="W848">
            <v>1.530418703</v>
          </cell>
          <cell r="X848">
            <v>1.549349901</v>
          </cell>
          <cell r="Y848">
            <v>1.5683795490000001</v>
          </cell>
          <cell r="Z848">
            <v>1.5875514639999999</v>
          </cell>
          <cell r="AA848">
            <v>1.603347968</v>
          </cell>
          <cell r="AB848">
            <v>1.620589794</v>
          </cell>
          <cell r="AC848">
            <v>1.6381341119999999</v>
          </cell>
          <cell r="AD848">
            <v>1.6558985799999999</v>
          </cell>
          <cell r="AE848">
            <v>1.673930943</v>
          </cell>
          <cell r="AF848">
            <v>1.6922875049999999</v>
          </cell>
          <cell r="AG848">
            <v>1.711070978</v>
          </cell>
          <cell r="AH848">
            <v>1.730273143</v>
          </cell>
          <cell r="AI848">
            <v>1.7499176830000001</v>
          </cell>
          <cell r="AJ848">
            <v>1.770023562</v>
          </cell>
          <cell r="AK848">
            <v>1.7906013510000001</v>
          </cell>
          <cell r="AL848">
            <v>1.8112859299999999</v>
          </cell>
          <cell r="AM848">
            <v>1.8323109049999999</v>
          </cell>
          <cell r="AN848">
            <v>1.8537199200000001</v>
          </cell>
          <cell r="AO848">
            <v>1.8755246139999999</v>
          </cell>
          <cell r="AP848">
            <v>1.8977259150000001</v>
          </cell>
          <cell r="AQ848">
            <v>1.920394097</v>
          </cell>
          <cell r="AR848">
            <v>1.94345755</v>
          </cell>
          <cell r="AS848">
            <v>1.9669019640000001</v>
          </cell>
          <cell r="AT848">
            <v>1.9907189649999999</v>
          </cell>
          <cell r="AU848">
            <v>2.0148999220000001</v>
          </cell>
          <cell r="AV848">
            <v>2.0397625189999999</v>
          </cell>
          <cell r="AW848">
            <v>2.065024137</v>
          </cell>
          <cell r="AX848">
            <v>2.090649134</v>
          </cell>
          <cell r="AY848">
            <v>2.1166289489999999</v>
          </cell>
          <cell r="AZ848">
            <v>2.14295481</v>
          </cell>
          <cell r="BA848">
            <v>2.1697728070000002</v>
          </cell>
          <cell r="BB848">
            <v>2.1969387770000002</v>
          </cell>
          <cell r="BC848">
            <v>2.2244341190000001</v>
          </cell>
          <cell r="BD848">
            <v>2.2522553009999999</v>
          </cell>
          <cell r="BE848">
            <v>2.2803999519999998</v>
          </cell>
        </row>
        <row r="850">
          <cell r="A850" t="str">
            <v>ems_ci_co2_scgo_2</v>
          </cell>
          <cell r="B850">
            <v>2.237282596</v>
          </cell>
          <cell r="C850">
            <v>2.235365614</v>
          </cell>
          <cell r="D850">
            <v>2.2437671560000001</v>
          </cell>
          <cell r="E850">
            <v>2.2588313809999998</v>
          </cell>
          <cell r="F850">
            <v>2.2797945570000002</v>
          </cell>
          <cell r="G850">
            <v>2.306048852</v>
          </cell>
          <cell r="H850">
            <v>2.335423472</v>
          </cell>
          <cell r="I850">
            <v>2.3678446100000001</v>
          </cell>
          <cell r="J850">
            <v>2.4027891889999999</v>
          </cell>
          <cell r="K850">
            <v>2.439711194</v>
          </cell>
          <cell r="L850">
            <v>2.480524457</v>
          </cell>
          <cell r="M850">
            <v>2.5210054039999998</v>
          </cell>
          <cell r="N850">
            <v>2.5618060790000001</v>
          </cell>
          <cell r="O850">
            <v>2.6028987689999998</v>
          </cell>
          <cell r="P850">
            <v>2.6441560609999999</v>
          </cell>
          <cell r="Q850">
            <v>2.6854724210000001</v>
          </cell>
          <cell r="R850">
            <v>2.726538219</v>
          </cell>
          <cell r="S850">
            <v>2.7674867110000001</v>
          </cell>
          <cell r="T850">
            <v>2.8083564270000001</v>
          </cell>
          <cell r="U850">
            <v>2.8491889810000002</v>
          </cell>
          <cell r="V850">
            <v>2.8882742929999998</v>
          </cell>
          <cell r="W850">
            <v>2.9283391189999999</v>
          </cell>
          <cell r="X850">
            <v>2.9688598270000002</v>
          </cell>
          <cell r="Y850">
            <v>3.0097778659999999</v>
          </cell>
          <cell r="Z850">
            <v>3.051135833</v>
          </cell>
          <cell r="AA850">
            <v>3.087934621</v>
          </cell>
          <cell r="AB850">
            <v>3.1255242719999998</v>
          </cell>
          <cell r="AC850">
            <v>3.1633569229999998</v>
          </cell>
          <cell r="AD850">
            <v>3.2014553389999998</v>
          </cell>
          <cell r="AE850">
            <v>3.2399516209999999</v>
          </cell>
          <cell r="AF850">
            <v>3.2789782829999998</v>
          </cell>
          <cell r="AG850">
            <v>3.3186973389999999</v>
          </cell>
          <cell r="AH850">
            <v>3.3591567740000001</v>
          </cell>
          <cell r="AI850">
            <v>3.4004083700000001</v>
          </cell>
          <cell r="AJ850">
            <v>3.442487109</v>
          </cell>
          <cell r="AK850">
            <v>3.485410849</v>
          </cell>
          <cell r="AL850">
            <v>3.5284382430000001</v>
          </cell>
          <cell r="AM850">
            <v>3.5718412869999998</v>
          </cell>
          <cell r="AN850">
            <v>3.6157435599999999</v>
          </cell>
          <cell r="AO850">
            <v>3.6602116339999999</v>
          </cell>
          <cell r="AP850">
            <v>3.7052862580000001</v>
          </cell>
          <cell r="AQ850">
            <v>3.7510652640000002</v>
          </cell>
          <cell r="AR850">
            <v>3.7975164910000001</v>
          </cell>
          <cell r="AS850">
            <v>3.8446401429999999</v>
          </cell>
          <cell r="AT850">
            <v>3.8924364470000001</v>
          </cell>
          <cell r="AU850">
            <v>3.9409010489999998</v>
          </cell>
          <cell r="AV850">
            <v>3.990373344</v>
          </cell>
          <cell r="AW850">
            <v>4.0406276190000003</v>
          </cell>
          <cell r="AX850">
            <v>4.0916069899999998</v>
          </cell>
          <cell r="AY850">
            <v>4.1432826670000003</v>
          </cell>
          <cell r="AZ850">
            <v>4.1956298209999998</v>
          </cell>
          <cell r="BA850">
            <v>4.2487756919999997</v>
          </cell>
          <cell r="BB850">
            <v>4.3026041299999997</v>
          </cell>
          <cell r="BC850">
            <v>4.3570901329999998</v>
          </cell>
          <cell r="BD850">
            <v>4.412226263</v>
          </cell>
          <cell r="BE850">
            <v>4.4680091910000002</v>
          </cell>
        </row>
        <row r="852">
          <cell r="A852" t="str">
            <v>ems_ci_co2_scon_2</v>
          </cell>
          <cell r="B852">
            <v>7.6423898870000002</v>
          </cell>
          <cell r="C852">
            <v>7.5693388940000004</v>
          </cell>
          <cell r="D852">
            <v>7.4906773739999997</v>
          </cell>
          <cell r="E852">
            <v>7.4361627109999997</v>
          </cell>
          <cell r="F852">
            <v>7.4201700490000002</v>
          </cell>
          <cell r="G852">
            <v>7.4456864920000001</v>
          </cell>
          <cell r="H852">
            <v>7.5064941029999996</v>
          </cell>
          <cell r="I852">
            <v>7.5968922990000003</v>
          </cell>
          <cell r="J852">
            <v>7.7115000010000001</v>
          </cell>
          <cell r="K852">
            <v>7.8457225499999996</v>
          </cell>
          <cell r="L852">
            <v>8.0011602029999995</v>
          </cell>
          <cell r="M852">
            <v>8.1697324760000001</v>
          </cell>
          <cell r="N852">
            <v>8.3478427150000005</v>
          </cell>
          <cell r="O852">
            <v>8.5329468950000003</v>
          </cell>
          <cell r="P852">
            <v>8.7230543120000004</v>
          </cell>
          <cell r="Q852">
            <v>8.9165793749999995</v>
          </cell>
          <cell r="R852">
            <v>9.1119665330000004</v>
          </cell>
          <cell r="S852">
            <v>9.3081121380000003</v>
          </cell>
          <cell r="T852">
            <v>9.5042590449999995</v>
          </cell>
          <cell r="U852">
            <v>9.6999704510000004</v>
          </cell>
          <cell r="V852">
            <v>9.8908694720000003</v>
          </cell>
          <cell r="W852">
            <v>10.08063151</v>
          </cell>
          <cell r="X852">
            <v>10.27012027</v>
          </cell>
          <cell r="Y852">
            <v>10.45985896</v>
          </cell>
          <cell r="Z852">
            <v>10.650310579999999</v>
          </cell>
          <cell r="AA852">
            <v>10.829599679999999</v>
          </cell>
          <cell r="AB852">
            <v>11.00301625</v>
          </cell>
          <cell r="AC852">
            <v>11.172110979999999</v>
          </cell>
          <cell r="AD852">
            <v>11.3380168</v>
          </cell>
          <cell r="AE852">
            <v>11.501732540000001</v>
          </cell>
          <cell r="AF852">
            <v>11.66413491</v>
          </cell>
          <cell r="AG852">
            <v>11.826028300000001</v>
          </cell>
          <cell r="AH852">
            <v>11.98811776</v>
          </cell>
          <cell r="AI852">
            <v>12.151001279999999</v>
          </cell>
          <cell r="AJ852">
            <v>12.315145100000001</v>
          </cell>
          <cell r="AK852">
            <v>12.48087784</v>
          </cell>
          <cell r="AL852">
            <v>12.645602630000001</v>
          </cell>
          <cell r="AM852">
            <v>12.809280019999999</v>
          </cell>
          <cell r="AN852">
            <v>12.97227238</v>
          </cell>
          <cell r="AO852">
            <v>13.13486121</v>
          </cell>
          <cell r="AP852">
            <v>13.29716022</v>
          </cell>
          <cell r="AQ852">
            <v>13.45916581</v>
          </cell>
          <cell r="AR852">
            <v>13.620849420000001</v>
          </cell>
          <cell r="AS852">
            <v>13.78217589</v>
          </cell>
          <cell r="AT852">
            <v>13.943091000000001</v>
          </cell>
          <cell r="AU852">
            <v>14.10352586</v>
          </cell>
          <cell r="AV852">
            <v>14.263654150000001</v>
          </cell>
          <cell r="AW852">
            <v>14.4236266</v>
          </cell>
          <cell r="AX852">
            <v>14.583616109999999</v>
          </cell>
          <cell r="AY852">
            <v>14.743694789999999</v>
          </cell>
          <cell r="AZ852">
            <v>14.90382741</v>
          </cell>
          <cell r="BA852">
            <v>15.063876540000001</v>
          </cell>
          <cell r="BB852">
            <v>15.223867390000001</v>
          </cell>
          <cell r="BC852">
            <v>15.38390796</v>
          </cell>
          <cell r="BD852">
            <v>15.544090560000001</v>
          </cell>
          <cell r="BE852">
            <v>15.70447689</v>
          </cell>
        </row>
        <row r="854">
          <cell r="A854" t="str">
            <v>ems_ci_co2_srai_2</v>
          </cell>
          <cell r="B854">
            <v>1.7081851219999999</v>
          </cell>
          <cell r="C854">
            <v>1.715570805</v>
          </cell>
          <cell r="D854">
            <v>1.7278864389999999</v>
          </cell>
          <cell r="E854">
            <v>1.7430521590000001</v>
          </cell>
          <cell r="F854">
            <v>1.760667261</v>
          </cell>
          <cell r="G854">
            <v>1.78047567</v>
          </cell>
          <cell r="H854">
            <v>1.8012266370000001</v>
          </cell>
          <cell r="I854">
            <v>1.8231375780000001</v>
          </cell>
          <cell r="J854">
            <v>1.846081477</v>
          </cell>
          <cell r="K854">
            <v>1.869871141</v>
          </cell>
          <cell r="L854">
            <v>1.895947558</v>
          </cell>
          <cell r="M854">
            <v>1.9215320789999999</v>
          </cell>
          <cell r="N854">
            <v>1.947193315</v>
          </cell>
          <cell r="O854">
            <v>1.9730106599999999</v>
          </cell>
          <cell r="P854">
            <v>1.998970146</v>
          </cell>
          <cell r="Q854">
            <v>2.0250548369999999</v>
          </cell>
          <cell r="R854">
            <v>2.051128034</v>
          </cell>
          <cell r="S854">
            <v>2.0772882259999998</v>
          </cell>
          <cell r="T854">
            <v>2.103572775</v>
          </cell>
          <cell r="U854">
            <v>2.1300101480000002</v>
          </cell>
          <cell r="V854">
            <v>2.1554447520000002</v>
          </cell>
          <cell r="W854">
            <v>2.181738583</v>
          </cell>
          <cell r="X854">
            <v>2.2084815419999999</v>
          </cell>
          <cell r="Y854">
            <v>2.2355937140000002</v>
          </cell>
          <cell r="Z854">
            <v>2.2630706890000001</v>
          </cell>
          <cell r="AA854">
            <v>2.287534993</v>
          </cell>
          <cell r="AB854">
            <v>2.3126879150000001</v>
          </cell>
          <cell r="AC854">
            <v>2.3381108689999999</v>
          </cell>
          <cell r="AD854">
            <v>2.3637778009999999</v>
          </cell>
          <cell r="AE854">
            <v>2.3897446690000002</v>
          </cell>
          <cell r="AF854">
            <v>2.416071208</v>
          </cell>
          <cell r="AG854">
            <v>2.4428334650000001</v>
          </cell>
          <cell r="AH854">
            <v>2.4700429929999999</v>
          </cell>
          <cell r="AI854">
            <v>2.49771381</v>
          </cell>
          <cell r="AJ854">
            <v>2.5258533910000001</v>
          </cell>
          <cell r="AK854">
            <v>2.5544633339999998</v>
          </cell>
          <cell r="AL854">
            <v>2.5829960270000001</v>
          </cell>
          <cell r="AM854">
            <v>2.6117035469999998</v>
          </cell>
          <cell r="AN854">
            <v>2.6406780689999998</v>
          </cell>
          <cell r="AO854">
            <v>2.66996667</v>
          </cell>
          <cell r="AP854">
            <v>2.6996027410000001</v>
          </cell>
          <cell r="AQ854">
            <v>2.7296542239999999</v>
          </cell>
          <cell r="AR854">
            <v>2.7601132559999999</v>
          </cell>
          <cell r="AS854">
            <v>2.7909867840000002</v>
          </cell>
          <cell r="AT854">
            <v>2.8222805100000001</v>
          </cell>
          <cell r="AU854">
            <v>2.853996897</v>
          </cell>
          <cell r="AV854">
            <v>2.886349509</v>
          </cell>
          <cell r="AW854">
            <v>2.9192041679999998</v>
          </cell>
          <cell r="AX854">
            <v>2.9525229909999999</v>
          </cell>
          <cell r="AY854">
            <v>2.9862889450000001</v>
          </cell>
          <cell r="AZ854">
            <v>3.020491314</v>
          </cell>
          <cell r="BA854">
            <v>3.0552118909999999</v>
          </cell>
          <cell r="BB854">
            <v>3.0903884160000001</v>
          </cell>
          <cell r="BC854">
            <v>3.1260051610000001</v>
          </cell>
          <cell r="BD854">
            <v>3.1620573460000001</v>
          </cell>
          <cell r="BE854">
            <v>3.1985442919999998</v>
          </cell>
        </row>
        <row r="856">
          <cell r="A856" t="str">
            <v>ems_ci_co2_sroa_2</v>
          </cell>
          <cell r="B856">
            <v>17.05513375</v>
          </cell>
          <cell r="C856">
            <v>17.131554390000002</v>
          </cell>
          <cell r="D856">
            <v>17.257622779999998</v>
          </cell>
          <cell r="E856">
            <v>17.411848880000001</v>
          </cell>
          <cell r="F856">
            <v>17.589835180000001</v>
          </cell>
          <cell r="G856">
            <v>17.78891286</v>
          </cell>
          <cell r="H856">
            <v>17.996661979999999</v>
          </cell>
          <cell r="I856">
            <v>18.215402180000002</v>
          </cell>
          <cell r="J856">
            <v>18.444017670000001</v>
          </cell>
          <cell r="K856">
            <v>18.680770750000001</v>
          </cell>
          <cell r="L856">
            <v>18.940137</v>
          </cell>
          <cell r="M856">
            <v>19.194450270000001</v>
          </cell>
          <cell r="N856">
            <v>19.449476610000001</v>
          </cell>
          <cell r="O856">
            <v>19.706075309999999</v>
          </cell>
          <cell r="P856">
            <v>19.96415489</v>
          </cell>
          <cell r="Q856">
            <v>20.223580290000001</v>
          </cell>
          <cell r="R856">
            <v>20.48301146</v>
          </cell>
          <cell r="S856">
            <v>20.743450240000001</v>
          </cell>
          <cell r="T856">
            <v>21.005279179999999</v>
          </cell>
          <cell r="U856">
            <v>21.26878383</v>
          </cell>
          <cell r="V856">
            <v>21.52243906</v>
          </cell>
          <cell r="W856">
            <v>21.78482374</v>
          </cell>
          <cell r="X856">
            <v>22.051820559999999</v>
          </cell>
          <cell r="Y856">
            <v>22.322609880000002</v>
          </cell>
          <cell r="Z856">
            <v>22.597128649999998</v>
          </cell>
          <cell r="AA856">
            <v>22.84168785</v>
          </cell>
          <cell r="AB856">
            <v>23.09324457</v>
          </cell>
          <cell r="AC856">
            <v>23.34759699</v>
          </cell>
          <cell r="AD856">
            <v>23.604458040000001</v>
          </cell>
          <cell r="AE856">
            <v>23.864361859999999</v>
          </cell>
          <cell r="AF856">
            <v>24.12788381</v>
          </cell>
          <cell r="AG856">
            <v>24.395765659999999</v>
          </cell>
          <cell r="AH856">
            <v>24.668106689999998</v>
          </cell>
          <cell r="AI856">
            <v>24.945033290000001</v>
          </cell>
          <cell r="AJ856">
            <v>25.226609570000001</v>
          </cell>
          <cell r="AK856">
            <v>25.512844090000002</v>
          </cell>
          <cell r="AL856">
            <v>25.79828127</v>
          </cell>
          <cell r="AM856">
            <v>26.085439969999999</v>
          </cell>
          <cell r="AN856">
            <v>26.375236569999998</v>
          </cell>
          <cell r="AO856">
            <v>26.668137869999999</v>
          </cell>
          <cell r="AP856">
            <v>26.964476919999999</v>
          </cell>
          <cell r="AQ856">
            <v>27.264935739999999</v>
          </cell>
          <cell r="AR856">
            <v>27.569438049999999</v>
          </cell>
          <cell r="AS856">
            <v>27.878055459999999</v>
          </cell>
          <cell r="AT856">
            <v>28.190847510000001</v>
          </cell>
          <cell r="AU856">
            <v>28.507841809999999</v>
          </cell>
          <cell r="AV856">
            <v>28.83117923</v>
          </cell>
          <cell r="AW856">
            <v>29.159518039999998</v>
          </cell>
          <cell r="AX856">
            <v>29.492476979999999</v>
          </cell>
          <cell r="AY856">
            <v>29.829885610000002</v>
          </cell>
          <cell r="AZ856">
            <v>30.171639460000002</v>
          </cell>
          <cell r="BA856">
            <v>30.51856411</v>
          </cell>
          <cell r="BB856">
            <v>30.87004001</v>
          </cell>
          <cell r="BC856">
            <v>31.225910559999999</v>
          </cell>
          <cell r="BD856">
            <v>31.58612917</v>
          </cell>
          <cell r="BE856">
            <v>31.950691240000001</v>
          </cell>
        </row>
        <row r="858">
          <cell r="A858" t="str">
            <v>ems_ci_co2_swat_2</v>
          </cell>
          <cell r="B858">
            <v>3.6274314059999999</v>
          </cell>
          <cell r="C858">
            <v>3.6513622840000002</v>
          </cell>
          <cell r="D858">
            <v>3.7015897899999999</v>
          </cell>
          <cell r="E858">
            <v>3.757022976</v>
          </cell>
          <cell r="F858">
            <v>3.814794837</v>
          </cell>
          <cell r="G858">
            <v>3.8740226710000001</v>
          </cell>
          <cell r="H858">
            <v>3.9304551399999998</v>
          </cell>
          <cell r="I858">
            <v>3.986810942</v>
          </cell>
          <cell r="J858">
            <v>4.0431310790000001</v>
          </cell>
          <cell r="K858">
            <v>4.099244916</v>
          </cell>
          <cell r="L858">
            <v>4.1609186649999996</v>
          </cell>
          <cell r="M858">
            <v>4.2160108239999996</v>
          </cell>
          <cell r="N858">
            <v>4.2700002550000002</v>
          </cell>
          <cell r="O858">
            <v>4.3235565090000003</v>
          </cell>
          <cell r="P858">
            <v>4.376813651</v>
          </cell>
          <cell r="Q858">
            <v>4.4298661829999997</v>
          </cell>
          <cell r="R858">
            <v>4.4819002149999996</v>
          </cell>
          <cell r="S858">
            <v>4.5338881019999997</v>
          </cell>
          <cell r="T858">
            <v>4.586059551</v>
          </cell>
          <cell r="U858">
            <v>4.6385618209999997</v>
          </cell>
          <cell r="V858">
            <v>4.6872879129999996</v>
          </cell>
          <cell r="W858">
            <v>4.7404634699999999</v>
          </cell>
          <cell r="X858">
            <v>4.794819918</v>
          </cell>
          <cell r="Y858">
            <v>4.8500746450000003</v>
          </cell>
          <cell r="Z858">
            <v>4.906282848</v>
          </cell>
          <cell r="AA858">
            <v>4.951465732</v>
          </cell>
          <cell r="AB858">
            <v>5.0033252289999997</v>
          </cell>
          <cell r="AC858">
            <v>5.0570338770000003</v>
          </cell>
          <cell r="AD858">
            <v>5.1120828210000004</v>
          </cell>
          <cell r="AE858">
            <v>5.1684524969999996</v>
          </cell>
          <cell r="AF858">
            <v>5.2261662639999997</v>
          </cell>
          <cell r="AG858">
            <v>5.2854446800000003</v>
          </cell>
          <cell r="AH858">
            <v>5.3461047089999996</v>
          </cell>
          <cell r="AI858">
            <v>5.4081175139999997</v>
          </cell>
          <cell r="AJ858">
            <v>5.4714635319999996</v>
          </cell>
          <cell r="AK858">
            <v>5.5361177899999996</v>
          </cell>
          <cell r="AL858">
            <v>5.6010019949999998</v>
          </cell>
          <cell r="AM858">
            <v>5.6669788519999997</v>
          </cell>
          <cell r="AN858">
            <v>5.7341341750000003</v>
          </cell>
          <cell r="AO858">
            <v>5.8024564300000003</v>
          </cell>
          <cell r="AP858">
            <v>5.8719195940000004</v>
          </cell>
          <cell r="AQ858">
            <v>5.9427849269999999</v>
          </cell>
          <cell r="AR858">
            <v>6.0147682539999998</v>
          </cell>
          <cell r="AS858">
            <v>6.0878188770000001</v>
          </cell>
          <cell r="AT858">
            <v>6.1619148299999997</v>
          </cell>
          <cell r="AU858">
            <v>6.2370391989999998</v>
          </cell>
          <cell r="AV858">
            <v>6.3144116950000004</v>
          </cell>
          <cell r="AW858">
            <v>6.3929211439999998</v>
          </cell>
          <cell r="AX858">
            <v>6.4724359250000001</v>
          </cell>
          <cell r="AY858">
            <v>6.5529365190000002</v>
          </cell>
          <cell r="AZ858">
            <v>6.6344164709999998</v>
          </cell>
          <cell r="BA858">
            <v>6.7174859409999996</v>
          </cell>
          <cell r="BB858">
            <v>6.8016019779999999</v>
          </cell>
          <cell r="BC858">
            <v>6.8867113690000004</v>
          </cell>
          <cell r="BD858">
            <v>6.9728179040000002</v>
          </cell>
          <cell r="BE858">
            <v>7.0599326549999999</v>
          </cell>
        </row>
        <row r="860">
          <cell r="A860" t="str">
            <v>ems_ci_co2_sair_2</v>
          </cell>
          <cell r="B860">
            <v>18.71343495</v>
          </cell>
          <cell r="C860">
            <v>18.846332220000001</v>
          </cell>
          <cell r="D860">
            <v>19.06814546</v>
          </cell>
          <cell r="E860">
            <v>19.323971360000002</v>
          </cell>
          <cell r="F860">
            <v>19.607234779999999</v>
          </cell>
          <cell r="G860">
            <v>19.916239600000001</v>
          </cell>
          <cell r="H860">
            <v>20.233427630000001</v>
          </cell>
          <cell r="I860">
            <v>20.565101609999999</v>
          </cell>
          <cell r="J860">
            <v>20.91019519</v>
          </cell>
          <cell r="K860">
            <v>21.266511860000001</v>
          </cell>
          <cell r="L860">
            <v>21.65766889</v>
          </cell>
          <cell r="M860">
            <v>22.037966180000002</v>
          </cell>
          <cell r="N860">
            <v>22.41963419</v>
          </cell>
          <cell r="O860">
            <v>22.80383733</v>
          </cell>
          <cell r="P860">
            <v>23.19041447</v>
          </cell>
          <cell r="Q860">
            <v>23.579269629999999</v>
          </cell>
          <cell r="R860">
            <v>23.967740280000001</v>
          </cell>
          <cell r="S860">
            <v>24.35828051</v>
          </cell>
          <cell r="T860">
            <v>24.751606160000001</v>
          </cell>
          <cell r="U860">
            <v>25.148250000000001</v>
          </cell>
          <cell r="V860">
            <v>25.529412529999998</v>
          </cell>
          <cell r="W860">
            <v>25.92620982</v>
          </cell>
          <cell r="X860">
            <v>26.330783449999998</v>
          </cell>
          <cell r="Y860">
            <v>26.74224134</v>
          </cell>
          <cell r="Z860">
            <v>27.160703909999999</v>
          </cell>
          <cell r="AA860">
            <v>27.5305359</v>
          </cell>
          <cell r="AB860">
            <v>27.91455844</v>
          </cell>
          <cell r="AC860">
            <v>28.30326045</v>
          </cell>
          <cell r="AD860">
            <v>28.69664028</v>
          </cell>
          <cell r="AE860">
            <v>29.095906400000001</v>
          </cell>
          <cell r="AF860">
            <v>29.502200080000001</v>
          </cell>
          <cell r="AG860">
            <v>29.91702188</v>
          </cell>
          <cell r="AH860">
            <v>30.34049602</v>
          </cell>
          <cell r="AI860">
            <v>30.772924979999999</v>
          </cell>
          <cell r="AJ860">
            <v>31.214497829999999</v>
          </cell>
          <cell r="AK860">
            <v>31.665300640000002</v>
          </cell>
          <cell r="AL860">
            <v>32.11735324</v>
          </cell>
          <cell r="AM860">
            <v>32.573895829999998</v>
          </cell>
          <cell r="AN860">
            <v>33.036220919999998</v>
          </cell>
          <cell r="AO860">
            <v>33.505160539999999</v>
          </cell>
          <cell r="AP860">
            <v>33.981394659999999</v>
          </cell>
          <cell r="AQ860">
            <v>34.466387660000002</v>
          </cell>
          <cell r="AR860">
            <v>34.959926520000003</v>
          </cell>
          <cell r="AS860">
            <v>35.462231869999997</v>
          </cell>
          <cell r="AT860">
            <v>35.97348822</v>
          </cell>
          <cell r="AU860">
            <v>36.49380867</v>
          </cell>
          <cell r="AV860">
            <v>37.027545320000002</v>
          </cell>
          <cell r="AW860">
            <v>37.57181903</v>
          </cell>
          <cell r="AX860">
            <v>38.12608685</v>
          </cell>
          <cell r="AY860">
            <v>38.690131139999998</v>
          </cell>
          <cell r="AZ860">
            <v>39.263817330000002</v>
          </cell>
          <cell r="BA860">
            <v>39.848990890000003</v>
          </cell>
          <cell r="BB860">
            <v>40.444230150000003</v>
          </cell>
          <cell r="BC860">
            <v>41.04931886</v>
          </cell>
          <cell r="BD860">
            <v>41.664231059999999</v>
          </cell>
          <cell r="BE860">
            <v>42.289006409999999</v>
          </cell>
        </row>
        <row r="862">
          <cell r="A862" t="str">
            <v>ems_ci_co2_spri_2</v>
          </cell>
          <cell r="B862">
            <v>30.735232230000001</v>
          </cell>
          <cell r="C862">
            <v>30.749906259999999</v>
          </cell>
          <cell r="D862">
            <v>30.849569599999999</v>
          </cell>
          <cell r="E862">
            <v>31.02158249</v>
          </cell>
          <cell r="F862">
            <v>31.26911965</v>
          </cell>
          <cell r="G862">
            <v>31.590477799999999</v>
          </cell>
          <cell r="H862">
            <v>31.960786379999998</v>
          </cell>
          <cell r="I862">
            <v>32.378162799999998</v>
          </cell>
          <cell r="J862">
            <v>32.835945090000003</v>
          </cell>
          <cell r="K862">
            <v>33.327030890000003</v>
          </cell>
          <cell r="L862">
            <v>33.875754479999998</v>
          </cell>
          <cell r="M862">
            <v>34.431674129999998</v>
          </cell>
          <cell r="N862">
            <v>34.998652159999999</v>
          </cell>
          <cell r="O862">
            <v>35.575219789999998</v>
          </cell>
          <cell r="P862">
            <v>36.15912831</v>
          </cell>
          <cell r="Q862">
            <v>36.748497260000001</v>
          </cell>
          <cell r="R862">
            <v>37.339748470000004</v>
          </cell>
          <cell r="S862">
            <v>37.933086619999997</v>
          </cell>
          <cell r="T862">
            <v>38.528255950000002</v>
          </cell>
          <cell r="U862">
            <v>39.125156130000001</v>
          </cell>
          <cell r="V862">
            <v>39.701081909999999</v>
          </cell>
          <cell r="W862">
            <v>40.288217869999997</v>
          </cell>
          <cell r="X862">
            <v>40.881680699999997</v>
          </cell>
          <cell r="Y862">
            <v>41.480603619999997</v>
          </cell>
          <cell r="Z862">
            <v>42.08515439</v>
          </cell>
          <cell r="AA862">
            <v>42.629995430000001</v>
          </cell>
          <cell r="AB862">
            <v>43.176860640000001</v>
          </cell>
          <cell r="AC862">
            <v>43.722390089999998</v>
          </cell>
          <cell r="AD862">
            <v>44.267780119999998</v>
          </cell>
          <cell r="AE862">
            <v>44.815232330000001</v>
          </cell>
          <cell r="AF862">
            <v>45.366835090000002</v>
          </cell>
          <cell r="AG862">
            <v>45.924775959999998</v>
          </cell>
          <cell r="AH862">
            <v>46.490148750000003</v>
          </cell>
          <cell r="AI862">
            <v>47.063906279999998</v>
          </cell>
          <cell r="AJ862">
            <v>47.646754610000002</v>
          </cell>
          <cell r="AK862">
            <v>48.239177490000003</v>
          </cell>
          <cell r="AL862">
            <v>48.829822950000001</v>
          </cell>
          <cell r="AM862">
            <v>49.422743760000003</v>
          </cell>
          <cell r="AN862">
            <v>50.02009529</v>
          </cell>
          <cell r="AO862">
            <v>50.623287329999997</v>
          </cell>
          <cell r="AP862">
            <v>51.23336269</v>
          </cell>
          <cell r="AQ862">
            <v>51.851736160000002</v>
          </cell>
          <cell r="AR862">
            <v>52.478652519999997</v>
          </cell>
          <cell r="AS862">
            <v>53.114461460000001</v>
          </cell>
          <cell r="AT862">
            <v>53.759412640000001</v>
          </cell>
          <cell r="AU862">
            <v>54.413640350000001</v>
          </cell>
          <cell r="AV862">
            <v>55.080662529999998</v>
          </cell>
          <cell r="AW862">
            <v>55.758791840000001</v>
          </cell>
          <cell r="AX862">
            <v>56.44757705</v>
          </cell>
          <cell r="AY862">
            <v>57.146773209999999</v>
          </cell>
          <cell r="AZ862">
            <v>57.856138819999998</v>
          </cell>
          <cell r="BA862">
            <v>58.576708969999999</v>
          </cell>
          <cell r="BB862">
            <v>59.307589790000002</v>
          </cell>
          <cell r="BC862">
            <v>60.048544440000001</v>
          </cell>
          <cell r="BD862">
            <v>60.79947568</v>
          </cell>
          <cell r="BE862">
            <v>61.560320619999999</v>
          </cell>
        </row>
        <row r="864">
          <cell r="A864" t="str">
            <v>ems_ci_co2_spub_2</v>
          </cell>
          <cell r="B864">
            <v>14.284820809999999</v>
          </cell>
          <cell r="C864">
            <v>14.42559127</v>
          </cell>
          <cell r="D864">
            <v>14.5793131</v>
          </cell>
          <cell r="E864">
            <v>14.74344443</v>
          </cell>
          <cell r="F864">
            <v>14.92256302</v>
          </cell>
          <cell r="G864">
            <v>15.118944490000001</v>
          </cell>
          <cell r="H864">
            <v>15.320182989999999</v>
          </cell>
          <cell r="I864">
            <v>15.534557339999999</v>
          </cell>
          <cell r="J864">
            <v>15.76164011</v>
          </cell>
          <cell r="K864">
            <v>16.000006679999998</v>
          </cell>
          <cell r="L864">
            <v>16.269807879999998</v>
          </cell>
          <cell r="M864">
            <v>16.53138616</v>
          </cell>
          <cell r="N864">
            <v>16.798300019999999</v>
          </cell>
          <cell r="O864">
            <v>17.071395729999999</v>
          </cell>
          <cell r="P864">
            <v>17.350065659999999</v>
          </cell>
          <cell r="Q864">
            <v>17.633660389999999</v>
          </cell>
          <cell r="R864">
            <v>17.92143497</v>
          </cell>
          <cell r="S864">
            <v>18.213003570000001</v>
          </cell>
          <cell r="T864">
            <v>18.508039969999999</v>
          </cell>
          <cell r="U864">
            <v>18.806318170000001</v>
          </cell>
          <cell r="V864">
            <v>19.091556310000001</v>
          </cell>
          <cell r="W864">
            <v>19.392400420000001</v>
          </cell>
          <cell r="X864">
            <v>19.697932519999998</v>
          </cell>
          <cell r="Y864">
            <v>20.00690234</v>
          </cell>
          <cell r="Z864">
            <v>20.319282730000001</v>
          </cell>
          <cell r="AA864">
            <v>20.588353590000001</v>
          </cell>
          <cell r="AB864">
            <v>20.87535716</v>
          </cell>
          <cell r="AC864">
            <v>21.16571094</v>
          </cell>
          <cell r="AD864">
            <v>21.457977870000001</v>
          </cell>
          <cell r="AE864">
            <v>21.752390599999998</v>
          </cell>
          <cell r="AF864">
            <v>22.04936447</v>
          </cell>
          <cell r="AG864">
            <v>22.349333649999998</v>
          </cell>
          <cell r="AH864">
            <v>22.652650600000001</v>
          </cell>
          <cell r="AI864">
            <v>22.95964124</v>
          </cell>
          <cell r="AJ864">
            <v>23.270589999999999</v>
          </cell>
          <cell r="AK864">
            <v>23.585738670000001</v>
          </cell>
          <cell r="AL864">
            <v>23.894200479999999</v>
          </cell>
          <cell r="AM864">
            <v>24.204791660000001</v>
          </cell>
          <cell r="AN864">
            <v>24.518834139999999</v>
          </cell>
          <cell r="AO864">
            <v>24.836696889999999</v>
          </cell>
          <cell r="AP864">
            <v>25.158594730000001</v>
          </cell>
          <cell r="AQ864">
            <v>25.484725489999999</v>
          </cell>
          <cell r="AR864">
            <v>25.815209379999999</v>
          </cell>
          <cell r="AS864">
            <v>26.150168300000001</v>
          </cell>
          <cell r="AT864">
            <v>26.489705140000002</v>
          </cell>
          <cell r="AU864">
            <v>26.83390288</v>
          </cell>
          <cell r="AV864">
            <v>27.18395452</v>
          </cell>
          <cell r="AW864">
            <v>27.539100319999999</v>
          </cell>
          <cell r="AX864">
            <v>27.89935204</v>
          </cell>
          <cell r="AY864">
            <v>28.264786879999999</v>
          </cell>
          <cell r="AZ864">
            <v>28.63545388</v>
          </cell>
          <cell r="BA864">
            <v>29.011425320000001</v>
          </cell>
          <cell r="BB864">
            <v>29.392694509999998</v>
          </cell>
          <cell r="BC864">
            <v>29.779315369999999</v>
          </cell>
          <cell r="BD864">
            <v>30.171341000000002</v>
          </cell>
          <cell r="BE864">
            <v>30.56881271</v>
          </cell>
        </row>
        <row r="866">
          <cell r="A866" t="str">
            <v>ems_ci_co2_smin_2</v>
          </cell>
          <cell r="B866">
            <v>1.0272529459999999</v>
          </cell>
          <cell r="C866">
            <v>1.02928463</v>
          </cell>
          <cell r="D866">
            <v>1.036796552</v>
          </cell>
          <cell r="E866">
            <v>1.0471590310000001</v>
          </cell>
          <cell r="F866">
            <v>1.05952818</v>
          </cell>
          <cell r="G866">
            <v>1.0734521560000001</v>
          </cell>
          <cell r="H866">
            <v>1.087969041</v>
          </cell>
          <cell r="I866">
            <v>1.1031347330000001</v>
          </cell>
          <cell r="J866">
            <v>1.118851767</v>
          </cell>
          <cell r="K866">
            <v>1.134996152</v>
          </cell>
          <cell r="L866">
            <v>1.1524951489999999</v>
          </cell>
          <cell r="M866">
            <v>1.169566648</v>
          </cell>
          <cell r="N866">
            <v>1.1865576090000001</v>
          </cell>
          <cell r="O866">
            <v>1.2035534510000001</v>
          </cell>
          <cell r="P866">
            <v>1.2205689710000001</v>
          </cell>
          <cell r="Q866">
            <v>1.237611781</v>
          </cell>
          <cell r="R866">
            <v>1.2545867690000001</v>
          </cell>
          <cell r="S866">
            <v>1.2715928919999999</v>
          </cell>
          <cell r="T866">
            <v>1.2886784570000001</v>
          </cell>
          <cell r="U866">
            <v>1.305879942</v>
          </cell>
          <cell r="V866">
            <v>1.322471476</v>
          </cell>
          <cell r="W866">
            <v>1.3396447869999999</v>
          </cell>
          <cell r="X866">
            <v>1.3571831009999999</v>
          </cell>
          <cell r="Y866">
            <v>1.3750337159999999</v>
          </cell>
          <cell r="Z866">
            <v>1.393195717</v>
          </cell>
          <cell r="AA866">
            <v>1.4095087690000001</v>
          </cell>
          <cell r="AB866">
            <v>1.4263064270000001</v>
          </cell>
          <cell r="AC866">
            <v>1.443393323</v>
          </cell>
          <cell r="AD866">
            <v>1.460743661</v>
          </cell>
          <cell r="AE866">
            <v>1.4783848390000001</v>
          </cell>
          <cell r="AF866">
            <v>1.4963491900000001</v>
          </cell>
          <cell r="AG866">
            <v>1.514685968</v>
          </cell>
          <cell r="AH866">
            <v>1.533393378</v>
          </cell>
          <cell r="AI866">
            <v>1.552473056</v>
          </cell>
          <cell r="AJ866">
            <v>1.571923014</v>
          </cell>
          <cell r="AK866">
            <v>1.591737384</v>
          </cell>
          <cell r="AL866">
            <v>1.611608012</v>
          </cell>
          <cell r="AM866">
            <v>1.6316402000000001</v>
          </cell>
          <cell r="AN866">
            <v>1.6518838389999999</v>
          </cell>
          <cell r="AO866">
            <v>1.6723633959999999</v>
          </cell>
          <cell r="AP866">
            <v>1.6930941859999999</v>
          </cell>
          <cell r="AQ866">
            <v>1.7141222700000001</v>
          </cell>
          <cell r="AR866">
            <v>1.735432372</v>
          </cell>
          <cell r="AS866">
            <v>1.7570227119999999</v>
          </cell>
          <cell r="AT866">
            <v>1.7788929</v>
          </cell>
          <cell r="AU866">
            <v>1.8010414530000001</v>
          </cell>
          <cell r="AV866">
            <v>1.8236320180000001</v>
          </cell>
          <cell r="AW866">
            <v>1.846560998</v>
          </cell>
          <cell r="AX866">
            <v>1.86979465</v>
          </cell>
          <cell r="AY866">
            <v>1.8933181210000001</v>
          </cell>
          <cell r="AZ866">
            <v>1.9171225009999999</v>
          </cell>
          <cell r="BA866">
            <v>1.9412771280000001</v>
          </cell>
          <cell r="BB866">
            <v>1.9657306910000001</v>
          </cell>
          <cell r="BC866">
            <v>1.990468723</v>
          </cell>
          <cell r="BD866">
            <v>2.0154872940000002</v>
          </cell>
          <cell r="BE866">
            <v>2.0407863989999999</v>
          </cell>
        </row>
        <row r="868">
          <cell r="A868" t="str">
            <v>ems_ci_co2_soil_2</v>
          </cell>
          <cell r="B868">
            <v>16.253320129999999</v>
          </cell>
          <cell r="C868">
            <v>16.259166700000002</v>
          </cell>
          <cell r="D868">
            <v>16.306046259999999</v>
          </cell>
          <cell r="E868">
            <v>16.378150699999999</v>
          </cell>
          <cell r="F868">
            <v>16.476575100000002</v>
          </cell>
          <cell r="G868">
            <v>16.59961814</v>
          </cell>
          <cell r="H868">
            <v>16.734590520000001</v>
          </cell>
          <cell r="I868">
            <v>16.88326086</v>
          </cell>
          <cell r="J868">
            <v>17.04400085</v>
          </cell>
          <cell r="K868">
            <v>17.214659619999999</v>
          </cell>
          <cell r="L868">
            <v>17.407598159999999</v>
          </cell>
          <cell r="M868">
            <v>17.59629872</v>
          </cell>
          <cell r="N868">
            <v>17.787186309999999</v>
          </cell>
          <cell r="O868">
            <v>17.98103201</v>
          </cell>
          <cell r="P868">
            <v>18.177471260000001</v>
          </cell>
          <cell r="Q868">
            <v>18.376079359999999</v>
          </cell>
          <cell r="R868">
            <v>18.574857420000001</v>
          </cell>
          <cell r="S868">
            <v>18.774951380000001</v>
          </cell>
          <cell r="T868">
            <v>18.976557249999999</v>
          </cell>
          <cell r="U868">
            <v>19.1797279</v>
          </cell>
          <cell r="V868">
            <v>19.374148779999999</v>
          </cell>
          <cell r="W868">
            <v>19.576722</v>
          </cell>
          <cell r="X868">
            <v>19.782872940000001</v>
          </cell>
          <cell r="Y868">
            <v>19.99162712</v>
          </cell>
          <cell r="Z868">
            <v>20.202863059999999</v>
          </cell>
          <cell r="AA868">
            <v>20.387067460000001</v>
          </cell>
          <cell r="AB868">
            <v>20.578859479999998</v>
          </cell>
          <cell r="AC868">
            <v>20.772948670000002</v>
          </cell>
          <cell r="AD868">
            <v>20.968508010000001</v>
          </cell>
          <cell r="AE868">
            <v>21.165748229999998</v>
          </cell>
          <cell r="AF868">
            <v>21.365027510000001</v>
          </cell>
          <cell r="AG868">
            <v>21.567057460000001</v>
          </cell>
          <cell r="AH868">
            <v>21.771817250000002</v>
          </cell>
          <cell r="AI868">
            <v>21.979450700000001</v>
          </cell>
          <cell r="AJ868">
            <v>22.190087250000001</v>
          </cell>
          <cell r="AK868">
            <v>22.403813240000002</v>
          </cell>
          <cell r="AL868">
            <v>22.617028250000001</v>
          </cell>
          <cell r="AM868">
            <v>22.83143419</v>
          </cell>
          <cell r="AN868">
            <v>23.047663119999999</v>
          </cell>
          <cell r="AO868">
            <v>23.266012969999998</v>
          </cell>
          <cell r="AP868">
            <v>23.4866709</v>
          </cell>
          <cell r="AQ868">
            <v>23.710302219999999</v>
          </cell>
          <cell r="AR868">
            <v>23.936599690000001</v>
          </cell>
          <cell r="AS868">
            <v>24.16554309</v>
          </cell>
          <cell r="AT868">
            <v>24.397144569999998</v>
          </cell>
          <cell r="AU868">
            <v>24.631403339999999</v>
          </cell>
          <cell r="AV868">
            <v>24.870794969999999</v>
          </cell>
          <cell r="AW868">
            <v>25.113686040000001</v>
          </cell>
          <cell r="AX868">
            <v>25.359788200000001</v>
          </cell>
          <cell r="AY868">
            <v>25.609045689999999</v>
          </cell>
          <cell r="AZ868">
            <v>25.861406800000001</v>
          </cell>
          <cell r="BA868">
            <v>26.117919579999999</v>
          </cell>
          <cell r="BB868">
            <v>26.37765765</v>
          </cell>
          <cell r="BC868">
            <v>26.640372970000001</v>
          </cell>
          <cell r="BD868">
            <v>26.905957690000001</v>
          </cell>
          <cell r="BE868">
            <v>27.174335410000001</v>
          </cell>
        </row>
        <row r="870">
          <cell r="A870" t="str">
            <v>ems_ci_co2_sbfu_2</v>
          </cell>
          <cell r="B870">
            <v>3.7951541679999998</v>
          </cell>
          <cell r="C870">
            <v>3.7935826800000001</v>
          </cell>
          <cell r="D870">
            <v>3.796706022</v>
          </cell>
          <cell r="E870">
            <v>3.8056094489999999</v>
          </cell>
          <cell r="F870">
            <v>3.8218916850000002</v>
          </cell>
          <cell r="G870">
            <v>3.8452840479999999</v>
          </cell>
          <cell r="H870">
            <v>3.8729446219999999</v>
          </cell>
          <cell r="I870">
            <v>3.9047718649999998</v>
          </cell>
          <cell r="J870">
            <v>3.9399842359999999</v>
          </cell>
          <cell r="K870">
            <v>3.9778544980000001</v>
          </cell>
          <cell r="L870">
            <v>4.0207056830000001</v>
          </cell>
          <cell r="M870">
            <v>4.0630914300000001</v>
          </cell>
          <cell r="N870">
            <v>4.1063167869999999</v>
          </cell>
          <cell r="O870">
            <v>4.1504220250000001</v>
          </cell>
          <cell r="P870">
            <v>4.1952661149999999</v>
          </cell>
          <cell r="Q870">
            <v>4.2407181710000001</v>
          </cell>
          <cell r="R870">
            <v>4.2863243989999997</v>
          </cell>
          <cell r="S870">
            <v>4.3322952570000002</v>
          </cell>
          <cell r="T870">
            <v>4.3786343360000002</v>
          </cell>
          <cell r="U870">
            <v>4.4253231839999998</v>
          </cell>
          <cell r="V870">
            <v>4.4702500939999998</v>
          </cell>
          <cell r="W870">
            <v>4.5167993409999996</v>
          </cell>
          <cell r="X870">
            <v>4.5639862889999998</v>
          </cell>
          <cell r="Y870">
            <v>4.6116425330000004</v>
          </cell>
          <cell r="Z870">
            <v>4.6597503790000001</v>
          </cell>
          <cell r="AA870">
            <v>4.7023266540000002</v>
          </cell>
          <cell r="AB870">
            <v>4.7463417950000002</v>
          </cell>
          <cell r="AC870">
            <v>4.7905759449999996</v>
          </cell>
          <cell r="AD870">
            <v>4.8349073779999996</v>
          </cell>
          <cell r="AE870">
            <v>4.8794138519999999</v>
          </cell>
          <cell r="AF870">
            <v>4.9241948420000003</v>
          </cell>
          <cell r="AG870">
            <v>4.9694159410000003</v>
          </cell>
          <cell r="AH870">
            <v>5.0150831350000002</v>
          </cell>
          <cell r="AI870">
            <v>5.0612356509999996</v>
          </cell>
          <cell r="AJ870">
            <v>5.1079064169999997</v>
          </cell>
          <cell r="AK870">
            <v>5.1551179979999997</v>
          </cell>
          <cell r="AL870">
            <v>5.2021652009999997</v>
          </cell>
          <cell r="AM870">
            <v>5.2493675609999997</v>
          </cell>
          <cell r="AN870">
            <v>5.2968348770000002</v>
          </cell>
          <cell r="AO870">
            <v>5.3446296819999999</v>
          </cell>
          <cell r="AP870">
            <v>5.3928008399999996</v>
          </cell>
          <cell r="AQ870">
            <v>5.441499834</v>
          </cell>
          <cell r="AR870">
            <v>5.4906735180000004</v>
          </cell>
          <cell r="AS870">
            <v>5.5403309119999999</v>
          </cell>
          <cell r="AT870">
            <v>5.5904842019999998</v>
          </cell>
          <cell r="AU870">
            <v>5.6411395449999997</v>
          </cell>
          <cell r="AV870">
            <v>5.6927979090000003</v>
          </cell>
          <cell r="AW870">
            <v>5.7450920720000003</v>
          </cell>
          <cell r="AX870">
            <v>5.797949107</v>
          </cell>
          <cell r="AY870">
            <v>5.8513433700000004</v>
          </cell>
          <cell r="AZ870">
            <v>5.9052543350000004</v>
          </cell>
          <cell r="BA870">
            <v>5.9598946770000003</v>
          </cell>
          <cell r="BB870">
            <v>6.015064744</v>
          </cell>
          <cell r="BC870">
            <v>6.0707151939999999</v>
          </cell>
          <cell r="BD870">
            <v>6.1268223769999999</v>
          </cell>
          <cell r="BE870">
            <v>6.1833667730000004</v>
          </cell>
        </row>
        <row r="872">
          <cell r="A872" t="str">
            <v>ems_ci_co2_seoi_2</v>
          </cell>
          <cell r="B872">
            <v>3.007782765</v>
          </cell>
          <cell r="C872">
            <v>3.0123186679999998</v>
          </cell>
          <cell r="D872">
            <v>3.02040796</v>
          </cell>
          <cell r="E872">
            <v>3.0318846650000002</v>
          </cell>
          <cell r="F872">
            <v>3.0473655599999998</v>
          </cell>
          <cell r="G872">
            <v>3.0666468920000001</v>
          </cell>
          <cell r="H872">
            <v>3.0875070230000001</v>
          </cell>
          <cell r="I872">
            <v>3.110044034</v>
          </cell>
          <cell r="J872">
            <v>3.1342271359999998</v>
          </cell>
          <cell r="K872">
            <v>3.159823099</v>
          </cell>
          <cell r="L872">
            <v>3.1888366189999999</v>
          </cell>
          <cell r="M872">
            <v>3.2171934900000001</v>
          </cell>
          <cell r="N872">
            <v>3.2453489719999999</v>
          </cell>
          <cell r="O872">
            <v>3.2734136199999999</v>
          </cell>
          <cell r="P872">
            <v>3.301356722</v>
          </cell>
          <cell r="Q872">
            <v>3.3291396519999998</v>
          </cell>
          <cell r="R872">
            <v>3.3565628470000002</v>
          </cell>
          <cell r="S872">
            <v>3.3837641139999999</v>
          </cell>
          <cell r="T872">
            <v>3.4108207140000002</v>
          </cell>
          <cell r="U872">
            <v>3.4378009660000002</v>
          </cell>
          <cell r="V872">
            <v>3.463067143</v>
          </cell>
          <cell r="W872">
            <v>3.4892639980000002</v>
          </cell>
          <cell r="X872">
            <v>3.5160068889999998</v>
          </cell>
          <cell r="Y872">
            <v>3.5431617480000002</v>
          </cell>
          <cell r="Z872">
            <v>3.570728769</v>
          </cell>
          <cell r="AA872">
            <v>3.5938953539999998</v>
          </cell>
          <cell r="AB872">
            <v>3.617768001</v>
          </cell>
          <cell r="AC872">
            <v>3.6421560980000001</v>
          </cell>
          <cell r="AD872">
            <v>3.6670086230000001</v>
          </cell>
          <cell r="AE872">
            <v>3.6923868070000001</v>
          </cell>
          <cell r="AF872">
            <v>3.7183742359999998</v>
          </cell>
          <cell r="AG872">
            <v>3.7450885</v>
          </cell>
          <cell r="AH872">
            <v>3.7725655329999999</v>
          </cell>
          <cell r="AI872">
            <v>3.8008442589999998</v>
          </cell>
          <cell r="AJ872">
            <v>3.82995376</v>
          </cell>
          <cell r="AK872">
            <v>3.8599100530000001</v>
          </cell>
          <cell r="AL872">
            <v>3.8899400850000001</v>
          </cell>
          <cell r="AM872">
            <v>3.9203580819999999</v>
          </cell>
          <cell r="AN872">
            <v>3.9513319</v>
          </cell>
          <cell r="AO872">
            <v>3.9829338590000001</v>
          </cell>
          <cell r="AP872">
            <v>4.0151938730000003</v>
          </cell>
          <cell r="AQ872">
            <v>4.048179459</v>
          </cell>
          <cell r="AR872">
            <v>4.0818540390000004</v>
          </cell>
          <cell r="AS872">
            <v>4.1162002519999996</v>
          </cell>
          <cell r="AT872">
            <v>4.1512038139999996</v>
          </cell>
          <cell r="AU872">
            <v>4.1868510710000004</v>
          </cell>
          <cell r="AV872">
            <v>4.2234735780000001</v>
          </cell>
          <cell r="AW872">
            <v>4.2609733949999997</v>
          </cell>
          <cell r="AX872">
            <v>4.2993627710000002</v>
          </cell>
          <cell r="AY872">
            <v>4.3386645550000003</v>
          </cell>
          <cell r="AZ872">
            <v>4.3788831110000004</v>
          </cell>
          <cell r="BA872">
            <v>4.4201279449999999</v>
          </cell>
          <cell r="BB872">
            <v>4.462305486</v>
          </cell>
          <cell r="BC872">
            <v>4.5053771869999997</v>
          </cell>
          <cell r="BD872">
            <v>4.5493238490000003</v>
          </cell>
          <cell r="BE872">
            <v>4.5941353219999996</v>
          </cell>
        </row>
        <row r="874">
          <cell r="A874" t="str">
            <v>ems_ci_co2_sega_2</v>
          </cell>
          <cell r="B874">
            <v>3.5587353089999998</v>
          </cell>
          <cell r="C874">
            <v>3.5641027190000001</v>
          </cell>
          <cell r="D874">
            <v>3.5736744479999998</v>
          </cell>
          <cell r="E874">
            <v>3.5872539680000002</v>
          </cell>
          <cell r="F874">
            <v>3.6055709309999999</v>
          </cell>
          <cell r="G874">
            <v>3.6283842110000002</v>
          </cell>
          <cell r="H874">
            <v>3.6530652300000002</v>
          </cell>
          <cell r="I874">
            <v>3.6797300719999999</v>
          </cell>
          <cell r="J874">
            <v>3.708342359</v>
          </cell>
          <cell r="K874">
            <v>3.7386261850000002</v>
          </cell>
          <cell r="L874">
            <v>3.7729534870000001</v>
          </cell>
          <cell r="M874">
            <v>3.8065038179999999</v>
          </cell>
          <cell r="N874">
            <v>3.839815873</v>
          </cell>
          <cell r="O874">
            <v>3.87302049</v>
          </cell>
          <cell r="P874">
            <v>3.9060813529999998</v>
          </cell>
          <cell r="Q874">
            <v>3.9389527759999998</v>
          </cell>
          <cell r="R874">
            <v>3.9713986509999999</v>
          </cell>
          <cell r="S874">
            <v>4.0035820329999998</v>
          </cell>
          <cell r="T874">
            <v>4.0355943339999998</v>
          </cell>
          <cell r="U874">
            <v>4.0675163840000002</v>
          </cell>
          <cell r="V874">
            <v>4.0974104709999999</v>
          </cell>
          <cell r="W874">
            <v>4.128405785</v>
          </cell>
          <cell r="X874">
            <v>4.1600472110000002</v>
          </cell>
          <cell r="Y874">
            <v>4.1921761110000002</v>
          </cell>
          <cell r="Z874">
            <v>4.2247927010000002</v>
          </cell>
          <cell r="AA874">
            <v>4.2522028729999999</v>
          </cell>
          <cell r="AB874">
            <v>4.2804484829999998</v>
          </cell>
          <cell r="AC874">
            <v>4.3093039900000001</v>
          </cell>
          <cell r="AD874">
            <v>4.3387090089999996</v>
          </cell>
          <cell r="AE874">
            <v>4.368735977</v>
          </cell>
          <cell r="AF874">
            <v>4.3994837799999997</v>
          </cell>
          <cell r="AG874">
            <v>4.4310915409999998</v>
          </cell>
          <cell r="AH874">
            <v>4.4636017680000002</v>
          </cell>
          <cell r="AI874">
            <v>4.4970605130000001</v>
          </cell>
          <cell r="AJ874">
            <v>4.5315021829999997</v>
          </cell>
          <cell r="AK874">
            <v>4.5669457260000001</v>
          </cell>
          <cell r="AL874">
            <v>4.6024764920000001</v>
          </cell>
          <cell r="AM874">
            <v>4.6384662680000002</v>
          </cell>
          <cell r="AN874">
            <v>4.6751136600000001</v>
          </cell>
          <cell r="AO874">
            <v>4.712504236</v>
          </cell>
          <cell r="AP874">
            <v>4.7506733900000002</v>
          </cell>
          <cell r="AQ874">
            <v>4.7897010059999996</v>
          </cell>
          <cell r="AR874">
            <v>4.8295438089999996</v>
          </cell>
          <cell r="AS874">
            <v>4.8701812589999998</v>
          </cell>
          <cell r="AT874">
            <v>4.9115964600000002</v>
          </cell>
          <cell r="AU874">
            <v>4.9537732569999999</v>
          </cell>
          <cell r="AV874">
            <v>4.9971039380000004</v>
          </cell>
          <cell r="AW874">
            <v>5.0414726239999998</v>
          </cell>
          <cell r="AX874">
            <v>5.0868938100000003</v>
          </cell>
          <cell r="AY874">
            <v>5.1333945310000004</v>
          </cell>
          <cell r="AZ874">
            <v>5.1809799520000004</v>
          </cell>
          <cell r="BA874">
            <v>5.2297796390000002</v>
          </cell>
          <cell r="BB874">
            <v>5.2796828810000003</v>
          </cell>
          <cell r="BC874">
            <v>5.3306440740000003</v>
          </cell>
          <cell r="BD874">
            <v>5.3826405020000001</v>
          </cell>
          <cell r="BE874">
            <v>5.4356601580000001</v>
          </cell>
        </row>
        <row r="876">
          <cell r="A876" t="str">
            <v>ems_ci_co2_seco_2</v>
          </cell>
          <cell r="B876">
            <v>7.3355310359999999</v>
          </cell>
          <cell r="C876">
            <v>7.3465947429999998</v>
          </cell>
          <cell r="D876">
            <v>7.3663247060000003</v>
          </cell>
          <cell r="E876">
            <v>7.3943158279999999</v>
          </cell>
          <cell r="F876">
            <v>7.4320721199999999</v>
          </cell>
          <cell r="G876">
            <v>7.4790965549999999</v>
          </cell>
          <cell r="H876">
            <v>7.5299709149999998</v>
          </cell>
          <cell r="I876">
            <v>7.5849344810000003</v>
          </cell>
          <cell r="J876">
            <v>7.6439122629999998</v>
          </cell>
          <cell r="K876">
            <v>7.706335546</v>
          </cell>
          <cell r="L876">
            <v>7.7770935459999997</v>
          </cell>
          <cell r="M876">
            <v>7.846249995</v>
          </cell>
          <cell r="N876">
            <v>7.9149152909999998</v>
          </cell>
          <cell r="O876">
            <v>7.9833591269999999</v>
          </cell>
          <cell r="P876">
            <v>8.0515066470000001</v>
          </cell>
          <cell r="Q876">
            <v>8.1192636789999995</v>
          </cell>
          <cell r="R876">
            <v>8.1861435409999999</v>
          </cell>
          <cell r="S876">
            <v>8.2524823319999996</v>
          </cell>
          <cell r="T876">
            <v>8.3184684779999998</v>
          </cell>
          <cell r="U876">
            <v>8.3842685899999996</v>
          </cell>
          <cell r="V876">
            <v>8.4458885170000002</v>
          </cell>
          <cell r="W876">
            <v>8.5097783719999995</v>
          </cell>
          <cell r="X876">
            <v>8.5750000439999994</v>
          </cell>
          <cell r="Y876">
            <v>8.6412265309999992</v>
          </cell>
          <cell r="Z876">
            <v>8.7084582850000007</v>
          </cell>
          <cell r="AA876">
            <v>8.7649581770000005</v>
          </cell>
          <cell r="AB876">
            <v>8.8231801389999998</v>
          </cell>
          <cell r="AC876">
            <v>8.8826592640000008</v>
          </cell>
          <cell r="AD876">
            <v>8.9432710879999995</v>
          </cell>
          <cell r="AE876">
            <v>9.005164916</v>
          </cell>
          <cell r="AF876">
            <v>9.0685445839999996</v>
          </cell>
          <cell r="AG876">
            <v>9.1336968610000007</v>
          </cell>
          <cell r="AH876">
            <v>9.2007093700000002</v>
          </cell>
          <cell r="AI876">
            <v>9.2696770350000008</v>
          </cell>
          <cell r="AJ876">
            <v>9.3406707769999997</v>
          </cell>
          <cell r="AK876">
            <v>9.4137296549999991</v>
          </cell>
          <cell r="AL876">
            <v>9.4869683249999994</v>
          </cell>
          <cell r="AM876">
            <v>9.561153139</v>
          </cell>
          <cell r="AN876">
            <v>9.636693481</v>
          </cell>
          <cell r="AO876">
            <v>9.7137657300000004</v>
          </cell>
          <cell r="AP876">
            <v>9.7924428399999996</v>
          </cell>
          <cell r="AQ876">
            <v>9.8728894779999994</v>
          </cell>
          <cell r="AR876">
            <v>9.9550164399999996</v>
          </cell>
          <cell r="AS876">
            <v>10.03878139</v>
          </cell>
          <cell r="AT876">
            <v>10.124149490000001</v>
          </cell>
          <cell r="AU876">
            <v>10.21108746</v>
          </cell>
          <cell r="AV876">
            <v>10.30040389</v>
          </cell>
          <cell r="AW876">
            <v>10.39185994</v>
          </cell>
          <cell r="AX876">
            <v>10.485485479999999</v>
          </cell>
          <cell r="AY876">
            <v>10.581336240000001</v>
          </cell>
          <cell r="AZ876">
            <v>10.67942287</v>
          </cell>
          <cell r="BA876">
            <v>10.780012429999999</v>
          </cell>
          <cell r="BB876">
            <v>10.882876720000001</v>
          </cell>
          <cell r="BC876">
            <v>10.98792173</v>
          </cell>
          <cell r="BD876">
            <v>11.09510066</v>
          </cell>
          <cell r="BE876">
            <v>11.20438873</v>
          </cell>
        </row>
        <row r="878">
          <cell r="A878" t="str">
            <v>ems_ci_co2_sech_2</v>
          </cell>
          <cell r="B878">
            <v>9.578089254</v>
          </cell>
          <cell r="C878">
            <v>9.6327825320000002</v>
          </cell>
          <cell r="D878">
            <v>9.7007197289999993</v>
          </cell>
          <cell r="E878">
            <v>9.7779975720000003</v>
          </cell>
          <cell r="F878">
            <v>9.8645683460000004</v>
          </cell>
          <cell r="G878">
            <v>9.9604536780000004</v>
          </cell>
          <cell r="H878">
            <v>10.058448820000001</v>
          </cell>
          <cell r="I878">
            <v>10.156730189999999</v>
          </cell>
          <cell r="J878">
            <v>10.2542349</v>
          </cell>
          <cell r="K878">
            <v>10.35067445</v>
          </cell>
          <cell r="L878">
            <v>10.457541709999999</v>
          </cell>
          <cell r="M878">
            <v>10.55787812</v>
          </cell>
          <cell r="N878">
            <v>10.65460242</v>
          </cell>
          <cell r="O878">
            <v>10.7497366</v>
          </cell>
          <cell r="P878">
            <v>10.84424353</v>
          </cell>
          <cell r="Q878">
            <v>10.938583879999999</v>
          </cell>
          <cell r="R878">
            <v>11.03262984</v>
          </cell>
          <cell r="S878">
            <v>11.12678532</v>
          </cell>
          <cell r="T878">
            <v>11.22129161</v>
          </cell>
          <cell r="U878">
            <v>11.31634753</v>
          </cell>
          <cell r="V878">
            <v>11.404320329999999</v>
          </cell>
          <cell r="W878">
            <v>11.49711666</v>
          </cell>
          <cell r="X878">
            <v>11.593238380000001</v>
          </cell>
          <cell r="Y878">
            <v>11.69167554</v>
          </cell>
          <cell r="Z878">
            <v>11.792028159999999</v>
          </cell>
          <cell r="AA878">
            <v>11.872371210000001</v>
          </cell>
          <cell r="AB878">
            <v>11.95515599</v>
          </cell>
          <cell r="AC878">
            <v>12.04063285</v>
          </cell>
          <cell r="AD878">
            <v>12.128397680000001</v>
          </cell>
          <cell r="AE878">
            <v>12.21831727</v>
          </cell>
          <cell r="AF878">
            <v>12.31033573</v>
          </cell>
          <cell r="AG878">
            <v>12.40447868</v>
          </cell>
          <cell r="AH878">
            <v>12.500608250000001</v>
          </cell>
          <cell r="AI878">
            <v>12.59858524</v>
          </cell>
          <cell r="AJ878">
            <v>12.69826349</v>
          </cell>
          <cell r="AK878">
            <v>12.7995056</v>
          </cell>
          <cell r="AL878">
            <v>12.89803305</v>
          </cell>
          <cell r="AM878">
            <v>12.99575697</v>
          </cell>
          <cell r="AN878">
            <v>13.09387809</v>
          </cell>
          <cell r="AO878">
            <v>13.1930003</v>
          </cell>
          <cell r="AP878">
            <v>13.29344899</v>
          </cell>
          <cell r="AQ878">
            <v>13.39554248</v>
          </cell>
          <cell r="AR878">
            <v>13.49937444</v>
          </cell>
          <cell r="AS878">
            <v>13.605065890000001</v>
          </cell>
          <cell r="AT878">
            <v>13.712738720000001</v>
          </cell>
          <cell r="AU878">
            <v>13.82248907</v>
          </cell>
          <cell r="AV878">
            <v>13.93458996</v>
          </cell>
          <cell r="AW878">
            <v>14.047849579999999</v>
          </cell>
          <cell r="AX878">
            <v>14.161467590000001</v>
          </cell>
          <cell r="AY878">
            <v>14.27503546</v>
          </cell>
          <cell r="AZ878">
            <v>14.388440490000001</v>
          </cell>
          <cell r="BA878">
            <v>14.50199112</v>
          </cell>
          <cell r="BB878">
            <v>14.615726710000001</v>
          </cell>
          <cell r="BC878">
            <v>14.72983311</v>
          </cell>
          <cell r="BD878">
            <v>14.84453089</v>
          </cell>
          <cell r="BE878">
            <v>14.960029520000001</v>
          </cell>
        </row>
        <row r="880">
          <cell r="A880" t="str">
            <v>ems_ci_co2_seot_2</v>
          </cell>
          <cell r="B880">
            <v>1.3049183010000001</v>
          </cell>
          <cell r="C880">
            <v>1.3064978840000001</v>
          </cell>
          <cell r="D880">
            <v>1.3093928699999999</v>
          </cell>
          <cell r="E880">
            <v>1.313595114</v>
          </cell>
          <cell r="F880">
            <v>1.319448502</v>
          </cell>
          <cell r="G880">
            <v>1.3269322690000001</v>
          </cell>
          <cell r="H880">
            <v>1.3351346040000001</v>
          </cell>
          <cell r="I880">
            <v>1.3441299250000001</v>
          </cell>
          <cell r="J880">
            <v>1.3539230689999999</v>
          </cell>
          <cell r="K880">
            <v>1.3644220140000001</v>
          </cell>
          <cell r="L880">
            <v>1.3764964070000001</v>
          </cell>
          <cell r="M880">
            <v>1.388386766</v>
          </cell>
          <cell r="N880">
            <v>1.4002845589999999</v>
          </cell>
          <cell r="O880">
            <v>1.412229634</v>
          </cell>
          <cell r="P880">
            <v>1.4241996990000001</v>
          </cell>
          <cell r="Q880">
            <v>1.4361686090000001</v>
          </cell>
          <cell r="R880">
            <v>1.448040604</v>
          </cell>
          <cell r="S880">
            <v>1.4598652249999999</v>
          </cell>
          <cell r="T880">
            <v>1.471666227</v>
          </cell>
          <cell r="U880">
            <v>1.4834641609999999</v>
          </cell>
          <cell r="V880">
            <v>1.4945426580000001</v>
          </cell>
          <cell r="W880">
            <v>1.506034616</v>
          </cell>
          <cell r="X880">
            <v>1.517767986</v>
          </cell>
          <cell r="Y880">
            <v>1.529680143</v>
          </cell>
          <cell r="Z880">
            <v>1.5417672630000001</v>
          </cell>
          <cell r="AA880">
            <v>1.5519437730000001</v>
          </cell>
          <cell r="AB880">
            <v>1.562406746</v>
          </cell>
          <cell r="AC880">
            <v>1.573069383</v>
          </cell>
          <cell r="AD880">
            <v>1.5839072439999999</v>
          </cell>
          <cell r="AE880">
            <v>1.5949456740000001</v>
          </cell>
          <cell r="AF880">
            <v>1.606220647</v>
          </cell>
          <cell r="AG880">
            <v>1.6177835890000001</v>
          </cell>
          <cell r="AH880">
            <v>1.6296515</v>
          </cell>
          <cell r="AI880">
            <v>1.6418432860000001</v>
          </cell>
          <cell r="AJ880">
            <v>1.654373995</v>
          </cell>
          <cell r="AK880">
            <v>1.6672532200000001</v>
          </cell>
          <cell r="AL880">
            <v>1.680148016</v>
          </cell>
          <cell r="AM880">
            <v>1.693195574</v>
          </cell>
          <cell r="AN880">
            <v>1.706470226</v>
          </cell>
          <cell r="AO880">
            <v>1.7200051220000001</v>
          </cell>
          <cell r="AP880">
            <v>1.733814959</v>
          </cell>
          <cell r="AQ880">
            <v>1.747930282</v>
          </cell>
          <cell r="AR880">
            <v>1.762336693</v>
          </cell>
          <cell r="AS880">
            <v>1.777028013</v>
          </cell>
          <cell r="AT880">
            <v>1.7919992810000001</v>
          </cell>
          <cell r="AU880">
            <v>1.8072456880000001</v>
          </cell>
          <cell r="AV880">
            <v>1.8229108279999999</v>
          </cell>
          <cell r="AW880">
            <v>1.838953788</v>
          </cell>
          <cell r="AX880">
            <v>1.8553815170000001</v>
          </cell>
          <cell r="AY880">
            <v>1.8722054050000001</v>
          </cell>
          <cell r="AZ880">
            <v>1.8894284809999999</v>
          </cell>
          <cell r="BA880">
            <v>1.907098221</v>
          </cell>
          <cell r="BB880">
            <v>1.925174602</v>
          </cell>
          <cell r="BC880">
            <v>1.9436412439999999</v>
          </cell>
          <cell r="BD880">
            <v>1.9624899090000001</v>
          </cell>
          <cell r="BE880">
            <v>1.98171605</v>
          </cell>
        </row>
        <row r="882">
          <cell r="A882" t="str">
            <v>ems_y_co2_sagr_2</v>
          </cell>
          <cell r="B882">
            <v>2.6945346299999999E-2</v>
          </cell>
          <cell r="C882">
            <v>2.69911514E-2</v>
          </cell>
          <cell r="D882">
            <v>2.7125668299999999E-2</v>
          </cell>
          <cell r="E882">
            <v>2.73323156E-2</v>
          </cell>
          <cell r="F882">
            <v>2.7602288499999999E-2</v>
          </cell>
          <cell r="G882">
            <v>2.79260455E-2</v>
          </cell>
          <cell r="H882">
            <v>2.8277258999999999E-2</v>
          </cell>
          <cell r="I882">
            <v>2.86572155E-2</v>
          </cell>
          <cell r="J882">
            <v>2.9060723100000001E-2</v>
          </cell>
          <cell r="K882">
            <v>2.94830905E-2</v>
          </cell>
          <cell r="L882">
            <v>2.9949239700000001E-2</v>
          </cell>
          <cell r="M882">
            <v>3.0408734699999999E-2</v>
          </cell>
          <cell r="N882">
            <v>3.08735399E-2</v>
          </cell>
          <cell r="O882">
            <v>3.1342985400000002E-2</v>
          </cell>
          <cell r="P882">
            <v>3.1816266500000003E-2</v>
          </cell>
          <cell r="Q882">
            <v>3.2292914700000001E-2</v>
          </cell>
          <cell r="R882">
            <v>3.2770106100000002E-2</v>
          </cell>
          <cell r="S882">
            <v>3.3250021999999997E-2</v>
          </cell>
          <cell r="T882">
            <v>3.3733091999999999E-2</v>
          </cell>
          <cell r="U882">
            <v>3.4219732900000001E-2</v>
          </cell>
          <cell r="V882">
            <v>3.4689215599999997E-2</v>
          </cell>
          <cell r="W882">
            <v>3.51747003E-2</v>
          </cell>
          <cell r="X882">
            <v>3.5667682100000001E-2</v>
          </cell>
          <cell r="Y882">
            <v>3.6167865100000002E-2</v>
          </cell>
          <cell r="Z882">
            <v>3.6675315200000003E-2</v>
          </cell>
          <cell r="AA882">
            <v>3.7129477500000001E-2</v>
          </cell>
          <cell r="AB882">
            <v>3.7596336500000001E-2</v>
          </cell>
          <cell r="AC882">
            <v>3.8065075599999998E-2</v>
          </cell>
          <cell r="AD882">
            <v>3.8537219499999997E-2</v>
          </cell>
          <cell r="AE882">
            <v>3.9014518800000002E-2</v>
          </cell>
          <cell r="AF882">
            <v>3.9498417000000001E-2</v>
          </cell>
          <cell r="AG882">
            <v>3.9990562700000003E-2</v>
          </cell>
          <cell r="AH882">
            <v>4.04911747E-2</v>
          </cell>
          <cell r="AI882">
            <v>4.1000596399999999E-2</v>
          </cell>
          <cell r="AJ882">
            <v>4.1518984100000003E-2</v>
          </cell>
          <cell r="AK882">
            <v>4.20463674E-2</v>
          </cell>
          <cell r="AL882">
            <v>4.2573593200000003E-2</v>
          </cell>
          <cell r="AM882">
            <v>4.3104174600000003E-2</v>
          </cell>
          <cell r="AN882">
            <v>4.3639374199999997E-2</v>
          </cell>
          <cell r="AO882">
            <v>4.4180173500000003E-2</v>
          </cell>
          <cell r="AP882">
            <v>4.4727427299999997E-2</v>
          </cell>
          <cell r="AQ882">
            <v>4.5282724900000002E-2</v>
          </cell>
          <cell r="AR882">
            <v>4.5845997899999998E-2</v>
          </cell>
          <cell r="AS882">
            <v>4.64175899E-2</v>
          </cell>
          <cell r="AT882">
            <v>4.6997726900000002E-2</v>
          </cell>
          <cell r="AU882">
            <v>4.7586530299999999E-2</v>
          </cell>
          <cell r="AV882">
            <v>4.81882639E-2</v>
          </cell>
          <cell r="AW882">
            <v>4.8800028799999999E-2</v>
          </cell>
          <cell r="AX882">
            <v>4.9421355399999999E-2</v>
          </cell>
          <cell r="AY882">
            <v>5.0051914599999997E-2</v>
          </cell>
          <cell r="AZ882">
            <v>5.0691464700000001E-2</v>
          </cell>
          <cell r="BA882">
            <v>5.1341694700000003E-2</v>
          </cell>
          <cell r="BB882">
            <v>5.2001157200000002E-2</v>
          </cell>
          <cell r="BC882">
            <v>5.2669663200000001E-2</v>
          </cell>
          <cell r="BD882">
            <v>5.3347127299999998E-2</v>
          </cell>
          <cell r="BE882">
            <v>5.4033530500000003E-2</v>
          </cell>
        </row>
        <row r="883">
          <cell r="A883" t="str">
            <v>ems_mat_co2_spub_2</v>
          </cell>
          <cell r="B883">
            <v>4.2724482439999996</v>
          </cell>
          <cell r="C883">
            <v>4.327612276</v>
          </cell>
          <cell r="D883">
            <v>4.3900990379999998</v>
          </cell>
          <cell r="E883">
            <v>4.4560269689999998</v>
          </cell>
          <cell r="F883">
            <v>4.5247328759999998</v>
          </cell>
          <cell r="G883">
            <v>4.5959439409999998</v>
          </cell>
          <cell r="H883">
            <v>4.6657143589999999</v>
          </cell>
          <cell r="I883">
            <v>4.7367844330000004</v>
          </cell>
          <cell r="J883">
            <v>4.8093820149999997</v>
          </cell>
          <cell r="K883">
            <v>4.8834344679999999</v>
          </cell>
          <cell r="L883">
            <v>4.9653204759999996</v>
          </cell>
          <cell r="M883">
            <v>5.0432251099999998</v>
          </cell>
          <cell r="N883">
            <v>5.1216111260000003</v>
          </cell>
          <cell r="O883">
            <v>5.2010302920000004</v>
          </cell>
          <cell r="P883">
            <v>5.2815468369999996</v>
          </cell>
          <cell r="Q883">
            <v>5.3631738760000003</v>
          </cell>
          <cell r="R883">
            <v>5.44586959</v>
          </cell>
          <cell r="S883">
            <v>5.5296846640000004</v>
          </cell>
          <cell r="T883">
            <v>5.6146549620000004</v>
          </cell>
          <cell r="U883">
            <v>5.7008122380000001</v>
          </cell>
          <cell r="V883">
            <v>5.783367707</v>
          </cell>
          <cell r="W883">
            <v>5.8710592740000003</v>
          </cell>
          <cell r="X883">
            <v>5.9605722569999999</v>
          </cell>
          <cell r="Y883">
            <v>6.0515074149999997</v>
          </cell>
          <cell r="Z883">
            <v>6.1438337299999999</v>
          </cell>
          <cell r="AA883">
            <v>6.223614993</v>
          </cell>
          <cell r="AB883">
            <v>6.3094795750000001</v>
          </cell>
          <cell r="AC883">
            <v>6.3970122690000002</v>
          </cell>
          <cell r="AD883">
            <v>6.4857285320000004</v>
          </cell>
          <cell r="AE883">
            <v>6.575636598</v>
          </cell>
          <cell r="AF883">
            <v>6.6667966180000002</v>
          </cell>
          <cell r="AG883">
            <v>6.7592750380000002</v>
          </cell>
          <cell r="AH883">
            <v>6.8531053599999998</v>
          </cell>
          <cell r="AI883">
            <v>6.9483136600000002</v>
          </cell>
          <cell r="AJ883">
            <v>7.044919385</v>
          </cell>
          <cell r="AK883">
            <v>7.1429378149999998</v>
          </cell>
          <cell r="AL883">
            <v>7.2391123400000001</v>
          </cell>
          <cell r="AM883">
            <v>7.3360960349999997</v>
          </cell>
          <cell r="AN883">
            <v>7.434254664</v>
          </cell>
          <cell r="AO883">
            <v>7.5336702840000003</v>
          </cell>
          <cell r="AP883">
            <v>7.6343907120000001</v>
          </cell>
          <cell r="AQ883">
            <v>7.7364771589999997</v>
          </cell>
          <cell r="AR883">
            <v>7.8399581950000004</v>
          </cell>
          <cell r="AS883">
            <v>7.9448618910000004</v>
          </cell>
          <cell r="AT883">
            <v>8.0512124450000009</v>
          </cell>
          <cell r="AU883">
            <v>8.1590302470000005</v>
          </cell>
          <cell r="AV883">
            <v>8.2687048490000006</v>
          </cell>
          <cell r="AW883">
            <v>8.3799756960000007</v>
          </cell>
          <cell r="AX883">
            <v>8.4928093189999991</v>
          </cell>
          <cell r="AY883">
            <v>8.6072053319999995</v>
          </cell>
          <cell r="AZ883">
            <v>8.7231710590000002</v>
          </cell>
          <cell r="BA883">
            <v>8.8407592509999997</v>
          </cell>
          <cell r="BB883">
            <v>8.9599654649999998</v>
          </cell>
          <cell r="BC883">
            <v>9.0807980970000006</v>
          </cell>
          <cell r="BD883">
            <v>9.2032711430000003</v>
          </cell>
          <cell r="BE883">
            <v>9.3274020869999994</v>
          </cell>
        </row>
        <row r="884">
          <cell r="A884" t="str">
            <v>ems_mat_co2_sgla_2</v>
          </cell>
          <cell r="B884">
            <v>10.761824989999999</v>
          </cell>
          <cell r="C884">
            <v>10.81758511</v>
          </cell>
          <cell r="D884">
            <v>10.91680672</v>
          </cell>
          <cell r="E884">
            <v>11.03957215</v>
          </cell>
          <cell r="F884">
            <v>11.17881539</v>
          </cell>
          <cell r="G884">
            <v>11.33058694</v>
          </cell>
          <cell r="H884">
            <v>11.48663571</v>
          </cell>
          <cell r="I884">
            <v>11.64764072</v>
          </cell>
          <cell r="J884">
            <v>11.813230709999999</v>
          </cell>
          <cell r="K884">
            <v>11.982912430000001</v>
          </cell>
          <cell r="L884">
            <v>12.1656835</v>
          </cell>
          <cell r="M884">
            <v>12.34667644</v>
          </cell>
          <cell r="N884">
            <v>12.528759279999999</v>
          </cell>
          <cell r="O884">
            <v>12.71261617</v>
          </cell>
          <cell r="P884">
            <v>12.898500719999999</v>
          </cell>
          <cell r="Q884">
            <v>13.08661047</v>
          </cell>
          <cell r="R884">
            <v>13.27626667</v>
          </cell>
          <cell r="S884">
            <v>13.46831426</v>
          </cell>
          <cell r="T884">
            <v>13.663168369999999</v>
          </cell>
          <cell r="U884">
            <v>13.86115068</v>
          </cell>
          <cell r="V884">
            <v>14.055614569999999</v>
          </cell>
          <cell r="W884">
            <v>14.25676966</v>
          </cell>
          <cell r="X884">
            <v>14.46297459</v>
          </cell>
          <cell r="Y884">
            <v>14.67390052</v>
          </cell>
          <cell r="Z884">
            <v>14.88950438</v>
          </cell>
          <cell r="AA884">
            <v>15.08993044</v>
          </cell>
          <cell r="AB884">
            <v>15.294593649999999</v>
          </cell>
          <cell r="AC884">
            <v>15.50196255</v>
          </cell>
          <cell r="AD884">
            <v>15.712048879999999</v>
          </cell>
          <cell r="AE884">
            <v>15.92511955</v>
          </cell>
          <cell r="AF884">
            <v>16.141423320000001</v>
          </cell>
          <cell r="AG884">
            <v>16.361335879999999</v>
          </cell>
          <cell r="AH884">
            <v>16.584814860000002</v>
          </cell>
          <cell r="AI884">
            <v>16.81183695</v>
          </cell>
          <cell r="AJ884">
            <v>17.04233889</v>
          </cell>
          <cell r="AK884">
            <v>17.276223269999999</v>
          </cell>
          <cell r="AL884">
            <v>17.510421109999999</v>
          </cell>
          <cell r="AM884">
            <v>17.745644989999999</v>
          </cell>
          <cell r="AN884">
            <v>17.982239880000002</v>
          </cell>
          <cell r="AO884">
            <v>18.220394509999998</v>
          </cell>
          <cell r="AP884">
            <v>18.46024066</v>
          </cell>
          <cell r="AQ884">
            <v>18.702177989999999</v>
          </cell>
          <cell r="AR884">
            <v>18.946117059999999</v>
          </cell>
          <cell r="AS884">
            <v>19.19207574</v>
          </cell>
          <cell r="AT884">
            <v>19.440075140000001</v>
          </cell>
          <cell r="AU884">
            <v>19.69012622</v>
          </cell>
          <cell r="AV884">
            <v>19.943659109999999</v>
          </cell>
          <cell r="AW884">
            <v>20.199898359999999</v>
          </cell>
          <cell r="AX884">
            <v>20.45860643</v>
          </cell>
          <cell r="AY884">
            <v>20.719665460000002</v>
          </cell>
          <cell r="AZ884">
            <v>20.983010960000001</v>
          </cell>
          <cell r="BA884">
            <v>21.249250109999998</v>
          </cell>
          <cell r="BB884">
            <v>21.518024329999999</v>
          </cell>
          <cell r="BC884">
            <v>21.789268320000001</v>
          </cell>
          <cell r="BD884">
            <v>22.062988659999998</v>
          </cell>
          <cell r="BE884">
            <v>22.339227470000001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8">
          <cell r="A18" t="str">
            <v>auto_ca_cfut_2</v>
          </cell>
          <cell r="B18">
            <v>7095.7005250000002</v>
          </cell>
          <cell r="C18">
            <v>7135.3667249999999</v>
          </cell>
          <cell r="D18">
            <v>7218.7807169999996</v>
          </cell>
          <cell r="E18">
            <v>7332.2624589999996</v>
          </cell>
          <cell r="F18">
            <v>7466.9777160000003</v>
          </cell>
          <cell r="G18">
            <v>7617.3726589999997</v>
          </cell>
          <cell r="H18">
            <v>7778.771522</v>
          </cell>
          <cell r="I18">
            <v>7948.8347240000003</v>
          </cell>
          <cell r="J18">
            <v>8125.9212509999998</v>
          </cell>
          <cell r="K18">
            <v>8308.8100040000008</v>
          </cell>
          <cell r="L18">
            <v>8498.5928469999999</v>
          </cell>
          <cell r="M18">
            <v>8692.2801199999994</v>
          </cell>
          <cell r="N18">
            <v>8889.1433620000007</v>
          </cell>
          <cell r="O18">
            <v>9088.5337340000005</v>
          </cell>
          <cell r="P18">
            <v>9289.8981729999996</v>
          </cell>
          <cell r="Q18">
            <v>9492.7709570000006</v>
          </cell>
          <cell r="R18">
            <v>9696.6975569999995</v>
          </cell>
          <cell r="S18">
            <v>9901.3160630000002</v>
          </cell>
          <cell r="T18">
            <v>10106.326440000001</v>
          </cell>
          <cell r="U18">
            <v>10311.472400000001</v>
          </cell>
          <cell r="V18">
            <v>10514.91879</v>
          </cell>
          <cell r="W18">
            <v>10718.19794</v>
          </cell>
          <cell r="X18">
            <v>10921.18376</v>
          </cell>
          <cell r="Y18">
            <v>11123.801359999999</v>
          </cell>
          <cell r="Z18">
            <v>11325.992319999999</v>
          </cell>
          <cell r="AA18">
            <v>11522.984200000001</v>
          </cell>
          <cell r="AB18">
            <v>11717.5681</v>
          </cell>
          <cell r="AC18">
            <v>11909.931269999999</v>
          </cell>
          <cell r="AD18">
            <v>12100.359990000001</v>
          </cell>
          <cell r="AE18">
            <v>12289.17087</v>
          </cell>
          <cell r="AF18">
            <v>12476.673769999999</v>
          </cell>
          <cell r="AG18">
            <v>12663.1672</v>
          </cell>
          <cell r="AH18">
            <v>12848.90935</v>
          </cell>
          <cell r="AI18">
            <v>13034.123449999999</v>
          </cell>
          <cell r="AJ18">
            <v>13219.005660000001</v>
          </cell>
          <cell r="AK18">
            <v>13403.731180000001</v>
          </cell>
          <cell r="AL18">
            <v>13587.43024</v>
          </cell>
          <cell r="AM18">
            <v>13770.361370000001</v>
          </cell>
          <cell r="AN18">
            <v>13952.74487</v>
          </cell>
          <cell r="AO18">
            <v>14134.80773</v>
          </cell>
          <cell r="AP18">
            <v>14316.780940000001</v>
          </cell>
          <cell r="AQ18">
            <v>14498.90343</v>
          </cell>
          <cell r="AR18">
            <v>14681.376459999999</v>
          </cell>
          <cell r="AS18">
            <v>14864.36097</v>
          </cell>
          <cell r="AT18">
            <v>15047.98064</v>
          </cell>
          <cell r="AU18">
            <v>15232.32458</v>
          </cell>
          <cell r="AV18">
            <v>15417.617679999999</v>
          </cell>
          <cell r="AW18">
            <v>15603.90432</v>
          </cell>
          <cell r="AX18">
            <v>15791.17785</v>
          </cell>
          <cell r="AY18">
            <v>15979.40316</v>
          </cell>
          <cell r="AZ18">
            <v>16168.525799999999</v>
          </cell>
          <cell r="BA18">
            <v>16358.51449</v>
          </cell>
          <cell r="BB18">
            <v>16549.295249999999</v>
          </cell>
          <cell r="BC18">
            <v>16740.761829999999</v>
          </cell>
          <cell r="BD18">
            <v>16932.78916</v>
          </cell>
          <cell r="BE18">
            <v>17125.23702</v>
          </cell>
        </row>
        <row r="19">
          <cell r="A19" t="str">
            <v>auto_ca_cfut_0</v>
          </cell>
          <cell r="B19">
            <v>7095.7005250000002</v>
          </cell>
          <cell r="C19">
            <v>7145.1881119999998</v>
          </cell>
          <cell r="D19">
            <v>7246.0534660000003</v>
          </cell>
          <cell r="E19">
            <v>7381.6108990000002</v>
          </cell>
          <cell r="F19">
            <v>7540.7730229999997</v>
          </cell>
          <cell r="G19">
            <v>7716.3454899999997</v>
          </cell>
          <cell r="H19">
            <v>7902.5358239999996</v>
          </cell>
          <cell r="I19">
            <v>8096.3143440000003</v>
          </cell>
          <cell r="J19">
            <v>8295.6681829999998</v>
          </cell>
          <cell r="K19">
            <v>8499.2177219999994</v>
          </cell>
          <cell r="L19">
            <v>8708.0686929999993</v>
          </cell>
          <cell r="M19">
            <v>8919.294382</v>
          </cell>
          <cell r="N19">
            <v>9132.2456810000003</v>
          </cell>
          <cell r="O19">
            <v>9346.3567249999996</v>
          </cell>
          <cell r="P19">
            <v>9561.164272</v>
          </cell>
          <cell r="Q19">
            <v>9776.3003829999998</v>
          </cell>
          <cell r="R19">
            <v>9991.4774679999991</v>
          </cell>
          <cell r="S19">
            <v>10206.472970000001</v>
          </cell>
          <cell r="T19">
            <v>10421.11663</v>
          </cell>
          <cell r="U19">
            <v>10635.2811</v>
          </cell>
          <cell r="V19">
            <v>10847.227699999999</v>
          </cell>
          <cell r="W19">
            <v>11058.634669999999</v>
          </cell>
          <cell r="X19">
            <v>11269.50849</v>
          </cell>
          <cell r="Y19">
            <v>11479.89775</v>
          </cell>
          <cell r="Z19">
            <v>11689.85656</v>
          </cell>
          <cell r="AA19">
            <v>11894.61527</v>
          </cell>
          <cell r="AB19">
            <v>12097.035309999999</v>
          </cell>
          <cell r="AC19">
            <v>12297.38128</v>
          </cell>
          <cell r="AD19">
            <v>12496.02024</v>
          </cell>
          <cell r="AE19">
            <v>12693.342409999999</v>
          </cell>
          <cell r="AF19">
            <v>12889.7217</v>
          </cell>
          <cell r="AG19">
            <v>13085.498320000001</v>
          </cell>
          <cell r="AH19">
            <v>13280.974399999999</v>
          </cell>
          <cell r="AI19">
            <v>13476.416950000001</v>
          </cell>
          <cell r="AJ19">
            <v>13672.06379</v>
          </cell>
          <cell r="AK19">
            <v>13868.130010000001</v>
          </cell>
          <cell r="AL19">
            <v>14063.63243</v>
          </cell>
          <cell r="AM19">
            <v>14258.81359</v>
          </cell>
          <cell r="AN19">
            <v>14453.93002</v>
          </cell>
          <cell r="AO19">
            <v>14649.262930000001</v>
          </cell>
          <cell r="AP19">
            <v>14845.10396</v>
          </cell>
          <cell r="AQ19">
            <v>15041.738069999999</v>
          </cell>
          <cell r="AR19">
            <v>15239.4306</v>
          </cell>
          <cell r="AS19">
            <v>15438.41993</v>
          </cell>
          <cell r="AT19">
            <v>15638.9151</v>
          </cell>
          <cell r="AU19">
            <v>15841.096820000001</v>
          </cell>
          <cell r="AV19">
            <v>16045.22767</v>
          </cell>
          <cell r="AW19">
            <v>16251.436159999999</v>
          </cell>
          <cell r="AX19">
            <v>16459.83065</v>
          </cell>
          <cell r="AY19">
            <v>16670.50013</v>
          </cell>
          <cell r="AZ19">
            <v>16883.517739999999</v>
          </cell>
          <cell r="BA19">
            <v>17098.944609999999</v>
          </cell>
          <cell r="BB19">
            <v>17316.832869999998</v>
          </cell>
          <cell r="BC19">
            <v>17537.227190000001</v>
          </cell>
          <cell r="BD19">
            <v>17760.165499999999</v>
          </cell>
          <cell r="BE19">
            <v>17985.678970000001</v>
          </cell>
        </row>
        <row r="20">
          <cell r="A20" t="str">
            <v>auto_cb_cfut_2</v>
          </cell>
          <cell r="B20">
            <v>8251.256421</v>
          </cell>
          <cell r="C20">
            <v>8176.8252519999996</v>
          </cell>
          <cell r="D20">
            <v>8152.2372480000004</v>
          </cell>
          <cell r="E20">
            <v>8163.4571089999999</v>
          </cell>
          <cell r="F20">
            <v>8201.2222029999994</v>
          </cell>
          <cell r="G20">
            <v>8259.5080610000005</v>
          </cell>
          <cell r="H20">
            <v>8333.2172929999997</v>
          </cell>
          <cell r="I20">
            <v>8419.5508759999993</v>
          </cell>
          <cell r="J20">
            <v>8516.4329949999992</v>
          </cell>
          <cell r="K20">
            <v>8622.2356440000003</v>
          </cell>
          <cell r="L20">
            <v>8737.5466789999991</v>
          </cell>
          <cell r="M20">
            <v>8859.1490090000007</v>
          </cell>
          <cell r="N20">
            <v>8985.9928999999993</v>
          </cell>
          <cell r="O20">
            <v>9117.1358110000001</v>
          </cell>
          <cell r="P20">
            <v>9251.7539130000005</v>
          </cell>
          <cell r="Q20">
            <v>9389.1310969999995</v>
          </cell>
          <cell r="R20">
            <v>9528.5863040000004</v>
          </cell>
          <cell r="S20">
            <v>9669.5468889999993</v>
          </cell>
          <cell r="T20">
            <v>9811.5178059999998</v>
          </cell>
          <cell r="U20">
            <v>9954.0626609999999</v>
          </cell>
          <cell r="V20">
            <v>10095.32648</v>
          </cell>
          <cell r="W20">
            <v>10236.540859999999</v>
          </cell>
          <cell r="X20">
            <v>10377.43325</v>
          </cell>
          <cell r="Y20">
            <v>10517.787689999999</v>
          </cell>
          <cell r="Z20">
            <v>10657.412549999999</v>
          </cell>
          <cell r="AA20">
            <v>10791.91858</v>
          </cell>
          <cell r="AB20">
            <v>10923.712810000001</v>
          </cell>
          <cell r="AC20">
            <v>11052.8699</v>
          </cell>
          <cell r="AD20">
            <v>11179.554099999999</v>
          </cell>
          <cell r="AE20">
            <v>11303.95687</v>
          </cell>
          <cell r="AF20">
            <v>11426.263730000001</v>
          </cell>
          <cell r="AG20">
            <v>11546.650009999999</v>
          </cell>
          <cell r="AH20">
            <v>11665.25532</v>
          </cell>
          <cell r="AI20">
            <v>11782.18829</v>
          </cell>
          <cell r="AJ20">
            <v>11897.53348</v>
          </cell>
          <cell r="AK20">
            <v>12011.356750000001</v>
          </cell>
          <cell r="AL20">
            <v>12122.83396</v>
          </cell>
          <cell r="AM20">
            <v>12232.11263</v>
          </cell>
          <cell r="AN20">
            <v>12339.3061</v>
          </cell>
          <cell r="AO20">
            <v>12444.53103</v>
          </cell>
          <cell r="AP20">
            <v>12547.90494</v>
          </cell>
          <cell r="AQ20">
            <v>12649.549499999999</v>
          </cell>
          <cell r="AR20">
            <v>12749.552659999999</v>
          </cell>
          <cell r="AS20">
            <v>12847.966700000001</v>
          </cell>
          <cell r="AT20">
            <v>12944.811299999999</v>
          </cell>
          <cell r="AU20">
            <v>13040.076290000001</v>
          </cell>
          <cell r="AV20">
            <v>13133.859829999999</v>
          </cell>
          <cell r="AW20">
            <v>13226.111290000001</v>
          </cell>
          <cell r="AX20">
            <v>13316.737209999999</v>
          </cell>
          <cell r="AY20">
            <v>13405.62047</v>
          </cell>
          <cell r="AZ20">
            <v>13492.62847</v>
          </cell>
          <cell r="BA20">
            <v>13577.64734</v>
          </cell>
          <cell r="BB20">
            <v>13660.53024</v>
          </cell>
          <cell r="BC20">
            <v>13741.105579999999</v>
          </cell>
          <cell r="BD20">
            <v>13819.188099999999</v>
          </cell>
          <cell r="BE20">
            <v>13894.582270000001</v>
          </cell>
        </row>
        <row r="21">
          <cell r="A21" t="str">
            <v>auto_cb_cfut_0</v>
          </cell>
          <cell r="B21">
            <v>8251.256421</v>
          </cell>
          <cell r="C21">
            <v>8186.1344749999998</v>
          </cell>
          <cell r="D21">
            <v>8177.967455</v>
          </cell>
          <cell r="E21">
            <v>8209.7989539999999</v>
          </cell>
          <cell r="F21">
            <v>8270.209261</v>
          </cell>
          <cell r="G21">
            <v>8351.6250739999996</v>
          </cell>
          <cell r="H21">
            <v>8447.9102999999996</v>
          </cell>
          <cell r="I21">
            <v>8555.6340340000006</v>
          </cell>
          <cell r="J21">
            <v>8672.3901829999995</v>
          </cell>
          <cell r="K21">
            <v>8796.4214240000001</v>
          </cell>
          <cell r="L21">
            <v>8928.3437630000008</v>
          </cell>
          <cell r="M21">
            <v>9065.0211029999991</v>
          </cell>
          <cell r="N21">
            <v>9205.4946660000005</v>
          </cell>
          <cell r="O21">
            <v>9348.9148690000002</v>
          </cell>
          <cell r="P21">
            <v>9494.5558010000004</v>
          </cell>
          <cell r="Q21">
            <v>9641.8051739999992</v>
          </cell>
          <cell r="R21">
            <v>9790.1476739999998</v>
          </cell>
          <cell r="S21">
            <v>9939.1483850000004</v>
          </cell>
          <cell r="T21">
            <v>10088.43888</v>
          </cell>
          <cell r="U21">
            <v>10237.70665</v>
          </cell>
          <cell r="V21">
            <v>10385.19296</v>
          </cell>
          <cell r="W21">
            <v>10532.261329999999</v>
          </cell>
          <cell r="X21">
            <v>10678.761189999999</v>
          </cell>
          <cell r="Y21">
            <v>10824.58869</v>
          </cell>
          <cell r="Z21">
            <v>10969.652959999999</v>
          </cell>
          <cell r="AA21">
            <v>11109.57706</v>
          </cell>
          <cell r="AB21">
            <v>11246.82293</v>
          </cell>
          <cell r="AC21">
            <v>11381.53184</v>
          </cell>
          <cell r="AD21">
            <v>11513.936960000001</v>
          </cell>
          <cell r="AE21">
            <v>11644.29176</v>
          </cell>
          <cell r="AF21">
            <v>11772.8349</v>
          </cell>
          <cell r="AG21">
            <v>11899.77477</v>
          </cell>
          <cell r="AH21">
            <v>12025.285809999999</v>
          </cell>
          <cell r="AI21">
            <v>12149.511109999999</v>
          </cell>
          <cell r="AJ21">
            <v>12272.56768</v>
          </cell>
          <cell r="AK21">
            <v>12394.55207</v>
          </cell>
          <cell r="AL21">
            <v>12514.54243</v>
          </cell>
          <cell r="AM21">
            <v>12632.67064</v>
          </cell>
          <cell r="AN21">
            <v>12749.080190000001</v>
          </cell>
          <cell r="AO21">
            <v>12863.93367</v>
          </cell>
          <cell r="AP21">
            <v>12977.399820000001</v>
          </cell>
          <cell r="AQ21">
            <v>13089.638779999999</v>
          </cell>
          <cell r="AR21">
            <v>13200.7912</v>
          </cell>
          <cell r="AS21">
            <v>13310.97235</v>
          </cell>
          <cell r="AT21">
            <v>13420.27039</v>
          </cell>
          <cell r="AU21">
            <v>13528.747579999999</v>
          </cell>
          <cell r="AV21">
            <v>13636.529329999999</v>
          </cell>
          <cell r="AW21">
            <v>13743.62917</v>
          </cell>
          <cell r="AX21">
            <v>13850.042090000001</v>
          </cell>
          <cell r="AY21">
            <v>13955.74568</v>
          </cell>
          <cell r="AZ21">
            <v>14060.70318</v>
          </cell>
          <cell r="BA21">
            <v>14164.86685</v>
          </cell>
          <cell r="BB21">
            <v>14268.18044</v>
          </cell>
          <cell r="BC21">
            <v>14370.580529999999</v>
          </cell>
          <cell r="BD21">
            <v>14471.99718</v>
          </cell>
          <cell r="BE21">
            <v>14572.353929999999</v>
          </cell>
        </row>
        <row r="22">
          <cell r="A22" t="str">
            <v>auto_cc_cfut_2</v>
          </cell>
          <cell r="B22">
            <v>6777.6024520000001</v>
          </cell>
          <cell r="C22">
            <v>6642.7495650000001</v>
          </cell>
          <cell r="D22">
            <v>6548.2566059999999</v>
          </cell>
          <cell r="E22">
            <v>6483.7563849999997</v>
          </cell>
          <cell r="F22">
            <v>6442.2723370000003</v>
          </cell>
          <cell r="G22">
            <v>6419.1339500000004</v>
          </cell>
          <cell r="H22">
            <v>6410.3731790000002</v>
          </cell>
          <cell r="I22">
            <v>6413.6537259999996</v>
          </cell>
          <cell r="J22">
            <v>6427.1783999999998</v>
          </cell>
          <cell r="K22">
            <v>6449.4929069999998</v>
          </cell>
          <cell r="L22">
            <v>6480.6764030000004</v>
          </cell>
          <cell r="M22">
            <v>6518.2531280000003</v>
          </cell>
          <cell r="N22">
            <v>6561.2474949999996</v>
          </cell>
          <cell r="O22">
            <v>6608.7809500000003</v>
          </cell>
          <cell r="P22">
            <v>6660.0771359999999</v>
          </cell>
          <cell r="Q22">
            <v>6714.4522189999998</v>
          </cell>
          <cell r="R22">
            <v>6771.2647129999996</v>
          </cell>
          <cell r="S22">
            <v>6829.9629409999998</v>
          </cell>
          <cell r="T22">
            <v>6890.0627240000003</v>
          </cell>
          <cell r="U22">
            <v>6951.1331389999996</v>
          </cell>
          <cell r="V22">
            <v>7011.8260890000001</v>
          </cell>
          <cell r="W22">
            <v>7072.8363410000002</v>
          </cell>
          <cell r="X22">
            <v>7133.8764440000004</v>
          </cell>
          <cell r="Y22">
            <v>7194.7045150000004</v>
          </cell>
          <cell r="Z22">
            <v>7255.1025250000002</v>
          </cell>
          <cell r="AA22">
            <v>7312.1571800000002</v>
          </cell>
          <cell r="AB22">
            <v>7367.3630249999997</v>
          </cell>
          <cell r="AC22">
            <v>7420.7086920000002</v>
          </cell>
          <cell r="AD22">
            <v>7472.2427429999998</v>
          </cell>
          <cell r="AE22">
            <v>7522.0328950000003</v>
          </cell>
          <cell r="AF22">
            <v>7570.1446539999997</v>
          </cell>
          <cell r="AG22">
            <v>7616.6384310000003</v>
          </cell>
          <cell r="AH22">
            <v>7661.5534010000001</v>
          </cell>
          <cell r="AI22">
            <v>7704.9105030000001</v>
          </cell>
          <cell r="AJ22">
            <v>7746.7168519999996</v>
          </cell>
          <cell r="AK22">
            <v>7786.9691979999998</v>
          </cell>
          <cell r="AL22">
            <v>7825.1186619999999</v>
          </cell>
          <cell r="AM22">
            <v>7861.2220399999997</v>
          </cell>
          <cell r="AN22">
            <v>7895.3156980000003</v>
          </cell>
          <cell r="AO22">
            <v>7927.4382670000005</v>
          </cell>
          <cell r="AP22">
            <v>7957.6291289999999</v>
          </cell>
          <cell r="AQ22">
            <v>7985.9304400000001</v>
          </cell>
          <cell r="AR22">
            <v>8012.3644469999999</v>
          </cell>
          <cell r="AS22">
            <v>8036.9326199999996</v>
          </cell>
          <cell r="AT22">
            <v>8059.6178209999998</v>
          </cell>
          <cell r="AU22">
            <v>8080.3863369999999</v>
          </cell>
          <cell r="AV22">
            <v>8099.2689469999996</v>
          </cell>
          <cell r="AW22">
            <v>8116.2099559999997</v>
          </cell>
          <cell r="AX22">
            <v>8131.1299950000002</v>
          </cell>
          <cell r="AY22">
            <v>8143.9377679999998</v>
          </cell>
          <cell r="AZ22">
            <v>8154.5354010000001</v>
          </cell>
          <cell r="BA22">
            <v>8162.8383530000001</v>
          </cell>
          <cell r="BB22">
            <v>8168.7461929999999</v>
          </cell>
          <cell r="BC22">
            <v>8172.1473180000003</v>
          </cell>
          <cell r="BD22">
            <v>8172.9256029999997</v>
          </cell>
          <cell r="BE22">
            <v>8170.9626920000001</v>
          </cell>
        </row>
        <row r="23">
          <cell r="A23" t="str">
            <v>auto_cc_cfut_0</v>
          </cell>
          <cell r="B23">
            <v>6777.6024520000001</v>
          </cell>
          <cell r="C23">
            <v>6649.1114459999999</v>
          </cell>
          <cell r="D23">
            <v>6565.7578869999998</v>
          </cell>
          <cell r="E23">
            <v>6515.129516</v>
          </cell>
          <cell r="F23">
            <v>6488.762154</v>
          </cell>
          <cell r="G23">
            <v>6480.9323549999999</v>
          </cell>
          <cell r="H23">
            <v>6486.9770330000001</v>
          </cell>
          <cell r="I23">
            <v>6504.1443859999999</v>
          </cell>
          <cell r="J23">
            <v>6530.4276499999996</v>
          </cell>
          <cell r="K23">
            <v>6564.2992819999999</v>
          </cell>
          <cell r="L23">
            <v>6605.8686909999997</v>
          </cell>
          <cell r="M23">
            <v>6652.7305370000004</v>
          </cell>
          <cell r="N23">
            <v>6703.9825799999999</v>
          </cell>
          <cell r="O23">
            <v>6758.8198890000003</v>
          </cell>
          <cell r="P23">
            <v>6816.5419860000002</v>
          </cell>
          <cell r="Q23">
            <v>6876.5437430000002</v>
          </cell>
          <cell r="R23">
            <v>6938.3022289999999</v>
          </cell>
          <cell r="S23">
            <v>7001.3638860000001</v>
          </cell>
          <cell r="T23">
            <v>7065.3336939999999</v>
          </cell>
          <cell r="U23">
            <v>7129.8666800000001</v>
          </cell>
          <cell r="V23">
            <v>7193.6837859999996</v>
          </cell>
          <cell r="W23">
            <v>7257.5660770000004</v>
          </cell>
          <cell r="X23">
            <v>7321.3073189999996</v>
          </cell>
          <cell r="Y23">
            <v>7384.7393089999996</v>
          </cell>
          <cell r="Z23">
            <v>7447.7093610000002</v>
          </cell>
          <cell r="AA23">
            <v>7507.3186660000001</v>
          </cell>
          <cell r="AB23">
            <v>7565.0922350000001</v>
          </cell>
          <cell r="AC23">
            <v>7621.0602140000001</v>
          </cell>
          <cell r="AD23">
            <v>7675.3137610000003</v>
          </cell>
          <cell r="AE23">
            <v>7727.9584450000002</v>
          </cell>
          <cell r="AF23">
            <v>7779.0916420000003</v>
          </cell>
          <cell r="AG23">
            <v>7828.7927529999997</v>
          </cell>
          <cell r="AH23">
            <v>7877.1208919999999</v>
          </cell>
          <cell r="AI23">
            <v>7924.116599</v>
          </cell>
          <cell r="AJ23">
            <v>7969.8052260000004</v>
          </cell>
          <cell r="AK23">
            <v>8014.2005339999996</v>
          </cell>
          <cell r="AL23">
            <v>8056.6930329999996</v>
          </cell>
          <cell r="AM23">
            <v>8097.3287360000004</v>
          </cell>
          <cell r="AN23">
            <v>8136.1621299999997</v>
          </cell>
          <cell r="AO23">
            <v>8173.2598950000001</v>
          </cell>
          <cell r="AP23">
            <v>8208.6924859999999</v>
          </cell>
          <cell r="AQ23">
            <v>8242.5249910000002</v>
          </cell>
          <cell r="AR23">
            <v>8274.8106189999999</v>
          </cell>
          <cell r="AS23">
            <v>8305.5873279999996</v>
          </cell>
          <cell r="AT23">
            <v>8334.8770349999995</v>
          </cell>
          <cell r="AU23">
            <v>8362.6865550000002</v>
          </cell>
          <cell r="AV23">
            <v>8389.0597699999998</v>
          </cell>
          <cell r="AW23">
            <v>8413.9750999999997</v>
          </cell>
          <cell r="AX23">
            <v>8437.4009499999993</v>
          </cell>
          <cell r="AY23">
            <v>8459.296617</v>
          </cell>
          <cell r="AZ23">
            <v>8479.6143429999993</v>
          </cell>
          <cell r="BA23">
            <v>8498.3014380000004</v>
          </cell>
          <cell r="BB23">
            <v>8515.3018460000003</v>
          </cell>
          <cell r="BC23">
            <v>8530.5570559999996</v>
          </cell>
          <cell r="BD23">
            <v>8544.0065379999996</v>
          </cell>
          <cell r="BE23">
            <v>8555.5878630000007</v>
          </cell>
        </row>
        <row r="24">
          <cell r="A24" t="str">
            <v>auto_cd_cfut_2</v>
          </cell>
          <cell r="B24">
            <v>4159.6639080000004</v>
          </cell>
          <cell r="C24">
            <v>4052.6096280000002</v>
          </cell>
          <cell r="D24">
            <v>3968.839453</v>
          </cell>
          <cell r="E24">
            <v>3902.0569049999999</v>
          </cell>
          <cell r="F24">
            <v>3847.9946300000001</v>
          </cell>
          <cell r="G24">
            <v>3803.7599260000002</v>
          </cell>
          <cell r="H24">
            <v>3766.9387040000001</v>
          </cell>
          <cell r="I24">
            <v>3736.063087</v>
          </cell>
          <cell r="J24">
            <v>3710.0034129999999</v>
          </cell>
          <cell r="K24">
            <v>3687.84917</v>
          </cell>
          <cell r="L24">
            <v>3669.4925880000001</v>
          </cell>
          <cell r="M24">
            <v>3653.5566819999999</v>
          </cell>
          <cell r="N24">
            <v>3639.4548730000001</v>
          </cell>
          <cell r="O24">
            <v>3626.6717410000001</v>
          </cell>
          <cell r="P24">
            <v>3614.761962</v>
          </cell>
          <cell r="Q24">
            <v>3603.3426089999998</v>
          </cell>
          <cell r="R24">
            <v>3592.0677559999999</v>
          </cell>
          <cell r="S24">
            <v>3580.6491489999999</v>
          </cell>
          <cell r="T24">
            <v>3568.8435319999999</v>
          </cell>
          <cell r="U24">
            <v>3556.4440119999999</v>
          </cell>
          <cell r="V24">
            <v>3542.856448</v>
          </cell>
          <cell r="W24">
            <v>3528.396452</v>
          </cell>
          <cell r="X24">
            <v>3512.9486630000001</v>
          </cell>
          <cell r="Y24">
            <v>3496.4224469999999</v>
          </cell>
          <cell r="Z24">
            <v>3478.7423739999999</v>
          </cell>
          <cell r="AA24">
            <v>3458.7590479999999</v>
          </cell>
          <cell r="AB24">
            <v>3437.1362549999999</v>
          </cell>
          <cell r="AC24">
            <v>3413.9193439999999</v>
          </cell>
          <cell r="AD24">
            <v>3389.174559</v>
          </cell>
          <cell r="AE24">
            <v>3362.9724700000002</v>
          </cell>
          <cell r="AF24">
            <v>3335.3801819999999</v>
          </cell>
          <cell r="AG24">
            <v>3306.4607489999999</v>
          </cell>
          <cell r="AH24">
            <v>3276.2678059999998</v>
          </cell>
          <cell r="AI24">
            <v>3244.8473049999998</v>
          </cell>
          <cell r="AJ24">
            <v>3212.2397449999999</v>
          </cell>
          <cell r="AK24">
            <v>3178.4819680000001</v>
          </cell>
          <cell r="AL24">
            <v>3143.432871</v>
          </cell>
          <cell r="AM24">
            <v>3107.1600939999998</v>
          </cell>
          <cell r="AN24">
            <v>3069.7240929999998</v>
          </cell>
          <cell r="AO24">
            <v>3031.1853820000001</v>
          </cell>
          <cell r="AP24">
            <v>2991.6043129999998</v>
          </cell>
          <cell r="AQ24">
            <v>2951.042042</v>
          </cell>
          <cell r="AR24">
            <v>2909.554099</v>
          </cell>
          <cell r="AS24">
            <v>2867.1906009999998</v>
          </cell>
          <cell r="AT24">
            <v>2823.9974459999999</v>
          </cell>
          <cell r="AU24">
            <v>2780.0173850000001</v>
          </cell>
          <cell r="AV24">
            <v>2735.311909</v>
          </cell>
          <cell r="AW24">
            <v>2689.9204549999999</v>
          </cell>
          <cell r="AX24">
            <v>2643.8779239999999</v>
          </cell>
          <cell r="AY24">
            <v>2597.2183380000001</v>
          </cell>
          <cell r="AZ24">
            <v>2549.9766639999998</v>
          </cell>
          <cell r="BA24">
            <v>2502.1938599999999</v>
          </cell>
          <cell r="BB24">
            <v>2453.909764</v>
          </cell>
          <cell r="BC24">
            <v>2405.1639749999999</v>
          </cell>
          <cell r="BD24">
            <v>2355.9974099999999</v>
          </cell>
          <cell r="BE24">
            <v>2306.4528289999998</v>
          </cell>
        </row>
        <row r="25">
          <cell r="A25" t="str">
            <v>auto_cd_cfut_0</v>
          </cell>
          <cell r="B25">
            <v>4159.6639080000004</v>
          </cell>
          <cell r="C25">
            <v>4055.9300109999999</v>
          </cell>
          <cell r="D25">
            <v>3977.7671690000002</v>
          </cell>
          <cell r="E25">
            <v>3917.6933049999998</v>
          </cell>
          <cell r="F25">
            <v>3870.6369639999998</v>
          </cell>
          <cell r="G25">
            <v>3833.1758880000002</v>
          </cell>
          <cell r="H25">
            <v>3802.575394</v>
          </cell>
          <cell r="I25">
            <v>3777.1954850000002</v>
          </cell>
          <cell r="J25">
            <v>3755.840146</v>
          </cell>
          <cell r="K25">
            <v>3737.6000089999998</v>
          </cell>
          <cell r="L25">
            <v>3722.411681</v>
          </cell>
          <cell r="M25">
            <v>3708.9721450000002</v>
          </cell>
          <cell r="N25">
            <v>3696.7601679999998</v>
          </cell>
          <cell r="O25">
            <v>3685.3224180000002</v>
          </cell>
          <cell r="P25">
            <v>3674.2734380000002</v>
          </cell>
          <cell r="Q25">
            <v>3663.2882129999998</v>
          </cell>
          <cell r="R25">
            <v>3652.093476</v>
          </cell>
          <cell r="S25">
            <v>3640.4597050000002</v>
          </cell>
          <cell r="T25">
            <v>3628.1943820000001</v>
          </cell>
          <cell r="U25">
            <v>3615.1365759999999</v>
          </cell>
          <cell r="V25">
            <v>3600.7336110000001</v>
          </cell>
          <cell r="W25">
            <v>3585.3355449999999</v>
          </cell>
          <cell r="X25">
            <v>3568.8628920000001</v>
          </cell>
          <cell r="Y25">
            <v>3551.2553929999999</v>
          </cell>
          <cell r="Z25">
            <v>3532.4625350000001</v>
          </cell>
          <cell r="AA25">
            <v>3511.3548959999998</v>
          </cell>
          <cell r="AB25">
            <v>3488.5944629999999</v>
          </cell>
          <cell r="AC25">
            <v>3464.2380069999999</v>
          </cell>
          <cell r="AD25">
            <v>3438.3627390000001</v>
          </cell>
          <cell r="AE25">
            <v>3411.047681</v>
          </cell>
          <cell r="AF25">
            <v>3382.3655370000001</v>
          </cell>
          <cell r="AG25">
            <v>3352.3797679999998</v>
          </cell>
          <cell r="AH25">
            <v>3321.1444959999999</v>
          </cell>
          <cell r="AI25">
            <v>3288.705833</v>
          </cell>
          <cell r="AJ25">
            <v>3255.1037329999999</v>
          </cell>
          <cell r="AK25">
            <v>3220.373834</v>
          </cell>
          <cell r="AL25">
            <v>3184.3526959999999</v>
          </cell>
          <cell r="AM25">
            <v>3147.098434</v>
          </cell>
          <cell r="AN25">
            <v>3108.672286</v>
          </cell>
          <cell r="AO25">
            <v>3069.1387829999999</v>
          </cell>
          <cell r="AP25">
            <v>3028.562668</v>
          </cell>
          <cell r="AQ25">
            <v>2987.0061380000002</v>
          </cell>
          <cell r="AR25">
            <v>2944.5272239999999</v>
          </cell>
          <cell r="AS25">
            <v>2901.179255</v>
          </cell>
          <cell r="AT25">
            <v>2857.011113</v>
          </cell>
          <cell r="AU25">
            <v>2812.0679540000001</v>
          </cell>
          <cell r="AV25">
            <v>2766.4048560000001</v>
          </cell>
          <cell r="AW25">
            <v>2720.0603270000001</v>
          </cell>
          <cell r="AX25">
            <v>2673.0715919999998</v>
          </cell>
          <cell r="AY25">
            <v>2625.4751569999999</v>
          </cell>
          <cell r="AZ25">
            <v>2577.3075490000001</v>
          </cell>
          <cell r="BA25">
            <v>2528.605967</v>
          </cell>
          <cell r="BB25">
            <v>2479.4087</v>
          </cell>
          <cell r="BC25">
            <v>2429.7553349999998</v>
          </cell>
          <cell r="BD25">
            <v>2379.6868060000002</v>
          </cell>
          <cell r="BE25">
            <v>2329.2453620000001</v>
          </cell>
        </row>
        <row r="26">
          <cell r="A26" t="str">
            <v>auto_ce_cfut_2</v>
          </cell>
          <cell r="B26">
            <v>2503.7292430000002</v>
          </cell>
          <cell r="C26">
            <v>2441.6460849999999</v>
          </cell>
          <cell r="D26">
            <v>2392.7183620000001</v>
          </cell>
          <cell r="E26">
            <v>2352.9157329999998</v>
          </cell>
          <cell r="F26">
            <v>2319.5341990000002</v>
          </cell>
          <cell r="G26">
            <v>2290.7639250000002</v>
          </cell>
          <cell r="H26">
            <v>2265.1332499999999</v>
          </cell>
          <cell r="I26">
            <v>2241.7701969999998</v>
          </cell>
          <cell r="J26">
            <v>2220.0268380000002</v>
          </cell>
          <cell r="K26">
            <v>2199.4004249999998</v>
          </cell>
          <cell r="L26">
            <v>2179.8537019999999</v>
          </cell>
          <cell r="M26">
            <v>2160.6392799999999</v>
          </cell>
          <cell r="N26">
            <v>2141.4700600000001</v>
          </cell>
          <cell r="O26">
            <v>2122.1067939999998</v>
          </cell>
          <cell r="P26">
            <v>2102.3554669999999</v>
          </cell>
          <cell r="Q26">
            <v>2082.0614460000002</v>
          </cell>
          <cell r="R26">
            <v>2061.0949420000002</v>
          </cell>
          <cell r="S26">
            <v>2039.3610020000001</v>
          </cell>
          <cell r="T26">
            <v>2016.791588</v>
          </cell>
          <cell r="U26">
            <v>1993.339984</v>
          </cell>
          <cell r="V26">
            <v>1968.7708769999999</v>
          </cell>
          <cell r="W26">
            <v>1943.3045179999999</v>
          </cell>
          <cell r="X26">
            <v>1916.94373</v>
          </cell>
          <cell r="Y26">
            <v>1889.702839</v>
          </cell>
          <cell r="Z26">
            <v>1861.602979</v>
          </cell>
          <cell r="AA26">
            <v>1832.1737390000001</v>
          </cell>
          <cell r="AB26">
            <v>1801.7913840000001</v>
          </cell>
          <cell r="AC26">
            <v>1770.539475</v>
          </cell>
          <cell r="AD26">
            <v>1738.5068309999999</v>
          </cell>
          <cell r="AE26">
            <v>1705.7800850000001</v>
          </cell>
          <cell r="AF26">
            <v>1672.440634</v>
          </cell>
          <cell r="AG26">
            <v>1638.5647859999999</v>
          </cell>
          <cell r="AH26">
            <v>1604.2218769999999</v>
          </cell>
          <cell r="AI26">
            <v>1569.475406</v>
          </cell>
          <cell r="AJ26">
            <v>1534.384319</v>
          </cell>
          <cell r="AK26">
            <v>1499.004046</v>
          </cell>
          <cell r="AL26">
            <v>1463.3208500000001</v>
          </cell>
          <cell r="AM26">
            <v>1427.401828</v>
          </cell>
          <cell r="AN26">
            <v>1391.309072</v>
          </cell>
          <cell r="AO26">
            <v>1355.1024150000001</v>
          </cell>
          <cell r="AP26">
            <v>1318.839483</v>
          </cell>
          <cell r="AQ26">
            <v>1282.576188</v>
          </cell>
          <cell r="AR26">
            <v>1246.3646209999999</v>
          </cell>
          <cell r="AS26">
            <v>1210.2532859999999</v>
          </cell>
          <cell r="AT26">
            <v>1174.2876779999999</v>
          </cell>
          <cell r="AU26">
            <v>1138.5107599999999</v>
          </cell>
          <cell r="AV26">
            <v>1102.969828</v>
          </cell>
          <cell r="AW26">
            <v>1067.703622</v>
          </cell>
          <cell r="AX26">
            <v>1032.7480009999999</v>
          </cell>
          <cell r="AY26">
            <v>998.13718749999998</v>
          </cell>
          <cell r="AZ26">
            <v>963.90437629999997</v>
          </cell>
          <cell r="BA26">
            <v>930.08314359999997</v>
          </cell>
          <cell r="BB26">
            <v>896.70536179999999</v>
          </cell>
          <cell r="BC26">
            <v>863.80133090000004</v>
          </cell>
          <cell r="BD26">
            <v>831.40015789999995</v>
          </cell>
          <cell r="BE26">
            <v>799.52984590000005</v>
          </cell>
        </row>
        <row r="27">
          <cell r="A27" t="str">
            <v>auto_ce_cfut_0</v>
          </cell>
          <cell r="B27">
            <v>2503.7292430000002</v>
          </cell>
          <cell r="C27">
            <v>2443.575566</v>
          </cell>
          <cell r="D27">
            <v>2397.7906779999998</v>
          </cell>
          <cell r="E27">
            <v>2361.5943029999999</v>
          </cell>
          <cell r="F27">
            <v>2331.8074660000002</v>
          </cell>
          <cell r="G27">
            <v>2306.3317830000001</v>
          </cell>
          <cell r="H27">
            <v>2283.5399510000002</v>
          </cell>
          <cell r="I27">
            <v>2262.4909210000001</v>
          </cell>
          <cell r="J27">
            <v>2242.5270829999999</v>
          </cell>
          <cell r="K27">
            <v>2223.1721680000001</v>
          </cell>
          <cell r="L27">
            <v>2204.434186</v>
          </cell>
          <cell r="M27">
            <v>2185.6311839999998</v>
          </cell>
          <cell r="N27">
            <v>2166.530514</v>
          </cell>
          <cell r="O27">
            <v>2146.9429220000002</v>
          </cell>
          <cell r="P27">
            <v>2126.7206919999999</v>
          </cell>
          <cell r="Q27">
            <v>2105.7520549999999</v>
          </cell>
          <cell r="R27">
            <v>2083.9553299999998</v>
          </cell>
          <cell r="S27">
            <v>2061.2737139999999</v>
          </cell>
          <cell r="T27">
            <v>2037.6709390000001</v>
          </cell>
          <cell r="U27">
            <v>2013.127757</v>
          </cell>
          <cell r="V27">
            <v>1987.4347479999999</v>
          </cell>
          <cell r="W27">
            <v>1960.828469</v>
          </cell>
          <cell r="X27">
            <v>1933.3301289999999</v>
          </cell>
          <cell r="Y27">
            <v>1904.9687779999999</v>
          </cell>
          <cell r="Z27">
            <v>1875.7768679999999</v>
          </cell>
          <cell r="AA27">
            <v>1845.298092</v>
          </cell>
          <cell r="AB27">
            <v>1813.902844</v>
          </cell>
          <cell r="AC27">
            <v>1781.678161</v>
          </cell>
          <cell r="AD27">
            <v>1748.7160120000001</v>
          </cell>
          <cell r="AE27">
            <v>1715.1050250000001</v>
          </cell>
          <cell r="AF27">
            <v>1680.9273439999999</v>
          </cell>
          <cell r="AG27">
            <v>1646.257861</v>
          </cell>
          <cell r="AH27">
            <v>1611.164642</v>
          </cell>
          <cell r="AI27">
            <v>1575.7099029999999</v>
          </cell>
          <cell r="AJ27">
            <v>1539.9511359999999</v>
          </cell>
          <cell r="AK27">
            <v>1503.9421600000001</v>
          </cell>
          <cell r="AL27">
            <v>1467.6606870000001</v>
          </cell>
          <cell r="AM27">
            <v>1431.169508</v>
          </cell>
          <cell r="AN27">
            <v>1394.5307359999999</v>
          </cell>
          <cell r="AO27">
            <v>1357.805564</v>
          </cell>
          <cell r="AP27">
            <v>1321.0530369999999</v>
          </cell>
          <cell r="AQ27">
            <v>1284.3291260000001</v>
          </cell>
          <cell r="AR27">
            <v>1247.6863069999999</v>
          </cell>
          <cell r="AS27">
            <v>1211.1735490000001</v>
          </cell>
          <cell r="AT27">
            <v>1174.836564</v>
          </cell>
          <cell r="AU27">
            <v>1138.7181869999999</v>
          </cell>
          <cell r="AV27">
            <v>1102.8626280000001</v>
          </cell>
          <cell r="AW27">
            <v>1067.3073179999999</v>
          </cell>
          <cell r="AX27">
            <v>1032.0878640000001</v>
          </cell>
          <cell r="AY27">
            <v>997.23826750000001</v>
          </cell>
          <cell r="AZ27">
            <v>962.79116020000004</v>
          </cell>
          <cell r="BA27">
            <v>928.77797310000005</v>
          </cell>
          <cell r="BB27">
            <v>895.22901439999998</v>
          </cell>
          <cell r="BC27">
            <v>862.17347070000005</v>
          </cell>
          <cell r="BD27">
            <v>829.63936030000002</v>
          </cell>
          <cell r="BE27">
            <v>797.65346099999999</v>
          </cell>
        </row>
        <row r="28">
          <cell r="A28" t="str">
            <v>auto_cf_cfut_2</v>
          </cell>
          <cell r="B28">
            <v>1243.6668460000001</v>
          </cell>
          <cell r="C28">
            <v>1210.2042080000001</v>
          </cell>
          <cell r="D28">
            <v>1181.9138829999999</v>
          </cell>
          <cell r="E28">
            <v>1156.577972</v>
          </cell>
          <cell r="F28">
            <v>1132.776292</v>
          </cell>
          <cell r="G28">
            <v>1109.620692</v>
          </cell>
          <cell r="H28">
            <v>1086.4703039999999</v>
          </cell>
          <cell r="I28">
            <v>1063.009671</v>
          </cell>
          <cell r="J28">
            <v>1039.0602269999999</v>
          </cell>
          <cell r="K28">
            <v>1014.530186</v>
          </cell>
          <cell r="L28">
            <v>989.51238439999997</v>
          </cell>
          <cell r="M28">
            <v>963.85529559999998</v>
          </cell>
          <cell r="N28">
            <v>937.58694609999998</v>
          </cell>
          <cell r="O28">
            <v>910.757744</v>
          </cell>
          <cell r="P28">
            <v>883.43552969999996</v>
          </cell>
          <cell r="Q28">
            <v>855.70049429999995</v>
          </cell>
          <cell r="R28">
            <v>827.63874499999997</v>
          </cell>
          <cell r="S28">
            <v>799.34322599999996</v>
          </cell>
          <cell r="T28">
            <v>770.90961279999999</v>
          </cell>
          <cell r="U28">
            <v>742.43332940000005</v>
          </cell>
          <cell r="V28">
            <v>713.96214810000004</v>
          </cell>
          <cell r="W28">
            <v>685.64106460000005</v>
          </cell>
          <cell r="X28">
            <v>657.55508469999995</v>
          </cell>
          <cell r="Y28">
            <v>629.7832664</v>
          </cell>
          <cell r="Z28">
            <v>602.39797650000003</v>
          </cell>
          <cell r="AA28">
            <v>575.38120700000002</v>
          </cell>
          <cell r="AB28">
            <v>548.86007619999998</v>
          </cell>
          <cell r="AC28">
            <v>522.89888229999997</v>
          </cell>
          <cell r="AD28">
            <v>497.55344009999999</v>
          </cell>
          <cell r="AE28">
            <v>472.87063380000001</v>
          </cell>
          <cell r="AF28">
            <v>448.88885920000001</v>
          </cell>
          <cell r="AG28">
            <v>425.63887499999998</v>
          </cell>
          <cell r="AH28">
            <v>403.14433209999999</v>
          </cell>
          <cell r="AI28">
            <v>381.42261780000001</v>
          </cell>
          <cell r="AJ28">
            <v>360.48563719999999</v>
          </cell>
          <cell r="AK28">
            <v>340.34048239999998</v>
          </cell>
          <cell r="AL28">
            <v>320.98430480000002</v>
          </cell>
          <cell r="AM28">
            <v>302.41860439999999</v>
          </cell>
          <cell r="AN28">
            <v>284.64088290000001</v>
          </cell>
          <cell r="AO28">
            <v>267.64525220000002</v>
          </cell>
          <cell r="AP28">
            <v>251.42282309999999</v>
          </cell>
          <cell r="AQ28">
            <v>235.96209719999999</v>
          </cell>
          <cell r="AR28">
            <v>221.24916139999999</v>
          </cell>
          <cell r="AS28">
            <v>207.26801520000001</v>
          </cell>
          <cell r="AT28">
            <v>194.0008928</v>
          </cell>
          <cell r="AU28">
            <v>181.4285505</v>
          </cell>
          <cell r="AV28">
            <v>169.53079020000001</v>
          </cell>
          <cell r="AW28">
            <v>158.28608929999999</v>
          </cell>
          <cell r="AX28">
            <v>147.6720784</v>
          </cell>
          <cell r="AY28">
            <v>137.66578870000001</v>
          </cell>
          <cell r="AZ28">
            <v>128.2438478</v>
          </cell>
          <cell r="BA28">
            <v>119.3826711</v>
          </cell>
          <cell r="BB28">
            <v>111.058531</v>
          </cell>
          <cell r="BC28">
            <v>103.24768349999999</v>
          </cell>
          <cell r="BD28">
            <v>95.926496950000001</v>
          </cell>
          <cell r="BE28">
            <v>89.071562200000002</v>
          </cell>
        </row>
        <row r="29">
          <cell r="A29" t="str">
            <v>auto_cf_cfut_0</v>
          </cell>
          <cell r="B29">
            <v>1243.6668460000001</v>
          </cell>
          <cell r="C29">
            <v>1210.948854</v>
          </cell>
          <cell r="D29">
            <v>1183.6825679999999</v>
          </cell>
          <cell r="E29">
            <v>1159.2756890000001</v>
          </cell>
          <cell r="F29">
            <v>1136.132953</v>
          </cell>
          <cell r="G29">
            <v>1113.3056999999999</v>
          </cell>
          <cell r="H29">
            <v>1090.158009</v>
          </cell>
          <cell r="I29">
            <v>1066.408351</v>
          </cell>
          <cell r="J29">
            <v>1041.927115</v>
          </cell>
          <cell r="K29">
            <v>1016.676509</v>
          </cell>
          <cell r="L29">
            <v>990.79836650000004</v>
          </cell>
          <cell r="M29">
            <v>964.19775749999997</v>
          </cell>
          <cell r="N29">
            <v>936.94409029999997</v>
          </cell>
          <cell r="O29">
            <v>909.12150569999994</v>
          </cell>
          <cell r="P29">
            <v>880.82502009999996</v>
          </cell>
          <cell r="Q29">
            <v>852.15627140000004</v>
          </cell>
          <cell r="R29">
            <v>823.21993569999995</v>
          </cell>
          <cell r="S29">
            <v>794.12089990000004</v>
          </cell>
          <cell r="T29">
            <v>764.96208820000004</v>
          </cell>
          <cell r="U29">
            <v>735.84282480000002</v>
          </cell>
          <cell r="V29">
            <v>706.81445069999995</v>
          </cell>
          <cell r="W29">
            <v>678.0182006</v>
          </cell>
          <cell r="X29">
            <v>649.53709930000002</v>
          </cell>
          <cell r="Y29">
            <v>621.44689919999996</v>
          </cell>
          <cell r="Z29">
            <v>593.81567740000003</v>
          </cell>
          <cell r="AA29">
            <v>566.6249689</v>
          </cell>
          <cell r="AB29">
            <v>539.99172160000001</v>
          </cell>
          <cell r="AC29">
            <v>513.97431970000002</v>
          </cell>
          <cell r="AD29">
            <v>488.62300370000003</v>
          </cell>
          <cell r="AE29">
            <v>463.97932969999999</v>
          </cell>
          <cell r="AF29">
            <v>440.07660199999998</v>
          </cell>
          <cell r="AG29">
            <v>416.94062029999998</v>
          </cell>
          <cell r="AH29">
            <v>394.59050430000002</v>
          </cell>
          <cell r="AI29">
            <v>373.03949490000002</v>
          </cell>
          <cell r="AJ29">
            <v>352.29568490000003</v>
          </cell>
          <cell r="AK29">
            <v>332.36266269999999</v>
          </cell>
          <cell r="AL29">
            <v>313.23410330000002</v>
          </cell>
          <cell r="AM29">
            <v>294.90834949999999</v>
          </cell>
          <cell r="AN29">
            <v>277.38045090000003</v>
          </cell>
          <cell r="AO29">
            <v>260.64240389999998</v>
          </cell>
          <cell r="AP29">
            <v>244.68337030000001</v>
          </cell>
          <cell r="AQ29">
            <v>229.4899503</v>
          </cell>
          <cell r="AR29">
            <v>215.04648950000001</v>
          </cell>
          <cell r="AS29">
            <v>201.33539329999999</v>
          </cell>
          <cell r="AT29">
            <v>188.3374311</v>
          </cell>
          <cell r="AU29">
            <v>176.03201899999999</v>
          </cell>
          <cell r="AV29">
            <v>164.3976232</v>
          </cell>
          <cell r="AW29">
            <v>153.41163589999999</v>
          </cell>
          <cell r="AX29">
            <v>143.0508002</v>
          </cell>
          <cell r="AY29">
            <v>133.29139459999999</v>
          </cell>
          <cell r="AZ29">
            <v>124.10940069999999</v>
          </cell>
          <cell r="BA29">
            <v>115.4806511</v>
          </cell>
          <cell r="BB29">
            <v>107.3809615</v>
          </cell>
          <cell r="BC29">
            <v>99.786248229999998</v>
          </cell>
          <cell r="BD29">
            <v>92.672634840000001</v>
          </cell>
          <cell r="BE29">
            <v>86.016548349999994</v>
          </cell>
        </row>
        <row r="30">
          <cell r="A30" t="str">
            <v>auto_cg_cfut_2</v>
          </cell>
          <cell r="B30">
            <v>2239.620606</v>
          </cell>
          <cell r="C30">
            <v>2182.7732070000002</v>
          </cell>
          <cell r="D30">
            <v>2132.8841090000001</v>
          </cell>
          <cell r="E30">
            <v>2085.556552</v>
          </cell>
          <cell r="F30">
            <v>2038.1712419999999</v>
          </cell>
          <cell r="G30">
            <v>1989.278323</v>
          </cell>
          <cell r="H30">
            <v>1938.018409</v>
          </cell>
          <cell r="I30">
            <v>1884.1827639999999</v>
          </cell>
          <cell r="J30">
            <v>1827.8402679999999</v>
          </cell>
          <cell r="K30">
            <v>1769.2204099999999</v>
          </cell>
          <cell r="L30">
            <v>1708.823007</v>
          </cell>
          <cell r="M30">
            <v>1646.784345</v>
          </cell>
          <cell r="N30">
            <v>1583.4901789999999</v>
          </cell>
          <cell r="O30">
            <v>1519.334879</v>
          </cell>
          <cell r="P30">
            <v>1454.7087039999999</v>
          </cell>
          <cell r="Q30">
            <v>1389.987286</v>
          </cell>
          <cell r="R30">
            <v>1325.521812</v>
          </cell>
          <cell r="S30">
            <v>1261.639032</v>
          </cell>
          <cell r="T30">
            <v>1198.6360990000001</v>
          </cell>
          <cell r="U30">
            <v>1136.7777229999999</v>
          </cell>
          <cell r="V30">
            <v>1076.2526350000001</v>
          </cell>
          <cell r="W30">
            <v>1017.314093</v>
          </cell>
          <cell r="X30">
            <v>960.12750540000002</v>
          </cell>
          <cell r="Y30">
            <v>904.82697940000003</v>
          </cell>
          <cell r="Z30">
            <v>851.51741560000005</v>
          </cell>
          <cell r="AA30">
            <v>800.21519109999997</v>
          </cell>
          <cell r="AB30">
            <v>751.03100300000006</v>
          </cell>
          <cell r="AC30">
            <v>704.00751649999995</v>
          </cell>
          <cell r="AD30">
            <v>659.16495759999998</v>
          </cell>
          <cell r="AE30">
            <v>616.50354919999995</v>
          </cell>
          <cell r="AF30">
            <v>576.00639960000001</v>
          </cell>
          <cell r="AG30">
            <v>537.64234899999997</v>
          </cell>
          <cell r="AH30">
            <v>501.36833419999999</v>
          </cell>
          <cell r="AI30">
            <v>467.13166799999999</v>
          </cell>
          <cell r="AJ30">
            <v>434.87203099999999</v>
          </cell>
          <cell r="AK30">
            <v>404.5231776</v>
          </cell>
          <cell r="AL30">
            <v>376.01206930000001</v>
          </cell>
          <cell r="AM30">
            <v>349.26607339999998</v>
          </cell>
          <cell r="AN30">
            <v>324.2099407</v>
          </cell>
          <cell r="AO30">
            <v>300.76687090000001</v>
          </cell>
          <cell r="AP30">
            <v>278.85937339999998</v>
          </cell>
          <cell r="AQ30">
            <v>258.4100158</v>
          </cell>
          <cell r="AR30">
            <v>239.34200440000001</v>
          </cell>
          <cell r="AS30">
            <v>221.5797168</v>
          </cell>
          <cell r="AT30">
            <v>205.04914980000001</v>
          </cell>
          <cell r="AU30">
            <v>189.67828080000001</v>
          </cell>
          <cell r="AV30">
            <v>175.39741280000001</v>
          </cell>
          <cell r="AW30">
            <v>162.13925839999999</v>
          </cell>
          <cell r="AX30">
            <v>149.83917640000001</v>
          </cell>
          <cell r="AY30">
            <v>138.4353041</v>
          </cell>
          <cell r="AZ30">
            <v>127.86863820000001</v>
          </cell>
          <cell r="BA30">
            <v>118.0830782</v>
          </cell>
          <cell r="BB30">
            <v>109.02542099999999</v>
          </cell>
          <cell r="BC30">
            <v>100.6453417</v>
          </cell>
          <cell r="BD30">
            <v>92.895354080000004</v>
          </cell>
          <cell r="BE30">
            <v>85.730751850000004</v>
          </cell>
        </row>
        <row r="31">
          <cell r="A31" t="str">
            <v>auto_cg_cfut_0</v>
          </cell>
          <cell r="B31">
            <v>2239.620606</v>
          </cell>
          <cell r="C31">
            <v>2183.8728569999998</v>
          </cell>
          <cell r="D31">
            <v>2135.1571239999998</v>
          </cell>
          <cell r="E31">
            <v>2088.404947</v>
          </cell>
          <cell r="F31">
            <v>2040.79763</v>
          </cell>
          <cell r="G31">
            <v>1990.924041</v>
          </cell>
          <cell r="H31">
            <v>1938.071402</v>
          </cell>
          <cell r="I31">
            <v>1882.1987079999999</v>
          </cell>
          <cell r="J31">
            <v>1823.539168</v>
          </cell>
          <cell r="K31">
            <v>1762.469165</v>
          </cell>
          <cell r="L31">
            <v>1699.6019510000001</v>
          </cell>
          <cell r="M31">
            <v>1635.1895870000001</v>
          </cell>
          <cell r="N31">
            <v>1569.6906140000001</v>
          </cell>
          <cell r="O31">
            <v>1503.549119</v>
          </cell>
          <cell r="P31">
            <v>1437.1865089999999</v>
          </cell>
          <cell r="Q31">
            <v>1370.9946480000001</v>
          </cell>
          <cell r="R31">
            <v>1305.3313820000001</v>
          </cell>
          <cell r="S31">
            <v>1240.518071</v>
          </cell>
          <cell r="T31">
            <v>1176.8386350000001</v>
          </cell>
          <cell r="U31">
            <v>1114.5397379999999</v>
          </cell>
          <cell r="V31">
            <v>1053.7927090000001</v>
          </cell>
          <cell r="W31">
            <v>994.82360229999995</v>
          </cell>
          <cell r="X31">
            <v>937.77531260000001</v>
          </cell>
          <cell r="Y31">
            <v>882.75963860000002</v>
          </cell>
          <cell r="Z31">
            <v>829.85993459999997</v>
          </cell>
          <cell r="AA31">
            <v>779.07770340000002</v>
          </cell>
          <cell r="AB31">
            <v>730.49894329999995</v>
          </cell>
          <cell r="AC31">
            <v>684.14842899999996</v>
          </cell>
          <cell r="AD31">
            <v>640.03062920000002</v>
          </cell>
          <cell r="AE31">
            <v>598.13192749999996</v>
          </cell>
          <cell r="AF31">
            <v>558.42333489999999</v>
          </cell>
          <cell r="AG31">
            <v>520.86312080000005</v>
          </cell>
          <cell r="AH31">
            <v>485.39919909999998</v>
          </cell>
          <cell r="AI31">
            <v>451.97123140000002</v>
          </cell>
          <cell r="AJ31">
            <v>420.51245210000002</v>
          </cell>
          <cell r="AK31">
            <v>390.95123619999998</v>
          </cell>
          <cell r="AL31">
            <v>363.2101073</v>
          </cell>
          <cell r="AM31">
            <v>337.21271369999999</v>
          </cell>
          <cell r="AN31">
            <v>312.88103539999997</v>
          </cell>
          <cell r="AO31">
            <v>290.13618270000001</v>
          </cell>
          <cell r="AP31">
            <v>268.89910750000001</v>
          </cell>
          <cell r="AQ31">
            <v>249.09124629999999</v>
          </cell>
          <cell r="AR31">
            <v>230.63508529999999</v>
          </cell>
          <cell r="AS31">
            <v>213.45464050000001</v>
          </cell>
          <cell r="AT31">
            <v>197.47585409999999</v>
          </cell>
          <cell r="AU31">
            <v>182.6269135</v>
          </cell>
          <cell r="AV31">
            <v>168.8385289</v>
          </cell>
          <cell r="AW31">
            <v>156.04404460000001</v>
          </cell>
          <cell r="AX31">
            <v>144.1796229</v>
          </cell>
          <cell r="AY31">
            <v>133.18433150000001</v>
          </cell>
          <cell r="AZ31">
            <v>123.00018970000001</v>
          </cell>
          <cell r="BA31">
            <v>113.5721824</v>
          </cell>
          <cell r="BB31">
            <v>104.8482443</v>
          </cell>
          <cell r="BC31">
            <v>96.779220760000001</v>
          </cell>
          <cell r="BD31">
            <v>89.318809860000002</v>
          </cell>
          <cell r="BE31">
            <v>82.42348767</v>
          </cell>
        </row>
        <row r="32">
          <cell r="A32" t="str">
            <v>auto_ca_cele_2</v>
          </cell>
          <cell r="B32">
            <v>9.8427898650000003</v>
          </cell>
          <cell r="C32">
            <v>14.923896620000001</v>
          </cell>
          <cell r="D32">
            <v>20.24984572</v>
          </cell>
          <cell r="E32">
            <v>25.728123369999999</v>
          </cell>
          <cell r="F32">
            <v>31.30512951</v>
          </cell>
          <cell r="G32">
            <v>36.952570119999997</v>
          </cell>
          <cell r="H32">
            <v>42.645956820000002</v>
          </cell>
          <cell r="I32">
            <v>48.379077690000003</v>
          </cell>
          <cell r="J32">
            <v>54.149959639999999</v>
          </cell>
          <cell r="K32">
            <v>59.958891610000002</v>
          </cell>
          <cell r="L32">
            <v>65.827702130000006</v>
          </cell>
          <cell r="M32">
            <v>71.737829579999996</v>
          </cell>
          <cell r="N32">
            <v>77.69129212</v>
          </cell>
          <cell r="O32">
            <v>83.690499529999997</v>
          </cell>
          <cell r="P32">
            <v>89.738668399999995</v>
          </cell>
          <cell r="Q32">
            <v>95.839957339999998</v>
          </cell>
          <cell r="R32">
            <v>101.99885380000001</v>
          </cell>
          <cell r="S32">
            <v>108.2211757</v>
          </cell>
          <cell r="T32">
            <v>114.5139425</v>
          </cell>
          <cell r="U32">
            <v>120.8853359</v>
          </cell>
          <cell r="V32">
            <v>127.3266325</v>
          </cell>
          <cell r="W32">
            <v>133.8668906</v>
          </cell>
          <cell r="X32">
            <v>140.51872259999999</v>
          </cell>
          <cell r="Y32">
            <v>147.29653060000001</v>
          </cell>
          <cell r="Z32">
            <v>154.21622289999999</v>
          </cell>
          <cell r="AA32">
            <v>161.23744139999999</v>
          </cell>
          <cell r="AB32">
            <v>168.41014920000001</v>
          </cell>
          <cell r="AC32">
            <v>175.75632419999999</v>
          </cell>
          <cell r="AD32">
            <v>183.30132090000001</v>
          </cell>
          <cell r="AE32">
            <v>191.07322529999999</v>
          </cell>
          <cell r="AF32">
            <v>199.10255599999999</v>
          </cell>
          <cell r="AG32">
            <v>207.4223705</v>
          </cell>
          <cell r="AH32">
            <v>216.06802640000001</v>
          </cell>
          <cell r="AI32">
            <v>225.07739090000001</v>
          </cell>
          <cell r="AJ32">
            <v>234.49111869999999</v>
          </cell>
          <cell r="AK32">
            <v>244.3529498</v>
          </cell>
          <cell r="AL32">
            <v>254.69317609999999</v>
          </cell>
          <cell r="AM32">
            <v>265.56281059999998</v>
          </cell>
          <cell r="AN32">
            <v>277.01662770000002</v>
          </cell>
          <cell r="AO32">
            <v>289.11425759999997</v>
          </cell>
          <cell r="AP32">
            <v>301.9206016</v>
          </cell>
          <cell r="AQ32">
            <v>315.50642749999997</v>
          </cell>
          <cell r="AR32">
            <v>329.94801869999998</v>
          </cell>
          <cell r="AS32">
            <v>345.32755049999997</v>
          </cell>
          <cell r="AT32">
            <v>361.73360830000001</v>
          </cell>
          <cell r="AU32">
            <v>379.2617444</v>
          </cell>
          <cell r="AV32">
            <v>398.0192394</v>
          </cell>
          <cell r="AW32">
            <v>418.11846480000003</v>
          </cell>
          <cell r="AX32">
            <v>439.68016139999997</v>
          </cell>
          <cell r="AY32">
            <v>462.83459929999998</v>
          </cell>
          <cell r="AZ32">
            <v>487.72255990000002</v>
          </cell>
          <cell r="BA32">
            <v>514.49752869999998</v>
          </cell>
          <cell r="BB32">
            <v>543.32473149999998</v>
          </cell>
          <cell r="BC32">
            <v>574.382251</v>
          </cell>
          <cell r="BD32">
            <v>607.8624135</v>
          </cell>
          <cell r="BE32">
            <v>643.97298799999999</v>
          </cell>
        </row>
        <row r="33">
          <cell r="A33" t="str">
            <v>auto_ca_cele_0</v>
          </cell>
          <cell r="B33">
            <v>9.8427898650000003</v>
          </cell>
          <cell r="C33">
            <v>15.012031609999999</v>
          </cell>
          <cell r="D33">
            <v>20.49165726</v>
          </cell>
          <cell r="E33">
            <v>26.157427670000001</v>
          </cell>
          <cell r="F33">
            <v>31.929986750000001</v>
          </cell>
          <cell r="G33">
            <v>37.760551509999999</v>
          </cell>
          <cell r="H33">
            <v>43.608929490000001</v>
          </cell>
          <cell r="I33">
            <v>49.456913460000003</v>
          </cell>
          <cell r="J33">
            <v>55.293395650000001</v>
          </cell>
          <cell r="K33">
            <v>61.111525690000001</v>
          </cell>
          <cell r="L33">
            <v>66.926891240000003</v>
          </cell>
          <cell r="M33">
            <v>72.71677262</v>
          </cell>
          <cell r="N33">
            <v>78.478598719999994</v>
          </cell>
          <cell r="O33">
            <v>84.210216939999995</v>
          </cell>
          <cell r="P33">
            <v>89.91021782</v>
          </cell>
          <cell r="Q33">
            <v>95.577975120000005</v>
          </cell>
          <cell r="R33">
            <v>101.2135938</v>
          </cell>
          <cell r="S33">
            <v>106.81784140000001</v>
          </cell>
          <cell r="T33">
            <v>112.3920936</v>
          </cell>
          <cell r="U33">
            <v>117.9383028</v>
          </cell>
          <cell r="V33">
            <v>123.44277289999999</v>
          </cell>
          <cell r="W33">
            <v>128.92505270000001</v>
          </cell>
          <cell r="X33">
            <v>134.38933900000001</v>
          </cell>
          <cell r="Y33">
            <v>139.84059930000001</v>
          </cell>
          <cell r="Z33">
            <v>145.28422699999999</v>
          </cell>
          <cell r="AA33">
            <v>150.67747650000001</v>
          </cell>
          <cell r="AB33">
            <v>156.0527093</v>
          </cell>
          <cell r="AC33">
            <v>161.4181193</v>
          </cell>
          <cell r="AD33">
            <v>166.78370409999999</v>
          </cell>
          <cell r="AE33">
            <v>172.1605074</v>
          </cell>
          <cell r="AF33">
            <v>177.56023680000001</v>
          </cell>
          <cell r="AG33">
            <v>182.995091</v>
          </cell>
          <cell r="AH33">
            <v>188.4777153</v>
          </cell>
          <cell r="AI33">
            <v>194.02123409999999</v>
          </cell>
          <cell r="AJ33">
            <v>199.63932750000001</v>
          </cell>
          <cell r="AK33">
            <v>205.3463265</v>
          </cell>
          <cell r="AL33">
            <v>211.1443314</v>
          </cell>
          <cell r="AM33">
            <v>217.04915679999999</v>
          </cell>
          <cell r="AN33">
            <v>223.07796020000001</v>
          </cell>
          <cell r="AO33">
            <v>229.24949079999999</v>
          </cell>
          <cell r="AP33">
            <v>235.584067</v>
          </cell>
          <cell r="AQ33">
            <v>242.10351420000001</v>
          </cell>
          <cell r="AR33">
            <v>248.83114380000001</v>
          </cell>
          <cell r="AS33">
            <v>255.79179310000001</v>
          </cell>
          <cell r="AT33">
            <v>263.01192750000001</v>
          </cell>
          <cell r="AU33">
            <v>270.51979310000002</v>
          </cell>
          <cell r="AV33">
            <v>278.34700479999998</v>
          </cell>
          <cell r="AW33">
            <v>286.52603740000001</v>
          </cell>
          <cell r="AX33">
            <v>295.09179440000003</v>
          </cell>
          <cell r="AY33">
            <v>304.08183559999998</v>
          </cell>
          <cell r="AZ33">
            <v>313.5366497</v>
          </cell>
          <cell r="BA33">
            <v>323.4999603</v>
          </cell>
          <cell r="BB33">
            <v>334.01905790000001</v>
          </cell>
          <cell r="BC33">
            <v>345.14515729999999</v>
          </cell>
          <cell r="BD33">
            <v>356.93377759999998</v>
          </cell>
          <cell r="BE33">
            <v>369.44514529999998</v>
          </cell>
        </row>
        <row r="34">
          <cell r="A34" t="str">
            <v>auto_cb_cele_2</v>
          </cell>
          <cell r="B34">
            <v>11.44571741</v>
          </cell>
          <cell r="C34">
            <v>16.239981090000001</v>
          </cell>
          <cell r="D34">
            <v>21.266033069999999</v>
          </cell>
          <cell r="E34">
            <v>26.433737140000002</v>
          </cell>
          <cell r="F34">
            <v>31.690788040000001</v>
          </cell>
          <cell r="G34">
            <v>37.009310159999998</v>
          </cell>
          <cell r="H34">
            <v>42.365166780000003</v>
          </cell>
          <cell r="I34">
            <v>47.751704169999996</v>
          </cell>
          <cell r="J34">
            <v>53.166303390000003</v>
          </cell>
          <cell r="K34">
            <v>58.608474299999997</v>
          </cell>
          <cell r="L34">
            <v>64.098082840000004</v>
          </cell>
          <cell r="M34">
            <v>69.616650230000005</v>
          </cell>
          <cell r="N34">
            <v>75.165222999999997</v>
          </cell>
          <cell r="O34">
            <v>80.745224660000005</v>
          </cell>
          <cell r="P34">
            <v>86.358850230000002</v>
          </cell>
          <cell r="Q34">
            <v>92.009193120000006</v>
          </cell>
          <cell r="R34">
            <v>97.699672239999998</v>
          </cell>
          <cell r="S34">
            <v>103.43497290000001</v>
          </cell>
          <cell r="T34">
            <v>109.22091930000001</v>
          </cell>
          <cell r="U34">
            <v>115.0644262</v>
          </cell>
          <cell r="V34">
            <v>120.956698</v>
          </cell>
          <cell r="W34">
            <v>126.92412299999999</v>
          </cell>
          <cell r="X34">
            <v>132.9776966</v>
          </cell>
          <cell r="Y34">
            <v>139.1300013</v>
          </cell>
          <cell r="Z34">
            <v>145.3949259</v>
          </cell>
          <cell r="AA34">
            <v>151.73449539999999</v>
          </cell>
          <cell r="AB34">
            <v>158.1940768</v>
          </cell>
          <cell r="AC34">
            <v>164.79304450000001</v>
          </cell>
          <cell r="AD34">
            <v>171.5536755</v>
          </cell>
          <cell r="AE34">
            <v>178.5005128</v>
          </cell>
          <cell r="AF34">
            <v>185.6600516</v>
          </cell>
          <cell r="AG34">
            <v>193.06079209999999</v>
          </cell>
          <cell r="AH34">
            <v>200.73297360000001</v>
          </cell>
          <cell r="AI34">
            <v>208.70871030000001</v>
          </cell>
          <cell r="AJ34">
            <v>217.02218629999999</v>
          </cell>
          <cell r="AK34">
            <v>225.70986060000001</v>
          </cell>
          <cell r="AL34">
            <v>234.7955426</v>
          </cell>
          <cell r="AM34">
            <v>244.321168</v>
          </cell>
          <cell r="AN34">
            <v>254.33133470000001</v>
          </cell>
          <cell r="AO34">
            <v>264.87417499999998</v>
          </cell>
          <cell r="AP34">
            <v>276.00161400000002</v>
          </cell>
          <cell r="AQ34">
            <v>287.76977840000001</v>
          </cell>
          <cell r="AR34">
            <v>300.23854649999998</v>
          </cell>
          <cell r="AS34">
            <v>313.47172599999999</v>
          </cell>
          <cell r="AT34">
            <v>327.53734370000001</v>
          </cell>
          <cell r="AU34">
            <v>342.50794810000002</v>
          </cell>
          <cell r="AV34">
            <v>358.46456269999999</v>
          </cell>
          <cell r="AW34">
            <v>375.4906163</v>
          </cell>
          <cell r="AX34">
            <v>393.67454479999998</v>
          </cell>
          <cell r="AY34">
            <v>413.11051709999998</v>
          </cell>
          <cell r="AZ34">
            <v>433.89897409999998</v>
          </cell>
          <cell r="BA34">
            <v>456.14817110000001</v>
          </cell>
          <cell r="BB34">
            <v>479.97295050000002</v>
          </cell>
          <cell r="BC34">
            <v>505.49524220000001</v>
          </cell>
          <cell r="BD34">
            <v>532.84476059999997</v>
          </cell>
          <cell r="BE34">
            <v>562.15949209999997</v>
          </cell>
        </row>
        <row r="35">
          <cell r="A35" t="str">
            <v>auto_cb_cele_0</v>
          </cell>
          <cell r="B35">
            <v>11.44571741</v>
          </cell>
          <cell r="C35">
            <v>16.322968119999999</v>
          </cell>
          <cell r="D35">
            <v>21.49182411</v>
          </cell>
          <cell r="E35">
            <v>26.830588379999998</v>
          </cell>
          <cell r="F35">
            <v>32.261549180000003</v>
          </cell>
          <cell r="G35">
            <v>37.736755449999997</v>
          </cell>
          <cell r="H35">
            <v>43.216769419999999</v>
          </cell>
          <cell r="I35">
            <v>48.683248059999997</v>
          </cell>
          <cell r="J35">
            <v>54.124671829999997</v>
          </cell>
          <cell r="K35">
            <v>59.533606280000001</v>
          </cell>
          <cell r="L35">
            <v>64.923754389999999</v>
          </cell>
          <cell r="M35">
            <v>70.272755630000006</v>
          </cell>
          <cell r="N35">
            <v>75.577303049999998</v>
          </cell>
          <cell r="O35">
            <v>80.834538089999995</v>
          </cell>
          <cell r="P35">
            <v>86.042349569999999</v>
          </cell>
          <cell r="Q35">
            <v>91.199403750000002</v>
          </cell>
          <cell r="R35">
            <v>96.305088870000006</v>
          </cell>
          <cell r="S35">
            <v>101.3594453</v>
          </cell>
          <cell r="T35">
            <v>106.36310880000001</v>
          </cell>
          <cell r="U35">
            <v>111.3172742</v>
          </cell>
          <cell r="V35">
            <v>116.2088789</v>
          </cell>
          <cell r="W35">
            <v>121.05532359999999</v>
          </cell>
          <cell r="X35">
            <v>125.8599195</v>
          </cell>
          <cell r="Y35">
            <v>130.62666039999999</v>
          </cell>
          <cell r="Z35">
            <v>135.35990229999999</v>
          </cell>
          <cell r="AA35">
            <v>140.02076270000001</v>
          </cell>
          <cell r="AB35">
            <v>144.63814529999999</v>
          </cell>
          <cell r="AC35">
            <v>149.21911019999999</v>
          </cell>
          <cell r="AD35">
            <v>153.77226490000001</v>
          </cell>
          <cell r="AE35">
            <v>158.3070621</v>
          </cell>
          <cell r="AF35">
            <v>162.8334457</v>
          </cell>
          <cell r="AG35">
            <v>167.36168380000001</v>
          </cell>
          <cell r="AH35">
            <v>171.9023163</v>
          </cell>
          <cell r="AI35">
            <v>176.4661706</v>
          </cell>
          <cell r="AJ35">
            <v>181.06441369999999</v>
          </cell>
          <cell r="AK35">
            <v>185.7086218</v>
          </cell>
          <cell r="AL35">
            <v>190.39964639999999</v>
          </cell>
          <cell r="AM35">
            <v>195.15013139999999</v>
          </cell>
          <cell r="AN35">
            <v>199.97370050000001</v>
          </cell>
          <cell r="AO35">
            <v>204.88513520000001</v>
          </cell>
          <cell r="AP35">
            <v>209.9003208</v>
          </cell>
          <cell r="AQ35">
            <v>215.03616109999999</v>
          </cell>
          <cell r="AR35">
            <v>220.31052650000001</v>
          </cell>
          <cell r="AS35">
            <v>225.742255</v>
          </cell>
          <cell r="AT35">
            <v>231.35119940000001</v>
          </cell>
          <cell r="AU35">
            <v>237.15831549999999</v>
          </cell>
          <cell r="AV35">
            <v>243.18693429999999</v>
          </cell>
          <cell r="AW35">
            <v>249.46061449999999</v>
          </cell>
          <cell r="AX35">
            <v>256.00439870000002</v>
          </cell>
          <cell r="AY35">
            <v>262.84493989999999</v>
          </cell>
          <cell r="AZ35">
            <v>270.01065349999999</v>
          </cell>
          <cell r="BA35">
            <v>277.53188699999998</v>
          </cell>
          <cell r="BB35">
            <v>285.44110230000001</v>
          </cell>
          <cell r="BC35">
            <v>293.7730641</v>
          </cell>
          <cell r="BD35">
            <v>302.56503559999999</v>
          </cell>
          <cell r="BE35">
            <v>311.8569766</v>
          </cell>
        </row>
        <row r="36">
          <cell r="A36" t="str">
            <v>auto_cc_cele_2</v>
          </cell>
          <cell r="B36">
            <v>9.4015406210000005</v>
          </cell>
          <cell r="C36">
            <v>12.65816298</v>
          </cell>
          <cell r="D36">
            <v>16.073128369999999</v>
          </cell>
          <cell r="E36">
            <v>19.583128120000001</v>
          </cell>
          <cell r="F36">
            <v>23.151368040000001</v>
          </cell>
          <cell r="G36">
            <v>26.758059830000001</v>
          </cell>
          <cell r="H36">
            <v>30.386065129999999</v>
          </cell>
          <cell r="I36">
            <v>34.030305910000003</v>
          </cell>
          <cell r="J36">
            <v>37.688475240000002</v>
          </cell>
          <cell r="K36">
            <v>41.359712440000003</v>
          </cell>
          <cell r="L36">
            <v>45.057027490000003</v>
          </cell>
          <cell r="M36">
            <v>48.767188939999997</v>
          </cell>
          <cell r="N36">
            <v>52.490322740000003</v>
          </cell>
          <cell r="O36">
            <v>56.226818000000002</v>
          </cell>
          <cell r="P36">
            <v>59.977596769999998</v>
          </cell>
          <cell r="Q36">
            <v>63.744199369999997</v>
          </cell>
          <cell r="R36">
            <v>67.528397979999994</v>
          </cell>
          <cell r="S36">
            <v>71.33283299</v>
          </cell>
          <cell r="T36">
            <v>75.160921459999997</v>
          </cell>
          <cell r="U36">
            <v>79.016815870000002</v>
          </cell>
          <cell r="V36">
            <v>82.894144909999994</v>
          </cell>
          <cell r="W36">
            <v>86.810143949999997</v>
          </cell>
          <cell r="X36">
            <v>90.771661140000006</v>
          </cell>
          <cell r="Y36">
            <v>94.786551680000002</v>
          </cell>
          <cell r="Z36">
            <v>98.863476919999997</v>
          </cell>
          <cell r="AA36">
            <v>102.9766616</v>
          </cell>
          <cell r="AB36">
            <v>107.1557131</v>
          </cell>
          <cell r="AC36">
            <v>111.41284109999999</v>
          </cell>
          <cell r="AD36">
            <v>115.762035</v>
          </cell>
          <cell r="AE36">
            <v>120.2186128</v>
          </cell>
          <cell r="AF36">
            <v>124.7989891</v>
          </cell>
          <cell r="AG36">
            <v>129.52068199999999</v>
          </cell>
          <cell r="AH36">
            <v>134.40210859999999</v>
          </cell>
          <cell r="AI36">
            <v>139.46264049999999</v>
          </cell>
          <cell r="AJ36">
            <v>144.72269689999999</v>
          </cell>
          <cell r="AK36">
            <v>150.20384010000001</v>
          </cell>
          <cell r="AL36">
            <v>155.9190969</v>
          </cell>
          <cell r="AM36">
            <v>161.89288980000001</v>
          </cell>
          <cell r="AN36">
            <v>168.15090710000001</v>
          </cell>
          <cell r="AO36">
            <v>174.7206022</v>
          </cell>
          <cell r="AP36">
            <v>181.63129660000001</v>
          </cell>
          <cell r="AQ36">
            <v>188.9143737</v>
          </cell>
          <cell r="AR36">
            <v>196.6029168</v>
          </cell>
          <cell r="AS36">
            <v>204.7317396</v>
          </cell>
          <cell r="AT36">
            <v>213.33748199999999</v>
          </cell>
          <cell r="AU36">
            <v>222.4587046</v>
          </cell>
          <cell r="AV36">
            <v>232.1382601</v>
          </cell>
          <cell r="AW36">
            <v>242.41935140000001</v>
          </cell>
          <cell r="AX36">
            <v>253.34703579999999</v>
          </cell>
          <cell r="AY36">
            <v>264.96854250000001</v>
          </cell>
          <cell r="AZ36">
            <v>277.33346360000002</v>
          </cell>
          <cell r="BA36">
            <v>290.49454600000001</v>
          </cell>
          <cell r="BB36">
            <v>304.50675630000001</v>
          </cell>
          <cell r="BC36">
            <v>319.42738359999998</v>
          </cell>
          <cell r="BD36">
            <v>335.31625600000001</v>
          </cell>
          <cell r="BE36">
            <v>352.23581410000003</v>
          </cell>
        </row>
        <row r="37">
          <cell r="A37" t="str">
            <v>auto_cc_cele_0</v>
          </cell>
          <cell r="B37">
            <v>9.4015406210000005</v>
          </cell>
          <cell r="C37">
            <v>12.71448286</v>
          </cell>
          <cell r="D37">
            <v>16.22505838</v>
          </cell>
          <cell r="E37">
            <v>19.847384309999999</v>
          </cell>
          <cell r="F37">
            <v>23.526649429999999</v>
          </cell>
          <cell r="G37">
            <v>27.228931719999999</v>
          </cell>
          <cell r="H37">
            <v>30.926391779999999</v>
          </cell>
          <cell r="I37">
            <v>34.605790659999997</v>
          </cell>
          <cell r="J37">
            <v>38.258624709999999</v>
          </cell>
          <cell r="K37">
            <v>41.879223150000001</v>
          </cell>
          <cell r="L37">
            <v>45.476279830000003</v>
          </cell>
          <cell r="M37">
            <v>49.034016289999997</v>
          </cell>
          <cell r="N37">
            <v>52.549652700000003</v>
          </cell>
          <cell r="O37">
            <v>56.020757189999998</v>
          </cell>
          <cell r="P37">
            <v>59.445444340000002</v>
          </cell>
          <cell r="Q37">
            <v>62.822390030000001</v>
          </cell>
          <cell r="R37">
            <v>66.150789419999995</v>
          </cell>
          <cell r="S37">
            <v>69.430305619999999</v>
          </cell>
          <cell r="T37">
            <v>72.661027230000002</v>
          </cell>
          <cell r="U37">
            <v>75.843439119999999</v>
          </cell>
          <cell r="V37">
            <v>78.968666639999995</v>
          </cell>
          <cell r="W37">
            <v>82.047966819999999</v>
          </cell>
          <cell r="X37">
            <v>85.083279050000002</v>
          </cell>
          <cell r="Y37">
            <v>88.076983510000005</v>
          </cell>
          <cell r="Z37">
            <v>91.031686829999998</v>
          </cell>
          <cell r="AA37">
            <v>93.922000839999995</v>
          </cell>
          <cell r="AB37">
            <v>96.766647590000005</v>
          </cell>
          <cell r="AC37">
            <v>99.570117269999997</v>
          </cell>
          <cell r="AD37">
            <v>102.33785690000001</v>
          </cell>
          <cell r="AE37">
            <v>105.0758031</v>
          </cell>
          <cell r="AF37">
            <v>107.79014549999999</v>
          </cell>
          <cell r="AG37">
            <v>110.4872123</v>
          </cell>
          <cell r="AH37">
            <v>113.17342979999999</v>
          </cell>
          <cell r="AI37">
            <v>115.8553242</v>
          </cell>
          <cell r="AJ37">
            <v>118.5395473</v>
          </cell>
          <cell r="AK37">
            <v>121.23291209999999</v>
          </cell>
          <cell r="AL37">
            <v>123.9354616</v>
          </cell>
          <cell r="AM37">
            <v>126.65454920000001</v>
          </cell>
          <cell r="AN37">
            <v>129.3980305</v>
          </cell>
          <cell r="AO37">
            <v>132.17435330000001</v>
          </cell>
          <cell r="AP37">
            <v>134.99250459999999</v>
          </cell>
          <cell r="AQ37">
            <v>137.86193969999999</v>
          </cell>
          <cell r="AR37">
            <v>140.79253360000001</v>
          </cell>
          <cell r="AS37">
            <v>143.79456329999999</v>
          </cell>
          <cell r="AT37">
            <v>146.87871749999999</v>
          </cell>
          <cell r="AU37">
            <v>150.05612880000001</v>
          </cell>
          <cell r="AV37">
            <v>153.33911130000001</v>
          </cell>
          <cell r="AW37">
            <v>156.7398432</v>
          </cell>
          <cell r="AX37">
            <v>160.2710975</v>
          </cell>
          <cell r="AY37">
            <v>163.94628660000001</v>
          </cell>
          <cell r="AZ37">
            <v>167.7795179</v>
          </cell>
          <cell r="BA37">
            <v>171.78565689999999</v>
          </cell>
          <cell r="BB37">
            <v>175.9803909</v>
          </cell>
          <cell r="BC37">
            <v>180.38029399999999</v>
          </cell>
          <cell r="BD37">
            <v>185.00288929999999</v>
          </cell>
          <cell r="BE37">
            <v>189.86670760000001</v>
          </cell>
        </row>
        <row r="38">
          <cell r="A38" t="str">
            <v>auto_cd_cele_2</v>
          </cell>
          <cell r="B38">
            <v>5.770071272</v>
          </cell>
          <cell r="C38">
            <v>7.5418446289999999</v>
          </cell>
          <cell r="D38">
            <v>9.3831606260000004</v>
          </cell>
          <cell r="E38">
            <v>11.2517532</v>
          </cell>
          <cell r="F38">
            <v>13.121226890000001</v>
          </cell>
          <cell r="G38">
            <v>14.975629850000001</v>
          </cell>
          <cell r="H38">
            <v>16.801639959999999</v>
          </cell>
          <cell r="I38">
            <v>18.593216429999998</v>
          </cell>
          <cell r="J38">
            <v>20.346411069999998</v>
          </cell>
          <cell r="K38">
            <v>22.05848177</v>
          </cell>
          <cell r="L38">
            <v>23.733629879999999</v>
          </cell>
          <cell r="M38">
            <v>25.363643209999999</v>
          </cell>
          <cell r="N38">
            <v>26.94703887</v>
          </cell>
          <cell r="O38">
            <v>28.48260183</v>
          </cell>
          <cell r="P38">
            <v>29.969445799999999</v>
          </cell>
          <cell r="Q38">
            <v>31.406999580000001</v>
          </cell>
          <cell r="R38">
            <v>32.794807830000003</v>
          </cell>
          <cell r="S38">
            <v>34.132769539999998</v>
          </cell>
          <cell r="T38">
            <v>35.421057009999998</v>
          </cell>
          <cell r="U38">
            <v>36.660062750000002</v>
          </cell>
          <cell r="V38">
            <v>37.846151020000001</v>
          </cell>
          <cell r="W38">
            <v>38.984574799999997</v>
          </cell>
          <cell r="X38">
            <v>40.076381699999999</v>
          </cell>
          <cell r="Y38">
            <v>41.122803300000001</v>
          </cell>
          <cell r="Z38">
            <v>42.1251678</v>
          </cell>
          <cell r="AA38">
            <v>43.073458049999999</v>
          </cell>
          <cell r="AB38">
            <v>43.976078430000001</v>
          </cell>
          <cell r="AC38">
            <v>44.835288310000003</v>
          </cell>
          <cell r="AD38">
            <v>45.653597570000002</v>
          </cell>
          <cell r="AE38">
            <v>46.43359555</v>
          </cell>
          <cell r="AF38">
            <v>47.177864079999999</v>
          </cell>
          <cell r="AG38">
            <v>47.88896458</v>
          </cell>
          <cell r="AH38">
            <v>48.569369780000002</v>
          </cell>
          <cell r="AI38">
            <v>49.221470250000003</v>
          </cell>
          <cell r="AJ38">
            <v>49.847589020000001</v>
          </cell>
          <cell r="AK38">
            <v>50.44999413</v>
          </cell>
          <cell r="AL38">
            <v>51.028760499999997</v>
          </cell>
          <cell r="AM38">
            <v>51.586340010000001</v>
          </cell>
          <cell r="AN38">
            <v>52.125102920000003</v>
          </cell>
          <cell r="AO38">
            <v>52.647420570000001</v>
          </cell>
          <cell r="AP38">
            <v>53.155662509999999</v>
          </cell>
          <cell r="AQ38">
            <v>53.652210459999999</v>
          </cell>
          <cell r="AR38">
            <v>54.139371070000003</v>
          </cell>
          <cell r="AS38">
            <v>54.619367529999998</v>
          </cell>
          <cell r="AT38">
            <v>55.094344640000003</v>
          </cell>
          <cell r="AU38">
            <v>55.566373110000001</v>
          </cell>
          <cell r="AV38">
            <v>56.037782710000002</v>
          </cell>
          <cell r="AW38">
            <v>56.510546580000003</v>
          </cell>
          <cell r="AX38">
            <v>56.986509169999998</v>
          </cell>
          <cell r="AY38">
            <v>57.467427919999999</v>
          </cell>
          <cell r="AZ38">
            <v>57.95499418</v>
          </cell>
          <cell r="BA38">
            <v>58.450921389999998</v>
          </cell>
          <cell r="BB38">
            <v>58.95681956</v>
          </cell>
          <cell r="BC38">
            <v>59.474198280000003</v>
          </cell>
          <cell r="BD38">
            <v>60.00448729</v>
          </cell>
          <cell r="BE38">
            <v>60.549041950000003</v>
          </cell>
        </row>
        <row r="39">
          <cell r="A39" t="str">
            <v>auto_cd_cele_0</v>
          </cell>
          <cell r="B39">
            <v>5.770071272</v>
          </cell>
          <cell r="C39">
            <v>7.5724919279999998</v>
          </cell>
          <cell r="D39">
            <v>9.4657032940000008</v>
          </cell>
          <cell r="E39">
            <v>11.396266410000001</v>
          </cell>
          <cell r="F39">
            <v>13.329768270000001</v>
          </cell>
          <cell r="G39">
            <v>15.2446132</v>
          </cell>
          <cell r="H39">
            <v>17.123718719999999</v>
          </cell>
          <cell r="I39">
            <v>18.95862953</v>
          </cell>
          <cell r="J39">
            <v>20.74398382</v>
          </cell>
          <cell r="K39">
            <v>22.47630904</v>
          </cell>
          <cell r="L39">
            <v>24.159458489999999</v>
          </cell>
          <cell r="M39">
            <v>25.785429820000001</v>
          </cell>
          <cell r="N39">
            <v>27.35287396</v>
          </cell>
          <cell r="O39">
            <v>28.860749009999999</v>
          </cell>
          <cell r="P39">
            <v>30.308371569999998</v>
          </cell>
          <cell r="Q39">
            <v>31.695390060000001</v>
          </cell>
          <cell r="R39">
            <v>33.021739019999998</v>
          </cell>
          <cell r="S39">
            <v>34.287593899999997</v>
          </cell>
          <cell r="T39">
            <v>35.493332889999998</v>
          </cell>
          <cell r="U39">
            <v>36.639506939999997</v>
          </cell>
          <cell r="V39">
            <v>37.722811270000001</v>
          </cell>
          <cell r="W39">
            <v>38.748314729999997</v>
          </cell>
          <cell r="X39">
            <v>39.717090239999997</v>
          </cell>
          <cell r="Y39">
            <v>40.630325139999997</v>
          </cell>
          <cell r="Z39">
            <v>41.489236179999999</v>
          </cell>
          <cell r="AA39">
            <v>42.284532839999997</v>
          </cell>
          <cell r="AB39">
            <v>43.023770399999997</v>
          </cell>
          <cell r="AC39">
            <v>43.708911800000003</v>
          </cell>
          <cell r="AD39">
            <v>44.342125029999998</v>
          </cell>
          <cell r="AE39">
            <v>44.925604370000002</v>
          </cell>
          <cell r="AF39">
            <v>45.461486970000003</v>
          </cell>
          <cell r="AG39">
            <v>45.951817069999997</v>
          </cell>
          <cell r="AH39">
            <v>46.398536759999999</v>
          </cell>
          <cell r="AI39">
            <v>46.803491319999999</v>
          </cell>
          <cell r="AJ39">
            <v>47.168441000000001</v>
          </cell>
          <cell r="AK39">
            <v>47.495074600000002</v>
          </cell>
          <cell r="AL39">
            <v>47.783018869999999</v>
          </cell>
          <cell r="AM39">
            <v>48.034025669999998</v>
          </cell>
          <cell r="AN39">
            <v>48.249866500000003</v>
          </cell>
          <cell r="AO39">
            <v>48.432337510000004</v>
          </cell>
          <cell r="AP39">
            <v>48.583229680000002</v>
          </cell>
          <cell r="AQ39">
            <v>48.704299759999998</v>
          </cell>
          <cell r="AR39">
            <v>48.797250859999998</v>
          </cell>
          <cell r="AS39">
            <v>48.863722869999997</v>
          </cell>
          <cell r="AT39">
            <v>48.905290739999998</v>
          </cell>
          <cell r="AU39">
            <v>48.923467700000003</v>
          </cell>
          <cell r="AV39">
            <v>48.91985485</v>
          </cell>
          <cell r="AW39">
            <v>48.895847969999998</v>
          </cell>
          <cell r="AX39">
            <v>48.852796320000003</v>
          </cell>
          <cell r="AY39">
            <v>48.792005869999997</v>
          </cell>
          <cell r="AZ39">
            <v>48.714744179999997</v>
          </cell>
          <cell r="BA39">
            <v>48.622244999999999</v>
          </cell>
          <cell r="BB39">
            <v>48.515711359999997</v>
          </cell>
          <cell r="BC39">
            <v>48.39631704</v>
          </cell>
          <cell r="BD39">
            <v>48.265206489999997</v>
          </cell>
          <cell r="BE39">
            <v>48.123493619999998</v>
          </cell>
        </row>
        <row r="40">
          <cell r="A40" t="str">
            <v>auto_ce_cele_2</v>
          </cell>
          <cell r="B40">
            <v>3.4730440960000002</v>
          </cell>
          <cell r="C40">
            <v>4.5613534329999998</v>
          </cell>
          <cell r="D40">
            <v>5.6847459750000002</v>
          </cell>
          <cell r="E40">
            <v>6.8154630210000002</v>
          </cell>
          <cell r="F40">
            <v>7.936146108</v>
          </cell>
          <cell r="G40">
            <v>9.0362301869999992</v>
          </cell>
          <cell r="H40">
            <v>10.10710523</v>
          </cell>
          <cell r="I40">
            <v>11.14477162</v>
          </cell>
          <cell r="J40">
            <v>12.14665055</v>
          </cell>
          <cell r="K40">
            <v>13.111003070000001</v>
          </cell>
          <cell r="L40">
            <v>14.040128320000001</v>
          </cell>
          <cell r="M40">
            <v>14.92931842</v>
          </cell>
          <cell r="N40">
            <v>15.77781796</v>
          </cell>
          <cell r="O40">
            <v>16.585105179999999</v>
          </cell>
          <cell r="P40">
            <v>17.350914060000001</v>
          </cell>
          <cell r="Q40">
            <v>18.075215780000001</v>
          </cell>
          <cell r="R40">
            <v>18.758105109999999</v>
          </cell>
          <cell r="S40">
            <v>19.399921519999999</v>
          </cell>
          <cell r="T40">
            <v>20.001195460000002</v>
          </cell>
          <cell r="U40">
            <v>20.562609739999999</v>
          </cell>
          <cell r="V40">
            <v>21.08285137</v>
          </cell>
          <cell r="W40">
            <v>21.565156290000001</v>
          </cell>
          <cell r="X40">
            <v>22.010605829999999</v>
          </cell>
          <cell r="Y40">
            <v>22.420370040000002</v>
          </cell>
          <cell r="Z40">
            <v>22.795660789999999</v>
          </cell>
          <cell r="AA40">
            <v>23.132338050000001</v>
          </cell>
          <cell r="AB40">
            <v>23.435107779999999</v>
          </cell>
          <cell r="AC40">
            <v>23.705687780000002</v>
          </cell>
          <cell r="AD40">
            <v>23.945865600000001</v>
          </cell>
          <cell r="AE40">
            <v>24.157414190000001</v>
          </cell>
          <cell r="AF40">
            <v>24.342051730000001</v>
          </cell>
          <cell r="AG40">
            <v>24.501435829999998</v>
          </cell>
          <cell r="AH40">
            <v>24.63713383</v>
          </cell>
          <cell r="AI40">
            <v>24.75062655</v>
          </cell>
          <cell r="AJ40">
            <v>24.843315799999999</v>
          </cell>
          <cell r="AK40">
            <v>24.916530940000001</v>
          </cell>
          <cell r="AL40">
            <v>24.970672019999999</v>
          </cell>
          <cell r="AM40">
            <v>25.007086300000001</v>
          </cell>
          <cell r="AN40">
            <v>25.027036079999998</v>
          </cell>
          <cell r="AO40">
            <v>25.031730230000001</v>
          </cell>
          <cell r="AP40">
            <v>25.022323480000001</v>
          </cell>
          <cell r="AQ40">
            <v>24.999922689999998</v>
          </cell>
          <cell r="AR40">
            <v>24.96555515</v>
          </cell>
          <cell r="AS40">
            <v>24.92016697</v>
          </cell>
          <cell r="AT40">
            <v>24.864627070000001</v>
          </cell>
          <cell r="AU40">
            <v>24.799730879999998</v>
          </cell>
          <cell r="AV40">
            <v>24.726315960000001</v>
          </cell>
          <cell r="AW40">
            <v>24.645049199999999</v>
          </cell>
          <cell r="AX40">
            <v>24.556508820000001</v>
          </cell>
          <cell r="AY40">
            <v>24.461202419999999</v>
          </cell>
          <cell r="AZ40">
            <v>24.359578020000001</v>
          </cell>
          <cell r="BA40">
            <v>24.252055240000001</v>
          </cell>
          <cell r="BB40">
            <v>24.138988149999999</v>
          </cell>
          <cell r="BC40">
            <v>24.020667889999999</v>
          </cell>
          <cell r="BD40">
            <v>23.89733245</v>
          </cell>
          <cell r="BE40">
            <v>23.769172080000001</v>
          </cell>
        </row>
        <row r="41">
          <cell r="A41" t="str">
            <v>auto_ce_cele_0</v>
          </cell>
          <cell r="B41">
            <v>3.4730440960000002</v>
          </cell>
          <cell r="C41">
            <v>4.5791175480000001</v>
          </cell>
          <cell r="D41">
            <v>5.7313470710000001</v>
          </cell>
          <cell r="E41">
            <v>6.8947231530000002</v>
          </cell>
          <cell r="F41">
            <v>8.0469703910000003</v>
          </cell>
          <cell r="G41">
            <v>9.1742723720000008</v>
          </cell>
          <cell r="H41">
            <v>10.266017059999999</v>
          </cell>
          <cell r="I41">
            <v>11.31702947</v>
          </cell>
          <cell r="J41">
            <v>12.324157319999999</v>
          </cell>
          <cell r="K41">
            <v>13.285492700000001</v>
          </cell>
          <cell r="L41">
            <v>14.20334873</v>
          </cell>
          <cell r="M41">
            <v>15.0734367</v>
          </cell>
          <cell r="N41">
            <v>15.89533306</v>
          </cell>
          <cell r="O41">
            <v>16.66886577</v>
          </cell>
          <cell r="P41">
            <v>17.394128210000002</v>
          </cell>
          <cell r="Q41">
            <v>18.071451440000001</v>
          </cell>
          <cell r="R41">
            <v>18.70136858</v>
          </cell>
          <cell r="S41">
            <v>19.284581469999999</v>
          </cell>
          <cell r="T41">
            <v>19.821932220000001</v>
          </cell>
          <cell r="U41">
            <v>20.314379880000001</v>
          </cell>
          <cell r="V41">
            <v>20.761014190000001</v>
          </cell>
          <cell r="W41">
            <v>21.16510667</v>
          </cell>
          <cell r="X41">
            <v>21.527926820000001</v>
          </cell>
          <cell r="Y41">
            <v>21.85079666</v>
          </cell>
          <cell r="Z41">
            <v>22.135048170000001</v>
          </cell>
          <cell r="AA41">
            <v>22.377213269999999</v>
          </cell>
          <cell r="AB41">
            <v>22.581676590000001</v>
          </cell>
          <cell r="AC41">
            <v>22.75018871</v>
          </cell>
          <cell r="AD41">
            <v>22.884556719999999</v>
          </cell>
          <cell r="AE41">
            <v>22.986560369999999</v>
          </cell>
          <cell r="AF41">
            <v>23.05791593</v>
          </cell>
          <cell r="AG41">
            <v>23.100262529999998</v>
          </cell>
          <cell r="AH41">
            <v>23.115160459999998</v>
          </cell>
          <cell r="AI41">
            <v>23.104095489999999</v>
          </cell>
          <cell r="AJ41">
            <v>23.068485880000001</v>
          </cell>
          <cell r="AK41">
            <v>23.009689860000002</v>
          </cell>
          <cell r="AL41">
            <v>22.928250080000002</v>
          </cell>
          <cell r="AM41">
            <v>22.825527820000001</v>
          </cell>
          <cell r="AN41">
            <v>22.70286226</v>
          </cell>
          <cell r="AO41">
            <v>22.561568659999999</v>
          </cell>
          <cell r="AP41">
            <v>22.402925499999998</v>
          </cell>
          <cell r="AQ41">
            <v>22.228163670000001</v>
          </cell>
          <cell r="AR41">
            <v>22.038460369999999</v>
          </cell>
          <cell r="AS41">
            <v>21.834937029999999</v>
          </cell>
          <cell r="AT41">
            <v>21.618660129999999</v>
          </cell>
          <cell r="AU41">
            <v>21.390643619999999</v>
          </cell>
          <cell r="AV41">
            <v>21.15189719</v>
          </cell>
          <cell r="AW41">
            <v>20.903332939999999</v>
          </cell>
          <cell r="AX41">
            <v>20.645819070000002</v>
          </cell>
          <cell r="AY41">
            <v>20.38018198</v>
          </cell>
          <cell r="AZ41">
            <v>20.107208790000001</v>
          </cell>
          <cell r="BA41">
            <v>19.8276495</v>
          </cell>
          <cell r="BB41">
            <v>19.54221854</v>
          </cell>
          <cell r="BC41">
            <v>19.251595850000001</v>
          </cell>
          <cell r="BD41">
            <v>18.9564275</v>
          </cell>
          <cell r="BE41">
            <v>18.657326009999998</v>
          </cell>
        </row>
        <row r="42">
          <cell r="A42" t="str">
            <v>auto_cf_cele_2</v>
          </cell>
          <cell r="B42">
            <v>1.7251505170000001</v>
          </cell>
          <cell r="C42">
            <v>2.2412221990000001</v>
          </cell>
          <cell r="D42">
            <v>2.7606881080000001</v>
          </cell>
          <cell r="E42">
            <v>3.266971619</v>
          </cell>
          <cell r="F42">
            <v>3.749890492</v>
          </cell>
          <cell r="G42">
            <v>4.2034756880000002</v>
          </cell>
          <cell r="H42">
            <v>4.6235422870000003</v>
          </cell>
          <cell r="I42">
            <v>5.0085438509999998</v>
          </cell>
          <cell r="J42">
            <v>5.3579779439999999</v>
          </cell>
          <cell r="K42">
            <v>5.6719979739999999</v>
          </cell>
          <cell r="L42">
            <v>5.9523907989999998</v>
          </cell>
          <cell r="M42">
            <v>6.1986228619999997</v>
          </cell>
          <cell r="N42">
            <v>6.4117441680000002</v>
          </cell>
          <cell r="O42">
            <v>6.5929904119999998</v>
          </cell>
          <cell r="P42">
            <v>6.743750704</v>
          </cell>
          <cell r="Q42">
            <v>6.8655294290000004</v>
          </cell>
          <cell r="R42">
            <v>6.9598912259999999</v>
          </cell>
          <cell r="S42">
            <v>7.0284730460000002</v>
          </cell>
          <cell r="T42">
            <v>7.0729480330000003</v>
          </cell>
          <cell r="U42">
            <v>7.0949976919999997</v>
          </cell>
          <cell r="V42">
            <v>7.0958502540000001</v>
          </cell>
          <cell r="W42">
            <v>7.0776697730000002</v>
          </cell>
          <cell r="X42">
            <v>7.0420679310000001</v>
          </cell>
          <cell r="Y42">
            <v>6.9906027130000004</v>
          </cell>
          <cell r="Z42">
            <v>6.9247680809999999</v>
          </cell>
          <cell r="AA42">
            <v>6.8451582030000004</v>
          </cell>
          <cell r="AB42">
            <v>6.7537702150000003</v>
          </cell>
          <cell r="AC42">
            <v>6.6520036950000003</v>
          </cell>
          <cell r="AD42">
            <v>6.5411724979999999</v>
          </cell>
          <cell r="AE42">
            <v>6.4224964350000002</v>
          </cell>
          <cell r="AF42">
            <v>6.2971019779999997</v>
          </cell>
          <cell r="AG42">
            <v>6.1660275650000003</v>
          </cell>
          <cell r="AH42">
            <v>6.0302261399999999</v>
          </cell>
          <cell r="AI42">
            <v>5.8905713110000004</v>
          </cell>
          <cell r="AJ42">
            <v>5.7478634470000003</v>
          </cell>
          <cell r="AK42">
            <v>5.6028351240000003</v>
          </cell>
          <cell r="AL42">
            <v>5.4560940899999997</v>
          </cell>
          <cell r="AM42">
            <v>5.3082739549999998</v>
          </cell>
          <cell r="AN42">
            <v>5.1599479810000002</v>
          </cell>
          <cell r="AO42">
            <v>5.0116346749999998</v>
          </cell>
          <cell r="AP42">
            <v>4.863801306</v>
          </cell>
          <cell r="AQ42">
            <v>4.7168676759999997</v>
          </cell>
          <cell r="AR42">
            <v>4.5712077799999999</v>
          </cell>
          <cell r="AS42">
            <v>4.4271529899999997</v>
          </cell>
          <cell r="AT42">
            <v>4.2849953689999998</v>
          </cell>
          <cell r="AU42">
            <v>4.1449907189999999</v>
          </cell>
          <cell r="AV42">
            <v>4.007364806</v>
          </cell>
          <cell r="AW42">
            <v>3.8723086389999999</v>
          </cell>
          <cell r="AX42">
            <v>3.7399839519999998</v>
          </cell>
          <cell r="AY42">
            <v>3.6105261909999999</v>
          </cell>
          <cell r="AZ42">
            <v>3.4840470020000001</v>
          </cell>
          <cell r="BA42">
            <v>3.3606368180000001</v>
          </cell>
          <cell r="BB42">
            <v>3.2403658219999998</v>
          </cell>
          <cell r="BC42">
            <v>3.1232856739999999</v>
          </cell>
          <cell r="BD42">
            <v>3.0094313430000001</v>
          </cell>
          <cell r="BE42">
            <v>2.8988227389999999</v>
          </cell>
        </row>
        <row r="43">
          <cell r="A43" t="str">
            <v>auto_cf_cele_0</v>
          </cell>
          <cell r="B43">
            <v>1.7251505170000001</v>
          </cell>
          <cell r="C43">
            <v>2.2482442969999998</v>
          </cell>
          <cell r="D43">
            <v>2.7774998590000002</v>
          </cell>
          <cell r="E43">
            <v>3.2928145149999999</v>
          </cell>
          <cell r="F43">
            <v>3.7822145580000002</v>
          </cell>
          <cell r="G43">
            <v>4.2389796009999996</v>
          </cell>
          <cell r="H43">
            <v>4.6588005880000001</v>
          </cell>
          <cell r="I43">
            <v>5.0403092679999997</v>
          </cell>
          <cell r="J43">
            <v>5.3833593620000002</v>
          </cell>
          <cell r="K43">
            <v>5.6885469459999998</v>
          </cell>
          <cell r="L43">
            <v>5.958083652</v>
          </cell>
          <cell r="M43">
            <v>6.191981148</v>
          </cell>
          <cell r="N43">
            <v>6.3917140119999996</v>
          </cell>
          <cell r="O43">
            <v>6.5588898130000004</v>
          </cell>
          <cell r="P43">
            <v>6.6952202300000003</v>
          </cell>
          <cell r="Q43">
            <v>6.8024854850000001</v>
          </cell>
          <cell r="R43">
            <v>6.8825028039999996</v>
          </cell>
          <cell r="S43">
            <v>6.9371003670000002</v>
          </cell>
          <cell r="T43">
            <v>6.968096235</v>
          </cell>
          <cell r="U43">
            <v>6.9772814739999998</v>
          </cell>
          <cell r="V43">
            <v>6.9659966090000003</v>
          </cell>
          <cell r="W43">
            <v>6.9364223410000001</v>
          </cell>
          <cell r="X43">
            <v>6.8902084769999998</v>
          </cell>
          <cell r="Y43">
            <v>6.8289334659999996</v>
          </cell>
          <cell r="Z43">
            <v>6.7540974470000004</v>
          </cell>
          <cell r="AA43">
            <v>6.6663617850000003</v>
          </cell>
          <cell r="AB43">
            <v>6.5676461939999999</v>
          </cell>
          <cell r="AC43">
            <v>6.4593235169999996</v>
          </cell>
          <cell r="AD43">
            <v>6.3426796149999998</v>
          </cell>
          <cell r="AE43">
            <v>6.218905028</v>
          </cell>
          <cell r="AF43">
            <v>6.089096069</v>
          </cell>
          <cell r="AG43">
            <v>5.9542593339999996</v>
          </cell>
          <cell r="AH43">
            <v>5.8153174310000004</v>
          </cell>
          <cell r="AI43">
            <v>5.6731149690000002</v>
          </cell>
          <cell r="AJ43">
            <v>5.5284243120000003</v>
          </cell>
          <cell r="AK43">
            <v>5.3819508779999996</v>
          </cell>
          <cell r="AL43">
            <v>5.2342779630000003</v>
          </cell>
          <cell r="AM43">
            <v>5.0860097890000002</v>
          </cell>
          <cell r="AN43">
            <v>4.937695454</v>
          </cell>
          <cell r="AO43">
            <v>4.7898310369999999</v>
          </cell>
          <cell r="AP43">
            <v>4.6428615129999997</v>
          </cell>
          <cell r="AQ43">
            <v>4.4971832579999997</v>
          </cell>
          <cell r="AR43">
            <v>4.3531470030000001</v>
          </cell>
          <cell r="AS43">
            <v>4.2110609749999997</v>
          </cell>
          <cell r="AT43">
            <v>4.071194041</v>
          </cell>
          <cell r="AU43">
            <v>3.9337787679999998</v>
          </cell>
          <cell r="AV43">
            <v>3.7990159079999999</v>
          </cell>
          <cell r="AW43">
            <v>3.667073324</v>
          </cell>
          <cell r="AX43">
            <v>3.5380907599999998</v>
          </cell>
          <cell r="AY43">
            <v>3.4121822069999999</v>
          </cell>
          <cell r="AZ43">
            <v>3.289438128</v>
          </cell>
          <cell r="BA43">
            <v>3.1699275280000001</v>
          </cell>
          <cell r="BB43">
            <v>3.0536998799999999</v>
          </cell>
          <cell r="BC43">
            <v>2.940786938</v>
          </cell>
          <cell r="BD43">
            <v>2.8312044319999998</v>
          </cell>
          <cell r="BE43">
            <v>2.724953679</v>
          </cell>
        </row>
        <row r="44">
          <cell r="A44" t="str">
            <v>auto_cg_cele_2</v>
          </cell>
          <cell r="B44">
            <v>3.1066862139999998</v>
          </cell>
          <cell r="C44">
            <v>4.0675977149999998</v>
          </cell>
          <cell r="D44">
            <v>5.0142082889999999</v>
          </cell>
          <cell r="E44">
            <v>5.9121665879999998</v>
          </cell>
          <cell r="F44">
            <v>6.7416027290000002</v>
          </cell>
          <cell r="G44">
            <v>7.4921236709999999</v>
          </cell>
          <cell r="H44">
            <v>8.1579212470000009</v>
          </cell>
          <cell r="I44">
            <v>8.7386462310000006</v>
          </cell>
          <cell r="J44">
            <v>9.2362668330000002</v>
          </cell>
          <cell r="K44">
            <v>9.6541431610000004</v>
          </cell>
          <cell r="L44">
            <v>9.9981770979999993</v>
          </cell>
          <cell r="M44">
            <v>10.270949509999999</v>
          </cell>
          <cell r="N44">
            <v>10.477388120000001</v>
          </cell>
          <cell r="O44">
            <v>10.622605910000001</v>
          </cell>
          <cell r="P44">
            <v>10.711789230000001</v>
          </cell>
          <cell r="Q44">
            <v>10.750096750000001</v>
          </cell>
          <cell r="R44">
            <v>10.742557290000001</v>
          </cell>
          <cell r="S44">
            <v>10.69405764</v>
          </cell>
          <cell r="T44">
            <v>10.60927983</v>
          </cell>
          <cell r="U44">
            <v>10.492658029999999</v>
          </cell>
          <cell r="V44">
            <v>10.34793283</v>
          </cell>
          <cell r="W44">
            <v>10.179501610000001</v>
          </cell>
          <cell r="X44">
            <v>9.9909436760000006</v>
          </cell>
          <cell r="Y44">
            <v>9.7855367540000007</v>
          </cell>
          <cell r="Z44">
            <v>9.5662633590000006</v>
          </cell>
          <cell r="AA44">
            <v>9.3351956880000007</v>
          </cell>
          <cell r="AB44">
            <v>9.0953098430000008</v>
          </cell>
          <cell r="AC44">
            <v>8.8488873189999993</v>
          </cell>
          <cell r="AD44">
            <v>8.5979456509999999</v>
          </cell>
          <cell r="AE44">
            <v>8.3442535749999998</v>
          </cell>
          <cell r="AF44">
            <v>8.0893524960000001</v>
          </cell>
          <cell r="AG44">
            <v>7.8345792860000003</v>
          </cell>
          <cell r="AH44">
            <v>7.5810856910000002</v>
          </cell>
          <cell r="AI44">
            <v>7.3298581939999998</v>
          </cell>
          <cell r="AJ44">
            <v>7.0817361620000003</v>
          </cell>
          <cell r="AK44">
            <v>6.8374280619999999</v>
          </cell>
          <cell r="AL44">
            <v>6.5974996350000001</v>
          </cell>
          <cell r="AM44">
            <v>6.3624526469999996</v>
          </cell>
          <cell r="AN44">
            <v>6.1326927979999999</v>
          </cell>
          <cell r="AO44">
            <v>5.9085414949999997</v>
          </cell>
          <cell r="AP44">
            <v>5.6902459240000001</v>
          </cell>
          <cell r="AQ44">
            <v>5.477988324</v>
          </cell>
          <cell r="AR44">
            <v>5.2718937080000003</v>
          </cell>
          <cell r="AS44">
            <v>5.0720373629999997</v>
          </cell>
          <cell r="AT44">
            <v>4.8784516839999998</v>
          </cell>
          <cell r="AU44">
            <v>4.6911322469999996</v>
          </cell>
          <cell r="AV44">
            <v>4.5100440160000002</v>
          </cell>
          <cell r="AW44">
            <v>4.3351243339999996</v>
          </cell>
          <cell r="AX44">
            <v>4.1662880370000002</v>
          </cell>
          <cell r="AY44">
            <v>4.0034314440000003</v>
          </cell>
          <cell r="AZ44">
            <v>3.8464357819999999</v>
          </cell>
          <cell r="BA44">
            <v>3.6951702320000002</v>
          </cell>
          <cell r="BB44">
            <v>3.549494325</v>
          </cell>
          <cell r="BC44">
            <v>3.4092602049999998</v>
          </cell>
          <cell r="BD44">
            <v>3.2743146200000002</v>
          </cell>
          <cell r="BE44">
            <v>3.1445006489999998</v>
          </cell>
        </row>
        <row r="45">
          <cell r="A45" t="str">
            <v>auto_cg_cele_0</v>
          </cell>
          <cell r="B45">
            <v>3.1066862139999998</v>
          </cell>
          <cell r="C45">
            <v>4.078034626</v>
          </cell>
          <cell r="D45">
            <v>5.0359357549999997</v>
          </cell>
          <cell r="E45">
            <v>5.939501119</v>
          </cell>
          <cell r="F45">
            <v>6.7665365619999998</v>
          </cell>
          <cell r="G45">
            <v>7.5065763780000001</v>
          </cell>
          <cell r="H45">
            <v>8.1548645240000006</v>
          </cell>
          <cell r="I45">
            <v>8.7124313129999997</v>
          </cell>
          <cell r="J45">
            <v>9.1827119550000003</v>
          </cell>
          <cell r="K45">
            <v>9.570472917</v>
          </cell>
          <cell r="L45">
            <v>9.882774951</v>
          </cell>
          <cell r="M45">
            <v>10.123471139999999</v>
          </cell>
          <cell r="N45">
            <v>10.29838835</v>
          </cell>
          <cell r="O45">
            <v>10.413340850000001</v>
          </cell>
          <cell r="P45">
            <v>10.4740447</v>
          </cell>
          <cell r="Q45">
            <v>10.48603994</v>
          </cell>
          <cell r="R45">
            <v>10.45463224</v>
          </cell>
          <cell r="S45">
            <v>10.384852220000001</v>
          </cell>
          <cell r="T45">
            <v>10.281428719999999</v>
          </cell>
          <cell r="U45">
            <v>10.148773200000001</v>
          </cell>
          <cell r="V45">
            <v>9.9905993609999992</v>
          </cell>
          <cell r="W45">
            <v>9.8111346229999992</v>
          </cell>
          <cell r="X45">
            <v>9.6138252709999996</v>
          </cell>
          <cell r="Y45">
            <v>9.4017994040000001</v>
          </cell>
          <cell r="Z45">
            <v>9.1778804540000003</v>
          </cell>
          <cell r="AA45">
            <v>8.9440600549999996</v>
          </cell>
          <cell r="AB45">
            <v>8.7030757740000002</v>
          </cell>
          <cell r="AC45">
            <v>8.4570401470000007</v>
          </cell>
          <cell r="AD45">
            <v>8.2078124050000003</v>
          </cell>
          <cell r="AE45">
            <v>7.9570135979999996</v>
          </cell>
          <cell r="AF45">
            <v>7.7060478129999996</v>
          </cell>
          <cell r="AG45">
            <v>7.4561239749999997</v>
          </cell>
          <cell r="AH45">
            <v>7.2082765389999999</v>
          </cell>
          <cell r="AI45">
            <v>6.9633845279999997</v>
          </cell>
          <cell r="AJ45">
            <v>6.7221887809999998</v>
          </cell>
          <cell r="AK45">
            <v>6.4853074580000003</v>
          </cell>
          <cell r="AL45">
            <v>6.2532261419999999</v>
          </cell>
          <cell r="AM45">
            <v>6.0263686129999998</v>
          </cell>
          <cell r="AN45">
            <v>5.8050715139999998</v>
          </cell>
          <cell r="AO45">
            <v>5.5895939329999997</v>
          </cell>
          <cell r="AP45">
            <v>5.380126325</v>
          </cell>
          <cell r="AQ45">
            <v>5.176799011</v>
          </cell>
          <cell r="AR45">
            <v>4.979690079</v>
          </cell>
          <cell r="AS45">
            <v>4.7888326120000002</v>
          </cell>
          <cell r="AT45">
            <v>4.6042212070000001</v>
          </cell>
          <cell r="AU45">
            <v>4.4258177999999999</v>
          </cell>
          <cell r="AV45">
            <v>4.2535571790000004</v>
          </cell>
          <cell r="AW45">
            <v>4.087350722</v>
          </cell>
          <cell r="AX45">
            <v>3.9270909899999999</v>
          </cell>
          <cell r="AY45">
            <v>3.7726552689999999</v>
          </cell>
          <cell r="AZ45">
            <v>3.6239086810000001</v>
          </cell>
          <cell r="BA45">
            <v>3.4807068980000002</v>
          </cell>
          <cell r="BB45">
            <v>3.3428984910000001</v>
          </cell>
          <cell r="BC45">
            <v>3.2103269700000001</v>
          </cell>
          <cell r="BD45">
            <v>3.0828325410000001</v>
          </cell>
          <cell r="BE45">
            <v>2.9602536050000001</v>
          </cell>
        </row>
        <row r="46">
          <cell r="A46" t="str">
            <v>auto_ca_cgas_2</v>
          </cell>
          <cell r="B46">
            <v>0.42568169729999999</v>
          </cell>
          <cell r="C46">
            <v>0.44879940550000003</v>
          </cell>
          <cell r="D46">
            <v>0.47440688310000001</v>
          </cell>
          <cell r="E46">
            <v>0.50148526049999997</v>
          </cell>
          <cell r="F46">
            <v>0.52939701139999995</v>
          </cell>
          <cell r="G46">
            <v>0.55776228809999995</v>
          </cell>
          <cell r="H46">
            <v>0.58626244049999998</v>
          </cell>
          <cell r="I46">
            <v>0.61476442980000001</v>
          </cell>
          <cell r="J46">
            <v>0.6431869241</v>
          </cell>
          <cell r="K46">
            <v>0.67147822319999995</v>
          </cell>
          <cell r="L46">
            <v>0.69977618939999997</v>
          </cell>
          <cell r="M46">
            <v>0.72787431390000001</v>
          </cell>
          <cell r="N46">
            <v>0.7557494146</v>
          </cell>
          <cell r="O46">
            <v>0.78338168470000002</v>
          </cell>
          <cell r="P46">
            <v>0.81075635980000005</v>
          </cell>
          <cell r="Q46">
            <v>0.83786331989999996</v>
          </cell>
          <cell r="R46">
            <v>0.86469097289999997</v>
          </cell>
          <cell r="S46">
            <v>0.89123326089999999</v>
          </cell>
          <cell r="T46">
            <v>0.91748733660000004</v>
          </cell>
          <cell r="U46">
            <v>0.94345224360000002</v>
          </cell>
          <cell r="V46">
            <v>0.96899276970000003</v>
          </cell>
          <cell r="W46">
            <v>0.99425305860000002</v>
          </cell>
          <cell r="X46">
            <v>1.0192389390000001</v>
          </cell>
          <cell r="Y46">
            <v>1.0439593519999999</v>
          </cell>
          <cell r="Z46">
            <v>1.0684235740000001</v>
          </cell>
          <cell r="AA46">
            <v>1.0922438910000001</v>
          </cell>
          <cell r="AB46">
            <v>1.1156610389999999</v>
          </cell>
          <cell r="AC46">
            <v>1.138700204</v>
          </cell>
          <cell r="AD46">
            <v>1.161394542</v>
          </cell>
          <cell r="AE46">
            <v>1.183779557</v>
          </cell>
          <cell r="AF46">
            <v>1.2058900349999999</v>
          </cell>
          <cell r="AG46">
            <v>1.227759662</v>
          </cell>
          <cell r="AH46">
            <v>1.249418581</v>
          </cell>
          <cell r="AI46">
            <v>1.2708938059999999</v>
          </cell>
          <cell r="AJ46">
            <v>1.292209843</v>
          </cell>
          <cell r="AK46">
            <v>1.3133891900000001</v>
          </cell>
          <cell r="AL46">
            <v>1.334366298</v>
          </cell>
          <cell r="AM46">
            <v>1.3551688120000001</v>
          </cell>
          <cell r="AN46">
            <v>1.3758211339999999</v>
          </cell>
          <cell r="AO46">
            <v>1.396348138</v>
          </cell>
          <cell r="AP46">
            <v>1.4167749679999999</v>
          </cell>
          <cell r="AQ46">
            <v>1.43712737</v>
          </cell>
          <cell r="AR46">
            <v>1.45742788</v>
          </cell>
          <cell r="AS46">
            <v>1.4776955549999999</v>
          </cell>
          <cell r="AT46">
            <v>1.4979461789999999</v>
          </cell>
          <cell r="AU46">
            <v>1.5181924600000001</v>
          </cell>
          <cell r="AV46">
            <v>1.5384582950000001</v>
          </cell>
          <cell r="AW46">
            <v>1.5587523969999999</v>
          </cell>
          <cell r="AX46">
            <v>1.5790789359999999</v>
          </cell>
          <cell r="AY46">
            <v>1.599439386</v>
          </cell>
          <cell r="AZ46">
            <v>1.619833278</v>
          </cell>
          <cell r="BA46">
            <v>1.6402617580000001</v>
          </cell>
          <cell r="BB46">
            <v>1.6607221139999999</v>
          </cell>
          <cell r="BC46">
            <v>1.681208603</v>
          </cell>
          <cell r="BD46">
            <v>1.701713571</v>
          </cell>
          <cell r="BE46">
            <v>1.7222277479999999</v>
          </cell>
        </row>
        <row r="47">
          <cell r="A47" t="str">
            <v>auto_ca_cgas_0</v>
          </cell>
          <cell r="B47">
            <v>0.42568169729999999</v>
          </cell>
          <cell r="C47">
            <v>0.44962450999999998</v>
          </cell>
          <cell r="D47">
            <v>0.47671073520000001</v>
          </cell>
          <cell r="E47">
            <v>0.50567802709999998</v>
          </cell>
          <cell r="F47">
            <v>0.53570416700000001</v>
          </cell>
          <cell r="G47">
            <v>0.56627289579999995</v>
          </cell>
          <cell r="H47">
            <v>0.59697095789999999</v>
          </cell>
          <cell r="I47">
            <v>0.62760516119999998</v>
          </cell>
          <cell r="J47">
            <v>0.65806000409999998</v>
          </cell>
          <cell r="K47">
            <v>0.68826724390000005</v>
          </cell>
          <cell r="L47">
            <v>0.71836268020000005</v>
          </cell>
          <cell r="M47">
            <v>0.74814208429999995</v>
          </cell>
          <cell r="N47">
            <v>0.77758620160000003</v>
          </cell>
          <cell r="O47">
            <v>0.80667973019999994</v>
          </cell>
          <cell r="P47">
            <v>0.83541324679999995</v>
          </cell>
          <cell r="Q47">
            <v>0.86378289480000003</v>
          </cell>
          <cell r="R47">
            <v>0.89178940350000002</v>
          </cell>
          <cell r="S47">
            <v>0.91943703960000001</v>
          </cell>
          <cell r="T47">
            <v>0.94673274149999997</v>
          </cell>
          <cell r="U47">
            <v>0.97368550679999999</v>
          </cell>
          <cell r="V47">
            <v>1.000167568</v>
          </cell>
          <cell r="W47">
            <v>1.0263348349999999</v>
          </cell>
          <cell r="X47">
            <v>1.0522039969999999</v>
          </cell>
          <cell r="Y47">
            <v>1.077794283</v>
          </cell>
          <cell r="Z47">
            <v>1.1031245009999999</v>
          </cell>
          <cell r="AA47">
            <v>1.127807389</v>
          </cell>
          <cell r="AB47">
            <v>1.1520897969999999</v>
          </cell>
          <cell r="AC47">
            <v>1.1760036970000001</v>
          </cell>
          <cell r="AD47">
            <v>1.1995893959999999</v>
          </cell>
          <cell r="AE47">
            <v>1.2228890290000001</v>
          </cell>
          <cell r="AF47">
            <v>1.2459432800000001</v>
          </cell>
          <cell r="AG47">
            <v>1.268789902</v>
          </cell>
          <cell r="AH47">
            <v>1.2914633149999999</v>
          </cell>
          <cell r="AI47">
            <v>1.313994809</v>
          </cell>
          <cell r="AJ47">
            <v>1.3364130169999999</v>
          </cell>
          <cell r="AK47">
            <v>1.358744422</v>
          </cell>
          <cell r="AL47">
            <v>1.3809145949999999</v>
          </cell>
          <cell r="AM47">
            <v>1.4029503029999999</v>
          </cell>
          <cell r="AN47">
            <v>1.4248794010000001</v>
          </cell>
          <cell r="AO47">
            <v>1.446731752</v>
          </cell>
          <cell r="AP47">
            <v>1.468538071</v>
          </cell>
          <cell r="AQ47">
            <v>1.4903284960000001</v>
          </cell>
          <cell r="AR47">
            <v>1.5121314969999999</v>
          </cell>
          <cell r="AS47">
            <v>1.5339732340000001</v>
          </cell>
          <cell r="AT47">
            <v>1.5558773260000001</v>
          </cell>
          <cell r="AU47">
            <v>1.577864902</v>
          </cell>
          <cell r="AV47">
            <v>1.599963832</v>
          </cell>
          <cell r="AW47">
            <v>1.6221906939999999</v>
          </cell>
          <cell r="AX47">
            <v>1.644560179</v>
          </cell>
          <cell r="AY47">
            <v>1.667085141</v>
          </cell>
          <cell r="AZ47">
            <v>1.6897768799999999</v>
          </cell>
          <cell r="BA47">
            <v>1.7126454630000001</v>
          </cell>
          <cell r="BB47">
            <v>1.7356999639999999</v>
          </cell>
          <cell r="BC47">
            <v>1.75894861</v>
          </cell>
          <cell r="BD47">
            <v>1.7823988369999999</v>
          </cell>
          <cell r="BE47">
            <v>1.806057297</v>
          </cell>
        </row>
        <row r="48">
          <cell r="A48" t="str">
            <v>auto_cb_cgas_2</v>
          </cell>
          <cell r="B48">
            <v>0.49500522540000003</v>
          </cell>
          <cell r="C48">
            <v>0.51175959689999995</v>
          </cell>
          <cell r="D48">
            <v>0.5311675763</v>
          </cell>
          <cell r="E48">
            <v>0.55221005940000001</v>
          </cell>
          <cell r="F48">
            <v>0.5742408322</v>
          </cell>
          <cell r="G48">
            <v>0.59686555299999999</v>
          </cell>
          <cell r="H48">
            <v>0.6197530242</v>
          </cell>
          <cell r="I48">
            <v>0.64275251040000003</v>
          </cell>
          <cell r="J48">
            <v>0.66576515530000002</v>
          </cell>
          <cell r="K48">
            <v>0.68872233039999997</v>
          </cell>
          <cell r="L48">
            <v>0.71173520980000005</v>
          </cell>
          <cell r="M48">
            <v>0.734592205</v>
          </cell>
          <cell r="N48">
            <v>0.7572560009</v>
          </cell>
          <cell r="O48">
            <v>0.77969375730000001</v>
          </cell>
          <cell r="P48">
            <v>0.80187849690000002</v>
          </cell>
          <cell r="Q48">
            <v>0.82378859250000003</v>
          </cell>
          <cell r="R48">
            <v>0.84540203130000002</v>
          </cell>
          <cell r="S48">
            <v>0.86670283169999995</v>
          </cell>
          <cell r="T48">
            <v>0.88767878600000005</v>
          </cell>
          <cell r="U48">
            <v>0.9083201407</v>
          </cell>
          <cell r="V48">
            <v>0.92849572260000002</v>
          </cell>
          <cell r="W48">
            <v>0.94832973450000002</v>
          </cell>
          <cell r="X48">
            <v>0.96782030370000005</v>
          </cell>
          <cell r="Y48">
            <v>0.98696864809999996</v>
          </cell>
          <cell r="Z48">
            <v>1.0057765409999999</v>
          </cell>
          <cell r="AA48">
            <v>1.0238917439999999</v>
          </cell>
          <cell r="AB48">
            <v>1.0415263020000001</v>
          </cell>
          <cell r="AC48">
            <v>1.0586987999999999</v>
          </cell>
          <cell r="AD48">
            <v>1.075434671</v>
          </cell>
          <cell r="AE48">
            <v>1.091761124</v>
          </cell>
          <cell r="AF48">
            <v>1.107704418</v>
          </cell>
          <cell r="AG48">
            <v>1.1232895249999999</v>
          </cell>
          <cell r="AH48">
            <v>1.138538007</v>
          </cell>
          <cell r="AI48">
            <v>1.153468384</v>
          </cell>
          <cell r="AJ48">
            <v>1.168096708</v>
          </cell>
          <cell r="AK48">
            <v>1.1824370099999999</v>
          </cell>
          <cell r="AL48">
            <v>1.196428104</v>
          </cell>
          <cell r="AM48">
            <v>1.210088872</v>
          </cell>
          <cell r="AN48">
            <v>1.2234351059999999</v>
          </cell>
          <cell r="AO48">
            <v>1.2364826330000001</v>
          </cell>
          <cell r="AP48">
            <v>1.2492471249999999</v>
          </cell>
          <cell r="AQ48">
            <v>1.2617443930000001</v>
          </cell>
          <cell r="AR48">
            <v>1.2739872189999999</v>
          </cell>
          <cell r="AS48">
            <v>1.2859851680000001</v>
          </cell>
          <cell r="AT48">
            <v>1.297744808</v>
          </cell>
          <cell r="AU48">
            <v>1.3092699189999999</v>
          </cell>
          <cell r="AV48">
            <v>1.320573078</v>
          </cell>
          <cell r="AW48">
            <v>1.3316542170000001</v>
          </cell>
          <cell r="AX48">
            <v>1.3425093450000001</v>
          </cell>
          <cell r="AY48">
            <v>1.3531321220000001</v>
          </cell>
          <cell r="AZ48">
            <v>1.3635145360000001</v>
          </cell>
          <cell r="BA48">
            <v>1.373649782</v>
          </cell>
          <cell r="BB48">
            <v>1.3835279680000001</v>
          </cell>
          <cell r="BC48">
            <v>1.393136782</v>
          </cell>
          <cell r="BD48">
            <v>1.402462407</v>
          </cell>
          <cell r="BE48">
            <v>1.411489819</v>
          </cell>
        </row>
        <row r="49">
          <cell r="A49" t="str">
            <v>auto_cb_cgas_0</v>
          </cell>
          <cell r="B49">
            <v>0.49500522540000003</v>
          </cell>
          <cell r="C49">
            <v>0.51254167390000005</v>
          </cell>
          <cell r="D49">
            <v>0.53334117879999998</v>
          </cell>
          <cell r="E49">
            <v>0.55614763550000001</v>
          </cell>
          <cell r="F49">
            <v>0.58013773140000002</v>
          </cell>
          <cell r="G49">
            <v>0.60478809150000001</v>
          </cell>
          <cell r="H49">
            <v>0.62967928019999997</v>
          </cell>
          <cell r="I49">
            <v>0.65460522560000001</v>
          </cell>
          <cell r="J49">
            <v>0.67943640019999996</v>
          </cell>
          <cell r="K49">
            <v>0.70409014469999998</v>
          </cell>
          <cell r="L49">
            <v>0.72867686330000003</v>
          </cell>
          <cell r="M49">
            <v>0.75298886880000004</v>
          </cell>
          <cell r="N49">
            <v>0.77699387050000002</v>
          </cell>
          <cell r="O49">
            <v>0.80066450060000005</v>
          </cell>
          <cell r="P49">
            <v>0.82397993759999999</v>
          </cell>
          <cell r="Q49">
            <v>0.84692546079999997</v>
          </cell>
          <cell r="R49">
            <v>0.86949141350000003</v>
          </cell>
          <cell r="S49">
            <v>0.89167212770000004</v>
          </cell>
          <cell r="T49">
            <v>0.91346503270000001</v>
          </cell>
          <cell r="U49">
            <v>0.93487000529999997</v>
          </cell>
          <cell r="V49">
            <v>0.95576339190000004</v>
          </cell>
          <cell r="W49">
            <v>0.97628006909999998</v>
          </cell>
          <cell r="X49">
            <v>0.99642819959999995</v>
          </cell>
          <cell r="Y49">
            <v>1.0162183760000001</v>
          </cell>
          <cell r="Z49">
            <v>1.0356609400000001</v>
          </cell>
          <cell r="AA49">
            <v>1.0544049179999999</v>
          </cell>
          <cell r="AB49">
            <v>1.072667195</v>
          </cell>
          <cell r="AC49">
            <v>1.0904722360000001</v>
          </cell>
          <cell r="AD49">
            <v>1.107851621</v>
          </cell>
          <cell r="AE49">
            <v>1.1248381860000001</v>
          </cell>
          <cell r="AF49">
            <v>1.141463127</v>
          </cell>
          <cell r="AG49">
            <v>1.157754709</v>
          </cell>
          <cell r="AH49">
            <v>1.173737941</v>
          </cell>
          <cell r="AI49">
            <v>1.1894347729999999</v>
          </cell>
          <cell r="AJ49">
            <v>1.204864529</v>
          </cell>
          <cell r="AK49">
            <v>1.220044372</v>
          </cell>
          <cell r="AL49">
            <v>1.2349054660000001</v>
          </cell>
          <cell r="AM49">
            <v>1.2494657769999999</v>
          </cell>
          <cell r="AN49">
            <v>1.2637439829999999</v>
          </cell>
          <cell r="AO49">
            <v>1.277760139</v>
          </cell>
          <cell r="AP49">
            <v>1.291534626</v>
          </cell>
          <cell r="AQ49">
            <v>1.305086931</v>
          </cell>
          <cell r="AR49">
            <v>1.318434734</v>
          </cell>
          <cell r="AS49">
            <v>1.3315933959999999</v>
          </cell>
          <cell r="AT49">
            <v>1.344575796</v>
          </cell>
          <cell r="AU49">
            <v>1.357392406</v>
          </cell>
          <cell r="AV49">
            <v>1.3700587580000001</v>
          </cell>
          <cell r="AW49">
            <v>1.382580833</v>
          </cell>
          <cell r="AX49">
            <v>1.3949627689999999</v>
          </cell>
          <cell r="AY49">
            <v>1.40720695</v>
          </cell>
          <cell r="AZ49">
            <v>1.4193142620000001</v>
          </cell>
          <cell r="BA49">
            <v>1.43128437</v>
          </cell>
          <cell r="BB49">
            <v>1.4431159330000001</v>
          </cell>
          <cell r="BC49">
            <v>1.4548067250000001</v>
          </cell>
          <cell r="BD49">
            <v>1.466353697</v>
          </cell>
          <cell r="BE49">
            <v>1.477752983</v>
          </cell>
        </row>
        <row r="50">
          <cell r="A50" t="str">
            <v>auto_cc_cgas_2</v>
          </cell>
          <cell r="B50">
            <v>0.40659851759999999</v>
          </cell>
          <cell r="C50">
            <v>0.41416773429999998</v>
          </cell>
          <cell r="D50">
            <v>0.4237729086</v>
          </cell>
          <cell r="E50">
            <v>0.4346797013</v>
          </cell>
          <cell r="F50">
            <v>0.4464167402</v>
          </cell>
          <cell r="G50">
            <v>0.45869023599999997</v>
          </cell>
          <cell r="H50">
            <v>0.47125324159999998</v>
          </cell>
          <cell r="I50">
            <v>0.48398538619999998</v>
          </cell>
          <cell r="J50">
            <v>0.49680383849999998</v>
          </cell>
          <cell r="K50">
            <v>0.50964800219999995</v>
          </cell>
          <cell r="L50">
            <v>0.52258038650000005</v>
          </cell>
          <cell r="M50">
            <v>0.53544547040000001</v>
          </cell>
          <cell r="N50">
            <v>0.5482072979</v>
          </cell>
          <cell r="O50">
            <v>0.56083393400000003</v>
          </cell>
          <cell r="P50">
            <v>0.57329828120000004</v>
          </cell>
          <cell r="Q50">
            <v>0.58557763330000001</v>
          </cell>
          <cell r="R50">
            <v>0.59764978970000004</v>
          </cell>
          <cell r="S50">
            <v>0.60949728869999997</v>
          </cell>
          <cell r="T50">
            <v>0.62110582339999998</v>
          </cell>
          <cell r="U50">
            <v>0.63246329010000002</v>
          </cell>
          <cell r="V50">
            <v>0.64347847130000002</v>
          </cell>
          <cell r="W50">
            <v>0.65422866030000004</v>
          </cell>
          <cell r="X50">
            <v>0.66470834420000002</v>
          </cell>
          <cell r="Y50">
            <v>0.67491430409999997</v>
          </cell>
          <cell r="Z50">
            <v>0.68484394479999999</v>
          </cell>
          <cell r="AA50">
            <v>0.69426697559999995</v>
          </cell>
          <cell r="AB50">
            <v>0.70331875980000003</v>
          </cell>
          <cell r="AC50">
            <v>0.71200945800000004</v>
          </cell>
          <cell r="AD50">
            <v>0.72035355619999997</v>
          </cell>
          <cell r="AE50">
            <v>0.72836656209999995</v>
          </cell>
          <cell r="AF50">
            <v>0.73606327059999999</v>
          </cell>
          <cell r="AG50">
            <v>0.74345755270000002</v>
          </cell>
          <cell r="AH50">
            <v>0.75056102300000005</v>
          </cell>
          <cell r="AI50">
            <v>0.75738329439999996</v>
          </cell>
          <cell r="AJ50">
            <v>0.76393235439999996</v>
          </cell>
          <cell r="AK50">
            <v>0.77021486719999999</v>
          </cell>
          <cell r="AL50">
            <v>0.77619122039999999</v>
          </cell>
          <cell r="AM50">
            <v>0.78187157220000003</v>
          </cell>
          <cell r="AN50">
            <v>0.78726410079999998</v>
          </cell>
          <cell r="AO50">
            <v>0.79237690149999995</v>
          </cell>
          <cell r="AP50">
            <v>0.79721787899999996</v>
          </cell>
          <cell r="AQ50">
            <v>0.80179493489999998</v>
          </cell>
          <cell r="AR50">
            <v>0.80611407960000003</v>
          </cell>
          <cell r="AS50">
            <v>0.81017934800000002</v>
          </cell>
          <cell r="AT50">
            <v>0.81399296899999996</v>
          </cell>
          <cell r="AU50">
            <v>0.81755552789999997</v>
          </cell>
          <cell r="AV50">
            <v>0.82087277089999999</v>
          </cell>
          <cell r="AW50">
            <v>0.82394302149999998</v>
          </cell>
          <cell r="AX50">
            <v>0.82676235490000005</v>
          </cell>
          <cell r="AY50">
            <v>0.82932557110000005</v>
          </cell>
          <cell r="AZ50">
            <v>0.83162664500000005</v>
          </cell>
          <cell r="BA50">
            <v>0.83366040890000004</v>
          </cell>
          <cell r="BB50">
            <v>0.83542012990000003</v>
          </cell>
          <cell r="BC50">
            <v>0.83689790119999996</v>
          </cell>
          <cell r="BD50">
            <v>0.8380852003</v>
          </cell>
          <cell r="BE50">
            <v>0.83897309090000005</v>
          </cell>
        </row>
        <row r="51">
          <cell r="A51" t="str">
            <v>auto_cc_cgas_0</v>
          </cell>
          <cell r="B51">
            <v>0.40659851759999999</v>
          </cell>
          <cell r="C51">
            <v>0.41470220219999998</v>
          </cell>
          <cell r="D51">
            <v>0.42525139719999999</v>
          </cell>
          <cell r="E51">
            <v>0.43734559249999999</v>
          </cell>
          <cell r="F51">
            <v>0.45039109290000001</v>
          </cell>
          <cell r="G51">
            <v>0.46400622359999999</v>
          </cell>
          <cell r="H51">
            <v>0.47788482729999998</v>
          </cell>
          <cell r="I51">
            <v>0.49186996440000003</v>
          </cell>
          <cell r="J51">
            <v>0.50585910430000003</v>
          </cell>
          <cell r="K51">
            <v>0.51978326450000001</v>
          </cell>
          <cell r="L51">
            <v>0.53370530920000003</v>
          </cell>
          <cell r="M51">
            <v>0.54747362239999997</v>
          </cell>
          <cell r="N51">
            <v>0.56105661520000005</v>
          </cell>
          <cell r="O51">
            <v>0.57442694930000004</v>
          </cell>
          <cell r="P51">
            <v>0.58756250799999998</v>
          </cell>
          <cell r="Q51">
            <v>0.6004459875</v>
          </cell>
          <cell r="R51">
            <v>0.6130641148</v>
          </cell>
          <cell r="S51">
            <v>0.62540685579999999</v>
          </cell>
          <cell r="T51">
            <v>0.63746675580000001</v>
          </cell>
          <cell r="U51">
            <v>0.64923844850000001</v>
          </cell>
          <cell r="V51">
            <v>0.66063617360000004</v>
          </cell>
          <cell r="W51">
            <v>0.67174424200000005</v>
          </cell>
          <cell r="X51">
            <v>0.68256385740000003</v>
          </cell>
          <cell r="Y51">
            <v>0.69309799500000002</v>
          </cell>
          <cell r="Z51">
            <v>0.70334964820000001</v>
          </cell>
          <cell r="AA51">
            <v>0.71308992019999995</v>
          </cell>
          <cell r="AB51">
            <v>0.72245691810000001</v>
          </cell>
          <cell r="AC51">
            <v>0.73146450259999996</v>
          </cell>
          <cell r="AD51">
            <v>0.74013099049999997</v>
          </cell>
          <cell r="AE51">
            <v>0.74847536059999997</v>
          </cell>
          <cell r="AF51">
            <v>0.75651540760000002</v>
          </cell>
          <cell r="AG51">
            <v>0.76426694039999998</v>
          </cell>
          <cell r="AH51">
            <v>0.77174359449999996</v>
          </cell>
          <cell r="AI51">
            <v>0.77895697959999999</v>
          </cell>
          <cell r="AJ51">
            <v>0.78591696850000003</v>
          </cell>
          <cell r="AK51">
            <v>0.79263200899999997</v>
          </cell>
          <cell r="AL51">
            <v>0.79905775130000001</v>
          </cell>
          <cell r="AM51">
            <v>0.8052037017</v>
          </cell>
          <cell r="AN51">
            <v>0.81107978550000004</v>
          </cell>
          <cell r="AO51">
            <v>0.81669668770000003</v>
          </cell>
          <cell r="AP51">
            <v>0.8220651793</v>
          </cell>
          <cell r="AQ51">
            <v>0.82719536719999998</v>
          </cell>
          <cell r="AR51">
            <v>0.83209615449999996</v>
          </cell>
          <cell r="AS51">
            <v>0.83677495449999995</v>
          </cell>
          <cell r="AT51">
            <v>0.84123761760000004</v>
          </cell>
          <cell r="AU51">
            <v>0.84548850310000001</v>
          </cell>
          <cell r="AV51">
            <v>0.84953485650000005</v>
          </cell>
          <cell r="AW51">
            <v>0.85337825769999998</v>
          </cell>
          <cell r="AX51">
            <v>0.85701920570000001</v>
          </cell>
          <cell r="AY51">
            <v>0.86045719629999995</v>
          </cell>
          <cell r="AZ51">
            <v>0.86369089789999998</v>
          </cell>
          <cell r="BA51">
            <v>0.86671833600000003</v>
          </cell>
          <cell r="BB51">
            <v>0.86953703169999996</v>
          </cell>
          <cell r="BC51">
            <v>0.87214408889999995</v>
          </cell>
          <cell r="BD51">
            <v>0.87453623960000004</v>
          </cell>
          <cell r="BE51">
            <v>0.87670986569999998</v>
          </cell>
        </row>
        <row r="52">
          <cell r="A52" t="str">
            <v>auto_cd_cgas_2</v>
          </cell>
          <cell r="B52">
            <v>0.2495444651</v>
          </cell>
          <cell r="C52">
            <v>0.25214933610000001</v>
          </cell>
          <cell r="D52">
            <v>0.25584762170000003</v>
          </cell>
          <cell r="E52">
            <v>0.26019423749999998</v>
          </cell>
          <cell r="F52">
            <v>0.26490122030000002</v>
          </cell>
          <cell r="G52">
            <v>0.26978619129999998</v>
          </cell>
          <cell r="H52">
            <v>0.27469946699999997</v>
          </cell>
          <cell r="I52">
            <v>0.27956442860000003</v>
          </cell>
          <cell r="J52">
            <v>0.28432806300000002</v>
          </cell>
          <cell r="K52">
            <v>0.28895169599999998</v>
          </cell>
          <cell r="L52">
            <v>0.29346055669999999</v>
          </cell>
          <cell r="M52">
            <v>0.297770965</v>
          </cell>
          <cell r="N52">
            <v>0.3018618709</v>
          </cell>
          <cell r="O52">
            <v>0.30571568360000001</v>
          </cell>
          <cell r="P52">
            <v>0.3093184303</v>
          </cell>
          <cell r="Q52">
            <v>0.3126593426</v>
          </cell>
          <cell r="R52">
            <v>0.31572892969999999</v>
          </cell>
          <cell r="S52">
            <v>0.3185208779</v>
          </cell>
          <cell r="T52">
            <v>0.32103116329999998</v>
          </cell>
          <cell r="U52">
            <v>0.32325747849999997</v>
          </cell>
          <cell r="V52">
            <v>0.32516377439999999</v>
          </cell>
          <cell r="W52">
            <v>0.32678879979999997</v>
          </cell>
          <cell r="X52">
            <v>0.3281347389</v>
          </cell>
          <cell r="Y52">
            <v>0.3292049621</v>
          </cell>
          <cell r="Z52">
            <v>0.33000331430000002</v>
          </cell>
          <cell r="AA52">
            <v>0.33044268180000003</v>
          </cell>
          <cell r="AB52">
            <v>0.33058620820000001</v>
          </cell>
          <cell r="AC52">
            <v>0.33044547470000002</v>
          </cell>
          <cell r="AD52">
            <v>0.33003339079999999</v>
          </cell>
          <cell r="AE52">
            <v>0.32936285580000002</v>
          </cell>
          <cell r="AF52">
            <v>0.32844613249999999</v>
          </cell>
          <cell r="AG52">
            <v>0.32729481630000001</v>
          </cell>
          <cell r="AH52">
            <v>0.3259193984</v>
          </cell>
          <cell r="AI52">
            <v>0.32432941980000002</v>
          </cell>
          <cell r="AJ52">
            <v>0.32253366709999998</v>
          </cell>
          <cell r="AK52">
            <v>0.32054033580000002</v>
          </cell>
          <cell r="AL52">
            <v>0.3183424004</v>
          </cell>
          <cell r="AM52">
            <v>0.31594988860000001</v>
          </cell>
          <cell r="AN52">
            <v>0.31337204019999998</v>
          </cell>
          <cell r="AO52">
            <v>0.31061791779999998</v>
          </cell>
          <cell r="AP52">
            <v>0.30769639929999998</v>
          </cell>
          <cell r="AQ52">
            <v>0.30461627009999998</v>
          </cell>
          <cell r="AR52">
            <v>0.30138569339999999</v>
          </cell>
          <cell r="AS52">
            <v>0.2980122308</v>
          </cell>
          <cell r="AT52">
            <v>0.29450294430000001</v>
          </cell>
          <cell r="AU52">
            <v>0.29086449040000001</v>
          </cell>
          <cell r="AV52">
            <v>0.28710496320000001</v>
          </cell>
          <cell r="AW52">
            <v>0.28323050049999998</v>
          </cell>
          <cell r="AX52">
            <v>0.27924673280000001</v>
          </cell>
          <cell r="AY52">
            <v>0.2751590934</v>
          </cell>
          <cell r="AZ52">
            <v>0.27097297770000001</v>
          </cell>
          <cell r="BA52">
            <v>0.26669417569999998</v>
          </cell>
          <cell r="BB52">
            <v>0.26232828940000003</v>
          </cell>
          <cell r="BC52">
            <v>0.25788081099999999</v>
          </cell>
          <cell r="BD52">
            <v>0.253357259</v>
          </cell>
          <cell r="BE52">
            <v>0.24876322919999999</v>
          </cell>
        </row>
        <row r="53">
          <cell r="A53" t="str">
            <v>auto_cd_cgas_0</v>
          </cell>
          <cell r="B53">
            <v>0.2495444651</v>
          </cell>
          <cell r="C53">
            <v>0.25242828470000001</v>
          </cell>
          <cell r="D53">
            <v>0.25660192170000001</v>
          </cell>
          <cell r="E53">
            <v>0.2615233649</v>
          </cell>
          <cell r="F53">
            <v>0.26683808060000003</v>
          </cell>
          <cell r="G53">
            <v>0.27231908859999998</v>
          </cell>
          <cell r="H53">
            <v>0.27778898410000002</v>
          </cell>
          <cell r="I53">
            <v>0.28315553710000002</v>
          </cell>
          <cell r="J53">
            <v>0.28835885929999999</v>
          </cell>
          <cell r="K53">
            <v>0.29335906779999998</v>
          </cell>
          <cell r="L53">
            <v>0.298183898</v>
          </cell>
          <cell r="M53">
            <v>0.30275479550000001</v>
          </cell>
          <cell r="N53">
            <v>0.30705527510000002</v>
          </cell>
          <cell r="O53">
            <v>0.31107217860000003</v>
          </cell>
          <cell r="P53">
            <v>0.31479590860000001</v>
          </cell>
          <cell r="Q53">
            <v>0.3182200254</v>
          </cell>
          <cell r="R53">
            <v>0.32134071409999998</v>
          </cell>
          <cell r="S53">
            <v>0.32415628689999998</v>
          </cell>
          <cell r="T53">
            <v>0.32666676960000002</v>
          </cell>
          <cell r="U53">
            <v>0.3288735813</v>
          </cell>
          <cell r="V53">
            <v>0.33074408970000002</v>
          </cell>
          <cell r="W53">
            <v>0.33231992770000002</v>
          </cell>
          <cell r="X53">
            <v>0.33360632899999998</v>
          </cell>
          <cell r="Y53">
            <v>0.33460929540000001</v>
          </cell>
          <cell r="Z53">
            <v>0.3353348786</v>
          </cell>
          <cell r="AA53">
            <v>0.33569778140000001</v>
          </cell>
          <cell r="AB53">
            <v>0.3357611519</v>
          </cell>
          <cell r="AC53">
            <v>0.33553767470000001</v>
          </cell>
          <cell r="AD53">
            <v>0.33504132980000001</v>
          </cell>
          <cell r="AE53">
            <v>0.33428588040000001</v>
          </cell>
          <cell r="AF53">
            <v>0.33328421530000002</v>
          </cell>
          <cell r="AG53">
            <v>0.33204811680000001</v>
          </cell>
          <cell r="AH53">
            <v>0.33058826079999998</v>
          </cell>
          <cell r="AI53">
            <v>0.32891433720000002</v>
          </cell>
          <cell r="AJ53">
            <v>0.32703521419999998</v>
          </cell>
          <cell r="AK53">
            <v>0.32495910430000002</v>
          </cell>
          <cell r="AL53">
            <v>0.32267721510000003</v>
          </cell>
          <cell r="AM53">
            <v>0.32019884840000001</v>
          </cell>
          <cell r="AN53">
            <v>0.31753336659999998</v>
          </cell>
          <cell r="AO53">
            <v>0.31469022410000003</v>
          </cell>
          <cell r="AP53">
            <v>0.31167872410000003</v>
          </cell>
          <cell r="AQ53">
            <v>0.30850779789999999</v>
          </cell>
          <cell r="AR53">
            <v>0.3051858751</v>
          </cell>
          <cell r="AS53">
            <v>0.3017208428</v>
          </cell>
          <cell r="AT53">
            <v>0.29812007019999998</v>
          </cell>
          <cell r="AU53">
            <v>0.2943904725</v>
          </cell>
          <cell r="AV53">
            <v>0.2905396616</v>
          </cell>
          <cell r="AW53">
            <v>0.28657374149999998</v>
          </cell>
          <cell r="AX53">
            <v>0.28249857880000001</v>
          </cell>
          <cell r="AY53">
            <v>0.27831985640000001</v>
          </cell>
          <cell r="AZ53">
            <v>0.27404314239999999</v>
          </cell>
          <cell r="BA53">
            <v>0.2696739521</v>
          </cell>
          <cell r="BB53">
            <v>0.26521779099999998</v>
          </cell>
          <cell r="BC53">
            <v>0.26068017980000002</v>
          </cell>
          <cell r="BD53">
            <v>0.25606666620000001</v>
          </cell>
          <cell r="BE53">
            <v>0.25138282919999999</v>
          </cell>
        </row>
        <row r="54">
          <cell r="A54" t="str">
            <v>auto_ce_cgas_2</v>
          </cell>
          <cell r="B54">
            <v>0.15020246549999999</v>
          </cell>
          <cell r="C54">
            <v>0.1519680763</v>
          </cell>
          <cell r="D54">
            <v>0.15432264900000001</v>
          </cell>
          <cell r="E54">
            <v>0.15697678840000001</v>
          </cell>
          <cell r="F54">
            <v>0.15974426429999999</v>
          </cell>
          <cell r="G54">
            <v>0.162507927</v>
          </cell>
          <cell r="H54">
            <v>0.1651745268</v>
          </cell>
          <cell r="I54">
            <v>0.1676974004</v>
          </cell>
          <cell r="J54">
            <v>0.1700459232</v>
          </cell>
          <cell r="K54">
            <v>0.17219934479999999</v>
          </cell>
          <cell r="L54">
            <v>0.1741740316</v>
          </cell>
          <cell r="M54">
            <v>0.1759254244</v>
          </cell>
          <cell r="N54">
            <v>0.17744553220000001</v>
          </cell>
          <cell r="O54">
            <v>0.1787290064</v>
          </cell>
          <cell r="P54">
            <v>0.17977306840000001</v>
          </cell>
          <cell r="Q54">
            <v>0.18057715369999999</v>
          </cell>
          <cell r="R54">
            <v>0.1811418091</v>
          </cell>
          <cell r="S54">
            <v>0.18146962520000001</v>
          </cell>
          <cell r="T54">
            <v>0.18156467109999999</v>
          </cell>
          <cell r="U54">
            <v>0.1814321082</v>
          </cell>
          <cell r="V54">
            <v>0.18106062570000001</v>
          </cell>
          <cell r="W54">
            <v>0.18047635319999999</v>
          </cell>
          <cell r="X54">
            <v>0.17968696149999999</v>
          </cell>
          <cell r="Y54">
            <v>0.1787006263</v>
          </cell>
          <cell r="Z54">
            <v>0.17752567820000001</v>
          </cell>
          <cell r="AA54">
            <v>0.17612876999999999</v>
          </cell>
          <cell r="AB54">
            <v>0.1745466933</v>
          </cell>
          <cell r="AC54">
            <v>0.17279180990000001</v>
          </cell>
          <cell r="AD54">
            <v>0.17087669699999999</v>
          </cell>
          <cell r="AE54">
            <v>0.16881354270000001</v>
          </cell>
          <cell r="AF54">
            <v>0.1666139002</v>
          </cell>
          <cell r="AG54">
            <v>0.1642887046</v>
          </cell>
          <cell r="AH54">
            <v>0.16184812130000001</v>
          </cell>
          <cell r="AI54">
            <v>0.15930164299999999</v>
          </cell>
          <cell r="AJ54">
            <v>0.15665820189999999</v>
          </cell>
          <cell r="AK54">
            <v>0.15392626179999999</v>
          </cell>
          <cell r="AL54">
            <v>0.15110830920000001</v>
          </cell>
          <cell r="AM54">
            <v>0.1482133763</v>
          </cell>
          <cell r="AN54">
            <v>0.1452499491</v>
          </cell>
          <cell r="AO54">
            <v>0.14222619910000001</v>
          </cell>
          <cell r="AP54">
            <v>0.13914999319999999</v>
          </cell>
          <cell r="AQ54">
            <v>0.1360289392</v>
          </cell>
          <cell r="AR54">
            <v>0.13287021369999999</v>
          </cell>
          <cell r="AS54">
            <v>0.12968058460000001</v>
          </cell>
          <cell r="AT54">
            <v>0.12646646040000001</v>
          </cell>
          <cell r="AU54">
            <v>0.12323393439999999</v>
          </cell>
          <cell r="AV54">
            <v>0.1199893635</v>
          </cell>
          <cell r="AW54">
            <v>0.1167382981</v>
          </cell>
          <cell r="AX54">
            <v>0.1134859528</v>
          </cell>
          <cell r="AY54">
            <v>0.1102373131</v>
          </cell>
          <cell r="AZ54">
            <v>0.1069971904</v>
          </cell>
          <cell r="BA54">
            <v>0.1037703445</v>
          </cell>
          <cell r="BB54">
            <v>0.10056131409999999</v>
          </cell>
          <cell r="BC54">
            <v>9.7374430400000003E-2</v>
          </cell>
          <cell r="BD54">
            <v>9.4213851900000006E-2</v>
          </cell>
          <cell r="BE54">
            <v>9.1083574599999995E-2</v>
          </cell>
        </row>
        <row r="55">
          <cell r="A55" t="str">
            <v>auto_ce_cgas_0</v>
          </cell>
          <cell r="B55">
            <v>0.15020246549999999</v>
          </cell>
          <cell r="C55">
            <v>0.1521301739</v>
          </cell>
          <cell r="D55">
            <v>0.15475126280000001</v>
          </cell>
          <cell r="E55">
            <v>0.1577147408</v>
          </cell>
          <cell r="F55">
            <v>0.1607948276</v>
          </cell>
          <cell r="G55">
            <v>0.1638498524</v>
          </cell>
          <cell r="H55">
            <v>0.1667728557</v>
          </cell>
          <cell r="I55">
            <v>0.16951057689999999</v>
          </cell>
          <cell r="J55">
            <v>0.1720307438</v>
          </cell>
          <cell r="K55">
            <v>0.17431403649999999</v>
          </cell>
          <cell r="L55">
            <v>0.17637991359999999</v>
          </cell>
          <cell r="M55">
            <v>0.17818870540000001</v>
          </cell>
          <cell r="N55">
            <v>0.17973650969999999</v>
          </cell>
          <cell r="O55">
            <v>0.18102179269999999</v>
          </cell>
          <cell r="P55">
            <v>0.18204536869999999</v>
          </cell>
          <cell r="Q55">
            <v>0.18281005550000001</v>
          </cell>
          <cell r="R55">
            <v>0.18332029180000001</v>
          </cell>
          <cell r="S55">
            <v>0.18358179459999999</v>
          </cell>
          <cell r="T55">
            <v>0.1836012776</v>
          </cell>
          <cell r="U55">
            <v>0.1833862278</v>
          </cell>
          <cell r="V55">
            <v>0.1829275615</v>
          </cell>
          <cell r="W55">
            <v>0.18225286090000001</v>
          </cell>
          <cell r="X55">
            <v>0.181371439</v>
          </cell>
          <cell r="Y55">
            <v>0.18029282429999999</v>
          </cell>
          <cell r="Z55">
            <v>0.17902642560000001</v>
          </cell>
          <cell r="AA55">
            <v>0.17754021440000001</v>
          </cell>
          <cell r="AB55">
            <v>0.175870633</v>
          </cell>
          <cell r="AC55">
            <v>0.17403046210000001</v>
          </cell>
          <cell r="AD55">
            <v>0.17203266759999999</v>
          </cell>
          <cell r="AE55">
            <v>0.1698897251</v>
          </cell>
          <cell r="AF55">
            <v>0.16761336530000001</v>
          </cell>
          <cell r="AG55">
            <v>0.16521451370000001</v>
          </cell>
          <cell r="AH55">
            <v>0.1627033289</v>
          </cell>
          <cell r="AI55">
            <v>0.1600892884</v>
          </cell>
          <cell r="AJ55">
            <v>0.15738128700000001</v>
          </cell>
          <cell r="AK55">
            <v>0.15458773100000001</v>
          </cell>
          <cell r="AL55">
            <v>0.15171045920000001</v>
          </cell>
          <cell r="AM55">
            <v>0.1487581976</v>
          </cell>
          <cell r="AN55">
            <v>0.14573948010000001</v>
          </cell>
          <cell r="AO55">
            <v>0.1426626362</v>
          </cell>
          <cell r="AP55">
            <v>0.13953569430000001</v>
          </cell>
          <cell r="AQ55">
            <v>0.13636630890000001</v>
          </cell>
          <cell r="AR55">
            <v>0.13316172840000001</v>
          </cell>
          <cell r="AS55">
            <v>0.1299287965</v>
          </cell>
          <cell r="AT55">
            <v>0.12667397590000001</v>
          </cell>
          <cell r="AU55">
            <v>0.1234033824</v>
          </cell>
          <cell r="AV55">
            <v>0.120123145</v>
          </cell>
          <cell r="AW55">
            <v>0.1168387295</v>
          </cell>
          <cell r="AX55">
            <v>0.1135553514</v>
          </cell>
          <cell r="AY55">
            <v>0.110277998</v>
          </cell>
          <cell r="AZ55">
            <v>0.1070114523</v>
          </cell>
          <cell r="BA55">
            <v>0.1037603107</v>
          </cell>
          <cell r="BB55">
            <v>0.1005289937</v>
          </cell>
          <cell r="BC55">
            <v>9.7321749200000002E-2</v>
          </cell>
          <cell r="BD55">
            <v>9.4142652399999999E-2</v>
          </cell>
          <cell r="BE55">
            <v>9.0995602699999997E-2</v>
          </cell>
        </row>
        <row r="56">
          <cell r="A56" t="str">
            <v>auto_cf_cgas_2</v>
          </cell>
          <cell r="B56">
            <v>7.4609436000000001E-2</v>
          </cell>
          <cell r="C56">
            <v>7.5265987399999998E-2</v>
          </cell>
          <cell r="D56">
            <v>7.6097262900000004E-2</v>
          </cell>
          <cell r="E56">
            <v>7.6939829900000006E-2</v>
          </cell>
          <cell r="F56">
            <v>7.7692987000000005E-2</v>
          </cell>
          <cell r="G56">
            <v>7.82977386E-2</v>
          </cell>
          <cell r="H56">
            <v>7.8713743899999994E-2</v>
          </cell>
          <cell r="I56">
            <v>7.8926331700000005E-2</v>
          </cell>
          <cell r="J56">
            <v>7.8931185900000006E-2</v>
          </cell>
          <cell r="K56">
            <v>7.8730383099999995E-2</v>
          </cell>
          <cell r="L56">
            <v>7.8340780099999993E-2</v>
          </cell>
          <cell r="M56">
            <v>7.7758258299999994E-2</v>
          </cell>
          <cell r="N56">
            <v>7.6993049999999993E-2</v>
          </cell>
          <cell r="O56">
            <v>7.6056811700000004E-2</v>
          </cell>
          <cell r="P56">
            <v>7.4962265299999997E-2</v>
          </cell>
          <cell r="Q56">
            <v>7.3722818800000006E-2</v>
          </cell>
          <cell r="R56">
            <v>7.2352063499999994E-2</v>
          </cell>
          <cell r="S56">
            <v>7.0863878500000005E-2</v>
          </cell>
          <cell r="T56">
            <v>6.9272112600000005E-2</v>
          </cell>
          <cell r="U56">
            <v>6.7590353399999997E-2</v>
          </cell>
          <cell r="V56">
            <v>6.5827960000000005E-2</v>
          </cell>
          <cell r="W56">
            <v>6.4002186599999997E-2</v>
          </cell>
          <cell r="X56">
            <v>6.2125117100000002E-2</v>
          </cell>
          <cell r="Y56">
            <v>6.0208136400000001E-2</v>
          </cell>
          <cell r="Z56">
            <v>5.8261872399999998E-2</v>
          </cell>
          <cell r="AA56">
            <v>5.6289169700000002E-2</v>
          </cell>
          <cell r="AB56">
            <v>5.4304769099999997E-2</v>
          </cell>
          <cell r="AC56">
            <v>5.2318044000000001E-2</v>
          </cell>
          <cell r="AD56">
            <v>5.03374896E-2</v>
          </cell>
          <cell r="AE56">
            <v>4.8370684499999997E-2</v>
          </cell>
          <cell r="AF56">
            <v>4.6424327299999998E-2</v>
          </cell>
          <cell r="AG56">
            <v>4.4504307399999998E-2</v>
          </cell>
          <cell r="AH56">
            <v>4.26157499E-2</v>
          </cell>
          <cell r="AI56">
            <v>4.0763088000000003E-2</v>
          </cell>
          <cell r="AJ56">
            <v>3.89501311E-2</v>
          </cell>
          <cell r="AK56">
            <v>3.7180123900000001E-2</v>
          </cell>
          <cell r="AL56">
            <v>3.5455319399999997E-2</v>
          </cell>
          <cell r="AM56">
            <v>3.3778176799999997E-2</v>
          </cell>
          <cell r="AN56">
            <v>3.2150675199999999E-2</v>
          </cell>
          <cell r="AO56">
            <v>3.05743692E-2</v>
          </cell>
          <cell r="AP56">
            <v>2.90504254E-2</v>
          </cell>
          <cell r="AQ56">
            <v>2.7579660200000002E-2</v>
          </cell>
          <cell r="AR56">
            <v>2.61625609E-2</v>
          </cell>
          <cell r="AS56">
            <v>2.47993182E-2</v>
          </cell>
          <cell r="AT56">
            <v>2.3489857699999998E-2</v>
          </cell>
          <cell r="AU56">
            <v>2.2233869699999999E-2</v>
          </cell>
          <cell r="AV56">
            <v>2.10308575E-2</v>
          </cell>
          <cell r="AW56">
            <v>1.9880112299999999E-2</v>
          </cell>
          <cell r="AX56">
            <v>1.8780757700000001E-2</v>
          </cell>
          <cell r="AY56">
            <v>1.7731775500000001E-2</v>
          </cell>
          <cell r="AZ56">
            <v>1.6732027199999999E-2</v>
          </cell>
          <cell r="BA56">
            <v>1.57802745E-2</v>
          </cell>
          <cell r="BB56">
            <v>1.48751905E-2</v>
          </cell>
          <cell r="BC56">
            <v>1.4015374800000001E-2</v>
          </cell>
          <cell r="BD56">
            <v>1.3199368499999999E-2</v>
          </cell>
          <cell r="BE56">
            <v>1.24256683E-2</v>
          </cell>
        </row>
        <row r="57">
          <cell r="A57" t="str">
            <v>auto_cf_cgas_0</v>
          </cell>
          <cell r="B57">
            <v>7.4609436000000001E-2</v>
          </cell>
          <cell r="C57">
            <v>7.5328545900000002E-2</v>
          </cell>
          <cell r="D57">
            <v>7.6246810400000004E-2</v>
          </cell>
          <cell r="E57">
            <v>7.7169642900000002E-2</v>
          </cell>
          <cell r="F57">
            <v>7.7981432500000003E-2</v>
          </cell>
          <cell r="G57">
            <v>7.86176861E-2</v>
          </cell>
          <cell r="H57">
            <v>7.9038013200000007E-2</v>
          </cell>
          <cell r="I57">
            <v>7.9230162500000006E-2</v>
          </cell>
          <cell r="J57">
            <v>7.9193570899999996E-2</v>
          </cell>
          <cell r="K57">
            <v>7.8934576800000003E-2</v>
          </cell>
          <cell r="L57">
            <v>7.8473965899999998E-2</v>
          </cell>
          <cell r="M57">
            <v>7.7812261399999999E-2</v>
          </cell>
          <cell r="N57">
            <v>7.6963139299999997E-2</v>
          </cell>
          <cell r="O57">
            <v>7.5941112500000005E-2</v>
          </cell>
          <cell r="P57">
            <v>7.4761250400000007E-2</v>
          </cell>
          <cell r="Q57">
            <v>7.3438858199999998E-2</v>
          </cell>
          <cell r="R57">
            <v>7.1989204000000001E-2</v>
          </cell>
          <cell r="S57">
            <v>7.0427304100000004E-2</v>
          </cell>
          <cell r="T57">
            <v>6.8767756799999996E-2</v>
          </cell>
          <cell r="U57">
            <v>6.7024618600000002E-2</v>
          </cell>
          <cell r="V57">
            <v>6.5207685799999998E-2</v>
          </cell>
          <cell r="W57">
            <v>6.3334029900000005E-2</v>
          </cell>
          <cell r="X57">
            <v>6.14156888E-2</v>
          </cell>
          <cell r="Y57">
            <v>5.9463879599999998E-2</v>
          </cell>
          <cell r="Z57">
            <v>5.7488969000000001E-2</v>
          </cell>
          <cell r="AA57">
            <v>5.5493850400000003E-2</v>
          </cell>
          <cell r="AB57">
            <v>5.3492491500000003E-2</v>
          </cell>
          <cell r="AC57">
            <v>5.1493832000000003E-2</v>
          </cell>
          <cell r="AD57">
            <v>4.9505950100000001E-2</v>
          </cell>
          <cell r="AE57">
            <v>4.7536018200000002E-2</v>
          </cell>
          <cell r="AF57">
            <v>4.5590338799999998E-2</v>
          </cell>
          <cell r="AG57">
            <v>4.3674407700000001E-2</v>
          </cell>
          <cell r="AH57">
            <v>4.1792984700000001E-2</v>
          </cell>
          <cell r="AI57">
            <v>3.9950163300000001E-2</v>
          </cell>
          <cell r="AJ57">
            <v>3.8149435299999999E-2</v>
          </cell>
          <cell r="AK57">
            <v>3.6393748599999998E-2</v>
          </cell>
          <cell r="AL57">
            <v>3.4685057499999998E-2</v>
          </cell>
          <cell r="AM57">
            <v>3.3025544900000002E-2</v>
          </cell>
          <cell r="AN57">
            <v>3.1416970099999997E-2</v>
          </cell>
          <cell r="AO57">
            <v>2.9860693099999999E-2</v>
          </cell>
          <cell r="AP57">
            <v>2.8357698800000001E-2</v>
          </cell>
          <cell r="AQ57">
            <v>2.6908624200000002E-2</v>
          </cell>
          <cell r="AR57">
            <v>2.5513789799999999E-2</v>
          </cell>
          <cell r="AS57">
            <v>2.41732305E-2</v>
          </cell>
          <cell r="AT57">
            <v>2.2886726600000001E-2</v>
          </cell>
          <cell r="AU57">
            <v>2.1653832599999999E-2</v>
          </cell>
          <cell r="AV57">
            <v>2.0473916599999999E-2</v>
          </cell>
          <cell r="AW57">
            <v>1.9346155300000001E-2</v>
          </cell>
          <cell r="AX57">
            <v>1.8269574199999999E-2</v>
          </cell>
          <cell r="AY57">
            <v>1.7243068899999998E-2</v>
          </cell>
          <cell r="AZ57">
            <v>1.6265423899999999E-2</v>
          </cell>
          <cell r="BA57">
            <v>1.5335330100000001E-2</v>
          </cell>
          <cell r="BB57">
            <v>1.44514008E-2</v>
          </cell>
          <cell r="BC57">
            <v>1.3612186300000001E-2</v>
          </cell>
          <cell r="BD57">
            <v>1.2816187499999999E-2</v>
          </cell>
          <cell r="BE57">
            <v>1.20618684E-2</v>
          </cell>
        </row>
        <row r="58">
          <cell r="A58" t="str">
            <v>auto_cg_cgas_2</v>
          </cell>
          <cell r="B58">
            <v>0.13435819299999999</v>
          </cell>
          <cell r="C58">
            <v>0.13582723729999999</v>
          </cell>
          <cell r="D58">
            <v>0.13741738179999999</v>
          </cell>
          <cell r="E58">
            <v>0.1387971741</v>
          </cell>
          <cell r="F58">
            <v>0.1397764584</v>
          </cell>
          <cell r="G58">
            <v>0.1402580849</v>
          </cell>
          <cell r="H58">
            <v>0.14019110309999999</v>
          </cell>
          <cell r="I58">
            <v>0.13957678979999999</v>
          </cell>
          <cell r="J58">
            <v>0.13843830030000001</v>
          </cell>
          <cell r="K58">
            <v>0.13681128570000001</v>
          </cell>
          <cell r="L58">
            <v>0.13475338009999999</v>
          </cell>
          <cell r="M58">
            <v>0.13229134249999999</v>
          </cell>
          <cell r="N58">
            <v>0.12947210840000001</v>
          </cell>
          <cell r="O58">
            <v>0.12634292580000001</v>
          </cell>
          <cell r="P58">
            <v>0.1229503225</v>
          </cell>
          <cell r="Q58">
            <v>0.1193392412</v>
          </cell>
          <cell r="R58">
            <v>0.11555221760000001</v>
          </cell>
          <cell r="S58">
            <v>0.111629372</v>
          </cell>
          <cell r="T58">
            <v>0.1076079668</v>
          </cell>
          <cell r="U58">
            <v>0.10352215300000001</v>
          </cell>
          <cell r="V58">
            <v>9.9399294400000004E-2</v>
          </cell>
          <cell r="W58">
            <v>9.5271699700000004E-2</v>
          </cell>
          <cell r="X58">
            <v>9.11639333E-2</v>
          </cell>
          <cell r="Y58">
            <v>8.7097476699999996E-2</v>
          </cell>
          <cell r="Z58">
            <v>8.3090891400000005E-2</v>
          </cell>
          <cell r="AA58">
            <v>7.9154827900000002E-2</v>
          </cell>
          <cell r="AB58">
            <v>7.5307301899999998E-2</v>
          </cell>
          <cell r="AC58">
            <v>7.1560211700000001E-2</v>
          </cell>
          <cell r="AD58">
            <v>6.7923105299999995E-2</v>
          </cell>
          <cell r="AE58">
            <v>6.4403386100000001E-2</v>
          </cell>
          <cell r="AF58">
            <v>6.1006558299999999E-2</v>
          </cell>
          <cell r="AG58">
            <v>5.7736472800000001E-2</v>
          </cell>
          <cell r="AH58">
            <v>5.4595536399999998E-2</v>
          </cell>
          <cell r="AI58">
            <v>5.1584915299999999E-2</v>
          </cell>
          <cell r="AJ58">
            <v>4.87047169E-2</v>
          </cell>
          <cell r="AK58">
            <v>4.5954150100000001E-2</v>
          </cell>
          <cell r="AL58">
            <v>4.3331469099999999E-2</v>
          </cell>
          <cell r="AM58">
            <v>4.0834594000000002E-2</v>
          </cell>
          <cell r="AN58">
            <v>3.8460880199999999E-2</v>
          </cell>
          <cell r="AO58">
            <v>3.6207226000000002E-2</v>
          </cell>
          <cell r="AP58">
            <v>3.40701635E-2</v>
          </cell>
          <cell r="AQ58">
            <v>3.2045940000000002E-2</v>
          </cell>
          <cell r="AR58">
            <v>3.0130584500000002E-2</v>
          </cell>
          <cell r="AS58">
            <v>2.8319970600000001E-2</v>
          </cell>
          <cell r="AT58">
            <v>2.66098715E-2</v>
          </cell>
          <cell r="AU58">
            <v>2.4996007099999999E-2</v>
          </cell>
          <cell r="AV58">
            <v>2.3474089300000001E-2</v>
          </cell>
          <cell r="AW58">
            <v>2.20398448E-2</v>
          </cell>
          <cell r="AX58">
            <v>2.06890497E-2</v>
          </cell>
          <cell r="AY58">
            <v>1.9417555100000001E-2</v>
          </cell>
          <cell r="AZ58">
            <v>1.8221306999999999E-2</v>
          </cell>
          <cell r="BA58">
            <v>1.7096362899999999E-2</v>
          </cell>
          <cell r="BB58">
            <v>1.6038903399999999E-2</v>
          </cell>
          <cell r="BC58">
            <v>1.5045241799999999E-2</v>
          </cell>
          <cell r="BD58">
            <v>1.4111831199999999E-2</v>
          </cell>
          <cell r="BE58">
            <v>1.32352696E-2</v>
          </cell>
        </row>
        <row r="59">
          <cell r="A59" t="str">
            <v>auto_cg_cgas_0</v>
          </cell>
          <cell r="B59">
            <v>0.13435819299999999</v>
          </cell>
          <cell r="C59">
            <v>0.13591961990000001</v>
          </cell>
          <cell r="D59">
            <v>0.13760975549999999</v>
          </cell>
          <cell r="E59">
            <v>0.13904072319999999</v>
          </cell>
          <cell r="F59">
            <v>0.1400047569</v>
          </cell>
          <cell r="G59">
            <v>0.1404068986</v>
          </cell>
          <cell r="H59">
            <v>0.1402075689</v>
          </cell>
          <cell r="I59">
            <v>0.13942143839999999</v>
          </cell>
          <cell r="J59">
            <v>0.13808502980000001</v>
          </cell>
          <cell r="K59">
            <v>0.13624613569999999</v>
          </cell>
          <cell r="L59">
            <v>0.13397192229999999</v>
          </cell>
          <cell r="M59">
            <v>0.1312990231</v>
          </cell>
          <cell r="N59">
            <v>0.12828077639999999</v>
          </cell>
          <cell r="O59">
            <v>0.1249689708</v>
          </cell>
          <cell r="P59">
            <v>0.1214131557</v>
          </cell>
          <cell r="Q59">
            <v>0.117660057</v>
          </cell>
          <cell r="R59">
            <v>0.1137531842</v>
          </cell>
          <cell r="S59">
            <v>0.1097326019</v>
          </cell>
          <cell r="T59">
            <v>0.1056348261</v>
          </cell>
          <cell r="U59">
            <v>0.101492817</v>
          </cell>
          <cell r="V59">
            <v>9.7332758500000005E-2</v>
          </cell>
          <cell r="W59">
            <v>9.3184915500000007E-2</v>
          </cell>
          <cell r="X59">
            <v>8.9072153000000001E-2</v>
          </cell>
          <cell r="Y59">
            <v>8.50142287E-2</v>
          </cell>
          <cell r="Z59">
            <v>8.1028006799999996E-2</v>
          </cell>
          <cell r="AA59">
            <v>7.7122966000000001E-2</v>
          </cell>
          <cell r="AB59">
            <v>7.3315100899999999E-2</v>
          </cell>
          <cell r="AC59">
            <v>6.9614825399999997E-2</v>
          </cell>
          <cell r="AD59">
            <v>6.60303582E-2</v>
          </cell>
          <cell r="AE59">
            <v>6.2567914700000005E-2</v>
          </cell>
          <cell r="AF59">
            <v>5.9231940900000002E-2</v>
          </cell>
          <cell r="AG59">
            <v>5.60253452E-2</v>
          </cell>
          <cell r="AH59">
            <v>5.2949711400000002E-2</v>
          </cell>
          <cell r="AI59">
            <v>5.0005490499999999E-2</v>
          </cell>
          <cell r="AJ59">
            <v>4.7192170899999997E-2</v>
          </cell>
          <cell r="AK59">
            <v>4.4508428000000003E-2</v>
          </cell>
          <cell r="AL59">
            <v>4.1952060499999999E-2</v>
          </cell>
          <cell r="AM59">
            <v>3.9520592299999997E-2</v>
          </cell>
          <cell r="AN59">
            <v>3.7211063000000003E-2</v>
          </cell>
          <cell r="AO59">
            <v>3.5020113999999998E-2</v>
          </cell>
          <cell r="AP59">
            <v>3.2944067299999998E-2</v>
          </cell>
          <cell r="AQ59">
            <v>3.0978999100000001E-2</v>
          </cell>
          <cell r="AR59">
            <v>2.9120805100000001E-2</v>
          </cell>
          <cell r="AS59">
            <v>2.7365259400000001E-2</v>
          </cell>
          <cell r="AT59">
            <v>2.57080651E-2</v>
          </cell>
          <cell r="AU59">
            <v>2.41448984E-2</v>
          </cell>
          <cell r="AV59">
            <v>2.2671448399999999E-2</v>
          </cell>
          <cell r="AW59">
            <v>2.12834415E-2</v>
          </cell>
          <cell r="AX59">
            <v>1.9976672500000001E-2</v>
          </cell>
          <cell r="AY59">
            <v>1.8747025600000002E-2</v>
          </cell>
          <cell r="AZ59">
            <v>1.7590491900000001E-2</v>
          </cell>
          <cell r="BA59">
            <v>1.6503183099999999E-2</v>
          </cell>
          <cell r="BB59">
            <v>1.5481342E-2</v>
          </cell>
          <cell r="BC59">
            <v>1.4521350400000001E-2</v>
          </cell>
          <cell r="BD59">
            <v>1.3619734600000001E-2</v>
          </cell>
          <cell r="BE59">
            <v>1.27731687E-2</v>
          </cell>
        </row>
      </sheetData>
      <sheetData sheetId="18"/>
      <sheetData sheetId="19"/>
      <sheetData sheetId="20">
        <row r="100">
          <cell r="A100" t="str">
            <v>y_toe_2</v>
          </cell>
          <cell r="B100">
            <v>136.60229330000001</v>
          </cell>
          <cell r="C100">
            <v>137.01288349999999</v>
          </cell>
          <cell r="D100">
            <v>137.55301069999999</v>
          </cell>
          <cell r="E100">
            <v>138.24542389999999</v>
          </cell>
          <cell r="F100">
            <v>139.11688899999999</v>
          </cell>
          <cell r="G100">
            <v>140.1545984</v>
          </cell>
          <cell r="H100">
            <v>141.246737</v>
          </cell>
          <cell r="I100">
            <v>142.42111879999999</v>
          </cell>
          <cell r="J100">
            <v>143.6700299</v>
          </cell>
          <cell r="K100">
            <v>144.98131470000001</v>
          </cell>
          <cell r="L100">
            <v>146.47341789999999</v>
          </cell>
          <cell r="M100">
            <v>147.8995899</v>
          </cell>
          <cell r="N100">
            <v>149.33381460000001</v>
          </cell>
          <cell r="O100">
            <v>150.77882210000001</v>
          </cell>
          <cell r="P100">
            <v>152.23247610000001</v>
          </cell>
          <cell r="Q100">
            <v>153.69276199999999</v>
          </cell>
          <cell r="R100">
            <v>155.1457436</v>
          </cell>
          <cell r="S100">
            <v>156.60236</v>
          </cell>
          <cell r="T100">
            <v>158.06428360000001</v>
          </cell>
          <cell r="U100">
            <v>159.5330562</v>
          </cell>
          <cell r="V100">
            <v>160.91576610000001</v>
          </cell>
          <cell r="W100">
            <v>162.37419800000001</v>
          </cell>
          <cell r="X100">
            <v>163.85756910000001</v>
          </cell>
          <cell r="Y100">
            <v>165.361403</v>
          </cell>
          <cell r="Z100">
            <v>166.8855915</v>
          </cell>
          <cell r="AA100">
            <v>168.1626397</v>
          </cell>
          <cell r="AB100">
            <v>169.5248272</v>
          </cell>
          <cell r="AC100">
            <v>170.90494100000001</v>
          </cell>
          <cell r="AD100">
            <v>172.3015752</v>
          </cell>
          <cell r="AE100">
            <v>173.7173607</v>
          </cell>
          <cell r="AF100">
            <v>175.1552193</v>
          </cell>
          <cell r="AG100">
            <v>176.6205999</v>
          </cell>
          <cell r="AH100">
            <v>178.11312269999999</v>
          </cell>
          <cell r="AI100">
            <v>179.63406309999999</v>
          </cell>
          <cell r="AJ100">
            <v>181.18432250000001</v>
          </cell>
          <cell r="AK100">
            <v>182.76437960000001</v>
          </cell>
          <cell r="AL100">
            <v>184.336727</v>
          </cell>
          <cell r="AM100">
            <v>185.9223255</v>
          </cell>
          <cell r="AN100">
            <v>187.52680789999999</v>
          </cell>
          <cell r="AO100">
            <v>189.15275399999999</v>
          </cell>
          <cell r="AP100">
            <v>190.80152620000001</v>
          </cell>
          <cell r="AQ100">
            <v>192.4779078</v>
          </cell>
          <cell r="AR100">
            <v>194.17894749999999</v>
          </cell>
          <cell r="AS100">
            <v>195.90451530000001</v>
          </cell>
          <cell r="AT100">
            <v>197.65446489999999</v>
          </cell>
          <cell r="AU100">
            <v>199.4285653</v>
          </cell>
          <cell r="AV100">
            <v>201.24654649999999</v>
          </cell>
          <cell r="AW100">
            <v>203.09458789999999</v>
          </cell>
          <cell r="AX100">
            <v>204.97224779999999</v>
          </cell>
          <cell r="AY100">
            <v>206.8795824</v>
          </cell>
          <cell r="AZ100">
            <v>208.8163471</v>
          </cell>
          <cell r="BA100">
            <v>210.79052139999999</v>
          </cell>
          <cell r="BB100">
            <v>212.79448210000001</v>
          </cell>
          <cell r="BC100">
            <v>214.82715110000001</v>
          </cell>
          <cell r="BD100">
            <v>216.8879551</v>
          </cell>
          <cell r="BE100">
            <v>218.97651640000001</v>
          </cell>
        </row>
        <row r="101">
          <cell r="A101" t="str">
            <v>m_toe_2</v>
          </cell>
          <cell r="B101">
            <v>148.00377810000001</v>
          </cell>
          <cell r="C101">
            <v>148.23336979999999</v>
          </cell>
          <cell r="D101">
            <v>148.74927589999999</v>
          </cell>
          <cell r="E101">
            <v>149.47106489999999</v>
          </cell>
          <cell r="F101">
            <v>150.4158529</v>
          </cell>
          <cell r="G101">
            <v>151.57193229999999</v>
          </cell>
          <cell r="H101">
            <v>152.8213729</v>
          </cell>
          <cell r="I101">
            <v>154.19228029999999</v>
          </cell>
          <cell r="J101">
            <v>155.6729622</v>
          </cell>
          <cell r="K101">
            <v>157.24569360000001</v>
          </cell>
          <cell r="L101">
            <v>159.0342531</v>
          </cell>
          <cell r="M101">
            <v>160.7792034</v>
          </cell>
          <cell r="N101">
            <v>162.54713839999999</v>
          </cell>
          <cell r="O101">
            <v>164.3423635</v>
          </cell>
          <cell r="P101">
            <v>166.16081159999999</v>
          </cell>
          <cell r="Q101">
            <v>167.99839979999999</v>
          </cell>
          <cell r="R101">
            <v>169.83788290000001</v>
          </cell>
          <cell r="S101">
            <v>171.6890741</v>
          </cell>
          <cell r="T101">
            <v>173.5530578</v>
          </cell>
          <cell r="U101">
            <v>175.43029390000001</v>
          </cell>
          <cell r="V101">
            <v>177.21941229999999</v>
          </cell>
          <cell r="W101">
            <v>179.08809679999999</v>
          </cell>
          <cell r="X101">
            <v>180.9884509</v>
          </cell>
          <cell r="Y101">
            <v>182.91308660000001</v>
          </cell>
          <cell r="Z101">
            <v>184.86118490000001</v>
          </cell>
          <cell r="AA101">
            <v>186.542631</v>
          </cell>
          <cell r="AB101">
            <v>188.30041940000001</v>
          </cell>
          <cell r="AC101">
            <v>190.07618629999999</v>
          </cell>
          <cell r="AD101">
            <v>191.8654995</v>
          </cell>
          <cell r="AE101">
            <v>193.67122950000001</v>
          </cell>
          <cell r="AF101">
            <v>195.496951</v>
          </cell>
          <cell r="AG101">
            <v>197.34914979999999</v>
          </cell>
          <cell r="AH101">
            <v>199.2279978</v>
          </cell>
          <cell r="AI101">
            <v>201.13517340000001</v>
          </cell>
          <cell r="AJ101">
            <v>203.07205669999999</v>
          </cell>
          <cell r="AK101">
            <v>205.03957260000001</v>
          </cell>
          <cell r="AL101">
            <v>206.9978591</v>
          </cell>
          <cell r="AM101">
            <v>208.9673483</v>
          </cell>
          <cell r="AN101">
            <v>210.95476070000001</v>
          </cell>
          <cell r="AO101">
            <v>212.96340570000001</v>
          </cell>
          <cell r="AP101">
            <v>214.99532629999999</v>
          </cell>
          <cell r="AQ101">
            <v>217.05638429999999</v>
          </cell>
          <cell r="AR101">
            <v>219.1440455</v>
          </cell>
          <cell r="AS101">
            <v>221.25840349999999</v>
          </cell>
          <cell r="AT101">
            <v>223.39964499999999</v>
          </cell>
          <cell r="AU101">
            <v>225.56779900000001</v>
          </cell>
          <cell r="AV101">
            <v>227.78455310000001</v>
          </cell>
          <cell r="AW101">
            <v>230.03530409999999</v>
          </cell>
          <cell r="AX101">
            <v>232.31827809999999</v>
          </cell>
          <cell r="AY101">
            <v>234.6331309</v>
          </cell>
          <cell r="AZ101">
            <v>236.97944089999999</v>
          </cell>
          <cell r="BA101">
            <v>239.36599939999999</v>
          </cell>
          <cell r="BB101">
            <v>241.784828</v>
          </cell>
          <cell r="BC101">
            <v>244.23428390000001</v>
          </cell>
          <cell r="BD101">
            <v>246.7136308</v>
          </cell>
          <cell r="BE101">
            <v>249.22235470000001</v>
          </cell>
        </row>
        <row r="102">
          <cell r="A102" t="str">
            <v>ci_toe_2</v>
          </cell>
          <cell r="B102">
            <v>188.8633944</v>
          </cell>
          <cell r="C102">
            <v>189.2222725</v>
          </cell>
          <cell r="D102">
            <v>190.16766699999999</v>
          </cell>
          <cell r="E102">
            <v>191.4629869</v>
          </cell>
          <cell r="F102">
            <v>193.08870709999999</v>
          </cell>
          <cell r="G102">
            <v>195.016694</v>
          </cell>
          <cell r="H102">
            <v>197.08821420000001</v>
          </cell>
          <cell r="I102">
            <v>199.32061010000001</v>
          </cell>
          <cell r="J102">
            <v>201.6912246</v>
          </cell>
          <cell r="K102">
            <v>204.1726319</v>
          </cell>
          <cell r="L102">
            <v>206.92826339999999</v>
          </cell>
          <cell r="M102">
            <v>209.6216982</v>
          </cell>
          <cell r="N102">
            <v>212.32769959999999</v>
          </cell>
          <cell r="O102">
            <v>215.05447459999999</v>
          </cell>
          <cell r="P102">
            <v>217.7983692</v>
          </cell>
          <cell r="Q102">
            <v>220.55549690000001</v>
          </cell>
          <cell r="R102">
            <v>223.30515919999999</v>
          </cell>
          <cell r="S102">
            <v>226.060574</v>
          </cell>
          <cell r="T102">
            <v>228.8254647</v>
          </cell>
          <cell r="U102">
            <v>231.60254660000001</v>
          </cell>
          <cell r="V102">
            <v>234.2575319</v>
          </cell>
          <cell r="W102">
            <v>237.01124160000001</v>
          </cell>
          <cell r="X102">
            <v>239.81045800000001</v>
          </cell>
          <cell r="Y102">
            <v>242.64587560000001</v>
          </cell>
          <cell r="Z102">
            <v>245.51766610000001</v>
          </cell>
          <cell r="AA102">
            <v>248.03581249999999</v>
          </cell>
          <cell r="AB102">
            <v>250.64395909999999</v>
          </cell>
          <cell r="AC102">
            <v>253.28254219999999</v>
          </cell>
          <cell r="AD102">
            <v>255.9463155</v>
          </cell>
          <cell r="AE102">
            <v>258.64076019999999</v>
          </cell>
          <cell r="AF102">
            <v>261.37223119999999</v>
          </cell>
          <cell r="AG102">
            <v>264.15011390000001</v>
          </cell>
          <cell r="AH102">
            <v>266.97533970000001</v>
          </cell>
          <cell r="AI102">
            <v>269.84996840000002</v>
          </cell>
          <cell r="AJ102">
            <v>272.77542260000001</v>
          </cell>
          <cell r="AK102">
            <v>275.75236030000002</v>
          </cell>
          <cell r="AL102">
            <v>278.72396850000001</v>
          </cell>
          <cell r="AM102">
            <v>281.7163946</v>
          </cell>
          <cell r="AN102">
            <v>284.7392246</v>
          </cell>
          <cell r="AO102">
            <v>287.79713709999999</v>
          </cell>
          <cell r="AP102">
            <v>290.893057</v>
          </cell>
          <cell r="AQ102">
            <v>294.03473279999997</v>
          </cell>
          <cell r="AR102">
            <v>297.21944020000001</v>
          </cell>
          <cell r="AS102">
            <v>300.44728550000002</v>
          </cell>
          <cell r="AT102">
            <v>303.7185255</v>
          </cell>
          <cell r="AU102">
            <v>307.03316150000001</v>
          </cell>
          <cell r="AV102">
            <v>310.41864440000001</v>
          </cell>
          <cell r="AW102">
            <v>313.85629369999998</v>
          </cell>
          <cell r="AX102">
            <v>317.34206460000001</v>
          </cell>
          <cell r="AY102">
            <v>320.87453520000003</v>
          </cell>
          <cell r="AZ102">
            <v>324.45267109999998</v>
          </cell>
          <cell r="BA102">
            <v>328.087602</v>
          </cell>
          <cell r="BB102">
            <v>331.7699667</v>
          </cell>
          <cell r="BC102">
            <v>335.49771470000002</v>
          </cell>
          <cell r="BD102">
            <v>339.27024979999999</v>
          </cell>
          <cell r="BE102">
            <v>343.08735009999998</v>
          </cell>
        </row>
        <row r="103">
          <cell r="A103" t="str">
            <v>ch_toe_2</v>
          </cell>
          <cell r="B103">
            <v>64.301440170000006</v>
          </cell>
          <cell r="C103">
            <v>64.22072695</v>
          </cell>
          <cell r="D103">
            <v>63.922664949999998</v>
          </cell>
          <cell r="E103">
            <v>63.619772910000002</v>
          </cell>
          <cell r="F103">
            <v>63.377791629999997</v>
          </cell>
          <cell r="G103">
            <v>63.202465400000001</v>
          </cell>
          <cell r="H103">
            <v>63.058966820000002</v>
          </cell>
          <cell r="I103">
            <v>62.953107009999997</v>
          </cell>
          <cell r="J103">
            <v>62.888777130000001</v>
          </cell>
          <cell r="K103">
            <v>62.863858239999999</v>
          </cell>
          <cell r="L103">
            <v>62.901636799999999</v>
          </cell>
          <cell r="M103">
            <v>62.951887190000001</v>
          </cell>
          <cell r="N103">
            <v>63.016270300000002</v>
          </cell>
          <cell r="O103">
            <v>63.09334681</v>
          </cell>
          <cell r="P103">
            <v>63.180248659999997</v>
          </cell>
          <cell r="Q103">
            <v>63.274416410000001</v>
          </cell>
          <cell r="R103">
            <v>63.373734919999997</v>
          </cell>
          <cell r="S103">
            <v>63.4765041</v>
          </cell>
          <cell r="T103">
            <v>63.581382480000002</v>
          </cell>
          <cell r="U103">
            <v>63.687294690000002</v>
          </cell>
          <cell r="V103">
            <v>63.773940289999999</v>
          </cell>
          <cell r="W103">
            <v>63.869491019999998</v>
          </cell>
          <cell r="X103">
            <v>63.968244200000001</v>
          </cell>
          <cell r="Y103">
            <v>64.06739528</v>
          </cell>
          <cell r="Z103">
            <v>64.165623670000002</v>
          </cell>
          <cell r="AA103">
            <v>64.209194229999994</v>
          </cell>
          <cell r="AB103">
            <v>64.252018840000005</v>
          </cell>
          <cell r="AC103">
            <v>64.292273789999996</v>
          </cell>
          <cell r="AD103">
            <v>64.329214690000001</v>
          </cell>
          <cell r="AE103">
            <v>64.362750090000006</v>
          </cell>
          <cell r="AF103">
            <v>64.392941219999997</v>
          </cell>
          <cell r="AG103">
            <v>64.420329839999994</v>
          </cell>
          <cell r="AH103">
            <v>64.445711810000006</v>
          </cell>
          <cell r="AI103">
            <v>64.469975489999996</v>
          </cell>
          <cell r="AJ103">
            <v>64.493987559999994</v>
          </cell>
          <cell r="AK103">
            <v>64.518509190000003</v>
          </cell>
          <cell r="AL103">
            <v>64.532800010000003</v>
          </cell>
          <cell r="AM103">
            <v>64.542817850000006</v>
          </cell>
          <cell r="AN103">
            <v>64.551316069999999</v>
          </cell>
          <cell r="AO103">
            <v>64.559496039999999</v>
          </cell>
          <cell r="AP103">
            <v>64.567824169999994</v>
          </cell>
          <cell r="AQ103">
            <v>64.576426600000005</v>
          </cell>
          <cell r="AR103">
            <v>64.585244560000007</v>
          </cell>
          <cell r="AS103">
            <v>64.594099139999997</v>
          </cell>
          <cell r="AT103">
            <v>64.602731919999997</v>
          </cell>
          <cell r="AU103">
            <v>64.6108914</v>
          </cell>
          <cell r="AV103">
            <v>64.620784700000002</v>
          </cell>
          <cell r="AW103">
            <v>64.634201219999994</v>
          </cell>
          <cell r="AX103">
            <v>64.652930810000001</v>
          </cell>
          <cell r="AY103">
            <v>64.678061749999998</v>
          </cell>
          <cell r="AZ103">
            <v>64.709902819999996</v>
          </cell>
          <cell r="BA103">
            <v>64.748205549999994</v>
          </cell>
          <cell r="BB103">
            <v>64.792382880000005</v>
          </cell>
          <cell r="BC103">
            <v>64.841665149999997</v>
          </cell>
          <cell r="BD103">
            <v>64.895230900000001</v>
          </cell>
          <cell r="BE103">
            <v>64.952292700000001</v>
          </cell>
        </row>
        <row r="104">
          <cell r="A104" t="str">
            <v>x_toe_2</v>
          </cell>
          <cell r="B104">
            <v>31.441236790000001</v>
          </cell>
          <cell r="C104">
            <v>31.803253869999999</v>
          </cell>
          <cell r="D104">
            <v>32.211954730000002</v>
          </cell>
          <cell r="E104">
            <v>32.63372897</v>
          </cell>
          <cell r="F104">
            <v>33.066243159999999</v>
          </cell>
          <cell r="G104">
            <v>33.507371249999998</v>
          </cell>
          <cell r="H104">
            <v>33.920928920000001</v>
          </cell>
          <cell r="I104">
            <v>34.339681970000001</v>
          </cell>
          <cell r="J104">
            <v>34.762990340000002</v>
          </cell>
          <cell r="K104">
            <v>35.1905182</v>
          </cell>
          <cell r="L104">
            <v>35.67777083</v>
          </cell>
          <cell r="M104">
            <v>36.105207960000001</v>
          </cell>
          <cell r="N104">
            <v>36.5369831</v>
          </cell>
          <cell r="O104">
            <v>36.973364189999998</v>
          </cell>
          <cell r="P104">
            <v>37.414669920000001</v>
          </cell>
          <cell r="Q104">
            <v>37.861248500000002</v>
          </cell>
          <cell r="R104">
            <v>38.30473233</v>
          </cell>
          <cell r="S104">
            <v>38.75435607</v>
          </cell>
          <cell r="T104">
            <v>39.210494300000001</v>
          </cell>
          <cell r="U104">
            <v>39.673508830000003</v>
          </cell>
          <cell r="V104">
            <v>40.103706209999999</v>
          </cell>
          <cell r="W104">
            <v>40.581562140000003</v>
          </cell>
          <cell r="X104">
            <v>41.067317709999998</v>
          </cell>
          <cell r="Y104">
            <v>41.56121864</v>
          </cell>
          <cell r="Z104">
            <v>42.06348663</v>
          </cell>
          <cell r="AA104">
            <v>42.460264010000003</v>
          </cell>
          <cell r="AB104">
            <v>42.929268540000002</v>
          </cell>
          <cell r="AC104">
            <v>43.406311289999998</v>
          </cell>
          <cell r="AD104">
            <v>43.891544500000002</v>
          </cell>
          <cell r="AE104">
            <v>44.385079939999997</v>
          </cell>
          <cell r="AF104">
            <v>44.886997950000001</v>
          </cell>
          <cell r="AG104">
            <v>45.399306000000003</v>
          </cell>
          <cell r="AH104">
            <v>45.920068950000001</v>
          </cell>
          <cell r="AI104">
            <v>46.449292720000003</v>
          </cell>
          <cell r="AJ104">
            <v>46.986969119999998</v>
          </cell>
          <cell r="AK104">
            <v>47.533082720000003</v>
          </cell>
          <cell r="AL104">
            <v>48.077817680000003</v>
          </cell>
          <cell r="AM104">
            <v>48.630461310000001</v>
          </cell>
          <cell r="AN104">
            <v>49.191027920000003</v>
          </cell>
          <cell r="AO104">
            <v>49.759526649999998</v>
          </cell>
          <cell r="AP104">
            <v>50.335971319999999</v>
          </cell>
          <cell r="AQ104">
            <v>50.923132729999999</v>
          </cell>
          <cell r="AR104">
            <v>51.518308259999998</v>
          </cell>
          <cell r="AS104">
            <v>52.121534150000002</v>
          </cell>
          <cell r="AT104">
            <v>52.732852479999998</v>
          </cell>
          <cell r="AU104">
            <v>53.352311460000003</v>
          </cell>
          <cell r="AV104">
            <v>53.991670499999998</v>
          </cell>
          <cell r="AW104">
            <v>54.639397049999999</v>
          </cell>
          <cell r="AX104">
            <v>55.295530530000001</v>
          </cell>
          <cell r="AY104">
            <v>55.960116280000001</v>
          </cell>
          <cell r="AZ104">
            <v>56.63321406</v>
          </cell>
          <cell r="BA104">
            <v>57.3207132</v>
          </cell>
          <cell r="BB104">
            <v>58.016960509999997</v>
          </cell>
          <cell r="BC104">
            <v>58.72205512</v>
          </cell>
          <cell r="BD104">
            <v>59.436105150000003</v>
          </cell>
          <cell r="BE104">
            <v>60.159228300000002</v>
          </cell>
        </row>
        <row r="105">
          <cell r="A105" t="str">
            <v>y_toe_0</v>
          </cell>
          <cell r="B105">
            <v>139.60539019999999</v>
          </cell>
          <cell r="C105">
            <v>140.71595590000001</v>
          </cell>
          <cell r="D105">
            <v>141.75063510000001</v>
          </cell>
          <cell r="E105">
            <v>142.85682270000001</v>
          </cell>
          <cell r="F105">
            <v>144.07966590000001</v>
          </cell>
          <cell r="G105">
            <v>145.43149600000001</v>
          </cell>
          <cell r="H105">
            <v>146.82281549999999</v>
          </cell>
          <cell r="I105">
            <v>148.2883832</v>
          </cell>
          <cell r="J105">
            <v>149.81685490000001</v>
          </cell>
          <cell r="K105">
            <v>151.39436660000001</v>
          </cell>
          <cell r="L105">
            <v>153.14956749999999</v>
          </cell>
          <cell r="M105">
            <v>154.83893979999999</v>
          </cell>
          <cell r="N105">
            <v>156.5356572</v>
          </cell>
          <cell r="O105">
            <v>158.2458244</v>
          </cell>
          <cell r="P105">
            <v>159.9704705</v>
          </cell>
          <cell r="Q105">
            <v>161.70993780000001</v>
          </cell>
          <cell r="R105">
            <v>163.4648397</v>
          </cell>
          <cell r="S105">
            <v>165.23619350000001</v>
          </cell>
          <cell r="T105">
            <v>167.025351</v>
          </cell>
          <cell r="U105">
            <v>168.83388780000001</v>
          </cell>
          <cell r="V105">
            <v>170.56150790000001</v>
          </cell>
          <cell r="W105">
            <v>172.38250149999999</v>
          </cell>
          <cell r="X105">
            <v>174.24083590000001</v>
          </cell>
          <cell r="Y105">
            <v>176.13146159999999</v>
          </cell>
          <cell r="Z105">
            <v>178.0538071</v>
          </cell>
          <cell r="AA105">
            <v>179.7160299</v>
          </cell>
          <cell r="AB105">
            <v>181.47503710000001</v>
          </cell>
          <cell r="AC105">
            <v>183.25965260000001</v>
          </cell>
          <cell r="AD105">
            <v>185.06819039999999</v>
          </cell>
          <cell r="AE105">
            <v>186.9030022</v>
          </cell>
          <cell r="AF105">
            <v>188.7668664</v>
          </cell>
          <cell r="AG105">
            <v>190.66209520000001</v>
          </cell>
          <cell r="AH105">
            <v>192.59034270000001</v>
          </cell>
          <cell r="AI105">
            <v>194.5526381</v>
          </cell>
          <cell r="AJ105">
            <v>196.5494971</v>
          </cell>
          <cell r="AK105">
            <v>198.58105380000001</v>
          </cell>
          <cell r="AL105">
            <v>200.57748309999999</v>
          </cell>
          <cell r="AM105">
            <v>202.58635150000001</v>
          </cell>
          <cell r="AN105">
            <v>204.6156344</v>
          </cell>
          <cell r="AO105">
            <v>206.66895460000001</v>
          </cell>
          <cell r="AP105">
            <v>208.748649</v>
          </cell>
          <cell r="AQ105">
            <v>210.85650039999999</v>
          </cell>
          <cell r="AR105">
            <v>212.9939171</v>
          </cell>
          <cell r="AS105">
            <v>215.16199</v>
          </cell>
          <cell r="AT105">
            <v>217.36149069999999</v>
          </cell>
          <cell r="AU105">
            <v>219.59277059999999</v>
          </cell>
          <cell r="AV105">
            <v>221.86126369999999</v>
          </cell>
          <cell r="AW105">
            <v>224.1585915</v>
          </cell>
          <cell r="AX105">
            <v>226.4820991</v>
          </cell>
          <cell r="AY105">
            <v>228.8354774</v>
          </cell>
          <cell r="AZ105">
            <v>231.22222669999999</v>
          </cell>
          <cell r="BA105">
            <v>233.64364029999999</v>
          </cell>
          <cell r="BB105">
            <v>236.0996663</v>
          </cell>
          <cell r="BC105">
            <v>238.5898588</v>
          </cell>
          <cell r="BD105">
            <v>241.11387880000001</v>
          </cell>
          <cell r="BE105">
            <v>243.67165399999999</v>
          </cell>
        </row>
        <row r="106">
          <cell r="A106" t="str">
            <v>m_toe_0</v>
          </cell>
          <cell r="B106">
            <v>151.4012845</v>
          </cell>
          <cell r="C106">
            <v>152.663352</v>
          </cell>
          <cell r="D106">
            <v>153.86342780000001</v>
          </cell>
          <cell r="E106">
            <v>155.1746109</v>
          </cell>
          <cell r="F106">
            <v>156.64782070000001</v>
          </cell>
          <cell r="G106">
            <v>158.29523259999999</v>
          </cell>
          <cell r="H106">
            <v>160.0151419</v>
          </cell>
          <cell r="I106">
            <v>161.835871</v>
          </cell>
          <cell r="J106">
            <v>163.7439234</v>
          </cell>
          <cell r="K106">
            <v>165.72227570000001</v>
          </cell>
          <cell r="L106">
            <v>167.9078428</v>
          </cell>
          <cell r="M106">
            <v>170.04404049999999</v>
          </cell>
          <cell r="N106">
            <v>172.19674860000001</v>
          </cell>
          <cell r="O106">
            <v>174.37371049999999</v>
          </cell>
          <cell r="P106">
            <v>176.57467489999999</v>
          </cell>
          <cell r="Q106">
            <v>178.7985434</v>
          </cell>
          <cell r="R106">
            <v>181.044724</v>
          </cell>
          <cell r="S106">
            <v>183.3132512</v>
          </cell>
          <cell r="T106">
            <v>185.6046652</v>
          </cell>
          <cell r="U106">
            <v>187.9198682</v>
          </cell>
          <cell r="V106">
            <v>190.14875330000001</v>
          </cell>
          <cell r="W106">
            <v>192.47440370000001</v>
          </cell>
          <cell r="X106">
            <v>194.84393600000001</v>
          </cell>
          <cell r="Y106">
            <v>197.24937940000001</v>
          </cell>
          <cell r="Z106">
            <v>199.6897558</v>
          </cell>
          <cell r="AA106">
            <v>201.84526389999999</v>
          </cell>
          <cell r="AB106">
            <v>204.0881096</v>
          </cell>
          <cell r="AC106">
            <v>206.35688210000001</v>
          </cell>
          <cell r="AD106">
            <v>208.64680139999999</v>
          </cell>
          <cell r="AE106">
            <v>210.96048010000001</v>
          </cell>
          <cell r="AF106">
            <v>213.30156600000001</v>
          </cell>
          <cell r="AG106">
            <v>215.67330000000001</v>
          </cell>
          <cell r="AH106">
            <v>218.07820229999999</v>
          </cell>
          <cell r="AI106">
            <v>220.51808389999999</v>
          </cell>
          <cell r="AJ106">
            <v>222.9941561</v>
          </cell>
          <cell r="AK106">
            <v>225.50716499999999</v>
          </cell>
          <cell r="AL106">
            <v>227.980616</v>
          </cell>
          <cell r="AM106">
            <v>230.46287820000001</v>
          </cell>
          <cell r="AN106">
            <v>232.96484580000001</v>
          </cell>
          <cell r="AO106">
            <v>235.4910606</v>
          </cell>
          <cell r="AP106">
            <v>238.04450850000001</v>
          </cell>
          <cell r="AQ106">
            <v>240.62758629999999</v>
          </cell>
          <cell r="AR106">
            <v>243.2422718</v>
          </cell>
          <cell r="AS106">
            <v>245.8901473</v>
          </cell>
          <cell r="AT106">
            <v>248.57239150000001</v>
          </cell>
          <cell r="AU106">
            <v>251.28969799999999</v>
          </cell>
          <cell r="AV106">
            <v>254.04866910000001</v>
          </cell>
          <cell r="AW106">
            <v>256.8432828</v>
          </cell>
          <cell r="AX106">
            <v>259.67027380000002</v>
          </cell>
          <cell r="AY106">
            <v>262.53378809999998</v>
          </cell>
          <cell r="AZ106">
            <v>265.43757290000002</v>
          </cell>
          <cell r="BA106">
            <v>268.382902</v>
          </cell>
          <cell r="BB106">
            <v>271.3696678</v>
          </cell>
          <cell r="BC106">
            <v>274.39740549999999</v>
          </cell>
          <cell r="BD106">
            <v>277.46578520000003</v>
          </cell>
          <cell r="BE106">
            <v>280.57475599999998</v>
          </cell>
        </row>
        <row r="107">
          <cell r="A107" t="str">
            <v>ci_toe_0</v>
          </cell>
          <cell r="B107">
            <v>193.20841820000001</v>
          </cell>
          <cell r="C107">
            <v>195.11808260000001</v>
          </cell>
          <cell r="D107">
            <v>197.05250889999999</v>
          </cell>
          <cell r="E107">
            <v>199.16416559999999</v>
          </cell>
          <cell r="F107">
            <v>201.49791909999999</v>
          </cell>
          <cell r="G107">
            <v>204.0466088</v>
          </cell>
          <cell r="H107">
            <v>206.67011199999999</v>
          </cell>
          <cell r="I107">
            <v>209.40289189999999</v>
          </cell>
          <cell r="J107">
            <v>212.2338766</v>
          </cell>
          <cell r="K107">
            <v>215.14567460000001</v>
          </cell>
          <cell r="L107">
            <v>218.3232538</v>
          </cell>
          <cell r="M107">
            <v>221.43877380000001</v>
          </cell>
          <cell r="N107">
            <v>224.56729010000001</v>
          </cell>
          <cell r="O107">
            <v>227.72169120000001</v>
          </cell>
          <cell r="P107">
            <v>230.9027519</v>
          </cell>
          <cell r="Q107">
            <v>234.10998169999999</v>
          </cell>
          <cell r="R107">
            <v>237.34366800000001</v>
          </cell>
          <cell r="S107">
            <v>240.6050444</v>
          </cell>
          <cell r="T107">
            <v>243.8960893</v>
          </cell>
          <cell r="U107">
            <v>247.2192853</v>
          </cell>
          <cell r="V107">
            <v>250.4293131</v>
          </cell>
          <cell r="W107">
            <v>253.76360310000001</v>
          </cell>
          <cell r="X107">
            <v>257.16320259999998</v>
          </cell>
          <cell r="Y107">
            <v>260.61725730000001</v>
          </cell>
          <cell r="Z107">
            <v>264.12507399999998</v>
          </cell>
          <cell r="AA107">
            <v>267.26079920000001</v>
          </cell>
          <cell r="AB107">
            <v>270.49915820000001</v>
          </cell>
          <cell r="AC107">
            <v>273.77822839999999</v>
          </cell>
          <cell r="AD107">
            <v>277.09190969999997</v>
          </cell>
          <cell r="AE107">
            <v>280.44524610000002</v>
          </cell>
          <cell r="AF107">
            <v>283.84438560000001</v>
          </cell>
          <cell r="AG107">
            <v>287.29442770000003</v>
          </cell>
          <cell r="AH107">
            <v>290.79906699999998</v>
          </cell>
          <cell r="AI107">
            <v>294.3606992</v>
          </cell>
          <cell r="AJ107">
            <v>297.98065800000001</v>
          </cell>
          <cell r="AK107">
            <v>301.65947649999998</v>
          </cell>
          <cell r="AL107">
            <v>305.29415310000002</v>
          </cell>
          <cell r="AM107">
            <v>308.9434329</v>
          </cell>
          <cell r="AN107">
            <v>312.62324869999998</v>
          </cell>
          <cell r="AO107">
            <v>316.34017799999998</v>
          </cell>
          <cell r="AP107">
            <v>320.09856739999998</v>
          </cell>
          <cell r="AQ107">
            <v>323.90191019999997</v>
          </cell>
          <cell r="AR107">
            <v>327.75306760000001</v>
          </cell>
          <cell r="AS107">
            <v>331.654313</v>
          </cell>
          <cell r="AT107">
            <v>335.60737649999999</v>
          </cell>
          <cell r="AU107">
            <v>339.61350210000001</v>
          </cell>
          <cell r="AV107">
            <v>343.6826926</v>
          </cell>
          <cell r="AW107">
            <v>347.80749029999998</v>
          </cell>
          <cell r="AX107">
            <v>351.98570810000001</v>
          </cell>
          <cell r="AY107">
            <v>356.21853879999998</v>
          </cell>
          <cell r="AZ107">
            <v>360.50754460000002</v>
          </cell>
          <cell r="BA107">
            <v>364.8535114</v>
          </cell>
          <cell r="BB107">
            <v>369.25668569999999</v>
          </cell>
          <cell r="BC107">
            <v>373.71720479999999</v>
          </cell>
          <cell r="BD107">
            <v>378.23535390000001</v>
          </cell>
          <cell r="BE107">
            <v>382.81165049999998</v>
          </cell>
        </row>
        <row r="108">
          <cell r="A108" t="str">
            <v>ch_toe_0</v>
          </cell>
          <cell r="B108">
            <v>64.301440170000006</v>
          </cell>
          <cell r="C108">
            <v>64.244438369999997</v>
          </cell>
          <cell r="D108">
            <v>63.979054079999997</v>
          </cell>
          <cell r="E108">
            <v>63.707653299999997</v>
          </cell>
          <cell r="F108">
            <v>63.482470339999999</v>
          </cell>
          <cell r="G108">
            <v>63.336263180000003</v>
          </cell>
          <cell r="H108">
            <v>63.253989920000002</v>
          </cell>
          <cell r="I108">
            <v>63.230666970000001</v>
          </cell>
          <cell r="J108">
            <v>63.25270673</v>
          </cell>
          <cell r="K108">
            <v>63.306551419999998</v>
          </cell>
          <cell r="L108">
            <v>63.411263310000002</v>
          </cell>
          <cell r="M108">
            <v>63.516182149999999</v>
          </cell>
          <cell r="N108">
            <v>63.624458709999999</v>
          </cell>
          <cell r="O108">
            <v>63.736656179999997</v>
          </cell>
          <cell r="P108">
            <v>63.852380940000003</v>
          </cell>
          <cell r="Q108">
            <v>63.970977120000001</v>
          </cell>
          <cell r="R108">
            <v>64.091795520000005</v>
          </cell>
          <cell r="S108">
            <v>64.214278820000004</v>
          </cell>
          <cell r="T108">
            <v>64.337974070000001</v>
          </cell>
          <cell r="U108">
            <v>64.462521510000002</v>
          </cell>
          <cell r="V108">
            <v>64.56813957</v>
          </cell>
          <cell r="W108">
            <v>64.683683909999999</v>
          </cell>
          <cell r="X108">
            <v>64.80393067</v>
          </cell>
          <cell r="Y108">
            <v>64.926449239999997</v>
          </cell>
          <cell r="Z108">
            <v>65.050136899999998</v>
          </cell>
          <cell r="AA108">
            <v>65.121097919999997</v>
          </cell>
          <cell r="AB108">
            <v>65.193553410000007</v>
          </cell>
          <cell r="AC108">
            <v>65.265840319999995</v>
          </cell>
          <cell r="AD108">
            <v>65.337381640000004</v>
          </cell>
          <cell r="AE108">
            <v>65.407922859999999</v>
          </cell>
          <cell r="AF108">
            <v>65.477596989999995</v>
          </cell>
          <cell r="AG108">
            <v>65.546739970000004</v>
          </cell>
          <cell r="AH108">
            <v>65.615738300000004</v>
          </cell>
          <cell r="AI108">
            <v>65.684962839999997</v>
          </cell>
          <cell r="AJ108">
            <v>65.754746539999999</v>
          </cell>
          <cell r="AK108">
            <v>65.825382790000006</v>
          </cell>
          <cell r="AL108">
            <v>65.885648000000003</v>
          </cell>
          <cell r="AM108">
            <v>65.941298040000007</v>
          </cell>
          <cell r="AN108">
            <v>65.995158930000002</v>
          </cell>
          <cell r="AO108">
            <v>66.048712100000003</v>
          </cell>
          <cell r="AP108">
            <v>66.102831510000001</v>
          </cell>
          <cell r="AQ108">
            <v>66.158103350000005</v>
          </cell>
          <cell r="AR108">
            <v>66.214953399999999</v>
          </cell>
          <cell r="AS108">
            <v>66.273683890000001</v>
          </cell>
          <cell r="AT108">
            <v>66.334418209999995</v>
          </cell>
          <cell r="AU108">
            <v>66.396859359999993</v>
          </cell>
          <cell r="AV108">
            <v>66.46001579</v>
          </cell>
          <cell r="AW108">
            <v>66.519687910000002</v>
          </cell>
          <cell r="AX108">
            <v>66.57202839</v>
          </cell>
          <cell r="AY108">
            <v>66.623567769999994</v>
          </cell>
          <cell r="AZ108">
            <v>66.679880150000002</v>
          </cell>
          <cell r="BA108">
            <v>66.742631790000004</v>
          </cell>
          <cell r="BB108">
            <v>66.811291710000006</v>
          </cell>
          <cell r="BC108">
            <v>66.884671749999995</v>
          </cell>
          <cell r="BD108">
            <v>66.961664510000006</v>
          </cell>
          <cell r="BE108">
            <v>67.041464809999994</v>
          </cell>
        </row>
        <row r="109">
          <cell r="A109" t="str">
            <v>x_toe_0</v>
          </cell>
          <cell r="B109">
            <v>33.496816299999999</v>
          </cell>
          <cell r="C109">
            <v>34.016786949999997</v>
          </cell>
          <cell r="D109">
            <v>34.582499839999997</v>
          </cell>
          <cell r="E109">
            <v>35.159614650000002</v>
          </cell>
          <cell r="F109">
            <v>35.747097170000004</v>
          </cell>
          <cell r="G109">
            <v>36.343856619999997</v>
          </cell>
          <cell r="H109">
            <v>36.913855400000003</v>
          </cell>
          <cell r="I109">
            <v>37.49069531</v>
          </cell>
          <cell r="J109">
            <v>38.074194919999997</v>
          </cell>
          <cell r="K109">
            <v>38.664416269999997</v>
          </cell>
          <cell r="L109">
            <v>39.32289317</v>
          </cell>
          <cell r="M109">
            <v>39.928024350000001</v>
          </cell>
          <cell r="N109">
            <v>40.54065705</v>
          </cell>
          <cell r="O109">
            <v>41.161187560000002</v>
          </cell>
          <cell r="P109">
            <v>41.79001263</v>
          </cell>
          <cell r="Q109">
            <v>42.427522430000003</v>
          </cell>
          <cell r="R109">
            <v>43.074100119999997</v>
          </cell>
          <cell r="S109">
            <v>43.730121420000003</v>
          </cell>
          <cell r="T109">
            <v>44.395952880000003</v>
          </cell>
          <cell r="U109">
            <v>45.071949150000002</v>
          </cell>
          <cell r="V109">
            <v>45.712808459999998</v>
          </cell>
          <cell r="W109">
            <v>46.409618139999999</v>
          </cell>
          <cell r="X109">
            <v>47.117638640000003</v>
          </cell>
          <cell r="Y109">
            <v>47.837134489999997</v>
          </cell>
          <cell r="Z109">
            <v>48.568352060000002</v>
          </cell>
          <cell r="AA109">
            <v>49.179396740000001</v>
          </cell>
          <cell r="AB109">
            <v>49.870435120000003</v>
          </cell>
          <cell r="AC109">
            <v>50.572466069999997</v>
          </cell>
          <cell r="AD109">
            <v>51.285700499999997</v>
          </cell>
          <cell r="AE109">
            <v>52.010313369999999</v>
          </cell>
          <cell r="AF109">
            <v>52.746449820000002</v>
          </cell>
          <cell r="AG109">
            <v>53.494227520000003</v>
          </cell>
          <cell r="AH109">
            <v>54.253739690000003</v>
          </cell>
          <cell r="AI109">
            <v>55.025059939999998</v>
          </cell>
          <cell r="AJ109">
            <v>55.808248630000001</v>
          </cell>
          <cell r="AK109">
            <v>56.603359509999997</v>
          </cell>
          <cell r="AL109">
            <v>57.378297979999999</v>
          </cell>
          <cell r="AM109">
            <v>58.164498799999997</v>
          </cell>
          <cell r="AN109">
            <v>58.962072640000002</v>
          </cell>
          <cell r="AO109">
            <v>59.771125150000003</v>
          </cell>
          <cell r="AP109">
            <v>60.591758560000002</v>
          </cell>
          <cell r="AQ109">
            <v>61.42407317</v>
          </cell>
          <cell r="AR109">
            <v>62.26816788</v>
          </cell>
          <cell r="AS109">
            <v>63.124140330000003</v>
          </cell>
          <cell r="AT109">
            <v>63.992087470000001</v>
          </cell>
          <cell r="AU109">
            <v>64.872107110000002</v>
          </cell>
          <cell r="AV109">
            <v>65.767224470000002</v>
          </cell>
          <cell r="AW109">
            <v>66.674696109999999</v>
          </cell>
          <cell r="AX109">
            <v>67.594636339999994</v>
          </cell>
          <cell r="AY109">
            <v>68.527158940000007</v>
          </cell>
          <cell r="AZ109">
            <v>69.472374950000003</v>
          </cell>
          <cell r="BA109">
            <v>70.430399039999998</v>
          </cell>
          <cell r="BB109">
            <v>71.401356710000002</v>
          </cell>
          <cell r="BC109">
            <v>72.38538776</v>
          </cell>
          <cell r="BD109">
            <v>73.382645620000005</v>
          </cell>
          <cell r="BE109">
            <v>74.393294560000001</v>
          </cell>
        </row>
      </sheetData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BF529"/>
  <sheetViews>
    <sheetView zoomScale="77" workbookViewId="0">
      <pane xSplit="2" ySplit="4" topLeftCell="AL46" activePane="bottomRight" state="frozen"/>
      <selection pane="topRight" activeCell="C1" sqref="C1"/>
      <selection pane="bottomLeft" activeCell="A4" sqref="A4"/>
      <selection pane="bottomRight" activeCell="AN48" sqref="AN48"/>
    </sheetView>
  </sheetViews>
  <sheetFormatPr baseColWidth="10" defaultRowHeight="14.5" x14ac:dyDescent="0.35"/>
  <cols>
    <col min="1" max="1" width="26.90625" customWidth="1"/>
    <col min="2" max="2" width="43.08984375" customWidth="1"/>
    <col min="3" max="3" width="12.7265625" bestFit="1" customWidth="1"/>
    <col min="4" max="26" width="11.1796875" bestFit="1" customWidth="1"/>
    <col min="27" max="36" width="11.81640625" bestFit="1" customWidth="1"/>
    <col min="37" max="58" width="12.81640625" bestFit="1" customWidth="1"/>
  </cols>
  <sheetData>
    <row r="1" spans="1:58" x14ac:dyDescent="0.35">
      <c r="A1" t="s">
        <v>5</v>
      </c>
      <c r="B1" t="s">
        <v>6</v>
      </c>
    </row>
    <row r="4" spans="1:58" x14ac:dyDescent="0.35">
      <c r="A4" s="12" t="s">
        <v>0</v>
      </c>
      <c r="C4" s="2">
        <v>42005</v>
      </c>
      <c r="D4" s="2">
        <v>42370</v>
      </c>
      <c r="E4" s="2">
        <v>42736</v>
      </c>
      <c r="F4" s="2">
        <v>43101</v>
      </c>
      <c r="G4" s="2">
        <v>43466</v>
      </c>
      <c r="H4" s="2">
        <v>43831</v>
      </c>
      <c r="I4" s="2">
        <v>44197</v>
      </c>
      <c r="J4" s="2">
        <v>44562</v>
      </c>
      <c r="K4" s="2">
        <v>44927</v>
      </c>
      <c r="L4" s="2">
        <v>45292</v>
      </c>
      <c r="M4" s="2">
        <v>45658</v>
      </c>
      <c r="N4" s="2">
        <v>46023</v>
      </c>
      <c r="O4" s="2">
        <v>46388</v>
      </c>
      <c r="P4" s="2">
        <v>46753</v>
      </c>
      <c r="Q4" s="2">
        <v>47119</v>
      </c>
      <c r="R4" s="2">
        <v>47484</v>
      </c>
      <c r="S4" s="2">
        <v>47849</v>
      </c>
      <c r="T4" s="2">
        <v>48214</v>
      </c>
      <c r="U4" s="2">
        <v>48580</v>
      </c>
      <c r="V4" s="2">
        <v>48945</v>
      </c>
      <c r="W4" s="2">
        <v>49310</v>
      </c>
      <c r="X4" s="2">
        <v>49675</v>
      </c>
      <c r="Y4" s="2">
        <v>50041</v>
      </c>
      <c r="Z4" s="2">
        <v>50406</v>
      </c>
      <c r="AA4" s="2">
        <v>50771</v>
      </c>
      <c r="AB4" s="2">
        <v>51136</v>
      </c>
      <c r="AC4" s="2">
        <v>51502</v>
      </c>
      <c r="AD4" s="2">
        <v>51867</v>
      </c>
      <c r="AE4" s="2">
        <v>52232</v>
      </c>
      <c r="AF4" s="2">
        <v>52597</v>
      </c>
      <c r="AG4" s="2">
        <v>52963</v>
      </c>
      <c r="AH4" s="2">
        <v>53328</v>
      </c>
      <c r="AI4" s="2">
        <v>53693</v>
      </c>
      <c r="AJ4" s="2">
        <v>54058</v>
      </c>
      <c r="AK4" s="2">
        <v>54424</v>
      </c>
      <c r="AL4" s="2">
        <v>54789</v>
      </c>
      <c r="AM4" s="2">
        <v>55154</v>
      </c>
      <c r="AN4" s="2">
        <v>55519</v>
      </c>
      <c r="AO4" s="2">
        <v>55885</v>
      </c>
      <c r="AP4" s="2">
        <v>56250</v>
      </c>
      <c r="AQ4" s="2">
        <v>56615</v>
      </c>
      <c r="AR4" s="2">
        <v>56980</v>
      </c>
      <c r="AS4" s="2">
        <v>57346</v>
      </c>
      <c r="AT4" s="2">
        <v>57711</v>
      </c>
      <c r="AU4" s="2">
        <v>58076</v>
      </c>
      <c r="AV4" s="2">
        <v>58441</v>
      </c>
      <c r="AW4" s="2">
        <v>58807</v>
      </c>
      <c r="AX4" s="2">
        <v>59172</v>
      </c>
      <c r="AY4" s="2">
        <v>59537</v>
      </c>
      <c r="AZ4" s="2">
        <v>59902</v>
      </c>
      <c r="BA4" s="2">
        <v>60268</v>
      </c>
      <c r="BB4" s="2">
        <v>60633</v>
      </c>
      <c r="BC4" s="2">
        <v>60998</v>
      </c>
      <c r="BD4" s="2">
        <v>61363</v>
      </c>
      <c r="BE4" s="2">
        <v>61729</v>
      </c>
      <c r="BF4" s="2">
        <v>62094</v>
      </c>
    </row>
    <row r="5" spans="1:58" x14ac:dyDescent="0.35">
      <c r="A5" s="3" t="str">
        <f>[1]Results!E1365</f>
        <v>100*(GDP_2/GDP_0-1)</v>
      </c>
      <c r="B5" t="s">
        <v>18</v>
      </c>
      <c r="C5" s="1">
        <f>[1]Results!F1365</f>
        <v>-1.7036346357309995</v>
      </c>
      <c r="D5" s="1">
        <f>[1]Results!G1365</f>
        <v>-2.0957758832077622</v>
      </c>
      <c r="E5" s="1">
        <f>[1]Results!H1365</f>
        <v>-2.453958824374125</v>
      </c>
      <c r="F5" s="1">
        <f>[1]Results!I1365</f>
        <v>-2.7541990328077359</v>
      </c>
      <c r="G5" s="1">
        <f>[1]Results!J1365</f>
        <v>-3.0028678933924358</v>
      </c>
      <c r="H5" s="1">
        <f>[1]Results!K1365</f>
        <v>-3.2088589823111913</v>
      </c>
      <c r="I5" s="1">
        <f>[1]Results!L1365</f>
        <v>-3.3820554010658976</v>
      </c>
      <c r="J5" s="1">
        <f>[1]Results!M1365</f>
        <v>-3.5279053021591067</v>
      </c>
      <c r="K5" s="1">
        <f>[1]Results!N1365</f>
        <v>-3.6525979163630873</v>
      </c>
      <c r="L5" s="1">
        <f>[1]Results!O1365</f>
        <v>-3.7616626926608832</v>
      </c>
      <c r="M5" s="1">
        <f>[1]Results!P1365</f>
        <v>-3.8593173352646781</v>
      </c>
      <c r="N5" s="1">
        <f>[1]Results!Q1365</f>
        <v>-3.9563875692188777</v>
      </c>
      <c r="O5" s="1">
        <f>[1]Results!R1365</f>
        <v>-4.0497189813623162</v>
      </c>
      <c r="P5" s="1">
        <f>[1]Results!S1365</f>
        <v>-4.1408090749020188</v>
      </c>
      <c r="Q5" s="1">
        <f>[1]Results!T1365</f>
        <v>-4.2305629247721193</v>
      </c>
      <c r="R5" s="1">
        <f>[1]Results!U1365</f>
        <v>-4.319544978057122</v>
      </c>
      <c r="S5" s="1">
        <f>[1]Results!V1365</f>
        <v>-4.4139146097471489</v>
      </c>
      <c r="T5" s="1">
        <f>[1]Results!W1365</f>
        <v>-4.5088346449273065</v>
      </c>
      <c r="U5" s="1">
        <f>[1]Results!X1365</f>
        <v>-4.6042763833483047</v>
      </c>
      <c r="V5" s="1">
        <f>[1]Results!Y1365</f>
        <v>-4.7000885381289663</v>
      </c>
      <c r="W5" s="1">
        <f>[1]Results!Z1365</f>
        <v>-4.7964308543476104</v>
      </c>
      <c r="X5" s="1">
        <f>[1]Results!AA1365</f>
        <v>-4.8924418702819938</v>
      </c>
      <c r="Y5" s="1">
        <f>[1]Results!AB1365</f>
        <v>-4.9883225421250676</v>
      </c>
      <c r="Z5" s="1">
        <f>[1]Results!AC1365</f>
        <v>-5.0840745097930125</v>
      </c>
      <c r="AA5" s="1">
        <f>[1]Results!AD1365</f>
        <v>-5.1796112278934325</v>
      </c>
      <c r="AB5" s="1">
        <f>[1]Results!AE1365</f>
        <v>-5.275454391044776</v>
      </c>
      <c r="AC5" s="1">
        <f>[1]Results!AF1365</f>
        <v>-5.3681715965679828</v>
      </c>
      <c r="AD5" s="1">
        <f>[1]Results!AG1365</f>
        <v>-5.4595549509663055</v>
      </c>
      <c r="AE5" s="1">
        <f>[1]Results!AH1365</f>
        <v>-5.5496459937126819</v>
      </c>
      <c r="AF5" s="1">
        <f>[1]Results!AI1365</f>
        <v>-5.6384592195742105</v>
      </c>
      <c r="AG5" s="1">
        <f>[1]Results!AJ1365</f>
        <v>-5.7259575885249099</v>
      </c>
      <c r="AH5" s="1">
        <f>[1]Results!AK1365</f>
        <v>-5.8110064454952042</v>
      </c>
      <c r="AI5" s="1">
        <f>[1]Results!AL1365</f>
        <v>-5.8944223513563987</v>
      </c>
      <c r="AJ5" s="1">
        <f>[1]Results!AM1365</f>
        <v>-5.9761738458447233</v>
      </c>
      <c r="AK5" s="1">
        <f>[1]Results!AN1365</f>
        <v>-6.0562559748587823</v>
      </c>
      <c r="AL5" s="1">
        <f>[1]Results!AO1365</f>
        <v>-6.1346691606585679</v>
      </c>
      <c r="AM5" s="1">
        <f>[1]Results!AP1365</f>
        <v>-6.2026802826856242</v>
      </c>
      <c r="AN5" s="1">
        <f>[1]Results!AQ1365</f>
        <v>-6.2676049464918222</v>
      </c>
      <c r="AO5" s="1">
        <f>[1]Results!AR1365</f>
        <v>-6.3297499321441686</v>
      </c>
      <c r="AP5" s="1">
        <f>[1]Results!AS1365</f>
        <v>-6.3896088078294833</v>
      </c>
      <c r="AQ5" s="1">
        <f>[1]Results!AT1365</f>
        <v>-6.4475972414518745</v>
      </c>
      <c r="AR5" s="1">
        <f>[1]Results!AU1365</f>
        <v>-6.502700172083598</v>
      </c>
      <c r="AS5" s="1">
        <f>[1]Results!AV1365</f>
        <v>-6.556260895841481</v>
      </c>
      <c r="AT5" s="1">
        <f>[1]Results!AW1365</f>
        <v>-6.6085454498184699</v>
      </c>
      <c r="AU5" s="1">
        <f>[1]Results!AX1365</f>
        <v>-6.6598052960962555</v>
      </c>
      <c r="AV5" s="1">
        <f>[1]Results!AY1365</f>
        <v>-6.7102526296655469</v>
      </c>
      <c r="AW5" s="1">
        <f>[1]Results!AZ1365</f>
        <v>-6.7558014891395679</v>
      </c>
      <c r="AX5" s="1">
        <f>[1]Results!BA1365</f>
        <v>-6.8000759638614072</v>
      </c>
      <c r="AY5" s="1">
        <f>[1]Results!BB1365</f>
        <v>-6.8434351195525434</v>
      </c>
      <c r="AZ5" s="1">
        <f>[1]Results!BC1365</f>
        <v>-6.886219151155915</v>
      </c>
      <c r="BA5" s="1">
        <f>[1]Results!BD1365</f>
        <v>-6.928671017203591</v>
      </c>
      <c r="BB5" s="1">
        <f>[1]Results!BE1365</f>
        <v>-6.9684378484795477</v>
      </c>
      <c r="BC5" s="1">
        <f>[1]Results!BF1365</f>
        <v>-7.0076720630980471</v>
      </c>
      <c r="BD5" s="1">
        <f>[1]Results!BG1365</f>
        <v>-7.0465933671150394</v>
      </c>
      <c r="BE5" s="1">
        <f>[1]Results!BH1365</f>
        <v>-7.0854247903734731</v>
      </c>
      <c r="BF5" s="1">
        <f>[1]Results!BI1365</f>
        <v>-7.1243312096950229</v>
      </c>
    </row>
    <row r="6" spans="1:58" x14ac:dyDescent="0.35">
      <c r="A6" s="3" t="str">
        <f>[1]Results!E1366</f>
        <v>100*((VA_2-VA_spub_2)/(VA_0-VA_spub_0)-1)</v>
      </c>
      <c r="B6" t="str">
        <f>[1]Results!C1366</f>
        <v>VA du secteur marchand</v>
      </c>
      <c r="C6" s="1">
        <f>[1]Results!F1366</f>
        <v>-2.1315513192873059</v>
      </c>
      <c r="D6" s="1">
        <f>[1]Results!G1366</f>
        <v>-2.5494055126711213</v>
      </c>
      <c r="E6" s="1">
        <f>[1]Results!H1366</f>
        <v>-2.9407448068585973</v>
      </c>
      <c r="F6" s="1">
        <f>[1]Results!I1366</f>
        <v>-3.2688583703867402</v>
      </c>
      <c r="G6" s="1">
        <f>[1]Results!J1366</f>
        <v>-3.5409085567739362</v>
      </c>
      <c r="H6" s="1">
        <f>[1]Results!K1366</f>
        <v>-3.767100744083629</v>
      </c>
      <c r="I6" s="1">
        <f>[1]Results!L1366</f>
        <v>-3.9584497314320788</v>
      </c>
      <c r="J6" s="1">
        <f>[1]Results!M1366</f>
        <v>-4.1210490318764119</v>
      </c>
      <c r="K6" s="1">
        <f>[1]Results!N1366</f>
        <v>-4.2616634682572148</v>
      </c>
      <c r="L6" s="1">
        <f>[1]Results!O1366</f>
        <v>-4.3863288843606574</v>
      </c>
      <c r="M6" s="1">
        <f>[1]Results!P1366</f>
        <v>-4.5000495695643465</v>
      </c>
      <c r="N6" s="1">
        <f>[1]Results!Q1366</f>
        <v>-4.6146073011458899</v>
      </c>
      <c r="O6" s="1">
        <f>[1]Results!R1366</f>
        <v>-4.726122801329069</v>
      </c>
      <c r="P6" s="1">
        <f>[1]Results!S1366</f>
        <v>-4.8362035630922229</v>
      </c>
      <c r="Q6" s="1">
        <f>[1]Results!T1366</f>
        <v>-4.9457646687089074</v>
      </c>
      <c r="R6" s="1">
        <f>[1]Results!U1366</f>
        <v>-5.0553254887453996</v>
      </c>
      <c r="S6" s="1">
        <f>[1]Results!V1366</f>
        <v>-5.1724348004847931</v>
      </c>
      <c r="T6" s="1">
        <f>[1]Results!W1366</f>
        <v>-5.2906203696591376</v>
      </c>
      <c r="U6" s="1">
        <f>[1]Results!X1366</f>
        <v>-5.4097727718272921</v>
      </c>
      <c r="V6" s="1">
        <f>[1]Results!Y1366</f>
        <v>-5.5296013853128549</v>
      </c>
      <c r="W6" s="1">
        <f>[1]Results!Z1366</f>
        <v>-5.649843531368548</v>
      </c>
      <c r="X6" s="1">
        <f>[1]Results!AA1366</f>
        <v>-5.7702410095839207</v>
      </c>
      <c r="Y6" s="1">
        <f>[1]Results!AB1366</f>
        <v>-5.8903630517352701</v>
      </c>
      <c r="Z6" s="1">
        <f>[1]Results!AC1366</f>
        <v>-6.0101570988849939</v>
      </c>
      <c r="AA6" s="1">
        <f>[1]Results!AD1366</f>
        <v>-6.1294606055549821</v>
      </c>
      <c r="AB6" s="1">
        <f>[1]Results!AE1366</f>
        <v>-6.2478500800485897</v>
      </c>
      <c r="AC6" s="1">
        <f>[1]Results!AF1366</f>
        <v>-6.3631804087930677</v>
      </c>
      <c r="AD6" s="1">
        <f>[1]Results!AG1366</f>
        <v>-6.4767836544715411</v>
      </c>
      <c r="AE6" s="1">
        <f>[1]Results!AH1366</f>
        <v>-6.5886699983497721</v>
      </c>
      <c r="AF6" s="1">
        <f>[1]Results!AI1366</f>
        <v>-6.6988150442253813</v>
      </c>
      <c r="AG6" s="1">
        <f>[1]Results!AJ1366</f>
        <v>-6.8071479268891677</v>
      </c>
      <c r="AH6" s="1">
        <f>[1]Results!AK1366</f>
        <v>-6.912243083791858</v>
      </c>
      <c r="AI6" s="1">
        <f>[1]Results!AL1366</f>
        <v>-7.015170916553604</v>
      </c>
      <c r="AJ6" s="1">
        <f>[1]Results!AM1366</f>
        <v>-7.1158896614011979</v>
      </c>
      <c r="AK6" s="1">
        <f>[1]Results!AN1366</f>
        <v>-7.2144021982448621</v>
      </c>
      <c r="AL6" s="1">
        <f>[1]Results!AO1366</f>
        <v>-7.3107225453500568</v>
      </c>
      <c r="AM6" s="1">
        <f>[1]Results!AP1366</f>
        <v>-7.3937098258851535</v>
      </c>
      <c r="AN6" s="1">
        <f>[1]Results!AQ1366</f>
        <v>-7.4732726077731186</v>
      </c>
      <c r="AO6" s="1">
        <f>[1]Results!AR1366</f>
        <v>-7.5496380597716577</v>
      </c>
      <c r="AP6" s="1">
        <f>[1]Results!AS1366</f>
        <v>-7.6233378459035883</v>
      </c>
      <c r="AQ6" s="1">
        <f>[1]Results!AT1366</f>
        <v>-7.6948285153670799</v>
      </c>
      <c r="AR6" s="1">
        <f>[1]Results!AU1366</f>
        <v>-7.7627934834324623</v>
      </c>
      <c r="AS6" s="1">
        <f>[1]Results!AV1366</f>
        <v>-7.8289242723786128</v>
      </c>
      <c r="AT6" s="1">
        <f>[1]Results!AW1366</f>
        <v>-7.8934997139873175</v>
      </c>
      <c r="AU6" s="1">
        <f>[1]Results!AX1366</f>
        <v>-7.9567949672891158</v>
      </c>
      <c r="AV6" s="1">
        <f>[1]Results!AY1366</f>
        <v>-8.0190449631349576</v>
      </c>
      <c r="AW6" s="1">
        <f>[1]Results!AZ1366</f>
        <v>-8.0751526852177449</v>
      </c>
      <c r="AX6" s="1">
        <f>[1]Results!BA1366</f>
        <v>-8.1297567443866079</v>
      </c>
      <c r="AY6" s="1">
        <f>[1]Results!BB1366</f>
        <v>-8.183234735677603</v>
      </c>
      <c r="AZ6" s="1">
        <f>[1]Results!BC1366</f>
        <v>-8.2359561197726912</v>
      </c>
      <c r="BA6" s="1">
        <f>[1]Results!BD1366</f>
        <v>-8.2881870657310781</v>
      </c>
      <c r="BB6" s="1">
        <f>[1]Results!BE1366</f>
        <v>-8.3369692135554789</v>
      </c>
      <c r="BC6" s="1">
        <f>[1]Results!BF1366</f>
        <v>-8.3850724177476632</v>
      </c>
      <c r="BD6" s="1">
        <f>[1]Results!BG1366</f>
        <v>-8.4327198840908437</v>
      </c>
      <c r="BE6" s="1">
        <f>[1]Results!BH1366</f>
        <v>-8.4801582269554476</v>
      </c>
      <c r="BF6" s="1">
        <f>[1]Results!BI1366</f>
        <v>-8.5275707768680107</v>
      </c>
    </row>
    <row r="7" spans="1:58" x14ac:dyDescent="0.35">
      <c r="A7" s="3" t="str">
        <f>[1]Results!E1367</f>
        <v>100*((CH_2-CH_0)/GDP_0)</v>
      </c>
      <c r="B7" t="s">
        <v>19</v>
      </c>
      <c r="C7" s="1">
        <f>[1]Results!F1367</f>
        <v>-0.30977196104206356</v>
      </c>
      <c r="D7" s="1">
        <f>[1]Results!G1367</f>
        <v>-0.67771498387398077</v>
      </c>
      <c r="E7" s="1">
        <f>[1]Results!H1367</f>
        <v>-1.0190822948049283</v>
      </c>
      <c r="F7" s="1">
        <f>[1]Results!I1367</f>
        <v>-1.3112557282225505</v>
      </c>
      <c r="G7" s="1">
        <f>[1]Results!J1367</f>
        <v>-1.5513744974401908</v>
      </c>
      <c r="H7" s="1">
        <f>[1]Results!K1367</f>
        <v>-1.7434709199454019</v>
      </c>
      <c r="I7" s="1">
        <f>[1]Results!L1367</f>
        <v>-1.8949359070708625</v>
      </c>
      <c r="J7" s="1">
        <f>[1]Results!M1367</f>
        <v>-2.0118124736849978</v>
      </c>
      <c r="K7" s="1">
        <f>[1]Results!N1367</f>
        <v>-2.1007740594923376</v>
      </c>
      <c r="L7" s="1">
        <f>[1]Results!O1367</f>
        <v>-2.1678502342813486</v>
      </c>
      <c r="M7" s="1">
        <f>[1]Results!P1367</f>
        <v>-2.2168754988156754</v>
      </c>
      <c r="N7" s="1">
        <f>[1]Results!Q1367</f>
        <v>-2.2559219280085361</v>
      </c>
      <c r="O7" s="1">
        <f>[1]Results!R1367</f>
        <v>-2.2861056851632511</v>
      </c>
      <c r="P7" s="1">
        <f>[1]Results!S1367</f>
        <v>-2.3092321001192162</v>
      </c>
      <c r="Q7" s="1">
        <f>[1]Results!T1367</f>
        <v>-2.3266204380380588</v>
      </c>
      <c r="R7" s="1">
        <f>[1]Results!U1367</f>
        <v>-2.3393275230242647</v>
      </c>
      <c r="S7" s="1">
        <f>[1]Results!V1367</f>
        <v>-2.3493043706222565</v>
      </c>
      <c r="T7" s="1">
        <f>[1]Results!W1367</f>
        <v>-2.3574643405384297</v>
      </c>
      <c r="U7" s="1">
        <f>[1]Results!X1367</f>
        <v>-2.3643803413223368</v>
      </c>
      <c r="V7" s="1">
        <f>[1]Results!Y1367</f>
        <v>-2.3705397200672849</v>
      </c>
      <c r="W7" s="1">
        <f>[1]Results!Z1367</f>
        <v>-2.3772211435586601</v>
      </c>
      <c r="X7" s="1">
        <f>[1]Results!AA1367</f>
        <v>-2.3827615326648921</v>
      </c>
      <c r="Y7" s="1">
        <f>[1]Results!AB1367</f>
        <v>-2.3888007908457132</v>
      </c>
      <c r="Z7" s="1">
        <f>[1]Results!AC1367</f>
        <v>-2.3957353796493321</v>
      </c>
      <c r="AA7" s="1">
        <f>[1]Results!AD1367</f>
        <v>-2.4038347657817765</v>
      </c>
      <c r="AB7" s="1">
        <f>[1]Results!AE1367</f>
        <v>-2.4154162408209472</v>
      </c>
      <c r="AC7" s="1">
        <f>[1]Results!AF1367</f>
        <v>-2.4255355013020923</v>
      </c>
      <c r="AD7" s="1">
        <f>[1]Results!AG1367</f>
        <v>-2.435993136754445</v>
      </c>
      <c r="AE7" s="1">
        <f>[1]Results!AH1367</f>
        <v>-2.4470602506352872</v>
      </c>
      <c r="AF7" s="1">
        <f>[1]Results!AI1367</f>
        <v>-2.4589330740952855</v>
      </c>
      <c r="AG7" s="1">
        <f>[1]Results!AJ1367</f>
        <v>-2.4717035480405189</v>
      </c>
      <c r="AH7" s="1">
        <f>[1]Results!AK1367</f>
        <v>-2.4851835634989174</v>
      </c>
      <c r="AI7" s="1">
        <f>[1]Results!AL1367</f>
        <v>-2.4993304812516168</v>
      </c>
      <c r="AJ7" s="1">
        <f>[1]Results!AM1367</f>
        <v>-2.5141306235077381</v>
      </c>
      <c r="AK7" s="1">
        <f>[1]Results!AN1367</f>
        <v>-2.5295615400376454</v>
      </c>
      <c r="AL7" s="1">
        <f>[1]Results!AO1367</f>
        <v>-2.5455884243409446</v>
      </c>
      <c r="AM7" s="1">
        <f>[1]Results!AP1367</f>
        <v>-2.560922643724215</v>
      </c>
      <c r="AN7" s="1">
        <f>[1]Results!AQ1367</f>
        <v>-2.5747175920164613</v>
      </c>
      <c r="AO7" s="1">
        <f>[1]Results!AR1367</f>
        <v>-2.5873440034831847</v>
      </c>
      <c r="AP7" s="1">
        <f>[1]Results!AS1367</f>
        <v>-2.5992362874105046</v>
      </c>
      <c r="AQ7" s="1">
        <f>[1]Results!AT1367</f>
        <v>-2.6107542164942674</v>
      </c>
      <c r="AR7" s="1">
        <f>[1]Results!AU1367</f>
        <v>-2.6219187354802997</v>
      </c>
      <c r="AS7" s="1">
        <f>[1]Results!AV1367</f>
        <v>-2.6329437011242711</v>
      </c>
      <c r="AT7" s="1">
        <f>[1]Results!AW1367</f>
        <v>-2.6440720438858221</v>
      </c>
      <c r="AU7" s="1">
        <f>[1]Results!AX1367</f>
        <v>-2.6555164797152244</v>
      </c>
      <c r="AV7" s="1">
        <f>[1]Results!AY1367</f>
        <v>-2.6674491167842489</v>
      </c>
      <c r="AW7" s="1">
        <f>[1]Results!AZ1367</f>
        <v>-2.6791495818767985</v>
      </c>
      <c r="AX7" s="1">
        <f>[1]Results!BA1367</f>
        <v>-2.690793082480845</v>
      </c>
      <c r="AY7" s="1">
        <f>[1]Results!BB1367</f>
        <v>-2.7026893413201285</v>
      </c>
      <c r="AZ7" s="1">
        <f>[1]Results!BC1367</f>
        <v>-2.7151008576994049</v>
      </c>
      <c r="BA7" s="1">
        <f>[1]Results!BD1367</f>
        <v>-2.7281968814820607</v>
      </c>
      <c r="BB7" s="1">
        <f>[1]Results!BE1367</f>
        <v>-2.7415853051396639</v>
      </c>
      <c r="BC7" s="1">
        <f>[1]Results!BF1367</f>
        <v>-2.7553314922540926</v>
      </c>
      <c r="BD7" s="1">
        <f>[1]Results!BG1367</f>
        <v>-2.7696118476262148</v>
      </c>
      <c r="BE7" s="1">
        <f>[1]Results!BH1367</f>
        <v>-2.7845792297308205</v>
      </c>
      <c r="BF7" s="1">
        <f>[1]Results!BI1367</f>
        <v>-2.8003346706662153</v>
      </c>
    </row>
    <row r="8" spans="1:58" x14ac:dyDescent="0.35">
      <c r="A8" s="3" t="str">
        <f>[1]Results!E1368</f>
        <v>100*((CH_cveh_2-CH_cveh_0)/GDP_0)</v>
      </c>
      <c r="B8" t="str">
        <f>[1]Results!C1368</f>
        <v>Consommation des ménages automobile</v>
      </c>
      <c r="C8" s="1">
        <f>[1]Results!F1368</f>
        <v>-2.7082338318940431E-4</v>
      </c>
      <c r="D8" s="1">
        <f>[1]Results!G1368</f>
        <v>-2.4837670974877664E-2</v>
      </c>
      <c r="E8" s="1">
        <f>[1]Results!H1368</f>
        <v>-5.4794164015276842E-2</v>
      </c>
      <c r="F8" s="1">
        <f>[1]Results!I1368</f>
        <v>-7.9641941963128238E-2</v>
      </c>
      <c r="G8" s="1">
        <f>[1]Results!J1368</f>
        <v>-9.6498626520301722E-2</v>
      </c>
      <c r="H8" s="1">
        <f>[1]Results!K1368</f>
        <v>-0.10593120323777125</v>
      </c>
      <c r="I8" s="1">
        <f>[1]Results!L1368</f>
        <v>-0.10981930601611445</v>
      </c>
      <c r="J8" s="1">
        <f>[1]Results!M1368</f>
        <v>-0.11000665976183205</v>
      </c>
      <c r="K8" s="1">
        <f>[1]Results!N1368</f>
        <v>-0.1080375265134197</v>
      </c>
      <c r="L8" s="1">
        <f>[1]Results!O1368</f>
        <v>-0.10499607006868145</v>
      </c>
      <c r="M8" s="1">
        <f>[1]Results!P1368</f>
        <v>-0.10151138343833255</v>
      </c>
      <c r="N8" s="1">
        <f>[1]Results!Q1368</f>
        <v>-9.8187151956097868E-2</v>
      </c>
      <c r="O8" s="1">
        <f>[1]Results!R1368</f>
        <v>-9.5067795767351249E-2</v>
      </c>
      <c r="P8" s="1">
        <f>[1]Results!S1368</f>
        <v>-9.2164547785134915E-2</v>
      </c>
      <c r="Q8" s="1">
        <f>[1]Results!T1368</f>
        <v>-8.9460563625866699E-2</v>
      </c>
      <c r="R8" s="1">
        <f>[1]Results!U1368</f>
        <v>-8.6940031837016526E-2</v>
      </c>
      <c r="S8" s="1">
        <f>[1]Results!V1368</f>
        <v>-8.4708160995368056E-2</v>
      </c>
      <c r="T8" s="1">
        <f>[1]Results!W1368</f>
        <v>-8.2747851916885828E-2</v>
      </c>
      <c r="U8" s="1">
        <f>[1]Results!X1368</f>
        <v>-8.1026618281545587E-2</v>
      </c>
      <c r="V8" s="1">
        <f>[1]Results!Y1368</f>
        <v>-7.9525844373623242E-2</v>
      </c>
      <c r="W8" s="1">
        <f>[1]Results!Z1368</f>
        <v>-7.8257531045451856E-2</v>
      </c>
      <c r="X8" s="1">
        <f>[1]Results!AA1368</f>
        <v>-7.7150140744110057E-2</v>
      </c>
      <c r="Y8" s="1">
        <f>[1]Results!AB1368</f>
        <v>-7.6254116644317055E-2</v>
      </c>
      <c r="Z8" s="1">
        <f>[1]Results!AC1368</f>
        <v>-7.5564124796296428E-2</v>
      </c>
      <c r="AA8" s="1">
        <f>[1]Results!AD1368</f>
        <v>-7.5064598847150693E-2</v>
      </c>
      <c r="AB8" s="1">
        <f>[1]Results!AE1368</f>
        <v>-7.478106635406144E-2</v>
      </c>
      <c r="AC8" s="1">
        <f>[1]Results!AF1368</f>
        <v>-7.450310042635451E-2</v>
      </c>
      <c r="AD8" s="1">
        <f>[1]Results!AG1368</f>
        <v>-7.4308184696555132E-2</v>
      </c>
      <c r="AE8" s="1">
        <f>[1]Results!AH1368</f>
        <v>-7.421491542985871E-2</v>
      </c>
      <c r="AF8" s="1">
        <f>[1]Results!AI1368</f>
        <v>-7.4223366681414396E-2</v>
      </c>
      <c r="AG8" s="1">
        <f>[1]Results!AJ1368</f>
        <v>-7.4321820390698762E-2</v>
      </c>
      <c r="AH8" s="1">
        <f>[1]Results!AK1368</f>
        <v>-7.4476104768873438E-2</v>
      </c>
      <c r="AI8" s="1">
        <f>[1]Results!AL1368</f>
        <v>-7.4674992667924656E-2</v>
      </c>
      <c r="AJ8" s="1">
        <f>[1]Results!AM1368</f>
        <v>-7.4914001631082874E-2</v>
      </c>
      <c r="AK8" s="1">
        <f>[1]Results!AN1368</f>
        <v>-7.5188671278758695E-2</v>
      </c>
      <c r="AL8" s="1">
        <f>[1]Results!AO1368</f>
        <v>-7.5494294539650744E-2</v>
      </c>
      <c r="AM8" s="1">
        <f>[1]Results!AP1368</f>
        <v>-7.5685941175010776E-2</v>
      </c>
      <c r="AN8" s="1">
        <f>[1]Results!AQ1368</f>
        <v>-7.5766197143590397E-2</v>
      </c>
      <c r="AO8" s="1">
        <f>[1]Results!AR1368</f>
        <v>-7.5805968302940396E-2</v>
      </c>
      <c r="AP8" s="1">
        <f>[1]Results!AS1368</f>
        <v>-7.5854994413319152E-2</v>
      </c>
      <c r="AQ8" s="1">
        <f>[1]Results!AT1368</f>
        <v>-7.5938474355405003E-2</v>
      </c>
      <c r="AR8" s="1">
        <f>[1]Results!AU1368</f>
        <v>-7.6046557785808405E-2</v>
      </c>
      <c r="AS8" s="1">
        <f>[1]Results!AV1368</f>
        <v>-7.6189303647827306E-2</v>
      </c>
      <c r="AT8" s="1">
        <f>[1]Results!AW1368</f>
        <v>-7.638080093356428E-2</v>
      </c>
      <c r="AU8" s="1">
        <f>[1]Results!AX1368</f>
        <v>-7.6631024964454467E-2</v>
      </c>
      <c r="AV8" s="1">
        <f>[1]Results!AY1368</f>
        <v>-7.6946062557927991E-2</v>
      </c>
      <c r="AW8" s="1">
        <f>[1]Results!AZ1368</f>
        <v>-7.7265627846047416E-2</v>
      </c>
      <c r="AX8" s="1">
        <f>[1]Results!BA1368</f>
        <v>-7.7608139920097255E-2</v>
      </c>
      <c r="AY8" s="1">
        <f>[1]Results!BB1368</f>
        <v>-7.8007217799170969E-2</v>
      </c>
      <c r="AZ8" s="1">
        <f>[1]Results!BC1368</f>
        <v>-7.8481970277575266E-2</v>
      </c>
      <c r="BA8" s="1">
        <f>[1]Results!BD1368</f>
        <v>-7.9038619669928825E-2</v>
      </c>
      <c r="BB8" s="1">
        <f>[1]Results!BE1368</f>
        <v>-7.9641512057209429E-2</v>
      </c>
      <c r="BC8" s="1">
        <f>[1]Results!BF1368</f>
        <v>-8.0298177761476477E-2</v>
      </c>
      <c r="BD8" s="1">
        <f>[1]Results!BG1368</f>
        <v>-8.1027828046212114E-2</v>
      </c>
      <c r="BE8" s="1">
        <f>[1]Results!BH1368</f>
        <v>-8.184283671900644E-2</v>
      </c>
      <c r="BF8" s="1">
        <f>[1]Results!BI1368</f>
        <v>-8.2748596111253334E-2</v>
      </c>
    </row>
    <row r="9" spans="1:58" x14ac:dyDescent="0.35">
      <c r="A9" s="3" t="str">
        <f>[1]Results!E1369</f>
        <v>100*((G_2-G_0)/GDP_0)</v>
      </c>
      <c r="B9" t="str">
        <f>[1]Results!C1369</f>
        <v>Dépenses publiques</v>
      </c>
      <c r="C9" s="1">
        <f>[1]Results!F1369</f>
        <v>0</v>
      </c>
      <c r="D9" s="1">
        <f>[1]Results!G1369</f>
        <v>0</v>
      </c>
      <c r="E9" s="1">
        <f>[1]Results!H1369</f>
        <v>0</v>
      </c>
      <c r="F9" s="1">
        <f>[1]Results!I1369</f>
        <v>0</v>
      </c>
      <c r="G9" s="1">
        <f>[1]Results!J1369</f>
        <v>0</v>
      </c>
      <c r="H9" s="1">
        <f>[1]Results!K1369</f>
        <v>0</v>
      </c>
      <c r="I9" s="1">
        <f>[1]Results!L1369</f>
        <v>0</v>
      </c>
      <c r="J9" s="1">
        <f>[1]Results!M1369</f>
        <v>0</v>
      </c>
      <c r="K9" s="1">
        <f>[1]Results!N1369</f>
        <v>0</v>
      </c>
      <c r="L9" s="1">
        <f>[1]Results!O1369</f>
        <v>0</v>
      </c>
      <c r="M9" s="1">
        <f>[1]Results!P1369</f>
        <v>0</v>
      </c>
      <c r="N9" s="1">
        <f>[1]Results!Q1369</f>
        <v>0</v>
      </c>
      <c r="O9" s="1">
        <f>[1]Results!R1369</f>
        <v>0</v>
      </c>
      <c r="P9" s="1">
        <f>[1]Results!S1369</f>
        <v>0</v>
      </c>
      <c r="Q9" s="1">
        <f>[1]Results!T1369</f>
        <v>0</v>
      </c>
      <c r="R9" s="1">
        <f>[1]Results!U1369</f>
        <v>0</v>
      </c>
      <c r="S9" s="1">
        <f>[1]Results!V1369</f>
        <v>0</v>
      </c>
      <c r="T9" s="1">
        <f>[1]Results!W1369</f>
        <v>0</v>
      </c>
      <c r="U9" s="1">
        <f>[1]Results!X1369</f>
        <v>0</v>
      </c>
      <c r="V9" s="1">
        <f>[1]Results!Y1369</f>
        <v>0</v>
      </c>
      <c r="W9" s="1">
        <f>[1]Results!Z1369</f>
        <v>0</v>
      </c>
      <c r="X9" s="1">
        <f>[1]Results!AA1369</f>
        <v>0</v>
      </c>
      <c r="Y9" s="1">
        <f>[1]Results!AB1369</f>
        <v>0</v>
      </c>
      <c r="Z9" s="1">
        <f>[1]Results!AC1369</f>
        <v>0</v>
      </c>
      <c r="AA9" s="1">
        <f>[1]Results!AD1369</f>
        <v>0</v>
      </c>
      <c r="AB9" s="1">
        <f>[1]Results!AE1369</f>
        <v>0</v>
      </c>
      <c r="AC9" s="1">
        <f>[1]Results!AF1369</f>
        <v>0</v>
      </c>
      <c r="AD9" s="1">
        <f>[1]Results!AG1369</f>
        <v>0</v>
      </c>
      <c r="AE9" s="1">
        <f>[1]Results!AH1369</f>
        <v>0</v>
      </c>
      <c r="AF9" s="1">
        <f>[1]Results!AI1369</f>
        <v>0</v>
      </c>
      <c r="AG9" s="1">
        <f>[1]Results!AJ1369</f>
        <v>0</v>
      </c>
      <c r="AH9" s="1">
        <f>[1]Results!AK1369</f>
        <v>0</v>
      </c>
      <c r="AI9" s="1">
        <f>[1]Results!AL1369</f>
        <v>0</v>
      </c>
      <c r="AJ9" s="1">
        <f>[1]Results!AM1369</f>
        <v>0</v>
      </c>
      <c r="AK9" s="1">
        <f>[1]Results!AN1369</f>
        <v>0</v>
      </c>
      <c r="AL9" s="1">
        <f>[1]Results!AO1369</f>
        <v>0</v>
      </c>
      <c r="AM9" s="1">
        <f>[1]Results!AP1369</f>
        <v>0</v>
      </c>
      <c r="AN9" s="1">
        <f>[1]Results!AQ1369</f>
        <v>0</v>
      </c>
      <c r="AO9" s="1">
        <f>[1]Results!AR1369</f>
        <v>0</v>
      </c>
      <c r="AP9" s="1">
        <f>[1]Results!AS1369</f>
        <v>0</v>
      </c>
      <c r="AQ9" s="1">
        <f>[1]Results!AT1369</f>
        <v>0</v>
      </c>
      <c r="AR9" s="1">
        <f>[1]Results!AU1369</f>
        <v>0</v>
      </c>
      <c r="AS9" s="1">
        <f>[1]Results!AV1369</f>
        <v>0</v>
      </c>
      <c r="AT9" s="1">
        <f>[1]Results!AW1369</f>
        <v>0</v>
      </c>
      <c r="AU9" s="1">
        <f>[1]Results!AX1369</f>
        <v>0</v>
      </c>
      <c r="AV9" s="1">
        <f>[1]Results!AY1369</f>
        <v>0</v>
      </c>
      <c r="AW9" s="1">
        <f>[1]Results!AZ1369</f>
        <v>0</v>
      </c>
      <c r="AX9" s="1">
        <f>[1]Results!BA1369</f>
        <v>0</v>
      </c>
      <c r="AY9" s="1">
        <f>[1]Results!BB1369</f>
        <v>0</v>
      </c>
      <c r="AZ9" s="1">
        <f>[1]Results!BC1369</f>
        <v>0</v>
      </c>
      <c r="BA9" s="1">
        <f>[1]Results!BD1369</f>
        <v>0</v>
      </c>
      <c r="BB9" s="1">
        <f>[1]Results!BE1369</f>
        <v>0</v>
      </c>
      <c r="BC9" s="1">
        <f>[1]Results!BF1369</f>
        <v>0</v>
      </c>
      <c r="BD9" s="1">
        <f>[1]Results!BG1369</f>
        <v>0</v>
      </c>
      <c r="BE9" s="1">
        <f>[1]Results!BH1369</f>
        <v>0</v>
      </c>
      <c r="BF9" s="1">
        <f>[1]Results!BI1369</f>
        <v>0</v>
      </c>
    </row>
    <row r="10" spans="1:58" x14ac:dyDescent="0.35">
      <c r="A10" s="3" t="str">
        <f>[1]Results!E1370</f>
        <v>100*((I_2-I_0)/GDP_0)</v>
      </c>
      <c r="B10" t="s">
        <v>21</v>
      </c>
      <c r="C10" s="1">
        <f>[1]Results!F1370</f>
        <v>-0.25560542584534335</v>
      </c>
      <c r="D10" s="1">
        <f>[1]Results!G1370</f>
        <v>-0.42098075215452346</v>
      </c>
      <c r="E10" s="1">
        <f>[1]Results!H1370</f>
        <v>-0.53715993419685293</v>
      </c>
      <c r="F10" s="1">
        <f>[1]Results!I1370</f>
        <v>-0.62972826115271874</v>
      </c>
      <c r="G10" s="1">
        <f>[1]Results!J1370</f>
        <v>-0.71039472087487687</v>
      </c>
      <c r="H10" s="1">
        <f>[1]Results!K1370</f>
        <v>-0.78440555988328431</v>
      </c>
      <c r="I10" s="1">
        <f>[1]Results!L1370</f>
        <v>-0.85458883228431526</v>
      </c>
      <c r="J10" s="1">
        <f>[1]Results!M1370</f>
        <v>-0.92165583342753221</v>
      </c>
      <c r="K10" s="1">
        <f>[1]Results!N1370</f>
        <v>-0.98620017255078141</v>
      </c>
      <c r="L10" s="1">
        <f>[1]Results!O1370</f>
        <v>-1.0486676415519391</v>
      </c>
      <c r="M10" s="1">
        <f>[1]Results!P1370</f>
        <v>-1.1088938947199907</v>
      </c>
      <c r="N10" s="1">
        <f>[1]Results!Q1370</f>
        <v>-1.1693443900294664</v>
      </c>
      <c r="O10" s="1">
        <f>[1]Results!R1370</f>
        <v>-1.2290642615922347</v>
      </c>
      <c r="P10" s="1">
        <f>[1]Results!S1370</f>
        <v>-1.287934641528431</v>
      </c>
      <c r="Q10" s="1">
        <f>[1]Results!T1370</f>
        <v>-1.3458454260922621</v>
      </c>
      <c r="R10" s="1">
        <f>[1]Results!U1370</f>
        <v>-1.4026791956896589</v>
      </c>
      <c r="S10" s="1">
        <f>[1]Results!V1370</f>
        <v>-1.4591902298907216</v>
      </c>
      <c r="T10" s="1">
        <f>[1]Results!W1370</f>
        <v>-1.514873761871347</v>
      </c>
      <c r="U10" s="1">
        <f>[1]Results!X1370</f>
        <v>-1.5693992318911152</v>
      </c>
      <c r="V10" s="1">
        <f>[1]Results!Y1370</f>
        <v>-1.622555449596641</v>
      </c>
      <c r="W10" s="1">
        <f>[1]Results!Z1370</f>
        <v>-1.6747333637776716</v>
      </c>
      <c r="X10" s="1">
        <f>[1]Results!AA1370</f>
        <v>-1.72458086391531</v>
      </c>
      <c r="Y10" s="1">
        <f>[1]Results!AB1370</f>
        <v>-1.7727510429712563</v>
      </c>
      <c r="Z10" s="1">
        <f>[1]Results!AC1370</f>
        <v>-1.8191685295744646</v>
      </c>
      <c r="AA10" s="1">
        <f>[1]Results!AD1370</f>
        <v>-1.8637917671922712</v>
      </c>
      <c r="AB10" s="1">
        <f>[1]Results!AE1370</f>
        <v>-1.9082206501024022</v>
      </c>
      <c r="AC10" s="1">
        <f>[1]Results!AF1370</f>
        <v>-1.949105251476652</v>
      </c>
      <c r="AD10" s="1">
        <f>[1]Results!AG1370</f>
        <v>-1.9877769773094707</v>
      </c>
      <c r="AE10" s="1">
        <f>[1]Results!AH1370</f>
        <v>-2.0242564573724318</v>
      </c>
      <c r="AF10" s="1">
        <f>[1]Results!AI1370</f>
        <v>-2.0585661832965205</v>
      </c>
      <c r="AG10" s="1">
        <f>[1]Results!AJ1370</f>
        <v>-2.0907274006633272</v>
      </c>
      <c r="AH10" s="1">
        <f>[1]Results!AK1370</f>
        <v>-2.1205962877563551</v>
      </c>
      <c r="AI10" s="1">
        <f>[1]Results!AL1370</f>
        <v>-2.1482611386020056</v>
      </c>
      <c r="AJ10" s="1">
        <f>[1]Results!AM1370</f>
        <v>-2.1737908223807714</v>
      </c>
      <c r="AK10" s="1">
        <f>[1]Results!AN1370</f>
        <v>-2.197243580572243</v>
      </c>
      <c r="AL10" s="1">
        <f>[1]Results!AO1370</f>
        <v>-2.2186752934683933</v>
      </c>
      <c r="AM10" s="1">
        <f>[1]Results!AP1370</f>
        <v>-2.2371584245525553</v>
      </c>
      <c r="AN10" s="1">
        <f>[1]Results!AQ1370</f>
        <v>-2.2527610507416163</v>
      </c>
      <c r="AO10" s="1">
        <f>[1]Results!AR1370</f>
        <v>-2.2659090358426512</v>
      </c>
      <c r="AP10" s="1">
        <f>[1]Results!AS1370</f>
        <v>-2.2768752314798739</v>
      </c>
      <c r="AQ10" s="1">
        <f>[1]Results!AT1370</f>
        <v>-2.2858558920687506</v>
      </c>
      <c r="AR10" s="1">
        <f>[1]Results!AU1370</f>
        <v>-2.2927959540345522</v>
      </c>
      <c r="AS10" s="1">
        <f>[1]Results!AV1370</f>
        <v>-2.2979046001533816</v>
      </c>
      <c r="AT10" s="1">
        <f>[1]Results!AW1370</f>
        <v>-2.3013561590048948</v>
      </c>
      <c r="AU10" s="1">
        <f>[1]Results!AX1370</f>
        <v>-2.3033028584592921</v>
      </c>
      <c r="AV10" s="1">
        <f>[1]Results!AY1370</f>
        <v>-2.3038857702407531</v>
      </c>
      <c r="AW10" s="1">
        <f>[1]Results!AZ1370</f>
        <v>-2.3025378056357066</v>
      </c>
      <c r="AX10" s="1">
        <f>[1]Results!BA1370</f>
        <v>-2.2996778235411668</v>
      </c>
      <c r="AY10" s="1">
        <f>[1]Results!BB1370</f>
        <v>-2.2956044644385161</v>
      </c>
      <c r="AZ10" s="1">
        <f>[1]Results!BC1370</f>
        <v>-2.2905473205007714</v>
      </c>
      <c r="BA10" s="1">
        <f>[1]Results!BD1370</f>
        <v>-2.2846893594032034</v>
      </c>
      <c r="BB10" s="1">
        <f>[1]Results!BE1370</f>
        <v>-2.2777836405710601</v>
      </c>
      <c r="BC10" s="1">
        <f>[1]Results!BF1370</f>
        <v>-2.2701028047945724</v>
      </c>
      <c r="BD10" s="1">
        <f>[1]Results!BG1370</f>
        <v>-2.2618678989873446</v>
      </c>
      <c r="BE10" s="1">
        <f>[1]Results!BH1370</f>
        <v>-2.2532579897976501</v>
      </c>
      <c r="BF10" s="1">
        <f>[1]Results!BI1370</f>
        <v>-2.2444226554997391</v>
      </c>
    </row>
    <row r="11" spans="1:58" x14ac:dyDescent="0.35">
      <c r="A11" s="3" t="str">
        <f>[1]Results!E1371</f>
        <v>100*((DS_2-DS_0)/GDP_0)</v>
      </c>
      <c r="B11" t="str">
        <f>[1]Results!C1371</f>
        <v>Variations de stocks</v>
      </c>
      <c r="C11" s="1">
        <f>[1]Results!F1371</f>
        <v>0</v>
      </c>
      <c r="D11" s="1">
        <f>[1]Results!G1371</f>
        <v>0</v>
      </c>
      <c r="E11" s="1">
        <f>[1]Results!H1371</f>
        <v>0</v>
      </c>
      <c r="F11" s="1">
        <f>[1]Results!I1371</f>
        <v>0</v>
      </c>
      <c r="G11" s="1">
        <f>[1]Results!J1371</f>
        <v>0</v>
      </c>
      <c r="H11" s="1">
        <f>[1]Results!K1371</f>
        <v>0</v>
      </c>
      <c r="I11" s="1">
        <f>[1]Results!L1371</f>
        <v>0</v>
      </c>
      <c r="J11" s="1">
        <f>[1]Results!M1371</f>
        <v>0</v>
      </c>
      <c r="K11" s="1">
        <f>[1]Results!N1371</f>
        <v>0</v>
      </c>
      <c r="L11" s="1">
        <f>[1]Results!O1371</f>
        <v>0</v>
      </c>
      <c r="M11" s="1">
        <f>[1]Results!P1371</f>
        <v>0</v>
      </c>
      <c r="N11" s="1">
        <f>[1]Results!Q1371</f>
        <v>0</v>
      </c>
      <c r="O11" s="1">
        <f>[1]Results!R1371</f>
        <v>0</v>
      </c>
      <c r="P11" s="1">
        <f>[1]Results!S1371</f>
        <v>0</v>
      </c>
      <c r="Q11" s="1">
        <f>[1]Results!T1371</f>
        <v>0</v>
      </c>
      <c r="R11" s="1">
        <f>[1]Results!U1371</f>
        <v>0</v>
      </c>
      <c r="S11" s="1">
        <f>[1]Results!V1371</f>
        <v>0</v>
      </c>
      <c r="T11" s="1">
        <f>[1]Results!W1371</f>
        <v>0</v>
      </c>
      <c r="U11" s="1">
        <f>[1]Results!X1371</f>
        <v>0</v>
      </c>
      <c r="V11" s="1">
        <f>[1]Results!Y1371</f>
        <v>0</v>
      </c>
      <c r="W11" s="1">
        <f>[1]Results!Z1371</f>
        <v>0</v>
      </c>
      <c r="X11" s="1">
        <f>[1]Results!AA1371</f>
        <v>0</v>
      </c>
      <c r="Y11" s="1">
        <f>[1]Results!AB1371</f>
        <v>0</v>
      </c>
      <c r="Z11" s="1">
        <f>[1]Results!AC1371</f>
        <v>0</v>
      </c>
      <c r="AA11" s="1">
        <f>[1]Results!AD1371</f>
        <v>0</v>
      </c>
      <c r="AB11" s="1">
        <f>[1]Results!AE1371</f>
        <v>0</v>
      </c>
      <c r="AC11" s="1">
        <f>[1]Results!AF1371</f>
        <v>0</v>
      </c>
      <c r="AD11" s="1">
        <f>[1]Results!AG1371</f>
        <v>0</v>
      </c>
      <c r="AE11" s="1">
        <f>[1]Results!AH1371</f>
        <v>0</v>
      </c>
      <c r="AF11" s="1">
        <f>[1]Results!AI1371</f>
        <v>0</v>
      </c>
      <c r="AG11" s="1">
        <f>[1]Results!AJ1371</f>
        <v>0</v>
      </c>
      <c r="AH11" s="1">
        <f>[1]Results!AK1371</f>
        <v>0</v>
      </c>
      <c r="AI11" s="1">
        <f>[1]Results!AL1371</f>
        <v>0</v>
      </c>
      <c r="AJ11" s="1">
        <f>[1]Results!AM1371</f>
        <v>0</v>
      </c>
      <c r="AK11" s="1">
        <f>[1]Results!AN1371</f>
        <v>0</v>
      </c>
      <c r="AL11" s="1">
        <f>[1]Results!AO1371</f>
        <v>0</v>
      </c>
      <c r="AM11" s="1">
        <f>[1]Results!AP1371</f>
        <v>0</v>
      </c>
      <c r="AN11" s="1">
        <f>[1]Results!AQ1371</f>
        <v>0</v>
      </c>
      <c r="AO11" s="1">
        <f>[1]Results!AR1371</f>
        <v>0</v>
      </c>
      <c r="AP11" s="1">
        <f>[1]Results!AS1371</f>
        <v>0</v>
      </c>
      <c r="AQ11" s="1">
        <f>[1]Results!AT1371</f>
        <v>0</v>
      </c>
      <c r="AR11" s="1">
        <f>[1]Results!AU1371</f>
        <v>0</v>
      </c>
      <c r="AS11" s="1">
        <f>[1]Results!AV1371</f>
        <v>0</v>
      </c>
      <c r="AT11" s="1">
        <f>[1]Results!AW1371</f>
        <v>0</v>
      </c>
      <c r="AU11" s="1">
        <f>[1]Results!AX1371</f>
        <v>0</v>
      </c>
      <c r="AV11" s="1">
        <f>[1]Results!AY1371</f>
        <v>0</v>
      </c>
      <c r="AW11" s="1">
        <f>[1]Results!AZ1371</f>
        <v>0</v>
      </c>
      <c r="AX11" s="1">
        <f>[1]Results!BA1371</f>
        <v>0</v>
      </c>
      <c r="AY11" s="1">
        <f>[1]Results!BB1371</f>
        <v>0</v>
      </c>
      <c r="AZ11" s="1">
        <f>[1]Results!BC1371</f>
        <v>0</v>
      </c>
      <c r="BA11" s="1">
        <f>[1]Results!BD1371</f>
        <v>0</v>
      </c>
      <c r="BB11" s="1">
        <f>[1]Results!BE1371</f>
        <v>0</v>
      </c>
      <c r="BC11" s="1">
        <f>[1]Results!BF1371</f>
        <v>0</v>
      </c>
      <c r="BD11" s="1">
        <f>[1]Results!BG1371</f>
        <v>0</v>
      </c>
      <c r="BE11" s="1">
        <f>[1]Results!BH1371</f>
        <v>0</v>
      </c>
      <c r="BF11" s="1">
        <f>[1]Results!BI1371</f>
        <v>0</v>
      </c>
    </row>
    <row r="12" spans="1:58" x14ac:dyDescent="0.35">
      <c r="A12" s="3" t="str">
        <f>[1]Results!E1372</f>
        <v>100*((X_2-X_0)/GDP_0)-100*((M_2-M_0)/GDP_0)</v>
      </c>
      <c r="B12" t="s">
        <v>20</v>
      </c>
      <c r="C12" s="1">
        <f>[1]Results!F1372</f>
        <v>-1.138257262476043</v>
      </c>
      <c r="D12" s="1">
        <f>[1]Results!G1372</f>
        <v>-0.99708014717926707</v>
      </c>
      <c r="E12" s="1">
        <f>[1]Results!H1372</f>
        <v>-0.89771661307740158</v>
      </c>
      <c r="F12" s="1">
        <f>[1]Results!I1372</f>
        <v>-0.81321507833736084</v>
      </c>
      <c r="G12" s="1">
        <f>[1]Results!J1372</f>
        <v>-0.74109871376330738</v>
      </c>
      <c r="H12" s="1">
        <f>[1]Results!K1372</f>
        <v>-0.68098251518079511</v>
      </c>
      <c r="I12" s="1">
        <f>[1]Results!L1372</f>
        <v>-0.63253065754143489</v>
      </c>
      <c r="J12" s="1">
        <f>[1]Results!M1372</f>
        <v>-0.59443699915280512</v>
      </c>
      <c r="K12" s="1">
        <f>[1]Results!N1372</f>
        <v>-0.56562369240734545</v>
      </c>
      <c r="L12" s="1">
        <f>[1]Results!O1372</f>
        <v>-0.54514481284581251</v>
      </c>
      <c r="M12" s="1">
        <f>[1]Results!P1372</f>
        <v>-0.53354791823090153</v>
      </c>
      <c r="N12" s="1">
        <f>[1]Results!Q1372</f>
        <v>-0.53112127431056</v>
      </c>
      <c r="O12" s="1">
        <f>[1]Results!R1372</f>
        <v>-0.53454901183874037</v>
      </c>
      <c r="P12" s="1">
        <f>[1]Results!S1372</f>
        <v>-0.54364231831203957</v>
      </c>
      <c r="Q12" s="1">
        <f>[1]Results!T1372</f>
        <v>-0.55809705696416567</v>
      </c>
      <c r="R12" s="1">
        <f>[1]Results!U1372</f>
        <v>-0.57753830641392545</v>
      </c>
      <c r="S12" s="1">
        <f>[1]Results!V1372</f>
        <v>-0.60541998784362283</v>
      </c>
      <c r="T12" s="1">
        <f>[1]Results!W1372</f>
        <v>-0.63649656006952071</v>
      </c>
      <c r="U12" s="1">
        <f>[1]Results!X1372</f>
        <v>-0.67049681704824771</v>
      </c>
      <c r="V12" s="1">
        <f>[1]Results!Y1372</f>
        <v>-0.70699337186897671</v>
      </c>
      <c r="W12" s="1">
        <f>[1]Results!Z1372</f>
        <v>-0.74447636042890464</v>
      </c>
      <c r="X12" s="1">
        <f>[1]Results!AA1372</f>
        <v>-0.78509946709381584</v>
      </c>
      <c r="Y12" s="1">
        <f>[1]Results!AB1372</f>
        <v>-0.82677071481664788</v>
      </c>
      <c r="Z12" s="1">
        <f>[1]Results!AC1372</f>
        <v>-0.86917060056920725</v>
      </c>
      <c r="AA12" s="1">
        <f>[1]Results!AD1372</f>
        <v>-0.91198467597847621</v>
      </c>
      <c r="AB12" s="1">
        <f>[1]Results!AE1372</f>
        <v>-0.95181750012141686</v>
      </c>
      <c r="AC12" s="1">
        <f>[1]Results!AF1372</f>
        <v>-0.99353086836478743</v>
      </c>
      <c r="AD12" s="1">
        <f>[1]Results!AG1372</f>
        <v>-1.0357848338724622</v>
      </c>
      <c r="AE12" s="1">
        <f>[1]Results!AH1372</f>
        <v>-1.0783292767389692</v>
      </c>
      <c r="AF12" s="1">
        <f>[1]Results!AI1372</f>
        <v>-1.1209599828188579</v>
      </c>
      <c r="AG12" s="1">
        <f>[1]Results!AJ1372</f>
        <v>-1.1635266485451918</v>
      </c>
      <c r="AH12" s="1">
        <f>[1]Results!AK1372</f>
        <v>-1.2052266085826582</v>
      </c>
      <c r="AI12" s="1">
        <f>[1]Results!AL1372</f>
        <v>-1.2468306890596397</v>
      </c>
      <c r="AJ12" s="1">
        <f>[1]Results!AM1372</f>
        <v>-1.2882524529857649</v>
      </c>
      <c r="AK12" s="1">
        <f>[1]Results!AN1372</f>
        <v>-1.3294508845318633</v>
      </c>
      <c r="AL12" s="1">
        <f>[1]Results!AO1372</f>
        <v>-1.3704054428492172</v>
      </c>
      <c r="AM12" s="1">
        <f>[1]Results!AP1372</f>
        <v>-1.4045992010117003</v>
      </c>
      <c r="AN12" s="1">
        <f>[1]Results!AQ1372</f>
        <v>-1.4401263090220437</v>
      </c>
      <c r="AO12" s="1">
        <f>[1]Results!AR1372</f>
        <v>-1.4764969345708234</v>
      </c>
      <c r="AP12" s="1">
        <f>[1]Results!AS1372</f>
        <v>-1.5134973043921964</v>
      </c>
      <c r="AQ12" s="1">
        <f>[1]Results!AT1372</f>
        <v>-1.5509871201786343</v>
      </c>
      <c r="AR12" s="1">
        <f>[1]Results!AU1372</f>
        <v>-1.5879854650052092</v>
      </c>
      <c r="AS12" s="1">
        <f>[1]Results!AV1372</f>
        <v>-1.6254125970404059</v>
      </c>
      <c r="AT12" s="1">
        <f>[1]Results!AW1372</f>
        <v>-1.6631172615948429</v>
      </c>
      <c r="AU12" s="1">
        <f>[1]Results!AX1372</f>
        <v>-1.7009859748119136</v>
      </c>
      <c r="AV12" s="1">
        <f>[1]Results!AY1372</f>
        <v>-1.7389177569305088</v>
      </c>
      <c r="AW12" s="1">
        <f>[1]Results!AZ1372</f>
        <v>-1.7741140875224315</v>
      </c>
      <c r="AX12" s="1">
        <f>[1]Results!BA1372</f>
        <v>-1.8096050415975733</v>
      </c>
      <c r="AY12" s="1">
        <f>[1]Results!BB1372</f>
        <v>-1.8451413229544347</v>
      </c>
      <c r="AZ12" s="1">
        <f>[1]Results!BC1372</f>
        <v>-1.8805709752161506</v>
      </c>
      <c r="BA12" s="1">
        <f>[1]Results!BD1372</f>
        <v>-1.9157847941665223</v>
      </c>
      <c r="BB12" s="1">
        <f>[1]Results!BE1372</f>
        <v>-1.9490688719402973</v>
      </c>
      <c r="BC12" s="1">
        <f>[1]Results!BF1372</f>
        <v>-1.9822377291010707</v>
      </c>
      <c r="BD12" s="1">
        <f>[1]Results!BG1372</f>
        <v>-2.0151135969043419</v>
      </c>
      <c r="BE12" s="1">
        <f>[1]Results!BH1372</f>
        <v>-2.0475875581410414</v>
      </c>
      <c r="BF12" s="1">
        <f>[1]Results!BI1372</f>
        <v>-2.0795739190559628</v>
      </c>
    </row>
    <row r="13" spans="1:58" x14ac:dyDescent="0.35">
      <c r="A13" s="3" t="str">
        <f>[1]Results!E1373</f>
        <v>100*((CH_2-CH_ccon_2-(CH_0-CH_ccon_0))/GDP_0)</v>
      </c>
      <c r="B13" t="str">
        <f>[1]Results!C1373</f>
        <v>Consommation des ménages</v>
      </c>
      <c r="C13" s="1">
        <f>[1]Results!F1373</f>
        <v>-0.30495565021374865</v>
      </c>
      <c r="D13" s="1">
        <f>[1]Results!G1373</f>
        <v>-0.66824771205745026</v>
      </c>
      <c r="E13" s="1">
        <f>[1]Results!H1373</f>
        <v>-1.0058588818837506</v>
      </c>
      <c r="F13" s="1">
        <f>[1]Results!I1373</f>
        <v>-1.2949464380996116</v>
      </c>
      <c r="G13" s="1">
        <f>[1]Results!J1373</f>
        <v>-1.5323888845871536</v>
      </c>
      <c r="H13" s="1">
        <f>[1]Results!K1373</f>
        <v>-1.7221112358418407</v>
      </c>
      <c r="I13" s="1">
        <f>[1]Results!L1373</f>
        <v>-1.8714749509776654</v>
      </c>
      <c r="J13" s="1">
        <f>[1]Results!M1373</f>
        <v>-1.9865361363969016</v>
      </c>
      <c r="K13" s="1">
        <f>[1]Results!N1373</f>
        <v>-2.0739582454162813</v>
      </c>
      <c r="L13" s="1">
        <f>[1]Results!O1373</f>
        <v>-2.1397478377446078</v>
      </c>
      <c r="M13" s="1">
        <f>[1]Results!P1373</f>
        <v>-2.1877263725433358</v>
      </c>
      <c r="N13" s="1">
        <f>[1]Results!Q1373</f>
        <v>-2.225877349062189</v>
      </c>
      <c r="O13" s="1">
        <f>[1]Results!R1373</f>
        <v>-2.2553147510598746</v>
      </c>
      <c r="P13" s="1">
        <f>[1]Results!S1373</f>
        <v>-2.2778256570434485</v>
      </c>
      <c r="Q13" s="1">
        <f>[1]Results!T1373</f>
        <v>-2.2947124506702243</v>
      </c>
      <c r="R13" s="1">
        <f>[1]Results!U1373</f>
        <v>-2.307015250330092</v>
      </c>
      <c r="S13" s="1">
        <f>[1]Results!V1373</f>
        <v>-2.3166537878084799</v>
      </c>
      <c r="T13" s="1">
        <f>[1]Results!W1373</f>
        <v>-2.3245253444434111</v>
      </c>
      <c r="U13" s="1">
        <f>[1]Results!X1373</f>
        <v>-2.331191070202447</v>
      </c>
      <c r="V13" s="1">
        <f>[1]Results!Y1373</f>
        <v>-2.3371268629135593</v>
      </c>
      <c r="W13" s="1">
        <f>[1]Results!Z1373</f>
        <v>-2.3435877203243765</v>
      </c>
      <c r="X13" s="1">
        <f>[1]Results!AA1373</f>
        <v>-2.3489293727407983</v>
      </c>
      <c r="Y13" s="1">
        <f>[1]Results!AB1373</f>
        <v>-2.3547634588001807</v>
      </c>
      <c r="Z13" s="1">
        <f>[1]Results!AC1373</f>
        <v>-2.3614768713638243</v>
      </c>
      <c r="AA13" s="1">
        <f>[1]Results!AD1373</f>
        <v>-2.369332411515507</v>
      </c>
      <c r="AB13" s="1">
        <f>[1]Results!AE1373</f>
        <v>-2.3806111620623742</v>
      </c>
      <c r="AC13" s="1">
        <f>[1]Results!AF1373</f>
        <v>-2.3904390693160176</v>
      </c>
      <c r="AD13" s="1">
        <f>[1]Results!AG1373</f>
        <v>-2.4005883826356498</v>
      </c>
      <c r="AE13" s="1">
        <f>[1]Results!AH1373</f>
        <v>-2.4113245358933586</v>
      </c>
      <c r="AF13" s="1">
        <f>[1]Results!AI1373</f>
        <v>-2.4228403832142273</v>
      </c>
      <c r="AG13" s="1">
        <f>[1]Results!AJ1373</f>
        <v>-2.4352272864505911</v>
      </c>
      <c r="AH13" s="1">
        <f>[1]Results!AK1373</f>
        <v>-2.4483015178345875</v>
      </c>
      <c r="AI13" s="1">
        <f>[1]Results!AL1373</f>
        <v>-2.4620225618505471</v>
      </c>
      <c r="AJ13" s="1">
        <f>[1]Results!AM1373</f>
        <v>-2.4763783263911621</v>
      </c>
      <c r="AK13" s="1">
        <f>[1]Results!AN1373</f>
        <v>-2.491348071738233</v>
      </c>
      <c r="AL13" s="1">
        <f>[1]Results!AO1373</f>
        <v>-2.5068989361353848</v>
      </c>
      <c r="AM13" s="1">
        <f>[1]Results!AP1373</f>
        <v>-2.521764343575541</v>
      </c>
      <c r="AN13" s="1">
        <f>[1]Results!AQ1373</f>
        <v>-2.5351098201643061</v>
      </c>
      <c r="AO13" s="1">
        <f>[1]Results!AR1373</f>
        <v>-2.5472986296585471</v>
      </c>
      <c r="AP13" s="1">
        <f>[1]Results!AS1373</f>
        <v>-2.5587580079795615</v>
      </c>
      <c r="AQ13" s="1">
        <f>[1]Results!AT1373</f>
        <v>-2.5698437764214175</v>
      </c>
      <c r="AR13" s="1">
        <f>[1]Results!AU1373</f>
        <v>-2.5805799495956143</v>
      </c>
      <c r="AS13" s="1">
        <f>[1]Results!AV1373</f>
        <v>-2.591180599922168</v>
      </c>
      <c r="AT13" s="1">
        <f>[1]Results!AW1373</f>
        <v>-2.6018880903716899</v>
      </c>
      <c r="AU13" s="1">
        <f>[1]Results!AX1373</f>
        <v>-2.6129146175405018</v>
      </c>
      <c r="AV13" s="1">
        <f>[1]Results!AY1373</f>
        <v>-2.6244318509075804</v>
      </c>
      <c r="AW13" s="1">
        <f>[1]Results!AZ1373</f>
        <v>-2.6357320722211943</v>
      </c>
      <c r="AX13" s="1">
        <f>[1]Results!BA1373</f>
        <v>-2.6469856839880133</v>
      </c>
      <c r="AY13" s="1">
        <f>[1]Results!BB1373</f>
        <v>-2.6584951774366337</v>
      </c>
      <c r="AZ13" s="1">
        <f>[1]Results!BC1373</f>
        <v>-2.6705202022743784</v>
      </c>
      <c r="BA13" s="1">
        <f>[1]Results!BD1373</f>
        <v>-2.6832294853230638</v>
      </c>
      <c r="BB13" s="1">
        <f>[1]Results!BE1373</f>
        <v>-2.6962395628441849</v>
      </c>
      <c r="BC13" s="1">
        <f>[1]Results!BF1373</f>
        <v>-2.7096156551054786</v>
      </c>
      <c r="BD13" s="1">
        <f>[1]Results!BG1373</f>
        <v>-2.7235313580793497</v>
      </c>
      <c r="BE13" s="1">
        <f>[1]Results!BH1373</f>
        <v>-2.7381370855440972</v>
      </c>
      <c r="BF13" s="1">
        <f>[1]Results!BI1373</f>
        <v>-2.7535326360116694</v>
      </c>
    </row>
    <row r="14" spans="1:58" x14ac:dyDescent="0.35">
      <c r="A14" s="3" t="str">
        <f>[1]Results!E1374</f>
        <v>100*((I_2+CH_ccon_2-(I_0+CH_ccon_0))/GDP_0)</v>
      </c>
      <c r="B14" t="s">
        <v>21</v>
      </c>
      <c r="C14" s="1">
        <f>[1]Results!F1374</f>
        <v>-0.26042173667366086</v>
      </c>
      <c r="D14" s="1">
        <f>[1]Results!G1374</f>
        <v>-0.43044802397106169</v>
      </c>
      <c r="E14" s="1">
        <f>[1]Results!H1374</f>
        <v>-0.55038334711803316</v>
      </c>
      <c r="F14" s="1">
        <f>[1]Results!I1374</f>
        <v>-0.64603755127565243</v>
      </c>
      <c r="G14" s="1">
        <f>[1]Results!J1374</f>
        <v>-0.72938033372791167</v>
      </c>
      <c r="H14" s="1">
        <f>[1]Results!K1374</f>
        <v>-0.8057652439868479</v>
      </c>
      <c r="I14" s="1">
        <f>[1]Results!L1374</f>
        <v>-0.8780497883775098</v>
      </c>
      <c r="J14" s="1">
        <f>[1]Results!M1374</f>
        <v>-0.94693217071562841</v>
      </c>
      <c r="K14" s="1">
        <f>[1]Results!N1374</f>
        <v>-1.0130159866268353</v>
      </c>
      <c r="L14" s="1">
        <f>[1]Results!O1374</f>
        <v>-1.0767700380886802</v>
      </c>
      <c r="M14" s="1">
        <f>[1]Results!P1374</f>
        <v>-1.1380430209923302</v>
      </c>
      <c r="N14" s="1">
        <f>[1]Results!Q1374</f>
        <v>-1.1993889689758093</v>
      </c>
      <c r="O14" s="1">
        <f>[1]Results!R1374</f>
        <v>-1.2598551956956023</v>
      </c>
      <c r="P14" s="1">
        <f>[1]Results!S1374</f>
        <v>-1.3193410846041986</v>
      </c>
      <c r="Q14" s="1">
        <f>[1]Results!T1374</f>
        <v>-1.3777534134600926</v>
      </c>
      <c r="R14" s="1">
        <f>[1]Results!U1374</f>
        <v>-1.4349914683838316</v>
      </c>
      <c r="S14" s="1">
        <f>[1]Results!V1374</f>
        <v>-1.491840812704502</v>
      </c>
      <c r="T14" s="1">
        <f>[1]Results!W1374</f>
        <v>-1.5478127579663694</v>
      </c>
      <c r="U14" s="1">
        <f>[1]Results!X1374</f>
        <v>-1.6025885030110008</v>
      </c>
      <c r="V14" s="1">
        <f>[1]Results!Y1374</f>
        <v>-1.655968306750363</v>
      </c>
      <c r="W14" s="1">
        <f>[1]Results!Z1374</f>
        <v>-1.7083667870119592</v>
      </c>
      <c r="X14" s="1">
        <f>[1]Results!AA1374</f>
        <v>-1.7584130238394002</v>
      </c>
      <c r="Y14" s="1">
        <f>[1]Results!AB1374</f>
        <v>-1.8067883750167886</v>
      </c>
      <c r="Z14" s="1">
        <f>[1]Results!AC1374</f>
        <v>-1.8534270378599722</v>
      </c>
      <c r="AA14" s="1">
        <f>[1]Results!AD1374</f>
        <v>-1.8982941214585447</v>
      </c>
      <c r="AB14" s="1">
        <f>[1]Results!AE1374</f>
        <v>-1.9430257288609754</v>
      </c>
      <c r="AC14" s="1">
        <f>[1]Results!AF1374</f>
        <v>-1.9842016834627267</v>
      </c>
      <c r="AD14" s="1">
        <f>[1]Results!AG1374</f>
        <v>-2.0231817314282727</v>
      </c>
      <c r="AE14" s="1">
        <f>[1]Results!AH1374</f>
        <v>-2.0599921721143564</v>
      </c>
      <c r="AF14" s="1">
        <f>[1]Results!AI1374</f>
        <v>-2.0946588741775787</v>
      </c>
      <c r="AG14" s="1">
        <f>[1]Results!AJ1374</f>
        <v>-2.1272036622532586</v>
      </c>
      <c r="AH14" s="1">
        <f>[1]Results!AK1374</f>
        <v>-2.1574783334206886</v>
      </c>
      <c r="AI14" s="1">
        <f>[1]Results!AL1374</f>
        <v>-2.1855690580030753</v>
      </c>
      <c r="AJ14" s="1">
        <f>[1]Results!AM1374</f>
        <v>-2.2115431194973412</v>
      </c>
      <c r="AK14" s="1">
        <f>[1]Results!AN1374</f>
        <v>-2.2354570488716528</v>
      </c>
      <c r="AL14" s="1">
        <f>[1]Results!AO1374</f>
        <v>-2.2573647816739593</v>
      </c>
      <c r="AM14" s="1">
        <f>[1]Results!AP1374</f>
        <v>-2.2763167247012257</v>
      </c>
      <c r="AN14" s="1">
        <f>[1]Results!AQ1374</f>
        <v>-2.2923688225937688</v>
      </c>
      <c r="AO14" s="1">
        <f>[1]Results!AR1374</f>
        <v>-2.3059544096672822</v>
      </c>
      <c r="AP14" s="1">
        <f>[1]Results!AS1374</f>
        <v>-2.3173535109108174</v>
      </c>
      <c r="AQ14" s="1">
        <f>[1]Results!AT1374</f>
        <v>-2.3267663321415974</v>
      </c>
      <c r="AR14" s="1">
        <f>[1]Results!AU1374</f>
        <v>-2.3341347399192411</v>
      </c>
      <c r="AS14" s="1">
        <f>[1]Results!AV1374</f>
        <v>-2.3396677013554816</v>
      </c>
      <c r="AT14" s="1">
        <f>[1]Results!AW1374</f>
        <v>-2.3435401125190323</v>
      </c>
      <c r="AU14" s="1">
        <f>[1]Results!AX1374</f>
        <v>-2.3459047206340147</v>
      </c>
      <c r="AV14" s="1">
        <f>[1]Results!AY1374</f>
        <v>-2.3469030361174243</v>
      </c>
      <c r="AW14" s="1">
        <f>[1]Results!AZ1374</f>
        <v>-2.3459553152913188</v>
      </c>
      <c r="AX14" s="1">
        <f>[1]Results!BA1374</f>
        <v>-2.3434852220340097</v>
      </c>
      <c r="AY14" s="1">
        <f>[1]Results!BB1374</f>
        <v>-2.3397986283220136</v>
      </c>
      <c r="AZ14" s="1">
        <f>[1]Results!BC1374</f>
        <v>-2.3351279759257983</v>
      </c>
      <c r="BA14" s="1">
        <f>[1]Results!BD1374</f>
        <v>-2.3296567555621928</v>
      </c>
      <c r="BB14" s="1">
        <f>[1]Results!BE1374</f>
        <v>-2.3231293828665369</v>
      </c>
      <c r="BC14" s="1">
        <f>[1]Results!BF1374</f>
        <v>-2.3158186419431868</v>
      </c>
      <c r="BD14" s="1">
        <f>[1]Results!BG1374</f>
        <v>-2.3079483885342178</v>
      </c>
      <c r="BE14" s="1">
        <f>[1]Results!BH1374</f>
        <v>-2.2997001339843703</v>
      </c>
      <c r="BF14" s="1">
        <f>[1]Results!BI1374</f>
        <v>-2.2912246901542801</v>
      </c>
    </row>
    <row r="15" spans="1:58" x14ac:dyDescent="0.35">
      <c r="A15" s="3" t="str">
        <f>[1]Results!E1375</f>
        <v>100*((I_2-IA_spub_2-(I_0-IA_spub_0))/GDP_0)</v>
      </c>
      <c r="B15" t="str">
        <f>[1]Results!C1375</f>
        <v>Investissement entreprises</v>
      </c>
      <c r="C15" s="1">
        <f>[1]Results!F1375</f>
        <v>-0.2523630262873694</v>
      </c>
      <c r="D15" s="1">
        <f>[1]Results!G1375</f>
        <v>-0.41601576410749597</v>
      </c>
      <c r="E15" s="1">
        <f>[1]Results!H1375</f>
        <v>-0.53137841237137207</v>
      </c>
      <c r="F15" s="1">
        <f>[1]Results!I1375</f>
        <v>-0.62338989195837513</v>
      </c>
      <c r="G15" s="1">
        <f>[1]Results!J1375</f>
        <v>-0.70343039344685265</v>
      </c>
      <c r="H15" s="1">
        <f>[1]Results!K1375</f>
        <v>-0.77663226882847569</v>
      </c>
      <c r="I15" s="1">
        <f>[1]Results!L1375</f>
        <v>-0.84580816486896582</v>
      </c>
      <c r="J15" s="1">
        <f>[1]Results!M1375</f>
        <v>-0.91170544166643741</v>
      </c>
      <c r="K15" s="1">
        <f>[1]Results!N1375</f>
        <v>-0.97495254393374586</v>
      </c>
      <c r="L15" s="1">
        <f>[1]Results!O1375</f>
        <v>-1.0360242831522721</v>
      </c>
      <c r="M15" s="1">
        <f>[1]Results!P1375</f>
        <v>-1.0947884441321831</v>
      </c>
      <c r="N15" s="1">
        <f>[1]Results!Q1375</f>
        <v>-1.1537001481184219</v>
      </c>
      <c r="O15" s="1">
        <f>[1]Results!R1375</f>
        <v>-1.2118455073473833</v>
      </c>
      <c r="P15" s="1">
        <f>[1]Results!S1375</f>
        <v>-1.2691324070619756</v>
      </c>
      <c r="Q15" s="1">
        <f>[1]Results!T1375</f>
        <v>-1.3254733448627463</v>
      </c>
      <c r="R15" s="1">
        <f>[1]Results!U1375</f>
        <v>-1.3807699673496572</v>
      </c>
      <c r="S15" s="1">
        <f>[1]Results!V1375</f>
        <v>-1.4357799883300029</v>
      </c>
      <c r="T15" s="1">
        <f>[1]Results!W1375</f>
        <v>-1.4900169446210376</v>
      </c>
      <c r="U15" s="1">
        <f>[1]Results!X1375</f>
        <v>-1.5431637654945545</v>
      </c>
      <c r="V15" s="1">
        <f>[1]Results!Y1375</f>
        <v>-1.5950175143672161</v>
      </c>
      <c r="W15" s="1">
        <f>[1]Results!Z1375</f>
        <v>-1.645966586100631</v>
      </c>
      <c r="X15" s="1">
        <f>[1]Results!AA1375</f>
        <v>-1.6946776495209623</v>
      </c>
      <c r="Y15" s="1">
        <f>[1]Results!AB1375</f>
        <v>-1.7417905814638288</v>
      </c>
      <c r="Z15" s="1">
        <f>[1]Results!AC1375</f>
        <v>-1.7872278805545581</v>
      </c>
      <c r="AA15" s="1">
        <f>[1]Results!AD1375</f>
        <v>-1.8309443743821425</v>
      </c>
      <c r="AB15" s="1">
        <f>[1]Results!AE1375</f>
        <v>-1.8745159460859842</v>
      </c>
      <c r="AC15" s="1">
        <f>[1]Results!AF1375</f>
        <v>-1.9146346596781205</v>
      </c>
      <c r="AD15" s="1">
        <f>[1]Results!AG1375</f>
        <v>-1.952602890531463</v>
      </c>
      <c r="AE15" s="1">
        <f>[1]Results!AH1375</f>
        <v>-1.9884339678915526</v>
      </c>
      <c r="AF15" s="1">
        <f>[1]Results!AI1375</f>
        <v>-2.0221432315112029</v>
      </c>
      <c r="AG15" s="1">
        <f>[1]Results!AJ1375</f>
        <v>-2.0537456394821638</v>
      </c>
      <c r="AH15" s="1">
        <f>[1]Results!AK1375</f>
        <v>-2.0830945854158109</v>
      </c>
      <c r="AI15" s="1">
        <f>[1]Results!AL1375</f>
        <v>-2.1102726110480283</v>
      </c>
      <c r="AJ15" s="1">
        <f>[1]Results!AM1375</f>
        <v>-2.135343287777963</v>
      </c>
      <c r="AK15" s="1">
        <f>[1]Results!AN1375</f>
        <v>-2.1583603100135349</v>
      </c>
      <c r="AL15" s="1">
        <f>[1]Results!AO1375</f>
        <v>-2.1793756762646264</v>
      </c>
      <c r="AM15" s="1">
        <f>[1]Results!AP1375</f>
        <v>-2.1974769931681593</v>
      </c>
      <c r="AN15" s="1">
        <f>[1]Results!AQ1375</f>
        <v>-2.2127290504012098</v>
      </c>
      <c r="AO15" s="1">
        <f>[1]Results!AR1375</f>
        <v>-2.2255451411057514</v>
      </c>
      <c r="AP15" s="1">
        <f>[1]Results!AS1375</f>
        <v>-2.2361898445942607</v>
      </c>
      <c r="AQ15" s="1">
        <f>[1]Results!AT1375</f>
        <v>-2.2448548087755524</v>
      </c>
      <c r="AR15" s="1">
        <f>[1]Results!AU1375</f>
        <v>-2.2514865632334353</v>
      </c>
      <c r="AS15" s="1">
        <f>[1]Results!AV1375</f>
        <v>-2.2562925878524731</v>
      </c>
      <c r="AT15" s="1">
        <f>[1]Results!AW1375</f>
        <v>-2.2594459474965016</v>
      </c>
      <c r="AU15" s="1">
        <f>[1]Results!AX1375</f>
        <v>-2.2610983404060612</v>
      </c>
      <c r="AV15" s="1">
        <f>[1]Results!AY1375</f>
        <v>-2.2613908261283533</v>
      </c>
      <c r="AW15" s="1">
        <f>[1]Results!AZ1375</f>
        <v>-2.2597689388908835</v>
      </c>
      <c r="AX15" s="1">
        <f>[1]Results!BA1375</f>
        <v>-2.2566472250091678</v>
      </c>
      <c r="AY15" s="1">
        <f>[1]Results!BB1375</f>
        <v>-2.2523194872860088</v>
      </c>
      <c r="AZ15" s="1">
        <f>[1]Results!BC1375</f>
        <v>-2.2470124520782719</v>
      </c>
      <c r="BA15" s="1">
        <f>[1]Results!BD1375</f>
        <v>-2.2409081047125552</v>
      </c>
      <c r="BB15" s="1">
        <f>[1]Results!BE1375</f>
        <v>-2.2337670562791372</v>
      </c>
      <c r="BC15" s="1">
        <f>[1]Results!BF1375</f>
        <v>-2.2258604414948717</v>
      </c>
      <c r="BD15" s="1">
        <f>[1]Results!BG1375</f>
        <v>-2.2174068640579674</v>
      </c>
      <c r="BE15" s="1">
        <f>[1]Results!BH1375</f>
        <v>-2.2085837229476528</v>
      </c>
      <c r="BF15" s="1">
        <f>[1]Results!BI1375</f>
        <v>-2.1995398807167921</v>
      </c>
    </row>
    <row r="16" spans="1:58" x14ac:dyDescent="0.35">
      <c r="A16" s="3" t="str">
        <f>[1]Results!E1376</f>
        <v>100*((CH_ccon_2-CH_ccon_0)/GDP_0)</v>
      </c>
      <c r="B16" t="str">
        <f>[1]Results!C1376</f>
        <v>Investissement ménages</v>
      </c>
      <c r="C16" s="1">
        <f>[1]Results!F1376</f>
        <v>-4.8163108283168655E-3</v>
      </c>
      <c r="D16" s="1">
        <f>[1]Results!G1376</f>
        <v>-9.4672718165387908E-3</v>
      </c>
      <c r="E16" s="1">
        <f>[1]Results!H1376</f>
        <v>-1.322341292117976E-2</v>
      </c>
      <c r="F16" s="1">
        <f>[1]Results!I1376</f>
        <v>-1.6309290122934417E-2</v>
      </c>
      <c r="G16" s="1">
        <f>[1]Results!J1376</f>
        <v>-1.8985612853036019E-2</v>
      </c>
      <c r="H16" s="1">
        <f>[1]Results!K1376</f>
        <v>-2.135968410356184E-2</v>
      </c>
      <c r="I16" s="1">
        <f>[1]Results!L1376</f>
        <v>-2.3460956093192382E-2</v>
      </c>
      <c r="J16" s="1">
        <f>[1]Results!M1376</f>
        <v>-2.5276337288096647E-2</v>
      </c>
      <c r="K16" s="1">
        <f>[1]Results!N1376</f>
        <v>-2.681581407605662E-2</v>
      </c>
      <c r="L16" s="1">
        <f>[1]Results!O1376</f>
        <v>-2.8102396536742832E-2</v>
      </c>
      <c r="M16" s="1">
        <f>[1]Results!P1376</f>
        <v>-2.9149126272339388E-2</v>
      </c>
      <c r="N16" s="1">
        <f>[1]Results!Q1376</f>
        <v>-3.004457894634403E-2</v>
      </c>
      <c r="O16" s="1">
        <f>[1]Results!R1376</f>
        <v>-3.079093410336977E-2</v>
      </c>
      <c r="P16" s="1">
        <f>[1]Results!S1376</f>
        <v>-3.1406443075765449E-2</v>
      </c>
      <c r="Q16" s="1">
        <f>[1]Results!T1376</f>
        <v>-3.1907987367831132E-2</v>
      </c>
      <c r="R16" s="1">
        <f>[1]Results!U1376</f>
        <v>-3.2312272694170974E-2</v>
      </c>
      <c r="S16" s="1">
        <f>[1]Results!V1376</f>
        <v>-3.26505828137807E-2</v>
      </c>
      <c r="T16" s="1">
        <f>[1]Results!W1376</f>
        <v>-3.2938996095021669E-2</v>
      </c>
      <c r="U16" s="1">
        <f>[1]Results!X1376</f>
        <v>-3.3189271119887134E-2</v>
      </c>
      <c r="V16" s="1">
        <f>[1]Results!Y1376</f>
        <v>-3.3412857153725432E-2</v>
      </c>
      <c r="W16" s="1">
        <f>[1]Results!Z1376</f>
        <v>-3.3633423234285205E-2</v>
      </c>
      <c r="X16" s="1">
        <f>[1]Results!AA1376</f>
        <v>-3.3832159924089444E-2</v>
      </c>
      <c r="Y16" s="1">
        <f>[1]Results!AB1376</f>
        <v>-3.4037332045530506E-2</v>
      </c>
      <c r="Z16" s="1">
        <f>[1]Results!AC1376</f>
        <v>-3.4258508285507659E-2</v>
      </c>
      <c r="AA16" s="1">
        <f>[1]Results!AD1376</f>
        <v>-3.4502354266272593E-2</v>
      </c>
      <c r="AB16" s="1">
        <f>[1]Results!AE1376</f>
        <v>-3.4805078758571757E-2</v>
      </c>
      <c r="AC16" s="1">
        <f>[1]Results!AF1376</f>
        <v>-3.5096431986075309E-2</v>
      </c>
      <c r="AD16" s="1">
        <f>[1]Results!AG1376</f>
        <v>-3.5404754118800709E-2</v>
      </c>
      <c r="AE16" s="1">
        <f>[1]Results!AH1376</f>
        <v>-3.573571474192358E-2</v>
      </c>
      <c r="AF16" s="1">
        <f>[1]Results!AI1376</f>
        <v>-3.6092690881057446E-2</v>
      </c>
      <c r="AG16" s="1">
        <f>[1]Results!AJ1376</f>
        <v>-3.6476261589931856E-2</v>
      </c>
      <c r="AH16" s="1">
        <f>[1]Results!AK1376</f>
        <v>-3.6882045664331613E-2</v>
      </c>
      <c r="AI16" s="1">
        <f>[1]Results!AL1376</f>
        <v>-3.7307919401067605E-2</v>
      </c>
      <c r="AJ16" s="1">
        <f>[1]Results!AM1376</f>
        <v>-3.7752297116571069E-2</v>
      </c>
      <c r="AK16" s="1">
        <f>[1]Results!AN1376</f>
        <v>-3.8213468299410927E-2</v>
      </c>
      <c r="AL16" s="1">
        <f>[1]Results!AO1376</f>
        <v>-3.8689488205563199E-2</v>
      </c>
      <c r="AM16" s="1">
        <f>[1]Results!AP1376</f>
        <v>-3.9158300148670513E-2</v>
      </c>
      <c r="AN16" s="1">
        <f>[1]Results!AQ1376</f>
        <v>-3.9607771852155131E-2</v>
      </c>
      <c r="AO16" s="1">
        <f>[1]Results!AR1376</f>
        <v>-4.0045373824632281E-2</v>
      </c>
      <c r="AP16" s="1">
        <f>[1]Results!AS1376</f>
        <v>-4.0478279430942683E-2</v>
      </c>
      <c r="AQ16" s="1">
        <f>[1]Results!AT1376</f>
        <v>-4.0910440072847477E-2</v>
      </c>
      <c r="AR16" s="1">
        <f>[1]Results!AU1376</f>
        <v>-4.1338785884687833E-2</v>
      </c>
      <c r="AS16" s="1">
        <f>[1]Results!AV1376</f>
        <v>-4.176310120209837E-2</v>
      </c>
      <c r="AT16" s="1">
        <f>[1]Results!AW1376</f>
        <v>-4.2183953514138291E-2</v>
      </c>
      <c r="AU16" s="1">
        <f>[1]Results!AX1376</f>
        <v>-4.2601862174720999E-2</v>
      </c>
      <c r="AV16" s="1">
        <f>[1]Results!AY1376</f>
        <v>-4.3017265876670839E-2</v>
      </c>
      <c r="AW16" s="1">
        <f>[1]Results!AZ1376</f>
        <v>-4.341750965561194E-2</v>
      </c>
      <c r="AX16" s="1">
        <f>[1]Results!BA1376</f>
        <v>-4.3807398492840717E-2</v>
      </c>
      <c r="AY16" s="1">
        <f>[1]Results!BB1376</f>
        <v>-4.4194163883495584E-2</v>
      </c>
      <c r="AZ16" s="1">
        <f>[1]Results!BC1376</f>
        <v>-4.4580655425026379E-2</v>
      </c>
      <c r="BA16" s="1">
        <f>[1]Results!BD1376</f>
        <v>-4.4967396158989467E-2</v>
      </c>
      <c r="BB16" s="1">
        <f>[1]Results!BE1376</f>
        <v>-4.5345742295475187E-2</v>
      </c>
      <c r="BC16" s="1">
        <f>[1]Results!BF1376</f>
        <v>-4.5715837148615671E-2</v>
      </c>
      <c r="BD16" s="1">
        <f>[1]Results!BG1376</f>
        <v>-4.6080489546872272E-2</v>
      </c>
      <c r="BE16" s="1">
        <f>[1]Results!BH1376</f>
        <v>-4.6442144186721421E-2</v>
      </c>
      <c r="BF16" s="1">
        <f>[1]Results!BI1376</f>
        <v>-4.6802034654543197E-2</v>
      </c>
    </row>
    <row r="17" spans="1:58" x14ac:dyDescent="0.35">
      <c r="A17" s="3" t="str">
        <f>[1]Results!E1377</f>
        <v>100*((IA_spub_2-IA_spub_0)/GDP_0)</v>
      </c>
      <c r="B17" t="str">
        <f>[1]Results!C1377</f>
        <v>Investissement public</v>
      </c>
      <c r="C17" s="1">
        <f>[1]Results!F1377</f>
        <v>-3.2423995579753122E-3</v>
      </c>
      <c r="D17" s="1">
        <f>[1]Results!G1377</f>
        <v>-4.9649880470290508E-3</v>
      </c>
      <c r="E17" s="1">
        <f>[1]Results!H1377</f>
        <v>-5.7815218254814466E-3</v>
      </c>
      <c r="F17" s="1">
        <f>[1]Results!I1377</f>
        <v>-6.3383691943416668E-3</v>
      </c>
      <c r="G17" s="1">
        <f>[1]Results!J1377</f>
        <v>-6.9643274280239559E-3</v>
      </c>
      <c r="H17" s="1">
        <f>[1]Results!K1377</f>
        <v>-7.7732910548098371E-3</v>
      </c>
      <c r="I17" s="1">
        <f>[1]Results!L1377</f>
        <v>-8.7806674153502531E-3</v>
      </c>
      <c r="J17" s="1">
        <f>[1]Results!M1377</f>
        <v>-9.950391761094227E-3</v>
      </c>
      <c r="K17" s="1">
        <f>[1]Results!N1377</f>
        <v>-1.1247628617034672E-2</v>
      </c>
      <c r="L17" s="1">
        <f>[1]Results!O1377</f>
        <v>-1.2643358399666734E-2</v>
      </c>
      <c r="M17" s="1">
        <f>[1]Results!P1377</f>
        <v>-1.4105450587807367E-2</v>
      </c>
      <c r="N17" s="1">
        <f>[1]Results!Q1377</f>
        <v>-1.5644241911045034E-2</v>
      </c>
      <c r="O17" s="1">
        <f>[1]Results!R1377</f>
        <v>-1.7218754244851229E-2</v>
      </c>
      <c r="P17" s="1">
        <f>[1]Results!S1377</f>
        <v>-1.8802234466453772E-2</v>
      </c>
      <c r="Q17" s="1">
        <f>[1]Results!T1377</f>
        <v>-2.0372081229517551E-2</v>
      </c>
      <c r="R17" s="1">
        <f>[1]Results!U1377</f>
        <v>-2.1909228340004541E-2</v>
      </c>
      <c r="S17" s="1">
        <f>[1]Results!V1377</f>
        <v>-2.3410241560719337E-2</v>
      </c>
      <c r="T17" s="1">
        <f>[1]Results!W1377</f>
        <v>-2.4856817250307438E-2</v>
      </c>
      <c r="U17" s="1">
        <f>[1]Results!X1377</f>
        <v>-2.6235466396562615E-2</v>
      </c>
      <c r="V17" s="1">
        <f>[1]Results!Y1377</f>
        <v>-2.7537935229425541E-2</v>
      </c>
      <c r="W17" s="1">
        <f>[1]Results!Z1377</f>
        <v>-2.8766777677042107E-2</v>
      </c>
      <c r="X17" s="1">
        <f>[1]Results!AA1377</f>
        <v>-2.9903214394347354E-2</v>
      </c>
      <c r="Y17" s="1">
        <f>[1]Results!AB1377</f>
        <v>-3.0960461507426762E-2</v>
      </c>
      <c r="Z17" s="1">
        <f>[1]Results!AC1377</f>
        <v>-3.1940649019908868E-2</v>
      </c>
      <c r="AA17" s="1">
        <f>[1]Results!AD1377</f>
        <v>-3.2847392810128176E-2</v>
      </c>
      <c r="AB17" s="1">
        <f>[1]Results!AE1377</f>
        <v>-3.3704704016417827E-2</v>
      </c>
      <c r="AC17" s="1">
        <f>[1]Results!AF1377</f>
        <v>-3.4470591798531298E-2</v>
      </c>
      <c r="AD17" s="1">
        <f>[1]Results!AG1377</f>
        <v>-3.5174086778008817E-2</v>
      </c>
      <c r="AE17" s="1">
        <f>[1]Results!AH1377</f>
        <v>-3.5822489480876185E-2</v>
      </c>
      <c r="AF17" s="1">
        <f>[1]Results!AI1377</f>
        <v>-3.6422951785314413E-2</v>
      </c>
      <c r="AG17" s="1">
        <f>[1]Results!AJ1377</f>
        <v>-3.6981761181162406E-2</v>
      </c>
      <c r="AH17" s="1">
        <f>[1]Results!AK1377</f>
        <v>-3.7501702340542502E-2</v>
      </c>
      <c r="AI17" s="1">
        <f>[1]Results!AL1377</f>
        <v>-3.7988527553977233E-2</v>
      </c>
      <c r="AJ17" s="1">
        <f>[1]Results!AM1377</f>
        <v>-3.8447534602806747E-2</v>
      </c>
      <c r="AK17" s="1">
        <f>[1]Results!AN1377</f>
        <v>-3.8883270558709562E-2</v>
      </c>
      <c r="AL17" s="1">
        <f>[1]Results!AO1377</f>
        <v>-3.9299617203766582E-2</v>
      </c>
      <c r="AM17" s="1">
        <f>[1]Results!AP1377</f>
        <v>-3.9681431384395158E-2</v>
      </c>
      <c r="AN17" s="1">
        <f>[1]Results!AQ1377</f>
        <v>-4.0032000340405417E-2</v>
      </c>
      <c r="AO17" s="1">
        <f>[1]Results!AR1377</f>
        <v>-4.0363894736900698E-2</v>
      </c>
      <c r="AP17" s="1">
        <f>[1]Results!AS1377</f>
        <v>-4.0685386885613434E-2</v>
      </c>
      <c r="AQ17" s="1">
        <f>[1]Results!AT1377</f>
        <v>-4.1001083293198327E-2</v>
      </c>
      <c r="AR17" s="1">
        <f>[1]Results!AU1377</f>
        <v>-4.1309390801118229E-2</v>
      </c>
      <c r="AS17" s="1">
        <f>[1]Results!AV1377</f>
        <v>-4.161201230090885E-2</v>
      </c>
      <c r="AT17" s="1">
        <f>[1]Results!AW1377</f>
        <v>-4.1910211508394753E-2</v>
      </c>
      <c r="AU17" s="1">
        <f>[1]Results!AX1377</f>
        <v>-4.2204518053229348E-2</v>
      </c>
      <c r="AV17" s="1">
        <f>[1]Results!AY1377</f>
        <v>-4.2494944112401116E-2</v>
      </c>
      <c r="AW17" s="1">
        <f>[1]Results!AZ1377</f>
        <v>-4.2768866744823254E-2</v>
      </c>
      <c r="AX17" s="1">
        <f>[1]Results!BA1377</f>
        <v>-4.3030598531999024E-2</v>
      </c>
      <c r="AY17" s="1">
        <f>[1]Results!BB1377</f>
        <v>-4.3284977152505753E-2</v>
      </c>
      <c r="AZ17" s="1">
        <f>[1]Results!BC1377</f>
        <v>-4.353486842249879E-2</v>
      </c>
      <c r="BA17" s="1">
        <f>[1]Results!BD1377</f>
        <v>-4.378125469065014E-2</v>
      </c>
      <c r="BB17" s="1">
        <f>[1]Results!BE1377</f>
        <v>-4.4016584291921027E-2</v>
      </c>
      <c r="BC17" s="1">
        <f>[1]Results!BF1377</f>
        <v>-4.4242363299700681E-2</v>
      </c>
      <c r="BD17" s="1">
        <f>[1]Results!BG1377</f>
        <v>-4.4461034929377488E-2</v>
      </c>
      <c r="BE17" s="1">
        <f>[1]Results!BH1377</f>
        <v>-4.4674266849998034E-2</v>
      </c>
      <c r="BF17" s="1">
        <f>[1]Results!BI1377</f>
        <v>-4.4882774782946978E-2</v>
      </c>
    </row>
    <row r="18" spans="1:58" x14ac:dyDescent="0.35">
      <c r="A18" s="3" t="str">
        <f>[1]Results!E1378</f>
        <v>100*(CH_2/CH_0-1)</v>
      </c>
      <c r="B18" t="str">
        <f>[1]Results!C1378</f>
        <v>Consommation des ménages</v>
      </c>
      <c r="C18" s="1">
        <f>[1]Results!F1378</f>
        <v>-0.5666682809290613</v>
      </c>
      <c r="D18" s="1">
        <f>[1]Results!G1378</f>
        <v>-1.2395170708021319</v>
      </c>
      <c r="E18" s="1">
        <f>[1]Results!H1378</f>
        <v>-1.8642544262781779</v>
      </c>
      <c r="F18" s="1">
        <f>[1]Results!I1378</f>
        <v>-2.3995504615482499</v>
      </c>
      <c r="G18" s="1">
        <f>[1]Results!J1378</f>
        <v>-2.8402537860907628</v>
      </c>
      <c r="H18" s="1">
        <f>[1]Results!K1378</f>
        <v>-3.1934686684805036</v>
      </c>
      <c r="I18" s="1">
        <f>[1]Results!L1378</f>
        <v>-3.4716212313782302</v>
      </c>
      <c r="J18" s="1">
        <f>[1]Results!M1378</f>
        <v>-3.6866438629216347</v>
      </c>
      <c r="K18" s="1">
        <f>[1]Results!N1378</f>
        <v>-3.8504772321023895</v>
      </c>
      <c r="L18" s="1">
        <f>[1]Results!O1378</f>
        <v>-3.9740187685502137</v>
      </c>
      <c r="M18" s="1">
        <f>[1]Results!P1378</f>
        <v>-4.0655652458283171</v>
      </c>
      <c r="N18" s="1">
        <f>[1]Results!Q1378</f>
        <v>-4.136165082254295</v>
      </c>
      <c r="O18" s="1">
        <f>[1]Results!R1378</f>
        <v>-4.1906927027379304</v>
      </c>
      <c r="P18" s="1">
        <f>[1]Results!S1378</f>
        <v>-4.2324823806411231</v>
      </c>
      <c r="Q18" s="1">
        <f>[1]Results!T1378</f>
        <v>-4.2640097134048371</v>
      </c>
      <c r="R18" s="1">
        <f>[1]Results!U1378</f>
        <v>-4.2872559870419158</v>
      </c>
      <c r="S18" s="1">
        <f>[1]Results!V1378</f>
        <v>-4.3058255049592598</v>
      </c>
      <c r="T18" s="1">
        <f>[1]Results!W1378</f>
        <v>-4.3214104001684017</v>
      </c>
      <c r="U18" s="1">
        <f>[1]Results!X1378</f>
        <v>-4.3350727829247315</v>
      </c>
      <c r="V18" s="1">
        <f>[1]Results!Y1378</f>
        <v>-4.3477140978665174</v>
      </c>
      <c r="W18" s="1">
        <f>[1]Results!Z1378</f>
        <v>-4.3607858332969318</v>
      </c>
      <c r="X18" s="1">
        <f>[1]Results!AA1378</f>
        <v>-4.3738185663958706</v>
      </c>
      <c r="Y18" s="1">
        <f>[1]Results!AB1378</f>
        <v>-4.3879140679936146</v>
      </c>
      <c r="Z18" s="1">
        <f>[1]Results!AC1378</f>
        <v>-4.403846905483122</v>
      </c>
      <c r="AA18" s="1">
        <f>[1]Results!AD1378</f>
        <v>-4.4221319679761839</v>
      </c>
      <c r="AB18" s="1">
        <f>[1]Results!AE1378</f>
        <v>-4.4446010573032435</v>
      </c>
      <c r="AC18" s="1">
        <f>[1]Results!AF1378</f>
        <v>-4.4680669332921479</v>
      </c>
      <c r="AD18" s="1">
        <f>[1]Results!AG1378</f>
        <v>-4.4928040270744258</v>
      </c>
      <c r="AE18" s="1">
        <f>[1]Results!AH1378</f>
        <v>-4.5191664124449087</v>
      </c>
      <c r="AF18" s="1">
        <f>[1]Results!AI1378</f>
        <v>-4.5473640587978315</v>
      </c>
      <c r="AG18" s="1">
        <f>[1]Results!AJ1378</f>
        <v>-4.5774479614488666</v>
      </c>
      <c r="AH18" s="1">
        <f>[1]Results!AK1378</f>
        <v>-4.6089846293164261</v>
      </c>
      <c r="AI18" s="1">
        <f>[1]Results!AL1378</f>
        <v>-4.6418356833663683</v>
      </c>
      <c r="AJ18" s="1">
        <f>[1]Results!AM1378</f>
        <v>-4.6759349599901467</v>
      </c>
      <c r="AK18" s="1">
        <f>[1]Results!AN1378</f>
        <v>-4.7112117979465573</v>
      </c>
      <c r="AL18" s="1">
        <f>[1]Results!AO1378</f>
        <v>-4.7475792498219427</v>
      </c>
      <c r="AM18" s="1">
        <f>[1]Results!AP1378</f>
        <v>-4.7820636393336224</v>
      </c>
      <c r="AN18" s="1">
        <f>[1]Results!AQ1378</f>
        <v>-4.8140887720020453</v>
      </c>
      <c r="AO18" s="1">
        <f>[1]Results!AR1378</f>
        <v>-4.8441865443023646</v>
      </c>
      <c r="AP18" s="1">
        <f>[1]Results!AS1378</f>
        <v>-4.8730411558672859</v>
      </c>
      <c r="AQ18" s="1">
        <f>[1]Results!AT1378</f>
        <v>-4.9012175121048056</v>
      </c>
      <c r="AR18" s="1">
        <f>[1]Results!AU1378</f>
        <v>-4.9286659100057477</v>
      </c>
      <c r="AS18" s="1">
        <f>[1]Results!AV1378</f>
        <v>-4.9557200638058019</v>
      </c>
      <c r="AT18" s="1">
        <f>[1]Results!AW1378</f>
        <v>-4.982789416965594</v>
      </c>
      <c r="AU18" s="1">
        <f>[1]Results!AX1378</f>
        <v>-5.0102445767623234</v>
      </c>
      <c r="AV18" s="1">
        <f>[1]Results!AY1378</f>
        <v>-5.0383936518141432</v>
      </c>
      <c r="AW18" s="1">
        <f>[1]Results!AZ1378</f>
        <v>-5.0659138803890835</v>
      </c>
      <c r="AX18" s="1">
        <f>[1]Results!BA1378</f>
        <v>-5.0930438659193005</v>
      </c>
      <c r="AY18" s="1">
        <f>[1]Results!BB1378</f>
        <v>-5.1203820065213073</v>
      </c>
      <c r="AZ18" s="1">
        <f>[1]Results!BC1378</f>
        <v>-5.148438980711834</v>
      </c>
      <c r="BA18" s="1">
        <f>[1]Results!BD1378</f>
        <v>-5.1775512587039501</v>
      </c>
      <c r="BB18" s="1">
        <f>[1]Results!BE1378</f>
        <v>-5.2069903102013093</v>
      </c>
      <c r="BC18" s="1">
        <f>[1]Results!BF1378</f>
        <v>-5.2368941014538928</v>
      </c>
      <c r="BD18" s="1">
        <f>[1]Results!BG1378</f>
        <v>-5.2676111849407903</v>
      </c>
      <c r="BE18" s="1">
        <f>[1]Results!BH1378</f>
        <v>-5.2994453125017156</v>
      </c>
      <c r="BF18" s="1">
        <f>[1]Results!BI1378</f>
        <v>-5.3326016068405258</v>
      </c>
    </row>
    <row r="19" spans="1:58" x14ac:dyDescent="0.35">
      <c r="A19" s="3" t="str">
        <f>[1]Results!E1379</f>
        <v>100*(CH_cveh_2/CH_cveh_0-1)</v>
      </c>
      <c r="B19" t="str">
        <f>[1]Results!C1379</f>
        <v>Consommation des ménages automobile</v>
      </c>
      <c r="C19" s="1">
        <f>[1]Results!F1379</f>
        <v>-9.589619816119388E-3</v>
      </c>
      <c r="D19" s="1">
        <f>[1]Results!G1379</f>
        <v>-0.83463492793885985</v>
      </c>
      <c r="E19" s="1">
        <f>[1]Results!H1379</f>
        <v>-1.7471230253297554</v>
      </c>
      <c r="F19" s="1">
        <f>[1]Results!I1379</f>
        <v>-2.443513225900118</v>
      </c>
      <c r="G19" s="1">
        <f>[1]Results!J1379</f>
        <v>-2.8907404119186464</v>
      </c>
      <c r="H19" s="1">
        <f>[1]Results!K1379</f>
        <v>-3.1331694428678225</v>
      </c>
      <c r="I19" s="1">
        <f>[1]Results!L1379</f>
        <v>-3.2318140013056773</v>
      </c>
      <c r="J19" s="1">
        <f>[1]Results!M1379</f>
        <v>-3.2368344325425347</v>
      </c>
      <c r="K19" s="1">
        <f>[1]Results!N1379</f>
        <v>-3.1873863034033278</v>
      </c>
      <c r="L19" s="1">
        <f>[1]Results!O1379</f>
        <v>-3.1108338678064396</v>
      </c>
      <c r="M19" s="1">
        <f>[1]Results!P1379</f>
        <v>-3.0222595857049339</v>
      </c>
      <c r="N19" s="1">
        <f>[1]Results!Q1379</f>
        <v>-2.9389174082958602</v>
      </c>
      <c r="O19" s="1">
        <f>[1]Results!R1379</f>
        <v>-2.8626116962220505</v>
      </c>
      <c r="P19" s="1">
        <f>[1]Results!S1379</f>
        <v>-2.7929498134022013</v>
      </c>
      <c r="Q19" s="1">
        <f>[1]Results!T1379</f>
        <v>-2.7291327833952828</v>
      </c>
      <c r="R19" s="1">
        <f>[1]Results!U1379</f>
        <v>-2.6705675358282055</v>
      </c>
      <c r="S19" s="1">
        <f>[1]Results!V1379</f>
        <v>-2.6204835912513769</v>
      </c>
      <c r="T19" s="1">
        <f>[1]Results!W1379</f>
        <v>-2.5784453387211692</v>
      </c>
      <c r="U19" s="1">
        <f>[1]Results!X1379</f>
        <v>-2.5435533600193572</v>
      </c>
      <c r="V19" s="1">
        <f>[1]Results!Y1379</f>
        <v>-2.5153382577470462</v>
      </c>
      <c r="W19" s="1">
        <f>[1]Results!Z1379</f>
        <v>-2.4947798956370448</v>
      </c>
      <c r="X19" s="1">
        <f>[1]Results!AA1379</f>
        <v>-2.4792429527749404</v>
      </c>
      <c r="Y19" s="1">
        <f>[1]Results!AB1379</f>
        <v>-2.4699278730725083</v>
      </c>
      <c r="Z19" s="1">
        <f>[1]Results!AC1379</f>
        <v>-2.4670741842676147</v>
      </c>
      <c r="AA19" s="1">
        <f>[1]Results!AD1379</f>
        <v>-2.4704386127559208</v>
      </c>
      <c r="AB19" s="1">
        <f>[1]Results!AE1379</f>
        <v>-2.4824246838340169</v>
      </c>
      <c r="AC19" s="1">
        <f>[1]Results!AF1379</f>
        <v>-2.4954547015965556</v>
      </c>
      <c r="AD19" s="1">
        <f>[1]Results!AG1379</f>
        <v>-2.5107467184354526</v>
      </c>
      <c r="AE19" s="1">
        <f>[1]Results!AH1379</f>
        <v>-2.5290795535499178</v>
      </c>
      <c r="AF19" s="1">
        <f>[1]Results!AI1379</f>
        <v>-2.5505873212942953</v>
      </c>
      <c r="AG19" s="1">
        <f>[1]Results!AJ1379</f>
        <v>-2.5750096218306928</v>
      </c>
      <c r="AH19" s="1">
        <f>[1]Results!AK1379</f>
        <v>-2.6012994334260409</v>
      </c>
      <c r="AI19" s="1">
        <f>[1]Results!AL1379</f>
        <v>-2.6291785097018572</v>
      </c>
      <c r="AJ19" s="1">
        <f>[1]Results!AM1379</f>
        <v>-2.6585853346404287</v>
      </c>
      <c r="AK19" s="1">
        <f>[1]Results!AN1379</f>
        <v>-2.6894393443311349</v>
      </c>
      <c r="AL19" s="1">
        <f>[1]Results!AO1379</f>
        <v>-2.7216307103708925</v>
      </c>
      <c r="AM19" s="1">
        <f>[1]Results!AP1379</f>
        <v>-2.7502804103079259</v>
      </c>
      <c r="AN19" s="1">
        <f>[1]Results!AQ1379</f>
        <v>-2.775375193882379</v>
      </c>
      <c r="AO19" s="1">
        <f>[1]Results!AR1379</f>
        <v>-2.7991013418748545</v>
      </c>
      <c r="AP19" s="1">
        <f>[1]Results!AS1379</f>
        <v>-2.8231122692294441</v>
      </c>
      <c r="AQ19" s="1">
        <f>[1]Results!AT1379</f>
        <v>-2.848288783385744</v>
      </c>
      <c r="AR19" s="1">
        <f>[1]Results!AU1379</f>
        <v>-2.8742701031161833</v>
      </c>
      <c r="AS19" s="1">
        <f>[1]Results!AV1379</f>
        <v>-2.9014751171230424</v>
      </c>
      <c r="AT19" s="1">
        <f>[1]Results!AW1379</f>
        <v>-2.9305068100080045</v>
      </c>
      <c r="AU19" s="1">
        <f>[1]Results!AX1379</f>
        <v>-2.9618322854033985</v>
      </c>
      <c r="AV19" s="1">
        <f>[1]Results!AY1379</f>
        <v>-2.9957784539040411</v>
      </c>
      <c r="AW19" s="1">
        <f>[1]Results!AZ1379</f>
        <v>-3.0300406310726502</v>
      </c>
      <c r="AX19" s="1">
        <f>[1]Results!BA1379</f>
        <v>-3.0653819083128253</v>
      </c>
      <c r="AY19" s="1">
        <f>[1]Results!BB1379</f>
        <v>-3.1032128884812993</v>
      </c>
      <c r="AZ19" s="1">
        <f>[1]Results!BC1379</f>
        <v>-3.1443813064702231</v>
      </c>
      <c r="BA19" s="1">
        <f>[1]Results!BD1379</f>
        <v>-3.1892261512751263</v>
      </c>
      <c r="BB19" s="1">
        <f>[1]Results!BE1379</f>
        <v>-3.2363851956424439</v>
      </c>
      <c r="BC19" s="1">
        <f>[1]Results!BF1379</f>
        <v>-3.2862185275625566</v>
      </c>
      <c r="BD19" s="1">
        <f>[1]Results!BG1379</f>
        <v>-3.3395744580502429</v>
      </c>
      <c r="BE19" s="1">
        <f>[1]Results!BH1379</f>
        <v>-3.3970399444760879</v>
      </c>
      <c r="BF19" s="1">
        <f>[1]Results!BI1379</f>
        <v>-3.4589261909338531</v>
      </c>
    </row>
    <row r="20" spans="1:58" x14ac:dyDescent="0.35">
      <c r="A20" s="3" t="str">
        <f>[1]Results!E1380</f>
        <v>100*(G_2/G_0-1)</v>
      </c>
      <c r="B20" t="str">
        <f>[1]Results!C1380</f>
        <v>Dépenses publiques</v>
      </c>
      <c r="C20" s="1">
        <f>[1]Results!F1380</f>
        <v>0</v>
      </c>
      <c r="D20" s="1">
        <f>[1]Results!G1380</f>
        <v>0</v>
      </c>
      <c r="E20" s="1">
        <f>[1]Results!H1380</f>
        <v>0</v>
      </c>
      <c r="F20" s="1">
        <f>[1]Results!I1380</f>
        <v>0</v>
      </c>
      <c r="G20" s="1">
        <f>[1]Results!J1380</f>
        <v>0</v>
      </c>
      <c r="H20" s="1">
        <f>[1]Results!K1380</f>
        <v>0</v>
      </c>
      <c r="I20" s="1">
        <f>[1]Results!L1380</f>
        <v>0</v>
      </c>
      <c r="J20" s="1">
        <f>[1]Results!M1380</f>
        <v>0</v>
      </c>
      <c r="K20" s="1">
        <f>[1]Results!N1380</f>
        <v>0</v>
      </c>
      <c r="L20" s="1">
        <f>[1]Results!O1380</f>
        <v>0</v>
      </c>
      <c r="M20" s="1">
        <f>[1]Results!P1380</f>
        <v>0</v>
      </c>
      <c r="N20" s="1">
        <f>[1]Results!Q1380</f>
        <v>0</v>
      </c>
      <c r="O20" s="1">
        <f>[1]Results!R1380</f>
        <v>0</v>
      </c>
      <c r="P20" s="1">
        <f>[1]Results!S1380</f>
        <v>0</v>
      </c>
      <c r="Q20" s="1">
        <f>[1]Results!T1380</f>
        <v>0</v>
      </c>
      <c r="R20" s="1">
        <f>[1]Results!U1380</f>
        <v>0</v>
      </c>
      <c r="S20" s="1">
        <f>[1]Results!V1380</f>
        <v>0</v>
      </c>
      <c r="T20" s="1">
        <f>[1]Results!W1380</f>
        <v>0</v>
      </c>
      <c r="U20" s="1">
        <f>[1]Results!X1380</f>
        <v>0</v>
      </c>
      <c r="V20" s="1">
        <f>[1]Results!Y1380</f>
        <v>0</v>
      </c>
      <c r="W20" s="1">
        <f>[1]Results!Z1380</f>
        <v>0</v>
      </c>
      <c r="X20" s="1">
        <f>[1]Results!AA1380</f>
        <v>0</v>
      </c>
      <c r="Y20" s="1">
        <f>[1]Results!AB1380</f>
        <v>0</v>
      </c>
      <c r="Z20" s="1">
        <f>[1]Results!AC1380</f>
        <v>0</v>
      </c>
      <c r="AA20" s="1">
        <f>[1]Results!AD1380</f>
        <v>0</v>
      </c>
      <c r="AB20" s="1">
        <f>[1]Results!AE1380</f>
        <v>0</v>
      </c>
      <c r="AC20" s="1">
        <f>[1]Results!AF1380</f>
        <v>0</v>
      </c>
      <c r="AD20" s="1">
        <f>[1]Results!AG1380</f>
        <v>0</v>
      </c>
      <c r="AE20" s="1">
        <f>[1]Results!AH1380</f>
        <v>0</v>
      </c>
      <c r="AF20" s="1">
        <f>[1]Results!AI1380</f>
        <v>0</v>
      </c>
      <c r="AG20" s="1">
        <f>[1]Results!AJ1380</f>
        <v>0</v>
      </c>
      <c r="AH20" s="1">
        <f>[1]Results!AK1380</f>
        <v>0</v>
      </c>
      <c r="AI20" s="1">
        <f>[1]Results!AL1380</f>
        <v>0</v>
      </c>
      <c r="AJ20" s="1">
        <f>[1]Results!AM1380</f>
        <v>0</v>
      </c>
      <c r="AK20" s="1">
        <f>[1]Results!AN1380</f>
        <v>0</v>
      </c>
      <c r="AL20" s="1">
        <f>[1]Results!AO1380</f>
        <v>0</v>
      </c>
      <c r="AM20" s="1">
        <f>[1]Results!AP1380</f>
        <v>0</v>
      </c>
      <c r="AN20" s="1">
        <f>[1]Results!AQ1380</f>
        <v>0</v>
      </c>
      <c r="AO20" s="1">
        <f>[1]Results!AR1380</f>
        <v>0</v>
      </c>
      <c r="AP20" s="1">
        <f>[1]Results!AS1380</f>
        <v>0</v>
      </c>
      <c r="AQ20" s="1">
        <f>[1]Results!AT1380</f>
        <v>0</v>
      </c>
      <c r="AR20" s="1">
        <f>[1]Results!AU1380</f>
        <v>0</v>
      </c>
      <c r="AS20" s="1">
        <f>[1]Results!AV1380</f>
        <v>0</v>
      </c>
      <c r="AT20" s="1">
        <f>[1]Results!AW1380</f>
        <v>0</v>
      </c>
      <c r="AU20" s="1">
        <f>[1]Results!AX1380</f>
        <v>0</v>
      </c>
      <c r="AV20" s="1">
        <f>[1]Results!AY1380</f>
        <v>0</v>
      </c>
      <c r="AW20" s="1">
        <f>[1]Results!AZ1380</f>
        <v>0</v>
      </c>
      <c r="AX20" s="1">
        <f>[1]Results!BA1380</f>
        <v>0</v>
      </c>
      <c r="AY20" s="1">
        <f>[1]Results!BB1380</f>
        <v>0</v>
      </c>
      <c r="AZ20" s="1">
        <f>[1]Results!BC1380</f>
        <v>0</v>
      </c>
      <c r="BA20" s="1">
        <f>[1]Results!BD1380</f>
        <v>0</v>
      </c>
      <c r="BB20" s="1">
        <f>[1]Results!BE1380</f>
        <v>0</v>
      </c>
      <c r="BC20" s="1">
        <f>[1]Results!BF1380</f>
        <v>0</v>
      </c>
      <c r="BD20" s="1">
        <f>[1]Results!BG1380</f>
        <v>0</v>
      </c>
      <c r="BE20" s="1">
        <f>[1]Results!BH1380</f>
        <v>0</v>
      </c>
      <c r="BF20" s="1">
        <f>[1]Results!BI1380</f>
        <v>0</v>
      </c>
    </row>
    <row r="21" spans="1:58" x14ac:dyDescent="0.35">
      <c r="A21" s="3" t="str">
        <f>[1]Results!E1381</f>
        <v>100*(I_2/I_0-1)</v>
      </c>
      <c r="B21" t="str">
        <f>[1]Results!C1381</f>
        <v>Investissement</v>
      </c>
      <c r="C21" s="1">
        <f>[1]Results!F1381</f>
        <v>-1.1886443718217343</v>
      </c>
      <c r="D21" s="1">
        <f>[1]Results!G1381</f>
        <v>-1.9563518936873026</v>
      </c>
      <c r="E21" s="1">
        <f>[1]Results!H1381</f>
        <v>-2.4949899683867183</v>
      </c>
      <c r="F21" s="1">
        <f>[1]Results!I1381</f>
        <v>-2.9231042254264983</v>
      </c>
      <c r="G21" s="1">
        <f>[1]Results!J1381</f>
        <v>-3.2953129152045069</v>
      </c>
      <c r="H21" s="1">
        <f>[1]Results!K1381</f>
        <v>-3.6360740301478844</v>
      </c>
      <c r="I21" s="1">
        <f>[1]Results!L1381</f>
        <v>-3.9573917006896497</v>
      </c>
      <c r="J21" s="1">
        <f>[1]Results!M1381</f>
        <v>-4.2638453667414371</v>
      </c>
      <c r="K21" s="1">
        <f>[1]Results!N1381</f>
        <v>-4.5579477949252318</v>
      </c>
      <c r="L21" s="1">
        <f>[1]Results!O1381</f>
        <v>-4.841564014407906</v>
      </c>
      <c r="M21" s="1">
        <f>[1]Results!P1381</f>
        <v>-5.1160829766630833</v>
      </c>
      <c r="N21" s="1">
        <f>[1]Results!Q1381</f>
        <v>-5.3872259564330172</v>
      </c>
      <c r="O21" s="1">
        <f>[1]Results!R1381</f>
        <v>-5.6538653063803785</v>
      </c>
      <c r="P21" s="1">
        <f>[1]Results!S1381</f>
        <v>-5.9151681793567557</v>
      </c>
      <c r="Q21" s="1">
        <f>[1]Results!T1381</f>
        <v>-6.1704959394451748</v>
      </c>
      <c r="R21" s="1">
        <f>[1]Results!U1381</f>
        <v>-6.4192627806056723</v>
      </c>
      <c r="S21" s="1">
        <f>[1]Results!V1381</f>
        <v>-6.6649159603186519</v>
      </c>
      <c r="T21" s="1">
        <f>[1]Results!W1381</f>
        <v>-6.9051647197495676</v>
      </c>
      <c r="U21" s="1">
        <f>[1]Results!X1381</f>
        <v>-7.1385483908612883</v>
      </c>
      <c r="V21" s="1">
        <f>[1]Results!Y1381</f>
        <v>-7.3641765398649088</v>
      </c>
      <c r="W21" s="1">
        <f>[1]Results!Z1381</f>
        <v>-7.5817079134313792</v>
      </c>
      <c r="X21" s="1">
        <f>[1]Results!AA1381</f>
        <v>-7.7903700929066737</v>
      </c>
      <c r="Y21" s="1">
        <f>[1]Results!AB1381</f>
        <v>-7.9899765031852699</v>
      </c>
      <c r="Z21" s="1">
        <f>[1]Results!AC1381</f>
        <v>-8.1805020357285869</v>
      </c>
      <c r="AA21" s="1">
        <f>[1]Results!AD1381</f>
        <v>-8.3619645880014914</v>
      </c>
      <c r="AB21" s="1">
        <f>[1]Results!AE1381</f>
        <v>-8.5349989922653524</v>
      </c>
      <c r="AC21" s="1">
        <f>[1]Results!AF1381</f>
        <v>-8.6974949650332043</v>
      </c>
      <c r="AD21" s="1">
        <f>[1]Results!AG1381</f>
        <v>-8.849994476032375</v>
      </c>
      <c r="AE21" s="1">
        <f>[1]Results!AH1381</f>
        <v>-8.9929814037892353</v>
      </c>
      <c r="AF21" s="1">
        <f>[1]Results!AI1381</f>
        <v>-9.1268286922737918</v>
      </c>
      <c r="AG21" s="1">
        <f>[1]Results!AJ1381</f>
        <v>-9.2518279940621113</v>
      </c>
      <c r="AH21" s="1">
        <f>[1]Results!AK1381</f>
        <v>-9.3674925443796191</v>
      </c>
      <c r="AI21" s="1">
        <f>[1]Results!AL1381</f>
        <v>-9.4743319840170486</v>
      </c>
      <c r="AJ21" s="1">
        <f>[1]Results!AM1381</f>
        <v>-9.5727468509920968</v>
      </c>
      <c r="AK21" s="1">
        <f>[1]Results!AN1381</f>
        <v>-9.6630743283632086</v>
      </c>
      <c r="AL21" s="1">
        <f>[1]Results!AO1381</f>
        <v>-9.7456279096932441</v>
      </c>
      <c r="AM21" s="1">
        <f>[1]Results!AP1381</f>
        <v>-9.8147701201811817</v>
      </c>
      <c r="AN21" s="1">
        <f>[1]Results!AQ1381</f>
        <v>-9.8730964018262863</v>
      </c>
      <c r="AO21" s="1">
        <f>[1]Results!AR1381</f>
        <v>-9.9223436444245685</v>
      </c>
      <c r="AP21" s="1">
        <f>[1]Results!AS1381</f>
        <v>-9.9636850775854704</v>
      </c>
      <c r="AQ21" s="1">
        <f>[1]Results!AT1381</f>
        <v>-9.9979804746867735</v>
      </c>
      <c r="AR21" s="1">
        <f>[1]Results!AU1381</f>
        <v>-10.024979468837071</v>
      </c>
      <c r="AS21" s="1">
        <f>[1]Results!AV1381</f>
        <v>-10.045566658138883</v>
      </c>
      <c r="AT21" s="1">
        <f>[1]Results!AW1381</f>
        <v>-10.060452906905859</v>
      </c>
      <c r="AU21" s="1">
        <f>[1]Results!AX1381</f>
        <v>-10.070235464632749</v>
      </c>
      <c r="AV21" s="1">
        <f>[1]Results!AY1381</f>
        <v>-10.075450495820492</v>
      </c>
      <c r="AW21" s="1">
        <f>[1]Results!AZ1381</f>
        <v>-10.073660238847904</v>
      </c>
      <c r="AX21" s="1">
        <f>[1]Results!BA1381</f>
        <v>-10.066412265521219</v>
      </c>
      <c r="AY21" s="1">
        <f>[1]Results!BB1381</f>
        <v>-10.05492683826189</v>
      </c>
      <c r="AZ21" s="1">
        <f>[1]Results!BC1381</f>
        <v>-10.040111298730558</v>
      </c>
      <c r="BA21" s="1">
        <f>[1]Results!BD1381</f>
        <v>-10.022666995468377</v>
      </c>
      <c r="BB21" s="1">
        <f>[1]Results!BE1381</f>
        <v>-10.001408805631762</v>
      </c>
      <c r="BC21" s="1">
        <f>[1]Results!BF1381</f>
        <v>-9.9774306311914529</v>
      </c>
      <c r="BD21" s="1">
        <f>[1]Results!BG1381</f>
        <v>-9.9516043804049215</v>
      </c>
      <c r="BE21" s="1">
        <f>[1]Results!BH1381</f>
        <v>-9.9246223826747642</v>
      </c>
      <c r="BF21" s="1">
        <f>[1]Results!BI1381</f>
        <v>-9.8970523505787504</v>
      </c>
    </row>
    <row r="22" spans="1:58" x14ac:dyDescent="0.35">
      <c r="A22" s="3" t="str">
        <f>[1]Results!E1382</f>
        <v>100*((I_2-IA_spub_2)/(I_0-IA_spub_0)-1)</v>
      </c>
      <c r="B22" t="str">
        <f>[1]Results!C1382</f>
        <v>Investissement entreprises</v>
      </c>
      <c r="C22" s="1">
        <f>[1]Results!F1382</f>
        <v>-1.2806660673623682</v>
      </c>
      <c r="D22" s="1">
        <f>[1]Results!G1382</f>
        <v>-2.1099584527060178</v>
      </c>
      <c r="E22" s="1">
        <f>[1]Results!H1382</f>
        <v>-2.6940542390544664</v>
      </c>
      <c r="F22" s="1">
        <f>[1]Results!I1382</f>
        <v>-3.1589028494536486</v>
      </c>
      <c r="G22" s="1">
        <f>[1]Results!J1382</f>
        <v>-3.5623649931537105</v>
      </c>
      <c r="H22" s="1">
        <f>[1]Results!K1382</f>
        <v>-3.9305170140212953</v>
      </c>
      <c r="I22" s="1">
        <f>[1]Results!L1382</f>
        <v>-4.2762932239472029</v>
      </c>
      <c r="J22" s="1">
        <f>[1]Results!M1382</f>
        <v>-4.6049291315689134</v>
      </c>
      <c r="K22" s="1">
        <f>[1]Results!N1382</f>
        <v>-4.9193651734645405</v>
      </c>
      <c r="L22" s="1">
        <f>[1]Results!O1382</f>
        <v>-5.2217891296848729</v>
      </c>
      <c r="M22" s="1">
        <f>[1]Results!P1382</f>
        <v>-5.5140176361087256</v>
      </c>
      <c r="N22" s="1">
        <f>[1]Results!Q1382</f>
        <v>-5.8019637349635218</v>
      </c>
      <c r="O22" s="1">
        <f>[1]Results!R1382</f>
        <v>-6.0847015583389785</v>
      </c>
      <c r="P22" s="1">
        <f>[1]Results!S1382</f>
        <v>-6.3615117515098962</v>
      </c>
      <c r="Q22" s="1">
        <f>[1]Results!T1382</f>
        <v>-6.631831006149957</v>
      </c>
      <c r="R22" s="1">
        <f>[1]Results!U1382</f>
        <v>-6.8951246281472311</v>
      </c>
      <c r="S22" s="1">
        <f>[1]Results!V1382</f>
        <v>-7.1551759268146942</v>
      </c>
      <c r="T22" s="1">
        <f>[1]Results!W1382</f>
        <v>-7.4095786646893309</v>
      </c>
      <c r="U22" s="1">
        <f>[1]Results!X1382</f>
        <v>-7.6568072363755064</v>
      </c>
      <c r="V22" s="1">
        <f>[1]Results!Y1382</f>
        <v>-7.8959313198116554</v>
      </c>
      <c r="W22" s="1">
        <f>[1]Results!Z1382</f>
        <v>-8.1264483176691442</v>
      </c>
      <c r="X22" s="1">
        <f>[1]Results!AA1382</f>
        <v>-8.3478521342935768</v>
      </c>
      <c r="Y22" s="1">
        <f>[1]Results!AB1382</f>
        <v>-8.5597974932476557</v>
      </c>
      <c r="Z22" s="1">
        <f>[1]Results!AC1382</f>
        <v>-8.7621992133757658</v>
      </c>
      <c r="AA22" s="1">
        <f>[1]Results!AD1382</f>
        <v>-8.9550470830116797</v>
      </c>
      <c r="AB22" s="1">
        <f>[1]Results!AE1382</f>
        <v>-9.1385630787569454</v>
      </c>
      <c r="AC22" s="1">
        <f>[1]Results!AF1382</f>
        <v>-9.3112184331890724</v>
      </c>
      <c r="AD22" s="1">
        <f>[1]Results!AG1382</f>
        <v>-9.4734174799509514</v>
      </c>
      <c r="AE22" s="1">
        <f>[1]Results!AH1382</f>
        <v>-9.6255871099513275</v>
      </c>
      <c r="AF22" s="1">
        <f>[1]Results!AI1382</f>
        <v>-9.7680738060399221</v>
      </c>
      <c r="AG22" s="1">
        <f>[1]Results!AJ1382</f>
        <v>-9.9011536931015502</v>
      </c>
      <c r="AH22" s="1">
        <f>[1]Results!AK1382</f>
        <v>-10.024278112531281</v>
      </c>
      <c r="AI22" s="1">
        <f>[1]Results!AL1382</f>
        <v>-10.137973495484975</v>
      </c>
      <c r="AJ22" s="1">
        <f>[1]Results!AM1382</f>
        <v>-10.242652286538224</v>
      </c>
      <c r="AK22" s="1">
        <f>[1]Results!AN1382</f>
        <v>-10.338663479068778</v>
      </c>
      <c r="AL22" s="1">
        <f>[1]Results!AO1382</f>
        <v>-10.426334754140232</v>
      </c>
      <c r="AM22" s="1">
        <f>[1]Results!AP1382</f>
        <v>-10.499520070924873</v>
      </c>
      <c r="AN22" s="1">
        <f>[1]Results!AQ1382</f>
        <v>-10.561127457473884</v>
      </c>
      <c r="AO22" s="1">
        <f>[1]Results!AR1382</f>
        <v>-10.613029777658333</v>
      </c>
      <c r="AP22" s="1">
        <f>[1]Results!AS1382</f>
        <v>-10.656471637797893</v>
      </c>
      <c r="AQ22" s="1">
        <f>[1]Results!AT1382</f>
        <v>-10.69236435781602</v>
      </c>
      <c r="AR22" s="1">
        <f>[1]Results!AU1382</f>
        <v>-10.720437758769618</v>
      </c>
      <c r="AS22" s="1">
        <f>[1]Results!AV1382</f>
        <v>-10.741641830898141</v>
      </c>
      <c r="AT22" s="1">
        <f>[1]Results!AW1382</f>
        <v>-10.756739900476219</v>
      </c>
      <c r="AU22" s="1">
        <f>[1]Results!AX1382</f>
        <v>-10.766375550361795</v>
      </c>
      <c r="AV22" s="1">
        <f>[1]Results!AY1382</f>
        <v>-10.771128682249842</v>
      </c>
      <c r="AW22" s="1">
        <f>[1]Results!AZ1382</f>
        <v>-10.768407129777213</v>
      </c>
      <c r="AX22" s="1">
        <f>[1]Results!BA1382</f>
        <v>-10.759864462001833</v>
      </c>
      <c r="AY22" s="1">
        <f>[1]Results!BB1382</f>
        <v>-10.746799698723763</v>
      </c>
      <c r="AZ22" s="1">
        <f>[1]Results!BC1382</f>
        <v>-10.730183235235447</v>
      </c>
      <c r="BA22" s="1">
        <f>[1]Results!BD1382</f>
        <v>-10.710770661930269</v>
      </c>
      <c r="BB22" s="1">
        <f>[1]Results!BE1382</f>
        <v>-10.687302771512087</v>
      </c>
      <c r="BC22" s="1">
        <f>[1]Results!BF1382</f>
        <v>-10.660959655637514</v>
      </c>
      <c r="BD22" s="1">
        <f>[1]Results!BG1382</f>
        <v>-10.632674886220794</v>
      </c>
      <c r="BE22" s="1">
        <f>[1]Results!BH1382</f>
        <v>-10.603189921356593</v>
      </c>
      <c r="BF22" s="1">
        <f>[1]Results!BI1382</f>
        <v>-10.573114908605486</v>
      </c>
    </row>
    <row r="23" spans="1:58" x14ac:dyDescent="0.35">
      <c r="A23" s="3" t="str">
        <f>[1]Results!E1383</f>
        <v>100*(X_2/X_0-1)</v>
      </c>
      <c r="B23" t="s">
        <v>22</v>
      </c>
      <c r="C23" s="1">
        <f>[1]Results!F1383</f>
        <v>-6.0774364449199698</v>
      </c>
      <c r="D23" s="1">
        <f>[1]Results!G1383</f>
        <v>-6.3378218018381505</v>
      </c>
      <c r="E23" s="1">
        <f>[1]Results!H1383</f>
        <v>-6.5433521659517986</v>
      </c>
      <c r="F23" s="1">
        <f>[1]Results!I1383</f>
        <v>-6.7147829045742231</v>
      </c>
      <c r="G23" s="1">
        <f>[1]Results!J1383</f>
        <v>-6.8672974882983855</v>
      </c>
      <c r="H23" s="1">
        <f>[1]Results!K1383</f>
        <v>-7.0109129140240256</v>
      </c>
      <c r="I23" s="1">
        <f>[1]Results!L1383</f>
        <v>-7.1581300441136868</v>
      </c>
      <c r="J23" s="1">
        <f>[1]Results!M1383</f>
        <v>-7.3067805067122631</v>
      </c>
      <c r="K23" s="1">
        <f>[1]Results!N1383</f>
        <v>-7.4599681034119403</v>
      </c>
      <c r="L23" s="1">
        <f>[1]Results!O1383</f>
        <v>-7.620104277531869</v>
      </c>
      <c r="M23" s="1">
        <f>[1]Results!P1383</f>
        <v>-7.789101863836267</v>
      </c>
      <c r="N23" s="1">
        <f>[1]Results!Q1383</f>
        <v>-7.990522463082117</v>
      </c>
      <c r="O23" s="1">
        <f>[1]Results!R1383</f>
        <v>-8.2015619177199675</v>
      </c>
      <c r="P23" s="1">
        <f>[1]Results!S1383</f>
        <v>-8.4223640793467567</v>
      </c>
      <c r="Q23" s="1">
        <f>[1]Results!T1383</f>
        <v>-8.6526731017209535</v>
      </c>
      <c r="R23" s="1">
        <f>[1]Results!U1383</f>
        <v>-8.8918988117633546</v>
      </c>
      <c r="S23" s="1">
        <f>[1]Results!V1383</f>
        <v>-9.1597736628802657</v>
      </c>
      <c r="T23" s="1">
        <f>[1]Results!W1383</f>
        <v>-9.4335212953185472</v>
      </c>
      <c r="U23" s="1">
        <f>[1]Results!X1383</f>
        <v>-9.7119213125226871</v>
      </c>
      <c r="V23" s="1">
        <f>[1]Results!Y1383</f>
        <v>-9.9937488614505803</v>
      </c>
      <c r="W23" s="1">
        <f>[1]Results!Z1383</f>
        <v>-10.277778234895829</v>
      </c>
      <c r="X23" s="1">
        <f>[1]Results!AA1383</f>
        <v>-10.562017712706339</v>
      </c>
      <c r="Y23" s="1">
        <f>[1]Results!AB1383</f>
        <v>-10.84635801256516</v>
      </c>
      <c r="Z23" s="1">
        <f>[1]Results!AC1383</f>
        <v>-11.129874950786157</v>
      </c>
      <c r="AA23" s="1">
        <f>[1]Results!AD1383</f>
        <v>-11.411738488396949</v>
      </c>
      <c r="AB23" s="1">
        <f>[1]Results!AE1383</f>
        <v>-11.691124717655265</v>
      </c>
      <c r="AC23" s="1">
        <f>[1]Results!AF1383</f>
        <v>-11.958422301314453</v>
      </c>
      <c r="AD23" s="1">
        <f>[1]Results!AG1383</f>
        <v>-12.222483812135977</v>
      </c>
      <c r="AE23" s="1">
        <f>[1]Results!AH1383</f>
        <v>-12.482985999844887</v>
      </c>
      <c r="AF23" s="1">
        <f>[1]Results!AI1383</f>
        <v>-12.739699287785777</v>
      </c>
      <c r="AG23" s="1">
        <f>[1]Results!AJ1383</f>
        <v>-12.992463183767654</v>
      </c>
      <c r="AH23" s="1">
        <f>[1]Results!AK1383</f>
        <v>-13.23744327038966</v>
      </c>
      <c r="AI23" s="1">
        <f>[1]Results!AL1383</f>
        <v>-13.478456769449876</v>
      </c>
      <c r="AJ23" s="1">
        <f>[1]Results!AM1383</f>
        <v>-13.715509702936002</v>
      </c>
      <c r="AK23" s="1">
        <f>[1]Results!AN1383</f>
        <v>-13.948643707995267</v>
      </c>
      <c r="AL23" s="1">
        <f>[1]Results!AO1383</f>
        <v>-14.177929654410937</v>
      </c>
      <c r="AM23" s="1">
        <f>[1]Results!AP1383</f>
        <v>-14.372946268700327</v>
      </c>
      <c r="AN23" s="1">
        <f>[1]Results!AQ1383</f>
        <v>-14.565223583863386</v>
      </c>
      <c r="AO23" s="1">
        <f>[1]Results!AR1383</f>
        <v>-14.755033029647979</v>
      </c>
      <c r="AP23" s="1">
        <f>[1]Results!AS1383</f>
        <v>-14.942639189563423</v>
      </c>
      <c r="AQ23" s="1">
        <f>[1]Results!AT1383</f>
        <v>-15.128260934807347</v>
      </c>
      <c r="AR23" s="1">
        <f>[1]Results!AU1383</f>
        <v>-15.307482565779384</v>
      </c>
      <c r="AS23" s="1">
        <f>[1]Results!AV1383</f>
        <v>-15.485098750037185</v>
      </c>
      <c r="AT23" s="1">
        <f>[1]Results!AW1383</f>
        <v>-15.661196711891945</v>
      </c>
      <c r="AU23" s="1">
        <f>[1]Results!AX1383</f>
        <v>-15.835827167883165</v>
      </c>
      <c r="AV23" s="1">
        <f>[1]Results!AY1383</f>
        <v>-16.00900682295795</v>
      </c>
      <c r="AW23" s="1">
        <f>[1]Results!AZ1383</f>
        <v>-16.166229813664934</v>
      </c>
      <c r="AX23" s="1">
        <f>[1]Results!BA1383</f>
        <v>-16.322236639540133</v>
      </c>
      <c r="AY23" s="1">
        <f>[1]Results!BB1383</f>
        <v>-16.477061191458098</v>
      </c>
      <c r="AZ23" s="1">
        <f>[1]Results!BC1383</f>
        <v>-16.630722979514434</v>
      </c>
      <c r="BA23" s="1">
        <f>[1]Results!BD1383</f>
        <v>-16.78320948432178</v>
      </c>
      <c r="BB23" s="1">
        <f>[1]Results!BE1383</f>
        <v>-16.926016668500175</v>
      </c>
      <c r="BC23" s="1">
        <f>[1]Results!BF1383</f>
        <v>-17.067655875541977</v>
      </c>
      <c r="BD23" s="1">
        <f>[1]Results!BG1383</f>
        <v>-17.20809725280159</v>
      </c>
      <c r="BE23" s="1">
        <f>[1]Results!BH1383</f>
        <v>-17.347307982205471</v>
      </c>
      <c r="BF23" s="1">
        <f>[1]Results!BI1383</f>
        <v>-17.485240932597122</v>
      </c>
    </row>
    <row r="24" spans="1:58" x14ac:dyDescent="0.35">
      <c r="A24" s="3" t="str">
        <f>[1]Results!E1384</f>
        <v>100*(M_2/M_0-1)</v>
      </c>
      <c r="B24" t="s">
        <v>23</v>
      </c>
      <c r="C24" s="1">
        <f>[1]Results!F1384</f>
        <v>-2.0486605379585909</v>
      </c>
      <c r="D24" s="1">
        <f>[1]Results!G1384</f>
        <v>-2.7956544965377139</v>
      </c>
      <c r="E24" s="1">
        <f>[1]Results!H1384</f>
        <v>-3.3503689230467537</v>
      </c>
      <c r="F24" s="1">
        <f>[1]Results!I1384</f>
        <v>-3.8201931164259628</v>
      </c>
      <c r="G24" s="1">
        <f>[1]Results!J1384</f>
        <v>-4.2285385442301422</v>
      </c>
      <c r="H24" s="1">
        <f>[1]Results!K1384</f>
        <v>-4.586132641991858</v>
      </c>
      <c r="I24" s="1">
        <f>[1]Results!L1384</f>
        <v>-4.9034912090816452</v>
      </c>
      <c r="J24" s="1">
        <f>[1]Results!M1384</f>
        <v>-5.1862010803713998</v>
      </c>
      <c r="K24" s="1">
        <f>[1]Results!N1384</f>
        <v>-5.4402164664210106</v>
      </c>
      <c r="L24" s="1">
        <f>[1]Results!O1384</f>
        <v>-5.6707532225527046</v>
      </c>
      <c r="M24" s="1">
        <f>[1]Results!P1384</f>
        <v>-5.881807928603644</v>
      </c>
      <c r="N24" s="1">
        <f>[1]Results!Q1384</f>
        <v>-6.0844951244171552</v>
      </c>
      <c r="O24" s="1">
        <f>[1]Results!R1384</f>
        <v>-6.2756207815876763</v>
      </c>
      <c r="P24" s="1">
        <f>[1]Results!S1384</f>
        <v>-6.455856809610161</v>
      </c>
      <c r="Q24" s="1">
        <f>[1]Results!T1384</f>
        <v>-6.6261237096940757</v>
      </c>
      <c r="R24" s="1">
        <f>[1]Results!U1384</f>
        <v>-6.7873094289568003</v>
      </c>
      <c r="S24" s="1">
        <f>[1]Results!V1384</f>
        <v>-6.9473129417217949</v>
      </c>
      <c r="T24" s="1">
        <f>[1]Results!W1384</f>
        <v>-7.1016958270869512</v>
      </c>
      <c r="U24" s="1">
        <f>[1]Results!X1384</f>
        <v>-7.2503967558194997</v>
      </c>
      <c r="V24" s="1">
        <f>[1]Results!Y1384</f>
        <v>-7.3938780310830126</v>
      </c>
      <c r="W24" s="1">
        <f>[1]Results!Z1384</f>
        <v>-7.5328454685948625</v>
      </c>
      <c r="X24" s="1">
        <f>[1]Results!AA1384</f>
        <v>-7.667638574214708</v>
      </c>
      <c r="Y24" s="1">
        <f>[1]Results!AB1384</f>
        <v>-7.7987912969944677</v>
      </c>
      <c r="Z24" s="1">
        <f>[1]Results!AC1384</f>
        <v>-7.9269086740021866</v>
      </c>
      <c r="AA24" s="1">
        <f>[1]Results!AD1384</f>
        <v>-8.0524737651102569</v>
      </c>
      <c r="AB24" s="1">
        <f>[1]Results!AE1384</f>
        <v>-8.1759748481937464</v>
      </c>
      <c r="AC24" s="1">
        <f>[1]Results!AF1384</f>
        <v>-8.2952217413946876</v>
      </c>
      <c r="AD24" s="1">
        <f>[1]Results!AG1384</f>
        <v>-8.4119640508658495</v>
      </c>
      <c r="AE24" s="1">
        <f>[1]Results!AH1384</f>
        <v>-8.5266972131529783</v>
      </c>
      <c r="AF24" s="1">
        <f>[1]Results!AI1384</f>
        <v>-8.6396627314999304</v>
      </c>
      <c r="AG24" s="1">
        <f>[1]Results!AJ1384</f>
        <v>-8.7509857953449899</v>
      </c>
      <c r="AH24" s="1">
        <f>[1]Results!AK1384</f>
        <v>-8.8594472497022458</v>
      </c>
      <c r="AI24" s="1">
        <f>[1]Results!AL1384</f>
        <v>-8.9660032421831186</v>
      </c>
      <c r="AJ24" s="1">
        <f>[1]Results!AM1384</f>
        <v>-9.0708208297948687</v>
      </c>
      <c r="AK24" s="1">
        <f>[1]Results!AN1384</f>
        <v>-9.1739630656177624</v>
      </c>
      <c r="AL24" s="1">
        <f>[1]Results!AO1384</f>
        <v>-9.2754595985788946</v>
      </c>
      <c r="AM24" s="1">
        <f>[1]Results!AP1384</f>
        <v>-9.3647785710929909</v>
      </c>
      <c r="AN24" s="1">
        <f>[1]Results!AQ1384</f>
        <v>-9.4498353616294217</v>
      </c>
      <c r="AO24" s="1">
        <f>[1]Results!AR1384</f>
        <v>-9.5319585239977851</v>
      </c>
      <c r="AP24" s="1">
        <f>[1]Results!AS1384</f>
        <v>-9.6117170341512566</v>
      </c>
      <c r="AQ24" s="1">
        <f>[1]Results!AT1384</f>
        <v>-9.68945422235279</v>
      </c>
      <c r="AR24" s="1">
        <f>[1]Results!AU1384</f>
        <v>-9.7638368829904287</v>
      </c>
      <c r="AS24" s="1">
        <f>[1]Results!AV1384</f>
        <v>-9.8362144685158466</v>
      </c>
      <c r="AT24" s="1">
        <f>[1]Results!AW1384</f>
        <v>-9.9069812514451243</v>
      </c>
      <c r="AU24" s="1">
        <f>[1]Results!AX1384</f>
        <v>-9.9764056196023567</v>
      </c>
      <c r="AV24" s="1">
        <f>[1]Results!AY1384</f>
        <v>-10.044711042996523</v>
      </c>
      <c r="AW24" s="1">
        <f>[1]Results!AZ1384</f>
        <v>-10.107083570266484</v>
      </c>
      <c r="AX24" s="1">
        <f>[1]Results!BA1384</f>
        <v>-10.167348838993529</v>
      </c>
      <c r="AY24" s="1">
        <f>[1]Results!BB1384</f>
        <v>-10.226354731724363</v>
      </c>
      <c r="AZ24" s="1">
        <f>[1]Results!BC1384</f>
        <v>-10.284593332733349</v>
      </c>
      <c r="BA24" s="1">
        <f>[1]Results!BD1384</f>
        <v>-10.342383200421612</v>
      </c>
      <c r="BB24" s="1">
        <f>[1]Results!BE1384</f>
        <v>-10.396985108110645</v>
      </c>
      <c r="BC24" s="1">
        <f>[1]Results!BF1384</f>
        <v>-10.450700552863113</v>
      </c>
      <c r="BD24" s="1">
        <f>[1]Results!BG1384</f>
        <v>-10.504072565229617</v>
      </c>
      <c r="BE24" s="1">
        <f>[1]Results!BH1384</f>
        <v>-10.557405876908788</v>
      </c>
      <c r="BF24" s="1">
        <f>[1]Results!BI1384</f>
        <v>-10.610912553172724</v>
      </c>
    </row>
    <row r="25" spans="1:58" x14ac:dyDescent="0.35">
      <c r="A25" s="3" t="str">
        <f>[1]Results!E1385</f>
        <v>100*((CH_2-CH_ccon_2)/(CH_0-CH_ccon_0)-1)</v>
      </c>
      <c r="B25" t="str">
        <f>[1]Results!C1385</f>
        <v>Consommation des ménages</v>
      </c>
      <c r="C25" s="1">
        <f>[1]Results!F1385</f>
        <v>-0.56629507594331274</v>
      </c>
      <c r="D25" s="1">
        <f>[1]Results!G1385</f>
        <v>-1.240652459482916</v>
      </c>
      <c r="E25" s="1">
        <f>[1]Results!H1385</f>
        <v>-1.8677927835495045</v>
      </c>
      <c r="F25" s="1">
        <f>[1]Results!I1385</f>
        <v>-2.405373558473356</v>
      </c>
      <c r="G25" s="1">
        <f>[1]Results!J1385</f>
        <v>-2.847698144623334</v>
      </c>
      <c r="H25" s="1">
        <f>[1]Results!K1385</f>
        <v>-3.2017839520912084</v>
      </c>
      <c r="I25" s="1">
        <f>[1]Results!L1385</f>
        <v>-3.4802004043070323</v>
      </c>
      <c r="J25" s="1">
        <f>[1]Results!M1385</f>
        <v>-3.6950698682773231</v>
      </c>
      <c r="K25" s="1">
        <f>[1]Results!N1385</f>
        <v>-3.8584970351921322</v>
      </c>
      <c r="L25" s="1">
        <f>[1]Results!O1385</f>
        <v>-3.9815032525602589</v>
      </c>
      <c r="M25" s="1">
        <f>[1]Results!P1385</f>
        <v>-4.0724676272156923</v>
      </c>
      <c r="N25" s="1">
        <f>[1]Results!Q1385</f>
        <v>-4.1424933951044736</v>
      </c>
      <c r="O25" s="1">
        <f>[1]Results!R1385</f>
        <v>-4.1964861994962526</v>
      </c>
      <c r="P25" s="1">
        <f>[1]Results!S1385</f>
        <v>-4.2377961390538061</v>
      </c>
      <c r="Q25" s="1">
        <f>[1]Results!T1385</f>
        <v>-4.2689038034668281</v>
      </c>
      <c r="R25" s="1">
        <f>[1]Results!U1385</f>
        <v>-4.2917882934230711</v>
      </c>
      <c r="S25" s="1">
        <f>[1]Results!V1385</f>
        <v>-4.3100491293602383</v>
      </c>
      <c r="T25" s="1">
        <f>[1]Results!W1385</f>
        <v>-4.3253732249207255</v>
      </c>
      <c r="U25" s="1">
        <f>[1]Results!X1385</f>
        <v>-4.3388160877196764</v>
      </c>
      <c r="V25" s="1">
        <f>[1]Results!Y1385</f>
        <v>-4.3512707952633729</v>
      </c>
      <c r="W25" s="1">
        <f>[1]Results!Z1385</f>
        <v>-4.3641808199235239</v>
      </c>
      <c r="X25" s="1">
        <f>[1]Results!AA1385</f>
        <v>-4.3770650663140014</v>
      </c>
      <c r="Y25" s="1">
        <f>[1]Results!AB1385</f>
        <v>-4.391016888360932</v>
      </c>
      <c r="Z25" s="1">
        <f>[1]Results!AC1385</f>
        <v>-4.4068035871878797</v>
      </c>
      <c r="AA25" s="1">
        <f>[1]Results!AD1385</f>
        <v>-4.4249345743140989</v>
      </c>
      <c r="AB25" s="1">
        <f>[1]Results!AE1385</f>
        <v>-4.4472420625506937</v>
      </c>
      <c r="AC25" s="1">
        <f>[1]Results!AF1385</f>
        <v>-4.470531586851811</v>
      </c>
      <c r="AD25" s="1">
        <f>[1]Results!AG1385</f>
        <v>-4.4950742197705118</v>
      </c>
      <c r="AE25" s="1">
        <f>[1]Results!AH1385</f>
        <v>-4.5212207402320903</v>
      </c>
      <c r="AF25" s="1">
        <f>[1]Results!AI1385</f>
        <v>-4.5491794733548474</v>
      </c>
      <c r="AG25" s="1">
        <f>[1]Results!AJ1385</f>
        <v>-4.5790020114898073</v>
      </c>
      <c r="AH25" s="1">
        <f>[1]Results!AK1385</f>
        <v>-4.6102569599571268</v>
      </c>
      <c r="AI25" s="1">
        <f>[1]Results!AL1385</f>
        <v>-4.6428080797757731</v>
      </c>
      <c r="AJ25" s="1">
        <f>[1]Results!AM1385</f>
        <v>-4.6765913345988235</v>
      </c>
      <c r="AK25" s="1">
        <f>[1]Results!AN1385</f>
        <v>-4.7115383402823614</v>
      </c>
      <c r="AL25" s="1">
        <f>[1]Results!AO1385</f>
        <v>-4.7475646588355458</v>
      </c>
      <c r="AM25" s="1">
        <f>[1]Results!AP1385</f>
        <v>-4.7817024169645173</v>
      </c>
      <c r="AN25" s="1">
        <f>[1]Results!AQ1385</f>
        <v>-4.8133737143791429</v>
      </c>
      <c r="AO25" s="1">
        <f>[1]Results!AR1385</f>
        <v>-4.8431070096904723</v>
      </c>
      <c r="AP25" s="1">
        <f>[1]Results!AS1385</f>
        <v>-4.8715854371912615</v>
      </c>
      <c r="AQ25" s="1">
        <f>[1]Results!AT1385</f>
        <v>-4.8993766762544748</v>
      </c>
      <c r="AR25" s="1">
        <f>[1]Results!AU1385</f>
        <v>-4.9264372232805886</v>
      </c>
      <c r="AS25" s="1">
        <f>[1]Results!AV1385</f>
        <v>-4.9531071578239994</v>
      </c>
      <c r="AT25" s="1">
        <f>[1]Results!AW1385</f>
        <v>-4.9798016896353108</v>
      </c>
      <c r="AU25" s="1">
        <f>[1]Results!AX1385</f>
        <v>-5.0068964709107266</v>
      </c>
      <c r="AV25" s="1">
        <f>[1]Results!AY1385</f>
        <v>-5.0347037015684553</v>
      </c>
      <c r="AW25" s="1">
        <f>[1]Results!AZ1385</f>
        <v>-5.0619034150296116</v>
      </c>
      <c r="AX25" s="1">
        <f>[1]Results!BA1385</f>
        <v>-5.0887302512924615</v>
      </c>
      <c r="AY25" s="1">
        <f>[1]Results!BB1385</f>
        <v>-5.1157778508055145</v>
      </c>
      <c r="AZ25" s="1">
        <f>[1]Results!BC1385</f>
        <v>-5.14355893029167</v>
      </c>
      <c r="BA25" s="1">
        <f>[1]Results!BD1385</f>
        <v>-5.1724138036846501</v>
      </c>
      <c r="BB25" s="1">
        <f>[1]Results!BE1385</f>
        <v>-5.2016188330970214</v>
      </c>
      <c r="BC25" s="1">
        <f>[1]Results!BF1385</f>
        <v>-5.2313136738651789</v>
      </c>
      <c r="BD25" s="1">
        <f>[1]Results!BG1385</f>
        <v>-5.2618467864398273</v>
      </c>
      <c r="BE25" s="1">
        <f>[1]Results!BH1385</f>
        <v>-5.2935218341901287</v>
      </c>
      <c r="BF25" s="1">
        <f>[1]Results!BI1385</f>
        <v>-5.3265446244620591</v>
      </c>
    </row>
    <row r="26" spans="1:58" x14ac:dyDescent="0.35">
      <c r="A26" s="3" t="str">
        <f>[1]Results!E1386</f>
        <v>100*((I_2+CH_ccon_2)/(I_0+CH_ccon_0)-1)</v>
      </c>
      <c r="B26" t="str">
        <f>[1]Results!C1386</f>
        <v>Investissement</v>
      </c>
      <c r="C26" s="1">
        <f>[1]Results!F1386</f>
        <v>-1.1668470054058466</v>
      </c>
      <c r="D26" s="1">
        <f>[1]Results!G1386</f>
        <v>-1.9275126779456309</v>
      </c>
      <c r="E26" s="1">
        <f>[1]Results!H1386</f>
        <v>-2.4635497072733381</v>
      </c>
      <c r="F26" s="1">
        <f>[1]Results!I1386</f>
        <v>-2.8901008756394675</v>
      </c>
      <c r="G26" s="1">
        <f>[1]Results!J1386</f>
        <v>-3.2609341569486583</v>
      </c>
      <c r="H26" s="1">
        <f>[1]Results!K1386</f>
        <v>-3.6000951319170249</v>
      </c>
      <c r="I26" s="1">
        <f>[1]Results!L1386</f>
        <v>-3.91926457455406</v>
      </c>
      <c r="J26" s="1">
        <f>[1]Results!M1386</f>
        <v>-4.2228331710753686</v>
      </c>
      <c r="K26" s="1">
        <f>[1]Results!N1386</f>
        <v>-4.5132626163829404</v>
      </c>
      <c r="L26" s="1">
        <f>[1]Results!O1386</f>
        <v>-4.792448545156736</v>
      </c>
      <c r="M26" s="1">
        <f>[1]Results!P1386</f>
        <v>-5.0618281605114284</v>
      </c>
      <c r="N26" s="1">
        <f>[1]Results!Q1386</f>
        <v>-5.3271915206784755</v>
      </c>
      <c r="O26" s="1">
        <f>[1]Results!R1386</f>
        <v>-5.5875551414191431</v>
      </c>
      <c r="P26" s="1">
        <f>[1]Results!S1386</f>
        <v>-5.8422026539003635</v>
      </c>
      <c r="Q26" s="1">
        <f>[1]Results!T1386</f>
        <v>-6.0905991400961534</v>
      </c>
      <c r="R26" s="1">
        <f>[1]Results!U1386</f>
        <v>-6.332259222849479</v>
      </c>
      <c r="S26" s="1">
        <f>[1]Results!V1386</f>
        <v>-6.5706500205180767</v>
      </c>
      <c r="T26" s="1">
        <f>[1]Results!W1386</f>
        <v>-6.8036379708700023</v>
      </c>
      <c r="U26" s="1">
        <f>[1]Results!X1386</f>
        <v>-7.0298699059229914</v>
      </c>
      <c r="V26" s="1">
        <f>[1]Results!Y1386</f>
        <v>-7.2485402302817743</v>
      </c>
      <c r="W26" s="1">
        <f>[1]Results!Z1386</f>
        <v>-7.4593978551891098</v>
      </c>
      <c r="X26" s="1">
        <f>[1]Results!AA1386</f>
        <v>-7.6616999758179922</v>
      </c>
      <c r="Y26" s="1">
        <f>[1]Results!AB1386</f>
        <v>-7.8553233784779408</v>
      </c>
      <c r="Z26" s="1">
        <f>[1]Results!AC1386</f>
        <v>-8.0402845684327104</v>
      </c>
      <c r="AA26" s="1">
        <f>[1]Results!AD1386</f>
        <v>-8.2166289588420973</v>
      </c>
      <c r="AB26" s="1">
        <f>[1]Results!AE1386</f>
        <v>-8.3850532664068389</v>
      </c>
      <c r="AC26" s="1">
        <f>[1]Results!AF1386</f>
        <v>-8.5434050869074181</v>
      </c>
      <c r="AD26" s="1">
        <f>[1]Results!AG1386</f>
        <v>-8.6922156484604667</v>
      </c>
      <c r="AE26" s="1">
        <f>[1]Results!AH1386</f>
        <v>-8.8319587987527814</v>
      </c>
      <c r="AF26" s="1">
        <f>[1]Results!AI1386</f>
        <v>-8.9629950962760283</v>
      </c>
      <c r="AG26" s="1">
        <f>[1]Results!AJ1386</f>
        <v>-9.0855986014003349</v>
      </c>
      <c r="AH26" s="1">
        <f>[1]Results!AK1386</f>
        <v>-9.1992738170474819</v>
      </c>
      <c r="AI26" s="1">
        <f>[1]Results!AL1386</f>
        <v>-9.3044986437920247</v>
      </c>
      <c r="AJ26" s="1">
        <f>[1]Results!AM1386</f>
        <v>-9.4016492929769981</v>
      </c>
      <c r="AK26" s="1">
        <f>[1]Results!AN1386</f>
        <v>-9.491041036037462</v>
      </c>
      <c r="AL26" s="1">
        <f>[1]Results!AO1386</f>
        <v>-9.5729656860258583</v>
      </c>
      <c r="AM26" s="1">
        <f>[1]Results!AP1386</f>
        <v>-9.6418686959698796</v>
      </c>
      <c r="AN26" s="1">
        <f>[1]Results!AQ1386</f>
        <v>-9.7002362942378522</v>
      </c>
      <c r="AO26" s="1">
        <f>[1]Results!AR1386</f>
        <v>-9.7497679906067169</v>
      </c>
      <c r="AP26" s="1">
        <f>[1]Results!AS1386</f>
        <v>-9.7916186131598248</v>
      </c>
      <c r="AQ26" s="1">
        <f>[1]Results!AT1386</f>
        <v>-9.8266285622235046</v>
      </c>
      <c r="AR26" s="1">
        <f>[1]Results!AU1386</f>
        <v>-9.8545389987567447</v>
      </c>
      <c r="AS26" s="1">
        <f>[1]Results!AV1386</f>
        <v>-9.8762012944171857</v>
      </c>
      <c r="AT26" s="1">
        <f>[1]Results!AW1386</f>
        <v>-9.8923042454883046</v>
      </c>
      <c r="AU26" s="1">
        <f>[1]Results!AX1386</f>
        <v>-9.9034281193400844</v>
      </c>
      <c r="AV26" s="1">
        <f>[1]Results!AY1386</f>
        <v>-9.9100947513937712</v>
      </c>
      <c r="AW26" s="1">
        <f>[1]Results!AZ1386</f>
        <v>-9.9099010136426298</v>
      </c>
      <c r="AX26" s="1">
        <f>[1]Results!BA1386</f>
        <v>-9.9043611423942135</v>
      </c>
      <c r="AY26" s="1">
        <f>[1]Results!BB1386</f>
        <v>-9.8946876543341666</v>
      </c>
      <c r="AZ26" s="1">
        <f>[1]Results!BC1386</f>
        <v>-9.8817735698758078</v>
      </c>
      <c r="BA26" s="1">
        <f>[1]Results!BD1386</f>
        <v>-9.8663028659599856</v>
      </c>
      <c r="BB26" s="1">
        <f>[1]Results!BE1386</f>
        <v>-9.8470987864638708</v>
      </c>
      <c r="BC26" s="1">
        <f>[1]Results!BF1386</f>
        <v>-9.8252214440972097</v>
      </c>
      <c r="BD26" s="1">
        <f>[1]Results!BG1386</f>
        <v>-9.8015275408616542</v>
      </c>
      <c r="BE26" s="1">
        <f>[1]Results!BH1386</f>
        <v>-9.7766986482099032</v>
      </c>
      <c r="BF26" s="1">
        <f>[1]Results!BI1386</f>
        <v>-9.7512907330759226</v>
      </c>
    </row>
    <row r="27" spans="1:58" x14ac:dyDescent="0.35">
      <c r="A27" s="3" t="str">
        <f>[1]Results!E1387</f>
        <v>100*((CH_ccon_2)/(CH_ccon_0)-1)</v>
      </c>
      <c r="B27" t="str">
        <f>[1]Results!C1387</f>
        <v>Investissement ménages</v>
      </c>
      <c r="C27" s="1">
        <f>[1]Results!F1387</f>
        <v>-0.59134383436015847</v>
      </c>
      <c r="D27" s="1">
        <f>[1]Results!G1387</f>
        <v>-1.1643072335156379</v>
      </c>
      <c r="E27" s="1">
        <f>[1]Results!H1387</f>
        <v>-1.6294494124210579</v>
      </c>
      <c r="F27" s="1">
        <f>[1]Results!I1387</f>
        <v>-2.0126819480311586</v>
      </c>
      <c r="G27" s="1">
        <f>[1]Results!J1387</f>
        <v>-2.345383322084027</v>
      </c>
      <c r="H27" s="1">
        <f>[1]Results!K1387</f>
        <v>-2.6405662540495034</v>
      </c>
      <c r="I27" s="1">
        <f>[1]Results!L1387</f>
        <v>-2.9011325279707623</v>
      </c>
      <c r="J27" s="1">
        <f>[1]Results!M1387</f>
        <v>-3.1263465705567484</v>
      </c>
      <c r="K27" s="1">
        <f>[1]Results!N1387</f>
        <v>-3.3172283799333235</v>
      </c>
      <c r="L27" s="1">
        <f>[1]Results!O1387</f>
        <v>-3.4764330582661374</v>
      </c>
      <c r="M27" s="1">
        <f>[1]Results!P1387</f>
        <v>-3.6067622100069752</v>
      </c>
      <c r="N27" s="1">
        <f>[1]Results!Q1387</f>
        <v>-3.715637434377117</v>
      </c>
      <c r="O27" s="1">
        <f>[1]Results!R1387</f>
        <v>-3.8058438221175606</v>
      </c>
      <c r="P27" s="1">
        <f>[1]Results!S1387</f>
        <v>-3.8796592457124079</v>
      </c>
      <c r="Q27" s="1">
        <f>[1]Results!T1387</f>
        <v>-3.9392252372823289</v>
      </c>
      <c r="R27" s="1">
        <f>[1]Results!U1387</f>
        <v>-3.9866664684949926</v>
      </c>
      <c r="S27" s="1">
        <f>[1]Results!V1387</f>
        <v>-4.0259037483555744</v>
      </c>
      <c r="T27" s="1">
        <f>[1]Results!W1387</f>
        <v>-4.058975473496707</v>
      </c>
      <c r="U27" s="1">
        <f>[1]Results!X1387</f>
        <v>-4.0873822759077028</v>
      </c>
      <c r="V27" s="1">
        <f>[1]Results!Y1387</f>
        <v>-4.1125809091041461</v>
      </c>
      <c r="W27" s="1">
        <f>[1]Results!Z1387</f>
        <v>-4.1365604141519903</v>
      </c>
      <c r="X27" s="1">
        <f>[1]Results!AA1387</f>
        <v>-4.1596154383006123</v>
      </c>
      <c r="Y27" s="1">
        <f>[1]Results!AB1387</f>
        <v>-4.1834047108000982</v>
      </c>
      <c r="Z27" s="1">
        <f>[1]Results!AC1387</f>
        <v>-4.2091793571510934</v>
      </c>
      <c r="AA27" s="1">
        <f>[1]Results!AD1387</f>
        <v>-4.2378112632285747</v>
      </c>
      <c r="AB27" s="1">
        <f>[1]Results!AE1387</f>
        <v>-4.2711146054027038</v>
      </c>
      <c r="AC27" s="1">
        <f>[1]Results!AF1387</f>
        <v>-4.3063624699302805</v>
      </c>
      <c r="AD27" s="1">
        <f>[1]Results!AG1387</f>
        <v>-4.3440473319605655</v>
      </c>
      <c r="AE27" s="1">
        <f>[1]Results!AH1387</f>
        <v>-4.3847320533527467</v>
      </c>
      <c r="AF27" s="1">
        <f>[1]Results!AI1387</f>
        <v>-4.4287251847500597</v>
      </c>
      <c r="AG27" s="1">
        <f>[1]Results!AJ1387</f>
        <v>-4.4760296674181905</v>
      </c>
      <c r="AH27" s="1">
        <f>[1]Results!AK1387</f>
        <v>-4.5260672144112668</v>
      </c>
      <c r="AI27" s="1">
        <f>[1]Results!AL1387</f>
        <v>-4.5785534350327612</v>
      </c>
      <c r="AJ27" s="1">
        <f>[1]Results!AM1387</f>
        <v>-4.6332785429566421</v>
      </c>
      <c r="AK27" s="1">
        <f>[1]Results!AN1387</f>
        <v>-4.6900199219328531</v>
      </c>
      <c r="AL27" s="1">
        <f>[1]Results!AO1387</f>
        <v>-4.74852486911076</v>
      </c>
      <c r="AM27" s="1">
        <f>[1]Results!AP1387</f>
        <v>-4.8054415697441177</v>
      </c>
      <c r="AN27" s="1">
        <f>[1]Results!AQ1387</f>
        <v>-4.8603025129950623</v>
      </c>
      <c r="AO27" s="1">
        <f>[1]Results!AR1387</f>
        <v>-4.9138592584899836</v>
      </c>
      <c r="AP27" s="1">
        <f>[1]Results!AS1387</f>
        <v>-4.9668613523239591</v>
      </c>
      <c r="AQ27" s="1">
        <f>[1]Results!AT1387</f>
        <v>-5.019691730435194</v>
      </c>
      <c r="AR27" s="1">
        <f>[1]Results!AU1387</f>
        <v>-5.0718999876236186</v>
      </c>
      <c r="AS27" s="1">
        <f>[1]Results!AV1387</f>
        <v>-5.1234112431943419</v>
      </c>
      <c r="AT27" s="1">
        <f>[1]Results!AW1387</f>
        <v>-5.1742675235009301</v>
      </c>
      <c r="AU27" s="1">
        <f>[1]Results!AX1387</f>
        <v>-5.2245206371293822</v>
      </c>
      <c r="AV27" s="1">
        <f>[1]Results!AY1387</f>
        <v>-5.2742228449267898</v>
      </c>
      <c r="AW27" s="1">
        <f>[1]Results!AZ1387</f>
        <v>-5.3218799132406236</v>
      </c>
      <c r="AX27" s="1">
        <f>[1]Results!BA1387</f>
        <v>-5.3679900819800785</v>
      </c>
      <c r="AY27" s="1">
        <f>[1]Results!BB1387</f>
        <v>-5.4134607160902792</v>
      </c>
      <c r="AZ27" s="1">
        <f>[1]Results!BC1387</f>
        <v>-5.4586788069608705</v>
      </c>
      <c r="BA27" s="1">
        <f>[1]Results!BD1387</f>
        <v>-5.5037430260186593</v>
      </c>
      <c r="BB27" s="1">
        <f>[1]Results!BE1387</f>
        <v>-5.5476211464003278</v>
      </c>
      <c r="BC27" s="1">
        <f>[1]Results!BF1387</f>
        <v>-5.5903513004617711</v>
      </c>
      <c r="BD27" s="1">
        <f>[1]Results!BG1387</f>
        <v>-5.6322949983952704</v>
      </c>
      <c r="BE27" s="1">
        <f>[1]Results!BH1387</f>
        <v>-5.6737684079891544</v>
      </c>
      <c r="BF27" s="1">
        <f>[1]Results!BI1387</f>
        <v>-5.7149399994264822</v>
      </c>
    </row>
    <row r="28" spans="1:58" x14ac:dyDescent="0.35">
      <c r="A28" s="3" t="str">
        <f>[1]Results!E1388</f>
        <v>100*((IA_spub_2)/(IA_spub_0)-1)</v>
      </c>
      <c r="B28" t="str">
        <f>[1]Results!C1388</f>
        <v>Investissement public</v>
      </c>
      <c r="C28" s="1">
        <f>[1]Results!F1388</f>
        <v>-0.18029986903937978</v>
      </c>
      <c r="D28" s="1">
        <f>[1]Results!G1388</f>
        <v>-0.27554382726217019</v>
      </c>
      <c r="E28" s="1">
        <f>[1]Results!H1388</f>
        <v>-0.32023038266887349</v>
      </c>
      <c r="F28" s="1">
        <f>[1]Results!I1388</f>
        <v>-0.35042736961171661</v>
      </c>
      <c r="G28" s="1">
        <f>[1]Results!J1388</f>
        <v>-0.38443623226362966</v>
      </c>
      <c r="H28" s="1">
        <f>[1]Results!K1388</f>
        <v>-0.4285555601615143</v>
      </c>
      <c r="I28" s="1">
        <f>[1]Results!L1388</f>
        <v>-0.4835843793722594</v>
      </c>
      <c r="J28" s="1">
        <f>[1]Results!M1388</f>
        <v>-0.54758733693121009</v>
      </c>
      <c r="K28" s="1">
        <f>[1]Results!N1388</f>
        <v>-0.61859006724571675</v>
      </c>
      <c r="L28" s="1">
        <f>[1]Results!O1388</f>
        <v>-0.69496520662144512</v>
      </c>
      <c r="M28" s="1">
        <f>[1]Results!P1388</f>
        <v>-0.77501442666279008</v>
      </c>
      <c r="N28" s="1">
        <f>[1]Results!Q1388</f>
        <v>-0.85899653087211369</v>
      </c>
      <c r="O28" s="1">
        <f>[1]Results!R1388</f>
        <v>-0.94493833552560247</v>
      </c>
      <c r="P28" s="1">
        <f>[1]Results!S1388</f>
        <v>-1.031246073334946</v>
      </c>
      <c r="Q28" s="1">
        <f>[1]Results!T1388</f>
        <v>-1.116621176854149</v>
      </c>
      <c r="R28" s="1">
        <f>[1]Results!U1388</f>
        <v>-1.1999885439218816</v>
      </c>
      <c r="S28" s="1">
        <f>[1]Results!V1388</f>
        <v>-1.2811454143787482</v>
      </c>
      <c r="T28" s="1">
        <f>[1]Results!W1388</f>
        <v>-1.3590855763801368</v>
      </c>
      <c r="U28" s="1">
        <f>[1]Results!X1388</f>
        <v>-1.4330763894203291</v>
      </c>
      <c r="V28" s="1">
        <f>[1]Results!Y1388</f>
        <v>-1.5026796812544596</v>
      </c>
      <c r="W28" s="1">
        <f>[1]Results!Z1388</f>
        <v>-1.5679360344368565</v>
      </c>
      <c r="X28" s="1">
        <f>[1]Results!AA1388</f>
        <v>-1.6282016915628361</v>
      </c>
      <c r="Y28" s="1">
        <f>[1]Results!AB1388</f>
        <v>-1.6838371863552082</v>
      </c>
      <c r="Z28" s="1">
        <f>[1]Results!AC1388</f>
        <v>-1.7351172317237817</v>
      </c>
      <c r="AA28" s="1">
        <f>[1]Results!AD1388</f>
        <v>-1.7823047453474183</v>
      </c>
      <c r="AB28" s="1">
        <f>[1]Results!AE1388</f>
        <v>-1.826373014403615</v>
      </c>
      <c r="AC28" s="1">
        <f>[1]Results!AF1388</f>
        <v>-1.8660024319212543</v>
      </c>
      <c r="AD28" s="1">
        <f>[1]Results!AG1388</f>
        <v>-1.9019371066385959</v>
      </c>
      <c r="AE28" s="1">
        <f>[1]Results!AH1388</f>
        <v>-1.9347840955245665</v>
      </c>
      <c r="AF28" s="1">
        <f>[1]Results!AI1388</f>
        <v>-1.9650335957987597</v>
      </c>
      <c r="AG28" s="1">
        <f>[1]Results!AJ1388</f>
        <v>-1.9930840813087491</v>
      </c>
      <c r="AH28" s="1">
        <f>[1]Results!AK1388</f>
        <v>-2.0191219456363596</v>
      </c>
      <c r="AI28" s="1">
        <f>[1]Results!AL1388</f>
        <v>-2.0434789850761303</v>
      </c>
      <c r="AJ28" s="1">
        <f>[1]Results!AM1388</f>
        <v>-2.0664520680450327</v>
      </c>
      <c r="AK28" s="1">
        <f>[1]Results!AN1388</f>
        <v>-2.0882901395193443</v>
      </c>
      <c r="AL28" s="1">
        <f>[1]Results!AO1388</f>
        <v>-2.1092009946712564</v>
      </c>
      <c r="AM28" s="1">
        <f>[1]Results!AP1388</f>
        <v>-2.1282790042976174</v>
      </c>
      <c r="AN28" s="1">
        <f>[1]Results!AQ1388</f>
        <v>-2.1458758985772319</v>
      </c>
      <c r="AO28" s="1">
        <f>[1]Results!AR1388</f>
        <v>-2.1625473441639786</v>
      </c>
      <c r="AP28" s="1">
        <f>[1]Results!AS1388</f>
        <v>-2.1787161091396556</v>
      </c>
      <c r="AQ28" s="1">
        <f>[1]Results!AT1388</f>
        <v>-2.1946339161944661</v>
      </c>
      <c r="AR28" s="1">
        <f>[1]Results!AU1388</f>
        <v>-2.2102238609720493</v>
      </c>
      <c r="AS28" s="1">
        <f>[1]Results!AV1388</f>
        <v>-2.2255825012935326</v>
      </c>
      <c r="AT28" s="1">
        <f>[1]Results!AW1388</f>
        <v>-2.2407785908903688</v>
      </c>
      <c r="AU28" s="1">
        <f>[1]Results!AX1388</f>
        <v>-2.2558378599107476</v>
      </c>
      <c r="AV28" s="1">
        <f>[1]Results!AY1388</f>
        <v>-2.270755604603758</v>
      </c>
      <c r="AW28" s="1">
        <f>[1]Results!AZ1388</f>
        <v>-2.2848581033108051</v>
      </c>
      <c r="AX28" s="1">
        <f>[1]Results!BA1388</f>
        <v>-2.2983521237522564</v>
      </c>
      <c r="AY28" s="1">
        <f>[1]Results!BB1388</f>
        <v>-2.3114973729603805</v>
      </c>
      <c r="AZ28" s="1">
        <f>[1]Results!BC1388</f>
        <v>-2.3244396157941161</v>
      </c>
      <c r="BA28" s="1">
        <f>[1]Results!BD1388</f>
        <v>-2.3372222378277185</v>
      </c>
      <c r="BB28" s="1">
        <f>[1]Results!BE1388</f>
        <v>-2.349433459472372</v>
      </c>
      <c r="BC28" s="1">
        <f>[1]Results!BF1388</f>
        <v>-2.3611462050594723</v>
      </c>
      <c r="BD28" s="1">
        <f>[1]Results!BG1388</f>
        <v>-2.3724846422277568</v>
      </c>
      <c r="BE28" s="1">
        <f>[1]Results!BH1388</f>
        <v>-2.383532777308206</v>
      </c>
      <c r="BF28" s="1">
        <f>[1]Results!BI1388</f>
        <v>-2.3943249572512038</v>
      </c>
    </row>
    <row r="29" spans="1:58" x14ac:dyDescent="0.35">
      <c r="A29" s="3" t="str">
        <f>[1]Results!E1389</f>
        <v>100*(DISPINC_AT_VAL_2/DISPINC_AT_VAL_0-1)</v>
      </c>
      <c r="B29" t="str">
        <f>[1]Results!C1389</f>
        <v>Revenu disponible des ménages</v>
      </c>
      <c r="C29" s="1">
        <f>[1]Results!F1389</f>
        <v>-1.0477976999619276</v>
      </c>
      <c r="D29" s="1">
        <f>[1]Results!G1389</f>
        <v>-2.0221042633128961</v>
      </c>
      <c r="E29" s="1">
        <f>[1]Results!H1389</f>
        <v>-2.9110951207188651</v>
      </c>
      <c r="F29" s="1">
        <f>[1]Results!I1389</f>
        <v>-3.7087297635558514</v>
      </c>
      <c r="G29" s="1">
        <f>[1]Results!J1389</f>
        <v>-4.4132270554506299</v>
      </c>
      <c r="H29" s="1">
        <f>[1]Results!K1389</f>
        <v>-5.027787511893111</v>
      </c>
      <c r="I29" s="1">
        <f>[1]Results!L1389</f>
        <v>-5.5607533824397208</v>
      </c>
      <c r="J29" s="1">
        <f>[1]Results!M1389</f>
        <v>-6.0185273737630158</v>
      </c>
      <c r="K29" s="1">
        <f>[1]Results!N1389</f>
        <v>-6.4089403575834814</v>
      </c>
      <c r="L29" s="1">
        <f>[1]Results!O1389</f>
        <v>-6.7392521404968209</v>
      </c>
      <c r="M29" s="1">
        <f>[1]Results!P1389</f>
        <v>-7.0143484842098536</v>
      </c>
      <c r="N29" s="1">
        <f>[1]Results!Q1389</f>
        <v>-7.246636445046839</v>
      </c>
      <c r="O29" s="1">
        <f>[1]Results!R1389</f>
        <v>-7.4384904829615017</v>
      </c>
      <c r="P29" s="1">
        <f>[1]Results!S1389</f>
        <v>-7.5941680260571136</v>
      </c>
      <c r="Q29" s="1">
        <f>[1]Results!T1389</f>
        <v>-7.7177603058306126</v>
      </c>
      <c r="R29" s="1">
        <f>[1]Results!U1389</f>
        <v>-7.8132525085920612</v>
      </c>
      <c r="S29" s="1">
        <f>[1]Results!V1389</f>
        <v>-7.8875032231795377</v>
      </c>
      <c r="T29" s="1">
        <f>[1]Results!W1389</f>
        <v>-7.9438374968398895</v>
      </c>
      <c r="U29" s="1">
        <f>[1]Results!X1389</f>
        <v>-7.9854952918683715</v>
      </c>
      <c r="V29" s="1">
        <f>[1]Results!Y1389</f>
        <v>-8.0155630130483768</v>
      </c>
      <c r="W29" s="1">
        <f>[1]Results!Z1389</f>
        <v>-8.0379619896757895</v>
      </c>
      <c r="X29" s="1">
        <f>[1]Results!AA1389</f>
        <v>-8.0528317894690176</v>
      </c>
      <c r="Y29" s="1">
        <f>[1]Results!AB1389</f>
        <v>-8.0637499827559189</v>
      </c>
      <c r="Z29" s="1">
        <f>[1]Results!AC1389</f>
        <v>-8.0726450388593936</v>
      </c>
      <c r="AA29" s="1">
        <f>[1]Results!AD1389</f>
        <v>-8.0811196691422111</v>
      </c>
      <c r="AB29" s="1">
        <f>[1]Results!AE1389</f>
        <v>-8.0931888300936343</v>
      </c>
      <c r="AC29" s="1">
        <f>[1]Results!AF1389</f>
        <v>-8.1037579680434018</v>
      </c>
      <c r="AD29" s="1">
        <f>[1]Results!AG1389</f>
        <v>-8.1155688511094777</v>
      </c>
      <c r="AE29" s="1">
        <f>[1]Results!AH1389</f>
        <v>-8.1292193385153251</v>
      </c>
      <c r="AF29" s="1">
        <f>[1]Results!AI1389</f>
        <v>-8.1450649672888851</v>
      </c>
      <c r="AG29" s="1">
        <f>[1]Results!AJ1389</f>
        <v>-8.1632976401220354</v>
      </c>
      <c r="AH29" s="1">
        <f>[1]Results!AK1389</f>
        <v>-8.1835124070892551</v>
      </c>
      <c r="AI29" s="1">
        <f>[1]Results!AL1389</f>
        <v>-8.2057737084623046</v>
      </c>
      <c r="AJ29" s="1">
        <f>[1]Results!AM1389</f>
        <v>-8.230049546524242</v>
      </c>
      <c r="AK29" s="1">
        <f>[1]Results!AN1389</f>
        <v>-8.2562394445792169</v>
      </c>
      <c r="AL29" s="1">
        <f>[1]Results!AO1389</f>
        <v>-8.2841988034933358</v>
      </c>
      <c r="AM29" s="1">
        <f>[1]Results!AP1389</f>
        <v>-8.3104918380638164</v>
      </c>
      <c r="AN29" s="1">
        <f>[1]Results!AQ1389</f>
        <v>-8.3348353438009948</v>
      </c>
      <c r="AO29" s="1">
        <f>[1]Results!AR1389</f>
        <v>-8.3574859167444782</v>
      </c>
      <c r="AP29" s="1">
        <f>[1]Results!AS1389</f>
        <v>-8.378626450807614</v>
      </c>
      <c r="AQ29" s="1">
        <f>[1]Results!AT1389</f>
        <v>-8.3984617255140179</v>
      </c>
      <c r="AR29" s="1">
        <f>[1]Results!AU1389</f>
        <v>-8.4167167471217326</v>
      </c>
      <c r="AS29" s="1">
        <f>[1]Results!AV1389</f>
        <v>-8.4337936858407616</v>
      </c>
      <c r="AT29" s="1">
        <f>[1]Results!AW1389</f>
        <v>-8.4500858213257928</v>
      </c>
      <c r="AU29" s="1">
        <f>[1]Results!AX1389</f>
        <v>-8.4659774418879721</v>
      </c>
      <c r="AV29" s="1">
        <f>[1]Results!AY1389</f>
        <v>-8.4818467240080473</v>
      </c>
      <c r="AW29" s="1">
        <f>[1]Results!AZ1389</f>
        <v>-8.4964232236923625</v>
      </c>
      <c r="AX29" s="1">
        <f>[1]Results!BA1389</f>
        <v>-8.5104185587115744</v>
      </c>
      <c r="AY29" s="1">
        <f>[1]Results!BB1389</f>
        <v>-8.5243435234431342</v>
      </c>
      <c r="AZ29" s="1">
        <f>[1]Results!BC1389</f>
        <v>-8.5385936807867999</v>
      </c>
      <c r="BA29" s="1">
        <f>[1]Results!BD1389</f>
        <v>-8.5535168127101162</v>
      </c>
      <c r="BB29" s="1">
        <f>[1]Results!BE1389</f>
        <v>-8.5685467544360012</v>
      </c>
      <c r="BC29" s="1">
        <f>[1]Results!BF1389</f>
        <v>-8.5841685686284031</v>
      </c>
      <c r="BD29" s="1">
        <f>[1]Results!BG1389</f>
        <v>-8.6007641737854144</v>
      </c>
      <c r="BE29" s="1">
        <f>[1]Results!BH1389</f>
        <v>-8.6186480112219179</v>
      </c>
      <c r="BF29" s="1">
        <f>[1]Results!BI1389</f>
        <v>-8.6380988045624783</v>
      </c>
    </row>
    <row r="30" spans="1:58" x14ac:dyDescent="0.35">
      <c r="A30" s="3" t="str">
        <f>[1]Results!E1390</f>
        <v>100*(DISPINC_AT_VAL_2/DISPINC_AT_VAL_0-1)-100*(PCH_2/PCH_0-1)</v>
      </c>
      <c r="B30" t="str">
        <f>[1]Results!C1390</f>
        <v>Revenu disponible réel des ménages</v>
      </c>
      <c r="C30" s="1">
        <f>[1]Results!F1390</f>
        <v>-0.83027531351649309</v>
      </c>
      <c r="D30" s="1">
        <f>[1]Results!G1390</f>
        <v>-1.477452784814548</v>
      </c>
      <c r="E30" s="1">
        <f>[1]Results!H1390</f>
        <v>-2.0053961893337746</v>
      </c>
      <c r="F30" s="1">
        <f>[1]Results!I1390</f>
        <v>-2.4440585846240981</v>
      </c>
      <c r="G30" s="1">
        <f>[1]Results!J1390</f>
        <v>-2.8064432168572124</v>
      </c>
      <c r="H30" s="1">
        <f>[1]Results!K1390</f>
        <v>-3.1010683668752255</v>
      </c>
      <c r="I30" s="1">
        <f>[1]Results!L1390</f>
        <v>-3.3380388315440328</v>
      </c>
      <c r="J30" s="1">
        <f>[1]Results!M1390</f>
        <v>-3.5249494767432439</v>
      </c>
      <c r="K30" s="1">
        <f>[1]Results!N1390</f>
        <v>-3.6708439047052788</v>
      </c>
      <c r="L30" s="1">
        <f>[1]Results!O1390</f>
        <v>-3.7839844487179142</v>
      </c>
      <c r="M30" s="1">
        <f>[1]Results!P1390</f>
        <v>-3.8699888419492012</v>
      </c>
      <c r="N30" s="1">
        <f>[1]Results!Q1390</f>
        <v>-3.9402528741308784</v>
      </c>
      <c r="O30" s="1">
        <f>[1]Results!R1390</f>
        <v>-3.9957198206467148</v>
      </c>
      <c r="P30" s="1">
        <f>[1]Results!S1390</f>
        <v>-4.0390032394744821</v>
      </c>
      <c r="Q30" s="1">
        <f>[1]Results!T1390</f>
        <v>-4.072312202981232</v>
      </c>
      <c r="R30" s="1">
        <f>[1]Results!U1390</f>
        <v>-4.0975492607562725</v>
      </c>
      <c r="S30" s="1">
        <f>[1]Results!V1390</f>
        <v>-4.1190900606337681</v>
      </c>
      <c r="T30" s="1">
        <f>[1]Results!W1390</f>
        <v>-4.1375786883218302</v>
      </c>
      <c r="U30" s="1">
        <f>[1]Results!X1390</f>
        <v>-4.1538745766525711</v>
      </c>
      <c r="V30" s="1">
        <f>[1]Results!Y1390</f>
        <v>-4.1689174709774406</v>
      </c>
      <c r="W30" s="1">
        <f>[1]Results!Z1390</f>
        <v>-4.184471963230207</v>
      </c>
      <c r="X30" s="1">
        <f>[1]Results!AA1390</f>
        <v>-4.1991591134228798</v>
      </c>
      <c r="Y30" s="1">
        <f>[1]Results!AB1390</f>
        <v>-4.2150380783930181</v>
      </c>
      <c r="Z30" s="1">
        <f>[1]Results!AC1390</f>
        <v>-4.232653243484318</v>
      </c>
      <c r="AA30" s="1">
        <f>[1]Results!AD1390</f>
        <v>-4.252378642382503</v>
      </c>
      <c r="AB30" s="1">
        <f>[1]Results!AE1390</f>
        <v>-4.2766257482349861</v>
      </c>
      <c r="AC30" s="1">
        <f>[1]Results!AF1390</f>
        <v>-4.2997728095482195</v>
      </c>
      <c r="AD30" s="1">
        <f>[1]Results!AG1390</f>
        <v>-4.3242860868764943</v>
      </c>
      <c r="AE30" s="1">
        <f>[1]Results!AH1390</f>
        <v>-4.3504915592891269</v>
      </c>
      <c r="AF30" s="1">
        <f>[1]Results!AI1390</f>
        <v>-4.3784790881158839</v>
      </c>
      <c r="AG30" s="1">
        <f>[1]Results!AJ1390</f>
        <v>-4.4082070672450726</v>
      </c>
      <c r="AH30" s="1">
        <f>[1]Results!AK1390</f>
        <v>-4.4390411083580545</v>
      </c>
      <c r="AI30" s="1">
        <f>[1]Results!AL1390</f>
        <v>-4.4710490509192287</v>
      </c>
      <c r="AJ30" s="1">
        <f>[1]Results!AM1390</f>
        <v>-4.5042140256490111</v>
      </c>
      <c r="AK30" s="1">
        <f>[1]Results!AN1390</f>
        <v>-4.5384691993521908</v>
      </c>
      <c r="AL30" s="1">
        <f>[1]Results!AO1390</f>
        <v>-4.5737274346872461</v>
      </c>
      <c r="AM30" s="1">
        <f>[1]Results!AP1390</f>
        <v>-4.6057948295726074</v>
      </c>
      <c r="AN30" s="1">
        <f>[1]Results!AQ1390</f>
        <v>-4.6355819533669624</v>
      </c>
      <c r="AO30" s="1">
        <f>[1]Results!AR1390</f>
        <v>-4.6641211695985341</v>
      </c>
      <c r="AP30" s="1">
        <f>[1]Results!AS1390</f>
        <v>-4.6920093579553743</v>
      </c>
      <c r="AQ30" s="1">
        <f>[1]Results!AT1390</f>
        <v>-4.7196143077045232</v>
      </c>
      <c r="AR30" s="1">
        <f>[1]Results!AU1390</f>
        <v>-4.7465206183112558</v>
      </c>
      <c r="AS30" s="1">
        <f>[1]Results!AV1390</f>
        <v>-4.7732423881567616</v>
      </c>
      <c r="AT30" s="1">
        <f>[1]Results!AW1390</f>
        <v>-4.8001720523244593</v>
      </c>
      <c r="AU30" s="1">
        <f>[1]Results!AX1390</f>
        <v>-4.8276093802136035</v>
      </c>
      <c r="AV30" s="1">
        <f>[1]Results!AY1390</f>
        <v>-4.8557946049681782</v>
      </c>
      <c r="AW30" s="1">
        <f>[1]Results!AZ1390</f>
        <v>-4.8826636234599379</v>
      </c>
      <c r="AX30" s="1">
        <f>[1]Results!BA1390</f>
        <v>-4.9093659214399903</v>
      </c>
      <c r="AY30" s="1">
        <f>[1]Results!BB1390</f>
        <v>-4.9366003724082619</v>
      </c>
      <c r="AZ30" s="1">
        <f>[1]Results!BC1390</f>
        <v>-4.964738609893649</v>
      </c>
      <c r="BA30" s="1">
        <f>[1]Results!BD1390</f>
        <v>-4.9939735856257332</v>
      </c>
      <c r="BB30" s="1">
        <f>[1]Results!BE1390</f>
        <v>-5.023073744949901</v>
      </c>
      <c r="BC30" s="1">
        <f>[1]Results!BF1390</f>
        <v>-5.0526929994041625</v>
      </c>
      <c r="BD30" s="1">
        <f>[1]Results!BG1390</f>
        <v>-5.0832481284773143</v>
      </c>
      <c r="BE30" s="1">
        <f>[1]Results!BH1390</f>
        <v>-5.1149698938021668</v>
      </c>
      <c r="BF30" s="1">
        <f>[1]Results!BI1390</f>
        <v>-5.1479809215391201</v>
      </c>
    </row>
    <row r="31" spans="1:58" x14ac:dyDescent="0.35">
      <c r="A31" s="3" t="str">
        <f>[1]Results!E1391</f>
        <v>100*(DISPINC_AT_VAL_2/DISPINC_AT_VAL_0-1)-100*((F_L_2/F_L_0)-1)</v>
      </c>
      <c r="B31" t="str">
        <f>[1]Results!C1391</f>
        <v>Revenu disponible par emploi en valeur</v>
      </c>
      <c r="C31" s="1">
        <f>[1]Results!F1391</f>
        <v>-0.187213315142154</v>
      </c>
      <c r="D31" s="1">
        <f>[1]Results!G1391</f>
        <v>-0.42633981404336385</v>
      </c>
      <c r="E31" s="1">
        <f>[1]Results!H1391</f>
        <v>-0.74893643351843231</v>
      </c>
      <c r="F31" s="1">
        <f>[1]Results!I1391</f>
        <v>-1.1260471687097984</v>
      </c>
      <c r="G31" s="1">
        <f>[1]Results!J1391</f>
        <v>-1.5248264598212375</v>
      </c>
      <c r="H31" s="1">
        <f>[1]Results!K1391</f>
        <v>-1.9209961909208313</v>
      </c>
      <c r="I31" s="1">
        <f>[1]Results!L1391</f>
        <v>-2.2997188448852683</v>
      </c>
      <c r="J31" s="1">
        <f>[1]Results!M1391</f>
        <v>-2.6498439665734725</v>
      </c>
      <c r="K31" s="1">
        <f>[1]Results!N1391</f>
        <v>-2.9653310462973703</v>
      </c>
      <c r="L31" s="1">
        <f>[1]Results!O1391</f>
        <v>-3.2425563284854353</v>
      </c>
      <c r="M31" s="1">
        <f>[1]Results!P1391</f>
        <v>-3.4784235930453211</v>
      </c>
      <c r="N31" s="1">
        <f>[1]Results!Q1391</f>
        <v>-3.6761234706741197</v>
      </c>
      <c r="O31" s="1">
        <f>[1]Results!R1391</f>
        <v>-3.834255122752539</v>
      </c>
      <c r="P31" s="1">
        <f>[1]Results!S1391</f>
        <v>-3.9549992131720728</v>
      </c>
      <c r="Q31" s="1">
        <f>[1]Results!T1391</f>
        <v>-4.041382468582233</v>
      </c>
      <c r="R31" s="1">
        <f>[1]Results!U1391</f>
        <v>-4.0969625259382862</v>
      </c>
      <c r="S31" s="1">
        <f>[1]Results!V1391</f>
        <v>-4.1265384006170311</v>
      </c>
      <c r="T31" s="1">
        <f>[1]Results!W1391</f>
        <v>-4.1339462105491664</v>
      </c>
      <c r="U31" s="1">
        <f>[1]Results!X1391</f>
        <v>-4.123282765630842</v>
      </c>
      <c r="V31" s="1">
        <f>[1]Results!Y1391</f>
        <v>-4.0984805674150753</v>
      </c>
      <c r="W31" s="1">
        <f>[1]Results!Z1391</f>
        <v>-4.0639545824528884</v>
      </c>
      <c r="X31" s="1">
        <f>[1]Results!AA1391</f>
        <v>-4.0209377293569659</v>
      </c>
      <c r="Y31" s="1">
        <f>[1]Results!AB1391</f>
        <v>-3.9735220254554786</v>
      </c>
      <c r="Z31" s="1">
        <f>[1]Results!AC1391</f>
        <v>-3.9240442679101974</v>
      </c>
      <c r="AA31" s="1">
        <f>[1]Results!AD1391</f>
        <v>-3.8744686887098529</v>
      </c>
      <c r="AB31" s="1">
        <f>[1]Results!AE1391</f>
        <v>-3.8285144868118515</v>
      </c>
      <c r="AC31" s="1">
        <f>[1]Results!AF1391</f>
        <v>-3.7826965800713097</v>
      </c>
      <c r="AD31" s="1">
        <f>[1]Results!AG1391</f>
        <v>-3.740238186027689</v>
      </c>
      <c r="AE31" s="1">
        <f>[1]Results!AH1391</f>
        <v>-3.701946816592538</v>
      </c>
      <c r="AF31" s="1">
        <f>[1]Results!AI1391</f>
        <v>-3.6682857939388871</v>
      </c>
      <c r="AG31" s="1">
        <f>[1]Results!AJ1391</f>
        <v>-3.6395277258432941</v>
      </c>
      <c r="AH31" s="1">
        <f>[1]Results!AK1391</f>
        <v>-3.6155292438608377</v>
      </c>
      <c r="AI31" s="1">
        <f>[1]Results!AL1391</f>
        <v>-3.596480508312327</v>
      </c>
      <c r="AJ31" s="1">
        <f>[1]Results!AM1391</f>
        <v>-3.5823781092520148</v>
      </c>
      <c r="AK31" s="1">
        <f>[1]Results!AN1391</f>
        <v>-3.5731178645200039</v>
      </c>
      <c r="AL31" s="1">
        <f>[1]Results!AO1391</f>
        <v>-3.5685374650609933</v>
      </c>
      <c r="AM31" s="1">
        <f>[1]Results!AP1391</f>
        <v>-3.566007756477708</v>
      </c>
      <c r="AN31" s="1">
        <f>[1]Results!AQ1391</f>
        <v>-3.5659818792846636</v>
      </c>
      <c r="AO31" s="1">
        <f>[1]Results!AR1391</f>
        <v>-3.5685204066970506</v>
      </c>
      <c r="AP31" s="1">
        <f>[1]Results!AS1391</f>
        <v>-3.5733223679637494</v>
      </c>
      <c r="AQ31" s="1">
        <f>[1]Results!AT1391</f>
        <v>-3.5800540225470314</v>
      </c>
      <c r="AR31" s="1">
        <f>[1]Results!AU1391</f>
        <v>-3.5880086173742498</v>
      </c>
      <c r="AS31" s="1">
        <f>[1]Results!AV1391</f>
        <v>-3.5973186436041189</v>
      </c>
      <c r="AT31" s="1">
        <f>[1]Results!AW1391</f>
        <v>-3.6080239486258385</v>
      </c>
      <c r="AU31" s="1">
        <f>[1]Results!AX1391</f>
        <v>-3.6201684787344526</v>
      </c>
      <c r="AV31" s="1">
        <f>[1]Results!AY1391</f>
        <v>-3.6338302071224025</v>
      </c>
      <c r="AW31" s="1">
        <f>[1]Results!AZ1391</f>
        <v>-3.6474192189451919</v>
      </c>
      <c r="AX31" s="1">
        <f>[1]Results!BA1391</f>
        <v>-3.6620044352810632</v>
      </c>
      <c r="AY31" s="1">
        <f>[1]Results!BB1391</f>
        <v>-3.6779081943961849</v>
      </c>
      <c r="AZ31" s="1">
        <f>[1]Results!BC1391</f>
        <v>-3.6952333623438864</v>
      </c>
      <c r="BA31" s="1">
        <f>[1]Results!BD1391</f>
        <v>-3.7140584614985936</v>
      </c>
      <c r="BB31" s="1">
        <f>[1]Results!BE1391</f>
        <v>-3.7334260974440916</v>
      </c>
      <c r="BC31" s="1">
        <f>[1]Results!BF1391</f>
        <v>-3.7540976692804868</v>
      </c>
      <c r="BD31" s="1">
        <f>[1]Results!BG1391</f>
        <v>-3.7763955585271685</v>
      </c>
      <c r="BE31" s="1">
        <f>[1]Results!BH1391</f>
        <v>-3.8004683256596552</v>
      </c>
      <c r="BF31" s="1">
        <f>[1]Results!BI1391</f>
        <v>-3.8264171253374899</v>
      </c>
    </row>
    <row r="32" spans="1:58" x14ac:dyDescent="0.35">
      <c r="A32" s="3" t="str">
        <f>[1]Results!E1392</f>
        <v>100*(DISPINC_AT_VAL_2/DISPINC_AT_VAL_0-1)-100*((F_L_2/F_L_0)-1)-100*(PCH_2/PCH_0-1)</v>
      </c>
      <c r="B32" t="str">
        <f>[1]Results!C1392</f>
        <v>Revenu disponible réel par emploi</v>
      </c>
      <c r="C32" s="1">
        <f>[1]Results!F1392</f>
        <v>3.0309071303280533E-2</v>
      </c>
      <c r="D32" s="1">
        <f>[1]Results!G1392</f>
        <v>0.1183116644549842</v>
      </c>
      <c r="E32" s="1">
        <f>[1]Results!H1392</f>
        <v>0.15676249786665819</v>
      </c>
      <c r="F32" s="1">
        <f>[1]Results!I1392</f>
        <v>0.13862401022195492</v>
      </c>
      <c r="G32" s="1">
        <f>[1]Results!J1392</f>
        <v>8.1957378772179901E-2</v>
      </c>
      <c r="H32" s="1">
        <f>[1]Results!K1392</f>
        <v>5.7229540970542558E-3</v>
      </c>
      <c r="I32" s="1">
        <f>[1]Results!L1392</f>
        <v>-7.7004293989580308E-2</v>
      </c>
      <c r="J32" s="1">
        <f>[1]Results!M1392</f>
        <v>-0.15626606955370059</v>
      </c>
      <c r="K32" s="1">
        <f>[1]Results!N1392</f>
        <v>-0.22723459341916774</v>
      </c>
      <c r="L32" s="1">
        <f>[1]Results!O1392</f>
        <v>-0.2872886367065286</v>
      </c>
      <c r="M32" s="1">
        <f>[1]Results!P1392</f>
        <v>-0.33406395078466877</v>
      </c>
      <c r="N32" s="1">
        <f>[1]Results!Q1392</f>
        <v>-0.36973989975815913</v>
      </c>
      <c r="O32" s="1">
        <f>[1]Results!R1392</f>
        <v>-0.39148446043775209</v>
      </c>
      <c r="P32" s="1">
        <f>[1]Results!S1392</f>
        <v>-0.39983442658944091</v>
      </c>
      <c r="Q32" s="1">
        <f>[1]Results!T1392</f>
        <v>-0.3959343657328529</v>
      </c>
      <c r="R32" s="1">
        <f>[1]Results!U1392</f>
        <v>-0.38125927810249749</v>
      </c>
      <c r="S32" s="1">
        <f>[1]Results!V1392</f>
        <v>-0.35812523807126162</v>
      </c>
      <c r="T32" s="1">
        <f>[1]Results!W1392</f>
        <v>-0.32768740203110713</v>
      </c>
      <c r="U32" s="1">
        <f>[1]Results!X1392</f>
        <v>-0.29166205041504201</v>
      </c>
      <c r="V32" s="1">
        <f>[1]Results!Y1392</f>
        <v>-0.2518350253441386</v>
      </c>
      <c r="W32" s="1">
        <f>[1]Results!Z1392</f>
        <v>-0.21046455600730551</v>
      </c>
      <c r="X32" s="1">
        <f>[1]Results!AA1392</f>
        <v>-0.16726505331082775</v>
      </c>
      <c r="Y32" s="1">
        <f>[1]Results!AB1392</f>
        <v>-0.12481012109257827</v>
      </c>
      <c r="Z32" s="1">
        <f>[1]Results!AC1392</f>
        <v>-8.405247253512238E-2</v>
      </c>
      <c r="AA32" s="1">
        <f>[1]Results!AD1392</f>
        <v>-4.5727661950145215E-2</v>
      </c>
      <c r="AB32" s="1">
        <f>[1]Results!AE1392</f>
        <v>-1.1951404953203237E-2</v>
      </c>
      <c r="AC32" s="1">
        <f>[1]Results!AF1392</f>
        <v>2.1288578423872551E-2</v>
      </c>
      <c r="AD32" s="1">
        <f>[1]Results!AG1392</f>
        <v>5.1044578205294844E-2</v>
      </c>
      <c r="AE32" s="1">
        <f>[1]Results!AH1392</f>
        <v>7.6780962633660632E-2</v>
      </c>
      <c r="AF32" s="1">
        <f>[1]Results!AI1392</f>
        <v>9.8300085234114043E-2</v>
      </c>
      <c r="AG32" s="1">
        <f>[1]Results!AJ1392</f>
        <v>0.11556284703366826</v>
      </c>
      <c r="AH32" s="1">
        <f>[1]Results!AK1392</f>
        <v>0.12894205487036237</v>
      </c>
      <c r="AI32" s="1">
        <f>[1]Results!AL1392</f>
        <v>0.1382441492307489</v>
      </c>
      <c r="AJ32" s="1">
        <f>[1]Results!AM1392</f>
        <v>0.14345741162321657</v>
      </c>
      <c r="AK32" s="1">
        <f>[1]Results!AN1392</f>
        <v>0.14465238070702169</v>
      </c>
      <c r="AL32" s="1">
        <f>[1]Results!AO1392</f>
        <v>0.1419339037450964</v>
      </c>
      <c r="AM32" s="1">
        <f>[1]Results!AP1392</f>
        <v>0.13868925201350102</v>
      </c>
      <c r="AN32" s="1">
        <f>[1]Results!AQ1392</f>
        <v>0.1332715111493683</v>
      </c>
      <c r="AO32" s="1">
        <f>[1]Results!AR1392</f>
        <v>0.12484434044889348</v>
      </c>
      <c r="AP32" s="1">
        <f>[1]Results!AS1392</f>
        <v>0.11329472488849079</v>
      </c>
      <c r="AQ32" s="1">
        <f>[1]Results!AT1392</f>
        <v>9.8793395262462891E-2</v>
      </c>
      <c r="AR32" s="1">
        <f>[1]Results!AU1392</f>
        <v>8.2187511436226934E-2</v>
      </c>
      <c r="AS32" s="1">
        <f>[1]Results!AV1392</f>
        <v>6.3232654079881545E-2</v>
      </c>
      <c r="AT32" s="1">
        <f>[1]Results!AW1392</f>
        <v>4.1889820375495379E-2</v>
      </c>
      <c r="AU32" s="1">
        <f>[1]Results!AX1392</f>
        <v>1.819958293991597E-2</v>
      </c>
      <c r="AV32" s="1">
        <f>[1]Results!AY1392</f>
        <v>-7.7780880825337739E-3</v>
      </c>
      <c r="AW32" s="1">
        <f>[1]Results!AZ1392</f>
        <v>-3.3659618712767347E-2</v>
      </c>
      <c r="AX32" s="1">
        <f>[1]Results!BA1392</f>
        <v>-6.0951798009478697E-2</v>
      </c>
      <c r="AY32" s="1">
        <f>[1]Results!BB1392</f>
        <v>-9.0165043361312591E-2</v>
      </c>
      <c r="AZ32" s="1">
        <f>[1]Results!BC1392</f>
        <v>-0.12137829145073598</v>
      </c>
      <c r="BA32" s="1">
        <f>[1]Results!BD1392</f>
        <v>-0.15451523441421067</v>
      </c>
      <c r="BB32" s="1">
        <f>[1]Results!BE1392</f>
        <v>-0.18795308795799182</v>
      </c>
      <c r="BC32" s="1">
        <f>[1]Results!BF1392</f>
        <v>-0.22262210005624627</v>
      </c>
      <c r="BD32" s="1">
        <f>[1]Results!BG1392</f>
        <v>-0.25887951321906844</v>
      </c>
      <c r="BE32" s="1">
        <f>[1]Results!BH1392</f>
        <v>-0.29679020823990454</v>
      </c>
      <c r="BF32" s="1">
        <f>[1]Results!BI1392</f>
        <v>-0.33629924231413177</v>
      </c>
    </row>
    <row r="33" spans="1:58" x14ac:dyDescent="0.35">
      <c r="A33" s="3" t="str">
        <f>[1]Results!E1393</f>
        <v>100*(MPS_n_2-MPS_n_0)</v>
      </c>
      <c r="B33" t="str">
        <f>[1]Results!C1393</f>
        <v>Taux d'épargne</v>
      </c>
      <c r="C33" s="1">
        <f>[1]Results!F1393</f>
        <v>0</v>
      </c>
      <c r="D33" s="1">
        <f>[1]Results!G1393</f>
        <v>0</v>
      </c>
      <c r="E33" s="1">
        <f>[1]Results!H1393</f>
        <v>0</v>
      </c>
      <c r="F33" s="1">
        <f>[1]Results!I1393</f>
        <v>0</v>
      </c>
      <c r="G33" s="1">
        <f>[1]Results!J1393</f>
        <v>0</v>
      </c>
      <c r="H33" s="1">
        <f>[1]Results!K1393</f>
        <v>0</v>
      </c>
      <c r="I33" s="1">
        <f>[1]Results!L1393</f>
        <v>0</v>
      </c>
      <c r="J33" s="1">
        <f>[1]Results!M1393</f>
        <v>0</v>
      </c>
      <c r="K33" s="1">
        <f>[1]Results!N1393</f>
        <v>0</v>
      </c>
      <c r="L33" s="1">
        <f>[1]Results!O1393</f>
        <v>0</v>
      </c>
      <c r="M33" s="1">
        <f>[1]Results!P1393</f>
        <v>0</v>
      </c>
      <c r="N33" s="1">
        <f>[1]Results!Q1393</f>
        <v>0</v>
      </c>
      <c r="O33" s="1">
        <f>[1]Results!R1393</f>
        <v>0</v>
      </c>
      <c r="P33" s="1">
        <f>[1]Results!S1393</f>
        <v>0</v>
      </c>
      <c r="Q33" s="1">
        <f>[1]Results!T1393</f>
        <v>0</v>
      </c>
      <c r="R33" s="1">
        <f>[1]Results!U1393</f>
        <v>0</v>
      </c>
      <c r="S33" s="1">
        <f>[1]Results!V1393</f>
        <v>0</v>
      </c>
      <c r="T33" s="1">
        <f>[1]Results!W1393</f>
        <v>0</v>
      </c>
      <c r="U33" s="1">
        <f>[1]Results!X1393</f>
        <v>0</v>
      </c>
      <c r="V33" s="1">
        <f>[1]Results!Y1393</f>
        <v>0</v>
      </c>
      <c r="W33" s="1">
        <f>[1]Results!Z1393</f>
        <v>0</v>
      </c>
      <c r="X33" s="1">
        <f>[1]Results!AA1393</f>
        <v>0</v>
      </c>
      <c r="Y33" s="1">
        <f>[1]Results!AB1393</f>
        <v>0</v>
      </c>
      <c r="Z33" s="1">
        <f>[1]Results!AC1393</f>
        <v>0</v>
      </c>
      <c r="AA33" s="1">
        <f>[1]Results!AD1393</f>
        <v>0</v>
      </c>
      <c r="AB33" s="1">
        <f>[1]Results!AE1393</f>
        <v>0</v>
      </c>
      <c r="AC33" s="1">
        <f>[1]Results!AF1393</f>
        <v>0</v>
      </c>
      <c r="AD33" s="1">
        <f>[1]Results!AG1393</f>
        <v>0</v>
      </c>
      <c r="AE33" s="1">
        <f>[1]Results!AH1393</f>
        <v>0</v>
      </c>
      <c r="AF33" s="1">
        <f>[1]Results!AI1393</f>
        <v>0</v>
      </c>
      <c r="AG33" s="1">
        <f>[1]Results!AJ1393</f>
        <v>0</v>
      </c>
      <c r="AH33" s="1">
        <f>[1]Results!AK1393</f>
        <v>0</v>
      </c>
      <c r="AI33" s="1">
        <f>[1]Results!AL1393</f>
        <v>0</v>
      </c>
      <c r="AJ33" s="1">
        <f>[1]Results!AM1393</f>
        <v>0</v>
      </c>
      <c r="AK33" s="1">
        <f>[1]Results!AN1393</f>
        <v>0</v>
      </c>
      <c r="AL33" s="1">
        <f>[1]Results!AO1393</f>
        <v>0</v>
      </c>
      <c r="AM33" s="1">
        <f>[1]Results!AP1393</f>
        <v>0</v>
      </c>
      <c r="AN33" s="1">
        <f>[1]Results!AQ1393</f>
        <v>0</v>
      </c>
      <c r="AO33" s="1">
        <f>[1]Results!AR1393</f>
        <v>0</v>
      </c>
      <c r="AP33" s="1">
        <f>[1]Results!AS1393</f>
        <v>0</v>
      </c>
      <c r="AQ33" s="1">
        <f>[1]Results!AT1393</f>
        <v>0</v>
      </c>
      <c r="AR33" s="1">
        <f>[1]Results!AU1393</f>
        <v>0</v>
      </c>
      <c r="AS33" s="1">
        <f>[1]Results!AV1393</f>
        <v>0</v>
      </c>
      <c r="AT33" s="1">
        <f>[1]Results!AW1393</f>
        <v>0</v>
      </c>
      <c r="AU33" s="1">
        <f>[1]Results!AX1393</f>
        <v>0</v>
      </c>
      <c r="AV33" s="1">
        <f>[1]Results!AY1393</f>
        <v>0</v>
      </c>
      <c r="AW33" s="1">
        <f>[1]Results!AZ1393</f>
        <v>0</v>
      </c>
      <c r="AX33" s="1">
        <f>[1]Results!BA1393</f>
        <v>0</v>
      </c>
      <c r="AY33" s="1">
        <f>[1]Results!BB1393</f>
        <v>0</v>
      </c>
      <c r="AZ33" s="1">
        <f>[1]Results!BC1393</f>
        <v>0</v>
      </c>
      <c r="BA33" s="1">
        <f>[1]Results!BD1393</f>
        <v>0</v>
      </c>
      <c r="BB33" s="1">
        <f>[1]Results!BE1393</f>
        <v>0</v>
      </c>
      <c r="BC33" s="1">
        <f>[1]Results!BF1393</f>
        <v>0</v>
      </c>
      <c r="BD33" s="1">
        <f>[1]Results!BG1393</f>
        <v>0</v>
      </c>
      <c r="BE33" s="1">
        <f>[1]Results!BH1393</f>
        <v>0</v>
      </c>
      <c r="BF33" s="1">
        <f>[1]Results!BI1393</f>
        <v>0</v>
      </c>
    </row>
    <row r="34" spans="1:58" x14ac:dyDescent="0.35">
      <c r="A34" s="3" t="str">
        <f>[1]Results!E1394</f>
        <v>100*(PCH_2/PCH_0-1)</v>
      </c>
      <c r="B34" t="str">
        <f>[1]Results!C1394</f>
        <v>Prix à la consommation des ménages</v>
      </c>
      <c r="C34" s="1">
        <f>[1]Results!F1394</f>
        <v>-0.83027531351649309</v>
      </c>
      <c r="D34" s="1">
        <f>[1]Results!G1394</f>
        <v>-1.477452784814548</v>
      </c>
      <c r="E34" s="1">
        <f>[1]Results!H1394</f>
        <v>-2.0053961893337746</v>
      </c>
      <c r="F34" s="1">
        <f>[1]Results!I1394</f>
        <v>-2.4440585846240981</v>
      </c>
      <c r="G34" s="1">
        <f>[1]Results!J1394</f>
        <v>-2.8064432168572124</v>
      </c>
      <c r="H34" s="1">
        <f>[1]Results!K1394</f>
        <v>-3.1010683668752255</v>
      </c>
      <c r="I34" s="1">
        <f>[1]Results!L1394</f>
        <v>-3.3380388315440328</v>
      </c>
      <c r="J34" s="1">
        <f>[1]Results!M1394</f>
        <v>-3.5249494767432439</v>
      </c>
      <c r="K34" s="1">
        <f>[1]Results!N1394</f>
        <v>-3.6708439047052788</v>
      </c>
      <c r="L34" s="1">
        <f>[1]Results!O1394</f>
        <v>-3.7839844487179142</v>
      </c>
      <c r="M34" s="1">
        <f>[1]Results!P1394</f>
        <v>-3.8699888419492012</v>
      </c>
      <c r="N34" s="1">
        <f>[1]Results!Q1394</f>
        <v>-3.9402528741308784</v>
      </c>
      <c r="O34" s="1">
        <f>[1]Results!R1394</f>
        <v>-3.9957198206467148</v>
      </c>
      <c r="P34" s="1">
        <f>[1]Results!S1394</f>
        <v>-4.0390032394744821</v>
      </c>
      <c r="Q34" s="1">
        <f>[1]Results!T1394</f>
        <v>-4.072312202981232</v>
      </c>
      <c r="R34" s="1">
        <f>[1]Results!U1394</f>
        <v>-4.0975492607562725</v>
      </c>
      <c r="S34" s="1">
        <f>[1]Results!V1394</f>
        <v>-4.1190900606337681</v>
      </c>
      <c r="T34" s="1">
        <f>[1]Results!W1394</f>
        <v>-4.1375786883218302</v>
      </c>
      <c r="U34" s="1">
        <f>[1]Results!X1394</f>
        <v>-4.1538745766525711</v>
      </c>
      <c r="V34" s="1">
        <f>[1]Results!Y1394</f>
        <v>-4.1689174709774406</v>
      </c>
      <c r="W34" s="1">
        <f>[1]Results!Z1394</f>
        <v>-4.184471963230207</v>
      </c>
      <c r="X34" s="1">
        <f>[1]Results!AA1394</f>
        <v>-4.1991591134228798</v>
      </c>
      <c r="Y34" s="1">
        <f>[1]Results!AB1394</f>
        <v>-4.2150380783930181</v>
      </c>
      <c r="Z34" s="1">
        <f>[1]Results!AC1394</f>
        <v>-4.232653243484318</v>
      </c>
      <c r="AA34" s="1">
        <f>[1]Results!AD1394</f>
        <v>-4.252378642382503</v>
      </c>
      <c r="AB34" s="1">
        <f>[1]Results!AE1394</f>
        <v>-4.2766257482349861</v>
      </c>
      <c r="AC34" s="1">
        <f>[1]Results!AF1394</f>
        <v>-4.2997728095482195</v>
      </c>
      <c r="AD34" s="1">
        <f>[1]Results!AG1394</f>
        <v>-4.3242860868764943</v>
      </c>
      <c r="AE34" s="1">
        <f>[1]Results!AH1394</f>
        <v>-4.3504915592891269</v>
      </c>
      <c r="AF34" s="1">
        <f>[1]Results!AI1394</f>
        <v>-4.3784790881158839</v>
      </c>
      <c r="AG34" s="1">
        <f>[1]Results!AJ1394</f>
        <v>-4.4082070672450726</v>
      </c>
      <c r="AH34" s="1">
        <f>[1]Results!AK1394</f>
        <v>-4.4390411083580545</v>
      </c>
      <c r="AI34" s="1">
        <f>[1]Results!AL1394</f>
        <v>-4.4710490509192287</v>
      </c>
      <c r="AJ34" s="1">
        <f>[1]Results!AM1394</f>
        <v>-4.5042140256490111</v>
      </c>
      <c r="AK34" s="1">
        <f>[1]Results!AN1394</f>
        <v>-4.5384691993521908</v>
      </c>
      <c r="AL34" s="1">
        <f>[1]Results!AO1394</f>
        <v>-4.5737274346872461</v>
      </c>
      <c r="AM34" s="1">
        <f>[1]Results!AP1394</f>
        <v>-4.6057948295726074</v>
      </c>
      <c r="AN34" s="1">
        <f>[1]Results!AQ1394</f>
        <v>-4.6355819533669624</v>
      </c>
      <c r="AO34" s="1">
        <f>[1]Results!AR1394</f>
        <v>-4.6641211695985341</v>
      </c>
      <c r="AP34" s="1">
        <f>[1]Results!AS1394</f>
        <v>-4.6920093579553743</v>
      </c>
      <c r="AQ34" s="1">
        <f>[1]Results!AT1394</f>
        <v>-4.7196143077045232</v>
      </c>
      <c r="AR34" s="1">
        <f>[1]Results!AU1394</f>
        <v>-4.7465206183112558</v>
      </c>
      <c r="AS34" s="1">
        <f>[1]Results!AV1394</f>
        <v>-4.7732423881567616</v>
      </c>
      <c r="AT34" s="1">
        <f>[1]Results!AW1394</f>
        <v>-4.8001720523244593</v>
      </c>
      <c r="AU34" s="1">
        <f>[1]Results!AX1394</f>
        <v>-4.8276093802136035</v>
      </c>
      <c r="AV34" s="1">
        <f>[1]Results!AY1394</f>
        <v>-4.8557946049681782</v>
      </c>
      <c r="AW34" s="1">
        <f>[1]Results!AZ1394</f>
        <v>-4.8826636234599379</v>
      </c>
      <c r="AX34" s="1">
        <f>[1]Results!BA1394</f>
        <v>-4.9093659214399903</v>
      </c>
      <c r="AY34" s="1">
        <f>[1]Results!BB1394</f>
        <v>-4.9366003724082619</v>
      </c>
      <c r="AZ34" s="1">
        <f>[1]Results!BC1394</f>
        <v>-4.964738609893649</v>
      </c>
      <c r="BA34" s="1">
        <f>[1]Results!BD1394</f>
        <v>-4.9939735856257332</v>
      </c>
      <c r="BB34" s="1">
        <f>[1]Results!BE1394</f>
        <v>-5.023073744949901</v>
      </c>
      <c r="BC34" s="1">
        <f>[1]Results!BF1394</f>
        <v>-5.0526929994041625</v>
      </c>
      <c r="BD34" s="1">
        <f>[1]Results!BG1394</f>
        <v>-5.0832481284773143</v>
      </c>
      <c r="BE34" s="1">
        <f>[1]Results!BH1394</f>
        <v>-5.1149698938021668</v>
      </c>
      <c r="BF34" s="1">
        <f>[1]Results!BI1394</f>
        <v>-5.1479809215391201</v>
      </c>
    </row>
    <row r="35" spans="1:58" x14ac:dyDescent="0.35">
      <c r="A35" s="3" t="str">
        <f>[1]Results!E1395</f>
        <v>100*(PY_2/PY_0-1)</v>
      </c>
      <c r="B35" t="str">
        <f>[1]Results!C1395</f>
        <v>Prix à la production marchande</v>
      </c>
      <c r="C35" s="1">
        <f>[1]Results!F1395</f>
        <v>-0.27102548775410629</v>
      </c>
      <c r="D35" s="1">
        <f>[1]Results!G1395</f>
        <v>-0.6755120557786376</v>
      </c>
      <c r="E35" s="1">
        <f>[1]Results!H1395</f>
        <v>-1.1188971070935971</v>
      </c>
      <c r="F35" s="1">
        <f>[1]Results!I1395</f>
        <v>-1.5558767714504484</v>
      </c>
      <c r="G35" s="1">
        <f>[1]Results!J1395</f>
        <v>-1.9682934392435847</v>
      </c>
      <c r="H35" s="1">
        <f>[1]Results!K1395</f>
        <v>-2.3503947435712824</v>
      </c>
      <c r="I35" s="1">
        <f>[1]Results!L1395</f>
        <v>-2.7010645117462428</v>
      </c>
      <c r="J35" s="1">
        <f>[1]Results!M1395</f>
        <v>-3.0197670714461999</v>
      </c>
      <c r="K35" s="1">
        <f>[1]Results!N1395</f>
        <v>-3.3057943759434827</v>
      </c>
      <c r="L35" s="1">
        <f>[1]Results!O1395</f>
        <v>-3.5585050544681973</v>
      </c>
      <c r="M35" s="1">
        <f>[1]Results!P1395</f>
        <v>-3.7774406808520178</v>
      </c>
      <c r="N35" s="1">
        <f>[1]Results!Q1395</f>
        <v>-3.9641795796503954</v>
      </c>
      <c r="O35" s="1">
        <f>[1]Results!R1395</f>
        <v>-4.1206325450096504</v>
      </c>
      <c r="P35" s="1">
        <f>[1]Results!S1395</f>
        <v>-4.2489328262039656</v>
      </c>
      <c r="Q35" s="1">
        <f>[1]Results!T1395</f>
        <v>-4.3514196527248306</v>
      </c>
      <c r="R35" s="1">
        <f>[1]Results!U1395</f>
        <v>-4.4306095324427197</v>
      </c>
      <c r="S35" s="1">
        <f>[1]Results!V1395</f>
        <v>-4.4894794548492651</v>
      </c>
      <c r="T35" s="1">
        <f>[1]Results!W1395</f>
        <v>-4.5311750113002365</v>
      </c>
      <c r="U35" s="1">
        <f>[1]Results!X1395</f>
        <v>-4.5584623275399361</v>
      </c>
      <c r="V35" s="1">
        <f>[1]Results!Y1395</f>
        <v>-4.5738029438869177</v>
      </c>
      <c r="W35" s="1">
        <f>[1]Results!Z1395</f>
        <v>-4.5796376011852935</v>
      </c>
      <c r="X35" s="1">
        <f>[1]Results!AA1395</f>
        <v>-4.5777080325535513</v>
      </c>
      <c r="Y35" s="1">
        <f>[1]Results!AB1395</f>
        <v>-4.5697286528679326</v>
      </c>
      <c r="Z35" s="1">
        <f>[1]Results!AC1395</f>
        <v>-4.5572687530937568</v>
      </c>
      <c r="AA35" s="1">
        <f>[1]Results!AD1395</f>
        <v>-4.5417318951248786</v>
      </c>
      <c r="AB35" s="1">
        <f>[1]Results!AE1395</f>
        <v>-4.5249053281411156</v>
      </c>
      <c r="AC35" s="1">
        <f>[1]Results!AF1395</f>
        <v>-4.5074487306810074</v>
      </c>
      <c r="AD35" s="1">
        <f>[1]Results!AG1395</f>
        <v>-4.4896575850937426</v>
      </c>
      <c r="AE35" s="1">
        <f>[1]Results!AH1395</f>
        <v>-4.4718402729139743</v>
      </c>
      <c r="AF35" s="1">
        <f>[1]Results!AI1395</f>
        <v>-4.4543206451930111</v>
      </c>
      <c r="AG35" s="1">
        <f>[1]Results!AJ1395</f>
        <v>-4.437393630596576</v>
      </c>
      <c r="AH35" s="1">
        <f>[1]Results!AK1395</f>
        <v>-4.4213523766278628</v>
      </c>
      <c r="AI35" s="1">
        <f>[1]Results!AL1395</f>
        <v>-4.4062084577293774</v>
      </c>
      <c r="AJ35" s="1">
        <f>[1]Results!AM1395</f>
        <v>-4.3919591016761466</v>
      </c>
      <c r="AK35" s="1">
        <f>[1]Results!AN1395</f>
        <v>-4.3785823065081164</v>
      </c>
      <c r="AL35" s="1">
        <f>[1]Results!AO1395</f>
        <v>-4.3660299520998702</v>
      </c>
      <c r="AM35" s="1">
        <f>[1]Results!AP1395</f>
        <v>-4.3552120877370815</v>
      </c>
      <c r="AN35" s="1">
        <f>[1]Results!AQ1395</f>
        <v>-4.3446943856493503</v>
      </c>
      <c r="AO35" s="1">
        <f>[1]Results!AR1395</f>
        <v>-4.3335413356957453</v>
      </c>
      <c r="AP35" s="1">
        <f>[1]Results!AS1395</f>
        <v>-4.3212881436110013</v>
      </c>
      <c r="AQ35" s="1">
        <f>[1]Results!AT1395</f>
        <v>-4.3077963345235286</v>
      </c>
      <c r="AR35" s="1">
        <f>[1]Results!AU1395</f>
        <v>-4.2932988006078476</v>
      </c>
      <c r="AS35" s="1">
        <f>[1]Results!AV1395</f>
        <v>-4.2777121155813784</v>
      </c>
      <c r="AT35" s="1">
        <f>[1]Results!AW1395</f>
        <v>-4.2610755806864802</v>
      </c>
      <c r="AU35" s="1">
        <f>[1]Results!AX1395</f>
        <v>-4.2435213617860734</v>
      </c>
      <c r="AV35" s="1">
        <f>[1]Results!AY1395</f>
        <v>-4.2252386794517705</v>
      </c>
      <c r="AW35" s="1">
        <f>[1]Results!AZ1395</f>
        <v>-4.2072015164397625</v>
      </c>
      <c r="AX35" s="1">
        <f>[1]Results!BA1395</f>
        <v>-4.1888711254972506</v>
      </c>
      <c r="AY35" s="1">
        <f>[1]Results!BB1395</f>
        <v>-4.1700010867649517</v>
      </c>
      <c r="AZ35" s="1">
        <f>[1]Results!BC1395</f>
        <v>-4.1506177953870793</v>
      </c>
      <c r="BA35" s="1">
        <f>[1]Results!BD1395</f>
        <v>-4.1309180925302442</v>
      </c>
      <c r="BB35" s="1">
        <f>[1]Results!BE1395</f>
        <v>-4.1117176236615594</v>
      </c>
      <c r="BC35" s="1">
        <f>[1]Results!BF1395</f>
        <v>-4.0928110454567683</v>
      </c>
      <c r="BD35" s="1">
        <f>[1]Results!BG1395</f>
        <v>-4.0741442008255131</v>
      </c>
      <c r="BE35" s="1">
        <f>[1]Results!BH1395</f>
        <v>-4.0558128554427757</v>
      </c>
      <c r="BF35" s="1">
        <f>[1]Results!BI1395</f>
        <v>-4.038004585951338</v>
      </c>
    </row>
    <row r="36" spans="1:58" x14ac:dyDescent="0.35">
      <c r="A36" s="3" t="str">
        <f>[1]Results!E1396</f>
        <v>100*(PX_2/PX_0-1)</v>
      </c>
      <c r="B36" t="str">
        <f>[1]Results!C1396</f>
        <v>Prix des exportations</v>
      </c>
      <c r="C36" s="1">
        <f>[1]Results!F1396</f>
        <v>-0.3186550483131767</v>
      </c>
      <c r="D36" s="1">
        <f>[1]Results!G1396</f>
        <v>-0.71090682205749989</v>
      </c>
      <c r="E36" s="1">
        <f>[1]Results!H1396</f>
        <v>-1.0962453409300799</v>
      </c>
      <c r="F36" s="1">
        <f>[1]Results!I1396</f>
        <v>-1.451589390839747</v>
      </c>
      <c r="G36" s="1">
        <f>[1]Results!J1396</f>
        <v>-1.7742519783866206</v>
      </c>
      <c r="H36" s="1">
        <f>[1]Results!K1396</f>
        <v>-2.0673032845866413</v>
      </c>
      <c r="I36" s="1">
        <f>[1]Results!L1396</f>
        <v>-2.3340616970643491</v>
      </c>
      <c r="J36" s="1">
        <f>[1]Results!M1396</f>
        <v>-2.5759272789454446</v>
      </c>
      <c r="K36" s="1">
        <f>[1]Results!N1396</f>
        <v>-2.7928173507105192</v>
      </c>
      <c r="L36" s="1">
        <f>[1]Results!O1396</f>
        <v>-2.9841087849645231</v>
      </c>
      <c r="M36" s="1">
        <f>[1]Results!P1396</f>
        <v>-3.1491990116477742</v>
      </c>
      <c r="N36" s="1">
        <f>[1]Results!Q1396</f>
        <v>-3.2893433420399631</v>
      </c>
      <c r="O36" s="1">
        <f>[1]Results!R1396</f>
        <v>-3.405857365235232</v>
      </c>
      <c r="P36" s="1">
        <f>[1]Results!S1396</f>
        <v>-3.500288261907647</v>
      </c>
      <c r="Q36" s="1">
        <f>[1]Results!T1396</f>
        <v>-3.5744698781348783</v>
      </c>
      <c r="R36" s="1">
        <f>[1]Results!U1396</f>
        <v>-3.6304531230512249</v>
      </c>
      <c r="S36" s="1">
        <f>[1]Results!V1396</f>
        <v>-3.6710350485268495</v>
      </c>
      <c r="T36" s="1">
        <f>[1]Results!W1396</f>
        <v>-3.6986506972163102</v>
      </c>
      <c r="U36" s="1">
        <f>[1]Results!X1396</f>
        <v>-3.7154174153788189</v>
      </c>
      <c r="V36" s="1">
        <f>[1]Results!Y1396</f>
        <v>-3.7232503169833731</v>
      </c>
      <c r="W36" s="1">
        <f>[1]Results!Z1396</f>
        <v>-3.7240583359078205</v>
      </c>
      <c r="X36" s="1">
        <f>[1]Results!AA1396</f>
        <v>-3.7192697112065409</v>
      </c>
      <c r="Y36" s="1">
        <f>[1]Results!AB1396</f>
        <v>-3.7101918676236911</v>
      </c>
      <c r="Z36" s="1">
        <f>[1]Results!AC1396</f>
        <v>-3.6980332603243182</v>
      </c>
      <c r="AA36" s="1">
        <f>[1]Results!AD1396</f>
        <v>-3.6838738663543702</v>
      </c>
      <c r="AB36" s="1">
        <f>[1]Results!AE1396</f>
        <v>-3.6690671277891829</v>
      </c>
      <c r="AC36" s="1">
        <f>[1]Results!AF1396</f>
        <v>-3.6541127540694496</v>
      </c>
      <c r="AD36" s="1">
        <f>[1]Results!AG1396</f>
        <v>-3.6392267055552985</v>
      </c>
      <c r="AE36" s="1">
        <f>[1]Results!AH1396</f>
        <v>-3.6246233372086989</v>
      </c>
      <c r="AF36" s="1">
        <f>[1]Results!AI1396</f>
        <v>-3.6105114842038377</v>
      </c>
      <c r="AG36" s="1">
        <f>[1]Results!AJ1396</f>
        <v>-3.5970761853306832</v>
      </c>
      <c r="AH36" s="1">
        <f>[1]Results!AK1396</f>
        <v>-3.5844413210436632</v>
      </c>
      <c r="AI36" s="1">
        <f>[1]Results!AL1396</f>
        <v>-3.5726124379306667</v>
      </c>
      <c r="AJ36" s="1">
        <f>[1]Results!AM1396</f>
        <v>-3.5615834250210199</v>
      </c>
      <c r="AK36" s="1">
        <f>[1]Results!AN1396</f>
        <v>-3.5513256059474085</v>
      </c>
      <c r="AL36" s="1">
        <f>[1]Results!AO1396</f>
        <v>-3.5417850134419449</v>
      </c>
      <c r="AM36" s="1">
        <f>[1]Results!AP1396</f>
        <v>-3.5331259289178907</v>
      </c>
      <c r="AN36" s="1">
        <f>[1]Results!AQ1396</f>
        <v>-3.5244968007997035</v>
      </c>
      <c r="AO36" s="1">
        <f>[1]Results!AR1396</f>
        <v>-3.5153528930147449</v>
      </c>
      <c r="AP36" s="1">
        <f>[1]Results!AS1396</f>
        <v>-3.5054048188823184</v>
      </c>
      <c r="AQ36" s="1">
        <f>[1]Results!AT1396</f>
        <v>-3.4945565618846319</v>
      </c>
      <c r="AR36" s="1">
        <f>[1]Results!AU1396</f>
        <v>-3.4828999553617512</v>
      </c>
      <c r="AS36" s="1">
        <f>[1]Results!AV1396</f>
        <v>-3.4703922626486805</v>
      </c>
      <c r="AT36" s="1">
        <f>[1]Results!AW1396</f>
        <v>-3.4570773912006025</v>
      </c>
      <c r="AU36" s="1">
        <f>[1]Results!AX1396</f>
        <v>-3.4430603350123934</v>
      </c>
      <c r="AV36" s="1">
        <f>[1]Results!AY1396</f>
        <v>-3.4284856129431218</v>
      </c>
      <c r="AW36" s="1">
        <f>[1]Results!AZ1396</f>
        <v>-3.4138639022231021</v>
      </c>
      <c r="AX36" s="1">
        <f>[1]Results!BA1396</f>
        <v>-3.3988979048956924</v>
      </c>
      <c r="AY36" s="1">
        <f>[1]Results!BB1396</f>
        <v>-3.3834785777085652</v>
      </c>
      <c r="AZ36" s="1">
        <f>[1]Results!BC1396</f>
        <v>-3.3676622642314857</v>
      </c>
      <c r="BA36" s="1">
        <f>[1]Results!BD1396</f>
        <v>-3.351614025934968</v>
      </c>
      <c r="BB36" s="1">
        <f>[1]Results!BE1396</f>
        <v>-3.3358306634934221</v>
      </c>
      <c r="BC36" s="1">
        <f>[1]Results!BF1396</f>
        <v>-3.3202262725638976</v>
      </c>
      <c r="BD36" s="1">
        <f>[1]Results!BG1396</f>
        <v>-3.3048040333904072</v>
      </c>
      <c r="BE36" s="1">
        <f>[1]Results!BH1396</f>
        <v>-3.2896540618748249</v>
      </c>
      <c r="BF36" s="1">
        <f>[1]Results!BI1396</f>
        <v>-3.2749248317134882</v>
      </c>
    </row>
    <row r="37" spans="1:58" x14ac:dyDescent="0.35">
      <c r="A37" s="3" t="str">
        <f>[1]Results!E1397</f>
        <v>100*(PM_2/PM_0-1)</v>
      </c>
      <c r="B37" t="str">
        <f>[1]Results!C1397</f>
        <v>Prix des importations</v>
      </c>
      <c r="C37" s="1">
        <f>[1]Results!F1397</f>
        <v>0</v>
      </c>
      <c r="D37" s="1">
        <f>[1]Results!G1397</f>
        <v>0</v>
      </c>
      <c r="E37" s="1">
        <f>[1]Results!H1397</f>
        <v>0</v>
      </c>
      <c r="F37" s="1">
        <f>[1]Results!I1397</f>
        <v>0</v>
      </c>
      <c r="G37" s="1">
        <f>[1]Results!J1397</f>
        <v>0</v>
      </c>
      <c r="H37" s="1">
        <f>[1]Results!K1397</f>
        <v>0</v>
      </c>
      <c r="I37" s="1">
        <f>[1]Results!L1397</f>
        <v>0</v>
      </c>
      <c r="J37" s="1">
        <f>[1]Results!M1397</f>
        <v>0</v>
      </c>
      <c r="K37" s="1">
        <f>[1]Results!N1397</f>
        <v>0</v>
      </c>
      <c r="L37" s="1">
        <f>[1]Results!O1397</f>
        <v>0</v>
      </c>
      <c r="M37" s="1">
        <f>[1]Results!P1397</f>
        <v>0</v>
      </c>
      <c r="N37" s="1">
        <f>[1]Results!Q1397</f>
        <v>0</v>
      </c>
      <c r="O37" s="1">
        <f>[1]Results!R1397</f>
        <v>0</v>
      </c>
      <c r="P37" s="1">
        <f>[1]Results!S1397</f>
        <v>0</v>
      </c>
      <c r="Q37" s="1">
        <f>[1]Results!T1397</f>
        <v>0</v>
      </c>
      <c r="R37" s="1">
        <f>[1]Results!U1397</f>
        <v>0</v>
      </c>
      <c r="S37" s="1">
        <f>[1]Results!V1397</f>
        <v>0</v>
      </c>
      <c r="T37" s="1">
        <f>[1]Results!W1397</f>
        <v>0</v>
      </c>
      <c r="U37" s="1">
        <f>[1]Results!X1397</f>
        <v>0</v>
      </c>
      <c r="V37" s="1">
        <f>[1]Results!Y1397</f>
        <v>0</v>
      </c>
      <c r="W37" s="1">
        <f>[1]Results!Z1397</f>
        <v>0</v>
      </c>
      <c r="X37" s="1">
        <f>[1]Results!AA1397</f>
        <v>0</v>
      </c>
      <c r="Y37" s="1">
        <f>[1]Results!AB1397</f>
        <v>0</v>
      </c>
      <c r="Z37" s="1">
        <f>[1]Results!AC1397</f>
        <v>0</v>
      </c>
      <c r="AA37" s="1">
        <f>[1]Results!AD1397</f>
        <v>0</v>
      </c>
      <c r="AB37" s="1">
        <f>[1]Results!AE1397</f>
        <v>0</v>
      </c>
      <c r="AC37" s="1">
        <f>[1]Results!AF1397</f>
        <v>0</v>
      </c>
      <c r="AD37" s="1">
        <f>[1]Results!AG1397</f>
        <v>0</v>
      </c>
      <c r="AE37" s="1">
        <f>[1]Results!AH1397</f>
        <v>0</v>
      </c>
      <c r="AF37" s="1">
        <f>[1]Results!AI1397</f>
        <v>0</v>
      </c>
      <c r="AG37" s="1">
        <f>[1]Results!AJ1397</f>
        <v>0</v>
      </c>
      <c r="AH37" s="1">
        <f>[1]Results!AK1397</f>
        <v>0</v>
      </c>
      <c r="AI37" s="1">
        <f>[1]Results!AL1397</f>
        <v>0</v>
      </c>
      <c r="AJ37" s="1">
        <f>[1]Results!AM1397</f>
        <v>0</v>
      </c>
      <c r="AK37" s="1">
        <f>[1]Results!AN1397</f>
        <v>0</v>
      </c>
      <c r="AL37" s="1">
        <f>[1]Results!AO1397</f>
        <v>0</v>
      </c>
      <c r="AM37" s="1">
        <f>[1]Results!AP1397</f>
        <v>0</v>
      </c>
      <c r="AN37" s="1">
        <f>[1]Results!AQ1397</f>
        <v>0</v>
      </c>
      <c r="AO37" s="1">
        <f>[1]Results!AR1397</f>
        <v>0</v>
      </c>
      <c r="AP37" s="1">
        <f>[1]Results!AS1397</f>
        <v>0</v>
      </c>
      <c r="AQ37" s="1">
        <f>[1]Results!AT1397</f>
        <v>0</v>
      </c>
      <c r="AR37" s="1">
        <f>[1]Results!AU1397</f>
        <v>0</v>
      </c>
      <c r="AS37" s="1">
        <f>[1]Results!AV1397</f>
        <v>0</v>
      </c>
      <c r="AT37" s="1">
        <f>[1]Results!AW1397</f>
        <v>0</v>
      </c>
      <c r="AU37" s="1">
        <f>[1]Results!AX1397</f>
        <v>0</v>
      </c>
      <c r="AV37" s="1">
        <f>[1]Results!AY1397</f>
        <v>0</v>
      </c>
      <c r="AW37" s="1">
        <f>[1]Results!AZ1397</f>
        <v>0</v>
      </c>
      <c r="AX37" s="1">
        <f>[1]Results!BA1397</f>
        <v>0</v>
      </c>
      <c r="AY37" s="1">
        <f>[1]Results!BB1397</f>
        <v>0</v>
      </c>
      <c r="AZ37" s="1">
        <f>[1]Results!BC1397</f>
        <v>0</v>
      </c>
      <c r="BA37" s="1">
        <f>[1]Results!BD1397</f>
        <v>0</v>
      </c>
      <c r="BB37" s="1">
        <f>[1]Results!BE1397</f>
        <v>0</v>
      </c>
      <c r="BC37" s="1">
        <f>[1]Results!BF1397</f>
        <v>0</v>
      </c>
      <c r="BD37" s="1">
        <f>[1]Results!BG1397</f>
        <v>0</v>
      </c>
      <c r="BE37" s="1">
        <f>[1]Results!BH1397</f>
        <v>0</v>
      </c>
      <c r="BF37" s="1">
        <f>[1]Results!BI1397</f>
        <v>0</v>
      </c>
    </row>
    <row r="38" spans="1:58" x14ac:dyDescent="0.35">
      <c r="A38" s="3" t="str">
        <f>[1]Results!E1398</f>
        <v>100*(W_2/W_0-1)</v>
      </c>
      <c r="B38" t="str">
        <f>[1]Results!C1398</f>
        <v>Salaire net nominal (hors cotisations employeurs et employés, unitaire)</v>
      </c>
      <c r="C38" s="1">
        <f>[1]Results!F1398</f>
        <v>-0.21742079720888929</v>
      </c>
      <c r="D38" s="1">
        <f>[1]Results!G1398</f>
        <v>-0.53604834247409361</v>
      </c>
      <c r="E38" s="1">
        <f>[1]Results!H1398</f>
        <v>-0.94048704241939118</v>
      </c>
      <c r="F38" s="1">
        <f>[1]Results!I1398</f>
        <v>-1.4017128326165973</v>
      </c>
      <c r="G38" s="1">
        <f>[1]Results!J1398</f>
        <v>-1.8883952100348766</v>
      </c>
      <c r="H38" s="1">
        <f>[1]Results!K1398</f>
        <v>-2.3746686062115163</v>
      </c>
      <c r="I38" s="1">
        <f>[1]Results!L1398</f>
        <v>-2.8429975087662873</v>
      </c>
      <c r="J38" s="1">
        <f>[1]Results!M1398</f>
        <v>-3.2822026312572694</v>
      </c>
      <c r="K38" s="1">
        <f>[1]Results!N1398</f>
        <v>-3.6863135016228177</v>
      </c>
      <c r="L38" s="1">
        <f>[1]Results!O1398</f>
        <v>-4.0527168017319486</v>
      </c>
      <c r="M38" s="1">
        <f>[1]Results!P1398</f>
        <v>-4.3804082322606908</v>
      </c>
      <c r="N38" s="1">
        <f>[1]Results!Q1398</f>
        <v>-4.6718263259080022</v>
      </c>
      <c r="O38" s="1">
        <f>[1]Results!R1398</f>
        <v>-4.9282350440998819</v>
      </c>
      <c r="P38" s="1">
        <f>[1]Results!S1398</f>
        <v>-5.1515582158922264</v>
      </c>
      <c r="Q38" s="1">
        <f>[1]Results!T1398</f>
        <v>-5.3441031510081842</v>
      </c>
      <c r="R38" s="1">
        <f>[1]Results!U1398</f>
        <v>-5.5084008926464918</v>
      </c>
      <c r="S38" s="1">
        <f>[1]Results!V1398</f>
        <v>-5.6482580435119223</v>
      </c>
      <c r="T38" s="1">
        <f>[1]Results!W1398</f>
        <v>-5.766380932136328</v>
      </c>
      <c r="U38" s="1">
        <f>[1]Results!X1398</f>
        <v>-5.8655614379603875</v>
      </c>
      <c r="V38" s="1">
        <f>[1]Results!Y1398</f>
        <v>-5.9485705768132169</v>
      </c>
      <c r="W38" s="1">
        <f>[1]Results!Z1398</f>
        <v>-6.0183684167410707</v>
      </c>
      <c r="X38" s="1">
        <f>[1]Results!AA1398</f>
        <v>-6.0769079237255719</v>
      </c>
      <c r="Y38" s="1">
        <f>[1]Results!AB1398</f>
        <v>-6.1266245022153498</v>
      </c>
      <c r="Z38" s="1">
        <f>[1]Results!AC1398</f>
        <v>-6.1696495901649273</v>
      </c>
      <c r="AA38" s="1">
        <f>[1]Results!AD1398</f>
        <v>-6.2078585062562137</v>
      </c>
      <c r="AB38" s="1">
        <f>[1]Results!AE1398</f>
        <v>-6.2437353418187236</v>
      </c>
      <c r="AC38" s="1">
        <f>[1]Results!AF1398</f>
        <v>-6.2770309958341102</v>
      </c>
      <c r="AD38" s="1">
        <f>[1]Results!AG1398</f>
        <v>-6.3091342285954362</v>
      </c>
      <c r="AE38" s="1">
        <f>[1]Results!AH1398</f>
        <v>-6.3410529524578703</v>
      </c>
      <c r="AF38" s="1">
        <f>[1]Results!AI1398</f>
        <v>-6.3735051203172137</v>
      </c>
      <c r="AG38" s="1">
        <f>[1]Results!AJ1398</f>
        <v>-6.4070005135412611</v>
      </c>
      <c r="AH38" s="1">
        <f>[1]Results!AK1398</f>
        <v>-6.4415953151835126</v>
      </c>
      <c r="AI38" s="1">
        <f>[1]Results!AL1398</f>
        <v>-6.4775976315403438</v>
      </c>
      <c r="AJ38" s="1">
        <f>[1]Results!AM1398</f>
        <v>-6.5151726860235959</v>
      </c>
      <c r="AK38" s="1">
        <f>[1]Results!AN1398</f>
        <v>-6.5543744823056249</v>
      </c>
      <c r="AL38" s="1">
        <f>[1]Results!AO1398</f>
        <v>-6.595177493453674</v>
      </c>
      <c r="AM38" s="1">
        <f>[1]Results!AP1398</f>
        <v>-6.6349388663002546</v>
      </c>
      <c r="AN38" s="1">
        <f>[1]Results!AQ1398</f>
        <v>-6.6742032478401043</v>
      </c>
      <c r="AO38" s="1">
        <f>[1]Results!AR1398</f>
        <v>-6.7131309987580661</v>
      </c>
      <c r="AP38" s="1">
        <f>[1]Results!AS1398</f>
        <v>-6.7516196578532472</v>
      </c>
      <c r="AQ38" s="1">
        <f>[1]Results!AT1398</f>
        <v>-6.7894775798918676</v>
      </c>
      <c r="AR38" s="1">
        <f>[1]Results!AU1398</f>
        <v>-6.8260841864357662</v>
      </c>
      <c r="AS38" s="1">
        <f>[1]Results!AV1398</f>
        <v>-6.8614983503802236</v>
      </c>
      <c r="AT38" s="1">
        <f>[1]Results!AW1398</f>
        <v>-6.8957799819665988</v>
      </c>
      <c r="AU38" s="1">
        <f>[1]Results!AX1398</f>
        <v>-6.9290067574505176</v>
      </c>
      <c r="AV38" s="1">
        <f>[1]Results!AY1398</f>
        <v>-6.9612897675208067</v>
      </c>
      <c r="AW38" s="1">
        <f>[1]Results!AZ1398</f>
        <v>-6.9911893453413754</v>
      </c>
      <c r="AX38" s="1">
        <f>[1]Results!BA1398</f>
        <v>-7.0194758985481336</v>
      </c>
      <c r="AY38" s="1">
        <f>[1]Results!BB1398</f>
        <v>-7.0466414317418957</v>
      </c>
      <c r="AZ38" s="1">
        <f>[1]Results!BC1398</f>
        <v>-7.0729965086830271</v>
      </c>
      <c r="BA38" s="1">
        <f>[1]Results!BD1398</f>
        <v>-7.0987729668578918</v>
      </c>
      <c r="BB38" s="1">
        <f>[1]Results!BE1398</f>
        <v>-7.1231917113852683</v>
      </c>
      <c r="BC38" s="1">
        <f>[1]Results!BF1398</f>
        <v>-7.1468733072664214</v>
      </c>
      <c r="BD38" s="1">
        <f>[1]Results!BG1398</f>
        <v>-7.1702502678852138</v>
      </c>
      <c r="BE38" s="1">
        <f>[1]Results!BH1398</f>
        <v>-7.1936243671716689</v>
      </c>
      <c r="BF38" s="1">
        <f>[1]Results!BI1398</f>
        <v>-7.2172352112362281</v>
      </c>
    </row>
    <row r="39" spans="1:58" x14ac:dyDescent="0.35">
      <c r="A39" s="3" t="str">
        <f>[1]Results!E1399</f>
        <v>100*((W_2/PCH_2)/(W_0/PCH_0)-1)</v>
      </c>
      <c r="B39" t="str">
        <f>[1]Results!C1399</f>
        <v>Salaire net réel (hors cotisations employeurs et employés, unitaire)</v>
      </c>
      <c r="C39" s="1">
        <f>[1]Results!F1399</f>
        <v>1.0181069760584194E-4</v>
      </c>
      <c r="D39" s="1">
        <f>[1]Results!G1399</f>
        <v>8.650249737351956E-3</v>
      </c>
      <c r="E39" s="1">
        <f>[1]Results!H1399</f>
        <v>-3.5106066301648919E-2</v>
      </c>
      <c r="F39" s="1">
        <f>[1]Results!I1399</f>
        <v>-0.13879697907644983</v>
      </c>
      <c r="G39" s="1">
        <f>[1]Results!J1399</f>
        <v>-0.28621014987404436</v>
      </c>
      <c r="H39" s="1">
        <f>[1]Results!K1399</f>
        <v>-0.45674974599454465</v>
      </c>
      <c r="I39" s="1">
        <f>[1]Results!L1399</f>
        <v>-0.63438349205704458</v>
      </c>
      <c r="J39" s="1">
        <f>[1]Results!M1399</f>
        <v>-0.80879260794185504</v>
      </c>
      <c r="K39" s="1">
        <f>[1]Results!N1399</f>
        <v>-0.97491105372538023</v>
      </c>
      <c r="L39" s="1">
        <f>[1]Results!O1399</f>
        <v>-1.1308693257738756</v>
      </c>
      <c r="M39" s="1">
        <f>[1]Results!P1399</f>
        <v>-1.2761761580788233</v>
      </c>
      <c r="N39" s="1">
        <f>[1]Results!Q1399</f>
        <v>-1.4121332983687229</v>
      </c>
      <c r="O39" s="1">
        <f>[1]Results!R1399</f>
        <v>-1.5384289627761061</v>
      </c>
      <c r="P39" s="1">
        <f>[1]Results!S1399</f>
        <v>-1.6552399366715931</v>
      </c>
      <c r="Q39" s="1">
        <f>[1]Results!T1399</f>
        <v>-1.7629214341341792</v>
      </c>
      <c r="R39" s="1">
        <f>[1]Results!U1399</f>
        <v>-1.8618795642503461</v>
      </c>
      <c r="S39" s="1">
        <f>[1]Results!V1399</f>
        <v>-1.9534592982878185</v>
      </c>
      <c r="T39" s="1">
        <f>[1]Results!W1399</f>
        <v>-2.0376815573858287</v>
      </c>
      <c r="U39" s="1">
        <f>[1]Results!X1399</f>
        <v>-2.1149786841280327</v>
      </c>
      <c r="V39" s="1">
        <f>[1]Results!Y1399</f>
        <v>-2.1860132146112043</v>
      </c>
      <c r="W39" s="1">
        <f>[1]Results!Z1399</f>
        <v>-2.25164531805776</v>
      </c>
      <c r="X39" s="1">
        <f>[1]Results!AA1399</f>
        <v>-2.3123454733621651</v>
      </c>
      <c r="Y39" s="1">
        <f>[1]Results!AB1399</f>
        <v>-2.3690921286324662</v>
      </c>
      <c r="Z39" s="1">
        <f>[1]Results!AC1399</f>
        <v>-2.422688847771759</v>
      </c>
      <c r="AA39" s="1">
        <f>[1]Results!AD1399</f>
        <v>-2.4738341838266953</v>
      </c>
      <c r="AB39" s="1">
        <f>[1]Results!AE1399</f>
        <v>-2.523482563869861</v>
      </c>
      <c r="AC39" s="1">
        <f>[1]Results!AF1399</f>
        <v>-2.5708402176676359</v>
      </c>
      <c r="AD39" s="1">
        <f>[1]Results!AG1399</f>
        <v>-2.6170720665490865</v>
      </c>
      <c r="AE39" s="1">
        <f>[1]Results!AH1399</f>
        <v>-2.6629508362273291</v>
      </c>
      <c r="AF39" s="1">
        <f>[1]Results!AI1399</f>
        <v>-2.7089543325056087</v>
      </c>
      <c r="AG39" s="1">
        <f>[1]Results!AJ1399</f>
        <v>-2.7553768364989129</v>
      </c>
      <c r="AH39" s="1">
        <f>[1]Results!AK1399</f>
        <v>-2.8020458178801277</v>
      </c>
      <c r="AI39" s="1">
        <f>[1]Results!AL1399</f>
        <v>-2.8492859592824993</v>
      </c>
      <c r="AJ39" s="1">
        <f>[1]Results!AM1399</f>
        <v>-2.8972852480617206</v>
      </c>
      <c r="AK39" s="1">
        <f>[1]Results!AN1399</f>
        <v>-2.9461347585149622</v>
      </c>
      <c r="AL39" s="1">
        <f>[1]Results!AO1399</f>
        <v>-2.9958669085363598</v>
      </c>
      <c r="AM39" s="1">
        <f>[1]Results!AP1399</f>
        <v>-3.0429748562787573</v>
      </c>
      <c r="AN39" s="1">
        <f>[1]Results!AQ1399</f>
        <v>-3.0892282377284919</v>
      </c>
      <c r="AO39" s="1">
        <f>[1]Results!AR1399</f>
        <v>-3.1355744530827789</v>
      </c>
      <c r="AP39" s="1">
        <f>[1]Results!AS1399</f>
        <v>-3.1823226144552241</v>
      </c>
      <c r="AQ39" s="1">
        <f>[1]Results!AT1399</f>
        <v>-3.2294361920431558</v>
      </c>
      <c r="AR39" s="1">
        <f>[1]Results!AU1399</f>
        <v>-3.2761283951592945</v>
      </c>
      <c r="AS39" s="1">
        <f>[1]Results!AV1399</f>
        <v>-3.322571486356507</v>
      </c>
      <c r="AT39" s="1">
        <f>[1]Results!AW1399</f>
        <v>-3.3688254364228842</v>
      </c>
      <c r="AU39" s="1">
        <f>[1]Results!AX1399</f>
        <v>-3.4148847726886311</v>
      </c>
      <c r="AV39" s="1">
        <f>[1]Results!AY1399</f>
        <v>-3.4607253534955085</v>
      </c>
      <c r="AW39" s="1">
        <f>[1]Results!AZ1399</f>
        <v>-3.5040579766373869</v>
      </c>
      <c r="AX39" s="1">
        <f>[1]Results!BA1399</f>
        <v>-3.5461209430158513</v>
      </c>
      <c r="AY39" s="1">
        <f>[1]Results!BB1399</f>
        <v>-3.5876126062742819</v>
      </c>
      <c r="AZ39" s="1">
        <f>[1]Results!BC1399</f>
        <v>-3.6288305836165824</v>
      </c>
      <c r="BA39" s="1">
        <f>[1]Results!BD1399</f>
        <v>-3.6698599925829689</v>
      </c>
      <c r="BB39" s="1">
        <f>[1]Results!BE1399</f>
        <v>-3.7092283934491044</v>
      </c>
      <c r="BC39" s="1">
        <f>[1]Results!BF1399</f>
        <v>-3.7477485629383023</v>
      </c>
      <c r="BD39" s="1">
        <f>[1]Results!BG1399</f>
        <v>-3.7859040033551006</v>
      </c>
      <c r="BE39" s="1">
        <f>[1]Results!BH1399</f>
        <v>-3.8239242468142587</v>
      </c>
      <c r="BF39" s="1">
        <f>[1]Results!BI1399</f>
        <v>-3.8619022699616923</v>
      </c>
    </row>
    <row r="40" spans="1:58" x14ac:dyDescent="0.35">
      <c r="A40" s="3" t="str">
        <f>[1]Results!E1400</f>
        <v>100*(C_L_2/C_L_0-1)</v>
      </c>
      <c r="B40" t="str">
        <f>[1]Results!C1400</f>
        <v>Coût du travail nominal (yc. Cotisations employeurs et employés, unitaire)</v>
      </c>
      <c r="C40" s="1">
        <f>[1]Results!F1400</f>
        <v>-0.21742079839029982</v>
      </c>
      <c r="D40" s="1">
        <f>[1]Results!G1400</f>
        <v>-0.53604834839324766</v>
      </c>
      <c r="E40" s="1">
        <f>[1]Results!H1400</f>
        <v>-0.94048704374724013</v>
      </c>
      <c r="F40" s="1">
        <f>[1]Results!I1400</f>
        <v>-1.4017128284148694</v>
      </c>
      <c r="G40" s="1">
        <f>[1]Results!J1400</f>
        <v>-1.8883952435085782</v>
      </c>
      <c r="H40" s="1">
        <f>[1]Results!K1400</f>
        <v>-2.3746685933651146</v>
      </c>
      <c r="I40" s="1">
        <f>[1]Results!L1400</f>
        <v>-2.8429975031915911</v>
      </c>
      <c r="J40" s="1">
        <f>[1]Results!M1400</f>
        <v>-3.2822026168968343</v>
      </c>
      <c r="K40" s="1">
        <f>[1]Results!N1400</f>
        <v>-3.6863134981149792</v>
      </c>
      <c r="L40" s="1">
        <f>[1]Results!O1400</f>
        <v>-4.0527168094356192</v>
      </c>
      <c r="M40" s="1">
        <f>[1]Results!P1400</f>
        <v>-4.3804082345721973</v>
      </c>
      <c r="N40" s="1">
        <f>[1]Results!Q1400</f>
        <v>-4.671826341314345</v>
      </c>
      <c r="O40" s="1">
        <f>[1]Results!R1400</f>
        <v>-4.9282350418953902</v>
      </c>
      <c r="P40" s="1">
        <f>[1]Results!S1400</f>
        <v>-5.1515582114309506</v>
      </c>
      <c r="Q40" s="1">
        <f>[1]Results!T1400</f>
        <v>-5.3441031462612258</v>
      </c>
      <c r="R40" s="1">
        <f>[1]Results!U1400</f>
        <v>-5.5084008964645603</v>
      </c>
      <c r="S40" s="1">
        <f>[1]Results!V1400</f>
        <v>-5.6482580567349778</v>
      </c>
      <c r="T40" s="1">
        <f>[1]Results!W1400</f>
        <v>-5.7663809317026971</v>
      </c>
      <c r="U40" s="1">
        <f>[1]Results!X1400</f>
        <v>-5.8655614331525658</v>
      </c>
      <c r="V40" s="1">
        <f>[1]Results!Y1400</f>
        <v>-5.9485705714354626</v>
      </c>
      <c r="W40" s="1">
        <f>[1]Results!Z1400</f>
        <v>-6.0183684276331135</v>
      </c>
      <c r="X40" s="1">
        <f>[1]Results!AA1400</f>
        <v>-6.0769079541344251</v>
      </c>
      <c r="Y40" s="1">
        <f>[1]Results!AB1400</f>
        <v>-6.1266245280105718</v>
      </c>
      <c r="Z40" s="1">
        <f>[1]Results!AC1400</f>
        <v>-6.1696495585305877</v>
      </c>
      <c r="AA40" s="1">
        <f>[1]Results!AD1400</f>
        <v>-6.207858532904897</v>
      </c>
      <c r="AB40" s="1">
        <f>[1]Results!AE1400</f>
        <v>-6.2437353492086007</v>
      </c>
      <c r="AC40" s="1">
        <f>[1]Results!AF1400</f>
        <v>-6.2770310261075597</v>
      </c>
      <c r="AD40" s="1">
        <f>[1]Results!AG1400</f>
        <v>-6.3091342408551299</v>
      </c>
      <c r="AE40" s="1">
        <f>[1]Results!AH1400</f>
        <v>-6.3410530352118517</v>
      </c>
      <c r="AF40" s="1">
        <f>[1]Results!AI1400</f>
        <v>-6.373505180611283</v>
      </c>
      <c r="AG40" s="1">
        <f>[1]Results!AJ1400</f>
        <v>-6.4070004802478593</v>
      </c>
      <c r="AH40" s="1">
        <f>[1]Results!AK1400</f>
        <v>-6.4415952956184297</v>
      </c>
      <c r="AI40" s="1">
        <f>[1]Results!AL1400</f>
        <v>-6.4775976422563168</v>
      </c>
      <c r="AJ40" s="1">
        <f>[1]Results!AM1400</f>
        <v>-6.5151726691517027</v>
      </c>
      <c r="AK40" s="1">
        <f>[1]Results!AN1400</f>
        <v>-6.5543745125642427</v>
      </c>
      <c r="AL40" s="1">
        <f>[1]Results!AO1400</f>
        <v>-6.5951775664544137</v>
      </c>
      <c r="AM40" s="1">
        <f>[1]Results!AP1400</f>
        <v>-6.6349388984871416</v>
      </c>
      <c r="AN40" s="1">
        <f>[1]Results!AQ1400</f>
        <v>-6.6742032107833911</v>
      </c>
      <c r="AO40" s="1">
        <f>[1]Results!AR1400</f>
        <v>-6.7131309586804466</v>
      </c>
      <c r="AP40" s="1">
        <f>[1]Results!AS1400</f>
        <v>-6.7516196875850536</v>
      </c>
      <c r="AQ40" s="1">
        <f>[1]Results!AT1400</f>
        <v>-6.7894775991526934</v>
      </c>
      <c r="AR40" s="1">
        <f>[1]Results!AU1400</f>
        <v>-6.8260841955320339</v>
      </c>
      <c r="AS40" s="1">
        <f>[1]Results!AV1400</f>
        <v>-6.8614983650859944</v>
      </c>
      <c r="AT40" s="1">
        <f>[1]Results!AW1400</f>
        <v>-6.8957799740407726</v>
      </c>
      <c r="AU40" s="1">
        <f>[1]Results!AX1400</f>
        <v>-6.929006756273937</v>
      </c>
      <c r="AV40" s="1">
        <f>[1]Results!AY1400</f>
        <v>-6.9612898000147254</v>
      </c>
      <c r="AW40" s="1">
        <f>[1]Results!AZ1400</f>
        <v>-6.9911893651778971</v>
      </c>
      <c r="AX40" s="1">
        <f>[1]Results!BA1400</f>
        <v>-7.0194758510821238</v>
      </c>
      <c r="AY40" s="1">
        <f>[1]Results!BB1400</f>
        <v>-7.0466414648338915</v>
      </c>
      <c r="AZ40" s="1">
        <f>[1]Results!BC1400</f>
        <v>-7.0729965250083122</v>
      </c>
      <c r="BA40" s="1">
        <f>[1]Results!BD1400</f>
        <v>-7.0987729711218588</v>
      </c>
      <c r="BB40" s="1">
        <f>[1]Results!BE1400</f>
        <v>-7.1231916736403056</v>
      </c>
      <c r="BC40" s="1">
        <f>[1]Results!BF1400</f>
        <v>-7.1468733074604778</v>
      </c>
      <c r="BD40" s="1">
        <f>[1]Results!BG1400</f>
        <v>-7.1702502936737407</v>
      </c>
      <c r="BE40" s="1">
        <f>[1]Results!BH1400</f>
        <v>-7.1936243555991481</v>
      </c>
      <c r="BF40" s="1">
        <f>[1]Results!BI1400</f>
        <v>-7.2172351777162529</v>
      </c>
    </row>
    <row r="41" spans="1:58" x14ac:dyDescent="0.35">
      <c r="A41" s="3" t="str">
        <f>[1]Results!E1401</f>
        <v>100*((C_L_2/PVA_2)/(C_L_0/PVA_0)-1)</v>
      </c>
      <c r="B41" t="str">
        <f>[1]Results!C1401</f>
        <v>Coût réel du travail (yc. Cotisations employeurs et employés, unitaire)</v>
      </c>
      <c r="C41" s="1">
        <f>[1]Results!F1401</f>
        <v>0.10447609134425218</v>
      </c>
      <c r="D41" s="1">
        <f>[1]Results!G1401</f>
        <v>0.26951245700295168</v>
      </c>
      <c r="E41" s="1">
        <f>[1]Results!H1401</f>
        <v>0.39784150658057627</v>
      </c>
      <c r="F41" s="1">
        <f>[1]Results!I1401</f>
        <v>0.46184563733930872</v>
      </c>
      <c r="G41" s="1">
        <f>[1]Results!J1401</f>
        <v>0.46919133614624631</v>
      </c>
      <c r="H41" s="1">
        <f>[1]Results!K1401</f>
        <v>0.43816105909302294</v>
      </c>
      <c r="I41" s="1">
        <f>[1]Results!L1401</f>
        <v>0.38517130604431848</v>
      </c>
      <c r="J41" s="1">
        <f>[1]Results!M1401</f>
        <v>0.32117781494482855</v>
      </c>
      <c r="K41" s="1">
        <f>[1]Results!N1401</f>
        <v>0.25190678454554138</v>
      </c>
      <c r="L41" s="1">
        <f>[1]Results!O1401</f>
        <v>0.17970358771843831</v>
      </c>
      <c r="M41" s="1">
        <f>[1]Results!P1401</f>
        <v>0.10526136344466419</v>
      </c>
      <c r="N41" s="1">
        <f>[1]Results!Q1401</f>
        <v>2.8678306361507033E-2</v>
      </c>
      <c r="O41" s="1">
        <f>[1]Results!R1401</f>
        <v>-4.905630000631156E-2</v>
      </c>
      <c r="P41" s="1">
        <f>[1]Results!S1401</f>
        <v>-0.12704723096853554</v>
      </c>
      <c r="Q41" s="1">
        <f>[1]Results!T1401</f>
        <v>-0.20466050561008808</v>
      </c>
      <c r="R41" s="1">
        <f>[1]Results!U1401</f>
        <v>-0.28133332007235223</v>
      </c>
      <c r="S41" s="1">
        <f>[1]Results!V1401</f>
        <v>-0.35733411804965698</v>
      </c>
      <c r="T41" s="1">
        <f>[1]Results!W1401</f>
        <v>-0.4315616313826931</v>
      </c>
      <c r="U41" s="1">
        <f>[1]Results!X1401</f>
        <v>-0.5034947700531367</v>
      </c>
      <c r="V41" s="1">
        <f>[1]Results!Y1401</f>
        <v>-0.57300548260469375</v>
      </c>
      <c r="W41" s="1">
        <f>[1]Results!Z1401</f>
        <v>-0.64010621993750849</v>
      </c>
      <c r="X41" s="1">
        <f>[1]Results!AA1401</f>
        <v>-0.70500758491148785</v>
      </c>
      <c r="Y41" s="1">
        <f>[1]Results!AB1401</f>
        <v>-0.76796227751588786</v>
      </c>
      <c r="Z41" s="1">
        <f>[1]Results!AC1401</f>
        <v>-0.82934449385902997</v>
      </c>
      <c r="AA41" s="1">
        <f>[1]Results!AD1401</f>
        <v>-0.88942562173556228</v>
      </c>
      <c r="AB41" s="1">
        <f>[1]Results!AE1401</f>
        <v>-0.94837599115997762</v>
      </c>
      <c r="AC41" s="1">
        <f>[1]Results!AF1401</f>
        <v>-1.0057297449453495</v>
      </c>
      <c r="AD41" s="1">
        <f>[1]Results!AG1401</f>
        <v>-1.06224134997428</v>
      </c>
      <c r="AE41" s="1">
        <f>[1]Results!AH1401</f>
        <v>-1.1186526350901893</v>
      </c>
      <c r="AF41" s="1">
        <f>[1]Results!AI1401</f>
        <v>-1.1753249832168522</v>
      </c>
      <c r="AG41" s="1">
        <f>[1]Results!AJ1401</f>
        <v>-1.2324252378112743</v>
      </c>
      <c r="AH41" s="1">
        <f>[1]Results!AK1401</f>
        <v>-1.2896380785008543</v>
      </c>
      <c r="AI41" s="1">
        <f>[1]Results!AL1401</f>
        <v>-1.3472721717351366</v>
      </c>
      <c r="AJ41" s="1">
        <f>[1]Results!AM1401</f>
        <v>-1.4055036868261372</v>
      </c>
      <c r="AK41" s="1">
        <f>[1]Results!AN1401</f>
        <v>-1.4644122211244559</v>
      </c>
      <c r="AL41" s="1">
        <f>[1]Results!AO1401</f>
        <v>-1.524023843212674</v>
      </c>
      <c r="AM41" s="1">
        <f>[1]Results!AP1401</f>
        <v>-1.5803283782308997</v>
      </c>
      <c r="AN41" s="1">
        <f>[1]Results!AQ1401</f>
        <v>-1.6357892987711509</v>
      </c>
      <c r="AO41" s="1">
        <f>[1]Results!AR1401</f>
        <v>-1.6917302201392759</v>
      </c>
      <c r="AP41" s="1">
        <f>[1]Results!AS1401</f>
        <v>-1.748602984807579</v>
      </c>
      <c r="AQ41" s="1">
        <f>[1]Results!AT1401</f>
        <v>-1.8063493515685924</v>
      </c>
      <c r="AR41" s="1">
        <f>[1]Results!AU1401</f>
        <v>-1.8639910330598086</v>
      </c>
      <c r="AS41" s="1">
        <f>[1]Results!AV1401</f>
        <v>-1.9216720857848091</v>
      </c>
      <c r="AT41" s="1">
        <f>[1]Results!AW1401</f>
        <v>-1.9793927705865189</v>
      </c>
      <c r="AU41" s="1">
        <f>[1]Results!AX1401</f>
        <v>-2.0370592274943311</v>
      </c>
      <c r="AV41" s="1">
        <f>[1]Results!AY1401</f>
        <v>-2.0945457422573144</v>
      </c>
      <c r="AW41" s="1">
        <f>[1]Results!AZ1401</f>
        <v>-2.1491109155207355</v>
      </c>
      <c r="AX41" s="1">
        <f>[1]Results!BA1401</f>
        <v>-2.202234744750764</v>
      </c>
      <c r="AY41" s="1">
        <f>[1]Results!BB1401</f>
        <v>-2.2547552894754519</v>
      </c>
      <c r="AZ41" s="1">
        <f>[1]Results!BC1401</f>
        <v>-2.3069702692717353</v>
      </c>
      <c r="BA41" s="1">
        <f>[1]Results!BD1401</f>
        <v>-2.3588814972423933</v>
      </c>
      <c r="BB41" s="1">
        <f>[1]Results!BE1401</f>
        <v>-2.4086537793575613</v>
      </c>
      <c r="BC41" s="1">
        <f>[1]Results!BF1401</f>
        <v>-2.457202431850114</v>
      </c>
      <c r="BD41" s="1">
        <f>[1]Results!BG1401</f>
        <v>-2.5050608668988228</v>
      </c>
      <c r="BE41" s="1">
        <f>[1]Results!BH1401</f>
        <v>-2.5524324029700285</v>
      </c>
      <c r="BF41" s="1">
        <f>[1]Results!BI1401</f>
        <v>-2.5993396449578654</v>
      </c>
    </row>
    <row r="42" spans="1:58" x14ac:dyDescent="0.35">
      <c r="A42" s="3" t="str">
        <f>[1]Results!E1402</f>
        <v>((F_L_2/F_L_0)-1)*100</v>
      </c>
      <c r="B42" t="str">
        <f>[1]Results!C1402</f>
        <v>Emploi en %</v>
      </c>
      <c r="C42" s="1">
        <f>[1]Results!F1402</f>
        <v>-0.86058438481977362</v>
      </c>
      <c r="D42" s="1">
        <f>[1]Results!G1402</f>
        <v>-1.5957644492695322</v>
      </c>
      <c r="E42" s="1">
        <f>[1]Results!H1402</f>
        <v>-2.1621586872004328</v>
      </c>
      <c r="F42" s="1">
        <f>[1]Results!I1402</f>
        <v>-2.582682594846053</v>
      </c>
      <c r="G42" s="1">
        <f>[1]Results!J1402</f>
        <v>-2.8884005956293923</v>
      </c>
      <c r="H42" s="1">
        <f>[1]Results!K1402</f>
        <v>-3.1067913209722797</v>
      </c>
      <c r="I42" s="1">
        <f>[1]Results!L1402</f>
        <v>-3.2610345375544525</v>
      </c>
      <c r="J42" s="1">
        <f>[1]Results!M1402</f>
        <v>-3.3686834071895433</v>
      </c>
      <c r="K42" s="1">
        <f>[1]Results!N1402</f>
        <v>-3.443609311286111</v>
      </c>
      <c r="L42" s="1">
        <f>[1]Results!O1402</f>
        <v>-3.4966958120113856</v>
      </c>
      <c r="M42" s="1">
        <f>[1]Results!P1402</f>
        <v>-3.5359248911645325</v>
      </c>
      <c r="N42" s="1">
        <f>[1]Results!Q1402</f>
        <v>-3.5705129743727193</v>
      </c>
      <c r="O42" s="1">
        <f>[1]Results!R1402</f>
        <v>-3.6042353602089627</v>
      </c>
      <c r="P42" s="1">
        <f>[1]Results!S1402</f>
        <v>-3.6391688128850408</v>
      </c>
      <c r="Q42" s="1">
        <f>[1]Results!T1402</f>
        <v>-3.6763778372483791</v>
      </c>
      <c r="R42" s="1">
        <f>[1]Results!U1402</f>
        <v>-3.7162899826537754</v>
      </c>
      <c r="S42" s="1">
        <f>[1]Results!V1402</f>
        <v>-3.760964822562507</v>
      </c>
      <c r="T42" s="1">
        <f>[1]Results!W1402</f>
        <v>-3.809891286290723</v>
      </c>
      <c r="U42" s="1">
        <f>[1]Results!X1402</f>
        <v>-3.8622125262375295</v>
      </c>
      <c r="V42" s="1">
        <f>[1]Results!Y1402</f>
        <v>-3.917082445633302</v>
      </c>
      <c r="W42" s="1">
        <f>[1]Results!Z1402</f>
        <v>-3.9740074072229015</v>
      </c>
      <c r="X42" s="1">
        <f>[1]Results!AA1402</f>
        <v>-4.0318940601120516</v>
      </c>
      <c r="Y42" s="1">
        <f>[1]Results!AB1402</f>
        <v>-4.0902279573004403</v>
      </c>
      <c r="Z42" s="1">
        <f>[1]Results!AC1402</f>
        <v>-4.1486007709491961</v>
      </c>
      <c r="AA42" s="1">
        <f>[1]Results!AD1402</f>
        <v>-4.2066509804323582</v>
      </c>
      <c r="AB42" s="1">
        <f>[1]Results!AE1402</f>
        <v>-4.2646743432817829</v>
      </c>
      <c r="AC42" s="1">
        <f>[1]Results!AF1402</f>
        <v>-4.321061387972092</v>
      </c>
      <c r="AD42" s="1">
        <f>[1]Results!AG1402</f>
        <v>-4.3753306650817887</v>
      </c>
      <c r="AE42" s="1">
        <f>[1]Results!AH1402</f>
        <v>-4.4272725219227871</v>
      </c>
      <c r="AF42" s="1">
        <f>[1]Results!AI1402</f>
        <v>-4.476779173349998</v>
      </c>
      <c r="AG42" s="1">
        <f>[1]Results!AJ1402</f>
        <v>-4.5237699142787413</v>
      </c>
      <c r="AH42" s="1">
        <f>[1]Results!AK1402</f>
        <v>-4.5679831632284174</v>
      </c>
      <c r="AI42" s="1">
        <f>[1]Results!AL1402</f>
        <v>-4.6092932001499776</v>
      </c>
      <c r="AJ42" s="1">
        <f>[1]Results!AM1402</f>
        <v>-4.6476714372722272</v>
      </c>
      <c r="AK42" s="1">
        <f>[1]Results!AN1402</f>
        <v>-4.683121580059213</v>
      </c>
      <c r="AL42" s="1">
        <f>[1]Results!AO1402</f>
        <v>-4.7156613384323425</v>
      </c>
      <c r="AM42" s="1">
        <f>[1]Results!AP1402</f>
        <v>-4.7444840815861085</v>
      </c>
      <c r="AN42" s="1">
        <f>[1]Results!AQ1402</f>
        <v>-4.7688534645163312</v>
      </c>
      <c r="AO42" s="1">
        <f>[1]Results!AR1402</f>
        <v>-4.7889655100474275</v>
      </c>
      <c r="AP42" s="1">
        <f>[1]Results!AS1402</f>
        <v>-4.8053040828438647</v>
      </c>
      <c r="AQ42" s="1">
        <f>[1]Results!AT1402</f>
        <v>-4.8184077029669865</v>
      </c>
      <c r="AR42" s="1">
        <f>[1]Results!AU1402</f>
        <v>-4.8287081297474828</v>
      </c>
      <c r="AS42" s="1">
        <f>[1]Results!AV1402</f>
        <v>-4.8364750422366427</v>
      </c>
      <c r="AT42" s="1">
        <f>[1]Results!AW1402</f>
        <v>-4.8420618726999543</v>
      </c>
      <c r="AU42" s="1">
        <f>[1]Results!AX1402</f>
        <v>-4.8458089631535195</v>
      </c>
      <c r="AV42" s="1">
        <f>[1]Results!AY1402</f>
        <v>-4.8480165168856448</v>
      </c>
      <c r="AW42" s="1">
        <f>[1]Results!AZ1402</f>
        <v>-4.8490040047471705</v>
      </c>
      <c r="AX42" s="1">
        <f>[1]Results!BA1402</f>
        <v>-4.8484141234305111</v>
      </c>
      <c r="AY42" s="1">
        <f>[1]Results!BB1402</f>
        <v>-4.8464353290469493</v>
      </c>
      <c r="AZ42" s="1">
        <f>[1]Results!BC1402</f>
        <v>-4.8433603184429135</v>
      </c>
      <c r="BA42" s="1">
        <f>[1]Results!BD1402</f>
        <v>-4.8394583512115226</v>
      </c>
      <c r="BB42" s="1">
        <f>[1]Results!BE1402</f>
        <v>-4.8351206569919096</v>
      </c>
      <c r="BC42" s="1">
        <f>[1]Results!BF1402</f>
        <v>-4.8300708993479162</v>
      </c>
      <c r="BD42" s="1">
        <f>[1]Results!BG1402</f>
        <v>-4.8243686152582459</v>
      </c>
      <c r="BE42" s="1">
        <f>[1]Results!BH1402</f>
        <v>-4.8181796855622627</v>
      </c>
      <c r="BF42" s="1">
        <f>[1]Results!BI1402</f>
        <v>-4.8116816792249884</v>
      </c>
    </row>
    <row r="43" spans="1:58" x14ac:dyDescent="0.35">
      <c r="A43" s="3" t="str">
        <f>[1]Results!E1403</f>
        <v>F_L_2-F_L_0</v>
      </c>
      <c r="B43" t="str">
        <f>[1]Results!C1403</f>
        <v>Emploi en millier</v>
      </c>
      <c r="C43" s="1">
        <f>[1]Results!F1403</f>
        <v>-235.55784000000131</v>
      </c>
      <c r="D43" s="1">
        <f>[1]Results!G1403</f>
        <v>-437.26488999999856</v>
      </c>
      <c r="E43" s="1">
        <f>[1]Results!H1403</f>
        <v>-593.28639999999723</v>
      </c>
      <c r="F43" s="1">
        <f>[1]Results!I1403</f>
        <v>-710.10362999999779</v>
      </c>
      <c r="G43" s="1">
        <f>[1]Results!J1403</f>
        <v>-796.33909999999742</v>
      </c>
      <c r="H43" s="1">
        <f>[1]Results!K1403</f>
        <v>-859.49092000000019</v>
      </c>
      <c r="I43" s="1">
        <f>[1]Results!L1403</f>
        <v>-905.43690000000061</v>
      </c>
      <c r="J43" s="1">
        <f>[1]Results!M1403</f>
        <v>-938.85686999999962</v>
      </c>
      <c r="K43" s="1">
        <f>[1]Results!N1403</f>
        <v>-963.46675999999934</v>
      </c>
      <c r="L43" s="1">
        <f>[1]Results!O1403</f>
        <v>-982.19338000000062</v>
      </c>
      <c r="M43" s="1">
        <f>[1]Results!P1403</f>
        <v>-997.82054000000062</v>
      </c>
      <c r="N43" s="1">
        <f>[1]Results!Q1403</f>
        <v>-1012.1499799999983</v>
      </c>
      <c r="O43" s="1">
        <f>[1]Results!R1403</f>
        <v>-1026.1919699999999</v>
      </c>
      <c r="P43" s="1">
        <f>[1]Results!S1403</f>
        <v>-1040.5313400000014</v>
      </c>
      <c r="Q43" s="1">
        <f>[1]Results!T1403</f>
        <v>-1055.4828500000003</v>
      </c>
      <c r="R43" s="1">
        <f>[1]Results!U1403</f>
        <v>-1071.1865499999985</v>
      </c>
      <c r="S43" s="1">
        <f>[1]Results!V1403</f>
        <v>-1088.2588700000015</v>
      </c>
      <c r="T43" s="1">
        <f>[1]Results!W1403</f>
        <v>-1106.5798800000011</v>
      </c>
      <c r="U43" s="1">
        <f>[1]Results!X1403</f>
        <v>-1125.9268400000001</v>
      </c>
      <c r="V43" s="1">
        <f>[1]Results!Y1403</f>
        <v>-1146.0760599999994</v>
      </c>
      <c r="W43" s="1">
        <f>[1]Results!Z1403</f>
        <v>-1166.4327000000012</v>
      </c>
      <c r="X43" s="1">
        <f>[1]Results!AA1403</f>
        <v>-1187.2344400000002</v>
      </c>
      <c r="Y43" s="1">
        <f>[1]Results!AB1403</f>
        <v>-1208.3611300000011</v>
      </c>
      <c r="Z43" s="1">
        <f>[1]Results!AC1403</f>
        <v>-1229.6931499999992</v>
      </c>
      <c r="AA43" s="1">
        <f>[1]Results!AD1403</f>
        <v>-1251.1166200000007</v>
      </c>
      <c r="AB43" s="1">
        <f>[1]Results!AE1403</f>
        <v>-1271.3348100000003</v>
      </c>
      <c r="AC43" s="1">
        <f>[1]Results!AF1403</f>
        <v>-1290.7925099999993</v>
      </c>
      <c r="AD43" s="1">
        <f>[1]Results!AG1403</f>
        <v>-1309.482759999999</v>
      </c>
      <c r="AE43" s="1">
        <f>[1]Results!AH1403</f>
        <v>-1327.4275799999996</v>
      </c>
      <c r="AF43" s="1">
        <f>[1]Results!AI1403</f>
        <v>-1344.6548600000024</v>
      </c>
      <c r="AG43" s="1">
        <f>[1]Results!AJ1403</f>
        <v>-1361.1824400000005</v>
      </c>
      <c r="AH43" s="1">
        <f>[1]Results!AK1403</f>
        <v>-1376.9579699999995</v>
      </c>
      <c r="AI43" s="1">
        <f>[1]Results!AL1403</f>
        <v>-1391.9563600000001</v>
      </c>
      <c r="AJ43" s="1">
        <f>[1]Results!AM1403</f>
        <v>-1406.1710700000003</v>
      </c>
      <c r="AK43" s="1">
        <f>[1]Results!AN1403</f>
        <v>-1419.5975199999993</v>
      </c>
      <c r="AL43" s="1">
        <f>[1]Results!AO1403</f>
        <v>-1432.2302500000005</v>
      </c>
      <c r="AM43" s="1">
        <f>[1]Results!AP1403</f>
        <v>-1443.4839699999975</v>
      </c>
      <c r="AN43" s="1">
        <f>[1]Results!AQ1403</f>
        <v>-1453.1718299999993</v>
      </c>
      <c r="AO43" s="1">
        <f>[1]Results!AR1403</f>
        <v>-1461.4035299999996</v>
      </c>
      <c r="AP43" s="1">
        <f>[1]Results!AS1403</f>
        <v>-1468.3717399999987</v>
      </c>
      <c r="AQ43" s="1">
        <f>[1]Results!AT1403</f>
        <v>-1474.2778399999988</v>
      </c>
      <c r="AR43" s="1">
        <f>[1]Results!AU1403</f>
        <v>-1479.2823200000021</v>
      </c>
      <c r="AS43" s="1">
        <f>[1]Results!AV1403</f>
        <v>-1483.4882099999995</v>
      </c>
      <c r="AT43" s="1">
        <f>[1]Results!AW1403</f>
        <v>-1487.0172700000003</v>
      </c>
      <c r="AU43" s="1">
        <f>[1]Results!AX1403</f>
        <v>-1489.9816400000018</v>
      </c>
      <c r="AV43" s="1">
        <f>[1]Results!AY1403</f>
        <v>-1492.4769000000015</v>
      </c>
      <c r="AW43" s="1">
        <f>[1]Results!AZ1403</f>
        <v>-1494.6287000000011</v>
      </c>
      <c r="AX43" s="1">
        <f>[1]Results!BA1403</f>
        <v>-1496.32071</v>
      </c>
      <c r="AY43" s="1">
        <f>[1]Results!BB1403</f>
        <v>-1497.6027099999992</v>
      </c>
      <c r="AZ43" s="1">
        <f>[1]Results!BC1403</f>
        <v>-1498.5563999999977</v>
      </c>
      <c r="BA43" s="1">
        <f>[1]Results!BD1403</f>
        <v>-1499.2572400000026</v>
      </c>
      <c r="BB43" s="1">
        <f>[1]Results!BE1403</f>
        <v>-1499.8203900000008</v>
      </c>
      <c r="BC43" s="1">
        <f>[1]Results!BF1403</f>
        <v>-1500.1560200000022</v>
      </c>
      <c r="BD43" s="1">
        <f>[1]Results!BG1403</f>
        <v>-1500.2799400000004</v>
      </c>
      <c r="BE43" s="1">
        <f>[1]Results!BH1403</f>
        <v>-1500.24251</v>
      </c>
      <c r="BF43" s="1">
        <f>[1]Results!BI1403</f>
        <v>-1500.0990100000017</v>
      </c>
    </row>
    <row r="44" spans="1:58" x14ac:dyDescent="0.35">
      <c r="A44" s="3" t="str">
        <f>[1]Results!E1404</f>
        <v>100*(UnR_2-UnR_0)</v>
      </c>
      <c r="B44" t="str">
        <f>[1]Results!C1404</f>
        <v>Taux de chômage (en point)</v>
      </c>
      <c r="C44" s="1">
        <f>[1]Results!F1404</f>
        <v>0.62889464000000228</v>
      </c>
      <c r="D44" s="1">
        <f>[1]Results!G1404</f>
        <v>1.1190571799999993</v>
      </c>
      <c r="E44" s="1">
        <f>[1]Results!H1404</f>
        <v>1.4717675299999984</v>
      </c>
      <c r="F44" s="1">
        <f>[1]Results!I1404</f>
        <v>1.7216757200000017</v>
      </c>
      <c r="G44" s="1">
        <f>[1]Results!J1404</f>
        <v>1.8976419299999991</v>
      </c>
      <c r="H44" s="1">
        <f>[1]Results!K1404</f>
        <v>2.02063623</v>
      </c>
      <c r="I44" s="1">
        <f>[1]Results!L1404</f>
        <v>2.1073152499999996</v>
      </c>
      <c r="J44" s="1">
        <f>[1]Results!M1404</f>
        <v>2.1671509400000009</v>
      </c>
      <c r="K44" s="1">
        <f>[1]Results!N1404</f>
        <v>2.2086722099999982</v>
      </c>
      <c r="L44" s="1">
        <f>[1]Results!O1404</f>
        <v>2.2383877400000003</v>
      </c>
      <c r="M44" s="1">
        <f>[1]Results!P1404</f>
        <v>2.2592980799999998</v>
      </c>
      <c r="N44" s="1">
        <f>[1]Results!Q1404</f>
        <v>2.2815120899999988</v>
      </c>
      <c r="O44" s="1">
        <f>[1]Results!R1404</f>
        <v>2.30373049</v>
      </c>
      <c r="P44" s="1">
        <f>[1]Results!S1404</f>
        <v>2.3270601099999983</v>
      </c>
      <c r="Q44" s="1">
        <f>[1]Results!T1404</f>
        <v>2.3520054799999994</v>
      </c>
      <c r="R44" s="1">
        <f>[1]Results!U1404</f>
        <v>2.3787161000000001</v>
      </c>
      <c r="S44" s="1">
        <f>[1]Results!V1404</f>
        <v>2.4086286300000008</v>
      </c>
      <c r="T44" s="1">
        <f>[1]Results!W1404</f>
        <v>2.4412345099999984</v>
      </c>
      <c r="U44" s="1">
        <f>[1]Results!X1404</f>
        <v>2.4758851299999995</v>
      </c>
      <c r="V44" s="1">
        <f>[1]Results!Y1404</f>
        <v>2.51200563</v>
      </c>
      <c r="W44" s="1">
        <f>[1]Results!Z1404</f>
        <v>2.5504789299999997</v>
      </c>
      <c r="X44" s="1">
        <f>[1]Results!AA1404</f>
        <v>2.5874447800000007</v>
      </c>
      <c r="Y44" s="1">
        <f>[1]Results!AB1404</f>
        <v>2.6248830200000017</v>
      </c>
      <c r="Z44" s="1">
        <f>[1]Results!AC1404</f>
        <v>2.6624337100000006</v>
      </c>
      <c r="AA44" s="1">
        <f>[1]Results!AD1404</f>
        <v>2.6998179499999999</v>
      </c>
      <c r="AB44" s="1">
        <f>[1]Results!AE1404</f>
        <v>2.7406485399999987</v>
      </c>
      <c r="AC44" s="1">
        <f>[1]Results!AF1404</f>
        <v>2.776306710000001</v>
      </c>
      <c r="AD44" s="1">
        <f>[1]Results!AG1404</f>
        <v>2.8104047899999984</v>
      </c>
      <c r="AE44" s="1">
        <f>[1]Results!AH1404</f>
        <v>2.8428851999999978</v>
      </c>
      <c r="AF44" s="1">
        <f>[1]Results!AI1404</f>
        <v>2.8737494700000004</v>
      </c>
      <c r="AG44" s="1">
        <f>[1]Results!AJ1404</f>
        <v>2.9029978300000008</v>
      </c>
      <c r="AH44" s="1">
        <f>[1]Results!AK1404</f>
        <v>2.9304763199999999</v>
      </c>
      <c r="AI44" s="1">
        <f>[1]Results!AL1404</f>
        <v>2.9561244300000009</v>
      </c>
      <c r="AJ44" s="1">
        <f>[1]Results!AM1404</f>
        <v>2.9799376399999993</v>
      </c>
      <c r="AK44" s="1">
        <f>[1]Results!AN1404</f>
        <v>3.0019197699999998</v>
      </c>
      <c r="AL44" s="1">
        <f>[1]Results!AO1404</f>
        <v>3.0220753900000008</v>
      </c>
      <c r="AM44" s="1">
        <f>[1]Results!AP1404</f>
        <v>3.0405798799999992</v>
      </c>
      <c r="AN44" s="1">
        <f>[1]Results!AQ1404</f>
        <v>3.0556132400000018</v>
      </c>
      <c r="AO44" s="1">
        <f>[1]Results!AR1404</f>
        <v>3.0675805700000005</v>
      </c>
      <c r="AP44" s="1">
        <f>[1]Results!AS1404</f>
        <v>3.0769697799999998</v>
      </c>
      <c r="AQ44" s="1">
        <f>[1]Results!AT1404</f>
        <v>3.0842305399999992</v>
      </c>
      <c r="AR44" s="1">
        <f>[1]Results!AU1404</f>
        <v>3.0896908999999999</v>
      </c>
      <c r="AS44" s="1">
        <f>[1]Results!AV1404</f>
        <v>3.0935410899999987</v>
      </c>
      <c r="AT44" s="1">
        <f>[1]Results!AW1404</f>
        <v>3.0960299400000002</v>
      </c>
      <c r="AU44" s="1">
        <f>[1]Results!AX1404</f>
        <v>3.0973871200000005</v>
      </c>
      <c r="AV44" s="1">
        <f>[1]Results!AY1404</f>
        <v>3.0978070100000004</v>
      </c>
      <c r="AW44" s="1">
        <f>[1]Results!AZ1404</f>
        <v>3.0974333399999998</v>
      </c>
      <c r="AX44" s="1">
        <f>[1]Results!BA1404</f>
        <v>3.0960778999999992</v>
      </c>
      <c r="AY44" s="1">
        <f>[1]Results!BB1404</f>
        <v>3.0938667300000002</v>
      </c>
      <c r="AZ44" s="1">
        <f>[1]Results!BC1404</f>
        <v>3.0909950999999989</v>
      </c>
      <c r="BA44" s="1">
        <f>[1]Results!BD1404</f>
        <v>3.0876330000000007</v>
      </c>
      <c r="BB44" s="1">
        <f>[1]Results!BE1404</f>
        <v>3.08403998</v>
      </c>
      <c r="BC44" s="1">
        <f>[1]Results!BF1404</f>
        <v>3.0799780099999978</v>
      </c>
      <c r="BD44" s="1">
        <f>[1]Results!BG1404</f>
        <v>3.075491420000001</v>
      </c>
      <c r="BE44" s="1">
        <f>[1]Results!BH1404</f>
        <v>3.0707004199999997</v>
      </c>
      <c r="BF44" s="1">
        <f>[1]Results!BI1404</f>
        <v>3.0657273600000008</v>
      </c>
    </row>
    <row r="45" spans="1:58" x14ac:dyDescent="0.35">
      <c r="A45" s="3" t="str">
        <f>[1]Results!E1405</f>
        <v>100*(Bal_Trade_VAL_2/(GDP_2*PGDP_2)-Bal_Trade_VAL_0/(GDP_0*PGDP_0))</v>
      </c>
      <c r="B45" t="str">
        <f>[1]Results!C1405</f>
        <v>Balance commerciale</v>
      </c>
      <c r="C45" s="1">
        <f>[1]Results!F1405</f>
        <v>-1.271142079722255</v>
      </c>
      <c r="D45" s="1">
        <f>[1]Results!G1405</f>
        <v>-1.2523012882088993</v>
      </c>
      <c r="E45" s="1">
        <f>[1]Results!H1405</f>
        <v>-1.2738760146421171</v>
      </c>
      <c r="F45" s="1">
        <f>[1]Results!I1405</f>
        <v>-1.3006160684777601</v>
      </c>
      <c r="G45" s="1">
        <f>[1]Results!J1405</f>
        <v>-1.3287598289433422</v>
      </c>
      <c r="H45" s="1">
        <f>[1]Results!K1405</f>
        <v>-1.358951767439605</v>
      </c>
      <c r="I45" s="1">
        <f>[1]Results!L1405</f>
        <v>-1.3927357941380547</v>
      </c>
      <c r="J45" s="1">
        <f>[1]Results!M1405</f>
        <v>-1.4287526473935794</v>
      </c>
      <c r="K45" s="1">
        <f>[1]Results!N1405</f>
        <v>-1.4662640519138508</v>
      </c>
      <c r="L45" s="1">
        <f>[1]Results!O1405</f>
        <v>-1.5043507321720213</v>
      </c>
      <c r="M45" s="1">
        <f>[1]Results!P1405</f>
        <v>-1.5425566260300476</v>
      </c>
      <c r="N45" s="1">
        <f>[1]Results!Q1405</f>
        <v>-1.5844493590680748</v>
      </c>
      <c r="O45" s="1">
        <f>[1]Results!R1405</f>
        <v>-1.6249600911977111</v>
      </c>
      <c r="P45" s="1">
        <f>[1]Results!S1405</f>
        <v>-1.6645587608573054</v>
      </c>
      <c r="Q45" s="1">
        <f>[1]Results!T1405</f>
        <v>-1.7035528322313684</v>
      </c>
      <c r="R45" s="1">
        <f>[1]Results!U1405</f>
        <v>-1.7422116514430201</v>
      </c>
      <c r="S45" s="1">
        <f>[1]Results!V1405</f>
        <v>-1.7851432907048672</v>
      </c>
      <c r="T45" s="1">
        <f>[1]Results!W1405</f>
        <v>-1.8275119705259766</v>
      </c>
      <c r="U45" s="1">
        <f>[1]Results!X1405</f>
        <v>-1.8697052272603154</v>
      </c>
      <c r="V45" s="1">
        <f>[1]Results!Y1405</f>
        <v>-1.9118637660686264</v>
      </c>
      <c r="W45" s="1">
        <f>[1]Results!Z1405</f>
        <v>-1.9537649920393216</v>
      </c>
      <c r="X45" s="1">
        <f>[1]Results!AA1405</f>
        <v>-1.9959720592760692</v>
      </c>
      <c r="Y45" s="1">
        <f>[1]Results!AB1405</f>
        <v>-2.0382419154288511</v>
      </c>
      <c r="Z45" s="1">
        <f>[1]Results!AC1405</f>
        <v>-2.0804708665115816</v>
      </c>
      <c r="AA45" s="1">
        <f>[1]Results!AD1405</f>
        <v>-2.1226057188014082</v>
      </c>
      <c r="AB45" s="1">
        <f>[1]Results!AE1405</f>
        <v>-2.1636804104651151</v>
      </c>
      <c r="AC45" s="1">
        <f>[1]Results!AF1405</f>
        <v>-2.2038885510499355</v>
      </c>
      <c r="AD45" s="1">
        <f>[1]Results!AG1405</f>
        <v>-2.2445817058780202</v>
      </c>
      <c r="AE45" s="1">
        <f>[1]Results!AH1405</f>
        <v>-2.2854958603365749</v>
      </c>
      <c r="AF45" s="1">
        <f>[1]Results!AI1405</f>
        <v>-2.3265011520035106</v>
      </c>
      <c r="AG45" s="1">
        <f>[1]Results!AJ1405</f>
        <v>-2.3675210857364775</v>
      </c>
      <c r="AH45" s="1">
        <f>[1]Results!AK1405</f>
        <v>-2.407732518136815</v>
      </c>
      <c r="AI45" s="1">
        <f>[1]Results!AL1405</f>
        <v>-2.4479852246172862</v>
      </c>
      <c r="AJ45" s="1">
        <f>[1]Results!AM1405</f>
        <v>-2.4881849881743521</v>
      </c>
      <c r="AK45" s="1">
        <f>[1]Results!AN1405</f>
        <v>-2.5282797397186938</v>
      </c>
      <c r="AL45" s="1">
        <f>[1]Results!AO1405</f>
        <v>-2.5682324657542588</v>
      </c>
      <c r="AM45" s="1">
        <f>[1]Results!AP1405</f>
        <v>-2.6014543274716715</v>
      </c>
      <c r="AN45" s="1">
        <f>[1]Results!AQ1405</f>
        <v>-2.6356296769936995</v>
      </c>
      <c r="AO45" s="1">
        <f>[1]Results!AR1405</f>
        <v>-2.6702058067325787</v>
      </c>
      <c r="AP45" s="1">
        <f>[1]Results!AS1405</f>
        <v>-2.7049507750082409</v>
      </c>
      <c r="AQ45" s="1">
        <f>[1]Results!AT1405</f>
        <v>-2.7397524519957672</v>
      </c>
      <c r="AR45" s="1">
        <f>[1]Results!AU1405</f>
        <v>-2.773612181709213</v>
      </c>
      <c r="AS45" s="1">
        <f>[1]Results!AV1405</f>
        <v>-2.8075750993485378</v>
      </c>
      <c r="AT45" s="1">
        <f>[1]Results!AW1405</f>
        <v>-2.8415217473512744</v>
      </c>
      <c r="AU45" s="1">
        <f>[1]Results!AX1405</f>
        <v>-2.8753868451920068</v>
      </c>
      <c r="AV45" s="1">
        <f>[1]Results!AY1405</f>
        <v>-2.9091250706017746</v>
      </c>
      <c r="AW45" s="1">
        <f>[1]Results!AZ1405</f>
        <v>-2.9397594099077673</v>
      </c>
      <c r="AX45" s="1">
        <f>[1]Results!BA1405</f>
        <v>-2.9706381739562659</v>
      </c>
      <c r="AY45" s="1">
        <f>[1]Results!BB1405</f>
        <v>-3.0014454635891386</v>
      </c>
      <c r="AZ45" s="1">
        <f>[1]Results!BC1405</f>
        <v>-3.0320378391540603</v>
      </c>
      <c r="BA45" s="1">
        <f>[1]Results!BD1405</f>
        <v>-3.0623543923692957</v>
      </c>
      <c r="BB45" s="1">
        <f>[1]Results!BE1405</f>
        <v>-3.0906503498572846</v>
      </c>
      <c r="BC45" s="1">
        <f>[1]Results!BF1405</f>
        <v>-3.1189171510885076</v>
      </c>
      <c r="BD45" s="1">
        <f>[1]Results!BG1405</f>
        <v>-3.1469615767975876</v>
      </c>
      <c r="BE45" s="1">
        <f>[1]Results!BH1405</f>
        <v>-3.1746981759357902</v>
      </c>
      <c r="BF45" s="1">
        <f>[1]Results!BI1405</f>
        <v>-3.2020854712903515</v>
      </c>
    </row>
    <row r="46" spans="1:58" x14ac:dyDescent="0.35">
      <c r="A46" s="3" t="str">
        <f>[1]Results!E1406</f>
        <v>100*(ENER_BILL_2/(GDP_2*PGDP_2)-ENER_BILL_0/(GDP_0*PGDP_0))</v>
      </c>
      <c r="B46" t="str">
        <f>[1]Results!C1406</f>
        <v>Facture énergétique</v>
      </c>
      <c r="C46" s="1">
        <f>[1]Results!F1406</f>
        <v>4.0718795333770721E-2</v>
      </c>
      <c r="D46" s="1">
        <f>[1]Results!G1406</f>
        <v>4.3087161832591932E-2</v>
      </c>
      <c r="E46" s="1">
        <f>[1]Results!H1406</f>
        <v>5.0986027391592553E-2</v>
      </c>
      <c r="F46" s="1">
        <f>[1]Results!I1406</f>
        <v>5.9290167111067209E-2</v>
      </c>
      <c r="G46" s="1">
        <f>[1]Results!J1406</f>
        <v>6.7275477909351483E-2</v>
      </c>
      <c r="H46" s="1">
        <f>[1]Results!K1406</f>
        <v>7.4637276130875424E-2</v>
      </c>
      <c r="I46" s="1">
        <f>[1]Results!L1406</f>
        <v>8.1295226390068129E-2</v>
      </c>
      <c r="J46" s="1">
        <f>[1]Results!M1406</f>
        <v>8.7298867284263393E-2</v>
      </c>
      <c r="K46" s="1">
        <f>[1]Results!N1406</f>
        <v>9.2759333700539487E-2</v>
      </c>
      <c r="L46" s="1">
        <f>[1]Results!O1406</f>
        <v>9.7724656894701903E-2</v>
      </c>
      <c r="M46" s="1">
        <f>[1]Results!P1406</f>
        <v>0.10215259184258879</v>
      </c>
      <c r="N46" s="1">
        <f>[1]Results!Q1406</f>
        <v>0.10624212600645211</v>
      </c>
      <c r="O46" s="1">
        <f>[1]Results!R1406</f>
        <v>0.10979925138708077</v>
      </c>
      <c r="P46" s="1">
        <f>[1]Results!S1406</f>
        <v>0.11285773938678345</v>
      </c>
      <c r="Q46" s="1">
        <f>[1]Results!T1406</f>
        <v>0.11543378642001767</v>
      </c>
      <c r="R46" s="1">
        <f>[1]Results!U1406</f>
        <v>0.11755310961686256</v>
      </c>
      <c r="S46" s="1">
        <f>[1]Results!V1406</f>
        <v>0.11937503370156345</v>
      </c>
      <c r="T46" s="1">
        <f>[1]Results!W1406</f>
        <v>0.12080143722388442</v>
      </c>
      <c r="U46" s="1">
        <f>[1]Results!X1406</f>
        <v>0.12190285517641436</v>
      </c>
      <c r="V46" s="1">
        <f>[1]Results!Y1406</f>
        <v>0.12272774867414915</v>
      </c>
      <c r="W46" s="1">
        <f>[1]Results!Z1406</f>
        <v>0.12334623141697573</v>
      </c>
      <c r="X46" s="1">
        <f>[1]Results!AA1406</f>
        <v>0.12375081356066839</v>
      </c>
      <c r="Y46" s="1">
        <f>[1]Results!AB1406</f>
        <v>0.12399900032161129</v>
      </c>
      <c r="Z46" s="1">
        <f>[1]Results!AC1406</f>
        <v>0.1241205871955543</v>
      </c>
      <c r="AA46" s="1">
        <f>[1]Results!AD1406</f>
        <v>0.12414437721606462</v>
      </c>
      <c r="AB46" s="1">
        <f>[1]Results!AE1406</f>
        <v>0.12415928205413498</v>
      </c>
      <c r="AC46" s="1">
        <f>[1]Results!AF1406</f>
        <v>0.12407584431120382</v>
      </c>
      <c r="AD46" s="1">
        <f>[1]Results!AG1406</f>
        <v>0.12398204345214231</v>
      </c>
      <c r="AE46" s="1">
        <f>[1]Results!AH1406</f>
        <v>0.12387577110858951</v>
      </c>
      <c r="AF46" s="1">
        <f>[1]Results!AI1406</f>
        <v>0.12376400930607326</v>
      </c>
      <c r="AG46" s="1">
        <f>[1]Results!AJ1406</f>
        <v>0.12365142262811685</v>
      </c>
      <c r="AH46" s="1">
        <f>[1]Results!AK1406</f>
        <v>0.12352309691626533</v>
      </c>
      <c r="AI46" s="1">
        <f>[1]Results!AL1406</f>
        <v>0.1234071720537841</v>
      </c>
      <c r="AJ46" s="1">
        <f>[1]Results!AM1406</f>
        <v>0.12330221899639043</v>
      </c>
      <c r="AK46" s="1">
        <f>[1]Results!AN1406</f>
        <v>0.12320978215600471</v>
      </c>
      <c r="AL46" s="1">
        <f>[1]Results!AO1406</f>
        <v>0.12313089213592687</v>
      </c>
      <c r="AM46" s="1">
        <f>[1]Results!AP1406</f>
        <v>0.12291956821622232</v>
      </c>
      <c r="AN46" s="1">
        <f>[1]Results!AQ1406</f>
        <v>0.12276427210710111</v>
      </c>
      <c r="AO46" s="1">
        <f>[1]Results!AR1406</f>
        <v>0.12261801578265491</v>
      </c>
      <c r="AP46" s="1">
        <f>[1]Results!AS1406</f>
        <v>0.12246759961292361</v>
      </c>
      <c r="AQ46" s="1">
        <f>[1]Results!AT1406</f>
        <v>0.12230669885167078</v>
      </c>
      <c r="AR46" s="1">
        <f>[1]Results!AU1406</f>
        <v>0.12210849828768154</v>
      </c>
      <c r="AS46" s="1">
        <f>[1]Results!AV1406</f>
        <v>0.12189746739909249</v>
      </c>
      <c r="AT46" s="1">
        <f>[1]Results!AW1406</f>
        <v>0.12166409193053712</v>
      </c>
      <c r="AU46" s="1">
        <f>[1]Results!AX1406</f>
        <v>0.12140519679193651</v>
      </c>
      <c r="AV46" s="1">
        <f>[1]Results!AY1406</f>
        <v>0.12112121143509763</v>
      </c>
      <c r="AW46" s="1">
        <f>[1]Results!AZ1406</f>
        <v>0.12075876619364358</v>
      </c>
      <c r="AX46" s="1">
        <f>[1]Results!BA1406</f>
        <v>0.12042865531925792</v>
      </c>
      <c r="AY46" s="1">
        <f>[1]Results!BB1406</f>
        <v>0.12013633837477544</v>
      </c>
      <c r="AZ46" s="1">
        <f>[1]Results!BC1406</f>
        <v>0.1198543342281165</v>
      </c>
      <c r="BA46" s="1">
        <f>[1]Results!BD1406</f>
        <v>0.11956050063159571</v>
      </c>
      <c r="BB46" s="1">
        <f>[1]Results!BE1406</f>
        <v>0.11921076922787287</v>
      </c>
      <c r="BC46" s="1">
        <f>[1]Results!BF1406</f>
        <v>0.11885785461576669</v>
      </c>
      <c r="BD46" s="1">
        <f>[1]Results!BG1406</f>
        <v>0.1184926930773135</v>
      </c>
      <c r="BE46" s="1">
        <f>[1]Results!BH1406</f>
        <v>0.11811546047016311</v>
      </c>
      <c r="BF46" s="1">
        <f>[1]Results!BI1406</f>
        <v>0.11772732425397829</v>
      </c>
    </row>
    <row r="47" spans="1:58" x14ac:dyDescent="0.35">
      <c r="A47" s="3" t="str">
        <f>[1]Results!E1407</f>
        <v>100*((-Bal_G_prim_VAL_2)/(GDP_2*PGDP_2)-(-Bal_G_prim_VAL_0)/(GDP_0*PGDP_0))</v>
      </c>
      <c r="B47" t="str">
        <f>[1]Results!C1407</f>
        <v>Solde public primaire</v>
      </c>
      <c r="C47" s="1">
        <f>[1]Results!F1407</f>
        <v>0.66640132782773664</v>
      </c>
      <c r="D47" s="1">
        <f>[1]Results!G1407</f>
        <v>1.1415501243873094</v>
      </c>
      <c r="E47" s="1">
        <f>[1]Results!H1407</f>
        <v>1.5184983348798098</v>
      </c>
      <c r="F47" s="1">
        <f>[1]Results!I1407</f>
        <v>1.8143705650737079</v>
      </c>
      <c r="G47" s="1">
        <f>[1]Results!J1407</f>
        <v>2.0429308334140228</v>
      </c>
      <c r="H47" s="1">
        <f>[1]Results!K1407</f>
        <v>2.2163675207141518</v>
      </c>
      <c r="I47" s="1">
        <f>[1]Results!L1407</f>
        <v>2.34601090075375</v>
      </c>
      <c r="J47" s="1">
        <f>[1]Results!M1407</f>
        <v>2.4418180493547914</v>
      </c>
      <c r="K47" s="1">
        <f>[1]Results!N1407</f>
        <v>2.511725024338689</v>
      </c>
      <c r="L47" s="1">
        <f>[1]Results!O1407</f>
        <v>2.5622770261821812</v>
      </c>
      <c r="M47" s="1">
        <f>[1]Results!P1407</f>
        <v>2.5992657927674903</v>
      </c>
      <c r="N47" s="1">
        <f>[1]Results!Q1407</f>
        <v>2.6270138540764574</v>
      </c>
      <c r="O47" s="1">
        <f>[1]Results!R1407</f>
        <v>2.6489121620448994</v>
      </c>
      <c r="P47" s="1">
        <f>[1]Results!S1407</f>
        <v>2.6665288266344538</v>
      </c>
      <c r="Q47" s="1">
        <f>[1]Results!T1407</f>
        <v>2.6810465152033585</v>
      </c>
      <c r="R47" s="1">
        <f>[1]Results!U1407</f>
        <v>2.6933936240249272</v>
      </c>
      <c r="S47" s="1">
        <f>[1]Results!V1407</f>
        <v>2.7066500598248466</v>
      </c>
      <c r="T47" s="1">
        <f>[1]Results!W1407</f>
        <v>2.7204744339576226</v>
      </c>
      <c r="U47" s="1">
        <f>[1]Results!X1407</f>
        <v>2.734987509715618</v>
      </c>
      <c r="V47" s="1">
        <f>[1]Results!Y1407</f>
        <v>2.7503679810053265</v>
      </c>
      <c r="W47" s="1">
        <f>[1]Results!Z1407</f>
        <v>2.7662928812394538</v>
      </c>
      <c r="X47" s="1">
        <f>[1]Results!AA1407</f>
        <v>2.7845821218334748</v>
      </c>
      <c r="Y47" s="1">
        <f>[1]Results!AB1407</f>
        <v>2.8040257102435779</v>
      </c>
      <c r="Z47" s="1">
        <f>[1]Results!AC1407</f>
        <v>2.8247415904191606</v>
      </c>
      <c r="AA47" s="1">
        <f>[1]Results!AD1407</f>
        <v>2.8467829247737693</v>
      </c>
      <c r="AB47" s="1">
        <f>[1]Results!AE1407</f>
        <v>2.868476817109431</v>
      </c>
      <c r="AC47" s="1">
        <f>[1]Results!AF1407</f>
        <v>2.893243565109064</v>
      </c>
      <c r="AD47" s="1">
        <f>[1]Results!AG1407</f>
        <v>2.9189375510161013</v>
      </c>
      <c r="AE47" s="1">
        <f>[1]Results!AH1407</f>
        <v>2.9454249319178123</v>
      </c>
      <c r="AF47" s="1">
        <f>[1]Results!AI1407</f>
        <v>2.9725310783234824</v>
      </c>
      <c r="AG47" s="1">
        <f>[1]Results!AJ1407</f>
        <v>3.0000701276599613</v>
      </c>
      <c r="AH47" s="1">
        <f>[1]Results!AK1407</f>
        <v>3.0274578328183925</v>
      </c>
      <c r="AI47" s="1">
        <f>[1]Results!AL1407</f>
        <v>3.0547155409417921</v>
      </c>
      <c r="AJ47" s="1">
        <f>[1]Results!AM1407</f>
        <v>3.0817965815846655</v>
      </c>
      <c r="AK47" s="1">
        <f>[1]Results!AN1407</f>
        <v>3.1086535680188141</v>
      </c>
      <c r="AL47" s="1">
        <f>[1]Results!AO1407</f>
        <v>3.1352439821079914</v>
      </c>
      <c r="AM47" s="1">
        <f>[1]Results!AP1407</f>
        <v>3.1577266080013535</v>
      </c>
      <c r="AN47" s="1">
        <f>[1]Results!AQ1407</f>
        <v>3.1783870620233303</v>
      </c>
      <c r="AO47" s="1">
        <f>[1]Results!AR1407</f>
        <v>3.1977558727682891</v>
      </c>
      <c r="AP47" s="1">
        <f>[1]Results!AS1407</f>
        <v>3.2161919940940447</v>
      </c>
      <c r="AQ47" s="1">
        <f>[1]Results!AT1407</f>
        <v>3.2339494328278158</v>
      </c>
      <c r="AR47" s="1">
        <f>[1]Results!AU1407</f>
        <v>3.2507328151540618</v>
      </c>
      <c r="AS47" s="1">
        <f>[1]Results!AV1407</f>
        <v>3.266935437317886</v>
      </c>
      <c r="AT47" s="1">
        <f>[1]Results!AW1407</f>
        <v>3.2828221395816035</v>
      </c>
      <c r="AU47" s="1">
        <f>[1]Results!AX1407</f>
        <v>3.2986140227424299</v>
      </c>
      <c r="AV47" s="1">
        <f>[1]Results!AY1407</f>
        <v>3.3144964464606388</v>
      </c>
      <c r="AW47" s="1">
        <f>[1]Results!AZ1407</f>
        <v>3.3290995828973866</v>
      </c>
      <c r="AX47" s="1">
        <f>[1]Results!BA1407</f>
        <v>3.3431681467543788</v>
      </c>
      <c r="AY47" s="1">
        <f>[1]Results!BB1407</f>
        <v>3.3571392437884269</v>
      </c>
      <c r="AZ47" s="1">
        <f>[1]Results!BC1407</f>
        <v>3.3713181592942516</v>
      </c>
      <c r="BA47" s="1">
        <f>[1]Results!BD1407</f>
        <v>3.3859030339054526</v>
      </c>
      <c r="BB47" s="1">
        <f>[1]Results!BE1407</f>
        <v>3.4001143931417364</v>
      </c>
      <c r="BC47" s="1">
        <f>[1]Results!BF1407</f>
        <v>3.4144441168542352</v>
      </c>
      <c r="BD47" s="1">
        <f>[1]Results!BG1407</f>
        <v>3.4291433332072381</v>
      </c>
      <c r="BE47" s="1">
        <f>[1]Results!BH1407</f>
        <v>3.4443811269970266</v>
      </c>
      <c r="BF47" s="1">
        <f>[1]Results!BI1407</f>
        <v>3.4602660768779185</v>
      </c>
    </row>
    <row r="48" spans="1:58" x14ac:dyDescent="0.35">
      <c r="A48" s="3" t="str">
        <f>[1]Results!E1408</f>
        <v>100*((-Bal_G_tot_VAL_2)/(GDP_2*PGDP_2)-(-Bal_G_tot_VAL_0)/(GDP_0*PGDP_0))</v>
      </c>
      <c r="B48" t="str">
        <f>[1]Results!C1408</f>
        <v xml:space="preserve">Solde public </v>
      </c>
      <c r="C48" s="1">
        <f>[1]Results!F1408</f>
        <v>0.70782992481876439</v>
      </c>
      <c r="D48" s="1">
        <f>[1]Results!G1408</f>
        <v>1.1069239348958297</v>
      </c>
      <c r="E48" s="1">
        <f>[1]Results!H1408</f>
        <v>1.4092083207184234</v>
      </c>
      <c r="F48" s="1">
        <f>[1]Results!I1408</f>
        <v>1.6666404922292113</v>
      </c>
      <c r="G48" s="1">
        <f>[1]Results!J1408</f>
        <v>1.8944378351100541</v>
      </c>
      <c r="H48" s="1">
        <f>[1]Results!K1408</f>
        <v>2.0961182707711079</v>
      </c>
      <c r="I48" s="1">
        <f>[1]Results!L1408</f>
        <v>2.2738347348391428</v>
      </c>
      <c r="J48" s="1">
        <f>[1]Results!M1408</f>
        <v>2.4306037127838276</v>
      </c>
      <c r="K48" s="1">
        <f>[1]Results!N1408</f>
        <v>2.570031711992494</v>
      </c>
      <c r="L48" s="1">
        <f>[1]Results!O1408</f>
        <v>2.6961532087454883</v>
      </c>
      <c r="M48" s="1">
        <f>[1]Results!P1408</f>
        <v>2.8128429586618675</v>
      </c>
      <c r="N48" s="1">
        <f>[1]Results!Q1408</f>
        <v>2.9242539989990197</v>
      </c>
      <c r="O48" s="1">
        <f>[1]Results!R1408</f>
        <v>3.0313819553885581</v>
      </c>
      <c r="P48" s="1">
        <f>[1]Results!S1408</f>
        <v>3.1342036270002462</v>
      </c>
      <c r="Q48" s="1">
        <f>[1]Results!T1408</f>
        <v>3.2328141193105759</v>
      </c>
      <c r="R48" s="1">
        <f>[1]Results!U1408</f>
        <v>3.3272878347624291</v>
      </c>
      <c r="S48" s="1">
        <f>[1]Results!V1408</f>
        <v>3.4201754053434938</v>
      </c>
      <c r="T48" s="1">
        <f>[1]Results!W1408</f>
        <v>3.510323318095558</v>
      </c>
      <c r="U48" s="1">
        <f>[1]Results!X1408</f>
        <v>3.5972823807461243</v>
      </c>
      <c r="V48" s="1">
        <f>[1]Results!Y1408</f>
        <v>3.6810764261990983</v>
      </c>
      <c r="W48" s="1">
        <f>[1]Results!Z1408</f>
        <v>3.7621882674687521</v>
      </c>
      <c r="X48" s="1">
        <f>[1]Results!AA1408</f>
        <v>3.8405451469641179</v>
      </c>
      <c r="Y48" s="1">
        <f>[1]Results!AB1408</f>
        <v>3.9164815752150717</v>
      </c>
      <c r="Z48" s="1">
        <f>[1]Results!AC1408</f>
        <v>3.9905925510546973</v>
      </c>
      <c r="AA48" s="1">
        <f>[1]Results!AD1408</f>
        <v>4.0632437259709615</v>
      </c>
      <c r="AB48" s="1">
        <f>[1]Results!AE1408</f>
        <v>4.1356037319191579</v>
      </c>
      <c r="AC48" s="1">
        <f>[1]Results!AF1408</f>
        <v>4.2057169319649521</v>
      </c>
      <c r="AD48" s="1">
        <f>[1]Results!AG1408</f>
        <v>4.2740250470706078</v>
      </c>
      <c r="AE48" s="1">
        <f>[1]Results!AH1408</f>
        <v>4.3414840370903365</v>
      </c>
      <c r="AF48" s="1">
        <f>[1]Results!AI1408</f>
        <v>4.4085097907772584</v>
      </c>
      <c r="AG48" s="1">
        <f>[1]Results!AJ1408</f>
        <v>4.4752822404023114</v>
      </c>
      <c r="AH48" s="1">
        <f>[1]Results!AK1408</f>
        <v>4.541482775306287</v>
      </c>
      <c r="AI48" s="1">
        <f>[1]Results!AL1408</f>
        <v>4.6073967879541291</v>
      </c>
      <c r="AJ48" s="1">
        <f>[1]Results!AM1408</f>
        <v>4.6733548863412295</v>
      </c>
      <c r="AK48" s="1">
        <f>[1]Results!AN1408</f>
        <v>4.7395757568275396</v>
      </c>
      <c r="AL48" s="1">
        <f>[1]Results!AO1408</f>
        <v>4.8062053278255794</v>
      </c>
      <c r="AM48" s="1">
        <f>[1]Results!AP1408</f>
        <v>4.8699873248764609</v>
      </c>
      <c r="AN48" s="1">
        <f>[1]Results!AQ1408</f>
        <v>4.9316246965228903</v>
      </c>
      <c r="AO48" s="1">
        <f>[1]Results!AR1408</f>
        <v>4.9927282098007</v>
      </c>
      <c r="AP48" s="1">
        <f>[1]Results!AS1408</f>
        <v>5.054037848590923</v>
      </c>
      <c r="AQ48" s="1">
        <f>[1]Results!AT1408</f>
        <v>5.1157808094283901</v>
      </c>
      <c r="AR48" s="1">
        <f>[1]Results!AU1408</f>
        <v>5.1774317808177708</v>
      </c>
      <c r="AS48" s="1">
        <f>[1]Results!AV1408</f>
        <v>5.2390670508462573</v>
      </c>
      <c r="AT48" s="1">
        <f>[1]Results!AW1408</f>
        <v>5.300987039567425</v>
      </c>
      <c r="AU48" s="1">
        <f>[1]Results!AX1408</f>
        <v>5.3633497297279575</v>
      </c>
      <c r="AV48" s="1">
        <f>[1]Results!AY1408</f>
        <v>5.4262440535982099</v>
      </c>
      <c r="AW48" s="1">
        <f>[1]Results!AZ1408</f>
        <v>5.4880077594567256</v>
      </c>
      <c r="AX48" s="1">
        <f>[1]Results!BA1408</f>
        <v>5.548931457905212</v>
      </c>
      <c r="AY48" s="1">
        <f>[1]Results!BB1408</f>
        <v>5.6101533338826153</v>
      </c>
      <c r="AZ48" s="1">
        <f>[1]Results!BC1408</f>
        <v>5.6721070677607166</v>
      </c>
      <c r="BA48" s="1">
        <f>[1]Results!BD1408</f>
        <v>5.7348509302939883</v>
      </c>
      <c r="BB48" s="1">
        <f>[1]Results!BE1408</f>
        <v>5.7973185394265183</v>
      </c>
      <c r="BC48" s="1">
        <f>[1]Results!BF1408</f>
        <v>5.8594368271300281</v>
      </c>
      <c r="BD48" s="1">
        <f>[1]Results!BG1408</f>
        <v>5.9218560454437501</v>
      </c>
      <c r="BE48" s="1">
        <f>[1]Results!BH1408</f>
        <v>5.9848172661018131</v>
      </c>
      <c r="BF48" s="1">
        <f>[1]Results!BI1408</f>
        <v>6.0483468455902649</v>
      </c>
    </row>
    <row r="49" spans="1:58" x14ac:dyDescent="0.35">
      <c r="A49" s="3" t="str">
        <f>[1]Results!E1409</f>
        <v>(DEBT_G_VAL_2/(PGDP_2*GDP_2)-DEBT_G_VAL_0/(PGDP_0*GDP_0))*100</v>
      </c>
      <c r="B49" t="str">
        <f>[1]Results!C1409</f>
        <v>Dette publique</v>
      </c>
      <c r="C49" s="1">
        <f>[1]Results!F1409</f>
        <v>2.6123347100953653</v>
      </c>
      <c r="D49" s="1">
        <f>[1]Results!G1409</f>
        <v>4.4752053591719188</v>
      </c>
      <c r="E49" s="1">
        <f>[1]Results!H1409</f>
        <v>6.6115874763415183</v>
      </c>
      <c r="F49" s="1">
        <f>[1]Results!I1409</f>
        <v>8.8885883336539138</v>
      </c>
      <c r="G49" s="1">
        <f>[1]Results!J1409</f>
        <v>11.248436512640458</v>
      </c>
      <c r="H49" s="1">
        <f>[1]Results!K1409</f>
        <v>13.655964351700744</v>
      </c>
      <c r="I49" s="1">
        <f>[1]Results!L1409</f>
        <v>16.097205089264609</v>
      </c>
      <c r="J49" s="1">
        <f>[1]Results!M1409</f>
        <v>18.54496358847706</v>
      </c>
      <c r="K49" s="1">
        <f>[1]Results!N1409</f>
        <v>20.983189520388489</v>
      </c>
      <c r="L49" s="1">
        <f>[1]Results!O1409</f>
        <v>23.400689110151795</v>
      </c>
      <c r="M49" s="1">
        <f>[1]Results!P1409</f>
        <v>25.763420377551995</v>
      </c>
      <c r="N49" s="1">
        <f>[1]Results!Q1409</f>
        <v>28.124850808986302</v>
      </c>
      <c r="O49" s="1">
        <f>[1]Results!R1409</f>
        <v>30.462078622653809</v>
      </c>
      <c r="P49" s="1">
        <f>[1]Results!S1409</f>
        <v>32.776271085843092</v>
      </c>
      <c r="Q49" s="1">
        <f>[1]Results!T1409</f>
        <v>35.068509488857259</v>
      </c>
      <c r="R49" s="1">
        <f>[1]Results!U1409</f>
        <v>37.340118870522701</v>
      </c>
      <c r="S49" s="1">
        <f>[1]Results!V1409</f>
        <v>39.603106791096074</v>
      </c>
      <c r="T49" s="1">
        <f>[1]Results!W1409</f>
        <v>41.854369023196526</v>
      </c>
      <c r="U49" s="1">
        <f>[1]Results!X1409</f>
        <v>44.09614601658317</v>
      </c>
      <c r="V49" s="1">
        <f>[1]Results!Y1409</f>
        <v>46.33004874450446</v>
      </c>
      <c r="W49" s="1">
        <f>[1]Results!Z1409</f>
        <v>48.591610114884276</v>
      </c>
      <c r="X49" s="1">
        <f>[1]Results!AA1409</f>
        <v>50.824615197194355</v>
      </c>
      <c r="Y49" s="1">
        <f>[1]Results!AB1409</f>
        <v>53.051873347885262</v>
      </c>
      <c r="Z49" s="1">
        <f>[1]Results!AC1409</f>
        <v>55.274579172435509</v>
      </c>
      <c r="AA49" s="1">
        <f>[1]Results!AD1409</f>
        <v>57.49410016358086</v>
      </c>
      <c r="AB49" s="1">
        <f>[1]Results!AE1409</f>
        <v>59.824619420717418</v>
      </c>
      <c r="AC49" s="1">
        <f>[1]Results!AF1409</f>
        <v>62.127665097098685</v>
      </c>
      <c r="AD49" s="1">
        <f>[1]Results!AG1409</f>
        <v>64.440692950182992</v>
      </c>
      <c r="AE49" s="1">
        <f>[1]Results!AH1409</f>
        <v>66.760966795157145</v>
      </c>
      <c r="AF49" s="1">
        <f>[1]Results!AI1409</f>
        <v>69.086622430228829</v>
      </c>
      <c r="AG49" s="1">
        <f>[1]Results!AJ1409</f>
        <v>71.416019471413222</v>
      </c>
      <c r="AH49" s="1">
        <f>[1]Results!AK1409</f>
        <v>73.745703794960136</v>
      </c>
      <c r="AI49" s="1">
        <f>[1]Results!AL1409</f>
        <v>76.075132963686656</v>
      </c>
      <c r="AJ49" s="1">
        <f>[1]Results!AM1409</f>
        <v>78.402954739740622</v>
      </c>
      <c r="AK49" s="1">
        <f>[1]Results!AN1409</f>
        <v>80.728217470028781</v>
      </c>
      <c r="AL49" s="1">
        <f>[1]Results!AO1409</f>
        <v>83.050232522238929</v>
      </c>
      <c r="AM49" s="1">
        <f>[1]Results!AP1409</f>
        <v>85.386526217867925</v>
      </c>
      <c r="AN49" s="1">
        <f>[1]Results!AQ1409</f>
        <v>87.721194131752881</v>
      </c>
      <c r="AO49" s="1">
        <f>[1]Results!AR1409</f>
        <v>90.050526467932286</v>
      </c>
      <c r="AP49" s="1">
        <f>[1]Results!AS1409</f>
        <v>92.372633969762163</v>
      </c>
      <c r="AQ49" s="1">
        <f>[1]Results!AT1409</f>
        <v>94.686488334089702</v>
      </c>
      <c r="AR49" s="1">
        <f>[1]Results!AU1409</f>
        <v>96.989057984724028</v>
      </c>
      <c r="AS49" s="1">
        <f>[1]Results!AV1409</f>
        <v>99.28095236594217</v>
      </c>
      <c r="AT49" s="1">
        <f>[1]Results!AW1409</f>
        <v>101.56170697233253</v>
      </c>
      <c r="AU49" s="1">
        <f>[1]Results!AX1409</f>
        <v>103.83138593205084</v>
      </c>
      <c r="AV49" s="1">
        <f>[1]Results!AY1409</f>
        <v>106.09037847625061</v>
      </c>
      <c r="AW49" s="1">
        <f>[1]Results!AZ1409</f>
        <v>108.32822709353785</v>
      </c>
      <c r="AX49" s="1">
        <f>[1]Results!BA1409</f>
        <v>110.55122402782685</v>
      </c>
      <c r="AY49" s="1">
        <f>[1]Results!BB1409</f>
        <v>112.7595420099077</v>
      </c>
      <c r="AZ49" s="1">
        <f>[1]Results!BC1409</f>
        <v>114.9545011212338</v>
      </c>
      <c r="BA49" s="1">
        <f>[1]Results!BD1409</f>
        <v>117.1377434788224</v>
      </c>
      <c r="BB49" s="1">
        <f>[1]Results!BE1409</f>
        <v>119.30640244283607</v>
      </c>
      <c r="BC49" s="1">
        <f>[1]Results!BF1409</f>
        <v>121.46378316885098</v>
      </c>
      <c r="BD49" s="1">
        <f>[1]Results!BG1409</f>
        <v>123.61054351228439</v>
      </c>
      <c r="BE49" s="1">
        <f>[1]Results!BH1409</f>
        <v>125.74792444667769</v>
      </c>
      <c r="BF49" s="1">
        <f>[1]Results!BI1409</f>
        <v>127.87727656062917</v>
      </c>
    </row>
    <row r="50" spans="1:58" x14ac:dyDescent="0.35">
      <c r="A50" s="3" t="str">
        <f>[1]Results!E1410</f>
        <v>GDP_2</v>
      </c>
      <c r="B50" t="str">
        <f>[1]Results!C1410</f>
        <v>PIB</v>
      </c>
      <c r="C50" s="1">
        <f>[1]Results!F1410</f>
        <v>2163139.0809999998</v>
      </c>
      <c r="D50" s="1">
        <f>[1]Results!G1410</f>
        <v>2181760.7590000001</v>
      </c>
      <c r="E50" s="1">
        <f>[1]Results!H1410</f>
        <v>2203799.9619999998</v>
      </c>
      <c r="F50" s="1">
        <f>[1]Results!I1410</f>
        <v>2228818.1889999998</v>
      </c>
      <c r="G50" s="1">
        <f>[1]Results!J1410</f>
        <v>2256566.5839999998</v>
      </c>
      <c r="H50" s="1">
        <f>[1]Results!K1410</f>
        <v>2286712.1090000002</v>
      </c>
      <c r="I50" s="1">
        <f>[1]Results!L1410</f>
        <v>2317372.9509999999</v>
      </c>
      <c r="J50" s="1">
        <f>[1]Results!M1410</f>
        <v>2349411.2880000002</v>
      </c>
      <c r="K50" s="1">
        <f>[1]Results!N1410</f>
        <v>2382658.5269999998</v>
      </c>
      <c r="L50" s="1">
        <f>[1]Results!O1410</f>
        <v>2416960.3330000001</v>
      </c>
      <c r="M50" s="1">
        <f>[1]Results!P1410</f>
        <v>2454853.156</v>
      </c>
      <c r="N50" s="1">
        <f>[1]Results!Q1410</f>
        <v>2491437.517</v>
      </c>
      <c r="O50" s="1">
        <f>[1]Results!R1410</f>
        <v>2528545.2650000001</v>
      </c>
      <c r="P50" s="1">
        <f>[1]Results!S1410</f>
        <v>2566109.0580000002</v>
      </c>
      <c r="Q50" s="1">
        <f>[1]Results!T1410</f>
        <v>2604098.4449999998</v>
      </c>
      <c r="R50" s="1">
        <f>[1]Results!U1410</f>
        <v>2642503.6439999999</v>
      </c>
      <c r="S50" s="1">
        <f>[1]Results!V1410</f>
        <v>2681166.398</v>
      </c>
      <c r="T50" s="1">
        <f>[1]Results!W1410</f>
        <v>2720236.9929999998</v>
      </c>
      <c r="U50" s="1">
        <f>[1]Results!X1410</f>
        <v>2759737.9139999999</v>
      </c>
      <c r="V50" s="1">
        <f>[1]Results!Y1410</f>
        <v>2799695.878</v>
      </c>
      <c r="W50" s="1">
        <f>[1]Results!Z1410</f>
        <v>2838163.0789999999</v>
      </c>
      <c r="X50" s="1">
        <f>[1]Results!AA1410</f>
        <v>2878565.4070000001</v>
      </c>
      <c r="Y50" s="1">
        <f>[1]Results!AB1410</f>
        <v>2919606.8960000002</v>
      </c>
      <c r="Z50" s="1">
        <f>[1]Results!AC1410</f>
        <v>2961306.4789999998</v>
      </c>
      <c r="AA50" s="1">
        <f>[1]Results!AD1410</f>
        <v>3003671.0589999999</v>
      </c>
      <c r="AB50" s="1">
        <f>[1]Results!AE1410</f>
        <v>3041026.42</v>
      </c>
      <c r="AC50" s="1">
        <f>[1]Results!AF1410</f>
        <v>3080520.33</v>
      </c>
      <c r="AD50" s="1">
        <f>[1]Results!AG1410</f>
        <v>3120227.2280000001</v>
      </c>
      <c r="AE50" s="1">
        <f>[1]Results!AH1410</f>
        <v>3160284.0660000001</v>
      </c>
      <c r="AF50" s="1">
        <f>[1]Results!AI1410</f>
        <v>3200794.929</v>
      </c>
      <c r="AG50" s="1">
        <f>[1]Results!AJ1410</f>
        <v>3241839.8319999999</v>
      </c>
      <c r="AH50" s="1">
        <f>[1]Results!AK1410</f>
        <v>3283513.173</v>
      </c>
      <c r="AI50" s="1">
        <f>[1]Results!AL1410</f>
        <v>3325822.1740000001</v>
      </c>
      <c r="AJ50" s="1">
        <f>[1]Results!AM1410</f>
        <v>3368787.2549999999</v>
      </c>
      <c r="AK50" s="1">
        <f>[1]Results!AN1410</f>
        <v>3412417.1490000002</v>
      </c>
      <c r="AL50" s="1">
        <f>[1]Results!AO1410</f>
        <v>3456713.8289999999</v>
      </c>
      <c r="AM50" s="1">
        <f>[1]Results!AP1410</f>
        <v>3500641.8909999998</v>
      </c>
      <c r="AN50" s="1">
        <f>[1]Results!AQ1410</f>
        <v>3544899.21</v>
      </c>
      <c r="AO50" s="1">
        <f>[1]Results!AR1410</f>
        <v>3589543.57</v>
      </c>
      <c r="AP50" s="1">
        <f>[1]Results!AS1410</f>
        <v>3634628.2220000001</v>
      </c>
      <c r="AQ50" s="1">
        <f>[1]Results!AT1410</f>
        <v>3680202.605</v>
      </c>
      <c r="AR50" s="1">
        <f>[1]Results!AU1410</f>
        <v>3726363.3339999998</v>
      </c>
      <c r="AS50" s="1">
        <f>[1]Results!AV1410</f>
        <v>3773103.673</v>
      </c>
      <c r="AT50" s="1">
        <f>[1]Results!AW1410</f>
        <v>3820448.08</v>
      </c>
      <c r="AU50" s="1">
        <f>[1]Results!AX1410</f>
        <v>3868412.2250000001</v>
      </c>
      <c r="AV50" s="1">
        <f>[1]Results!AY1410</f>
        <v>3917005.9330000002</v>
      </c>
      <c r="AW50" s="1">
        <f>[1]Results!AZ1410</f>
        <v>3966539.2859999998</v>
      </c>
      <c r="AX50" s="1">
        <f>[1]Results!BA1410</f>
        <v>4016786.1510000001</v>
      </c>
      <c r="AY50" s="1">
        <f>[1]Results!BB1410</f>
        <v>4067734.8280000002</v>
      </c>
      <c r="AZ50" s="1">
        <f>[1]Results!BC1410</f>
        <v>4119371.74</v>
      </c>
      <c r="BA50" s="1">
        <f>[1]Results!BD1410</f>
        <v>4171687.6060000001</v>
      </c>
      <c r="BB50" s="1">
        <f>[1]Results!BE1410</f>
        <v>4224792.4680000003</v>
      </c>
      <c r="BC50" s="1">
        <f>[1]Results!BF1410</f>
        <v>4278597.091</v>
      </c>
      <c r="BD50" s="1">
        <f>[1]Results!BG1410</f>
        <v>4333099.5619999999</v>
      </c>
      <c r="BE50" s="1">
        <f>[1]Results!BH1410</f>
        <v>4388299.3289999999</v>
      </c>
      <c r="BF50" s="1">
        <f>[1]Results!BI1410</f>
        <v>4444199.7189999996</v>
      </c>
    </row>
    <row r="51" spans="1:58" x14ac:dyDescent="0.35">
      <c r="A51" s="3" t="str">
        <f>[1]Results!E1411</f>
        <v>(GDPter_2/GDPbis_2-1)*100</v>
      </c>
      <c r="B51" t="str">
        <f>[1]Results!C1411</f>
        <v>Ecart PIB</v>
      </c>
      <c r="C51" s="1">
        <f>[1]Results!F1411</f>
        <v>0</v>
      </c>
      <c r="D51" s="1">
        <f>[1]Results!G1411</f>
        <v>0</v>
      </c>
      <c r="E51" s="1">
        <f>[1]Results!H1411</f>
        <v>0</v>
      </c>
      <c r="F51" s="1">
        <f>[1]Results!I1411</f>
        <v>0</v>
      </c>
      <c r="G51" s="1">
        <f>[1]Results!J1411</f>
        <v>0</v>
      </c>
      <c r="H51" s="1">
        <f>[1]Results!K1411</f>
        <v>0</v>
      </c>
      <c r="I51" s="1">
        <f>[1]Results!L1411</f>
        <v>0</v>
      </c>
      <c r="J51" s="1">
        <f>[1]Results!M1411</f>
        <v>0</v>
      </c>
      <c r="K51" s="1">
        <f>[1]Results!N1411</f>
        <v>0</v>
      </c>
      <c r="L51" s="1">
        <f>[1]Results!O1411</f>
        <v>0</v>
      </c>
      <c r="M51" s="1">
        <f>[1]Results!P1411</f>
        <v>0</v>
      </c>
      <c r="N51" s="1">
        <f>[1]Results!Q1411</f>
        <v>0</v>
      </c>
      <c r="O51" s="1">
        <f>[1]Results!R1411</f>
        <v>0</v>
      </c>
      <c r="P51" s="1">
        <f>[1]Results!S1411</f>
        <v>0</v>
      </c>
      <c r="Q51" s="1">
        <f>[1]Results!T1411</f>
        <v>0</v>
      </c>
      <c r="R51" s="1">
        <f>[1]Results!U1411</f>
        <v>0</v>
      </c>
      <c r="S51" s="1">
        <f>[1]Results!V1411</f>
        <v>0</v>
      </c>
      <c r="T51" s="1">
        <f>[1]Results!W1411</f>
        <v>0</v>
      </c>
      <c r="U51" s="1">
        <f>[1]Results!X1411</f>
        <v>0</v>
      </c>
      <c r="V51" s="1">
        <f>[1]Results!Y1411</f>
        <v>0</v>
      </c>
      <c r="W51" s="1">
        <f>[1]Results!Z1411</f>
        <v>0</v>
      </c>
      <c r="X51" s="1">
        <f>[1]Results!AA1411</f>
        <v>0</v>
      </c>
      <c r="Y51" s="1">
        <f>[1]Results!AB1411</f>
        <v>0</v>
      </c>
      <c r="Z51" s="1">
        <f>[1]Results!AC1411</f>
        <v>0</v>
      </c>
      <c r="AA51" s="1">
        <f>[1]Results!AD1411</f>
        <v>0</v>
      </c>
      <c r="AB51" s="1">
        <f>[1]Results!AE1411</f>
        <v>0</v>
      </c>
      <c r="AC51" s="1">
        <f>[1]Results!AF1411</f>
        <v>0</v>
      </c>
      <c r="AD51" s="1">
        <f>[1]Results!AG1411</f>
        <v>0</v>
      </c>
      <c r="AE51" s="1">
        <f>[1]Results!AH1411</f>
        <v>0</v>
      </c>
      <c r="AF51" s="1">
        <f>[1]Results!AI1411</f>
        <v>0</v>
      </c>
      <c r="AG51" s="1">
        <f>[1]Results!AJ1411</f>
        <v>0</v>
      </c>
      <c r="AH51" s="1">
        <f>[1]Results!AK1411</f>
        <v>0</v>
      </c>
      <c r="AI51" s="1">
        <f>[1]Results!AL1411</f>
        <v>0</v>
      </c>
      <c r="AJ51" s="1">
        <f>[1]Results!AM1411</f>
        <v>0</v>
      </c>
      <c r="AK51" s="1">
        <f>[1]Results!AN1411</f>
        <v>0</v>
      </c>
      <c r="AL51" s="1">
        <f>[1]Results!AO1411</f>
        <v>0</v>
      </c>
      <c r="AM51" s="1">
        <f>[1]Results!AP1411</f>
        <v>0</v>
      </c>
      <c r="AN51" s="1">
        <f>[1]Results!AQ1411</f>
        <v>0</v>
      </c>
      <c r="AO51" s="1">
        <f>[1]Results!AR1411</f>
        <v>0</v>
      </c>
      <c r="AP51" s="1">
        <f>[1]Results!AS1411</f>
        <v>0</v>
      </c>
      <c r="AQ51" s="1">
        <f>[1]Results!AT1411</f>
        <v>0</v>
      </c>
      <c r="AR51" s="1">
        <f>[1]Results!AU1411</f>
        <v>-2.6835822453108449E-8</v>
      </c>
      <c r="AS51" s="1">
        <f>[1]Results!AV1411</f>
        <v>0</v>
      </c>
      <c r="AT51" s="1">
        <f>[1]Results!AW1411</f>
        <v>0</v>
      </c>
      <c r="AU51" s="1">
        <f>[1]Results!AX1411</f>
        <v>0</v>
      </c>
      <c r="AV51" s="1">
        <f>[1]Results!AY1411</f>
        <v>0</v>
      </c>
      <c r="AW51" s="1">
        <f>[1]Results!AZ1411</f>
        <v>0</v>
      </c>
      <c r="AX51" s="1">
        <f>[1]Results!BA1411</f>
        <v>0</v>
      </c>
      <c r="AY51" s="1">
        <f>[1]Results!BB1411</f>
        <v>0</v>
      </c>
      <c r="AZ51" s="1">
        <f>[1]Results!BC1411</f>
        <v>0</v>
      </c>
      <c r="BA51" s="1">
        <f>[1]Results!BD1411</f>
        <v>0</v>
      </c>
      <c r="BB51" s="1">
        <f>[1]Results!BE1411</f>
        <v>0</v>
      </c>
      <c r="BC51" s="1">
        <f>[1]Results!BF1411</f>
        <v>0</v>
      </c>
      <c r="BD51" s="1">
        <f>[1]Results!BG1411</f>
        <v>0</v>
      </c>
      <c r="BE51" s="1">
        <f>[1]Results!BH1411</f>
        <v>0</v>
      </c>
      <c r="BF51" s="1">
        <f>[1]Results!BI1411</f>
        <v>0</v>
      </c>
    </row>
    <row r="52" spans="1:58" x14ac:dyDescent="0.35">
      <c r="A52" s="3" t="str">
        <f>[1]Results!E1412</f>
        <v>SPEND_G_VAL_2</v>
      </c>
      <c r="B52" t="str">
        <f>[1]Results!C1412</f>
        <v>Dépenses publiques</v>
      </c>
      <c r="C52" s="1">
        <f>[1]Results!F1412</f>
        <v>1178414.0730000001</v>
      </c>
      <c r="D52" s="1">
        <f>[1]Results!G1412</f>
        <v>1214042.9380000001</v>
      </c>
      <c r="E52" s="1">
        <f>[1]Results!H1412</f>
        <v>1250891.452</v>
      </c>
      <c r="F52" s="1">
        <f>[1]Results!I1412</f>
        <v>1289546.9010000001</v>
      </c>
      <c r="G52" s="1">
        <f>[1]Results!J1412</f>
        <v>1330792.578</v>
      </c>
      <c r="H52" s="1">
        <f>[1]Results!K1412</f>
        <v>1374871.8559999999</v>
      </c>
      <c r="I52" s="1">
        <f>[1]Results!L1412</f>
        <v>1420430.1189999999</v>
      </c>
      <c r="J52" s="1">
        <f>[1]Results!M1412</f>
        <v>1468743.9850000001</v>
      </c>
      <c r="K52" s="1">
        <f>[1]Results!N1412</f>
        <v>1519792.96</v>
      </c>
      <c r="L52" s="1">
        <f>[1]Results!O1412</f>
        <v>1573601.493</v>
      </c>
      <c r="M52" s="1">
        <f>[1]Results!P1412</f>
        <v>1632790.8230000001</v>
      </c>
      <c r="N52" s="1">
        <f>[1]Results!Q1412</f>
        <v>1692366.08</v>
      </c>
      <c r="O52" s="1">
        <f>[1]Results!R1412</f>
        <v>1754835.5379999999</v>
      </c>
      <c r="P52" s="1">
        <f>[1]Results!S1412</f>
        <v>1820169.402</v>
      </c>
      <c r="Q52" s="1">
        <f>[1]Results!T1412</f>
        <v>1888363.39</v>
      </c>
      <c r="R52" s="1">
        <f>[1]Results!U1412</f>
        <v>1959414.1629999999</v>
      </c>
      <c r="S52" s="1">
        <f>[1]Results!V1412</f>
        <v>2033320.4669999999</v>
      </c>
      <c r="T52" s="1">
        <f>[1]Results!W1412</f>
        <v>2110060.1719999998</v>
      </c>
      <c r="U52" s="1">
        <f>[1]Results!X1412</f>
        <v>2189614.39</v>
      </c>
      <c r="V52" s="1">
        <f>[1]Results!Y1412</f>
        <v>2271983.304</v>
      </c>
      <c r="W52" s="1">
        <f>[1]Results!Z1412</f>
        <v>2354854.608</v>
      </c>
      <c r="X52" s="1">
        <f>[1]Results!AA1412</f>
        <v>2442783.898</v>
      </c>
      <c r="Y52" s="1">
        <f>[1]Results!AB1412</f>
        <v>2533578.0210000002</v>
      </c>
      <c r="Z52" s="1">
        <f>[1]Results!AC1412</f>
        <v>2627320.3849999998</v>
      </c>
      <c r="AA52" s="1">
        <f>[1]Results!AD1412</f>
        <v>2724080.9440000001</v>
      </c>
      <c r="AB52" s="1">
        <f>[1]Results!AE1412</f>
        <v>2816496.92</v>
      </c>
      <c r="AC52" s="1">
        <f>[1]Results!AF1412</f>
        <v>2915523.6409999998</v>
      </c>
      <c r="AD52" s="1">
        <f>[1]Results!AG1412</f>
        <v>3017414.33</v>
      </c>
      <c r="AE52" s="1">
        <f>[1]Results!AH1412</f>
        <v>3122336.051</v>
      </c>
      <c r="AF52" s="1">
        <f>[1]Results!AI1412</f>
        <v>3230419.8</v>
      </c>
      <c r="AG52" s="1">
        <f>[1]Results!AJ1412</f>
        <v>3341794.1869999999</v>
      </c>
      <c r="AH52" s="1">
        <f>[1]Results!AK1412</f>
        <v>3456598.429</v>
      </c>
      <c r="AI52" s="1">
        <f>[1]Results!AL1412</f>
        <v>3574994.3029999998</v>
      </c>
      <c r="AJ52" s="1">
        <f>[1]Results!AM1412</f>
        <v>3697168.5440000002</v>
      </c>
      <c r="AK52" s="1">
        <f>[1]Results!AN1412</f>
        <v>3823314.872</v>
      </c>
      <c r="AL52" s="1">
        <f>[1]Results!AO1412</f>
        <v>3953632.3450000002</v>
      </c>
      <c r="AM52" s="1">
        <f>[1]Results!AP1412</f>
        <v>4086060.3679999998</v>
      </c>
      <c r="AN52" s="1">
        <f>[1]Results!AQ1412</f>
        <v>4222813.068</v>
      </c>
      <c r="AO52" s="1">
        <f>[1]Results!AR1412</f>
        <v>4364152.7120000003</v>
      </c>
      <c r="AP52" s="1">
        <f>[1]Results!AS1412</f>
        <v>4510311.9649999999</v>
      </c>
      <c r="AQ52" s="1">
        <f>[1]Results!AT1412</f>
        <v>4661494.4440000001</v>
      </c>
      <c r="AR52" s="1">
        <f>[1]Results!AU1412</f>
        <v>4817881.0379999997</v>
      </c>
      <c r="AS52" s="1">
        <f>[1]Results!AV1412</f>
        <v>4979654.915</v>
      </c>
      <c r="AT52" s="1">
        <f>[1]Results!AW1412</f>
        <v>5147033.2659999998</v>
      </c>
      <c r="AU52" s="1">
        <f>[1]Results!AX1412</f>
        <v>5320230.693</v>
      </c>
      <c r="AV52" s="1">
        <f>[1]Results!AY1412</f>
        <v>5499463.5489999996</v>
      </c>
      <c r="AW52" s="1">
        <f>[1]Results!AZ1412</f>
        <v>5685156.3459999999</v>
      </c>
      <c r="AX52" s="1">
        <f>[1]Results!BA1412</f>
        <v>5877278.6560000004</v>
      </c>
      <c r="AY52" s="1">
        <f>[1]Results!BB1412</f>
        <v>6076152.5959999999</v>
      </c>
      <c r="AZ52" s="1">
        <f>[1]Results!BC1412</f>
        <v>6282047.6739999996</v>
      </c>
      <c r="BA52" s="1">
        <f>[1]Results!BD1412</f>
        <v>6495204.585</v>
      </c>
      <c r="BB52" s="1">
        <f>[1]Results!BE1412</f>
        <v>6715825.8130000001</v>
      </c>
      <c r="BC52" s="1">
        <f>[1]Results!BF1412</f>
        <v>6944108.176</v>
      </c>
      <c r="BD52" s="1">
        <f>[1]Results!BG1412</f>
        <v>7180359.5130000003</v>
      </c>
      <c r="BE52" s="1">
        <f>[1]Results!BH1412</f>
        <v>7424855.5599999996</v>
      </c>
      <c r="BF52" s="1">
        <f>[1]Results!BI1412</f>
        <v>7677855.8839999996</v>
      </c>
    </row>
    <row r="53" spans="1:58" x14ac:dyDescent="0.35">
      <c r="A53" s="3" t="str">
        <f>[1]Results!E1413</f>
        <v>INC_G_VAL_2</v>
      </c>
      <c r="B53" t="str">
        <f>[1]Results!C1413</f>
        <v>Recettes publiques</v>
      </c>
      <c r="C53" s="1">
        <f>[1]Results!F1413</f>
        <v>997226.69579999999</v>
      </c>
      <c r="D53" s="1">
        <f>[1]Results!G1413</f>
        <v>1017199.037</v>
      </c>
      <c r="E53" s="1">
        <f>[1]Results!H1413</f>
        <v>1039108.986</v>
      </c>
      <c r="F53" s="1">
        <f>[1]Results!I1413</f>
        <v>1063318.7990000001</v>
      </c>
      <c r="G53" s="1">
        <f>[1]Results!J1413</f>
        <v>1090237.338</v>
      </c>
      <c r="H53" s="1">
        <f>[1]Results!K1413</f>
        <v>1120098.7309999999</v>
      </c>
      <c r="I53" s="1">
        <f>[1]Results!L1413</f>
        <v>1152298.524</v>
      </c>
      <c r="J53" s="1">
        <f>[1]Results!M1413</f>
        <v>1187097.7350000001</v>
      </c>
      <c r="K53" s="1">
        <f>[1]Results!N1413</f>
        <v>1224499.871</v>
      </c>
      <c r="L53" s="1">
        <f>[1]Results!O1413</f>
        <v>1264488.165</v>
      </c>
      <c r="M53" s="1">
        <f>[1]Results!P1413</f>
        <v>1308315.5449999999</v>
      </c>
      <c r="N53" s="1">
        <f>[1]Results!Q1413</f>
        <v>1354131.6680000001</v>
      </c>
      <c r="O53" s="1">
        <f>[1]Results!R1413</f>
        <v>1402292.2790000001</v>
      </c>
      <c r="P53" s="1">
        <f>[1]Results!S1413</f>
        <v>1452751.0819999999</v>
      </c>
      <c r="Q53" s="1">
        <f>[1]Results!T1413</f>
        <v>1505478.922</v>
      </c>
      <c r="R53" s="1">
        <f>[1]Results!U1413</f>
        <v>1560455.2039999999</v>
      </c>
      <c r="S53" s="1">
        <f>[1]Results!V1413</f>
        <v>1617595.095</v>
      </c>
      <c r="T53" s="1">
        <f>[1]Results!W1413</f>
        <v>1676893.672</v>
      </c>
      <c r="U53" s="1">
        <f>[1]Results!X1413</f>
        <v>1738338.9310000001</v>
      </c>
      <c r="V53" s="1">
        <f>[1]Results!Y1413</f>
        <v>1801920.135</v>
      </c>
      <c r="W53" s="1">
        <f>[1]Results!Z1413</f>
        <v>1866462.0759999999</v>
      </c>
      <c r="X53" s="1">
        <f>[1]Results!AA1413</f>
        <v>1933557.314</v>
      </c>
      <c r="Y53" s="1">
        <f>[1]Results!AB1413</f>
        <v>2002874.0889999999</v>
      </c>
      <c r="Z53" s="1">
        <f>[1]Results!AC1413</f>
        <v>2074439.5649999999</v>
      </c>
      <c r="AA53" s="1">
        <f>[1]Results!AD1413</f>
        <v>2148273.415</v>
      </c>
      <c r="AB53" s="1">
        <f>[1]Results!AE1413</f>
        <v>2220664.145</v>
      </c>
      <c r="AC53" s="1">
        <f>[1]Results!AF1413</f>
        <v>2294969.281</v>
      </c>
      <c r="AD53" s="1">
        <f>[1]Results!AG1413</f>
        <v>2370758.9849999999</v>
      </c>
      <c r="AE53" s="1">
        <f>[1]Results!AH1413</f>
        <v>2448238.1850000001</v>
      </c>
      <c r="AF53" s="1">
        <f>[1]Results!AI1413</f>
        <v>2527594.807</v>
      </c>
      <c r="AG53" s="1">
        <f>[1]Results!AJ1413</f>
        <v>2609000.0499999998</v>
      </c>
      <c r="AH53" s="1">
        <f>[1]Results!AK1413</f>
        <v>2692629.24</v>
      </c>
      <c r="AI53" s="1">
        <f>[1]Results!AL1413</f>
        <v>2778625.6230000001</v>
      </c>
      <c r="AJ53" s="1">
        <f>[1]Results!AM1413</f>
        <v>2867128.0649999999</v>
      </c>
      <c r="AK53" s="1">
        <f>[1]Results!AN1413</f>
        <v>2958271.952</v>
      </c>
      <c r="AL53" s="1">
        <f>[1]Results!AO1413</f>
        <v>3052191.6370000001</v>
      </c>
      <c r="AM53" s="1">
        <f>[1]Results!AP1413</f>
        <v>3148083.801</v>
      </c>
      <c r="AN53" s="1">
        <f>[1]Results!AQ1413</f>
        <v>3246430.6150000002</v>
      </c>
      <c r="AO53" s="1">
        <f>[1]Results!AR1413</f>
        <v>3347434.0329999998</v>
      </c>
      <c r="AP53" s="1">
        <f>[1]Results!AS1413</f>
        <v>3451312.6519999998</v>
      </c>
      <c r="AQ53" s="1">
        <f>[1]Results!AT1413</f>
        <v>3558283.7050000001</v>
      </c>
      <c r="AR53" s="1">
        <f>[1]Results!AU1413</f>
        <v>3668582.22</v>
      </c>
      <c r="AS53" s="1">
        <f>[1]Results!AV1413</f>
        <v>3782397.0839999998</v>
      </c>
      <c r="AT53" s="1">
        <f>[1]Results!AW1413</f>
        <v>3899908.5189999999</v>
      </c>
      <c r="AU53" s="1">
        <f>[1]Results!AX1413</f>
        <v>4021285.9759999998</v>
      </c>
      <c r="AV53" s="1">
        <f>[1]Results!AY1413</f>
        <v>4146690.5249999999</v>
      </c>
      <c r="AW53" s="1">
        <f>[1]Results!AZ1413</f>
        <v>4276495.8059999999</v>
      </c>
      <c r="AX53" s="1">
        <f>[1]Results!BA1413</f>
        <v>4410796.5199999996</v>
      </c>
      <c r="AY53" s="1">
        <f>[1]Results!BB1413</f>
        <v>4549735.2529999996</v>
      </c>
      <c r="AZ53" s="1">
        <f>[1]Results!BC1413</f>
        <v>4693454.0939999996</v>
      </c>
      <c r="BA53" s="1">
        <f>[1]Results!BD1413</f>
        <v>4842096.3859999999</v>
      </c>
      <c r="BB53" s="1">
        <f>[1]Results!BE1413</f>
        <v>4995872.7280000001</v>
      </c>
      <c r="BC53" s="1">
        <f>[1]Results!BF1413</f>
        <v>5154922.773</v>
      </c>
      <c r="BD53" s="1">
        <f>[1]Results!BG1413</f>
        <v>5319402.7980000004</v>
      </c>
      <c r="BE53" s="1">
        <f>[1]Results!BH1413</f>
        <v>5489475.6610000003</v>
      </c>
      <c r="BF53" s="1">
        <f>[1]Results!BI1413</f>
        <v>5665310.0959999999</v>
      </c>
    </row>
    <row r="54" spans="1:58" x14ac:dyDescent="0.35">
      <c r="A54" s="3" t="str">
        <f>[1]Results!E1414</f>
        <v>Bal_G_tot_VAL_2</v>
      </c>
      <c r="B54" t="str">
        <f>[1]Results!C1414</f>
        <v>Solde public</v>
      </c>
      <c r="C54" s="1">
        <f>[1]Results!F1414</f>
        <v>-79210.309179999997</v>
      </c>
      <c r="D54" s="1">
        <f>[1]Results!G1414</f>
        <v>-90906.31813</v>
      </c>
      <c r="E54" s="1">
        <f>[1]Results!H1414</f>
        <v>-101299.5671</v>
      </c>
      <c r="F54" s="1">
        <f>[1]Results!I1414</f>
        <v>-110680.22380000001</v>
      </c>
      <c r="G54" s="1">
        <f>[1]Results!J1414</f>
        <v>-119473.3512</v>
      </c>
      <c r="H54" s="1">
        <f>[1]Results!K1414</f>
        <v>-127717.5687</v>
      </c>
      <c r="I54" s="1">
        <f>[1]Results!L1414</f>
        <v>-134690.1605</v>
      </c>
      <c r="J54" s="1">
        <f>[1]Results!M1414</f>
        <v>-141470.3075</v>
      </c>
      <c r="K54" s="1">
        <f>[1]Results!N1414</f>
        <v>-148043.6306</v>
      </c>
      <c r="L54" s="1">
        <f>[1]Results!O1414</f>
        <v>-154461.68840000001</v>
      </c>
      <c r="M54" s="1">
        <f>[1]Results!P1414</f>
        <v>-162100.55429999999</v>
      </c>
      <c r="N54" s="1">
        <f>[1]Results!Q1414</f>
        <v>-167754.6594</v>
      </c>
      <c r="O54" s="1">
        <f>[1]Results!R1414</f>
        <v>-173675.77470000001</v>
      </c>
      <c r="P54" s="1">
        <f>[1]Results!S1414</f>
        <v>-179867.04670000001</v>
      </c>
      <c r="Q54" s="1">
        <f>[1]Results!T1414</f>
        <v>-186339.842</v>
      </c>
      <c r="R54" s="1">
        <f>[1]Results!U1414</f>
        <v>-193097.3412</v>
      </c>
      <c r="S54" s="1">
        <f>[1]Results!V1414</f>
        <v>-200208.8872</v>
      </c>
      <c r="T54" s="1">
        <f>[1]Results!W1414</f>
        <v>-207639.57019999999</v>
      </c>
      <c r="U54" s="1">
        <f>[1]Results!X1414</f>
        <v>-215366.55170000001</v>
      </c>
      <c r="V54" s="1">
        <f>[1]Results!Y1414</f>
        <v>-223385.93350000001</v>
      </c>
      <c r="W54" s="1">
        <f>[1]Results!Z1414</f>
        <v>-230546.0001</v>
      </c>
      <c r="X54" s="1">
        <f>[1]Results!AA1414</f>
        <v>-239852.7518</v>
      </c>
      <c r="Y54" s="1">
        <f>[1]Results!AB1414</f>
        <v>-249337.46230000001</v>
      </c>
      <c r="Z54" s="1">
        <f>[1]Results!AC1414</f>
        <v>-259047.4768</v>
      </c>
      <c r="AA54" s="1">
        <f>[1]Results!AD1414</f>
        <v>-269021.81219999999</v>
      </c>
      <c r="AB54" s="1">
        <f>[1]Results!AE1414</f>
        <v>-275595.96799999999</v>
      </c>
      <c r="AC54" s="1">
        <f>[1]Results!AF1414</f>
        <v>-286537.755</v>
      </c>
      <c r="AD54" s="1">
        <f>[1]Results!AG1414</f>
        <v>-298311.8517</v>
      </c>
      <c r="AE54" s="1">
        <f>[1]Results!AH1414</f>
        <v>-310838.77970000001</v>
      </c>
      <c r="AF54" s="1">
        <f>[1]Results!AI1414</f>
        <v>-324023.96730000002</v>
      </c>
      <c r="AG54" s="1">
        <f>[1]Results!AJ1414</f>
        <v>-337791.91350000002</v>
      </c>
      <c r="AH54" s="1">
        <f>[1]Results!AK1414</f>
        <v>-352077.37070000003</v>
      </c>
      <c r="AI54" s="1">
        <f>[1]Results!AL1414</f>
        <v>-366872.99180000002</v>
      </c>
      <c r="AJ54" s="1">
        <f>[1]Results!AM1414</f>
        <v>-382201.14130000002</v>
      </c>
      <c r="AK54" s="1">
        <f>[1]Results!AN1414</f>
        <v>-398093.5258</v>
      </c>
      <c r="AL54" s="1">
        <f>[1]Results!AO1414</f>
        <v>-414586.63770000002</v>
      </c>
      <c r="AM54" s="1">
        <f>[1]Results!AP1414</f>
        <v>-430393.16519999999</v>
      </c>
      <c r="AN54" s="1">
        <f>[1]Results!AQ1414</f>
        <v>-447279.39179999998</v>
      </c>
      <c r="AO54" s="1">
        <f>[1]Results!AR1414</f>
        <v>-465251.64889999997</v>
      </c>
      <c r="AP54" s="1">
        <f>[1]Results!AS1414</f>
        <v>-484269.70010000002</v>
      </c>
      <c r="AQ54" s="1">
        <f>[1]Results!AT1414</f>
        <v>-504267.64159999997</v>
      </c>
      <c r="AR54" s="1">
        <f>[1]Results!AU1414</f>
        <v>-525142.33869999996</v>
      </c>
      <c r="AS54" s="1">
        <f>[1]Results!AV1414</f>
        <v>-546844.2341</v>
      </c>
      <c r="AT54" s="1">
        <f>[1]Results!AW1414</f>
        <v>-569368.93839999998</v>
      </c>
      <c r="AU54" s="1">
        <f>[1]Results!AX1414</f>
        <v>-592720.46160000004</v>
      </c>
      <c r="AV54" s="1">
        <f>[1]Results!AY1414</f>
        <v>-616912.74529999995</v>
      </c>
      <c r="AW54" s="1">
        <f>[1]Results!AZ1414</f>
        <v>-641954.62479999999</v>
      </c>
      <c r="AX54" s="1">
        <f>[1]Results!BA1414</f>
        <v>-667678.48970000003</v>
      </c>
      <c r="AY54" s="1">
        <f>[1]Results!BB1414</f>
        <v>-694229.77179999999</v>
      </c>
      <c r="AZ54" s="1">
        <f>[1]Results!BC1414</f>
        <v>-721694.52</v>
      </c>
      <c r="BA54" s="1">
        <f>[1]Results!BD1414</f>
        <v>-750124.41339999996</v>
      </c>
      <c r="BB54" s="1">
        <f>[1]Results!BE1414</f>
        <v>-779463.07849999995</v>
      </c>
      <c r="BC54" s="1">
        <f>[1]Results!BF1414</f>
        <v>-809722.24269999994</v>
      </c>
      <c r="BD54" s="1">
        <f>[1]Results!BG1414</f>
        <v>-841007.44240000006</v>
      </c>
      <c r="BE54" s="1">
        <f>[1]Results!BH1414</f>
        <v>-873380.25430000003</v>
      </c>
      <c r="BF54" s="1">
        <f>[1]Results!BI1414</f>
        <v>-906877.12990000006</v>
      </c>
    </row>
    <row r="55" spans="1:58" x14ac:dyDescent="0.35">
      <c r="A55" s="3" t="str">
        <f>[1]Results!E1415</f>
        <v>DEBT_G_VAL_2</v>
      </c>
      <c r="B55" t="str">
        <f>[1]Results!C1415</f>
        <v>Dette publique</v>
      </c>
      <c r="C55" s="1">
        <f>[1]Results!F1415</f>
        <v>2118751.6630000002</v>
      </c>
      <c r="D55" s="1">
        <f>[1]Results!G1415</f>
        <v>2209657.9810000001</v>
      </c>
      <c r="E55" s="1">
        <f>[1]Results!H1415</f>
        <v>2310957.548</v>
      </c>
      <c r="F55" s="1">
        <f>[1]Results!I1415</f>
        <v>2421637.7719999999</v>
      </c>
      <c r="G55" s="1">
        <f>[1]Results!J1415</f>
        <v>2541111.1230000001</v>
      </c>
      <c r="H55" s="1">
        <f>[1]Results!K1415</f>
        <v>2668828.6919999998</v>
      </c>
      <c r="I55" s="1">
        <f>[1]Results!L1415</f>
        <v>2803518.852</v>
      </c>
      <c r="J55" s="1">
        <f>[1]Results!M1415</f>
        <v>2944989.16</v>
      </c>
      <c r="K55" s="1">
        <f>[1]Results!N1415</f>
        <v>3093032.79</v>
      </c>
      <c r="L55" s="1">
        <f>[1]Results!O1415</f>
        <v>3247494.4789999998</v>
      </c>
      <c r="M55" s="1">
        <f>[1]Results!P1415</f>
        <v>3409595.0329999998</v>
      </c>
      <c r="N55" s="1">
        <f>[1]Results!Q1415</f>
        <v>3577349.6919999998</v>
      </c>
      <c r="O55" s="1">
        <f>[1]Results!R1415</f>
        <v>3751025.4670000002</v>
      </c>
      <c r="P55" s="1">
        <f>[1]Results!S1415</f>
        <v>3930892.514</v>
      </c>
      <c r="Q55" s="1">
        <f>[1]Results!T1415</f>
        <v>4117232.3560000001</v>
      </c>
      <c r="R55" s="1">
        <f>[1]Results!U1415</f>
        <v>4310329.6969999997</v>
      </c>
      <c r="S55" s="1">
        <f>[1]Results!V1415</f>
        <v>4510538.5839999998</v>
      </c>
      <c r="T55" s="1">
        <f>[1]Results!W1415</f>
        <v>4718178.1540000001</v>
      </c>
      <c r="U55" s="1">
        <f>[1]Results!X1415</f>
        <v>4933544.7060000002</v>
      </c>
      <c r="V55" s="1">
        <f>[1]Results!Y1415</f>
        <v>5156930.6390000004</v>
      </c>
      <c r="W55" s="1">
        <f>[1]Results!Z1415</f>
        <v>5387476.6399999997</v>
      </c>
      <c r="X55" s="1">
        <f>[1]Results!AA1415</f>
        <v>5627329.3909999998</v>
      </c>
      <c r="Y55" s="1">
        <f>[1]Results!AB1415</f>
        <v>5876666.8540000003</v>
      </c>
      <c r="Z55" s="1">
        <f>[1]Results!AC1415</f>
        <v>6135714.3300000001</v>
      </c>
      <c r="AA55" s="1">
        <f>[1]Results!AD1415</f>
        <v>6404736.1430000002</v>
      </c>
      <c r="AB55" s="1">
        <f>[1]Results!AE1415</f>
        <v>6680332.1109999996</v>
      </c>
      <c r="AC55" s="1">
        <f>[1]Results!AF1415</f>
        <v>6966869.8660000004</v>
      </c>
      <c r="AD55" s="1">
        <f>[1]Results!AG1415</f>
        <v>7265181.7170000002</v>
      </c>
      <c r="AE55" s="1">
        <f>[1]Results!AH1415</f>
        <v>7576020.4970000004</v>
      </c>
      <c r="AF55" s="1">
        <f>[1]Results!AI1415</f>
        <v>7900044.4639999997</v>
      </c>
      <c r="AG55" s="1">
        <f>[1]Results!AJ1415</f>
        <v>8237836.3779999996</v>
      </c>
      <c r="AH55" s="1">
        <f>[1]Results!AK1415</f>
        <v>8589913.7489999998</v>
      </c>
      <c r="AI55" s="1">
        <f>[1]Results!AL1415</f>
        <v>8956786.7400000002</v>
      </c>
      <c r="AJ55" s="1">
        <f>[1]Results!AM1415</f>
        <v>9338987.8819999993</v>
      </c>
      <c r="AK55" s="1">
        <f>[1]Results!AN1415</f>
        <v>9737081.4079999998</v>
      </c>
      <c r="AL55" s="1">
        <f>[1]Results!AO1415</f>
        <v>10151668.050000001</v>
      </c>
      <c r="AM55" s="1">
        <f>[1]Results!AP1415</f>
        <v>10582061.210000001</v>
      </c>
      <c r="AN55" s="1">
        <f>[1]Results!AQ1415</f>
        <v>11029340.6</v>
      </c>
      <c r="AO55" s="1">
        <f>[1]Results!AR1415</f>
        <v>11494592.25</v>
      </c>
      <c r="AP55" s="1">
        <f>[1]Results!AS1415</f>
        <v>11978861.949999999</v>
      </c>
      <c r="AQ55" s="1">
        <f>[1]Results!AT1415</f>
        <v>12483129.59</v>
      </c>
      <c r="AR55" s="1">
        <f>[1]Results!AU1415</f>
        <v>13008271.93</v>
      </c>
      <c r="AS55" s="1">
        <f>[1]Results!AV1415</f>
        <v>13555116.17</v>
      </c>
      <c r="AT55" s="1">
        <f>[1]Results!AW1415</f>
        <v>14124485.1</v>
      </c>
      <c r="AU55" s="1">
        <f>[1]Results!AX1415</f>
        <v>14717205.57</v>
      </c>
      <c r="AV55" s="1">
        <f>[1]Results!AY1415</f>
        <v>15334118.310000001</v>
      </c>
      <c r="AW55" s="1">
        <f>[1]Results!AZ1415</f>
        <v>15976072.939999999</v>
      </c>
      <c r="AX55" s="1">
        <f>[1]Results!BA1415</f>
        <v>16643751.43</v>
      </c>
      <c r="AY55" s="1">
        <f>[1]Results!BB1415</f>
        <v>17337981.199999999</v>
      </c>
      <c r="AZ55" s="1">
        <f>[1]Results!BC1415</f>
        <v>18059675.719999999</v>
      </c>
      <c r="BA55" s="1">
        <f>[1]Results!BD1415</f>
        <v>18809800.129999999</v>
      </c>
      <c r="BB55" s="1">
        <f>[1]Results!BE1415</f>
        <v>19589263.210000001</v>
      </c>
      <c r="BC55" s="1">
        <f>[1]Results!BF1415</f>
        <v>20398985.449999999</v>
      </c>
      <c r="BD55" s="1">
        <f>[1]Results!BG1415</f>
        <v>21239992.890000001</v>
      </c>
      <c r="BE55" s="1">
        <f>[1]Results!BH1415</f>
        <v>22113373.149999999</v>
      </c>
      <c r="BF55" s="1">
        <f>[1]Results!BI1415</f>
        <v>23020250.280000001</v>
      </c>
    </row>
    <row r="56" spans="1:58" x14ac:dyDescent="0.35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 spans="1:58" x14ac:dyDescent="0.35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 spans="1:58" x14ac:dyDescent="0.35">
      <c r="A58" s="13" t="s">
        <v>49</v>
      </c>
      <c r="B58" t="s">
        <v>4</v>
      </c>
      <c r="C58" s="1">
        <f>[1]Results!F1731</f>
        <v>1202984.926</v>
      </c>
      <c r="D58" s="1">
        <f>[1]Results!G1731</f>
        <v>1218429.125</v>
      </c>
      <c r="E58" s="1">
        <f>[1]Results!H1731</f>
        <v>1234998.9720000001</v>
      </c>
      <c r="F58" s="1">
        <f>[1]Results!I1731</f>
        <v>1252452.594</v>
      </c>
      <c r="G58" s="1">
        <f>[1]Results!J1731</f>
        <v>1270716.764</v>
      </c>
      <c r="H58" s="1">
        <f>[1]Results!K1731</f>
        <v>1289816.5060000001</v>
      </c>
      <c r="I58" s="1">
        <f>[1]Results!L1731</f>
        <v>1309182.9140000001</v>
      </c>
      <c r="J58" s="1">
        <f>[1]Results!M1731</f>
        <v>1328965.3359999999</v>
      </c>
      <c r="K58" s="1">
        <f>[1]Results!N1731</f>
        <v>1349231.845</v>
      </c>
      <c r="L58" s="1">
        <f>[1]Results!O1731</f>
        <v>1370000.6510000001</v>
      </c>
      <c r="M58" s="1">
        <f>[1]Results!P1731</f>
        <v>1392318.794</v>
      </c>
      <c r="N58" s="1">
        <f>[1]Results!Q1731</f>
        <v>1414841.2560000001</v>
      </c>
      <c r="O58" s="1">
        <f>[1]Results!R1731</f>
        <v>1437589.7560000001</v>
      </c>
      <c r="P58" s="1">
        <f>[1]Results!S1731</f>
        <v>1460541.0830000001</v>
      </c>
      <c r="Q58" s="1">
        <f>[1]Results!T1731</f>
        <v>1483671.7139999999</v>
      </c>
      <c r="R58" s="1">
        <f>[1]Results!U1731</f>
        <v>1506967.818</v>
      </c>
      <c r="S58" s="1">
        <f>[1]Results!V1731</f>
        <v>1530424.652</v>
      </c>
      <c r="T58" s="1">
        <f>[1]Results!W1731</f>
        <v>1554043.49</v>
      </c>
      <c r="U58" s="1">
        <f>[1]Results!X1731</f>
        <v>1577828.8030000001</v>
      </c>
      <c r="V58" s="1">
        <f>[1]Results!Y1731</f>
        <v>1601786.466</v>
      </c>
      <c r="W58" s="1">
        <f>[1]Results!Z1731</f>
        <v>1625133.1229999999</v>
      </c>
      <c r="X58" s="1">
        <f>[1]Results!AA1731</f>
        <v>1648849.007</v>
      </c>
      <c r="Y58" s="1">
        <f>[1]Results!AB1731</f>
        <v>1672897.05</v>
      </c>
      <c r="Z58" s="1">
        <f>[1]Results!AC1731</f>
        <v>1697269.878</v>
      </c>
      <c r="AA58" s="1">
        <f>[1]Results!AD1731</f>
        <v>1721961.953</v>
      </c>
      <c r="AB58" s="1">
        <f>[1]Results!AE1731</f>
        <v>1744684.3259999999</v>
      </c>
      <c r="AC58" s="1">
        <f>[1]Results!AF1731</f>
        <v>1767155.689</v>
      </c>
      <c r="AD58" s="1">
        <f>[1]Results!AG1731</f>
        <v>1789481.3019999999</v>
      </c>
      <c r="AE58" s="1">
        <f>[1]Results!AH1731</f>
        <v>1811794.179</v>
      </c>
      <c r="AF58" s="1">
        <f>[1]Results!AI1731</f>
        <v>1834213.182</v>
      </c>
      <c r="AG58" s="1">
        <f>[1]Results!AJ1731</f>
        <v>1856831.0490000001</v>
      </c>
      <c r="AH58" s="1">
        <f>[1]Results!AK1731</f>
        <v>1879714.1880000001</v>
      </c>
      <c r="AI58" s="1">
        <f>[1]Results!AL1731</f>
        <v>1902907.0830000001</v>
      </c>
      <c r="AJ58" s="1">
        <f>[1]Results!AM1731</f>
        <v>1926438.023</v>
      </c>
      <c r="AK58" s="1">
        <f>[1]Results!AN1731</f>
        <v>1950324.48</v>
      </c>
      <c r="AL58" s="1">
        <f>[1]Results!AO1731</f>
        <v>1974577.4650000001</v>
      </c>
      <c r="AM58" s="1">
        <f>[1]Results!AP1731</f>
        <v>1998657.446</v>
      </c>
      <c r="AN58" s="1">
        <f>[1]Results!AQ1731</f>
        <v>2022691.6580000001</v>
      </c>
      <c r="AO58" s="1">
        <f>[1]Results!AR1731</f>
        <v>2046778.5889999999</v>
      </c>
      <c r="AP58" s="1">
        <f>[1]Results!AS1731</f>
        <v>2071007.237</v>
      </c>
      <c r="AQ58" s="1">
        <f>[1]Results!AT1731</f>
        <v>2095457.1950000001</v>
      </c>
      <c r="AR58" s="1">
        <f>[1]Results!AU1731</f>
        <v>2120195.8280000002</v>
      </c>
      <c r="AS58" s="1">
        <f>[1]Results!AV1731</f>
        <v>2145276.804</v>
      </c>
      <c r="AT58" s="1">
        <f>[1]Results!AW1731</f>
        <v>2170740.5219999999</v>
      </c>
      <c r="AU58" s="1">
        <f>[1]Results!AX1731</f>
        <v>2196615.88</v>
      </c>
      <c r="AV58" s="1">
        <f>[1]Results!AY1731</f>
        <v>2222922.696</v>
      </c>
      <c r="AW58" s="1">
        <f>[1]Results!AZ1731</f>
        <v>2249723.2620000001</v>
      </c>
      <c r="AX58" s="1">
        <f>[1]Results!BA1731</f>
        <v>2277015.77</v>
      </c>
      <c r="AY58" s="1">
        <f>[1]Results!BB1731</f>
        <v>2304798.35</v>
      </c>
      <c r="AZ58" s="1">
        <f>[1]Results!BC1731</f>
        <v>2333068.1290000002</v>
      </c>
      <c r="BA58" s="1">
        <f>[1]Results!BD1731</f>
        <v>2361822.0060000001</v>
      </c>
      <c r="BB58" s="1">
        <f>[1]Results!BE1731</f>
        <v>2391057.7239999999</v>
      </c>
      <c r="BC58" s="1">
        <f>[1]Results!BF1731</f>
        <v>2420774.5</v>
      </c>
      <c r="BD58" s="1">
        <f>[1]Results!BG1731</f>
        <v>2450973.1540000001</v>
      </c>
      <c r="BE58" s="1">
        <f>[1]Results!BH1731</f>
        <v>2481655.895</v>
      </c>
      <c r="BF58" s="1">
        <f>[1]Results!BI1731</f>
        <v>2512825.969</v>
      </c>
    </row>
    <row r="59" spans="1:58" x14ac:dyDescent="0.35">
      <c r="A59" s="14"/>
      <c r="B59" t="s">
        <v>6</v>
      </c>
      <c r="C59" s="1">
        <f>[1]Results!F1702</f>
        <v>1196167.9920000001</v>
      </c>
      <c r="D59" s="1">
        <f>[1]Results!G1702</f>
        <v>1203326.4879999999</v>
      </c>
      <c r="E59" s="1">
        <f>[1]Results!H1702</f>
        <v>1211975.449</v>
      </c>
      <c r="F59" s="1">
        <f>[1]Results!I1702</f>
        <v>1222399.362</v>
      </c>
      <c r="G59" s="1">
        <f>[1]Results!J1702</f>
        <v>1234625.183</v>
      </c>
      <c r="H59" s="1">
        <f>[1]Results!K1702</f>
        <v>1248626.6200000001</v>
      </c>
      <c r="I59" s="1">
        <f>[1]Results!L1702</f>
        <v>1263733.0419999999</v>
      </c>
      <c r="J59" s="1">
        <f>[1]Results!M1702</f>
        <v>1279971.1170000001</v>
      </c>
      <c r="K59" s="1">
        <f>[1]Results!N1702</f>
        <v>1297279.98</v>
      </c>
      <c r="L59" s="1">
        <f>[1]Results!O1702</f>
        <v>1315556.568</v>
      </c>
      <c r="M59" s="1">
        <f>[1]Results!P1702</f>
        <v>1335713.165</v>
      </c>
      <c r="N59" s="1">
        <f>[1]Results!Q1702</f>
        <v>1356321.0859999999</v>
      </c>
      <c r="O59" s="1">
        <f>[1]Results!R1702</f>
        <v>1377344.787</v>
      </c>
      <c r="P59" s="1">
        <f>[1]Results!S1702</f>
        <v>1398723.939</v>
      </c>
      <c r="Q59" s="1">
        <f>[1]Results!T1702</f>
        <v>1420407.808</v>
      </c>
      <c r="R59" s="1">
        <f>[1]Results!U1702</f>
        <v>1442360.25</v>
      </c>
      <c r="S59" s="1">
        <f>[1]Results!V1702</f>
        <v>1464527.237</v>
      </c>
      <c r="T59" s="1">
        <f>[1]Results!W1702</f>
        <v>1486886.8929999999</v>
      </c>
      <c r="U59" s="1">
        <f>[1]Results!X1702</f>
        <v>1509428.7760000001</v>
      </c>
      <c r="V59" s="1">
        <f>[1]Results!Y1702</f>
        <v>1532145.37</v>
      </c>
      <c r="W59" s="1">
        <f>[1]Results!Z1702</f>
        <v>1554264.548</v>
      </c>
      <c r="X59" s="1">
        <f>[1]Results!AA1702</f>
        <v>1576731.3430000001</v>
      </c>
      <c r="Y59" s="1">
        <f>[1]Results!AB1702</f>
        <v>1599491.7649999999</v>
      </c>
      <c r="Z59" s="1">
        <f>[1]Results!AC1702</f>
        <v>1622524.7109999999</v>
      </c>
      <c r="AA59" s="1">
        <f>[1]Results!AD1702</f>
        <v>1645814.523</v>
      </c>
      <c r="AB59" s="1">
        <f>[1]Results!AE1702</f>
        <v>1667140.068</v>
      </c>
      <c r="AC59" s="1">
        <f>[1]Results!AF1702</f>
        <v>1688197.99</v>
      </c>
      <c r="AD59" s="1">
        <f>[1]Results!AG1702</f>
        <v>1709083.4140000001</v>
      </c>
      <c r="AE59" s="1">
        <f>[1]Results!AH1702</f>
        <v>1729916.1850000001</v>
      </c>
      <c r="AF59" s="1">
        <f>[1]Results!AI1702</f>
        <v>1750804.831</v>
      </c>
      <c r="AG59" s="1">
        <f>[1]Results!AJ1702</f>
        <v>1771835.574</v>
      </c>
      <c r="AH59" s="1">
        <f>[1]Results!AK1702</f>
        <v>1793078.45</v>
      </c>
      <c r="AI59" s="1">
        <f>[1]Results!AL1702</f>
        <v>1814577.263</v>
      </c>
      <c r="AJ59" s="1">
        <f>[1]Results!AM1702</f>
        <v>1836359.034</v>
      </c>
      <c r="AK59" s="1">
        <f>[1]Results!AN1702</f>
        <v>1858440.5630000001</v>
      </c>
      <c r="AL59" s="1">
        <f>[1]Results!AO1702</f>
        <v>1880832.835</v>
      </c>
      <c r="AM59" s="1">
        <f>[1]Results!AP1702</f>
        <v>1903080.375</v>
      </c>
      <c r="AN59" s="1">
        <f>[1]Results!AQ1702</f>
        <v>1925317.486</v>
      </c>
      <c r="AO59" s="1">
        <f>[1]Results!AR1702</f>
        <v>1947628.8160000001</v>
      </c>
      <c r="AP59" s="1">
        <f>[1]Results!AS1702</f>
        <v>1970086.202</v>
      </c>
      <c r="AQ59" s="1">
        <f>[1]Results!AT1702</f>
        <v>1992754.28</v>
      </c>
      <c r="AR59" s="1">
        <f>[1]Results!AU1702</f>
        <v>2015698.459</v>
      </c>
      <c r="AS59" s="1">
        <f>[1]Results!AV1702</f>
        <v>2038962.8910000001</v>
      </c>
      <c r="AT59" s="1">
        <f>[1]Results!AW1702</f>
        <v>2062577.0930000001</v>
      </c>
      <c r="AU59" s="1">
        <f>[1]Results!AX1702</f>
        <v>2086560.0519999999</v>
      </c>
      <c r="AV59" s="1">
        <f>[1]Results!AY1702</f>
        <v>2110923.1</v>
      </c>
      <c r="AW59" s="1">
        <f>[1]Results!AZ1702</f>
        <v>2135754.219</v>
      </c>
      <c r="AX59" s="1">
        <f>[1]Results!BA1702</f>
        <v>2161046.358</v>
      </c>
      <c r="AY59" s="1">
        <f>[1]Results!BB1702</f>
        <v>2186783.87</v>
      </c>
      <c r="AZ59" s="1">
        <f>[1]Results!BC1702</f>
        <v>2212951.54</v>
      </c>
      <c r="BA59" s="1">
        <f>[1]Results!BD1702</f>
        <v>2239537.4610000001</v>
      </c>
      <c r="BB59" s="1">
        <f>[1]Results!BE1702</f>
        <v>2266555.58</v>
      </c>
      <c r="BC59" s="1">
        <f>[1]Results!BF1702</f>
        <v>2294001.1030000001</v>
      </c>
      <c r="BD59" s="1">
        <f>[1]Results!BG1702</f>
        <v>2321865.4180000001</v>
      </c>
      <c r="BE59" s="1">
        <f>[1]Results!BH1702</f>
        <v>2350141.898</v>
      </c>
      <c r="BF59" s="1">
        <f>[1]Results!BI1702</f>
        <v>2378826.9709999999</v>
      </c>
    </row>
    <row r="60" spans="1:58" x14ac:dyDescent="0.35">
      <c r="A60" s="14"/>
      <c r="C60" s="1"/>
      <c r="D60" s="1"/>
      <c r="E60" s="1"/>
      <c r="F60" s="1"/>
      <c r="G60" s="1"/>
      <c r="H60" s="4">
        <f t="shared" ref="H60:U60" si="0">H58/G58-1</f>
        <v>1.5030683895187913E-2</v>
      </c>
      <c r="I60" s="4">
        <f t="shared" si="0"/>
        <v>1.5014855144054096E-2</v>
      </c>
      <c r="J60" s="4">
        <f t="shared" si="0"/>
        <v>1.5110510371356467E-2</v>
      </c>
      <c r="K60" s="4">
        <f t="shared" si="0"/>
        <v>1.5249840195982411E-2</v>
      </c>
      <c r="L60" s="4">
        <f t="shared" si="0"/>
        <v>1.5393059448578494E-2</v>
      </c>
      <c r="M60" s="4">
        <f t="shared" si="0"/>
        <v>1.6290607587455819E-2</v>
      </c>
      <c r="N60" s="4">
        <f t="shared" si="0"/>
        <v>1.617622494004789E-2</v>
      </c>
      <c r="O60" s="4">
        <f t="shared" si="0"/>
        <v>1.6078482235041713E-2</v>
      </c>
      <c r="P60" s="4">
        <f t="shared" si="0"/>
        <v>1.5965143674827376E-2</v>
      </c>
      <c r="Q60" s="4">
        <f t="shared" si="0"/>
        <v>1.5837028666450648E-2</v>
      </c>
      <c r="R60" s="4">
        <f t="shared" si="0"/>
        <v>1.5701656761517357E-2</v>
      </c>
      <c r="S60" s="4">
        <f t="shared" si="0"/>
        <v>1.5565583896231638E-2</v>
      </c>
      <c r="T60" s="4">
        <f t="shared" si="0"/>
        <v>1.5432865622710734E-2</v>
      </c>
      <c r="U60" s="4">
        <f t="shared" si="0"/>
        <v>1.5305435885838659E-2</v>
      </c>
      <c r="V60" s="4">
        <f>V58/U58-1</f>
        <v>1.5183943248119336E-2</v>
      </c>
      <c r="W60" s="4">
        <f t="shared" ref="W60:AL60" si="1">W58/V58-1</f>
        <v>1.457538660462121E-2</v>
      </c>
      <c r="X60" s="4">
        <f t="shared" si="1"/>
        <v>1.4593194652398944E-2</v>
      </c>
      <c r="Y60" s="4">
        <f t="shared" si="1"/>
        <v>1.4584745418110945E-2</v>
      </c>
      <c r="Z60" s="4">
        <f t="shared" si="1"/>
        <v>1.4569233653678904E-2</v>
      </c>
      <c r="AA60" s="4">
        <f t="shared" si="1"/>
        <v>1.4548113602944612E-2</v>
      </c>
      <c r="AB60" s="4">
        <f t="shared" si="1"/>
        <v>1.3195630112740275E-2</v>
      </c>
      <c r="AC60" s="4">
        <f t="shared" si="1"/>
        <v>1.2879901919861769E-2</v>
      </c>
      <c r="AD60" s="4">
        <f t="shared" si="1"/>
        <v>1.2633642377392063E-2</v>
      </c>
      <c r="AE60" s="4">
        <f t="shared" si="1"/>
        <v>1.2468907596330903E-2</v>
      </c>
      <c r="AF60" s="4">
        <f t="shared" si="1"/>
        <v>1.2373923738056236E-2</v>
      </c>
      <c r="AG60" s="4">
        <f t="shared" si="1"/>
        <v>1.2331100453295107E-2</v>
      </c>
      <c r="AH60" s="4">
        <f t="shared" si="1"/>
        <v>1.2323759349200714E-2</v>
      </c>
      <c r="AI60" s="4">
        <f t="shared" si="1"/>
        <v>1.2338522073229052E-2</v>
      </c>
      <c r="AJ60" s="4">
        <f t="shared" si="1"/>
        <v>1.2365785071808411E-2</v>
      </c>
      <c r="AK60" s="4">
        <f t="shared" si="1"/>
        <v>1.2399286514705565E-2</v>
      </c>
      <c r="AL60" s="4">
        <f t="shared" si="1"/>
        <v>1.2435358961397025E-2</v>
      </c>
      <c r="AM60" s="4">
        <f t="shared" ref="AM60" si="2">AM58/AL58-1</f>
        <v>1.2195004463904313E-2</v>
      </c>
      <c r="AN60" s="4">
        <f t="shared" ref="AN60" si="3">AN58/AM58-1</f>
        <v>1.2025178225563815E-2</v>
      </c>
      <c r="AO60" s="4">
        <f t="shared" ref="AO60" si="4">AO58/AN58-1</f>
        <v>1.1908355336678778E-2</v>
      </c>
      <c r="AP60" s="4">
        <f t="shared" ref="AP60" si="5">AP58/AO58-1</f>
        <v>1.1837454295355654E-2</v>
      </c>
      <c r="AQ60" s="4">
        <f t="shared" ref="AQ60" si="6">AQ58/AP58-1</f>
        <v>1.1805829339069707E-2</v>
      </c>
      <c r="AR60" s="4">
        <f t="shared" ref="AR60" si="7">AR58/AQ58-1</f>
        <v>1.1805840300164183E-2</v>
      </c>
      <c r="AS60" s="4">
        <f t="shared" ref="AS60" si="8">AS58/AR58-1</f>
        <v>1.1829556340396508E-2</v>
      </c>
      <c r="AT60" s="4">
        <f t="shared" ref="AT60" si="9">AT58/AS58-1</f>
        <v>1.186966546812096E-2</v>
      </c>
      <c r="AU60" s="4">
        <f t="shared" ref="AU60" si="10">AU58/AT58-1</f>
        <v>1.1920060337824223E-2</v>
      </c>
      <c r="AV60" s="4">
        <f t="shared" ref="AV60" si="11">AV58/AU58-1</f>
        <v>1.1976065656049029E-2</v>
      </c>
      <c r="AW60" s="4">
        <f t="shared" ref="AW60" si="12">AW58/AV58-1</f>
        <v>1.2056454346444756E-2</v>
      </c>
      <c r="AX60" s="4">
        <f t="shared" ref="AX60" si="13">AX58/AW58-1</f>
        <v>1.2131495664821079E-2</v>
      </c>
      <c r="AY60" s="4">
        <f t="shared" ref="AY60" si="14">AY58/AX58-1</f>
        <v>1.2201312070842629E-2</v>
      </c>
      <c r="AZ60" s="4">
        <f t="shared" ref="AZ60" si="15">AZ58/AY58-1</f>
        <v>1.2265619246039527E-2</v>
      </c>
      <c r="BA60" s="4">
        <f t="shared" ref="BA60" si="16">BA58/AZ58-1</f>
        <v>1.2324490932172028E-2</v>
      </c>
      <c r="BB60" s="4">
        <f t="shared" ref="BB60" si="17">BB58/BA58-1</f>
        <v>1.2378459479897019E-2</v>
      </c>
      <c r="BC60" s="4">
        <f t="shared" ref="BC60" si="18">BC58/BB58-1</f>
        <v>1.2428297193213256E-2</v>
      </c>
      <c r="BD60" s="4">
        <f t="shared" ref="BD60" si="19">BD58/BC58-1</f>
        <v>1.2474790196278063E-2</v>
      </c>
      <c r="BE60" s="4">
        <f t="shared" ref="BE60" si="20">BE58/BD58-1</f>
        <v>1.2518595297515089E-2</v>
      </c>
      <c r="BF60" s="4">
        <f t="shared" ref="BF60" si="21">BF58/BE58-1</f>
        <v>1.2560191790812247E-2</v>
      </c>
    </row>
    <row r="61" spans="1:58" x14ac:dyDescent="0.35">
      <c r="A61" s="16" t="s">
        <v>3</v>
      </c>
      <c r="B61" t="s">
        <v>4</v>
      </c>
      <c r="C61" s="1">
        <f>[1]Results!F1789</f>
        <v>0.99928330850000002</v>
      </c>
      <c r="D61" s="1">
        <f>[1]Results!G1789</f>
        <v>1.017989158</v>
      </c>
      <c r="E61" s="1">
        <f>[1]Results!H1789</f>
        <v>1.036837593</v>
      </c>
      <c r="F61" s="1">
        <f>[1]Results!I1789</f>
        <v>1.056122352</v>
      </c>
      <c r="G61" s="1">
        <f>[1]Results!J1789</f>
        <v>1.0760451769999999</v>
      </c>
      <c r="H61" s="1">
        <f>[1]Results!K1789</f>
        <v>1.096721702</v>
      </c>
      <c r="I61" s="1">
        <f>[1]Results!L1789</f>
        <v>1.1181780400000001</v>
      </c>
      <c r="J61" s="1">
        <f>[1]Results!M1789</f>
        <v>1.1404204389999999</v>
      </c>
      <c r="K61" s="1">
        <f>[1]Results!N1789</f>
        <v>1.163445136</v>
      </c>
      <c r="L61" s="1">
        <f>[1]Results!O1789</f>
        <v>1.187242736</v>
      </c>
      <c r="M61" s="1">
        <f>[1]Results!P1789</f>
        <v>1.211853488</v>
      </c>
      <c r="N61" s="1">
        <f>[1]Results!Q1789</f>
        <v>1.2372341600000001</v>
      </c>
      <c r="O61" s="1">
        <f>[1]Results!R1789</f>
        <v>1.2633510699999999</v>
      </c>
      <c r="P61" s="1">
        <f>[1]Results!S1789</f>
        <v>1.290175217</v>
      </c>
      <c r="Q61" s="1">
        <f>[1]Results!T1789</f>
        <v>1.3176784210000001</v>
      </c>
      <c r="R61" s="1">
        <f>[1]Results!U1789</f>
        <v>1.3458319910000001</v>
      </c>
      <c r="S61" s="1">
        <f>[1]Results!V1789</f>
        <v>1.3746071559999999</v>
      </c>
      <c r="T61" s="1">
        <f>[1]Results!W1789</f>
        <v>1.403976232</v>
      </c>
      <c r="U61" s="1">
        <f>[1]Results!X1789</f>
        <v>1.4339138469999999</v>
      </c>
      <c r="V61" s="1">
        <f>[1]Results!Y1789</f>
        <v>1.464397886</v>
      </c>
      <c r="W61" s="1">
        <f>[1]Results!Z1789</f>
        <v>1.495368941</v>
      </c>
      <c r="X61" s="1">
        <f>[1]Results!AA1789</f>
        <v>1.526832296</v>
      </c>
      <c r="Y61" s="1">
        <f>[1]Results!AB1789</f>
        <v>1.5587890310000001</v>
      </c>
      <c r="Z61" s="1">
        <f>[1]Results!AC1789</f>
        <v>1.5912391029999999</v>
      </c>
      <c r="AA61" s="1">
        <f>[1]Results!AD1789</f>
        <v>1.624184466</v>
      </c>
      <c r="AB61" s="1">
        <f>[1]Results!AE1789</f>
        <v>1.657508985</v>
      </c>
      <c r="AC61" s="1">
        <f>[1]Results!AF1789</f>
        <v>1.691219611</v>
      </c>
      <c r="AD61" s="1">
        <f>[1]Results!AG1789</f>
        <v>1.7253282350000001</v>
      </c>
      <c r="AE61" s="1">
        <f>[1]Results!AH1789</f>
        <v>1.7598483110000001</v>
      </c>
      <c r="AF61" s="1">
        <f>[1]Results!AI1789</f>
        <v>1.794796778</v>
      </c>
      <c r="AG61" s="1">
        <f>[1]Results!AJ1789</f>
        <v>1.8301955350000001</v>
      </c>
      <c r="AH61" s="1">
        <f>[1]Results!AK1789</f>
        <v>1.866071614</v>
      </c>
      <c r="AI61" s="1">
        <f>[1]Results!AL1789</f>
        <v>1.902456366</v>
      </c>
      <c r="AJ61" s="1">
        <f>[1]Results!AM1789</f>
        <v>1.9393841890000001</v>
      </c>
      <c r="AK61" s="1">
        <f>[1]Results!AN1789</f>
        <v>1.976891205</v>
      </c>
      <c r="AL61" s="1">
        <f>[1]Results!AO1789</f>
        <v>2.01501412</v>
      </c>
      <c r="AM61" s="1">
        <f>[1]Results!AP1789</f>
        <v>2.0537577520000001</v>
      </c>
      <c r="AN61" s="1">
        <f>[1]Results!AQ1789</f>
        <v>2.0931402050000001</v>
      </c>
      <c r="AO61" s="1">
        <f>[1]Results!AR1789</f>
        <v>2.1331864679999999</v>
      </c>
      <c r="AP61" s="1">
        <f>[1]Results!AS1789</f>
        <v>2.1739241690000002</v>
      </c>
      <c r="AQ61" s="1">
        <f>[1]Results!AT1789</f>
        <v>2.2153819320000001</v>
      </c>
      <c r="AR61" s="1">
        <f>[1]Results!AU1789</f>
        <v>2.2575890250000001</v>
      </c>
      <c r="AS61" s="1">
        <f>[1]Results!AV1789</f>
        <v>2.3005753819999999</v>
      </c>
      <c r="AT61" s="1">
        <f>[1]Results!AW1789</f>
        <v>2.34437155</v>
      </c>
      <c r="AU61" s="1">
        <f>[1]Results!AX1789</f>
        <v>2.389008493</v>
      </c>
      <c r="AV61" s="1">
        <f>[1]Results!AY1789</f>
        <v>2.4345172960000001</v>
      </c>
      <c r="AW61" s="1">
        <f>[1]Results!AZ1789</f>
        <v>2.4809319909999998</v>
      </c>
      <c r="AX61" s="1">
        <f>[1]Results!BA1789</f>
        <v>2.528284787</v>
      </c>
      <c r="AY61" s="1">
        <f>[1]Results!BB1789</f>
        <v>2.5766066049999998</v>
      </c>
      <c r="AZ61" s="1">
        <f>[1]Results!BC1789</f>
        <v>2.6259271050000002</v>
      </c>
      <c r="BA61" s="1">
        <f>[1]Results!BD1789</f>
        <v>2.676274705</v>
      </c>
      <c r="BB61" s="1">
        <f>[1]Results!BE1789</f>
        <v>2.7276767230000001</v>
      </c>
      <c r="BC61" s="1">
        <f>[1]Results!BF1789</f>
        <v>2.7801595699999999</v>
      </c>
      <c r="BD61" s="1">
        <f>[1]Results!BG1789</f>
        <v>2.8337489499999999</v>
      </c>
      <c r="BE61" s="1">
        <f>[1]Results!BH1789</f>
        <v>2.8884700479999998</v>
      </c>
      <c r="BF61" s="1">
        <f>[1]Results!BI1789</f>
        <v>2.9443477109999998</v>
      </c>
    </row>
    <row r="62" spans="1:58" x14ac:dyDescent="0.35">
      <c r="A62" s="16"/>
      <c r="B62" t="s">
        <v>6</v>
      </c>
      <c r="C62" s="1">
        <f>[1]Results!F1760</f>
        <v>0.99710964359999998</v>
      </c>
      <c r="D62" s="1">
        <f>[1]Results!G1760</f>
        <v>1.0124446650000001</v>
      </c>
      <c r="E62" s="1">
        <f>[1]Results!H1760</f>
        <v>1.0274469660000001</v>
      </c>
      <c r="F62" s="1">
        <f>[1]Results!I1760</f>
        <v>1.0427658769999999</v>
      </c>
      <c r="G62" s="1">
        <f>[1]Results!J1760</f>
        <v>1.058755457</v>
      </c>
      <c r="H62" s="1">
        <f>[1]Results!K1760</f>
        <v>1.075590955</v>
      </c>
      <c r="I62" s="1">
        <f>[1]Results!L1760</f>
        <v>1.0933241339999999</v>
      </c>
      <c r="J62" s="1">
        <f>[1]Results!M1760</f>
        <v>1.111983167</v>
      </c>
      <c r="K62" s="1">
        <f>[1]Results!N1760</f>
        <v>1.1315888860000001</v>
      </c>
      <c r="L62" s="1">
        <f>[1]Results!O1760</f>
        <v>1.152156535</v>
      </c>
      <c r="M62" s="1">
        <f>[1]Results!P1760</f>
        <v>1.173748456</v>
      </c>
      <c r="N62" s="1">
        <f>[1]Results!Q1760</f>
        <v>1.196326453</v>
      </c>
      <c r="O62" s="1">
        <f>[1]Results!R1760</f>
        <v>1.2198567899999999</v>
      </c>
      <c r="P62" s="1">
        <f>[1]Results!S1760</f>
        <v>1.244307362</v>
      </c>
      <c r="Q62" s="1">
        <f>[1]Results!T1760</f>
        <v>1.2696431379999999</v>
      </c>
      <c r="R62" s="1">
        <f>[1]Results!U1760</f>
        <v>1.295824868</v>
      </c>
      <c r="S62" s="1">
        <f>[1]Results!V1760</f>
        <v>1.3228062789999999</v>
      </c>
      <c r="T62" s="1">
        <f>[1]Results!W1760</f>
        <v>1.3505372630000001</v>
      </c>
      <c r="U62" s="1">
        <f>[1]Results!X1760</f>
        <v>1.378971707</v>
      </c>
      <c r="V62" s="1">
        <f>[1]Results!Y1760</f>
        <v>1.40806769</v>
      </c>
      <c r="W62" s="1">
        <f>[1]Results!Z1760</f>
        <v>1.437745048</v>
      </c>
      <c r="X62" s="1">
        <f>[1]Results!AA1760</f>
        <v>1.4679931770000001</v>
      </c>
      <c r="Y62" s="1">
        <f>[1]Results!AB1760</f>
        <v>1.498795732</v>
      </c>
      <c r="Z62" s="1">
        <f>[1]Results!AC1760</f>
        <v>1.530135652</v>
      </c>
      <c r="AA62" s="1">
        <f>[1]Results!AD1760</f>
        <v>1.561998649</v>
      </c>
      <c r="AB62" s="1">
        <f>[1]Results!AE1760</f>
        <v>1.5942491089999999</v>
      </c>
      <c r="AC62" s="1">
        <f>[1]Results!AF1760</f>
        <v>1.626885868</v>
      </c>
      <c r="AD62" s="1">
        <f>[1]Results!AG1760</f>
        <v>1.6599161629999999</v>
      </c>
      <c r="AE62" s="1">
        <f>[1]Results!AH1760</f>
        <v>1.693348434</v>
      </c>
      <c r="AF62" s="1">
        <f>[1]Results!AI1760</f>
        <v>1.727194216</v>
      </c>
      <c r="AG62" s="1">
        <f>[1]Results!AJ1760</f>
        <v>1.7614700350000001</v>
      </c>
      <c r="AH62" s="1">
        <f>[1]Results!AK1760</f>
        <v>1.7961970979999999</v>
      </c>
      <c r="AI62" s="1">
        <f>[1]Results!AL1760</f>
        <v>1.8314048590000001</v>
      </c>
      <c r="AJ62" s="1">
        <f>[1]Results!AM1760</f>
        <v>1.867125924</v>
      </c>
      <c r="AK62" s="1">
        <f>[1]Results!AN1760</f>
        <v>1.9033949320000001</v>
      </c>
      <c r="AL62" s="1">
        <f>[1]Results!AO1760</f>
        <v>1.940247598</v>
      </c>
      <c r="AM62" s="1">
        <f>[1]Results!AP1760</f>
        <v>1.9776722499999999</v>
      </c>
      <c r="AN62" s="1">
        <f>[1]Results!AQ1760</f>
        <v>2.0157096449999998</v>
      </c>
      <c r="AO62" s="1">
        <f>[1]Results!AR1760</f>
        <v>2.0544001110000001</v>
      </c>
      <c r="AP62" s="1">
        <f>[1]Results!AS1760</f>
        <v>2.0937799090000002</v>
      </c>
      <c r="AQ62" s="1">
        <f>[1]Results!AT1760</f>
        <v>2.133881411</v>
      </c>
      <c r="AR62" s="1">
        <f>[1]Results!AU1760</f>
        <v>2.1747310799999999</v>
      </c>
      <c r="AS62" s="1">
        <f>[1]Results!AV1760</f>
        <v>2.2163616400000001</v>
      </c>
      <c r="AT62" s="1">
        <f>[1]Results!AW1760</f>
        <v>2.25880401</v>
      </c>
      <c r="AU62" s="1">
        <f>[1]Results!AX1760</f>
        <v>2.3020875709999999</v>
      </c>
      <c r="AV62" s="1">
        <f>[1]Results!AY1760</f>
        <v>2.3462404299999999</v>
      </c>
      <c r="AW62" s="1">
        <f>[1]Results!AZ1760</f>
        <v>2.3912770729999999</v>
      </c>
      <c r="AX62" s="1">
        <f>[1]Results!BA1760</f>
        <v>2.4372399210000002</v>
      </c>
      <c r="AY62" s="1">
        <f>[1]Results!BB1760</f>
        <v>2.4841645780000001</v>
      </c>
      <c r="AZ62" s="1">
        <f>[1]Results!BC1760</f>
        <v>2.5320802759999999</v>
      </c>
      <c r="BA62" s="1">
        <f>[1]Results!BD1760</f>
        <v>2.5810115499999999</v>
      </c>
      <c r="BB62" s="1">
        <f>[1]Results!BE1760</f>
        <v>2.630967681</v>
      </c>
      <c r="BC62" s="1">
        <f>[1]Results!BF1760</f>
        <v>2.6819789140000001</v>
      </c>
      <c r="BD62" s="1">
        <f>[1]Results!BG1760</f>
        <v>2.7340713760000002</v>
      </c>
      <c r="BE62" s="1">
        <f>[1]Results!BH1760</f>
        <v>2.787267355</v>
      </c>
      <c r="BF62" s="1">
        <f>[1]Results!BI1760</f>
        <v>2.841586505</v>
      </c>
    </row>
    <row r="63" spans="1:58" x14ac:dyDescent="0.35">
      <c r="A63" s="1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 spans="1:58" x14ac:dyDescent="0.35">
      <c r="A64" s="16" t="s">
        <v>1</v>
      </c>
      <c r="B64" t="str">
        <f>B61</f>
        <v>Baseline</v>
      </c>
      <c r="D64" s="1">
        <f t="shared" ref="D64:AL64" si="22">(D61/C61-1)*100</f>
        <v>1.8719265438425836</v>
      </c>
      <c r="E64" s="1">
        <f t="shared" si="22"/>
        <v>1.8515359276547461</v>
      </c>
      <c r="F64" s="1">
        <f t="shared" si="22"/>
        <v>1.8599594700459576</v>
      </c>
      <c r="G64" s="1">
        <f t="shared" si="22"/>
        <v>1.8864125886808081</v>
      </c>
      <c r="H64" s="1">
        <f t="shared" si="22"/>
        <v>1.9215294526616411</v>
      </c>
      <c r="I64" s="1">
        <f t="shared" si="22"/>
        <v>1.956406804102806</v>
      </c>
      <c r="J64" s="1">
        <f t="shared" si="22"/>
        <v>1.9891643552577554</v>
      </c>
      <c r="K64" s="1">
        <f t="shared" si="22"/>
        <v>2.0189656562267233</v>
      </c>
      <c r="L64" s="1">
        <f t="shared" si="22"/>
        <v>2.0454423903320196</v>
      </c>
      <c r="M64" s="1">
        <f t="shared" si="22"/>
        <v>2.0729334662360044</v>
      </c>
      <c r="N64" s="1">
        <f t="shared" si="22"/>
        <v>2.0943680280928412</v>
      </c>
      <c r="O64" s="1">
        <f t="shared" si="22"/>
        <v>2.1109108400304555</v>
      </c>
      <c r="P64" s="1">
        <f t="shared" si="22"/>
        <v>2.1232535941098307</v>
      </c>
      <c r="Q64" s="1">
        <f t="shared" si="22"/>
        <v>2.1317417694592056</v>
      </c>
      <c r="R64" s="1">
        <f t="shared" si="22"/>
        <v>2.1366040113667495</v>
      </c>
      <c r="S64" s="1">
        <f t="shared" si="22"/>
        <v>2.1380948879524686</v>
      </c>
      <c r="T64" s="1">
        <f t="shared" si="22"/>
        <v>2.1365432204981216</v>
      </c>
      <c r="U64" s="1">
        <f t="shared" si="22"/>
        <v>2.1323448586699323</v>
      </c>
      <c r="V64" s="1">
        <f t="shared" si="22"/>
        <v>2.1259323957138809</v>
      </c>
      <c r="W64" s="1">
        <f t="shared" si="22"/>
        <v>2.1149344243180712</v>
      </c>
      <c r="X64" s="1">
        <f t="shared" si="22"/>
        <v>2.1040529957081722</v>
      </c>
      <c r="Y64" s="1">
        <f t="shared" si="22"/>
        <v>2.0930088447644435</v>
      </c>
      <c r="Z64" s="1">
        <f t="shared" si="22"/>
        <v>2.0817488033760601</v>
      </c>
      <c r="AA64" s="1">
        <f t="shared" si="22"/>
        <v>2.0704219081775666</v>
      </c>
      <c r="AB64" s="1">
        <f t="shared" si="22"/>
        <v>2.0517693462535513</v>
      </c>
      <c r="AC64" s="1">
        <f t="shared" si="22"/>
        <v>2.0338125648229788</v>
      </c>
      <c r="AD64" s="1">
        <f t="shared" si="22"/>
        <v>2.016806320016129</v>
      </c>
      <c r="AE64" s="1">
        <f t="shared" si="22"/>
        <v>2.0007831147561328</v>
      </c>
      <c r="AF64" s="1">
        <f t="shared" si="22"/>
        <v>1.9858795091345804</v>
      </c>
      <c r="AG64" s="1">
        <f t="shared" si="22"/>
        <v>1.9722988938862596</v>
      </c>
      <c r="AH64" s="1">
        <f t="shared" si="22"/>
        <v>1.9602320251535188</v>
      </c>
      <c r="AI64" s="1">
        <f t="shared" si="22"/>
        <v>1.9498046981170081</v>
      </c>
      <c r="AJ64" s="1">
        <f t="shared" si="22"/>
        <v>1.9410601819815909</v>
      </c>
      <c r="AK64" s="1">
        <f t="shared" si="22"/>
        <v>1.9339652356008763</v>
      </c>
      <c r="AL64" s="1">
        <f t="shared" si="22"/>
        <v>1.9284275686784591</v>
      </c>
      <c r="AM64" s="1">
        <f t="shared" ref="AM64:AM65" si="23">(AM61/AL61-1)*100</f>
        <v>1.9227474197550665</v>
      </c>
      <c r="AN64" s="1">
        <f t="shared" ref="AN64:AN65" si="24">(AN61/AM61-1)*100</f>
        <v>1.9175802482862547</v>
      </c>
      <c r="AO64" s="1">
        <f t="shared" ref="AO64:AO65" si="25">(AO61/AN61-1)*100</f>
        <v>1.9132145521995714</v>
      </c>
      <c r="AP64" s="1">
        <f t="shared" ref="AP64:AP65" si="26">(AP61/AO61-1)*100</f>
        <v>1.9097112048622078</v>
      </c>
      <c r="AQ64" s="1">
        <f t="shared" ref="AQ64:AQ65" si="27">(AQ61/AP61-1)*100</f>
        <v>1.9070473382275521</v>
      </c>
      <c r="AR64" s="1">
        <f t="shared" ref="AR64:AR65" si="28">(AR61/AQ61-1)*100</f>
        <v>1.9051835889036139</v>
      </c>
      <c r="AS64" s="1">
        <f t="shared" ref="AS64:AS65" si="29">(AS61/AR61-1)*100</f>
        <v>1.9040824757730057</v>
      </c>
      <c r="AT64" s="1">
        <f t="shared" ref="AT64:AT65" si="30">(AT61/AS61-1)*100</f>
        <v>1.903704974966991</v>
      </c>
      <c r="AU64" s="1">
        <f t="shared" ref="AU64:AU65" si="31">(AU61/AT61-1)*100</f>
        <v>1.9040046361251894</v>
      </c>
      <c r="AV64" s="1">
        <f t="shared" ref="AV64:AV65" si="32">(AV61/AU61-1)*100</f>
        <v>1.9049242869309424</v>
      </c>
      <c r="AW64" s="1">
        <f t="shared" ref="AW64:AW65" si="33">(AW61/AV61-1)*100</f>
        <v>1.9065255800918113</v>
      </c>
      <c r="AX64" s="1">
        <f t="shared" ref="AX64:AX65" si="34">(AX61/AW61-1)*100</f>
        <v>1.9086696520412616</v>
      </c>
      <c r="AY64" s="1">
        <f t="shared" ref="AY64:AY65" si="35">(AY61/AX61-1)*100</f>
        <v>1.9112490115220426</v>
      </c>
      <c r="AZ64" s="1">
        <f t="shared" ref="AZ64:AZ65" si="36">(AZ61/AY61-1)*100</f>
        <v>1.9141649293412444</v>
      </c>
      <c r="BA64" s="1">
        <f t="shared" ref="BA64:BA65" si="37">(BA61/AZ61-1)*100</f>
        <v>1.9173266426220748</v>
      </c>
      <c r="BB64" s="1">
        <f t="shared" ref="BB64:BB65" si="38">(BB61/BA61-1)*100</f>
        <v>1.920655525532089</v>
      </c>
      <c r="BC64" s="1">
        <f t="shared" ref="BC64:BC65" si="39">(BC61/BB61-1)*100</f>
        <v>1.9240860384025726</v>
      </c>
      <c r="BD64" s="1">
        <f t="shared" ref="BD64:BD65" si="40">(BD61/BC61-1)*100</f>
        <v>1.9275648987298943</v>
      </c>
      <c r="BE64" s="1">
        <f t="shared" ref="BE64:BE65" si="41">(BE61/BD61-1)*100</f>
        <v>1.9310496083289275</v>
      </c>
      <c r="BF64" s="1">
        <f t="shared" ref="BF64:BF65" si="42">(BF61/BE61-1)*100</f>
        <v>1.9345072675650554</v>
      </c>
    </row>
    <row r="65" spans="1:58" x14ac:dyDescent="0.35">
      <c r="A65" s="16"/>
      <c r="B65" t="str">
        <f>B62</f>
        <v>NZ50</v>
      </c>
      <c r="D65" s="1">
        <f t="shared" ref="D65:AL65" si="43">(D62/C62-1)*100</f>
        <v>1.5379473559832491</v>
      </c>
      <c r="E65" s="1">
        <f t="shared" si="43"/>
        <v>1.4817897232931809</v>
      </c>
      <c r="F65" s="1">
        <f t="shared" si="43"/>
        <v>1.4909685372509918</v>
      </c>
      <c r="G65" s="1">
        <f t="shared" si="43"/>
        <v>1.5333815914653437</v>
      </c>
      <c r="H65" s="1">
        <f t="shared" si="43"/>
        <v>1.5901214854376011</v>
      </c>
      <c r="I65" s="1">
        <f t="shared" si="43"/>
        <v>1.6486917184981298</v>
      </c>
      <c r="J65" s="1">
        <f t="shared" si="43"/>
        <v>1.7066332316048705</v>
      </c>
      <c r="K65" s="1">
        <f t="shared" si="43"/>
        <v>1.763130916171507</v>
      </c>
      <c r="L65" s="1">
        <f t="shared" si="43"/>
        <v>1.8175902268449784</v>
      </c>
      <c r="M65" s="1">
        <f t="shared" si="43"/>
        <v>1.8740440507938327</v>
      </c>
      <c r="N65" s="1">
        <f t="shared" si="43"/>
        <v>1.9235805495279035</v>
      </c>
      <c r="O65" s="1">
        <f t="shared" si="43"/>
        <v>1.9668826131022499</v>
      </c>
      <c r="P65" s="1">
        <f t="shared" si="43"/>
        <v>2.0043805306031226</v>
      </c>
      <c r="Q65" s="1">
        <f t="shared" si="43"/>
        <v>2.0361348629551745</v>
      </c>
      <c r="R65" s="1">
        <f t="shared" si="43"/>
        <v>2.0621329896873819</v>
      </c>
      <c r="S65" s="1">
        <f t="shared" si="43"/>
        <v>2.082180367601949</v>
      </c>
      <c r="T65" s="1">
        <f t="shared" si="43"/>
        <v>2.0963752924550549</v>
      </c>
      <c r="U65" s="1">
        <f t="shared" si="43"/>
        <v>2.1054172127644488</v>
      </c>
      <c r="V65" s="1">
        <f t="shared" si="43"/>
        <v>2.1099767930191415</v>
      </c>
      <c r="W65" s="1">
        <f t="shared" si="43"/>
        <v>2.1076655767877206</v>
      </c>
      <c r="X65" s="1">
        <f t="shared" si="43"/>
        <v>2.1038590285584524</v>
      </c>
      <c r="Y65" s="1">
        <f t="shared" si="43"/>
        <v>2.098276441784841</v>
      </c>
      <c r="Z65" s="1">
        <f t="shared" si="43"/>
        <v>2.0910067550152345</v>
      </c>
      <c r="AA65" s="1">
        <f t="shared" si="43"/>
        <v>2.0823641981253527</v>
      </c>
      <c r="AB65" s="1">
        <f t="shared" si="43"/>
        <v>2.0646919266317454</v>
      </c>
      <c r="AC65" s="1">
        <f t="shared" si="43"/>
        <v>2.0471555427414856</v>
      </c>
      <c r="AD65" s="1">
        <f t="shared" si="43"/>
        <v>2.030277332275654</v>
      </c>
      <c r="AE65" s="1">
        <f t="shared" si="43"/>
        <v>2.0140939491532617</v>
      </c>
      <c r="AF65" s="1">
        <f t="shared" si="43"/>
        <v>1.9987488292678268</v>
      </c>
      <c r="AG65" s="1">
        <f t="shared" si="43"/>
        <v>1.9844797233850908</v>
      </c>
      <c r="AH65" s="1">
        <f t="shared" si="43"/>
        <v>1.9714819048851862</v>
      </c>
      <c r="AI65" s="1">
        <f t="shared" si="43"/>
        <v>1.9601279302367658</v>
      </c>
      <c r="AJ65" s="1">
        <f t="shared" si="43"/>
        <v>1.9504734206889029</v>
      </c>
      <c r="AK65" s="1">
        <f t="shared" si="43"/>
        <v>1.9425046556206471</v>
      </c>
      <c r="AL65" s="1">
        <f t="shared" si="43"/>
        <v>1.9361544669700637</v>
      </c>
      <c r="AM65" s="1">
        <f t="shared" si="23"/>
        <v>1.9288595970213818</v>
      </c>
      <c r="AN65" s="1">
        <f t="shared" si="24"/>
        <v>1.9233416962795458</v>
      </c>
      <c r="AO65" s="1">
        <f t="shared" si="25"/>
        <v>1.9194463893136948</v>
      </c>
      <c r="AP65" s="1">
        <f t="shared" si="26"/>
        <v>1.9168514345937915</v>
      </c>
      <c r="AQ65" s="1">
        <f t="shared" si="27"/>
        <v>1.9152682585034553</v>
      </c>
      <c r="AR65" s="1">
        <f t="shared" si="28"/>
        <v>1.9143364195134183</v>
      </c>
      <c r="AS65" s="1">
        <f t="shared" si="29"/>
        <v>1.9142854205219884</v>
      </c>
      <c r="AT65" s="1">
        <f t="shared" si="30"/>
        <v>1.9149568930456606</v>
      </c>
      <c r="AU65" s="1">
        <f t="shared" si="31"/>
        <v>1.9162158739040036</v>
      </c>
      <c r="AV65" s="1">
        <f t="shared" si="32"/>
        <v>1.9179487156008035</v>
      </c>
      <c r="AW65" s="1">
        <f t="shared" si="33"/>
        <v>1.9195237804336962</v>
      </c>
      <c r="AX65" s="1">
        <f t="shared" si="34"/>
        <v>1.9221046577566625</v>
      </c>
      <c r="AY65" s="1">
        <f t="shared" si="35"/>
        <v>1.9253195631534936</v>
      </c>
      <c r="AZ65" s="1">
        <f t="shared" si="36"/>
        <v>1.9288455533238658</v>
      </c>
      <c r="BA65" s="1">
        <f t="shared" si="37"/>
        <v>1.9324535033027557</v>
      </c>
      <c r="BB65" s="1">
        <f t="shared" si="38"/>
        <v>1.9355252788388455</v>
      </c>
      <c r="BC65" s="1">
        <f t="shared" si="39"/>
        <v>1.9388772187657999</v>
      </c>
      <c r="BD65" s="1">
        <f t="shared" si="40"/>
        <v>1.9423143757050454</v>
      </c>
      <c r="BE65" s="1">
        <f t="shared" si="41"/>
        <v>1.9456689926590887</v>
      </c>
      <c r="BF65" s="1">
        <f t="shared" si="42"/>
        <v>1.948831707965093</v>
      </c>
    </row>
    <row r="66" spans="1:58" x14ac:dyDescent="0.35">
      <c r="A66" s="1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58" x14ac:dyDescent="0.35">
      <c r="A67" s="15" t="s">
        <v>2</v>
      </c>
      <c r="B67" t="str">
        <f>B64</f>
        <v>Baseline</v>
      </c>
      <c r="C67" s="6">
        <f>[1]Emissions!B820</f>
        <v>350.5914343</v>
      </c>
      <c r="D67" s="6">
        <f>[1]Emissions!C820</f>
        <v>352.95918829999999</v>
      </c>
      <c r="E67" s="6">
        <f>[1]Emissions!D820</f>
        <v>355.1013524</v>
      </c>
      <c r="F67" s="6">
        <f>[1]Emissions!E820</f>
        <v>357.50077920000001</v>
      </c>
      <c r="G67" s="6">
        <f>[1]Emissions!F820</f>
        <v>360.28418249999999</v>
      </c>
      <c r="H67" s="6">
        <f>[1]Emissions!G820</f>
        <v>363.50913229999998</v>
      </c>
      <c r="I67" s="6">
        <f>[1]Emissions!H820</f>
        <v>366.97360450000002</v>
      </c>
      <c r="J67" s="6">
        <f>[1]Emissions!I820</f>
        <v>370.70665650000001</v>
      </c>
      <c r="K67" s="6">
        <f>[1]Emissions!J820</f>
        <v>374.6667769</v>
      </c>
      <c r="L67" s="6">
        <f>[1]Emissions!K820</f>
        <v>378.8064996</v>
      </c>
      <c r="M67" s="6">
        <f>[1]Emissions!L820</f>
        <v>383.39145619999999</v>
      </c>
      <c r="N67" s="6">
        <f>[1]Emissions!M820</f>
        <v>387.92491530000001</v>
      </c>
      <c r="O67" s="6">
        <f>[1]Emissions!N820</f>
        <v>392.50193359999997</v>
      </c>
      <c r="P67" s="6">
        <f>[1]Emissions!O820</f>
        <v>397.13402439999999</v>
      </c>
      <c r="Q67" s="6">
        <f>[1]Emissions!P820</f>
        <v>401.81830129999997</v>
      </c>
      <c r="R67" s="6">
        <f>[1]Emissions!Q820</f>
        <v>406.55097360000002</v>
      </c>
      <c r="S67" s="6">
        <f>[1]Emissions!R820</f>
        <v>411.32977269999998</v>
      </c>
      <c r="T67" s="6">
        <f>[1]Emissions!S820</f>
        <v>416.15408669999999</v>
      </c>
      <c r="U67" s="6">
        <f>[1]Emissions!T820</f>
        <v>421.02463870000003</v>
      </c>
      <c r="V67" s="6">
        <f>[1]Emissions!U820</f>
        <v>425.9431252</v>
      </c>
      <c r="W67" s="6">
        <f>[1]Emissions!V820</f>
        <v>430.68878239999998</v>
      </c>
      <c r="X67" s="6">
        <f>[1]Emissions!W820</f>
        <v>435.60816030000001</v>
      </c>
      <c r="Y67" s="6">
        <f>[1]Emissions!X820</f>
        <v>440.61967650000003</v>
      </c>
      <c r="Z67" s="6">
        <f>[1]Emissions!Y820</f>
        <v>445.70789300000001</v>
      </c>
      <c r="AA67" s="6">
        <f>[1]Emissions!Z820</f>
        <v>450.8708087</v>
      </c>
      <c r="AB67" s="6">
        <f>[1]Emissions!AA820</f>
        <v>455.46838939999998</v>
      </c>
      <c r="AC67" s="6">
        <f>[1]Emissions!AB820</f>
        <v>460.1846501</v>
      </c>
      <c r="AD67" s="6">
        <f>[1]Emissions!AC820</f>
        <v>464.93809199999998</v>
      </c>
      <c r="AE67" s="6">
        <f>[1]Emissions!AD820</f>
        <v>469.7240132</v>
      </c>
      <c r="AF67" s="6">
        <f>[1]Emissions!AE820</f>
        <v>474.55095189999997</v>
      </c>
      <c r="AG67" s="6">
        <f>[1]Emissions!AF820</f>
        <v>479.42876719999998</v>
      </c>
      <c r="AH67" s="6">
        <f>[1]Emissions!AG820</f>
        <v>484.3659576</v>
      </c>
      <c r="AI67" s="6">
        <f>[1]Emissions!AH820</f>
        <v>489.36906800000003</v>
      </c>
      <c r="AJ67" s="6">
        <f>[1]Emissions!AI820</f>
        <v>494.4427632</v>
      </c>
      <c r="AK67" s="6">
        <f>[1]Emissions!AJ820</f>
        <v>499.59011720000001</v>
      </c>
      <c r="AL67" s="6">
        <f>[1]Emissions!AK820</f>
        <v>504.8129629</v>
      </c>
      <c r="AM67" s="6">
        <f>[1]Emissions!AL820</f>
        <v>509.95921349999998</v>
      </c>
      <c r="AN67" s="6">
        <f>[1]Emissions!AM820</f>
        <v>515.1103061</v>
      </c>
      <c r="AO67" s="6">
        <f>[1]Emissions!AN820</f>
        <v>520.28988430000004</v>
      </c>
      <c r="AP67" s="6">
        <f>[1]Emissions!AO820</f>
        <v>525.50918639999998</v>
      </c>
      <c r="AQ67" s="6">
        <f>[1]Emissions!AP820</f>
        <v>530.77613780000001</v>
      </c>
      <c r="AR67" s="6">
        <f>[1]Emissions!AQ820</f>
        <v>536.09717950000004</v>
      </c>
      <c r="AS67" s="6">
        <f>[1]Emissions!AR820</f>
        <v>541.47760259999995</v>
      </c>
      <c r="AT67" s="6">
        <f>[1]Emissions!AS820</f>
        <v>546.92158019999999</v>
      </c>
      <c r="AU67" s="6">
        <f>[1]Emissions!AT820</f>
        <v>552.43208770000001</v>
      </c>
      <c r="AV67" s="6">
        <f>[1]Emissions!AU820</f>
        <v>558.01046250000002</v>
      </c>
      <c r="AW67" s="6">
        <f>[1]Emissions!AV820</f>
        <v>563.66744889999995</v>
      </c>
      <c r="AX67" s="6">
        <f>[1]Emissions!AW820</f>
        <v>569.39278030000003</v>
      </c>
      <c r="AY67" s="6">
        <f>[1]Emissions!AX820</f>
        <v>575.17944030000001</v>
      </c>
      <c r="AZ67" s="6">
        <f>[1]Emissions!AY820</f>
        <v>581.03923329999998</v>
      </c>
      <c r="BA67" s="6">
        <f>[1]Emissions!AZ820</f>
        <v>586.98229509999999</v>
      </c>
      <c r="BB67" s="6">
        <f>[1]Emissions!BA820</f>
        <v>593.0118688</v>
      </c>
      <c r="BC67" s="6">
        <f>[1]Emissions!BB820</f>
        <v>599.12746000000004</v>
      </c>
      <c r="BD67" s="6">
        <f>[1]Emissions!BC820</f>
        <v>605.32766649999996</v>
      </c>
      <c r="BE67" s="6">
        <f>[1]Emissions!BD820</f>
        <v>611.61152130000005</v>
      </c>
      <c r="BF67" s="6">
        <f>[1]Emissions!BE820</f>
        <v>617.97887030000004</v>
      </c>
    </row>
    <row r="68" spans="1:58" x14ac:dyDescent="0.35">
      <c r="A68" s="11"/>
      <c r="B68" t="s">
        <v>25</v>
      </c>
      <c r="C68" s="6">
        <f>[1]Emissions!B824</f>
        <v>119.490486</v>
      </c>
      <c r="D68" s="6">
        <f>[1]Emissions!C824</f>
        <v>119.269642</v>
      </c>
      <c r="E68" s="6">
        <f>[1]Emissions!D824</f>
        <v>118.66364110000001</v>
      </c>
      <c r="F68" s="6">
        <f>[1]Emissions!E824</f>
        <v>118.08609060000001</v>
      </c>
      <c r="G68" s="6">
        <f>[1]Emissions!F824</f>
        <v>117.6365855</v>
      </c>
      <c r="H68" s="6">
        <f>[1]Emissions!G824</f>
        <v>117.3825184</v>
      </c>
      <c r="I68" s="6">
        <f>[1]Emissions!H824</f>
        <v>117.2909868</v>
      </c>
      <c r="J68" s="6">
        <f>[1]Emissions!I824</f>
        <v>117.3363152</v>
      </c>
      <c r="K68" s="6">
        <f>[1]Emissions!J824</f>
        <v>117.48245900000001</v>
      </c>
      <c r="L68" s="6">
        <f>[1]Emissions!K824</f>
        <v>117.6976947</v>
      </c>
      <c r="M68" s="6">
        <f>[1]Emissions!L824</f>
        <v>118.0047015</v>
      </c>
      <c r="N68" s="6">
        <f>[1]Emissions!M824</f>
        <v>118.3229047</v>
      </c>
      <c r="O68" s="6">
        <f>[1]Emissions!N824</f>
        <v>118.6525498</v>
      </c>
      <c r="P68" s="6">
        <f>[1]Emissions!O824</f>
        <v>118.9917221</v>
      </c>
      <c r="Q68" s="6">
        <f>[1]Emissions!P824</f>
        <v>119.3380827</v>
      </c>
      <c r="R68" s="6">
        <f>[1]Emissions!Q824</f>
        <v>119.68951079999999</v>
      </c>
      <c r="S68" s="6">
        <f>[1]Emissions!R824</f>
        <v>120.0442742</v>
      </c>
      <c r="T68" s="6">
        <f>[1]Emissions!S824</f>
        <v>120.4010183</v>
      </c>
      <c r="U68" s="6">
        <f>[1]Emissions!T824</f>
        <v>120.75870140000001</v>
      </c>
      <c r="V68" s="6">
        <f>[1]Emissions!U824</f>
        <v>121.11652719999999</v>
      </c>
      <c r="W68" s="6">
        <f>[1]Emissions!V824</f>
        <v>121.443412</v>
      </c>
      <c r="X68" s="6">
        <f>[1]Emissions!W824</f>
        <v>121.7824784</v>
      </c>
      <c r="Y68" s="6">
        <f>[1]Emissions!X824</f>
        <v>122.1267637</v>
      </c>
      <c r="Z68" s="6">
        <f>[1]Emissions!Y824</f>
        <v>122.47306330000001</v>
      </c>
      <c r="AA68" s="6">
        <f>[1]Emissions!Z824</f>
        <v>122.8199402</v>
      </c>
      <c r="AB68" s="6">
        <f>[1]Emissions!AA824</f>
        <v>123.08314540000001</v>
      </c>
      <c r="AC68" s="6">
        <f>[1]Emissions!AB824</f>
        <v>123.3424022</v>
      </c>
      <c r="AD68" s="6">
        <f>[1]Emissions!AC824</f>
        <v>123.5962273</v>
      </c>
      <c r="AE68" s="6">
        <f>[1]Emissions!AD824</f>
        <v>123.8446953</v>
      </c>
      <c r="AF68" s="6">
        <f>[1]Emissions!AE824</f>
        <v>124.0881741</v>
      </c>
      <c r="AG68" s="6">
        <f>[1]Emissions!AF824</f>
        <v>124.32754060000001</v>
      </c>
      <c r="AH68" s="6">
        <f>[1]Emissions!AG824</f>
        <v>124.5639115</v>
      </c>
      <c r="AI68" s="6">
        <f>[1]Emissions!AH824</f>
        <v>124.798383</v>
      </c>
      <c r="AJ68" s="6">
        <f>[1]Emissions!AI824</f>
        <v>125.0319279</v>
      </c>
      <c r="AK68" s="6">
        <f>[1]Emissions!AJ824</f>
        <v>125.26537190000001</v>
      </c>
      <c r="AL68" s="6">
        <f>[1]Emissions!AK824</f>
        <v>125.4994057</v>
      </c>
      <c r="AM68" s="6">
        <f>[1]Emissions!AL824</f>
        <v>125.7165566</v>
      </c>
      <c r="AN68" s="6">
        <f>[1]Emissions!AM824</f>
        <v>125.924815</v>
      </c>
      <c r="AO68" s="6">
        <f>[1]Emissions!AN824</f>
        <v>126.12832830000001</v>
      </c>
      <c r="AP68" s="6">
        <f>[1]Emissions!AO824</f>
        <v>126.32948879999999</v>
      </c>
      <c r="AQ68" s="6">
        <f>[1]Emissions!AP824</f>
        <v>126.5298781</v>
      </c>
      <c r="AR68" s="6">
        <f>[1]Emissions!AQ824</f>
        <v>126.73065459999999</v>
      </c>
      <c r="AS68" s="6">
        <f>[1]Emissions!AR824</f>
        <v>126.9326791</v>
      </c>
      <c r="AT68" s="6">
        <f>[1]Emissions!AS824</f>
        <v>127.13649289999999</v>
      </c>
      <c r="AU68" s="6">
        <f>[1]Emissions!AT824</f>
        <v>127.3421498</v>
      </c>
      <c r="AV68" s="6">
        <f>[1]Emissions!AU824</f>
        <v>127.5486282</v>
      </c>
      <c r="AW68" s="6">
        <f>[1]Emissions!AV824</f>
        <v>127.7524279</v>
      </c>
      <c r="AX68" s="6">
        <f>[1]Emissions!AW824</f>
        <v>127.951899</v>
      </c>
      <c r="AY68" s="6">
        <f>[1]Emissions!AX824</f>
        <v>128.14171390000001</v>
      </c>
      <c r="AZ68" s="6">
        <f>[1]Emissions!AY824</f>
        <v>128.33254969999999</v>
      </c>
      <c r="BA68" s="6">
        <f>[1]Emissions!AZ824</f>
        <v>128.5329132</v>
      </c>
      <c r="BB68" s="6">
        <f>[1]Emissions!BA824</f>
        <v>128.74478160000001</v>
      </c>
      <c r="BC68" s="6">
        <f>[1]Emissions!BB824</f>
        <v>128.96667969999999</v>
      </c>
      <c r="BD68" s="6">
        <f>[1]Emissions!BC824</f>
        <v>129.19623390000001</v>
      </c>
      <c r="BE68" s="6">
        <f>[1]Emissions!BD824</f>
        <v>129.4313281</v>
      </c>
      <c r="BF68" s="6">
        <f>[1]Emissions!BE824</f>
        <v>129.67041169999999</v>
      </c>
    </row>
    <row r="69" spans="1:58" x14ac:dyDescent="0.35">
      <c r="A69" s="11"/>
      <c r="B69" t="s">
        <v>26</v>
      </c>
      <c r="C69" s="6">
        <f>SUM(C70:C72)</f>
        <v>231.10094830930001</v>
      </c>
      <c r="D69" s="6">
        <f t="shared" ref="D69:AL69" si="44">SUM(D70:D72)</f>
        <v>233.68954631899999</v>
      </c>
      <c r="E69" s="6">
        <f t="shared" si="44"/>
        <v>236.43771130190001</v>
      </c>
      <c r="F69" s="6">
        <f t="shared" si="44"/>
        <v>239.41468863419999</v>
      </c>
      <c r="G69" s="6">
        <f t="shared" si="44"/>
        <v>242.64759703319999</v>
      </c>
      <c r="H69" s="6">
        <f t="shared" si="44"/>
        <v>246.12661398239999</v>
      </c>
      <c r="I69" s="6">
        <f t="shared" si="44"/>
        <v>249.68261759519999</v>
      </c>
      <c r="J69" s="6">
        <f t="shared" si="44"/>
        <v>253.37034132990001</v>
      </c>
      <c r="K69" s="6">
        <f t="shared" si="44"/>
        <v>257.18431785310003</v>
      </c>
      <c r="L69" s="6">
        <f t="shared" si="44"/>
        <v>261.1088048954</v>
      </c>
      <c r="M69" s="6">
        <f t="shared" si="44"/>
        <v>265.38675468010001</v>
      </c>
      <c r="N69" s="6">
        <f t="shared" si="44"/>
        <v>269.60201057649999</v>
      </c>
      <c r="O69" s="6">
        <f t="shared" si="44"/>
        <v>273.8493838096</v>
      </c>
      <c r="P69" s="6">
        <f t="shared" si="44"/>
        <v>278.14230224260001</v>
      </c>
      <c r="Q69" s="6">
        <f t="shared" si="44"/>
        <v>282.48021868180001</v>
      </c>
      <c r="R69" s="6">
        <f t="shared" si="44"/>
        <v>286.86146275389996</v>
      </c>
      <c r="S69" s="6">
        <f t="shared" si="44"/>
        <v>291.28549857120004</v>
      </c>
      <c r="T69" s="6">
        <f t="shared" si="44"/>
        <v>295.75306840989998</v>
      </c>
      <c r="U69" s="6">
        <f t="shared" si="44"/>
        <v>300.26593725250001</v>
      </c>
      <c r="V69" s="6">
        <f t="shared" si="44"/>
        <v>304.82659805640003</v>
      </c>
      <c r="W69" s="6">
        <f t="shared" si="44"/>
        <v>309.24537039289999</v>
      </c>
      <c r="X69" s="6">
        <f t="shared" si="44"/>
        <v>313.82568193860004</v>
      </c>
      <c r="Y69" s="6">
        <f t="shared" si="44"/>
        <v>318.49291285359999</v>
      </c>
      <c r="Z69" s="6">
        <f t="shared" si="44"/>
        <v>323.23482972670001</v>
      </c>
      <c r="AA69" s="6">
        <f t="shared" si="44"/>
        <v>328.05086847910002</v>
      </c>
      <c r="AB69" s="6">
        <f t="shared" si="44"/>
        <v>332.38524401090001</v>
      </c>
      <c r="AC69" s="6">
        <f t="shared" si="44"/>
        <v>336.84224792340001</v>
      </c>
      <c r="AD69" s="6">
        <f t="shared" si="44"/>
        <v>341.34186477079999</v>
      </c>
      <c r="AE69" s="6">
        <f t="shared" si="44"/>
        <v>345.87931791980003</v>
      </c>
      <c r="AF69" s="6">
        <f t="shared" si="44"/>
        <v>350.46277778360002</v>
      </c>
      <c r="AG69" s="6">
        <f t="shared" si="44"/>
        <v>355.10122652370001</v>
      </c>
      <c r="AH69" s="6">
        <f t="shared" si="44"/>
        <v>359.80204605789999</v>
      </c>
      <c r="AI69" s="6">
        <f t="shared" si="44"/>
        <v>364.57068498799998</v>
      </c>
      <c r="AJ69" s="6">
        <f t="shared" si="44"/>
        <v>369.41083531390001</v>
      </c>
      <c r="AK69" s="6">
        <f t="shared" si="44"/>
        <v>374.32474532200001</v>
      </c>
      <c r="AL69" s="6">
        <f t="shared" si="44"/>
        <v>379.31355715259997</v>
      </c>
      <c r="AM69" s="6">
        <f t="shared" ref="AM69:BC69" si="45">SUM(AM70:AM72)</f>
        <v>384.24265700879994</v>
      </c>
      <c r="AN69" s="6">
        <f t="shared" si="45"/>
        <v>389.18549103789996</v>
      </c>
      <c r="AO69" s="6">
        <f t="shared" si="45"/>
        <v>394.16155609589998</v>
      </c>
      <c r="AP69" s="6">
        <f t="shared" si="45"/>
        <v>399.17969760560004</v>
      </c>
      <c r="AQ69" s="6">
        <f t="shared" si="45"/>
        <v>404.24625960540004</v>
      </c>
      <c r="AR69" s="6">
        <f t="shared" si="45"/>
        <v>409.3665249352</v>
      </c>
      <c r="AS69" s="6">
        <f t="shared" si="45"/>
        <v>414.54492348759993</v>
      </c>
      <c r="AT69" s="6">
        <f t="shared" si="45"/>
        <v>419.78508742939999</v>
      </c>
      <c r="AU69" s="6">
        <f t="shared" si="45"/>
        <v>425.08993791420005</v>
      </c>
      <c r="AV69" s="6">
        <f t="shared" si="45"/>
        <v>430.46183434020003</v>
      </c>
      <c r="AW69" s="6">
        <f t="shared" si="45"/>
        <v>435.9150209773</v>
      </c>
      <c r="AX69" s="6">
        <f t="shared" si="45"/>
        <v>441.4408813782</v>
      </c>
      <c r="AY69" s="6">
        <f t="shared" si="45"/>
        <v>447.03772642109999</v>
      </c>
      <c r="AZ69" s="6">
        <f t="shared" si="45"/>
        <v>452.70668353200006</v>
      </c>
      <c r="BA69" s="6">
        <f t="shared" si="45"/>
        <v>458.44938186499996</v>
      </c>
      <c r="BB69" s="6">
        <f t="shared" si="45"/>
        <v>464.26708719020002</v>
      </c>
      <c r="BC69" s="6">
        <f t="shared" si="45"/>
        <v>470.16078031100005</v>
      </c>
      <c r="BD69" s="6">
        <f t="shared" ref="BD69:BF69" si="46">SUM(BD70:BD72)</f>
        <v>476.1314325797</v>
      </c>
      <c r="BE69" s="6">
        <f t="shared" si="46"/>
        <v>482.18019320360003</v>
      </c>
      <c r="BF69" s="6">
        <f t="shared" si="46"/>
        <v>488.30845859560003</v>
      </c>
    </row>
    <row r="70" spans="1:58" x14ac:dyDescent="0.35">
      <c r="A70" s="11"/>
      <c r="B70" t="s">
        <v>50</v>
      </c>
      <c r="C70" s="6">
        <f>[1]Emissions!B821</f>
        <v>215.82068699999999</v>
      </c>
      <c r="D70" s="6">
        <f>[1]Emissions!C821</f>
        <v>218.20709239999999</v>
      </c>
      <c r="E70" s="6">
        <f>[1]Emissions!D821</f>
        <v>220.73455340000001</v>
      </c>
      <c r="F70" s="6">
        <f>[1]Emissions!E821</f>
        <v>223.4761982</v>
      </c>
      <c r="G70" s="6">
        <f>[1]Emissions!F821</f>
        <v>226.4608605</v>
      </c>
      <c r="H70" s="6">
        <f>[1]Emissions!G821</f>
        <v>229.68027979999999</v>
      </c>
      <c r="I70" s="6">
        <f>[1]Emissions!H821</f>
        <v>232.97611319999999</v>
      </c>
      <c r="J70" s="6">
        <f>[1]Emissions!I821</f>
        <v>236.39875280000001</v>
      </c>
      <c r="K70" s="6">
        <f>[1]Emissions!J821</f>
        <v>239.94219290000001</v>
      </c>
      <c r="L70" s="6">
        <f>[1]Emissions!K821</f>
        <v>243.59069729999999</v>
      </c>
      <c r="M70" s="6">
        <f>[1]Emissions!L821</f>
        <v>247.57081840000001</v>
      </c>
      <c r="N70" s="6">
        <f>[1]Emissions!M821</f>
        <v>251.4925696</v>
      </c>
      <c r="O70" s="6">
        <f>[1]Emissions!N821</f>
        <v>255.4435742</v>
      </c>
      <c r="P70" s="6">
        <f>[1]Emissions!O821</f>
        <v>259.43598700000001</v>
      </c>
      <c r="Q70" s="6">
        <f>[1]Emissions!P821</f>
        <v>263.46891720000002</v>
      </c>
      <c r="R70" s="6">
        <f>[1]Emissions!Q821</f>
        <v>267.54049379999998</v>
      </c>
      <c r="S70" s="6">
        <f>[1]Emissions!R821</f>
        <v>271.6499872</v>
      </c>
      <c r="T70" s="6">
        <f>[1]Emissions!S821</f>
        <v>275.79793419999999</v>
      </c>
      <c r="U70" s="6">
        <f>[1]Emissions!T821</f>
        <v>279.98588940000002</v>
      </c>
      <c r="V70" s="6">
        <f>[1]Emissions!U821</f>
        <v>284.21614190000003</v>
      </c>
      <c r="W70" s="6">
        <f>[1]Emissions!V821</f>
        <v>288.31110210000003</v>
      </c>
      <c r="X70" s="6">
        <f>[1]Emissions!W821</f>
        <v>292.55461910000002</v>
      </c>
      <c r="Y70" s="6">
        <f>[1]Emissions!X821</f>
        <v>296.87729569999999</v>
      </c>
      <c r="Z70" s="6">
        <f>[1]Emissions!Y821</f>
        <v>301.26773650000001</v>
      </c>
      <c r="AA70" s="6">
        <f>[1]Emissions!Z821</f>
        <v>305.72553870000002</v>
      </c>
      <c r="AB70" s="6">
        <f>[1]Emissions!AA821</f>
        <v>309.7305528</v>
      </c>
      <c r="AC70" s="6">
        <f>[1]Emissions!AB821</f>
        <v>313.84786500000001</v>
      </c>
      <c r="AD70" s="6">
        <f>[1]Emissions!AC821</f>
        <v>318.00346389999999</v>
      </c>
      <c r="AE70" s="6">
        <f>[1]Emissions!AD821</f>
        <v>322.1930595</v>
      </c>
      <c r="AF70" s="6">
        <f>[1]Emissions!AE821</f>
        <v>326.42455890000002</v>
      </c>
      <c r="AG70" s="6">
        <f>[1]Emissions!AF821</f>
        <v>330.70665550000001</v>
      </c>
      <c r="AH70" s="6">
        <f>[1]Emissions!AG821</f>
        <v>335.046536</v>
      </c>
      <c r="AI70" s="6">
        <f>[1]Emissions!AH821</f>
        <v>339.44955870000001</v>
      </c>
      <c r="AJ70" s="6">
        <f>[1]Emissions!AI821</f>
        <v>343.91941489999999</v>
      </c>
      <c r="AK70" s="6">
        <f>[1]Emissions!AJ821</f>
        <v>348.45841819999998</v>
      </c>
      <c r="AL70" s="6">
        <f>[1]Emissions!AK821</f>
        <v>353.06781749999999</v>
      </c>
      <c r="AM70" s="6">
        <f>[1]Emissions!AL821</f>
        <v>357.62179809999998</v>
      </c>
      <c r="AN70" s="6">
        <f>[1]Emissions!AM821</f>
        <v>362.18903849999998</v>
      </c>
      <c r="AO70" s="6">
        <f>[1]Emissions!AN821</f>
        <v>366.7879542</v>
      </c>
      <c r="AP70" s="6">
        <f>[1]Emissions!AO821</f>
        <v>371.4269377</v>
      </c>
      <c r="AQ70" s="6">
        <f>[1]Emissions!AP821</f>
        <v>376.11202350000002</v>
      </c>
      <c r="AR70" s="6">
        <f>[1]Emissions!AQ821</f>
        <v>380.8482444</v>
      </c>
      <c r="AS70" s="6">
        <f>[1]Emissions!AR821</f>
        <v>385.63982449999997</v>
      </c>
      <c r="AT70" s="6">
        <f>[1]Emissions!AS821</f>
        <v>390.49022980000001</v>
      </c>
      <c r="AU70" s="6">
        <f>[1]Emissions!AT821</f>
        <v>395.40224929999999</v>
      </c>
      <c r="AV70" s="6">
        <f>[1]Emissions!AU821</f>
        <v>400.37813590000002</v>
      </c>
      <c r="AW70" s="6">
        <f>[1]Emissions!AV821</f>
        <v>405.43125190000001</v>
      </c>
      <c r="AX70" s="6">
        <f>[1]Emissions!AW821</f>
        <v>410.5533403</v>
      </c>
      <c r="AY70" s="6">
        <f>[1]Emissions!AX821</f>
        <v>415.74273360000001</v>
      </c>
      <c r="AZ70" s="6">
        <f>[1]Emissions!AY821</f>
        <v>421.00052590000001</v>
      </c>
      <c r="BA70" s="6">
        <f>[1]Emissions!AZ821</f>
        <v>426.32828799999999</v>
      </c>
      <c r="BB70" s="6">
        <f>[1]Emissions!BA821</f>
        <v>431.72720079999999</v>
      </c>
      <c r="BC70" s="6">
        <f>[1]Emissions!BB821</f>
        <v>437.19813370000003</v>
      </c>
      <c r="BD70" s="6">
        <f>[1]Emissions!BC821</f>
        <v>442.74192210000001</v>
      </c>
      <c r="BE70" s="6">
        <f>[1]Emissions!BD821</f>
        <v>448.3595578</v>
      </c>
      <c r="BF70" s="6">
        <f>[1]Emissions!BE821</f>
        <v>454.0522618</v>
      </c>
    </row>
    <row r="71" spans="1:58" x14ac:dyDescent="0.35">
      <c r="A71" s="11"/>
      <c r="B71" t="s">
        <v>51</v>
      </c>
      <c r="C71" s="6">
        <f>[1]Emissions!B822</f>
        <v>2.7572479300000001E-2</v>
      </c>
      <c r="D71" s="6">
        <f>[1]Emissions!C822</f>
        <v>2.7809588999999999E-2</v>
      </c>
      <c r="E71" s="6">
        <f>[1]Emissions!D822</f>
        <v>2.8093171900000002E-2</v>
      </c>
      <c r="F71" s="6">
        <f>[1]Emissions!E822</f>
        <v>2.84252342E-2</v>
      </c>
      <c r="G71" s="6">
        <f>[1]Emissions!F822</f>
        <v>2.8802333199999999E-2</v>
      </c>
      <c r="H71" s="6">
        <f>[1]Emissions!G822</f>
        <v>2.92177624E-2</v>
      </c>
      <c r="I71" s="6">
        <f>[1]Emissions!H822</f>
        <v>2.9647495199999999E-2</v>
      </c>
      <c r="J71" s="6">
        <f>[1]Emissions!I822</f>
        <v>3.0095369899999998E-2</v>
      </c>
      <c r="K71" s="6">
        <f>[1]Emissions!J822</f>
        <v>3.05588431E-2</v>
      </c>
      <c r="L71" s="6">
        <f>[1]Emissions!K822</f>
        <v>3.1035655400000001E-2</v>
      </c>
      <c r="M71" s="6">
        <f>[1]Emissions!L822</f>
        <v>3.1554350100000003E-2</v>
      </c>
      <c r="N71" s="6">
        <f>[1]Emissions!M822</f>
        <v>3.2066256500000001E-2</v>
      </c>
      <c r="O71" s="6">
        <f>[1]Emissions!N822</f>
        <v>3.2583339599999997E-2</v>
      </c>
      <c r="P71" s="6">
        <f>[1]Emissions!O822</f>
        <v>3.3105612600000001E-2</v>
      </c>
      <c r="Q71" s="6">
        <f>[1]Emissions!P822</f>
        <v>3.3632771800000003E-2</v>
      </c>
      <c r="R71" s="6">
        <f>[1]Emissions!Q822</f>
        <v>3.4164703900000003E-2</v>
      </c>
      <c r="S71" s="6">
        <f>[1]Emissions!R822</f>
        <v>3.4701521200000002E-2</v>
      </c>
      <c r="T71" s="6">
        <f>[1]Emissions!S822</f>
        <v>3.5243499900000003E-2</v>
      </c>
      <c r="U71" s="6">
        <f>[1]Emissions!T822</f>
        <v>3.5791012499999997E-2</v>
      </c>
      <c r="V71" s="6">
        <f>[1]Emissions!U822</f>
        <v>3.6344476399999999E-2</v>
      </c>
      <c r="W71" s="6">
        <f>[1]Emissions!V822</f>
        <v>3.6881732899999999E-2</v>
      </c>
      <c r="X71" s="6">
        <f>[1]Emissions!W822</f>
        <v>3.7438228599999998E-2</v>
      </c>
      <c r="Y71" s="6">
        <f>[1]Emissions!X822</f>
        <v>3.8004683599999999E-2</v>
      </c>
      <c r="Z71" s="6">
        <f>[1]Emissions!Y822</f>
        <v>3.8580796700000003E-2</v>
      </c>
      <c r="AA71" s="6">
        <f>[1]Emissions!Z822</f>
        <v>3.9166629100000003E-2</v>
      </c>
      <c r="AB71" s="6">
        <f>[1]Emissions!AA822</f>
        <v>3.9696930900000003E-2</v>
      </c>
      <c r="AC71" s="6">
        <f>[1]Emissions!AB822</f>
        <v>4.0241883399999998E-2</v>
      </c>
      <c r="AD71" s="6">
        <f>[1]Emissions!AC822</f>
        <v>4.0790200800000002E-2</v>
      </c>
      <c r="AE71" s="6">
        <f>[1]Emissions!AD822</f>
        <v>4.1343509799999997E-2</v>
      </c>
      <c r="AF71" s="6">
        <f>[1]Emissions!AE822</f>
        <v>4.1903663600000002E-2</v>
      </c>
      <c r="AG71" s="6">
        <f>[1]Emissions!AF822</f>
        <v>4.2472173699999997E-2</v>
      </c>
      <c r="AH71" s="6">
        <f>[1]Emissions!AG822</f>
        <v>4.3050117899999997E-2</v>
      </c>
      <c r="AI71" s="6">
        <f>[1]Emissions!AH822</f>
        <v>4.3638188000000001E-2</v>
      </c>
      <c r="AJ71" s="6">
        <f>[1]Emissions!AI822</f>
        <v>4.4236773899999998E-2</v>
      </c>
      <c r="AK71" s="6">
        <f>[1]Emissions!AJ822</f>
        <v>4.4846051999999997E-2</v>
      </c>
      <c r="AL71" s="6">
        <f>[1]Emissions!AK822</f>
        <v>4.5466062600000003E-2</v>
      </c>
      <c r="AM71" s="6">
        <f>[1]Emissions!AL822</f>
        <v>4.6080918800000002E-2</v>
      </c>
      <c r="AN71" s="6">
        <f>[1]Emissions!AM822</f>
        <v>4.66990979E-2</v>
      </c>
      <c r="AO71" s="6">
        <f>[1]Emissions!AN822</f>
        <v>4.73223859E-2</v>
      </c>
      <c r="AP71" s="6">
        <f>[1]Emissions!AO822</f>
        <v>4.7952115599999998E-2</v>
      </c>
      <c r="AQ71" s="6">
        <f>[1]Emissions!AP822</f>
        <v>4.8589435399999999E-2</v>
      </c>
      <c r="AR71" s="6">
        <f>[1]Emissions!AQ822</f>
        <v>4.9235315199999997E-2</v>
      </c>
      <c r="AS71" s="6">
        <f>[1]Emissions!AR822</f>
        <v>4.9890527599999998E-2</v>
      </c>
      <c r="AT71" s="6">
        <f>[1]Emissions!AS822</f>
        <v>5.05556494E-2</v>
      </c>
      <c r="AU71" s="6">
        <f>[1]Emissions!AT822</f>
        <v>5.1231084199999999E-2</v>
      </c>
      <c r="AV71" s="6">
        <f>[1]Emissions!AU822</f>
        <v>5.1917100200000003E-2</v>
      </c>
      <c r="AW71" s="6">
        <f>[1]Emissions!AV822</f>
        <v>5.26153273E-2</v>
      </c>
      <c r="AX71" s="6">
        <f>[1]Emissions!AW822</f>
        <v>5.3325138199999997E-2</v>
      </c>
      <c r="AY71" s="6">
        <f>[1]Emissions!AX822</f>
        <v>5.4046461099999998E-2</v>
      </c>
      <c r="AZ71" s="6">
        <f>[1]Emissions!AY822</f>
        <v>5.4779132000000001E-2</v>
      </c>
      <c r="BA71" s="6">
        <f>[1]Emissions!AZ822</f>
        <v>5.5522994999999999E-2</v>
      </c>
      <c r="BB71" s="6">
        <f>[1]Emissions!BA822</f>
        <v>5.6277960199999998E-2</v>
      </c>
      <c r="BC71" s="6">
        <f>[1]Emissions!BB822</f>
        <v>5.7044000999999997E-2</v>
      </c>
      <c r="BD71" s="6">
        <f>[1]Emissions!BC822</f>
        <v>5.7821139700000003E-2</v>
      </c>
      <c r="BE71" s="6">
        <f>[1]Emissions!BD822</f>
        <v>5.8609433599999997E-2</v>
      </c>
      <c r="BF71" s="6">
        <f>[1]Emissions!BE822</f>
        <v>5.9408965600000002E-2</v>
      </c>
    </row>
    <row r="72" spans="1:58" x14ac:dyDescent="0.35">
      <c r="A72" s="11"/>
      <c r="B72" t="s">
        <v>52</v>
      </c>
      <c r="C72" s="6">
        <f>[1]Emissions!B823</f>
        <v>15.25268883</v>
      </c>
      <c r="D72" s="6">
        <f>[1]Emissions!C823</f>
        <v>15.454644330000001</v>
      </c>
      <c r="E72" s="6">
        <f>[1]Emissions!D823</f>
        <v>15.675064730000001</v>
      </c>
      <c r="F72" s="6">
        <f>[1]Emissions!E823</f>
        <v>15.9100652</v>
      </c>
      <c r="G72" s="6">
        <f>[1]Emissions!F823</f>
        <v>16.1579342</v>
      </c>
      <c r="H72" s="6">
        <f>[1]Emissions!G823</f>
        <v>16.417116419999999</v>
      </c>
      <c r="I72" s="6">
        <f>[1]Emissions!H823</f>
        <v>16.676856900000001</v>
      </c>
      <c r="J72" s="6">
        <f>[1]Emissions!I823</f>
        <v>16.94149316</v>
      </c>
      <c r="K72" s="6">
        <f>[1]Emissions!J823</f>
        <v>17.21156611</v>
      </c>
      <c r="L72" s="6">
        <f>[1]Emissions!K823</f>
        <v>17.48707194</v>
      </c>
      <c r="M72" s="6">
        <f>[1]Emissions!L823</f>
        <v>17.784381929999999</v>
      </c>
      <c r="N72" s="6">
        <f>[1]Emissions!M823</f>
        <v>18.077374720000002</v>
      </c>
      <c r="O72" s="6">
        <f>[1]Emissions!N823</f>
        <v>18.37322627</v>
      </c>
      <c r="P72" s="6">
        <f>[1]Emissions!O823</f>
        <v>18.673209629999999</v>
      </c>
      <c r="Q72" s="6">
        <f>[1]Emissions!P823</f>
        <v>18.97766871</v>
      </c>
      <c r="R72" s="6">
        <f>[1]Emissions!Q823</f>
        <v>19.286804249999999</v>
      </c>
      <c r="S72" s="6">
        <f>[1]Emissions!R823</f>
        <v>19.600809850000001</v>
      </c>
      <c r="T72" s="6">
        <f>[1]Emissions!S823</f>
        <v>19.919890710000001</v>
      </c>
      <c r="U72" s="6">
        <f>[1]Emissions!T823</f>
        <v>20.244256839999998</v>
      </c>
      <c r="V72" s="6">
        <f>[1]Emissions!U823</f>
        <v>20.574111680000001</v>
      </c>
      <c r="W72" s="6">
        <f>[1]Emissions!V823</f>
        <v>20.897386560000001</v>
      </c>
      <c r="X72" s="6">
        <f>[1]Emissions!W823</f>
        <v>21.23362461</v>
      </c>
      <c r="Y72" s="6">
        <f>[1]Emissions!X823</f>
        <v>21.577612469999998</v>
      </c>
      <c r="Z72" s="6">
        <f>[1]Emissions!Y823</f>
        <v>21.928512430000001</v>
      </c>
      <c r="AA72" s="6">
        <f>[1]Emissions!Z823</f>
        <v>22.28616315</v>
      </c>
      <c r="AB72" s="6">
        <f>[1]Emissions!AA823</f>
        <v>22.614994280000001</v>
      </c>
      <c r="AC72" s="6">
        <f>[1]Emissions!AB823</f>
        <v>22.95414104</v>
      </c>
      <c r="AD72" s="6">
        <f>[1]Emissions!AC823</f>
        <v>23.297610670000001</v>
      </c>
      <c r="AE72" s="6">
        <f>[1]Emissions!AD823</f>
        <v>23.644914910000001</v>
      </c>
      <c r="AF72" s="6">
        <f>[1]Emissions!AE823</f>
        <v>23.99631522</v>
      </c>
      <c r="AG72" s="6">
        <f>[1]Emissions!AF823</f>
        <v>24.352098850000001</v>
      </c>
      <c r="AH72" s="6">
        <f>[1]Emissions!AG823</f>
        <v>24.712459939999999</v>
      </c>
      <c r="AI72" s="6">
        <f>[1]Emissions!AH823</f>
        <v>25.0774881</v>
      </c>
      <c r="AJ72" s="6">
        <f>[1]Emissions!AI823</f>
        <v>25.447183639999999</v>
      </c>
      <c r="AK72" s="6">
        <f>[1]Emissions!AJ823</f>
        <v>25.821481070000001</v>
      </c>
      <c r="AL72" s="6">
        <f>[1]Emissions!AK823</f>
        <v>26.200273589999998</v>
      </c>
      <c r="AM72" s="6">
        <f>[1]Emissions!AL823</f>
        <v>26.574777990000001</v>
      </c>
      <c r="AN72" s="6">
        <f>[1]Emissions!AM823</f>
        <v>26.949753439999999</v>
      </c>
      <c r="AO72" s="6">
        <f>[1]Emissions!AN823</f>
        <v>27.326279509999999</v>
      </c>
      <c r="AP72" s="6">
        <f>[1]Emissions!AO823</f>
        <v>27.70480779</v>
      </c>
      <c r="AQ72" s="6">
        <f>[1]Emissions!AP823</f>
        <v>28.085646669999999</v>
      </c>
      <c r="AR72" s="6">
        <f>[1]Emissions!AQ823</f>
        <v>28.469045220000002</v>
      </c>
      <c r="AS72" s="6">
        <f>[1]Emissions!AR823</f>
        <v>28.85520846</v>
      </c>
      <c r="AT72" s="6">
        <f>[1]Emissions!AS823</f>
        <v>29.244301979999999</v>
      </c>
      <c r="AU72" s="6">
        <f>[1]Emissions!AT823</f>
        <v>29.636457530000001</v>
      </c>
      <c r="AV72" s="6">
        <f>[1]Emissions!AU823</f>
        <v>30.031781339999998</v>
      </c>
      <c r="AW72" s="6">
        <f>[1]Emissions!AV823</f>
        <v>30.43115375</v>
      </c>
      <c r="AX72" s="6">
        <f>[1]Emissions!AW823</f>
        <v>30.83421594</v>
      </c>
      <c r="AY72" s="6">
        <f>[1]Emissions!AX823</f>
        <v>31.240946359999999</v>
      </c>
      <c r="AZ72" s="6">
        <f>[1]Emissions!AY823</f>
        <v>31.6513785</v>
      </c>
      <c r="BA72" s="6">
        <f>[1]Emissions!AZ823</f>
        <v>32.065570870000002</v>
      </c>
      <c r="BB72" s="6">
        <f>[1]Emissions!BA823</f>
        <v>32.483608429999997</v>
      </c>
      <c r="BC72" s="6">
        <f>[1]Emissions!BB823</f>
        <v>32.905602610000003</v>
      </c>
      <c r="BD72" s="6">
        <f>[1]Emissions!BC823</f>
        <v>33.331689339999997</v>
      </c>
      <c r="BE72" s="6">
        <f>[1]Emissions!BD823</f>
        <v>33.762025970000003</v>
      </c>
      <c r="BF72" s="6">
        <f>[1]Emissions!BE823</f>
        <v>34.196787829999998</v>
      </c>
    </row>
    <row r="73" spans="1:58" x14ac:dyDescent="0.35">
      <c r="A73" s="11"/>
      <c r="B73" t="str">
        <f>B65</f>
        <v>NZ50</v>
      </c>
      <c r="C73" s="6">
        <f>[1]Emissions!B825</f>
        <v>345.58961720000002</v>
      </c>
      <c r="D73" s="6">
        <f>[1]Emissions!C825</f>
        <v>345.92322380000002</v>
      </c>
      <c r="E73" s="6">
        <f>[1]Emissions!D825</f>
        <v>346.58629710000002</v>
      </c>
      <c r="F73" s="6">
        <f>[1]Emissions!E825</f>
        <v>347.71144170000002</v>
      </c>
      <c r="G73" s="6">
        <f>[1]Emissions!F825</f>
        <v>349.39695390000003</v>
      </c>
      <c r="H73" s="6">
        <f>[1]Emissions!G825</f>
        <v>351.61959250000001</v>
      </c>
      <c r="I73" s="6">
        <f>[1]Emissions!H825</f>
        <v>354.12025469999998</v>
      </c>
      <c r="J73" s="6">
        <f>[1]Emissions!I825</f>
        <v>356.93289520000002</v>
      </c>
      <c r="K73" s="6">
        <f>[1]Emissions!J825</f>
        <v>360.03364399999998</v>
      </c>
      <c r="L73" s="6">
        <f>[1]Emissions!K825</f>
        <v>363.38118270000001</v>
      </c>
      <c r="M73" s="6">
        <f>[1]Emissions!L825</f>
        <v>367.21994260000002</v>
      </c>
      <c r="N73" s="6">
        <f>[1]Emissions!M825</f>
        <v>371.04173530000003</v>
      </c>
      <c r="O73" s="6">
        <f>[1]Emissions!N825</f>
        <v>374.9353686</v>
      </c>
      <c r="P73" s="6">
        <f>[1]Emissions!O825</f>
        <v>378.90098160000002</v>
      </c>
      <c r="Q73" s="6">
        <f>[1]Emissions!P825</f>
        <v>382.92431970000001</v>
      </c>
      <c r="R73" s="6">
        <f>[1]Emissions!Q825</f>
        <v>386.99285370000001</v>
      </c>
      <c r="S73" s="6">
        <f>[1]Emissions!R825</f>
        <v>391.07643489999998</v>
      </c>
      <c r="T73" s="6">
        <f>[1]Emissions!S825</f>
        <v>395.18436359999998</v>
      </c>
      <c r="U73" s="6">
        <f>[1]Emissions!T825</f>
        <v>399.3165899</v>
      </c>
      <c r="V73" s="6">
        <f>[1]Emissions!U825</f>
        <v>403.47310169999997</v>
      </c>
      <c r="W73" s="6">
        <f>[1]Emissions!V825</f>
        <v>407.445311</v>
      </c>
      <c r="X73" s="6">
        <f>[1]Emissions!W825</f>
        <v>411.55857029999999</v>
      </c>
      <c r="Y73" s="6">
        <f>[1]Emissions!X825</f>
        <v>415.73658970000002</v>
      </c>
      <c r="Z73" s="6">
        <f>[1]Emissions!Y825</f>
        <v>419.96477040000002</v>
      </c>
      <c r="AA73" s="6">
        <f>[1]Emissions!Z825</f>
        <v>424.24164619999999</v>
      </c>
      <c r="AB73" s="6">
        <f>[1]Emissions!AA825</f>
        <v>427.97142830000001</v>
      </c>
      <c r="AC73" s="6">
        <f>[1]Emissions!AB825</f>
        <v>431.80167440000002</v>
      </c>
      <c r="AD73" s="6">
        <f>[1]Emissions!AC825</f>
        <v>435.6536365</v>
      </c>
      <c r="AE73" s="6">
        <f>[1]Emissions!AD825</f>
        <v>439.52335820000002</v>
      </c>
      <c r="AF73" s="6">
        <f>[1]Emissions!AE825</f>
        <v>443.42022220000001</v>
      </c>
      <c r="AG73" s="6">
        <f>[1]Emissions!AF825</f>
        <v>447.35429579999999</v>
      </c>
      <c r="AH73" s="6">
        <f>[1]Emissions!AG825</f>
        <v>451.33951259999998</v>
      </c>
      <c r="AI73" s="6">
        <f>[1]Emissions!AH825</f>
        <v>455.38038649999999</v>
      </c>
      <c r="AJ73" s="6">
        <f>[1]Emissions!AI825</f>
        <v>459.48248339999998</v>
      </c>
      <c r="AK73" s="6">
        <f>[1]Emissions!AJ825</f>
        <v>463.6502294</v>
      </c>
      <c r="AL73" s="6">
        <f>[1]Emissions!AK825</f>
        <v>467.88667570000001</v>
      </c>
      <c r="AM73" s="6">
        <f>[1]Emissions!AL825</f>
        <v>472.09420180000001</v>
      </c>
      <c r="AN73" s="6">
        <f>[1]Emissions!AM825</f>
        <v>476.3190889</v>
      </c>
      <c r="AO73" s="6">
        <f>[1]Emissions!AN825</f>
        <v>480.57839610000002</v>
      </c>
      <c r="AP73" s="6">
        <f>[1]Emissions!AO825</f>
        <v>484.88060949999999</v>
      </c>
      <c r="AQ73" s="6">
        <f>[1]Emissions!AP825</f>
        <v>489.2308256</v>
      </c>
      <c r="AR73" s="6">
        <f>[1]Emissions!AQ825</f>
        <v>493.6388202</v>
      </c>
      <c r="AS73" s="6">
        <f>[1]Emissions!AR825</f>
        <v>498.10211040000002</v>
      </c>
      <c r="AT73" s="6">
        <f>[1]Emissions!AS825</f>
        <v>502.62093329999999</v>
      </c>
      <c r="AU73" s="6">
        <f>[1]Emissions!AT825</f>
        <v>507.1952766</v>
      </c>
      <c r="AV73" s="6">
        <f>[1]Emissions!AU825</f>
        <v>511.82471729999997</v>
      </c>
      <c r="AW73" s="6">
        <f>[1]Emissions!AV825</f>
        <v>516.54668079999999</v>
      </c>
      <c r="AX73" s="6">
        <f>[1]Emissions!AW825</f>
        <v>521.34462159999998</v>
      </c>
      <c r="AY73" s="6">
        <f>[1]Emissions!AX825</f>
        <v>526.21844880000003</v>
      </c>
      <c r="AZ73" s="6">
        <f>[1]Emissions!AY825</f>
        <v>531.16892080000002</v>
      </c>
      <c r="BA73" s="6">
        <f>[1]Emissions!AZ825</f>
        <v>536.19525829999998</v>
      </c>
      <c r="BB73" s="6">
        <f>[1]Emissions!BA825</f>
        <v>541.30912809999995</v>
      </c>
      <c r="BC73" s="6">
        <f>[1]Emissions!BB825</f>
        <v>546.49867300000005</v>
      </c>
      <c r="BD73" s="6">
        <f>[1]Emissions!BC825</f>
        <v>551.75987989999999</v>
      </c>
      <c r="BE73" s="6">
        <f>[1]Emissions!BD825</f>
        <v>557.09013809999999</v>
      </c>
      <c r="BF73" s="6">
        <f>[1]Emissions!BE825</f>
        <v>562.48730860000001</v>
      </c>
    </row>
    <row r="74" spans="1:58" x14ac:dyDescent="0.35">
      <c r="A74" s="8"/>
      <c r="B74" t="s">
        <v>25</v>
      </c>
      <c r="C74" s="6">
        <f>[1]Emissions!B829</f>
        <v>119.490486</v>
      </c>
      <c r="D74" s="6">
        <f>[1]Emissions!C829</f>
        <v>119.2109703</v>
      </c>
      <c r="E74" s="6">
        <f>[1]Emissions!D829</f>
        <v>118.52103459999999</v>
      </c>
      <c r="F74" s="6">
        <f>[1]Emissions!E829</f>
        <v>117.8567559</v>
      </c>
      <c r="G74" s="6">
        <f>[1]Emissions!F829</f>
        <v>117.34549989999999</v>
      </c>
      <c r="H74" s="6">
        <f>[1]Emissions!G829</f>
        <v>116.9913622</v>
      </c>
      <c r="I74" s="6">
        <f>[1]Emissions!H829</f>
        <v>116.7264114</v>
      </c>
      <c r="J74" s="6">
        <f>[1]Emissions!I829</f>
        <v>116.557461</v>
      </c>
      <c r="K74" s="6">
        <f>[1]Emissions!J829</f>
        <v>116.4877072</v>
      </c>
      <c r="L74" s="6">
        <f>[1]Emissions!K829</f>
        <v>116.5089675</v>
      </c>
      <c r="M74" s="6">
        <f>[1]Emissions!L829</f>
        <v>116.6519059</v>
      </c>
      <c r="N74" s="6">
        <f>[1]Emissions!M829</f>
        <v>116.8355839</v>
      </c>
      <c r="O74" s="6">
        <f>[1]Emissions!N829</f>
        <v>117.0559585</v>
      </c>
      <c r="P74" s="6">
        <f>[1]Emissions!O829</f>
        <v>117.305997</v>
      </c>
      <c r="Q74" s="6">
        <f>[1]Emissions!P829</f>
        <v>117.57753529999999</v>
      </c>
      <c r="R74" s="6">
        <f>[1]Emissions!Q829</f>
        <v>117.86398459999999</v>
      </c>
      <c r="S74" s="6">
        <f>[1]Emissions!R829</f>
        <v>118.1601904</v>
      </c>
      <c r="T74" s="6">
        <f>[1]Emissions!S829</f>
        <v>118.4620455</v>
      </c>
      <c r="U74" s="6">
        <f>[1]Emissions!T829</f>
        <v>118.7663594</v>
      </c>
      <c r="V74" s="6">
        <f>[1]Emissions!U829</f>
        <v>119.0706182</v>
      </c>
      <c r="W74" s="6">
        <f>[1]Emissions!V829</f>
        <v>119.34246400000001</v>
      </c>
      <c r="X74" s="6">
        <f>[1]Emissions!W829</f>
        <v>119.62345670000001</v>
      </c>
      <c r="Y74" s="6">
        <f>[1]Emissions!X829</f>
        <v>119.90547290000001</v>
      </c>
      <c r="Z74" s="6">
        <f>[1]Emissions!Y829</f>
        <v>120.1844127</v>
      </c>
      <c r="AA74" s="6">
        <f>[1]Emissions!Z829</f>
        <v>120.4583238</v>
      </c>
      <c r="AB74" s="6">
        <f>[1]Emissions!AA829</f>
        <v>120.64325479999999</v>
      </c>
      <c r="AC74" s="6">
        <f>[1]Emissions!AB829</f>
        <v>120.81834139999999</v>
      </c>
      <c r="AD74" s="6">
        <f>[1]Emissions!AC829</f>
        <v>120.9816915</v>
      </c>
      <c r="AE74" s="6">
        <f>[1]Emissions!AD829</f>
        <v>121.1329657</v>
      </c>
      <c r="AF74" s="6">
        <f>[1]Emissions!AE829</f>
        <v>121.27281290000001</v>
      </c>
      <c r="AG74" s="6">
        <f>[1]Emissions!AF829</f>
        <v>121.4020222</v>
      </c>
      <c r="AH74" s="6">
        <f>[1]Emissions!AG829</f>
        <v>121.5222471</v>
      </c>
      <c r="AI74" s="6">
        <f>[1]Emissions!AH829</f>
        <v>121.63558449999999</v>
      </c>
      <c r="AJ74" s="6">
        <f>[1]Emissions!AI829</f>
        <v>121.7442518</v>
      </c>
      <c r="AK74" s="6">
        <f>[1]Emissions!AJ829</f>
        <v>121.85034280000001</v>
      </c>
      <c r="AL74" s="6">
        <f>[1]Emissions!AK829</f>
        <v>121.9556414</v>
      </c>
      <c r="AM74" s="6">
        <f>[1]Emissions!AL829</f>
        <v>122.0437991</v>
      </c>
      <c r="AN74" s="6">
        <f>[1]Emissions!AM829</f>
        <v>122.1232579</v>
      </c>
      <c r="AO74" s="6">
        <f>[1]Emissions!AN829</f>
        <v>122.19793780000001</v>
      </c>
      <c r="AP74" s="6">
        <f>[1]Emissions!AO829</f>
        <v>122.2695078</v>
      </c>
      <c r="AQ74" s="6">
        <f>[1]Emissions!AP829</f>
        <v>122.3385263</v>
      </c>
      <c r="AR74" s="6">
        <f>[1]Emissions!AQ829</f>
        <v>122.40500369999999</v>
      </c>
      <c r="AS74" s="6">
        <f>[1]Emissions!AR829</f>
        <v>122.4685944</v>
      </c>
      <c r="AT74" s="6">
        <f>[1]Emissions!AS829</f>
        <v>122.5286818</v>
      </c>
      <c r="AU74" s="6">
        <f>[1]Emissions!AT829</f>
        <v>122.5844412</v>
      </c>
      <c r="AV74" s="6">
        <f>[1]Emissions!AU829</f>
        <v>122.63506580000001</v>
      </c>
      <c r="AW74" s="6">
        <f>[1]Emissions!AV829</f>
        <v>122.68539749999999</v>
      </c>
      <c r="AX74" s="6">
        <f>[1]Emissions!AW829</f>
        <v>122.74044720000001</v>
      </c>
      <c r="AY74" s="6">
        <f>[1]Emissions!AX829</f>
        <v>122.8047153</v>
      </c>
      <c r="AZ74" s="6">
        <f>[1]Emissions!AY829</f>
        <v>122.8806651</v>
      </c>
      <c r="BA74" s="6">
        <f>[1]Emissions!AZ829</f>
        <v>122.9687021</v>
      </c>
      <c r="BB74" s="6">
        <f>[1]Emissions!BA829</f>
        <v>123.06782560000001</v>
      </c>
      <c r="BC74" s="6">
        <f>[1]Emissions!BB829</f>
        <v>123.17619139999999</v>
      </c>
      <c r="BD74" s="6">
        <f>[1]Emissions!BC829</f>
        <v>123.29150850000001</v>
      </c>
      <c r="BE74" s="6">
        <f>[1]Emissions!BD829</f>
        <v>123.4113598</v>
      </c>
      <c r="BF74" s="6">
        <f>[1]Emissions!BE829</f>
        <v>123.5334063</v>
      </c>
    </row>
    <row r="75" spans="1:58" x14ac:dyDescent="0.35">
      <c r="A75" s="8"/>
      <c r="B75" t="s">
        <v>26</v>
      </c>
      <c r="C75" s="6">
        <f>SUM(C76:C78)</f>
        <v>226.09913117630001</v>
      </c>
      <c r="D75" s="6">
        <f t="shared" ref="D75:AL75" si="47">SUM(D76:D78)</f>
        <v>226.71225344140001</v>
      </c>
      <c r="E75" s="6">
        <f t="shared" si="47"/>
        <v>228.0652625283</v>
      </c>
      <c r="F75" s="6">
        <f t="shared" si="47"/>
        <v>229.85468573560001</v>
      </c>
      <c r="G75" s="6">
        <f t="shared" si="47"/>
        <v>232.05145395849999</v>
      </c>
      <c r="H75" s="6">
        <f t="shared" si="47"/>
        <v>234.6282303255</v>
      </c>
      <c r="I75" s="6">
        <f t="shared" si="47"/>
        <v>237.39384332899999</v>
      </c>
      <c r="J75" s="6">
        <f t="shared" si="47"/>
        <v>240.37543426549999</v>
      </c>
      <c r="K75" s="6">
        <f t="shared" si="47"/>
        <v>243.54593674310001</v>
      </c>
      <c r="L75" s="6">
        <f t="shared" si="47"/>
        <v>246.87221508049998</v>
      </c>
      <c r="M75" s="6">
        <f t="shared" si="47"/>
        <v>250.56803671969999</v>
      </c>
      <c r="N75" s="6">
        <f t="shared" si="47"/>
        <v>254.20615138469998</v>
      </c>
      <c r="O75" s="6">
        <f t="shared" si="47"/>
        <v>257.87941003989999</v>
      </c>
      <c r="P75" s="6">
        <f t="shared" si="47"/>
        <v>261.59498464540002</v>
      </c>
      <c r="Q75" s="6">
        <f t="shared" si="47"/>
        <v>265.34678442649999</v>
      </c>
      <c r="R75" s="6">
        <f t="shared" si="47"/>
        <v>269.12886905469998</v>
      </c>
      <c r="S75" s="6">
        <f t="shared" si="47"/>
        <v>272.91624446610001</v>
      </c>
      <c r="T75" s="6">
        <f t="shared" si="47"/>
        <v>276.72231814200001</v>
      </c>
      <c r="U75" s="6">
        <f t="shared" si="47"/>
        <v>280.55023052199999</v>
      </c>
      <c r="V75" s="6">
        <f t="shared" si="47"/>
        <v>284.40248345289996</v>
      </c>
      <c r="W75" s="6">
        <f t="shared" si="47"/>
        <v>288.10284699559998</v>
      </c>
      <c r="X75" s="6">
        <f t="shared" si="47"/>
        <v>291.93511354029999</v>
      </c>
      <c r="Y75" s="6">
        <f t="shared" si="47"/>
        <v>295.83111683209995</v>
      </c>
      <c r="Z75" s="6">
        <f t="shared" si="47"/>
        <v>299.78035769510007</v>
      </c>
      <c r="AA75" s="6">
        <f t="shared" si="47"/>
        <v>303.78332242519997</v>
      </c>
      <c r="AB75" s="6">
        <f t="shared" si="47"/>
        <v>307.32817350749997</v>
      </c>
      <c r="AC75" s="6">
        <f t="shared" si="47"/>
        <v>310.98333306649994</v>
      </c>
      <c r="AD75" s="6">
        <f t="shared" si="47"/>
        <v>314.67194509559999</v>
      </c>
      <c r="AE75" s="6">
        <f t="shared" si="47"/>
        <v>318.39039252949999</v>
      </c>
      <c r="AF75" s="6">
        <f t="shared" si="47"/>
        <v>322.14740926879995</v>
      </c>
      <c r="AG75" s="6">
        <f t="shared" si="47"/>
        <v>325.952273547</v>
      </c>
      <c r="AH75" s="6">
        <f t="shared" si="47"/>
        <v>329.81726548269995</v>
      </c>
      <c r="AI75" s="6">
        <f t="shared" si="47"/>
        <v>333.74480199470003</v>
      </c>
      <c r="AJ75" s="6">
        <f t="shared" si="47"/>
        <v>337.73823160640001</v>
      </c>
      <c r="AK75" s="6">
        <f t="shared" si="47"/>
        <v>341.79988666409997</v>
      </c>
      <c r="AL75" s="6">
        <f t="shared" si="47"/>
        <v>345.93103425740003</v>
      </c>
      <c r="AM75" s="6">
        <f t="shared" ref="AM75:BC75" si="48">SUM(AM76:AM78)</f>
        <v>350.05040274320004</v>
      </c>
      <c r="AN75" s="6">
        <f t="shared" si="48"/>
        <v>354.19583099459999</v>
      </c>
      <c r="AO75" s="6">
        <f t="shared" si="48"/>
        <v>358.38045831419998</v>
      </c>
      <c r="AP75" s="6">
        <f t="shared" si="48"/>
        <v>362.61110166349999</v>
      </c>
      <c r="AQ75" s="6">
        <f t="shared" si="48"/>
        <v>366.89229919730002</v>
      </c>
      <c r="AR75" s="6">
        <f t="shared" si="48"/>
        <v>371.23381647489998</v>
      </c>
      <c r="AS75" s="6">
        <f t="shared" si="48"/>
        <v>375.6335160479</v>
      </c>
      <c r="AT75" s="6">
        <f t="shared" si="48"/>
        <v>380.09225151989995</v>
      </c>
      <c r="AU75" s="6">
        <f t="shared" si="48"/>
        <v>384.61083531689997</v>
      </c>
      <c r="AV75" s="6">
        <f t="shared" si="48"/>
        <v>389.18965149030004</v>
      </c>
      <c r="AW75" s="6">
        <f t="shared" si="48"/>
        <v>393.86128332390001</v>
      </c>
      <c r="AX75" s="6">
        <f t="shared" si="48"/>
        <v>398.6041743888</v>
      </c>
      <c r="AY75" s="6">
        <f t="shared" si="48"/>
        <v>403.4137335954</v>
      </c>
      <c r="AZ75" s="6">
        <f t="shared" si="48"/>
        <v>408.28825571459998</v>
      </c>
      <c r="BA75" s="6">
        <f t="shared" si="48"/>
        <v>413.2265562847</v>
      </c>
      <c r="BB75" s="6">
        <f t="shared" si="48"/>
        <v>418.24130246470003</v>
      </c>
      <c r="BC75" s="6">
        <f t="shared" si="48"/>
        <v>423.32248164719994</v>
      </c>
      <c r="BD75" s="6">
        <f t="shared" ref="BD75:BF75" si="49">SUM(BD76:BD78)</f>
        <v>428.46837138320001</v>
      </c>
      <c r="BE75" s="6">
        <f t="shared" si="49"/>
        <v>433.6787783373</v>
      </c>
      <c r="BF75" s="6">
        <f t="shared" si="49"/>
        <v>438.95390229050003</v>
      </c>
    </row>
    <row r="76" spans="1:58" x14ac:dyDescent="0.35">
      <c r="A76" s="8"/>
      <c r="B76" t="s">
        <v>50</v>
      </c>
      <c r="C76" s="5">
        <f>[1]Emissions!B826</f>
        <v>211.0379126</v>
      </c>
      <c r="D76" s="5">
        <f>[1]Emissions!C826</f>
        <v>211.5400649</v>
      </c>
      <c r="E76" s="5">
        <f>[1]Emissions!D826</f>
        <v>212.7312311</v>
      </c>
      <c r="F76" s="5">
        <f>[1]Emissions!E826</f>
        <v>214.3317543</v>
      </c>
      <c r="G76" s="5">
        <f>[1]Emissions!F826</f>
        <v>216.3203034</v>
      </c>
      <c r="H76" s="5">
        <f>[1]Emissions!G826</f>
        <v>218.67377339999999</v>
      </c>
      <c r="I76" s="5">
        <f>[1]Emissions!H826</f>
        <v>221.21321599999999</v>
      </c>
      <c r="J76" s="5">
        <f>[1]Emissions!I826</f>
        <v>223.96235189999999</v>
      </c>
      <c r="K76" s="5">
        <f>[1]Emissions!J826</f>
        <v>226.89426330000001</v>
      </c>
      <c r="L76" s="5">
        <f>[1]Emissions!K826</f>
        <v>229.97638509999999</v>
      </c>
      <c r="M76" s="5">
        <f>[1]Emissions!L826</f>
        <v>233.4070835</v>
      </c>
      <c r="N76" s="5">
        <f>[1]Emissions!M826</f>
        <v>236.7858411</v>
      </c>
      <c r="O76" s="5">
        <f>[1]Emissions!N826</f>
        <v>240.19816610000001</v>
      </c>
      <c r="P76" s="5">
        <f>[1]Emissions!O826</f>
        <v>243.64999520000001</v>
      </c>
      <c r="Q76" s="5">
        <f>[1]Emissions!P826</f>
        <v>247.13492059999999</v>
      </c>
      <c r="R76" s="5">
        <f>[1]Emissions!Q826</f>
        <v>250.64679179999999</v>
      </c>
      <c r="S76" s="5">
        <f>[1]Emissions!R826</f>
        <v>254.16133809999999</v>
      </c>
      <c r="T76" s="5">
        <f>[1]Emissions!S826</f>
        <v>257.69106920000002</v>
      </c>
      <c r="U76" s="5">
        <f>[1]Emissions!T826</f>
        <v>261.23867410000003</v>
      </c>
      <c r="V76" s="5">
        <f>[1]Emissions!U826</f>
        <v>264.80630079999997</v>
      </c>
      <c r="W76" s="5">
        <f>[1]Emissions!V826</f>
        <v>268.2291755</v>
      </c>
      <c r="X76" s="5">
        <f>[1]Emissions!W826</f>
        <v>271.77210989999998</v>
      </c>
      <c r="Y76" s="5">
        <f>[1]Emissions!X826</f>
        <v>275.37190229999999</v>
      </c>
      <c r="Z76" s="5">
        <f>[1]Emissions!Y826</f>
        <v>279.01878190000002</v>
      </c>
      <c r="AA76" s="5">
        <f>[1]Emissions!Z826</f>
        <v>282.71330899999998</v>
      </c>
      <c r="AB76" s="5">
        <f>[1]Emissions!AA826</f>
        <v>285.97749859999999</v>
      </c>
      <c r="AC76" s="5">
        <f>[1]Emissions!AB826</f>
        <v>289.34166349999998</v>
      </c>
      <c r="AD76" s="5">
        <f>[1]Emissions!AC826</f>
        <v>292.73490520000001</v>
      </c>
      <c r="AE76" s="5">
        <f>[1]Emissions!AD826</f>
        <v>296.1540779</v>
      </c>
      <c r="AF76" s="5">
        <f>[1]Emissions!AE826</f>
        <v>299.60763859999997</v>
      </c>
      <c r="AG76" s="5">
        <f>[1]Emissions!AF826</f>
        <v>303.10455519999999</v>
      </c>
      <c r="AH76" s="5">
        <f>[1]Emissions!AG826</f>
        <v>306.65666399999998</v>
      </c>
      <c r="AI76" s="5">
        <f>[1]Emissions!AH826</f>
        <v>310.26639060000002</v>
      </c>
      <c r="AJ76" s="5">
        <f>[1]Emissions!AI826</f>
        <v>313.93708040000001</v>
      </c>
      <c r="AK76" s="5">
        <f>[1]Emissions!AJ826</f>
        <v>317.67110939999998</v>
      </c>
      <c r="AL76" s="5">
        <f>[1]Emissions!AK826</f>
        <v>321.46982680000002</v>
      </c>
      <c r="AM76" s="5">
        <f>[1]Emissions!AL826</f>
        <v>325.25829570000002</v>
      </c>
      <c r="AN76" s="5">
        <f>[1]Emissions!AM826</f>
        <v>329.07098580000002</v>
      </c>
      <c r="AO76" s="5">
        <f>[1]Emissions!AN826</f>
        <v>332.92032440000003</v>
      </c>
      <c r="AP76" s="5">
        <f>[1]Emissions!AO826</f>
        <v>336.8128567</v>
      </c>
      <c r="AQ76" s="5">
        <f>[1]Emissions!AP826</f>
        <v>340.7529404</v>
      </c>
      <c r="AR76" s="5">
        <f>[1]Emissions!AQ826</f>
        <v>344.74987859999999</v>
      </c>
      <c r="AS76" s="5">
        <f>[1]Emissions!AR826</f>
        <v>348.80159479999998</v>
      </c>
      <c r="AT76" s="5">
        <f>[1]Emissions!AS826</f>
        <v>352.90889629999998</v>
      </c>
      <c r="AU76" s="5">
        <f>[1]Emissions!AT826</f>
        <v>357.07254999999998</v>
      </c>
      <c r="AV76" s="5">
        <f>[1]Emissions!AU826</f>
        <v>361.29290850000001</v>
      </c>
      <c r="AW76" s="5">
        <f>[1]Emissions!AV826</f>
        <v>365.60073110000002</v>
      </c>
      <c r="AX76" s="5">
        <f>[1]Emissions!AW826</f>
        <v>369.97550030000002</v>
      </c>
      <c r="AY76" s="5">
        <f>[1]Emissions!AX826</f>
        <v>374.41289649999999</v>
      </c>
      <c r="AZ76" s="5">
        <f>[1]Emissions!AY826</f>
        <v>378.91133300000001</v>
      </c>
      <c r="BA76" s="5">
        <f>[1]Emissions!AZ826</f>
        <v>383.46968279999999</v>
      </c>
      <c r="BB76" s="5">
        <f>[1]Emissions!BA826</f>
        <v>388.09995140000001</v>
      </c>
      <c r="BC76" s="5">
        <f>[1]Emissions!BB826</f>
        <v>392.79249069999997</v>
      </c>
      <c r="BD76" s="5">
        <f>[1]Emissions!BC826</f>
        <v>397.54563530000001</v>
      </c>
      <c r="BE76" s="5">
        <f>[1]Emissions!BD826</f>
        <v>402.35917139999998</v>
      </c>
      <c r="BF76" s="5">
        <f>[1]Emissions!BE826</f>
        <v>407.23323920000001</v>
      </c>
    </row>
    <row r="77" spans="1:58" x14ac:dyDescent="0.35">
      <c r="A77" s="8"/>
      <c r="B77" t="s">
        <v>51</v>
      </c>
      <c r="C77" s="5">
        <f>[1]Emissions!B827</f>
        <v>2.6945346299999999E-2</v>
      </c>
      <c r="D77" s="5">
        <f>[1]Emissions!C827</f>
        <v>2.69911514E-2</v>
      </c>
      <c r="E77" s="5">
        <f>[1]Emissions!D827</f>
        <v>2.7125668299999999E-2</v>
      </c>
      <c r="F77" s="5">
        <f>[1]Emissions!E827</f>
        <v>2.73323156E-2</v>
      </c>
      <c r="G77" s="5">
        <f>[1]Emissions!F827</f>
        <v>2.7602288499999999E-2</v>
      </c>
      <c r="H77" s="5">
        <f>[1]Emissions!G827</f>
        <v>2.79260455E-2</v>
      </c>
      <c r="I77" s="5">
        <f>[1]Emissions!H827</f>
        <v>2.8277258999999999E-2</v>
      </c>
      <c r="J77" s="5">
        <f>[1]Emissions!I827</f>
        <v>2.86572155E-2</v>
      </c>
      <c r="K77" s="5">
        <f>[1]Emissions!J827</f>
        <v>2.9060723100000001E-2</v>
      </c>
      <c r="L77" s="5">
        <f>[1]Emissions!K827</f>
        <v>2.94830905E-2</v>
      </c>
      <c r="M77" s="5">
        <f>[1]Emissions!L827</f>
        <v>2.9949239700000001E-2</v>
      </c>
      <c r="N77" s="5">
        <f>[1]Emissions!M827</f>
        <v>3.0408734699999999E-2</v>
      </c>
      <c r="O77" s="5">
        <f>[1]Emissions!N827</f>
        <v>3.08735399E-2</v>
      </c>
      <c r="P77" s="5">
        <f>[1]Emissions!O827</f>
        <v>3.1342985400000002E-2</v>
      </c>
      <c r="Q77" s="5">
        <f>[1]Emissions!P827</f>
        <v>3.1816266500000003E-2</v>
      </c>
      <c r="R77" s="5">
        <f>[1]Emissions!Q827</f>
        <v>3.2292914700000001E-2</v>
      </c>
      <c r="S77" s="5">
        <f>[1]Emissions!R827</f>
        <v>3.2770106100000002E-2</v>
      </c>
      <c r="T77" s="5">
        <f>[1]Emissions!S827</f>
        <v>3.3250021999999997E-2</v>
      </c>
      <c r="U77" s="5">
        <f>[1]Emissions!T827</f>
        <v>3.3733091999999999E-2</v>
      </c>
      <c r="V77" s="5">
        <f>[1]Emissions!U827</f>
        <v>3.4219732900000001E-2</v>
      </c>
      <c r="W77" s="5">
        <f>[1]Emissions!V827</f>
        <v>3.4689215599999997E-2</v>
      </c>
      <c r="X77" s="5">
        <f>[1]Emissions!W827</f>
        <v>3.51747003E-2</v>
      </c>
      <c r="Y77" s="5">
        <f>[1]Emissions!X827</f>
        <v>3.5667682100000001E-2</v>
      </c>
      <c r="Z77" s="5">
        <f>[1]Emissions!Y827</f>
        <v>3.6167865100000002E-2</v>
      </c>
      <c r="AA77" s="5">
        <f>[1]Emissions!Z827</f>
        <v>3.6675315200000003E-2</v>
      </c>
      <c r="AB77" s="5">
        <f>[1]Emissions!AA827</f>
        <v>3.7129477500000001E-2</v>
      </c>
      <c r="AC77" s="5">
        <f>[1]Emissions!AB827</f>
        <v>3.7596336500000001E-2</v>
      </c>
      <c r="AD77" s="5">
        <f>[1]Emissions!AC827</f>
        <v>3.8065075599999998E-2</v>
      </c>
      <c r="AE77" s="5">
        <f>[1]Emissions!AD827</f>
        <v>3.8537219499999997E-2</v>
      </c>
      <c r="AF77" s="5">
        <f>[1]Emissions!AE827</f>
        <v>3.9014518800000002E-2</v>
      </c>
      <c r="AG77" s="5">
        <f>[1]Emissions!AF827</f>
        <v>3.9498417000000001E-2</v>
      </c>
      <c r="AH77" s="5">
        <f>[1]Emissions!AG827</f>
        <v>3.9990562700000003E-2</v>
      </c>
      <c r="AI77" s="5">
        <f>[1]Emissions!AH827</f>
        <v>4.04911747E-2</v>
      </c>
      <c r="AJ77" s="5">
        <f>[1]Emissions!AI827</f>
        <v>4.1000596399999999E-2</v>
      </c>
      <c r="AK77" s="5">
        <f>[1]Emissions!AJ827</f>
        <v>4.1518984100000003E-2</v>
      </c>
      <c r="AL77" s="5">
        <f>[1]Emissions!AK827</f>
        <v>4.20463674E-2</v>
      </c>
      <c r="AM77" s="5">
        <f>[1]Emissions!AL827</f>
        <v>4.2573593200000003E-2</v>
      </c>
      <c r="AN77" s="5">
        <f>[1]Emissions!AM827</f>
        <v>4.3104174600000003E-2</v>
      </c>
      <c r="AO77" s="5">
        <f>[1]Emissions!AN827</f>
        <v>4.3639374199999997E-2</v>
      </c>
      <c r="AP77" s="5">
        <f>[1]Emissions!AO827</f>
        <v>4.4180173500000003E-2</v>
      </c>
      <c r="AQ77" s="5">
        <f>[1]Emissions!AP827</f>
        <v>4.4727427299999997E-2</v>
      </c>
      <c r="AR77" s="5">
        <f>[1]Emissions!AQ827</f>
        <v>4.5282724900000002E-2</v>
      </c>
      <c r="AS77" s="5">
        <f>[1]Emissions!AR827</f>
        <v>4.5845997899999998E-2</v>
      </c>
      <c r="AT77" s="5">
        <f>[1]Emissions!AS827</f>
        <v>4.64175899E-2</v>
      </c>
      <c r="AU77" s="5">
        <f>[1]Emissions!AT827</f>
        <v>4.6997726900000002E-2</v>
      </c>
      <c r="AV77" s="5">
        <f>[1]Emissions!AU827</f>
        <v>4.7586530299999999E-2</v>
      </c>
      <c r="AW77" s="5">
        <f>[1]Emissions!AV827</f>
        <v>4.81882639E-2</v>
      </c>
      <c r="AX77" s="5">
        <f>[1]Emissions!AW827</f>
        <v>4.8800028799999999E-2</v>
      </c>
      <c r="AY77" s="5">
        <f>[1]Emissions!AX827</f>
        <v>4.9421355399999999E-2</v>
      </c>
      <c r="AZ77" s="5">
        <f>[1]Emissions!AY827</f>
        <v>5.0051914599999997E-2</v>
      </c>
      <c r="BA77" s="5">
        <f>[1]Emissions!AZ827</f>
        <v>5.0691464700000001E-2</v>
      </c>
      <c r="BB77" s="5">
        <f>[1]Emissions!BA827</f>
        <v>5.1341694700000003E-2</v>
      </c>
      <c r="BC77" s="5">
        <f>[1]Emissions!BB827</f>
        <v>5.2001157200000002E-2</v>
      </c>
      <c r="BD77" s="5">
        <f>[1]Emissions!BC827</f>
        <v>5.2669663200000001E-2</v>
      </c>
      <c r="BE77" s="5">
        <f>[1]Emissions!BD827</f>
        <v>5.3347127299999998E-2</v>
      </c>
      <c r="BF77" s="5">
        <f>[1]Emissions!BE827</f>
        <v>5.4033530500000003E-2</v>
      </c>
    </row>
    <row r="78" spans="1:58" x14ac:dyDescent="0.35">
      <c r="B78" t="s">
        <v>52</v>
      </c>
      <c r="C78" s="5">
        <f>[1]Emissions!B828</f>
        <v>15.03427323</v>
      </c>
      <c r="D78" s="5">
        <f>[1]Emissions!C828</f>
        <v>15.14519739</v>
      </c>
      <c r="E78" s="5">
        <f>[1]Emissions!D828</f>
        <v>15.306905759999999</v>
      </c>
      <c r="F78" s="5">
        <f>[1]Emissions!E828</f>
        <v>15.49559912</v>
      </c>
      <c r="G78" s="5">
        <f>[1]Emissions!F828</f>
        <v>15.703548270000001</v>
      </c>
      <c r="H78" s="5">
        <f>[1]Emissions!G828</f>
        <v>15.92653088</v>
      </c>
      <c r="I78" s="5">
        <f>[1]Emissions!H828</f>
        <v>16.152350070000001</v>
      </c>
      <c r="J78" s="5">
        <f>[1]Emissions!I828</f>
        <v>16.384425149999998</v>
      </c>
      <c r="K78" s="5">
        <f>[1]Emissions!J828</f>
        <v>16.622612719999999</v>
      </c>
      <c r="L78" s="5">
        <f>[1]Emissions!K828</f>
        <v>16.866346889999999</v>
      </c>
      <c r="M78" s="5">
        <f>[1]Emissions!L828</f>
        <v>17.131003979999999</v>
      </c>
      <c r="N78" s="5">
        <f>[1]Emissions!M828</f>
        <v>17.389901550000001</v>
      </c>
      <c r="O78" s="5">
        <f>[1]Emissions!N828</f>
        <v>17.6503704</v>
      </c>
      <c r="P78" s="5">
        <f>[1]Emissions!O828</f>
        <v>17.913646459999999</v>
      </c>
      <c r="Q78" s="5">
        <f>[1]Emissions!P828</f>
        <v>18.180047559999998</v>
      </c>
      <c r="R78" s="5">
        <f>[1]Emissions!Q828</f>
        <v>18.449784340000001</v>
      </c>
      <c r="S78" s="5">
        <f>[1]Emissions!R828</f>
        <v>18.722136259999999</v>
      </c>
      <c r="T78" s="5">
        <f>[1]Emissions!S828</f>
        <v>18.997998920000001</v>
      </c>
      <c r="U78" s="5">
        <f>[1]Emissions!T828</f>
        <v>19.27782333</v>
      </c>
      <c r="V78" s="5">
        <f>[1]Emissions!U828</f>
        <v>19.561962919999999</v>
      </c>
      <c r="W78" s="5">
        <f>[1]Emissions!V828</f>
        <v>19.83898228</v>
      </c>
      <c r="X78" s="5">
        <f>[1]Emissions!W828</f>
        <v>20.127828940000001</v>
      </c>
      <c r="Y78" s="5">
        <f>[1]Emissions!X828</f>
        <v>20.423546850000001</v>
      </c>
      <c r="Z78" s="5">
        <f>[1]Emissions!Y828</f>
        <v>20.725407929999999</v>
      </c>
      <c r="AA78" s="5">
        <f>[1]Emissions!Z828</f>
        <v>21.033338109999999</v>
      </c>
      <c r="AB78" s="5">
        <f>[1]Emissions!AA828</f>
        <v>21.313545430000001</v>
      </c>
      <c r="AC78" s="5">
        <f>[1]Emissions!AB828</f>
        <v>21.604073230000001</v>
      </c>
      <c r="AD78" s="5">
        <f>[1]Emissions!AC828</f>
        <v>21.898974819999999</v>
      </c>
      <c r="AE78" s="5">
        <f>[1]Emissions!AD828</f>
        <v>22.19777741</v>
      </c>
      <c r="AF78" s="5">
        <f>[1]Emissions!AE828</f>
        <v>22.500756150000001</v>
      </c>
      <c r="AG78" s="5">
        <f>[1]Emissions!AF828</f>
        <v>22.80821993</v>
      </c>
      <c r="AH78" s="5">
        <f>[1]Emissions!AG828</f>
        <v>23.120610920000001</v>
      </c>
      <c r="AI78" s="5">
        <f>[1]Emissions!AH828</f>
        <v>23.437920219999999</v>
      </c>
      <c r="AJ78" s="5">
        <f>[1]Emissions!AI828</f>
        <v>23.76015061</v>
      </c>
      <c r="AK78" s="5">
        <f>[1]Emissions!AJ828</f>
        <v>24.08725828</v>
      </c>
      <c r="AL78" s="5">
        <f>[1]Emissions!AK828</f>
        <v>24.419161089999999</v>
      </c>
      <c r="AM78" s="5">
        <f>[1]Emissions!AL828</f>
        <v>24.749533450000001</v>
      </c>
      <c r="AN78" s="5">
        <f>[1]Emissions!AM828</f>
        <v>25.081741019999999</v>
      </c>
      <c r="AO78" s="5">
        <f>[1]Emissions!AN828</f>
        <v>25.416494539999999</v>
      </c>
      <c r="AP78" s="5">
        <f>[1]Emissions!AO828</f>
        <v>25.754064790000001</v>
      </c>
      <c r="AQ78" s="5">
        <f>[1]Emissions!AP828</f>
        <v>26.094631369999998</v>
      </c>
      <c r="AR78" s="5">
        <f>[1]Emissions!AQ828</f>
        <v>26.438655149999999</v>
      </c>
      <c r="AS78" s="5">
        <f>[1]Emissions!AR828</f>
        <v>26.78607525</v>
      </c>
      <c r="AT78" s="5">
        <f>[1]Emissions!AS828</f>
        <v>27.136937629999998</v>
      </c>
      <c r="AU78" s="5">
        <f>[1]Emissions!AT828</f>
        <v>27.491287589999999</v>
      </c>
      <c r="AV78" s="5">
        <f>[1]Emissions!AU828</f>
        <v>27.84915646</v>
      </c>
      <c r="AW78" s="5">
        <f>[1]Emissions!AV828</f>
        <v>28.212363960000001</v>
      </c>
      <c r="AX78" s="5">
        <f>[1]Emissions!AW828</f>
        <v>28.579874060000002</v>
      </c>
      <c r="AY78" s="5">
        <f>[1]Emissions!AX828</f>
        <v>28.951415740000002</v>
      </c>
      <c r="AZ78" s="5">
        <f>[1]Emissions!AY828</f>
        <v>29.326870799999998</v>
      </c>
      <c r="BA78" s="5">
        <f>[1]Emissions!AZ828</f>
        <v>29.70618202</v>
      </c>
      <c r="BB78" s="5">
        <f>[1]Emissions!BA828</f>
        <v>30.090009370000001</v>
      </c>
      <c r="BC78" s="5">
        <f>[1]Emissions!BB828</f>
        <v>30.477989789999999</v>
      </c>
      <c r="BD78" s="5">
        <f>[1]Emissions!BC828</f>
        <v>30.870066420000001</v>
      </c>
      <c r="BE78" s="5">
        <f>[1]Emissions!BD828</f>
        <v>31.266259810000001</v>
      </c>
      <c r="BF78" s="5">
        <f>[1]Emissions!BE828</f>
        <v>31.666629560000001</v>
      </c>
    </row>
    <row r="79" spans="1:58" x14ac:dyDescent="0.35">
      <c r="B79" t="s">
        <v>13</v>
      </c>
      <c r="C79" s="6">
        <f>[1]Results!F1551</f>
        <v>1969443.8570000001</v>
      </c>
      <c r="D79" s="6">
        <f>[1]Results!G1551</f>
        <v>1994425.953</v>
      </c>
      <c r="E79" s="6">
        <f>[1]Results!H1551</f>
        <v>2022137.4</v>
      </c>
      <c r="F79" s="6">
        <f>[1]Results!I1551</f>
        <v>2051600.6240000001</v>
      </c>
      <c r="G79" s="6">
        <f>[1]Results!J1551</f>
        <v>2082683.2790000001</v>
      </c>
      <c r="H79" s="6">
        <f>[1]Results!K1551</f>
        <v>2115213.7659999998</v>
      </c>
      <c r="I79" s="6">
        <f>[1]Results!L1551</f>
        <v>2147570.3930000002</v>
      </c>
      <c r="J79" s="6">
        <f>[1]Results!M1551</f>
        <v>2180707.344</v>
      </c>
      <c r="K79" s="6">
        <f>[1]Results!N1551</f>
        <v>2214571.2039999999</v>
      </c>
      <c r="L79" s="6">
        <f>[1]Results!O1551</f>
        <v>2249123.054</v>
      </c>
      <c r="M79" s="6">
        <f>[1]Results!P1551</f>
        <v>2286889.0329999998</v>
      </c>
      <c r="N79" s="6">
        <f>[1]Results!Q1551</f>
        <v>2323348.554</v>
      </c>
      <c r="O79" s="6">
        <f>[1]Results!R1551</f>
        <v>2360285.31</v>
      </c>
      <c r="P79" s="6">
        <f>[1]Results!S1551</f>
        <v>2397668.4300000002</v>
      </c>
      <c r="Q79" s="6">
        <f>[1]Results!T1551</f>
        <v>2435493.202</v>
      </c>
      <c r="R79" s="6">
        <f>[1]Results!U1551</f>
        <v>2473767.162</v>
      </c>
      <c r="S79" s="6">
        <f>[1]Results!V1551</f>
        <v>2512506.375</v>
      </c>
      <c r="T79" s="6">
        <f>[1]Results!W1551</f>
        <v>2551732.33</v>
      </c>
      <c r="U79" s="6">
        <f>[1]Results!X1551</f>
        <v>2591469.128</v>
      </c>
      <c r="V79" s="6">
        <f>[1]Results!Y1551</f>
        <v>2631741.3620000002</v>
      </c>
      <c r="W79" s="6">
        <f>[1]Results!Z1551</f>
        <v>2670666.4240000001</v>
      </c>
      <c r="X79" s="6">
        <f>[1]Results!AA1551</f>
        <v>2711601.949</v>
      </c>
      <c r="Y79" s="6">
        <f>[1]Results!AB1551</f>
        <v>2753225.2340000002</v>
      </c>
      <c r="Z79" s="6">
        <f>[1]Results!AC1551</f>
        <v>2795561.6460000002</v>
      </c>
      <c r="AA79" s="6">
        <f>[1]Results!AD1551</f>
        <v>2838619.1639999999</v>
      </c>
      <c r="AB79" s="6">
        <f>[1]Results!AE1551</f>
        <v>2876883.2220000001</v>
      </c>
      <c r="AC79" s="6">
        <f>[1]Results!AF1551</f>
        <v>2917378.7560000001</v>
      </c>
      <c r="AD79" s="6">
        <f>[1]Results!AG1551</f>
        <v>2958149.449</v>
      </c>
      <c r="AE79" s="6">
        <f>[1]Results!AH1551</f>
        <v>2999322.642</v>
      </c>
      <c r="AF79" s="6">
        <f>[1]Results!AI1551</f>
        <v>3040991.02</v>
      </c>
      <c r="AG79" s="6">
        <f>[1]Results!AJ1551</f>
        <v>3083223.8760000002</v>
      </c>
      <c r="AH79" s="6">
        <f>[1]Results!AK1551</f>
        <v>3126069.2740000002</v>
      </c>
      <c r="AI79" s="6">
        <f>[1]Results!AL1551</f>
        <v>3169557.128</v>
      </c>
      <c r="AJ79" s="6">
        <f>[1]Results!AM1551</f>
        <v>3213703.327</v>
      </c>
      <c r="AK79" s="6">
        <f>[1]Results!AN1551</f>
        <v>3258513.9879999999</v>
      </c>
      <c r="AL79" s="6">
        <f>[1]Results!AO1551</f>
        <v>3303989.219</v>
      </c>
      <c r="AM79" s="6">
        <f>[1]Results!AP1551</f>
        <v>3348785.3539999998</v>
      </c>
      <c r="AN79" s="6">
        <f>[1]Results!AQ1551</f>
        <v>3393886.6159999999</v>
      </c>
      <c r="AO79" s="6">
        <f>[1]Results!AR1551</f>
        <v>3439346.0929999999</v>
      </c>
      <c r="AP79" s="6">
        <f>[1]Results!AS1551</f>
        <v>3485223.4619999998</v>
      </c>
      <c r="AQ79" s="6">
        <f>[1]Results!AT1551</f>
        <v>3531574.0159999998</v>
      </c>
      <c r="AR79" s="6">
        <f>[1]Results!AU1551</f>
        <v>3578445.4410000001</v>
      </c>
      <c r="AS79" s="6">
        <f>[1]Results!AV1551</f>
        <v>3625876.5780000002</v>
      </c>
      <c r="AT79" s="6">
        <f>[1]Results!AW1551</f>
        <v>3673897.4980000001</v>
      </c>
      <c r="AU79" s="6">
        <f>[1]Results!AX1551</f>
        <v>3722530.5550000002</v>
      </c>
      <c r="AV79" s="6">
        <f>[1]Results!AY1551</f>
        <v>3771792.0430000001</v>
      </c>
      <c r="AW79" s="6">
        <f>[1]Results!AZ1551</f>
        <v>3821815.9789999998</v>
      </c>
      <c r="AX79" s="6">
        <f>[1]Results!BA1551</f>
        <v>3872521.5950000002</v>
      </c>
      <c r="AY79" s="6">
        <f>[1]Results!BB1551</f>
        <v>3923912.3960000002</v>
      </c>
      <c r="AZ79" s="6">
        <f>[1]Results!BC1551</f>
        <v>3975989.0060000001</v>
      </c>
      <c r="BA79" s="6">
        <f>[1]Results!BD1551</f>
        <v>4028752.8330000001</v>
      </c>
      <c r="BB79" s="6">
        <f>[1]Results!BE1551</f>
        <v>4082207.531</v>
      </c>
      <c r="BC79" s="6">
        <f>[1]Results!BF1551</f>
        <v>4136359.1949999998</v>
      </c>
      <c r="BD79" s="6">
        <f>[1]Results!BG1551</f>
        <v>4191216.1639999999</v>
      </c>
      <c r="BE79" s="6">
        <f>[1]Results!BH1551</f>
        <v>4246788.7010000004</v>
      </c>
      <c r="BF79" s="6">
        <f>[1]Results!BI1551</f>
        <v>4303088.6150000002</v>
      </c>
    </row>
    <row r="80" spans="1:58" x14ac:dyDescent="0.35"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</row>
    <row r="81" spans="1:58" x14ac:dyDescent="0.35">
      <c r="A81" s="12" t="s">
        <v>78</v>
      </c>
      <c r="B81" t="s">
        <v>13</v>
      </c>
      <c r="C81" s="6">
        <f>[1]Results!F1551</f>
        <v>1969443.8570000001</v>
      </c>
      <c r="D81" s="6">
        <f>[1]Results!G1551</f>
        <v>1994425.953</v>
      </c>
      <c r="E81" s="6">
        <f>[1]Results!H1551</f>
        <v>2022137.4</v>
      </c>
      <c r="F81" s="6">
        <f>[1]Results!I1551</f>
        <v>2051600.6240000001</v>
      </c>
      <c r="G81" s="6">
        <f>[1]Results!J1551</f>
        <v>2082683.2790000001</v>
      </c>
      <c r="H81" s="6">
        <f>[1]Results!K1551</f>
        <v>2115213.7659999998</v>
      </c>
      <c r="I81" s="6">
        <f>[1]Results!L1551</f>
        <v>2147570.3930000002</v>
      </c>
      <c r="J81" s="6">
        <f>[1]Results!M1551</f>
        <v>2180707.344</v>
      </c>
      <c r="K81" s="6">
        <f>[1]Results!N1551</f>
        <v>2214571.2039999999</v>
      </c>
      <c r="L81" s="6">
        <f>[1]Results!O1551</f>
        <v>2249123.054</v>
      </c>
      <c r="M81" s="6">
        <f>[1]Results!P1551</f>
        <v>2286889.0329999998</v>
      </c>
      <c r="N81" s="6">
        <f>[1]Results!Q1551</f>
        <v>2323348.554</v>
      </c>
      <c r="O81" s="6">
        <f>[1]Results!R1551</f>
        <v>2360285.31</v>
      </c>
      <c r="P81" s="6">
        <f>[1]Results!S1551</f>
        <v>2397668.4300000002</v>
      </c>
      <c r="Q81" s="6">
        <f>[1]Results!T1551</f>
        <v>2435493.202</v>
      </c>
      <c r="R81" s="6">
        <f>[1]Results!U1551</f>
        <v>2473767.162</v>
      </c>
      <c r="S81" s="6">
        <f>[1]Results!V1551</f>
        <v>2512506.375</v>
      </c>
      <c r="T81" s="6">
        <f>[1]Results!W1551</f>
        <v>2551732.33</v>
      </c>
      <c r="U81" s="6">
        <f>[1]Results!X1551</f>
        <v>2591469.128</v>
      </c>
      <c r="V81" s="6">
        <f>[1]Results!Y1551</f>
        <v>2631741.3620000002</v>
      </c>
      <c r="W81" s="6">
        <f>[1]Results!Z1551</f>
        <v>2670666.4240000001</v>
      </c>
      <c r="X81" s="6">
        <f>[1]Results!AA1551</f>
        <v>2711601.949</v>
      </c>
      <c r="Y81" s="6">
        <f>[1]Results!AB1551</f>
        <v>2753225.2340000002</v>
      </c>
      <c r="Z81" s="6">
        <f>[1]Results!AC1551</f>
        <v>2795561.6460000002</v>
      </c>
      <c r="AA81" s="6">
        <f>[1]Results!AD1551</f>
        <v>2838619.1639999999</v>
      </c>
      <c r="AB81" s="6">
        <f>[1]Results!AE1551</f>
        <v>2876883.2220000001</v>
      </c>
      <c r="AC81" s="6">
        <f>[1]Results!AF1551</f>
        <v>2917378.7560000001</v>
      </c>
      <c r="AD81" s="6">
        <f>[1]Results!AG1551</f>
        <v>2958149.449</v>
      </c>
      <c r="AE81" s="6">
        <f>[1]Results!AH1551</f>
        <v>2999322.642</v>
      </c>
      <c r="AF81" s="6">
        <f>[1]Results!AI1551</f>
        <v>3040991.02</v>
      </c>
      <c r="AG81" s="6">
        <f>[1]Results!AJ1551</f>
        <v>3083223.8760000002</v>
      </c>
      <c r="AH81" s="6">
        <f>[1]Results!AK1551</f>
        <v>3126069.2740000002</v>
      </c>
      <c r="AI81" s="6">
        <f>[1]Results!AL1551</f>
        <v>3169557.128</v>
      </c>
      <c r="AJ81" s="6">
        <f>[1]Results!AM1551</f>
        <v>3213703.327</v>
      </c>
      <c r="AK81" s="6">
        <f>[1]Results!AN1551</f>
        <v>3258513.9879999999</v>
      </c>
      <c r="AL81" s="6">
        <f>[1]Results!AO1551</f>
        <v>3303989.219</v>
      </c>
      <c r="AM81" s="6">
        <f>[1]Results!AP1551</f>
        <v>3348785.3539999998</v>
      </c>
      <c r="AN81" s="6">
        <f>[1]Results!AQ1551</f>
        <v>3393886.6159999999</v>
      </c>
      <c r="AO81" s="6">
        <f>[1]Results!AR1551</f>
        <v>3439346.0929999999</v>
      </c>
      <c r="AP81" s="6">
        <f>[1]Results!AS1551</f>
        <v>3485223.4619999998</v>
      </c>
      <c r="AQ81" s="6">
        <f>[1]Results!AT1551</f>
        <v>3531574.0159999998</v>
      </c>
      <c r="AR81" s="6">
        <f>[1]Results!AU1551</f>
        <v>3578445.4410000001</v>
      </c>
      <c r="AS81" s="6">
        <f>[1]Results!AV1551</f>
        <v>3625876.5780000002</v>
      </c>
      <c r="AT81" s="6">
        <f>[1]Results!AW1551</f>
        <v>3673897.4980000001</v>
      </c>
      <c r="AU81" s="6">
        <f>[1]Results!AX1551</f>
        <v>3722530.5550000002</v>
      </c>
      <c r="AV81" s="6">
        <f>[1]Results!AY1551</f>
        <v>3771792.0430000001</v>
      </c>
      <c r="AW81" s="6">
        <f>[1]Results!AZ1551</f>
        <v>3821815.9789999998</v>
      </c>
      <c r="AX81" s="6">
        <f>[1]Results!BA1551</f>
        <v>3872521.5950000002</v>
      </c>
      <c r="AY81" s="6">
        <f>[1]Results!BB1551</f>
        <v>3923912.3960000002</v>
      </c>
      <c r="AZ81" s="6">
        <f>[1]Results!BC1551</f>
        <v>3975989.0060000001</v>
      </c>
      <c r="BA81" s="6">
        <f>[1]Results!BD1551</f>
        <v>4028752.8330000001</v>
      </c>
      <c r="BB81" s="6">
        <f>[1]Results!BE1551</f>
        <v>4082207.531</v>
      </c>
      <c r="BC81" s="6">
        <f>[1]Results!BF1551</f>
        <v>4136359.1949999998</v>
      </c>
      <c r="BD81" s="6">
        <f>[1]Results!BG1551</f>
        <v>4191216.1639999999</v>
      </c>
      <c r="BE81" s="6">
        <f>[1]Results!BH1551</f>
        <v>4246788.7010000004</v>
      </c>
      <c r="BF81" s="6">
        <f>[1]Results!BI1551</f>
        <v>4303088.6150000002</v>
      </c>
    </row>
    <row r="82" spans="1:58" x14ac:dyDescent="0.35">
      <c r="A82" t="s">
        <v>38</v>
      </c>
      <c r="B82" t="s">
        <v>7</v>
      </c>
      <c r="C82" s="6">
        <f>[1]Results!F1552</f>
        <v>36136.789320000003</v>
      </c>
      <c r="D82" s="6">
        <f>[1]Results!G1552</f>
        <v>36370.171040000001</v>
      </c>
      <c r="E82" s="6">
        <f>[1]Results!H1552</f>
        <v>36676.619830000003</v>
      </c>
      <c r="F82" s="6">
        <f>[1]Results!I1552</f>
        <v>37037.658810000001</v>
      </c>
      <c r="G82" s="6">
        <f>[1]Results!J1552</f>
        <v>37448.082139999999</v>
      </c>
      <c r="H82" s="6">
        <f>[1]Results!K1552</f>
        <v>37903.642749999999</v>
      </c>
      <c r="I82" s="6">
        <f>[1]Results!L1552</f>
        <v>38374.085830000004</v>
      </c>
      <c r="J82" s="6">
        <f>[1]Results!M1552</f>
        <v>38869.8338</v>
      </c>
      <c r="K82" s="6">
        <f>[1]Results!N1552</f>
        <v>39386.631560000002</v>
      </c>
      <c r="L82" s="6">
        <f>[1]Results!O1552</f>
        <v>39921.072690000001</v>
      </c>
      <c r="M82" s="6">
        <f>[1]Results!P1552</f>
        <v>40512.812409999999</v>
      </c>
      <c r="N82" s="6">
        <f>[1]Results!Q1552</f>
        <v>41088.014230000001</v>
      </c>
      <c r="O82" s="6">
        <f>[1]Results!R1552</f>
        <v>41671.936750000001</v>
      </c>
      <c r="P82" s="6">
        <f>[1]Results!S1552</f>
        <v>42263.200120000001</v>
      </c>
      <c r="Q82" s="6">
        <f>[1]Results!T1552</f>
        <v>42861.130899999996</v>
      </c>
      <c r="R82" s="6">
        <f>[1]Results!U1552</f>
        <v>43465.496169999999</v>
      </c>
      <c r="S82" s="6">
        <f>[1]Results!V1552</f>
        <v>44076.359759999999</v>
      </c>
      <c r="T82" s="6">
        <f>[1]Results!W1552</f>
        <v>44693.977789999997</v>
      </c>
      <c r="U82" s="6">
        <f>[1]Results!X1552</f>
        <v>45318.718670000002</v>
      </c>
      <c r="V82" s="6">
        <f>[1]Results!Y1552</f>
        <v>45951.00578</v>
      </c>
      <c r="W82" s="6">
        <f>[1]Results!Z1552</f>
        <v>46560.019489999999</v>
      </c>
      <c r="X82" s="6">
        <f>[1]Results!AA1552</f>
        <v>47199.146560000001</v>
      </c>
      <c r="Y82" s="6">
        <f>[1]Results!AB1552</f>
        <v>47849.032879999999</v>
      </c>
      <c r="Z82" s="6">
        <f>[1]Results!AC1552</f>
        <v>48510.222589999998</v>
      </c>
      <c r="AA82" s="6">
        <f>[1]Results!AD1552</f>
        <v>49182.920590000002</v>
      </c>
      <c r="AB82" s="6">
        <f>[1]Results!AE1552</f>
        <v>49777.050410000003</v>
      </c>
      <c r="AC82" s="6">
        <f>[1]Results!AF1552</f>
        <v>50402.413439999997</v>
      </c>
      <c r="AD82" s="6">
        <f>[1]Results!AG1552</f>
        <v>51031.139450000002</v>
      </c>
      <c r="AE82" s="6">
        <f>[1]Results!AH1552</f>
        <v>51666.100689999999</v>
      </c>
      <c r="AF82" s="6">
        <f>[1]Results!AI1552</f>
        <v>52309.482680000001</v>
      </c>
      <c r="AG82" s="6">
        <f>[1]Results!AJ1552</f>
        <v>52962.89774</v>
      </c>
      <c r="AH82" s="6">
        <f>[1]Results!AK1552</f>
        <v>53627.459289999999</v>
      </c>
      <c r="AI82" s="6">
        <f>[1]Results!AL1552</f>
        <v>54303.870219999997</v>
      </c>
      <c r="AJ82" s="6">
        <f>[1]Results!AM1552</f>
        <v>54992.521180000003</v>
      </c>
      <c r="AK82" s="6">
        <f>[1]Results!AN1552</f>
        <v>55693.58524</v>
      </c>
      <c r="AL82" s="6">
        <f>[1]Results!AO1552</f>
        <v>56407.098910000001</v>
      </c>
      <c r="AM82" s="6">
        <f>[1]Results!AP1552</f>
        <v>57111.258580000002</v>
      </c>
      <c r="AN82" s="6">
        <f>[1]Results!AQ1552</f>
        <v>57820.870540000004</v>
      </c>
      <c r="AO82" s="6">
        <f>[1]Results!AR1552</f>
        <v>58537.104120000004</v>
      </c>
      <c r="AP82" s="6">
        <f>[1]Results!AS1552</f>
        <v>59261.27218</v>
      </c>
      <c r="AQ82" s="6">
        <f>[1]Results!AT1552</f>
        <v>59994.601929999997</v>
      </c>
      <c r="AR82" s="6">
        <f>[1]Results!AU1552</f>
        <v>60738.13912</v>
      </c>
      <c r="AS82" s="6">
        <f>[1]Results!AV1552</f>
        <v>61492.713669999997</v>
      </c>
      <c r="AT82" s="6">
        <f>[1]Results!AW1552</f>
        <v>62258.938840000003</v>
      </c>
      <c r="AU82" s="6">
        <f>[1]Results!AX1552</f>
        <v>63037.228439999999</v>
      </c>
      <c r="AV82" s="6">
        <f>[1]Results!AY1552</f>
        <v>63827.804279999997</v>
      </c>
      <c r="AW82" s="6">
        <f>[1]Results!AZ1552</f>
        <v>64632.53196</v>
      </c>
      <c r="AX82" s="6">
        <f>[1]Results!BA1552</f>
        <v>65450.165679999998</v>
      </c>
      <c r="AY82" s="6">
        <f>[1]Results!BB1552</f>
        <v>66280.791089999999</v>
      </c>
      <c r="AZ82" s="6">
        <f>[1]Results!BC1552</f>
        <v>67124.418250000002</v>
      </c>
      <c r="BA82" s="6">
        <f>[1]Results!BD1552</f>
        <v>67981.054489999995</v>
      </c>
      <c r="BB82" s="6">
        <f>[1]Results!BE1552</f>
        <v>68850.687130000006</v>
      </c>
      <c r="BC82" s="6">
        <f>[1]Results!BF1552</f>
        <v>69733.297990000006</v>
      </c>
      <c r="BD82" s="6">
        <f>[1]Results!BG1552</f>
        <v>70628.889800000004</v>
      </c>
      <c r="BE82" s="6">
        <f>[1]Results!BH1552</f>
        <v>71537.501120000001</v>
      </c>
      <c r="BF82" s="6">
        <f>[1]Results!BI1552</f>
        <v>72459.207580000002</v>
      </c>
    </row>
    <row r="83" spans="1:58" x14ac:dyDescent="0.35">
      <c r="B83" t="s">
        <v>30</v>
      </c>
      <c r="C83" s="6">
        <f>[1]Results!F1555</f>
        <v>332226.51280000003</v>
      </c>
      <c r="D83" s="6">
        <f>[1]Results!G1555</f>
        <v>336606.99489999999</v>
      </c>
      <c r="E83" s="6">
        <f>[1]Results!H1555</f>
        <v>341544.85859999998</v>
      </c>
      <c r="F83" s="6">
        <f>[1]Results!I1555</f>
        <v>346740.18349999998</v>
      </c>
      <c r="G83" s="6">
        <f>[1]Results!J1555</f>
        <v>352165.58</v>
      </c>
      <c r="H83" s="6">
        <f>[1]Results!K1555</f>
        <v>357796.63419999997</v>
      </c>
      <c r="I83" s="6">
        <f>[1]Results!L1555</f>
        <v>363368.59940000001</v>
      </c>
      <c r="J83" s="6">
        <f>[1]Results!M1555</f>
        <v>369072.96110000001</v>
      </c>
      <c r="K83" s="6">
        <f>[1]Results!N1555</f>
        <v>374895.6556</v>
      </c>
      <c r="L83" s="6">
        <f>[1]Results!O1555</f>
        <v>380835.71759999997</v>
      </c>
      <c r="M83" s="6">
        <f>[1]Results!P1555</f>
        <v>387326.41110000003</v>
      </c>
      <c r="N83" s="6">
        <f>[1]Results!Q1555</f>
        <v>393574.64659999998</v>
      </c>
      <c r="O83" s="6">
        <f>[1]Results!R1555</f>
        <v>399948.45539999998</v>
      </c>
      <c r="P83" s="6">
        <f>[1]Results!S1555</f>
        <v>406425.71789999999</v>
      </c>
      <c r="Q83" s="6">
        <f>[1]Results!T1555</f>
        <v>413005.64529999997</v>
      </c>
      <c r="R83" s="6">
        <f>[1]Results!U1555</f>
        <v>419691.25280000002</v>
      </c>
      <c r="S83" s="6">
        <f>[1]Results!V1555</f>
        <v>426486.68229999999</v>
      </c>
      <c r="T83" s="6">
        <f>[1]Results!W1555</f>
        <v>433396.5379</v>
      </c>
      <c r="U83" s="6">
        <f>[1]Results!X1555</f>
        <v>440425.4803</v>
      </c>
      <c r="V83" s="6">
        <f>[1]Results!Y1555</f>
        <v>447577.91070000001</v>
      </c>
      <c r="W83" s="6">
        <f>[1]Results!Z1555</f>
        <v>454535.58980000002</v>
      </c>
      <c r="X83" s="6">
        <f>[1]Results!AA1555</f>
        <v>461889.86109999998</v>
      </c>
      <c r="Y83" s="6">
        <f>[1]Results!AB1555</f>
        <v>469371.17389999999</v>
      </c>
      <c r="Z83" s="6">
        <f>[1]Results!AC1555</f>
        <v>476998.03159999999</v>
      </c>
      <c r="AA83" s="6">
        <f>[1]Results!AD1555</f>
        <v>484772.78629999998</v>
      </c>
      <c r="AB83" s="6">
        <f>[1]Results!AE1555</f>
        <v>491762.09629999998</v>
      </c>
      <c r="AC83" s="6">
        <f>[1]Results!AF1555</f>
        <v>499220.90970000002</v>
      </c>
      <c r="AD83" s="6">
        <f>[1]Results!AG1555</f>
        <v>506720.10580000002</v>
      </c>
      <c r="AE83" s="6">
        <f>[1]Results!AH1555</f>
        <v>514295.065</v>
      </c>
      <c r="AF83" s="6">
        <f>[1]Results!AI1555</f>
        <v>521958.47850000003</v>
      </c>
      <c r="AG83" s="6">
        <f>[1]Results!AJ1555</f>
        <v>529717.30240000004</v>
      </c>
      <c r="AH83" s="6">
        <f>[1]Results!AK1555</f>
        <v>537575.30590000004</v>
      </c>
      <c r="AI83" s="6">
        <f>[1]Results!AL1555</f>
        <v>545533.76100000006</v>
      </c>
      <c r="AJ83" s="6">
        <f>[1]Results!AM1555</f>
        <v>553592.01520000002</v>
      </c>
      <c r="AK83" s="6">
        <f>[1]Results!AN1555</f>
        <v>561748.09369999997</v>
      </c>
      <c r="AL83" s="6">
        <f>[1]Results!AO1555</f>
        <v>569999.26399999997</v>
      </c>
      <c r="AM83" s="6">
        <f>[1]Results!AP1555</f>
        <v>578115.05299999996</v>
      </c>
      <c r="AN83" s="6">
        <f>[1]Results!AQ1555</f>
        <v>586276.22779999999</v>
      </c>
      <c r="AO83" s="6">
        <f>[1]Results!AR1555</f>
        <v>594475.22309999994</v>
      </c>
      <c r="AP83" s="6">
        <f>[1]Results!AS1555</f>
        <v>602716.46869999997</v>
      </c>
      <c r="AQ83" s="6">
        <f>[1]Results!AT1555</f>
        <v>611005.60120000003</v>
      </c>
      <c r="AR83" s="6">
        <f>[1]Results!AU1555</f>
        <v>619347.76560000004</v>
      </c>
      <c r="AS83" s="6">
        <f>[1]Results!AV1555</f>
        <v>627747.29579999996</v>
      </c>
      <c r="AT83" s="6">
        <f>[1]Results!AW1555</f>
        <v>636207.6875</v>
      </c>
      <c r="AU83" s="6">
        <f>[1]Results!AX1555</f>
        <v>644731.71019999997</v>
      </c>
      <c r="AV83" s="6">
        <f>[1]Results!AY1555</f>
        <v>653321.61120000004</v>
      </c>
      <c r="AW83" s="6">
        <f>[1]Results!AZ1555</f>
        <v>662000.13589999999</v>
      </c>
      <c r="AX83" s="6">
        <f>[1]Results!BA1555</f>
        <v>670752.51540000003</v>
      </c>
      <c r="AY83" s="6">
        <f>[1]Results!BB1555</f>
        <v>679581.17949999997</v>
      </c>
      <c r="AZ83" s="6">
        <f>[1]Results!BC1555</f>
        <v>688487.1925</v>
      </c>
      <c r="BA83" s="6">
        <f>[1]Results!BD1555</f>
        <v>697471.93530000001</v>
      </c>
      <c r="BB83" s="6">
        <f>[1]Results!BE1555</f>
        <v>706537.44090000005</v>
      </c>
      <c r="BC83" s="6">
        <f>[1]Results!BF1555</f>
        <v>715686.34459999995</v>
      </c>
      <c r="BD83" s="6">
        <f>[1]Results!BG1555</f>
        <v>724921.79559999995</v>
      </c>
      <c r="BE83" s="6">
        <f>[1]Results!BH1555</f>
        <v>734247.37589999998</v>
      </c>
      <c r="BF83" s="6">
        <f>[1]Results!BI1555</f>
        <v>743667.02529999998</v>
      </c>
    </row>
    <row r="84" spans="1:58" x14ac:dyDescent="0.35">
      <c r="B84" t="s">
        <v>9</v>
      </c>
      <c r="C84" s="6">
        <f>[1]Results!F1567</f>
        <v>48571.10615</v>
      </c>
      <c r="D84" s="6">
        <f>[1]Results!G1567</f>
        <v>49156.962379999997</v>
      </c>
      <c r="E84" s="6">
        <f>[1]Results!H1567</f>
        <v>49805.651899999997</v>
      </c>
      <c r="F84" s="6">
        <f>[1]Results!I1567</f>
        <v>50492.57415</v>
      </c>
      <c r="G84" s="6">
        <f>[1]Results!J1567</f>
        <v>51216.412420000001</v>
      </c>
      <c r="H84" s="6">
        <f>[1]Results!K1567</f>
        <v>51973.058449999997</v>
      </c>
      <c r="I84" s="6">
        <f>[1]Results!L1567</f>
        <v>52721.454619999997</v>
      </c>
      <c r="J84" s="6">
        <f>[1]Results!M1567</f>
        <v>53488.57417</v>
      </c>
      <c r="K84" s="6">
        <f>[1]Results!N1567</f>
        <v>54271.017500000002</v>
      </c>
      <c r="L84" s="6">
        <f>[1]Results!O1567</f>
        <v>55067.195809999997</v>
      </c>
      <c r="M84" s="6">
        <f>[1]Results!P1567</f>
        <v>55940.548569999999</v>
      </c>
      <c r="N84" s="6">
        <f>[1]Results!Q1567</f>
        <v>56771.173430000003</v>
      </c>
      <c r="O84" s="6">
        <f>[1]Results!R1567</f>
        <v>57612.814100000003</v>
      </c>
      <c r="P84" s="6">
        <f>[1]Results!S1567</f>
        <v>58462.266759999999</v>
      </c>
      <c r="Q84" s="6">
        <f>[1]Results!T1567</f>
        <v>59319.136700000003</v>
      </c>
      <c r="R84" s="6">
        <f>[1]Results!U1567</f>
        <v>60183.712780000002</v>
      </c>
      <c r="S84" s="6">
        <f>[1]Results!V1567</f>
        <v>61056.593860000001</v>
      </c>
      <c r="T84" s="6">
        <f>[1]Results!W1567</f>
        <v>61938.551480000002</v>
      </c>
      <c r="U84" s="6">
        <f>[1]Results!X1567</f>
        <v>62830.439590000002</v>
      </c>
      <c r="V84" s="6">
        <f>[1]Results!Y1567</f>
        <v>63733.13132</v>
      </c>
      <c r="W84" s="6">
        <f>[1]Results!Z1567</f>
        <v>64599.400450000001</v>
      </c>
      <c r="X84" s="6">
        <f>[1]Results!AA1567</f>
        <v>65518.390370000001</v>
      </c>
      <c r="Y84" s="6">
        <f>[1]Results!AB1567</f>
        <v>66450.514519999997</v>
      </c>
      <c r="Z84" s="6">
        <f>[1]Results!AC1567</f>
        <v>67398.457550000006</v>
      </c>
      <c r="AA84" s="6">
        <f>[1]Results!AD1567</f>
        <v>68362.920549999995</v>
      </c>
      <c r="AB84" s="6">
        <f>[1]Results!AE1567</f>
        <v>69205.133960000006</v>
      </c>
      <c r="AC84" s="6">
        <f>[1]Results!AF1567</f>
        <v>70114.507689999999</v>
      </c>
      <c r="AD84" s="6">
        <f>[1]Results!AG1567</f>
        <v>71029.039050000007</v>
      </c>
      <c r="AE84" s="6">
        <f>[1]Results!AH1567</f>
        <v>71954.308080000003</v>
      </c>
      <c r="AF84" s="6">
        <f>[1]Results!AI1567</f>
        <v>72893.040219999995</v>
      </c>
      <c r="AG84" s="6">
        <f>[1]Results!AJ1567</f>
        <v>73847.06482</v>
      </c>
      <c r="AH84" s="6">
        <f>[1]Results!AK1567</f>
        <v>74817.613769999996</v>
      </c>
      <c r="AI84" s="6">
        <f>[1]Results!AL1567</f>
        <v>75805.441319999998</v>
      </c>
      <c r="AJ84" s="6">
        <f>[1]Results!AM1567</f>
        <v>76810.936879999994</v>
      </c>
      <c r="AK84" s="6">
        <f>[1]Results!AN1567</f>
        <v>77834.234450000004</v>
      </c>
      <c r="AL84" s="6">
        <f>[1]Results!AO1567</f>
        <v>78875.307520000002</v>
      </c>
      <c r="AM84" s="6">
        <f>[1]Results!AP1567</f>
        <v>79900.191120000003</v>
      </c>
      <c r="AN84" s="6">
        <f>[1]Results!AQ1567</f>
        <v>80936.603130000003</v>
      </c>
      <c r="AO84" s="6">
        <f>[1]Results!AR1567</f>
        <v>81984.286779999995</v>
      </c>
      <c r="AP84" s="6">
        <f>[1]Results!AS1567</f>
        <v>83044.396869999997</v>
      </c>
      <c r="AQ84" s="6">
        <f>[1]Results!AT1567</f>
        <v>84118.169529999999</v>
      </c>
      <c r="AR84" s="6">
        <f>[1]Results!AU1567</f>
        <v>85206.681549999994</v>
      </c>
      <c r="AS84" s="6">
        <f>[1]Results!AV1567</f>
        <v>86310.792820000002</v>
      </c>
      <c r="AT84" s="6">
        <f>[1]Results!AW1567</f>
        <v>87431.144020000007</v>
      </c>
      <c r="AU84" s="6">
        <f>[1]Results!AX1567</f>
        <v>88568.183189999996</v>
      </c>
      <c r="AV84" s="6">
        <f>[1]Results!AY1567</f>
        <v>89722.207670000003</v>
      </c>
      <c r="AW84" s="6">
        <f>[1]Results!AZ1567</f>
        <v>90896.503970000005</v>
      </c>
      <c r="AX84" s="6">
        <f>[1]Results!BA1567</f>
        <v>92088.679350000006</v>
      </c>
      <c r="AY84" s="6">
        <f>[1]Results!BB1567</f>
        <v>93298.853440000006</v>
      </c>
      <c r="AZ84" s="6">
        <f>[1]Results!BC1567</f>
        <v>94526.951889999997</v>
      </c>
      <c r="BA84" s="6">
        <f>[1]Results!BD1567</f>
        <v>95772.900750000001</v>
      </c>
      <c r="BB84" s="6">
        <f>[1]Results!BE1567</f>
        <v>97036.683510000003</v>
      </c>
      <c r="BC84" s="6">
        <f>[1]Results!BF1567</f>
        <v>98318.348419999995</v>
      </c>
      <c r="BD84" s="6">
        <f>[1]Results!BG1567</f>
        <v>99618.002680000005</v>
      </c>
      <c r="BE84" s="6">
        <f>[1]Results!BH1567</f>
        <v>100935.8033</v>
      </c>
      <c r="BF84" s="6">
        <f>[1]Results!BI1567</f>
        <v>102271.9477</v>
      </c>
    </row>
    <row r="85" spans="1:58" x14ac:dyDescent="0.35">
      <c r="B85" t="s">
        <v>10</v>
      </c>
      <c r="C85" s="6">
        <f>[1]Results!F1572</f>
        <v>1513908.568</v>
      </c>
      <c r="D85" s="6">
        <f>[1]Results!G1572</f>
        <v>1533424.8459999999</v>
      </c>
      <c r="E85" s="6">
        <f>[1]Results!H1572</f>
        <v>1554985.311</v>
      </c>
      <c r="F85" s="6">
        <f>[1]Results!I1572</f>
        <v>1577934.709</v>
      </c>
      <c r="G85" s="6">
        <f>[1]Results!J1572</f>
        <v>1602168.7050000001</v>
      </c>
      <c r="H85" s="6">
        <f>[1]Results!K1572</f>
        <v>1627543.085</v>
      </c>
      <c r="I85" s="6">
        <f>[1]Results!L1572</f>
        <v>1652794.8019999999</v>
      </c>
      <c r="J85" s="6">
        <f>[1]Results!M1572</f>
        <v>1678634.3419999999</v>
      </c>
      <c r="K85" s="6">
        <f>[1]Results!N1572</f>
        <v>1705033.024</v>
      </c>
      <c r="L85" s="6">
        <f>[1]Results!O1572</f>
        <v>1731961.3259999999</v>
      </c>
      <c r="M85" s="6">
        <f>[1]Results!P1572</f>
        <v>1761370.497</v>
      </c>
      <c r="N85" s="6">
        <f>[1]Results!Q1572</f>
        <v>1789801.183</v>
      </c>
      <c r="O85" s="6">
        <f>[1]Results!R1572</f>
        <v>1818562.7949999999</v>
      </c>
      <c r="P85" s="6">
        <f>[1]Results!S1572</f>
        <v>1847650.8489999999</v>
      </c>
      <c r="Q85" s="6">
        <f>[1]Results!T1572</f>
        <v>1877062.3419999999</v>
      </c>
      <c r="R85" s="6">
        <f>[1]Results!U1572</f>
        <v>1906801.443</v>
      </c>
      <c r="S85" s="6">
        <f>[1]Results!V1572</f>
        <v>1936878.977</v>
      </c>
      <c r="T85" s="6">
        <f>[1]Results!W1572</f>
        <v>1967310.2450000001</v>
      </c>
      <c r="U85" s="6">
        <f>[1]Results!X1572</f>
        <v>1998112.82</v>
      </c>
      <c r="V85" s="6">
        <f>[1]Results!Y1572</f>
        <v>2029304.8870000001</v>
      </c>
      <c r="W85" s="6">
        <f>[1]Results!Z1572</f>
        <v>2059429.1640000001</v>
      </c>
      <c r="X85" s="6">
        <f>[1]Results!AA1572</f>
        <v>2091056.0009999999</v>
      </c>
      <c r="Y85" s="6">
        <f>[1]Results!AB1572</f>
        <v>2123211.2420000001</v>
      </c>
      <c r="Z85" s="6">
        <f>[1]Results!AC1572</f>
        <v>2155898.4589999998</v>
      </c>
      <c r="AA85" s="6">
        <f>[1]Results!AD1572</f>
        <v>2189122.0630000001</v>
      </c>
      <c r="AB85" s="6">
        <f>[1]Results!AE1572</f>
        <v>2218614.2740000002</v>
      </c>
      <c r="AC85" s="6">
        <f>[1]Results!AF1572</f>
        <v>2249735.5299999998</v>
      </c>
      <c r="AD85" s="6">
        <f>[1]Results!AG1572</f>
        <v>2281077.2149999999</v>
      </c>
      <c r="AE85" s="6">
        <f>[1]Results!AH1572</f>
        <v>2312721.548</v>
      </c>
      <c r="AF85" s="6">
        <f>[1]Results!AI1572</f>
        <v>2344742.344</v>
      </c>
      <c r="AG85" s="6">
        <f>[1]Results!AJ1572</f>
        <v>2377197.523</v>
      </c>
      <c r="AH85" s="6">
        <f>[1]Results!AK1572</f>
        <v>2410128.335</v>
      </c>
      <c r="AI85" s="6">
        <f>[1]Results!AL1572</f>
        <v>2443561.5129999998</v>
      </c>
      <c r="AJ85" s="6">
        <f>[1]Results!AM1572</f>
        <v>2477512.5759999999</v>
      </c>
      <c r="AK85" s="6">
        <f>[1]Results!AN1572</f>
        <v>2511989.2379999999</v>
      </c>
      <c r="AL85" s="6">
        <f>[1]Results!AO1572</f>
        <v>2546994.3829999999</v>
      </c>
      <c r="AM85" s="6">
        <f>[1]Results!AP1572</f>
        <v>2581490.7850000001</v>
      </c>
      <c r="AN85" s="6">
        <f>[1]Results!AQ1572</f>
        <v>2616224.2459999998</v>
      </c>
      <c r="AO85" s="6">
        <f>[1]Results!AR1572</f>
        <v>2651253.4500000002</v>
      </c>
      <c r="AP85" s="6">
        <f>[1]Results!AS1572</f>
        <v>2686630.4210000001</v>
      </c>
      <c r="AQ85" s="6">
        <f>[1]Results!AT1572</f>
        <v>2722401.736</v>
      </c>
      <c r="AR85" s="6">
        <f>[1]Results!AU1572</f>
        <v>2758607.3319999999</v>
      </c>
      <c r="AS85" s="6">
        <f>[1]Results!AV1572</f>
        <v>2795279.662</v>
      </c>
      <c r="AT85" s="6">
        <f>[1]Results!AW1572</f>
        <v>2832443.77</v>
      </c>
      <c r="AU85" s="6">
        <f>[1]Results!AX1572</f>
        <v>2870118.1979999999</v>
      </c>
      <c r="AV85" s="6">
        <f>[1]Results!AY1572</f>
        <v>2908316.429</v>
      </c>
      <c r="AW85" s="6">
        <f>[1]Results!AZ1572</f>
        <v>2947143.1979999999</v>
      </c>
      <c r="AX85" s="6">
        <f>[1]Results!BA1572</f>
        <v>2986539.7450000001</v>
      </c>
      <c r="AY85" s="6">
        <f>[1]Results!BB1572</f>
        <v>3026507.8509999998</v>
      </c>
      <c r="AZ85" s="6">
        <f>[1]Results!BC1572</f>
        <v>3067045.4610000001</v>
      </c>
      <c r="BA85" s="6">
        <f>[1]Results!BD1572</f>
        <v>3108151.25</v>
      </c>
      <c r="BB85" s="6">
        <f>[1]Results!BE1572</f>
        <v>3149826.42</v>
      </c>
      <c r="BC85" s="6">
        <f>[1]Results!BF1572</f>
        <v>3192074.4819999998</v>
      </c>
      <c r="BD85" s="6">
        <f>[1]Results!BG1572</f>
        <v>3234900.736</v>
      </c>
      <c r="BE85" s="6">
        <f>[1]Results!BH1572</f>
        <v>3278311.8259999999</v>
      </c>
      <c r="BF85" s="6">
        <f>[1]Results!BI1572</f>
        <v>3322315.398</v>
      </c>
    </row>
    <row r="86" spans="1:58" x14ac:dyDescent="0.35">
      <c r="B86" t="s">
        <v>29</v>
      </c>
      <c r="C86" s="6">
        <f>C91-C87</f>
        <v>-1911.7610999000001</v>
      </c>
      <c r="D86" s="6">
        <f t="shared" ref="D86:AL86" si="50">D91-D87</f>
        <v>-1937.8083084999998</v>
      </c>
      <c r="E86" s="6">
        <f t="shared" si="50"/>
        <v>-1945.1410826999997</v>
      </c>
      <c r="F86" s="6">
        <f t="shared" si="50"/>
        <v>-1949.3072787999999</v>
      </c>
      <c r="G86" s="6">
        <f t="shared" si="50"/>
        <v>-1956.0428769</v>
      </c>
      <c r="H86" s="6">
        <f t="shared" si="50"/>
        <v>-1966.5749421</v>
      </c>
      <c r="I86" s="6">
        <f t="shared" si="50"/>
        <v>-1981.7048743999999</v>
      </c>
      <c r="J86" s="6">
        <f t="shared" si="50"/>
        <v>-1997.8767921000003</v>
      </c>
      <c r="K86" s="6">
        <f t="shared" si="50"/>
        <v>-2015.5925566000001</v>
      </c>
      <c r="L86" s="6">
        <f t="shared" si="50"/>
        <v>-2034.504696</v>
      </c>
      <c r="M86" s="6">
        <f t="shared" si="50"/>
        <v>-2052.4776622999998</v>
      </c>
      <c r="N86" s="6">
        <f t="shared" si="50"/>
        <v>-2075.8932869</v>
      </c>
      <c r="O86" s="6">
        <f t="shared" si="50"/>
        <v>-2097.3377069000003</v>
      </c>
      <c r="P86" s="6">
        <f t="shared" si="50"/>
        <v>-2118.4962128000002</v>
      </c>
      <c r="Q86" s="6">
        <f t="shared" si="50"/>
        <v>-2139.7212123999998</v>
      </c>
      <c r="R86" s="6">
        <f t="shared" si="50"/>
        <v>-2161.0689757999999</v>
      </c>
      <c r="S86" s="6">
        <f t="shared" si="50"/>
        <v>-2182.5472877000002</v>
      </c>
      <c r="T86" s="6">
        <f t="shared" si="50"/>
        <v>-2204.1634045000001</v>
      </c>
      <c r="U86" s="6">
        <f t="shared" si="50"/>
        <v>-2225.9298851000003</v>
      </c>
      <c r="V86" s="6">
        <f t="shared" si="50"/>
        <v>-2247.8629556999999</v>
      </c>
      <c r="W86" s="6">
        <f t="shared" si="50"/>
        <v>-2271.2612884</v>
      </c>
      <c r="X86" s="6">
        <f t="shared" si="50"/>
        <v>-2291.2304703999998</v>
      </c>
      <c r="Y86" s="6">
        <f t="shared" si="50"/>
        <v>-2313.1511213999997</v>
      </c>
      <c r="Z86" s="6">
        <f t="shared" si="50"/>
        <v>-2335.71128</v>
      </c>
      <c r="AA86" s="6">
        <f t="shared" si="50"/>
        <v>-2358.6263257999999</v>
      </c>
      <c r="AB86" s="6">
        <f t="shared" si="50"/>
        <v>-2385.5330574999998</v>
      </c>
      <c r="AC86" s="6">
        <f t="shared" si="50"/>
        <v>-2404.0295341999999</v>
      </c>
      <c r="AD86" s="6">
        <f t="shared" si="50"/>
        <v>-2424.6471015999996</v>
      </c>
      <c r="AE86" s="6">
        <f t="shared" si="50"/>
        <v>-2445.8830154000002</v>
      </c>
      <c r="AF86" s="6">
        <f t="shared" si="50"/>
        <v>-2467.4228896000004</v>
      </c>
      <c r="AG86" s="6">
        <f t="shared" si="50"/>
        <v>-2489.2351638</v>
      </c>
      <c r="AH86" s="6">
        <f t="shared" si="50"/>
        <v>-2511.341547</v>
      </c>
      <c r="AI86" s="6">
        <f t="shared" si="50"/>
        <v>-2533.7667678000003</v>
      </c>
      <c r="AJ86" s="6">
        <f t="shared" si="50"/>
        <v>-2556.528088</v>
      </c>
      <c r="AK86" s="6">
        <f t="shared" si="50"/>
        <v>-2579.6345769</v>
      </c>
      <c r="AL86" s="6">
        <f t="shared" si="50"/>
        <v>-2603.0888279999999</v>
      </c>
      <c r="AM86" s="6">
        <f t="shared" ref="AM86:BC86" si="51">AM91-AM87</f>
        <v>-2627.7749457999998</v>
      </c>
      <c r="AN86" s="6">
        <f t="shared" si="51"/>
        <v>-2651.1726802000003</v>
      </c>
      <c r="AO86" s="6">
        <f t="shared" si="51"/>
        <v>-2674.4750694999998</v>
      </c>
      <c r="AP86" s="6">
        <f t="shared" si="51"/>
        <v>-2697.9539113000001</v>
      </c>
      <c r="AQ86" s="6">
        <f t="shared" si="51"/>
        <v>-2721.6758421</v>
      </c>
      <c r="AR86" s="6">
        <f t="shared" si="51"/>
        <v>-2745.6675030999995</v>
      </c>
      <c r="AS86" s="6">
        <f t="shared" si="51"/>
        <v>-2769.9475281999999</v>
      </c>
      <c r="AT86" s="6">
        <f t="shared" si="51"/>
        <v>-2794.5311200000001</v>
      </c>
      <c r="AU86" s="6">
        <f t="shared" si="51"/>
        <v>-2819.4301715000001</v>
      </c>
      <c r="AV86" s="6">
        <f t="shared" si="51"/>
        <v>-2844.6536305999998</v>
      </c>
      <c r="AW86" s="6">
        <f t="shared" si="51"/>
        <v>-2870.1309857000001</v>
      </c>
      <c r="AX86" s="6">
        <f t="shared" si="51"/>
        <v>-2896.0948567000005</v>
      </c>
      <c r="AY86" s="6">
        <f t="shared" si="51"/>
        <v>-2922.4614956999999</v>
      </c>
      <c r="AZ86" s="6">
        <f t="shared" si="51"/>
        <v>-2949.1352876999999</v>
      </c>
      <c r="BA86" s="6">
        <f t="shared" si="51"/>
        <v>-2976.1138366999999</v>
      </c>
      <c r="BB86" s="6">
        <f t="shared" si="51"/>
        <v>-3003.4238067000001</v>
      </c>
      <c r="BC86" s="6">
        <f t="shared" si="51"/>
        <v>-3031.0789637000003</v>
      </c>
      <c r="BD86" s="6">
        <f t="shared" ref="BD86:BF86" si="52">BD91-BD87</f>
        <v>-3059.0806387000002</v>
      </c>
      <c r="BE86" s="6">
        <f t="shared" si="52"/>
        <v>-3087.4257616999998</v>
      </c>
      <c r="BF86" s="6">
        <f t="shared" si="52"/>
        <v>-3116.1118197000001</v>
      </c>
    </row>
    <row r="87" spans="1:58" x14ac:dyDescent="0.35">
      <c r="B87" t="s">
        <v>36</v>
      </c>
      <c r="C87" s="6">
        <f>C89+C90</f>
        <v>-117.46611710000002</v>
      </c>
      <c r="D87" s="6">
        <f t="shared" ref="D87:AL87" si="53">D89+D90</f>
        <v>-123.54243150000002</v>
      </c>
      <c r="E87" s="6">
        <f t="shared" si="53"/>
        <v>-126.42182230000003</v>
      </c>
      <c r="F87" s="6">
        <f t="shared" si="53"/>
        <v>-129.25291319999997</v>
      </c>
      <c r="G87" s="6">
        <f t="shared" si="53"/>
        <v>-133.22138210000003</v>
      </c>
      <c r="H87" s="6">
        <f t="shared" si="53"/>
        <v>-138.51487589999999</v>
      </c>
      <c r="I87" s="6">
        <f t="shared" si="53"/>
        <v>-144.81515460000003</v>
      </c>
      <c r="J87" s="6">
        <f t="shared" si="53"/>
        <v>-151.72354989999997</v>
      </c>
      <c r="K87" s="6">
        <f t="shared" si="53"/>
        <v>-159.16201039999999</v>
      </c>
      <c r="L87" s="6">
        <f t="shared" si="53"/>
        <v>-166.99156700000003</v>
      </c>
      <c r="M87" s="6">
        <f t="shared" si="53"/>
        <v>-175.32329570000002</v>
      </c>
      <c r="N87" s="6">
        <f t="shared" si="53"/>
        <v>-184.09289709999996</v>
      </c>
      <c r="O87" s="6">
        <f t="shared" si="53"/>
        <v>-192.74878309999997</v>
      </c>
      <c r="P87" s="6">
        <f t="shared" si="53"/>
        <v>-201.47301719999996</v>
      </c>
      <c r="Q87" s="6">
        <f t="shared" si="53"/>
        <v>-210.2829246</v>
      </c>
      <c r="R87" s="6">
        <f t="shared" si="53"/>
        <v>-219.17169219999994</v>
      </c>
      <c r="S87" s="6">
        <f t="shared" si="53"/>
        <v>-228.1329303</v>
      </c>
      <c r="T87" s="6">
        <f t="shared" si="53"/>
        <v>-237.16366549999998</v>
      </c>
      <c r="U87" s="6">
        <f t="shared" si="53"/>
        <v>-246.26372289999995</v>
      </c>
      <c r="V87" s="6">
        <f t="shared" si="53"/>
        <v>-255.4348013</v>
      </c>
      <c r="W87" s="6">
        <f t="shared" si="53"/>
        <v>-264.51644659999999</v>
      </c>
      <c r="X87" s="6">
        <f t="shared" si="53"/>
        <v>-273.50760760000003</v>
      </c>
      <c r="Y87" s="6">
        <f t="shared" si="53"/>
        <v>-282.78706060000002</v>
      </c>
      <c r="Z87" s="6">
        <f t="shared" si="53"/>
        <v>-292.20031599999993</v>
      </c>
      <c r="AA87" s="6">
        <f t="shared" si="53"/>
        <v>-301.72368519999998</v>
      </c>
      <c r="AB87" s="6">
        <f t="shared" si="53"/>
        <v>-310.88442850000001</v>
      </c>
      <c r="AC87" s="6">
        <f t="shared" si="53"/>
        <v>-319.44954480000001</v>
      </c>
      <c r="AD87" s="6">
        <f t="shared" si="53"/>
        <v>-328.27121039999997</v>
      </c>
      <c r="AE87" s="6">
        <f t="shared" si="53"/>
        <v>-337.17015159999994</v>
      </c>
      <c r="AF87" s="6">
        <f t="shared" si="53"/>
        <v>-346.13092540000002</v>
      </c>
      <c r="AG87" s="6">
        <f t="shared" si="53"/>
        <v>-355.16673819999994</v>
      </c>
      <c r="AH87" s="6">
        <f t="shared" si="53"/>
        <v>-364.292957</v>
      </c>
      <c r="AI87" s="6">
        <f t="shared" si="53"/>
        <v>-373.52210019999995</v>
      </c>
      <c r="AJ87" s="6">
        <f t="shared" si="53"/>
        <v>-382.86329999999998</v>
      </c>
      <c r="AK87" s="6">
        <f t="shared" si="53"/>
        <v>-392.32277809999994</v>
      </c>
      <c r="AL87" s="6">
        <f t="shared" si="53"/>
        <v>-401.90453300000001</v>
      </c>
      <c r="AM87" s="6">
        <f t="shared" ref="AM87:BC87" si="54">AM89+AM90</f>
        <v>-411.49695919999999</v>
      </c>
      <c r="AN87" s="6">
        <f t="shared" si="54"/>
        <v>-420.98402379999993</v>
      </c>
      <c r="AO87" s="6">
        <f t="shared" si="54"/>
        <v>-430.50996350000003</v>
      </c>
      <c r="AP87" s="6">
        <f t="shared" si="54"/>
        <v>-440.10821269999997</v>
      </c>
      <c r="AQ87" s="6">
        <f t="shared" si="54"/>
        <v>-449.79252789999998</v>
      </c>
      <c r="AR87" s="6">
        <f t="shared" si="54"/>
        <v>-459.57308390000003</v>
      </c>
      <c r="AS87" s="6">
        <f t="shared" si="54"/>
        <v>-469.4586918</v>
      </c>
      <c r="AT87" s="6">
        <f t="shared" si="54"/>
        <v>-479.45678499999997</v>
      </c>
      <c r="AU87" s="6">
        <f t="shared" si="54"/>
        <v>-489.57329149999998</v>
      </c>
      <c r="AV87" s="6">
        <f t="shared" si="54"/>
        <v>-499.81268139999997</v>
      </c>
      <c r="AW87" s="6">
        <f t="shared" si="54"/>
        <v>-510.18842429999995</v>
      </c>
      <c r="AX87" s="6">
        <f t="shared" si="54"/>
        <v>-520.71324329999993</v>
      </c>
      <c r="AY87" s="6">
        <f t="shared" si="54"/>
        <v>-531.37564129999998</v>
      </c>
      <c r="AZ87" s="6">
        <f t="shared" si="54"/>
        <v>-542.17391029999987</v>
      </c>
      <c r="BA87" s="6">
        <f t="shared" si="54"/>
        <v>-553.10809830000005</v>
      </c>
      <c r="BB87" s="6">
        <f t="shared" si="54"/>
        <v>-564.17837429999997</v>
      </c>
      <c r="BC87" s="6">
        <f t="shared" si="54"/>
        <v>-575.38485129999992</v>
      </c>
      <c r="BD87" s="6">
        <f t="shared" ref="BD87:BF87" si="55">BD89+BD90</f>
        <v>-586.72773629999995</v>
      </c>
      <c r="BE87" s="6">
        <f t="shared" si="55"/>
        <v>-598.20745629999999</v>
      </c>
      <c r="BF87" s="6">
        <f t="shared" si="55"/>
        <v>-609.82469230000004</v>
      </c>
    </row>
    <row r="88" spans="1:58" x14ac:dyDescent="0.35">
      <c r="B88" t="s">
        <v>33</v>
      </c>
      <c r="C88" s="6">
        <f>[1]Results!F1580</f>
        <v>40630.107230000001</v>
      </c>
      <c r="D88" s="6">
        <f>[1]Results!G1580</f>
        <v>40928.329590000001</v>
      </c>
      <c r="E88" s="6">
        <f>[1]Results!H1580</f>
        <v>41196.521780000003</v>
      </c>
      <c r="F88" s="6">
        <f>[1]Results!I1580</f>
        <v>41474.059399999998</v>
      </c>
      <c r="G88" s="6">
        <f>[1]Results!J1580</f>
        <v>41773.763559999999</v>
      </c>
      <c r="H88" s="6">
        <f>[1]Results!K1580</f>
        <v>42102.436009999998</v>
      </c>
      <c r="I88" s="6">
        <f>[1]Results!L1580</f>
        <v>42437.970869999997</v>
      </c>
      <c r="J88" s="6">
        <f>[1]Results!M1580</f>
        <v>42791.233269999997</v>
      </c>
      <c r="K88" s="6">
        <f>[1]Results!N1580</f>
        <v>43159.62934</v>
      </c>
      <c r="L88" s="6">
        <f>[1]Results!O1580</f>
        <v>43539.238169999997</v>
      </c>
      <c r="M88" s="6">
        <f>[1]Results!P1580</f>
        <v>43966.565150000002</v>
      </c>
      <c r="N88" s="6">
        <f>[1]Results!Q1580</f>
        <v>44373.52319</v>
      </c>
      <c r="O88" s="6">
        <f>[1]Results!R1580</f>
        <v>44779.395409999997</v>
      </c>
      <c r="P88" s="6">
        <f>[1]Results!S1580</f>
        <v>45186.365550000002</v>
      </c>
      <c r="Q88" s="6">
        <f>[1]Results!T1580</f>
        <v>45594.950689999998</v>
      </c>
      <c r="R88" s="6">
        <f>[1]Results!U1580</f>
        <v>46005.49742</v>
      </c>
      <c r="S88" s="6">
        <f>[1]Results!V1580</f>
        <v>46418.442320000002</v>
      </c>
      <c r="T88" s="6">
        <f>[1]Results!W1580</f>
        <v>46834.344369999999</v>
      </c>
      <c r="U88" s="6">
        <f>[1]Results!X1580</f>
        <v>47253.86346</v>
      </c>
      <c r="V88" s="6">
        <f>[1]Results!Y1580</f>
        <v>47677.725429999999</v>
      </c>
      <c r="W88" s="6">
        <f>[1]Results!Z1580</f>
        <v>48078.02781</v>
      </c>
      <c r="X88" s="6">
        <f>[1]Results!AA1580</f>
        <v>48503.288030000003</v>
      </c>
      <c r="Y88" s="6">
        <f>[1]Results!AB1580</f>
        <v>48939.209049999998</v>
      </c>
      <c r="Z88" s="6">
        <f>[1]Results!AC1580</f>
        <v>49384.386899999998</v>
      </c>
      <c r="AA88" s="6">
        <f>[1]Results!AD1580</f>
        <v>49838.823909999999</v>
      </c>
      <c r="AB88" s="6">
        <f>[1]Results!AE1580</f>
        <v>50221.084739999998</v>
      </c>
      <c r="AC88" s="6">
        <f>[1]Results!AF1580</f>
        <v>50628.87429</v>
      </c>
      <c r="AD88" s="6">
        <f>[1]Results!AG1580</f>
        <v>51044.867890000001</v>
      </c>
      <c r="AE88" s="6">
        <f>[1]Results!AH1580</f>
        <v>51468.672859999999</v>
      </c>
      <c r="AF88" s="6">
        <f>[1]Results!AI1580</f>
        <v>51901.228730000003</v>
      </c>
      <c r="AG88" s="6">
        <f>[1]Results!AJ1580</f>
        <v>52343.490030000001</v>
      </c>
      <c r="AH88" s="6">
        <f>[1]Results!AK1580</f>
        <v>52796.19399</v>
      </c>
      <c r="AI88" s="6">
        <f>[1]Results!AL1580</f>
        <v>53259.831299999998</v>
      </c>
      <c r="AJ88" s="6">
        <f>[1]Results!AM1580</f>
        <v>53734.669439999998</v>
      </c>
      <c r="AK88" s="6">
        <f>[1]Results!AN1580</f>
        <v>54220.794549999999</v>
      </c>
      <c r="AL88" s="6">
        <f>[1]Results!AO1580</f>
        <v>54718.158179999999</v>
      </c>
      <c r="AM88" s="6">
        <f>[1]Results!AP1580</f>
        <v>55207.338190000002</v>
      </c>
      <c r="AN88" s="6">
        <f>[1]Results!AQ1580</f>
        <v>55700.825270000001</v>
      </c>
      <c r="AO88" s="6">
        <f>[1]Results!AR1580</f>
        <v>56201.013279999999</v>
      </c>
      <c r="AP88" s="6">
        <f>[1]Results!AS1580</f>
        <v>56708.965539999997</v>
      </c>
      <c r="AQ88" s="6">
        <f>[1]Results!AT1580</f>
        <v>57225.376080000002</v>
      </c>
      <c r="AR88" s="6">
        <f>[1]Results!AU1580</f>
        <v>57750.763039999998</v>
      </c>
      <c r="AS88" s="6">
        <f>[1]Results!AV1580</f>
        <v>58285.520080000002</v>
      </c>
      <c r="AT88" s="6">
        <f>[1]Results!AW1580</f>
        <v>58829.94528</v>
      </c>
      <c r="AU88" s="6">
        <f>[1]Results!AX1580</f>
        <v>59384.238669999999</v>
      </c>
      <c r="AV88" s="6">
        <f>[1]Results!AY1580</f>
        <v>59948.457459999998</v>
      </c>
      <c r="AW88" s="6">
        <f>[1]Results!AZ1580</f>
        <v>60523.928979999997</v>
      </c>
      <c r="AX88" s="6">
        <f>[1]Results!BA1580</f>
        <v>61107.297850000003</v>
      </c>
      <c r="AY88" s="6">
        <f>[1]Results!BB1580</f>
        <v>61697.558680000002</v>
      </c>
      <c r="AZ88" s="6">
        <f>[1]Results!BC1580</f>
        <v>62296.29178</v>
      </c>
      <c r="BA88" s="6">
        <f>[1]Results!BD1580</f>
        <v>62904.914019999997</v>
      </c>
      <c r="BB88" s="6">
        <f>[1]Results!BE1580</f>
        <v>63523.90148</v>
      </c>
      <c r="BC88" s="6">
        <f>[1]Results!BF1580</f>
        <v>64153.185389999999</v>
      </c>
      <c r="BD88" s="6">
        <f>[1]Results!BG1580</f>
        <v>64792.548999999999</v>
      </c>
      <c r="BE88" s="6">
        <f>[1]Results!BH1580</f>
        <v>65441.828399999999</v>
      </c>
      <c r="BF88" s="6">
        <f>[1]Results!BI1580</f>
        <v>66100.972569999998</v>
      </c>
    </row>
    <row r="89" spans="1:58" x14ac:dyDescent="0.35">
      <c r="B89" t="s">
        <v>35</v>
      </c>
      <c r="C89" s="6">
        <f>[1]Results!F1577</f>
        <v>-613.16616880000004</v>
      </c>
      <c r="D89" s="6">
        <f>[1]Results!G1577</f>
        <v>-619.24248320000004</v>
      </c>
      <c r="E89" s="6">
        <f>[1]Results!H1577</f>
        <v>-622.12187400000005</v>
      </c>
      <c r="F89" s="6">
        <f>[1]Results!I1577</f>
        <v>-624.95296489999998</v>
      </c>
      <c r="G89" s="6">
        <f>[1]Results!J1577</f>
        <v>-628.92143380000005</v>
      </c>
      <c r="H89" s="6">
        <f>[1]Results!K1577</f>
        <v>-634.21492760000001</v>
      </c>
      <c r="I89" s="6">
        <f>[1]Results!L1577</f>
        <v>-640.51520630000005</v>
      </c>
      <c r="J89" s="6">
        <f>[1]Results!M1577</f>
        <v>-647.42360159999998</v>
      </c>
      <c r="K89" s="6">
        <f>[1]Results!N1577</f>
        <v>-654.8620621</v>
      </c>
      <c r="L89" s="6">
        <f>[1]Results!O1577</f>
        <v>-662.69161870000005</v>
      </c>
      <c r="M89" s="6">
        <f>[1]Results!P1577</f>
        <v>-671.02334740000003</v>
      </c>
      <c r="N89" s="6">
        <f>[1]Results!Q1577</f>
        <v>-679.79294879999998</v>
      </c>
      <c r="O89" s="6">
        <f>[1]Results!R1577</f>
        <v>-688.44883479999999</v>
      </c>
      <c r="P89" s="6">
        <f>[1]Results!S1577</f>
        <v>-697.17306889999998</v>
      </c>
      <c r="Q89" s="6">
        <f>[1]Results!T1577</f>
        <v>-705.98297630000002</v>
      </c>
      <c r="R89" s="6">
        <f>[1]Results!U1577</f>
        <v>-714.87174389999996</v>
      </c>
      <c r="S89" s="6">
        <f>[1]Results!V1577</f>
        <v>-723.83298200000002</v>
      </c>
      <c r="T89" s="6">
        <f>[1]Results!W1577</f>
        <v>-732.8637172</v>
      </c>
      <c r="U89" s="6">
        <f>[1]Results!X1577</f>
        <v>-741.96377459999997</v>
      </c>
      <c r="V89" s="6">
        <f>[1]Results!Y1577</f>
        <v>-751.13485300000002</v>
      </c>
      <c r="W89" s="6">
        <f>[1]Results!Z1577</f>
        <v>-760.21649830000001</v>
      </c>
      <c r="X89" s="6">
        <f>[1]Results!AA1577</f>
        <v>-769.20765930000005</v>
      </c>
      <c r="Y89" s="6">
        <f>[1]Results!AB1577</f>
        <v>-778.48711230000004</v>
      </c>
      <c r="Z89" s="6">
        <f>[1]Results!AC1577</f>
        <v>-787.90036769999995</v>
      </c>
      <c r="AA89" s="6">
        <f>[1]Results!AD1577</f>
        <v>-797.42373689999999</v>
      </c>
      <c r="AB89" s="6">
        <f>[1]Results!AE1577</f>
        <v>-806.58448020000003</v>
      </c>
      <c r="AC89" s="6">
        <f>[1]Results!AF1577</f>
        <v>-815.14959650000003</v>
      </c>
      <c r="AD89" s="6">
        <f>[1]Results!AG1577</f>
        <v>-823.97126209999999</v>
      </c>
      <c r="AE89" s="6">
        <f>[1]Results!AH1577</f>
        <v>-832.87020329999996</v>
      </c>
      <c r="AF89" s="6">
        <f>[1]Results!AI1577</f>
        <v>-841.83097710000004</v>
      </c>
      <c r="AG89" s="6">
        <f>[1]Results!AJ1577</f>
        <v>-850.86678989999996</v>
      </c>
      <c r="AH89" s="6">
        <f>[1]Results!AK1577</f>
        <v>-859.99300870000002</v>
      </c>
      <c r="AI89" s="6">
        <f>[1]Results!AL1577</f>
        <v>-869.22215189999997</v>
      </c>
      <c r="AJ89" s="6">
        <f>[1]Results!AM1577</f>
        <v>-878.5633517</v>
      </c>
      <c r="AK89" s="6">
        <f>[1]Results!AN1577</f>
        <v>-888.02282979999995</v>
      </c>
      <c r="AL89" s="6">
        <f>[1]Results!AO1577</f>
        <v>-897.60458470000003</v>
      </c>
      <c r="AM89" s="6">
        <f>[1]Results!AP1577</f>
        <v>-907.19701090000001</v>
      </c>
      <c r="AN89" s="6">
        <f>[1]Results!AQ1577</f>
        <v>-916.68407549999995</v>
      </c>
      <c r="AO89" s="6">
        <f>[1]Results!AR1577</f>
        <v>-926.21001520000004</v>
      </c>
      <c r="AP89" s="6">
        <f>[1]Results!AS1577</f>
        <v>-935.80826439999998</v>
      </c>
      <c r="AQ89" s="6">
        <f>[1]Results!AT1577</f>
        <v>-945.4925796</v>
      </c>
      <c r="AR89" s="6">
        <f>[1]Results!AU1577</f>
        <v>-955.27313560000005</v>
      </c>
      <c r="AS89" s="6">
        <f>[1]Results!AV1577</f>
        <v>-965.15874350000001</v>
      </c>
      <c r="AT89" s="6">
        <f>[1]Results!AW1577</f>
        <v>-975.15683669999999</v>
      </c>
      <c r="AU89" s="6">
        <f>[1]Results!AX1577</f>
        <v>-985.2733432</v>
      </c>
      <c r="AV89" s="6">
        <f>[1]Results!AY1577</f>
        <v>-995.51273309999999</v>
      </c>
      <c r="AW89" s="6">
        <f>[1]Results!AZ1577</f>
        <v>-1005.888476</v>
      </c>
      <c r="AX89" s="6">
        <f>[1]Results!BA1577</f>
        <v>-1016.4132949999999</v>
      </c>
      <c r="AY89" s="6">
        <f>[1]Results!BB1577</f>
        <v>-1027.075693</v>
      </c>
      <c r="AZ89" s="6">
        <f>[1]Results!BC1577</f>
        <v>-1037.8739619999999</v>
      </c>
      <c r="BA89" s="6">
        <f>[1]Results!BD1577</f>
        <v>-1048.8081500000001</v>
      </c>
      <c r="BB89" s="6">
        <f>[1]Results!BE1577</f>
        <v>-1059.878426</v>
      </c>
      <c r="BC89" s="6">
        <f>[1]Results!BF1577</f>
        <v>-1071.0849029999999</v>
      </c>
      <c r="BD89" s="6">
        <f>[1]Results!BG1577</f>
        <v>-1082.427788</v>
      </c>
      <c r="BE89" s="6">
        <f>[1]Results!BH1577</f>
        <v>-1093.907508</v>
      </c>
      <c r="BF89" s="6">
        <f>[1]Results!BI1577</f>
        <v>-1105.5247440000001</v>
      </c>
    </row>
    <row r="90" spans="1:58" x14ac:dyDescent="0.35">
      <c r="B90" t="s">
        <v>34</v>
      </c>
      <c r="C90" s="6">
        <f>[1]Results!$F1579</f>
        <v>495.70005170000002</v>
      </c>
      <c r="D90" s="6">
        <f>[1]Results!$F1579</f>
        <v>495.70005170000002</v>
      </c>
      <c r="E90" s="6">
        <f>[1]Results!$F1579</f>
        <v>495.70005170000002</v>
      </c>
      <c r="F90" s="6">
        <f>[1]Results!$F1579</f>
        <v>495.70005170000002</v>
      </c>
      <c r="G90" s="6">
        <f>[1]Results!$F1579</f>
        <v>495.70005170000002</v>
      </c>
      <c r="H90" s="6">
        <f>[1]Results!$F1579</f>
        <v>495.70005170000002</v>
      </c>
      <c r="I90" s="6">
        <f>[1]Results!$F1579</f>
        <v>495.70005170000002</v>
      </c>
      <c r="J90" s="6">
        <f>[1]Results!$F1579</f>
        <v>495.70005170000002</v>
      </c>
      <c r="K90" s="6">
        <f>[1]Results!$F1579</f>
        <v>495.70005170000002</v>
      </c>
      <c r="L90" s="6">
        <f>[1]Results!$F1579</f>
        <v>495.70005170000002</v>
      </c>
      <c r="M90" s="6">
        <f>[1]Results!$F1579</f>
        <v>495.70005170000002</v>
      </c>
      <c r="N90" s="6">
        <f>[1]Results!$F1579</f>
        <v>495.70005170000002</v>
      </c>
      <c r="O90" s="6">
        <f>[1]Results!$F1579</f>
        <v>495.70005170000002</v>
      </c>
      <c r="P90" s="6">
        <f>[1]Results!$F1579</f>
        <v>495.70005170000002</v>
      </c>
      <c r="Q90" s="6">
        <f>[1]Results!$F1579</f>
        <v>495.70005170000002</v>
      </c>
      <c r="R90" s="6">
        <f>[1]Results!$F1579</f>
        <v>495.70005170000002</v>
      </c>
      <c r="S90" s="6">
        <f>[1]Results!$F1579</f>
        <v>495.70005170000002</v>
      </c>
      <c r="T90" s="6">
        <f>[1]Results!$F1579</f>
        <v>495.70005170000002</v>
      </c>
      <c r="U90" s="6">
        <f>[1]Results!$F1579</f>
        <v>495.70005170000002</v>
      </c>
      <c r="V90" s="6">
        <f>[1]Results!$F1579</f>
        <v>495.70005170000002</v>
      </c>
      <c r="W90" s="6">
        <f>[1]Results!$F1579</f>
        <v>495.70005170000002</v>
      </c>
      <c r="X90" s="6">
        <f>[1]Results!$F1579</f>
        <v>495.70005170000002</v>
      </c>
      <c r="Y90" s="6">
        <f>[1]Results!$F1579</f>
        <v>495.70005170000002</v>
      </c>
      <c r="Z90" s="6">
        <f>[1]Results!$F1579</f>
        <v>495.70005170000002</v>
      </c>
      <c r="AA90" s="6">
        <f>[1]Results!$F1579</f>
        <v>495.70005170000002</v>
      </c>
      <c r="AB90" s="6">
        <f>[1]Results!$F1579</f>
        <v>495.70005170000002</v>
      </c>
      <c r="AC90" s="6">
        <f>[1]Results!$F1579</f>
        <v>495.70005170000002</v>
      </c>
      <c r="AD90" s="6">
        <f>[1]Results!$F1579</f>
        <v>495.70005170000002</v>
      </c>
      <c r="AE90" s="6">
        <f>[1]Results!$F1579</f>
        <v>495.70005170000002</v>
      </c>
      <c r="AF90" s="6">
        <f>[1]Results!$F1579</f>
        <v>495.70005170000002</v>
      </c>
      <c r="AG90" s="6">
        <f>[1]Results!$F1579</f>
        <v>495.70005170000002</v>
      </c>
      <c r="AH90" s="6">
        <f>[1]Results!$F1579</f>
        <v>495.70005170000002</v>
      </c>
      <c r="AI90" s="6">
        <f>[1]Results!$F1579</f>
        <v>495.70005170000002</v>
      </c>
      <c r="AJ90" s="6">
        <f>[1]Results!$F1579</f>
        <v>495.70005170000002</v>
      </c>
      <c r="AK90" s="6">
        <f>[1]Results!$F1579</f>
        <v>495.70005170000002</v>
      </c>
      <c r="AL90" s="6">
        <f>[1]Results!$F1579</f>
        <v>495.70005170000002</v>
      </c>
      <c r="AM90" s="6">
        <f>[1]Results!$F1579</f>
        <v>495.70005170000002</v>
      </c>
      <c r="AN90" s="6">
        <f>[1]Results!$F1579</f>
        <v>495.70005170000002</v>
      </c>
      <c r="AO90" s="6">
        <f>[1]Results!$F1579</f>
        <v>495.70005170000002</v>
      </c>
      <c r="AP90" s="6">
        <f>[1]Results!$F1579</f>
        <v>495.70005170000002</v>
      </c>
      <c r="AQ90" s="6">
        <f>[1]Results!$F1579</f>
        <v>495.70005170000002</v>
      </c>
      <c r="AR90" s="6">
        <f>[1]Results!$F1579</f>
        <v>495.70005170000002</v>
      </c>
      <c r="AS90" s="6">
        <f>[1]Results!$F1579</f>
        <v>495.70005170000002</v>
      </c>
      <c r="AT90" s="6">
        <f>[1]Results!$F1579</f>
        <v>495.70005170000002</v>
      </c>
      <c r="AU90" s="6">
        <f>[1]Results!$F1579</f>
        <v>495.70005170000002</v>
      </c>
      <c r="AV90" s="6">
        <f>[1]Results!$F1579</f>
        <v>495.70005170000002</v>
      </c>
      <c r="AW90" s="6">
        <f>[1]Results!$F1579</f>
        <v>495.70005170000002</v>
      </c>
      <c r="AX90" s="6">
        <f>[1]Results!$F1579</f>
        <v>495.70005170000002</v>
      </c>
      <c r="AY90" s="6">
        <f>[1]Results!$F1579</f>
        <v>495.70005170000002</v>
      </c>
      <c r="AZ90" s="6">
        <f>[1]Results!$F1579</f>
        <v>495.70005170000002</v>
      </c>
      <c r="BA90" s="6">
        <f>[1]Results!$F1579</f>
        <v>495.70005170000002</v>
      </c>
      <c r="BB90" s="6">
        <f>[1]Results!$F1579</f>
        <v>495.70005170000002</v>
      </c>
      <c r="BC90" s="6">
        <f>[1]Results!$F1579</f>
        <v>495.70005170000002</v>
      </c>
      <c r="BD90" s="6">
        <f>[1]Results!$F1579</f>
        <v>495.70005170000002</v>
      </c>
      <c r="BE90" s="6">
        <f>[1]Results!$F1579</f>
        <v>495.70005170000002</v>
      </c>
      <c r="BF90" s="6">
        <f>[1]Results!$F1579</f>
        <v>495.70005170000002</v>
      </c>
    </row>
    <row r="91" spans="1:58" x14ac:dyDescent="0.35">
      <c r="B91" t="s">
        <v>37</v>
      </c>
      <c r="C91" s="6">
        <f>[1]Results!F1575</f>
        <v>-2029.2272170000001</v>
      </c>
      <c r="D91" s="6">
        <f>[1]Results!G1575</f>
        <v>-2061.3507399999999</v>
      </c>
      <c r="E91" s="6">
        <f>[1]Results!H1575</f>
        <v>-2071.5629049999998</v>
      </c>
      <c r="F91" s="6">
        <f>[1]Results!I1575</f>
        <v>-2078.5601919999999</v>
      </c>
      <c r="G91" s="6">
        <f>[1]Results!J1575</f>
        <v>-2089.264259</v>
      </c>
      <c r="H91" s="6">
        <f>[1]Results!K1575</f>
        <v>-2105.0898179999999</v>
      </c>
      <c r="I91" s="6">
        <f>[1]Results!L1575</f>
        <v>-2126.5200289999998</v>
      </c>
      <c r="J91" s="6">
        <f>[1]Results!M1575</f>
        <v>-2149.6003420000002</v>
      </c>
      <c r="K91" s="6">
        <f>[1]Results!N1575</f>
        <v>-2174.754567</v>
      </c>
      <c r="L91" s="6">
        <f>[1]Results!O1575</f>
        <v>-2201.496263</v>
      </c>
      <c r="M91" s="6">
        <f>[1]Results!P1575</f>
        <v>-2227.8009579999998</v>
      </c>
      <c r="N91" s="6">
        <f>[1]Results!Q1575</f>
        <v>-2259.9861839999999</v>
      </c>
      <c r="O91" s="6">
        <f>[1]Results!R1575</f>
        <v>-2290.0864900000001</v>
      </c>
      <c r="P91" s="6">
        <f>[1]Results!S1575</f>
        <v>-2319.9692300000002</v>
      </c>
      <c r="Q91" s="6">
        <f>[1]Results!T1575</f>
        <v>-2350.0041369999999</v>
      </c>
      <c r="R91" s="6">
        <f>[1]Results!U1575</f>
        <v>-2380.2406679999999</v>
      </c>
      <c r="S91" s="6">
        <f>[1]Results!V1575</f>
        <v>-2410.680218</v>
      </c>
      <c r="T91" s="6">
        <f>[1]Results!W1575</f>
        <v>-2441.3270699999998</v>
      </c>
      <c r="U91" s="6">
        <f>[1]Results!X1575</f>
        <v>-2472.193608</v>
      </c>
      <c r="V91" s="6">
        <f>[1]Results!Y1575</f>
        <v>-2503.2977569999998</v>
      </c>
      <c r="W91" s="6">
        <f>[1]Results!Z1575</f>
        <v>-2535.7777350000001</v>
      </c>
      <c r="X91" s="6">
        <f>[1]Results!AA1575</f>
        <v>-2564.7380779999999</v>
      </c>
      <c r="Y91" s="6">
        <f>[1]Results!AB1575</f>
        <v>-2595.9381819999999</v>
      </c>
      <c r="Z91" s="6">
        <f>[1]Results!AC1575</f>
        <v>-2627.9115959999999</v>
      </c>
      <c r="AA91" s="6">
        <f>[1]Results!AD1575</f>
        <v>-2660.350011</v>
      </c>
      <c r="AB91" s="6">
        <f>[1]Results!AE1575</f>
        <v>-2696.4174859999998</v>
      </c>
      <c r="AC91" s="6">
        <f>[1]Results!AF1575</f>
        <v>-2723.4790790000002</v>
      </c>
      <c r="AD91" s="6">
        <f>[1]Results!AG1575</f>
        <v>-2752.9183119999998</v>
      </c>
      <c r="AE91" s="6">
        <f>[1]Results!AH1575</f>
        <v>-2783.053167</v>
      </c>
      <c r="AF91" s="6">
        <f>[1]Results!AI1575</f>
        <v>-2813.5538150000002</v>
      </c>
      <c r="AG91" s="6">
        <f>[1]Results!AJ1575</f>
        <v>-2844.4019020000001</v>
      </c>
      <c r="AH91" s="6">
        <f>[1]Results!AK1575</f>
        <v>-2875.6345040000001</v>
      </c>
      <c r="AI91" s="6">
        <f>[1]Results!AL1575</f>
        <v>-2907.2888680000001</v>
      </c>
      <c r="AJ91" s="6">
        <f>[1]Results!AM1575</f>
        <v>-2939.391388</v>
      </c>
      <c r="AK91" s="6">
        <f>[1]Results!AN1575</f>
        <v>-2971.957355</v>
      </c>
      <c r="AL91" s="6">
        <f>[1]Results!AO1575</f>
        <v>-3004.9933609999998</v>
      </c>
      <c r="AM91" s="6">
        <f>[1]Results!AP1575</f>
        <v>-3039.2719050000001</v>
      </c>
      <c r="AN91" s="6">
        <f>[1]Results!AQ1575</f>
        <v>-3072.156704</v>
      </c>
      <c r="AO91" s="6">
        <f>[1]Results!AR1575</f>
        <v>-3104.9850329999999</v>
      </c>
      <c r="AP91" s="6">
        <f>[1]Results!AS1575</f>
        <v>-3138.062124</v>
      </c>
      <c r="AQ91" s="6">
        <f>[1]Results!AT1575</f>
        <v>-3171.46837</v>
      </c>
      <c r="AR91" s="6">
        <f>[1]Results!AU1575</f>
        <v>-3205.2405869999998</v>
      </c>
      <c r="AS91" s="6">
        <f>[1]Results!AV1575</f>
        <v>-3239.4062199999998</v>
      </c>
      <c r="AT91" s="6">
        <f>[1]Results!AW1575</f>
        <v>-3273.987905</v>
      </c>
      <c r="AU91" s="6">
        <f>[1]Results!AX1575</f>
        <v>-3309.003463</v>
      </c>
      <c r="AV91" s="6">
        <f>[1]Results!AY1575</f>
        <v>-3344.466312</v>
      </c>
      <c r="AW91" s="6">
        <f>[1]Results!AZ1575</f>
        <v>-3380.3194100000001</v>
      </c>
      <c r="AX91" s="6">
        <f>[1]Results!BA1575</f>
        <v>-3416.8081000000002</v>
      </c>
      <c r="AY91" s="6">
        <f>[1]Results!BB1575</f>
        <v>-3453.837137</v>
      </c>
      <c r="AZ91" s="6">
        <f>[1]Results!BC1575</f>
        <v>-3491.3091979999999</v>
      </c>
      <c r="BA91" s="6">
        <f>[1]Results!BD1575</f>
        <v>-3529.221935</v>
      </c>
      <c r="BB91" s="6">
        <f>[1]Results!BE1575</f>
        <v>-3567.6021810000002</v>
      </c>
      <c r="BC91" s="6">
        <f>[1]Results!BF1575</f>
        <v>-3606.4638150000001</v>
      </c>
      <c r="BD91" s="6">
        <f>[1]Results!BG1575</f>
        <v>-3645.8083750000001</v>
      </c>
      <c r="BE91" s="6">
        <f>[1]Results!BH1575</f>
        <v>-3685.6332179999999</v>
      </c>
      <c r="BF91" s="6">
        <f>[1]Results!BI1575</f>
        <v>-3725.9365120000002</v>
      </c>
    </row>
    <row r="93" spans="1:58" x14ac:dyDescent="0.35">
      <c r="A93" t="s">
        <v>39</v>
      </c>
      <c r="B93" t="s">
        <v>13</v>
      </c>
      <c r="C93" s="6">
        <f>[1]Results!F1512</f>
        <v>1934505.389</v>
      </c>
      <c r="D93" s="6">
        <f>[1]Results!G1512</f>
        <v>1951835.247</v>
      </c>
      <c r="E93" s="6">
        <f>[1]Results!H1512</f>
        <v>1972221.3289999999</v>
      </c>
      <c r="F93" s="6">
        <f>[1]Results!I1512</f>
        <v>1995251.3219999999</v>
      </c>
      <c r="G93" s="6">
        <f>[1]Results!J1512</f>
        <v>2020689.784</v>
      </c>
      <c r="H93" s="6">
        <f>[1]Results!K1512</f>
        <v>2048218.004</v>
      </c>
      <c r="I93" s="6">
        <f>[1]Results!L1512</f>
        <v>2076092.307</v>
      </c>
      <c r="J93" s="6">
        <f>[1]Results!M1512</f>
        <v>2105154.2050000001</v>
      </c>
      <c r="K93" s="6">
        <f>[1]Results!N1512</f>
        <v>2135243.9580000001</v>
      </c>
      <c r="L93" s="6">
        <f>[1]Results!O1512</f>
        <v>2166223.9330000002</v>
      </c>
      <c r="M93" s="6">
        <f>[1]Results!P1512</f>
        <v>2200447.0950000002</v>
      </c>
      <c r="N93" s="6">
        <f>[1]Results!Q1512</f>
        <v>2233318.7080000001</v>
      </c>
      <c r="O93" s="6">
        <f>[1]Results!R1512</f>
        <v>2266642.61</v>
      </c>
      <c r="P93" s="6">
        <f>[1]Results!S1512</f>
        <v>2300357.9610000001</v>
      </c>
      <c r="Q93" s="6">
        <f>[1]Results!T1512</f>
        <v>2334441.4759999998</v>
      </c>
      <c r="R93" s="6">
        <f>[1]Results!U1512</f>
        <v>2368888.64</v>
      </c>
      <c r="S93" s="6">
        <f>[1]Results!V1512</f>
        <v>2403555.6839999999</v>
      </c>
      <c r="T93" s="6">
        <f>[1]Results!W1512</f>
        <v>2438589.9270000001</v>
      </c>
      <c r="U93" s="6">
        <f>[1]Results!X1512</f>
        <v>2474014.3650000002</v>
      </c>
      <c r="V93" s="6">
        <f>[1]Results!Y1512</f>
        <v>2509856.0699999998</v>
      </c>
      <c r="W93" s="6">
        <f>[1]Results!Z1512</f>
        <v>2544317.1910000001</v>
      </c>
      <c r="X93" s="6">
        <f>[1]Results!AA1512</f>
        <v>2580621.8149999999</v>
      </c>
      <c r="Y93" s="6">
        <f>[1]Results!AB1512</f>
        <v>2617502.463</v>
      </c>
      <c r="Z93" s="6">
        <f>[1]Results!AC1512</f>
        <v>2654982.9040000001</v>
      </c>
      <c r="AA93" s="6">
        <f>[1]Results!AD1512</f>
        <v>2693072.6140000001</v>
      </c>
      <c r="AB93" s="6">
        <f>[1]Results!AE1512</f>
        <v>2726529.6540000001</v>
      </c>
      <c r="AC93" s="6">
        <f>[1]Results!AF1512</f>
        <v>2762122.892</v>
      </c>
      <c r="AD93" s="6">
        <f>[1]Results!AG1512</f>
        <v>2797941.9360000002</v>
      </c>
      <c r="AE93" s="6">
        <f>[1]Results!AH1512</f>
        <v>2834107.503</v>
      </c>
      <c r="AF93" s="6">
        <f>[1]Results!AI1512</f>
        <v>2870707.591</v>
      </c>
      <c r="AG93" s="6">
        <f>[1]Results!AJ1512</f>
        <v>2907809.219</v>
      </c>
      <c r="AH93" s="6">
        <f>[1]Results!AK1512</f>
        <v>2945494.7</v>
      </c>
      <c r="AI93" s="6">
        <f>[1]Results!AL1512</f>
        <v>2983765.9369999999</v>
      </c>
      <c r="AJ93" s="6">
        <f>[1]Results!AM1512</f>
        <v>3022639.483</v>
      </c>
      <c r="AK93" s="6">
        <f>[1]Results!AN1512</f>
        <v>3062121.77</v>
      </c>
      <c r="AL93" s="6">
        <f>[1]Results!AO1512</f>
        <v>3102213.4249999998</v>
      </c>
      <c r="AM93" s="6">
        <f>[1]Results!AP1512</f>
        <v>3141958.1340000001</v>
      </c>
      <c r="AN93" s="6">
        <f>[1]Results!AQ1512</f>
        <v>3182029.253</v>
      </c>
      <c r="AO93" s="6">
        <f>[1]Results!AR1512</f>
        <v>3222470.946</v>
      </c>
      <c r="AP93" s="6">
        <f>[1]Results!AS1512</f>
        <v>3263325.5630000001</v>
      </c>
      <c r="AQ93" s="6">
        <f>[1]Results!AT1512</f>
        <v>3304632.9569999999</v>
      </c>
      <c r="AR93" s="6">
        <f>[1]Results!AU1512</f>
        <v>3346477.9909999999</v>
      </c>
      <c r="AS93" s="6">
        <f>[1]Results!AV1512</f>
        <v>3388849.2009999999</v>
      </c>
      <c r="AT93" s="6">
        <f>[1]Results!AW1512</f>
        <v>3431766.8739999998</v>
      </c>
      <c r="AU93" s="6">
        <f>[1]Results!AX1512</f>
        <v>3475243.9670000002</v>
      </c>
      <c r="AV93" s="6">
        <f>[1]Results!AY1512</f>
        <v>3519288.699</v>
      </c>
      <c r="AW93" s="6">
        <f>[1]Results!AZ1512</f>
        <v>3564188.6379999998</v>
      </c>
      <c r="AX93" s="6">
        <f>[1]Results!BA1512</f>
        <v>3609725.8280000002</v>
      </c>
      <c r="AY93" s="6">
        <f>[1]Results!BB1512</f>
        <v>3655891.389</v>
      </c>
      <c r="AZ93" s="6">
        <f>[1]Results!BC1512</f>
        <v>3702674.13</v>
      </c>
      <c r="BA93" s="6">
        <f>[1]Results!BD1512</f>
        <v>3750066.5970000001</v>
      </c>
      <c r="BB93" s="6">
        <f>[1]Results!BE1512</f>
        <v>3798172.3110000002</v>
      </c>
      <c r="BC93" s="6">
        <f>[1]Results!BF1512</f>
        <v>3846906.423</v>
      </c>
      <c r="BD93" s="6">
        <f>[1]Results!BG1512</f>
        <v>3896268.54</v>
      </c>
      <c r="BE93" s="6">
        <f>[1]Results!BH1512</f>
        <v>3946259.0980000002</v>
      </c>
      <c r="BF93" s="6">
        <f>[1]Results!BI1512</f>
        <v>3996881.858</v>
      </c>
    </row>
    <row r="94" spans="1:58" x14ac:dyDescent="0.35">
      <c r="B94" t="s">
        <v>7</v>
      </c>
      <c r="C94" s="6">
        <f>[1]Results!F1513</f>
        <v>35300.801299999999</v>
      </c>
      <c r="D94" s="6">
        <f>[1]Results!G1513</f>
        <v>35400.438770000001</v>
      </c>
      <c r="E94" s="6">
        <f>[1]Results!H1513</f>
        <v>35557.360489999999</v>
      </c>
      <c r="F94" s="6">
        <f>[1]Results!I1513</f>
        <v>35784.721440000001</v>
      </c>
      <c r="G94" s="6">
        <f>[1]Results!J1513</f>
        <v>36080.534330000002</v>
      </c>
      <c r="H94" s="6">
        <f>[1]Results!K1513</f>
        <v>36435.404069999997</v>
      </c>
      <c r="I94" s="6">
        <f>[1]Results!L1513</f>
        <v>36814.852209999997</v>
      </c>
      <c r="J94" s="6">
        <f>[1]Results!M1513</f>
        <v>37227.268649999998</v>
      </c>
      <c r="K94" s="6">
        <f>[1]Results!N1513</f>
        <v>37667.840389999998</v>
      </c>
      <c r="L94" s="6">
        <f>[1]Results!O1513</f>
        <v>38132.114629999996</v>
      </c>
      <c r="M94" s="6">
        <f>[1]Results!P1513</f>
        <v>38656.088609999999</v>
      </c>
      <c r="N94" s="6">
        <f>[1]Results!Q1513</f>
        <v>39164.355519999997</v>
      </c>
      <c r="O94" s="6">
        <f>[1]Results!R1513</f>
        <v>39682.397510000003</v>
      </c>
      <c r="P94" s="6">
        <f>[1]Results!S1513</f>
        <v>40207.714440000003</v>
      </c>
      <c r="Q94" s="6">
        <f>[1]Results!T1513</f>
        <v>40738.862359999999</v>
      </c>
      <c r="R94" s="6">
        <f>[1]Results!U1513</f>
        <v>41275.049249999996</v>
      </c>
      <c r="S94" s="6">
        <f>[1]Results!V1513</f>
        <v>41812.335930000001</v>
      </c>
      <c r="T94" s="6">
        <f>[1]Results!W1513</f>
        <v>42353.964789999998</v>
      </c>
      <c r="U94" s="6">
        <f>[1]Results!X1513</f>
        <v>42899.959799999997</v>
      </c>
      <c r="V94" s="6">
        <f>[1]Results!Y1513</f>
        <v>43450.617879999998</v>
      </c>
      <c r="W94" s="6">
        <f>[1]Results!Z1513</f>
        <v>43976.95289</v>
      </c>
      <c r="X94" s="6">
        <f>[1]Results!AA1513</f>
        <v>44528.955670000003</v>
      </c>
      <c r="Y94" s="6">
        <f>[1]Results!AB1513</f>
        <v>45088.689610000001</v>
      </c>
      <c r="Z94" s="6">
        <f>[1]Results!AC1513</f>
        <v>45656.561979999999</v>
      </c>
      <c r="AA94" s="6">
        <f>[1]Results!AD1513</f>
        <v>46232.761429999999</v>
      </c>
      <c r="AB94" s="6">
        <f>[1]Results!AE1513</f>
        <v>46733.472569999998</v>
      </c>
      <c r="AC94" s="6">
        <f>[1]Results!AF1513</f>
        <v>47261.955249999999</v>
      </c>
      <c r="AD94" s="6">
        <f>[1]Results!AG1513</f>
        <v>47791.702039999996</v>
      </c>
      <c r="AE94" s="6">
        <f>[1]Results!AH1513</f>
        <v>48325.41102</v>
      </c>
      <c r="AF94" s="6">
        <f>[1]Results!AI1513</f>
        <v>48865.144520000002</v>
      </c>
      <c r="AG94" s="6">
        <f>[1]Results!AJ1513</f>
        <v>49412.469530000002</v>
      </c>
      <c r="AH94" s="6">
        <f>[1]Results!AK1513</f>
        <v>49969.336190000002</v>
      </c>
      <c r="AI94" s="6">
        <f>[1]Results!AL1513</f>
        <v>50535.788860000001</v>
      </c>
      <c r="AJ94" s="6">
        <f>[1]Results!AM1513</f>
        <v>51112.333859999999</v>
      </c>
      <c r="AK94" s="6">
        <f>[1]Results!AN1513</f>
        <v>51699.232239999998</v>
      </c>
      <c r="AL94" s="6">
        <f>[1]Results!AO1513</f>
        <v>52296.596290000001</v>
      </c>
      <c r="AM94" s="6">
        <f>[1]Results!AP1513</f>
        <v>52891.708400000003</v>
      </c>
      <c r="AN94" s="6">
        <f>[1]Results!AQ1513</f>
        <v>53491.439980000003</v>
      </c>
      <c r="AO94" s="6">
        <f>[1]Results!AR1513</f>
        <v>54097.065130000003</v>
      </c>
      <c r="AP94" s="6">
        <f>[1]Results!AS1513</f>
        <v>54709.562339999997</v>
      </c>
      <c r="AQ94" s="6">
        <f>[1]Results!AT1513</f>
        <v>55329.783490000002</v>
      </c>
      <c r="AR94" s="6">
        <f>[1]Results!AU1513</f>
        <v>55959.596409999998</v>
      </c>
      <c r="AS94" s="6">
        <f>[1]Results!AV1513</f>
        <v>56598.511890000002</v>
      </c>
      <c r="AT94" s="6">
        <f>[1]Results!AW1513</f>
        <v>57246.903610000001</v>
      </c>
      <c r="AU94" s="6">
        <f>[1]Results!AX1513</f>
        <v>57904.942620000002</v>
      </c>
      <c r="AV94" s="6">
        <f>[1]Results!AY1513</f>
        <v>58572.694940000001</v>
      </c>
      <c r="AW94" s="6">
        <f>[1]Results!AZ1513</f>
        <v>59256.169240000003</v>
      </c>
      <c r="AX94" s="6">
        <f>[1]Results!BA1513</f>
        <v>59951.074130000001</v>
      </c>
      <c r="AY94" s="6">
        <f>[1]Results!BB1513</f>
        <v>60657.637199999997</v>
      </c>
      <c r="AZ94" s="6">
        <f>[1]Results!BC1513</f>
        <v>61375.789449999997</v>
      </c>
      <c r="BA94" s="6">
        <f>[1]Results!BD1513</f>
        <v>62105.36565</v>
      </c>
      <c r="BB94" s="6">
        <f>[1]Results!BE1513</f>
        <v>62848.67009</v>
      </c>
      <c r="BC94" s="6">
        <f>[1]Results!BF1513</f>
        <v>63603.360090000002</v>
      </c>
      <c r="BD94" s="6">
        <f>[1]Results!BG1513</f>
        <v>64369.311979999999</v>
      </c>
      <c r="BE94" s="6">
        <f>[1]Results!BH1513</f>
        <v>65146.349609999997</v>
      </c>
      <c r="BF94" s="6">
        <f>[1]Results!BI1513</f>
        <v>65934.354070000001</v>
      </c>
    </row>
    <row r="95" spans="1:58" x14ac:dyDescent="0.35">
      <c r="B95" t="s">
        <v>30</v>
      </c>
      <c r="C95" s="6">
        <f>[1]Results!F1516</f>
        <v>322376.22350000002</v>
      </c>
      <c r="D95" s="6">
        <f>[1]Results!G1516</f>
        <v>326284.0822</v>
      </c>
      <c r="E95" s="6">
        <f>[1]Results!H1516</f>
        <v>329993.5588</v>
      </c>
      <c r="F95" s="6">
        <f>[1]Results!I1516</f>
        <v>333988.51939999999</v>
      </c>
      <c r="G95" s="6">
        <f>[1]Results!J1516</f>
        <v>338294.82079999999</v>
      </c>
      <c r="H95" s="6">
        <f>[1]Results!K1516</f>
        <v>342865.7524</v>
      </c>
      <c r="I95" s="6">
        <f>[1]Results!L1516</f>
        <v>347416.12209999998</v>
      </c>
      <c r="J95" s="6">
        <f>[1]Results!M1516</f>
        <v>352121.30369999999</v>
      </c>
      <c r="K95" s="6">
        <f>[1]Results!N1516</f>
        <v>356953.01429999998</v>
      </c>
      <c r="L95" s="6">
        <f>[1]Results!O1516</f>
        <v>361897.73920000001</v>
      </c>
      <c r="M95" s="6">
        <f>[1]Results!P1516</f>
        <v>367354.65139999997</v>
      </c>
      <c r="N95" s="6">
        <f>[1]Results!Q1516</f>
        <v>372523.22230000002</v>
      </c>
      <c r="O95" s="6">
        <f>[1]Results!R1516</f>
        <v>377787.68359999999</v>
      </c>
      <c r="P95" s="6">
        <f>[1]Results!S1516</f>
        <v>383121.44209999999</v>
      </c>
      <c r="Q95" s="6">
        <f>[1]Results!T1516</f>
        <v>388522.92440000002</v>
      </c>
      <c r="R95" s="6">
        <f>[1]Results!U1516</f>
        <v>393995.62469999999</v>
      </c>
      <c r="S95" s="6">
        <f>[1]Results!V1516</f>
        <v>399501.59519999998</v>
      </c>
      <c r="T95" s="6">
        <f>[1]Results!W1516</f>
        <v>405091.77189999999</v>
      </c>
      <c r="U95" s="6">
        <f>[1]Results!X1516</f>
        <v>410769.14809999999</v>
      </c>
      <c r="V95" s="6">
        <f>[1]Results!Y1516</f>
        <v>416540.35489999998</v>
      </c>
      <c r="W95" s="6">
        <f>[1]Results!Z1516</f>
        <v>422113.04190000001</v>
      </c>
      <c r="X95" s="6">
        <f>[1]Results!AA1516</f>
        <v>428038.59649999999</v>
      </c>
      <c r="Y95" s="6">
        <f>[1]Results!AB1516</f>
        <v>434070.3064</v>
      </c>
      <c r="Z95" s="6">
        <f>[1]Results!AC1516</f>
        <v>440226.38909999997</v>
      </c>
      <c r="AA95" s="6">
        <f>[1]Results!AD1516</f>
        <v>446510.6398</v>
      </c>
      <c r="AB95" s="6">
        <f>[1]Results!AE1516</f>
        <v>452068.87550000002</v>
      </c>
      <c r="AC95" s="6">
        <f>[1]Results!AF1516</f>
        <v>458071.08799999999</v>
      </c>
      <c r="AD95" s="6">
        <f>[1]Results!AG1516</f>
        <v>464111.36099999998</v>
      </c>
      <c r="AE95" s="6">
        <f>[1]Results!AH1516</f>
        <v>470224.17489999998</v>
      </c>
      <c r="AF95" s="6">
        <f>[1]Results!AI1516</f>
        <v>476422.14130000002</v>
      </c>
      <c r="AG95" s="6">
        <f>[1]Results!AJ1516</f>
        <v>482712.53619999997</v>
      </c>
      <c r="AH95" s="6">
        <f>[1]Results!AK1516</f>
        <v>489109.52750000003</v>
      </c>
      <c r="AI95" s="6">
        <f>[1]Results!AL1516</f>
        <v>495605.2709</v>
      </c>
      <c r="AJ95" s="6">
        <f>[1]Results!AM1516</f>
        <v>502200.59100000001</v>
      </c>
      <c r="AK95" s="6">
        <f>[1]Results!AN1516</f>
        <v>508894.10639999999</v>
      </c>
      <c r="AL95" s="6">
        <f>[1]Results!AO1516</f>
        <v>515683.5552</v>
      </c>
      <c r="AM95" s="6">
        <f>[1]Results!AP1516</f>
        <v>522448.91310000001</v>
      </c>
      <c r="AN95" s="6">
        <f>[1]Results!AQ1516</f>
        <v>529264.87890000001</v>
      </c>
      <c r="AO95" s="6">
        <f>[1]Results!AR1516</f>
        <v>536131.92180000001</v>
      </c>
      <c r="AP95" s="6">
        <f>[1]Results!AS1516</f>
        <v>543052.64610000001</v>
      </c>
      <c r="AQ95" s="6">
        <f>[1]Results!AT1516</f>
        <v>550030.15139999997</v>
      </c>
      <c r="AR95" s="6">
        <f>[1]Results!AU1516</f>
        <v>557081.51950000005</v>
      </c>
      <c r="AS95" s="6">
        <f>[1]Results!AV1516</f>
        <v>564195.6544</v>
      </c>
      <c r="AT95" s="6">
        <f>[1]Results!AW1516</f>
        <v>571375.51679999998</v>
      </c>
      <c r="AU95" s="6">
        <f>[1]Results!AX1516</f>
        <v>578622.25280000002</v>
      </c>
      <c r="AV95" s="6">
        <f>[1]Results!AY1516</f>
        <v>585936.47360000003</v>
      </c>
      <c r="AW95" s="6">
        <f>[1]Results!AZ1516</f>
        <v>593384.70730000001</v>
      </c>
      <c r="AX95" s="6">
        <f>[1]Results!BA1516</f>
        <v>600905.95109999995</v>
      </c>
      <c r="AY95" s="6">
        <f>[1]Results!BB1516</f>
        <v>608503.65949999995</v>
      </c>
      <c r="AZ95" s="6">
        <f>[1]Results!BC1516</f>
        <v>616176.65049999999</v>
      </c>
      <c r="BA95" s="6">
        <f>[1]Results!BD1516</f>
        <v>623924.01630000002</v>
      </c>
      <c r="BB95" s="6">
        <f>[1]Results!BE1516</f>
        <v>631775.86230000004</v>
      </c>
      <c r="BC95" s="6">
        <f>[1]Results!BF1516</f>
        <v>639703.8996</v>
      </c>
      <c r="BD95" s="6">
        <f>[1]Results!BG1516</f>
        <v>647711.23869999999</v>
      </c>
      <c r="BE95" s="6">
        <f>[1]Results!BH1516</f>
        <v>655798.90850000002</v>
      </c>
      <c r="BF95" s="6">
        <f>[1]Results!BI1516</f>
        <v>663968.29839999997</v>
      </c>
    </row>
    <row r="96" spans="1:58" x14ac:dyDescent="0.35">
      <c r="B96" t="s">
        <v>9</v>
      </c>
      <c r="C96" s="6">
        <f>[1]Results!F1528</f>
        <v>47294.129979999998</v>
      </c>
      <c r="D96" s="6">
        <f>[1]Results!G1528</f>
        <v>47807.913180000003</v>
      </c>
      <c r="E96" s="6">
        <f>[1]Results!H1528</f>
        <v>48287.41085</v>
      </c>
      <c r="F96" s="6">
        <f>[1]Results!I1528</f>
        <v>48813.004079999999</v>
      </c>
      <c r="G96" s="6">
        <f>[1]Results!J1528</f>
        <v>49394.67482</v>
      </c>
      <c r="H96" s="6">
        <f>[1]Results!K1528</f>
        <v>50027.179340000002</v>
      </c>
      <c r="I96" s="6">
        <f>[1]Results!L1528</f>
        <v>50666.582479999997</v>
      </c>
      <c r="J96" s="6">
        <f>[1]Results!M1528</f>
        <v>51336.50101</v>
      </c>
      <c r="K96" s="6">
        <f>[1]Results!N1528</f>
        <v>52030.106050000002</v>
      </c>
      <c r="L96" s="6">
        <f>[1]Results!O1528</f>
        <v>52742.624559999997</v>
      </c>
      <c r="M96" s="6">
        <f>[1]Results!P1528</f>
        <v>53531.667860000001</v>
      </c>
      <c r="N96" s="6">
        <f>[1]Results!Q1528</f>
        <v>54275.257859999998</v>
      </c>
      <c r="O96" s="6">
        <f>[1]Results!R1528</f>
        <v>55028.424010000002</v>
      </c>
      <c r="P96" s="6">
        <f>[1]Results!S1528</f>
        <v>55786.706330000001</v>
      </c>
      <c r="Q96" s="6">
        <f>[1]Results!T1528</f>
        <v>56549.036959999998</v>
      </c>
      <c r="R96" s="6">
        <f>[1]Results!U1528</f>
        <v>57315.283969999997</v>
      </c>
      <c r="S96" s="6">
        <f>[1]Results!V1528</f>
        <v>58079.971290000001</v>
      </c>
      <c r="T96" s="6">
        <f>[1]Results!W1528</f>
        <v>58849.623310000003</v>
      </c>
      <c r="U96" s="6">
        <f>[1]Results!X1528</f>
        <v>59624.600700000003</v>
      </c>
      <c r="V96" s="6">
        <f>[1]Results!Y1528</f>
        <v>60405.805039999999</v>
      </c>
      <c r="W96" s="6">
        <f>[1]Results!Z1528</f>
        <v>61149.035940000002</v>
      </c>
      <c r="X96" s="6">
        <f>[1]Results!AA1528</f>
        <v>61938.146260000001</v>
      </c>
      <c r="Y96" s="6">
        <f>[1]Results!AB1528</f>
        <v>62736.345370000003</v>
      </c>
      <c r="Z96" s="6">
        <f>[1]Results!AC1528</f>
        <v>63546.165500000003</v>
      </c>
      <c r="AA96" s="6">
        <f>[1]Results!AD1528</f>
        <v>64368.386469999998</v>
      </c>
      <c r="AB96" s="6">
        <f>[1]Results!AE1528</f>
        <v>65073.995289999999</v>
      </c>
      <c r="AC96" s="6">
        <f>[1]Results!AF1528</f>
        <v>65841.500780000002</v>
      </c>
      <c r="AD96" s="6">
        <f>[1]Results!AG1528</f>
        <v>66611.69975</v>
      </c>
      <c r="AE96" s="6">
        <f>[1]Results!AH1528</f>
        <v>67389.962060000005</v>
      </c>
      <c r="AF96" s="6">
        <f>[1]Results!AI1528</f>
        <v>68178.910480000006</v>
      </c>
      <c r="AG96" s="6">
        <f>[1]Results!AJ1528</f>
        <v>68980.329190000004</v>
      </c>
      <c r="AH96" s="6">
        <f>[1]Results!AK1528</f>
        <v>69796.758159999998</v>
      </c>
      <c r="AI96" s="6">
        <f>[1]Results!AL1528</f>
        <v>70627.667260000002</v>
      </c>
      <c r="AJ96" s="6">
        <f>[1]Results!AM1528</f>
        <v>71473.557700000005</v>
      </c>
      <c r="AK96" s="6">
        <f>[1]Results!AN1528</f>
        <v>72334.573749999996</v>
      </c>
      <c r="AL96" s="6">
        <f>[1]Results!AO1528</f>
        <v>73210.690279999995</v>
      </c>
      <c r="AM96" s="6">
        <f>[1]Results!AP1528</f>
        <v>74082.443570000003</v>
      </c>
      <c r="AN96" s="6">
        <f>[1]Results!AQ1528</f>
        <v>74963.478889999999</v>
      </c>
      <c r="AO96" s="6">
        <f>[1]Results!AR1528</f>
        <v>75854.428889999996</v>
      </c>
      <c r="AP96" s="6">
        <f>[1]Results!AS1528</f>
        <v>76756.151320000004</v>
      </c>
      <c r="AQ96" s="6">
        <f>[1]Results!AT1528</f>
        <v>77669.502259999994</v>
      </c>
      <c r="AR96" s="6">
        <f>[1]Results!AU1528</f>
        <v>78597.10742</v>
      </c>
      <c r="AS96" s="6">
        <f>[1]Results!AV1528</f>
        <v>79537.744000000006</v>
      </c>
      <c r="AT96" s="6">
        <f>[1]Results!AW1528</f>
        <v>80491.946119999993</v>
      </c>
      <c r="AU96" s="6">
        <f>[1]Results!AX1528</f>
        <v>81459.949080000006</v>
      </c>
      <c r="AV96" s="6">
        <f>[1]Results!AY1528</f>
        <v>82441.862989999994</v>
      </c>
      <c r="AW96" s="6">
        <f>[1]Results!AZ1528</f>
        <v>83446.886180000001</v>
      </c>
      <c r="AX96" s="6">
        <f>[1]Results!BA1528</f>
        <v>84466.566850000003</v>
      </c>
      <c r="AY96" s="6">
        <f>[1]Results!BB1528</f>
        <v>85501.210819999993</v>
      </c>
      <c r="AZ96" s="6">
        <f>[1]Results!BC1528</f>
        <v>86550.555900000007</v>
      </c>
      <c r="BA96" s="6">
        <f>[1]Results!BD1528</f>
        <v>87614.365829999995</v>
      </c>
      <c r="BB96" s="6">
        <f>[1]Results!BE1528</f>
        <v>88696.519</v>
      </c>
      <c r="BC96" s="6">
        <f>[1]Results!BF1528</f>
        <v>89793.118570000006</v>
      </c>
      <c r="BD96" s="6">
        <f>[1]Results!BG1528</f>
        <v>90904.405360000004</v>
      </c>
      <c r="BE96" s="6">
        <f>[1]Results!BH1528</f>
        <v>92030.380900000004</v>
      </c>
      <c r="BF96" s="6">
        <f>[1]Results!BI1528</f>
        <v>93171.097240000003</v>
      </c>
    </row>
    <row r="97" spans="1:58" x14ac:dyDescent="0.35">
      <c r="B97" t="s">
        <v>10</v>
      </c>
      <c r="C97" s="6">
        <f>[1]Results!F1533</f>
        <v>1491600.996</v>
      </c>
      <c r="D97" s="6">
        <f>[1]Results!G1533</f>
        <v>1504224.898</v>
      </c>
      <c r="E97" s="6">
        <f>[1]Results!H1533</f>
        <v>1520110.689</v>
      </c>
      <c r="F97" s="6">
        <f>[1]Results!I1533</f>
        <v>1538209.3</v>
      </c>
      <c r="G97" s="6">
        <f>[1]Results!J1533</f>
        <v>1558236.237</v>
      </c>
      <c r="H97" s="6">
        <f>[1]Results!K1533</f>
        <v>1579937.334</v>
      </c>
      <c r="I97" s="6">
        <f>[1]Results!L1533</f>
        <v>1601965.6</v>
      </c>
      <c r="J97" s="6">
        <f>[1]Results!M1533</f>
        <v>1624944.6839999999</v>
      </c>
      <c r="K97" s="6">
        <f>[1]Results!N1533</f>
        <v>1648756.3540000001</v>
      </c>
      <c r="L97" s="6">
        <f>[1]Results!O1533</f>
        <v>1673288.514</v>
      </c>
      <c r="M97" s="6">
        <f>[1]Results!P1533</f>
        <v>1700365.534</v>
      </c>
      <c r="N97" s="6">
        <f>[1]Results!Q1533</f>
        <v>1726466.5490000001</v>
      </c>
      <c r="O97" s="6">
        <f>[1]Results!R1533</f>
        <v>1752903.8859999999</v>
      </c>
      <c r="P97" s="6">
        <f>[1]Results!S1533</f>
        <v>1779651.3959999999</v>
      </c>
      <c r="Q97" s="6">
        <f>[1]Results!T1533</f>
        <v>1806690.798</v>
      </c>
      <c r="R97" s="6">
        <f>[1]Results!U1533</f>
        <v>1834015.452</v>
      </c>
      <c r="S97" s="6">
        <f>[1]Results!V1533</f>
        <v>1861531.895</v>
      </c>
      <c r="T97" s="6">
        <f>[1]Results!W1533</f>
        <v>1889323.6850000001</v>
      </c>
      <c r="U97" s="6">
        <f>[1]Results!X1533</f>
        <v>1917410.06</v>
      </c>
      <c r="V97" s="6">
        <f>[1]Results!Y1533</f>
        <v>1945809.5360000001</v>
      </c>
      <c r="W97" s="6">
        <f>[1]Results!Z1533</f>
        <v>1973117.3529999999</v>
      </c>
      <c r="X97" s="6">
        <f>[1]Results!AA1533</f>
        <v>2001821.2819999999</v>
      </c>
      <c r="Y97" s="6">
        <f>[1]Results!AB1533</f>
        <v>2030973.7930000001</v>
      </c>
      <c r="Z97" s="6">
        <f>[1]Results!AC1533</f>
        <v>2060577.3019999999</v>
      </c>
      <c r="AA97" s="6">
        <f>[1]Results!AD1533</f>
        <v>2090635.9469999999</v>
      </c>
      <c r="AB97" s="6">
        <f>[1]Results!AE1533</f>
        <v>2117054.6469999999</v>
      </c>
      <c r="AC97" s="6">
        <f>[1]Results!AF1533</f>
        <v>2145045.0090000001</v>
      </c>
      <c r="AD97" s="6">
        <f>[1]Results!AG1533</f>
        <v>2173215.34</v>
      </c>
      <c r="AE97" s="6">
        <f>[1]Results!AH1533</f>
        <v>2201642.4</v>
      </c>
      <c r="AF97" s="6">
        <f>[1]Results!AI1533</f>
        <v>2230395.477</v>
      </c>
      <c r="AG97" s="6">
        <f>[1]Results!AJ1533</f>
        <v>2259529.8539999998</v>
      </c>
      <c r="AH97" s="6">
        <f>[1]Results!AK1533</f>
        <v>2289107.6680000001</v>
      </c>
      <c r="AI97" s="6">
        <f>[1]Results!AL1533</f>
        <v>2319139.0929999999</v>
      </c>
      <c r="AJ97" s="6">
        <f>[1]Results!AM1533</f>
        <v>2349638.338</v>
      </c>
      <c r="AK97" s="6">
        <f>[1]Results!AN1533</f>
        <v>2380612.52</v>
      </c>
      <c r="AL97" s="6">
        <f>[1]Results!AO1533</f>
        <v>2412064.3110000002</v>
      </c>
      <c r="AM97" s="6">
        <f>[1]Results!AP1533</f>
        <v>2443202.7850000001</v>
      </c>
      <c r="AN97" s="6">
        <f>[1]Results!AQ1533</f>
        <v>2474597.4569999999</v>
      </c>
      <c r="AO97" s="6">
        <f>[1]Results!AR1533</f>
        <v>2506288.622</v>
      </c>
      <c r="AP97" s="6">
        <f>[1]Results!AS1533</f>
        <v>2538313.5359999998</v>
      </c>
      <c r="AQ97" s="6">
        <f>[1]Results!AT1533</f>
        <v>2570706.9240000001</v>
      </c>
      <c r="AR97" s="6">
        <f>[1]Results!AU1533</f>
        <v>2603531.0419999999</v>
      </c>
      <c r="AS97" s="6">
        <f>[1]Results!AV1533</f>
        <v>2636788.0320000001</v>
      </c>
      <c r="AT97" s="6">
        <f>[1]Results!AW1533</f>
        <v>2670494.2779999999</v>
      </c>
      <c r="AU97" s="6">
        <f>[1]Results!AX1533</f>
        <v>2704661.2540000002</v>
      </c>
      <c r="AV97" s="6">
        <f>[1]Results!AY1533</f>
        <v>2739296.4929999998</v>
      </c>
      <c r="AW97" s="6">
        <f>[1]Results!AZ1533</f>
        <v>2774600.9470000002</v>
      </c>
      <c r="AX97" s="6">
        <f>[1]Results!BA1533</f>
        <v>2810433.9619999998</v>
      </c>
      <c r="AY97" s="6">
        <f>[1]Results!BB1533</f>
        <v>2846782.0989999999</v>
      </c>
      <c r="AZ97" s="6">
        <f>[1]Results!BC1533</f>
        <v>2883635.4550000001</v>
      </c>
      <c r="BA97" s="6">
        <f>[1]Results!BD1533</f>
        <v>2920987.8840000001</v>
      </c>
      <c r="BB97" s="6">
        <f>[1]Results!BE1533</f>
        <v>2958904.8560000001</v>
      </c>
      <c r="BC97" s="6">
        <f>[1]Results!BF1533</f>
        <v>2997337.9240000001</v>
      </c>
      <c r="BD97" s="6">
        <f>[1]Results!BG1533</f>
        <v>3036283.4109999998</v>
      </c>
      <c r="BE97" s="6">
        <f>[1]Results!BH1533</f>
        <v>3075740.91</v>
      </c>
      <c r="BF97" s="6">
        <f>[1]Results!BI1533</f>
        <v>3115712.8429999999</v>
      </c>
    </row>
    <row r="98" spans="1:58" x14ac:dyDescent="0.35">
      <c r="B98" t="s">
        <v>29</v>
      </c>
      <c r="C98" s="6">
        <f>C103-C99</f>
        <v>-2019.9643801</v>
      </c>
      <c r="D98" s="6">
        <f t="shared" ref="D98:AL98" si="56">D103-D99</f>
        <v>-1971.3961609000003</v>
      </c>
      <c r="E98" s="6">
        <f t="shared" si="56"/>
        <v>-1969.0943547999998</v>
      </c>
      <c r="F98" s="6">
        <f t="shared" si="56"/>
        <v>-1975.7521265999997</v>
      </c>
      <c r="G98" s="6">
        <f t="shared" si="56"/>
        <v>-1986.4024509000001</v>
      </c>
      <c r="H98" s="6">
        <f t="shared" si="56"/>
        <v>-2000.8484388000002</v>
      </c>
      <c r="I98" s="6">
        <f t="shared" si="56"/>
        <v>-2018.9663481</v>
      </c>
      <c r="J98" s="6">
        <f t="shared" si="56"/>
        <v>-2037.9457993999997</v>
      </c>
      <c r="K98" s="6">
        <f t="shared" si="56"/>
        <v>-2058.4238067000001</v>
      </c>
      <c r="L98" s="6">
        <f t="shared" si="56"/>
        <v>-2080.2427379000001</v>
      </c>
      <c r="M98" s="6">
        <f t="shared" si="56"/>
        <v>-2102.6183430999999</v>
      </c>
      <c r="N98" s="6">
        <f t="shared" si="56"/>
        <v>-2129.2221120999998</v>
      </c>
      <c r="O98" s="6">
        <f t="shared" si="56"/>
        <v>-2153.9573234999998</v>
      </c>
      <c r="P98" s="6">
        <f t="shared" si="56"/>
        <v>-2178.4851673000003</v>
      </c>
      <c r="Q98" s="6">
        <f t="shared" si="56"/>
        <v>-2203.1159914</v>
      </c>
      <c r="R98" s="6">
        <f t="shared" si="56"/>
        <v>-2227.8660795999999</v>
      </c>
      <c r="S98" s="6">
        <f t="shared" si="56"/>
        <v>-2252.7863007999999</v>
      </c>
      <c r="T98" s="6">
        <f t="shared" si="56"/>
        <v>-2277.4488841000002</v>
      </c>
      <c r="U98" s="6">
        <f t="shared" si="56"/>
        <v>-2302.1599135000001</v>
      </c>
      <c r="V98" s="6">
        <f t="shared" si="56"/>
        <v>-2326.9937194999998</v>
      </c>
      <c r="W98" s="6">
        <f t="shared" si="56"/>
        <v>-2352.3299490999998</v>
      </c>
      <c r="X98" s="6">
        <f t="shared" si="56"/>
        <v>-2375.3924603</v>
      </c>
      <c r="Y98" s="6">
        <f t="shared" si="56"/>
        <v>-2400.1576101000001</v>
      </c>
      <c r="Z98" s="6">
        <f t="shared" si="56"/>
        <v>-2425.539542</v>
      </c>
      <c r="AA98" s="6">
        <f t="shared" si="56"/>
        <v>-2451.2976307999998</v>
      </c>
      <c r="AB98" s="6">
        <f t="shared" si="56"/>
        <v>-2478.3895459</v>
      </c>
      <c r="AC98" s="6">
        <f t="shared" si="56"/>
        <v>-2499.283234</v>
      </c>
      <c r="AD98" s="6">
        <f t="shared" si="56"/>
        <v>-2522.0891837999998</v>
      </c>
      <c r="AE98" s="6">
        <f t="shared" si="56"/>
        <v>-2545.5093526999999</v>
      </c>
      <c r="AF98" s="6">
        <f t="shared" si="56"/>
        <v>-2569.2819802000004</v>
      </c>
      <c r="AG98" s="6">
        <f t="shared" si="56"/>
        <v>-2593.3961162999999</v>
      </c>
      <c r="AH98" s="6">
        <f t="shared" si="56"/>
        <v>-2617.8675389</v>
      </c>
      <c r="AI98" s="6">
        <f t="shared" si="56"/>
        <v>-2642.8227929000004</v>
      </c>
      <c r="AJ98" s="6">
        <f t="shared" si="56"/>
        <v>-2668.2218284</v>
      </c>
      <c r="AK98" s="6">
        <f t="shared" si="56"/>
        <v>-2694.0693037999999</v>
      </c>
      <c r="AL98" s="6">
        <f t="shared" si="56"/>
        <v>-2720.3725635000001</v>
      </c>
      <c r="AM98" s="6">
        <f t="shared" ref="AM98:BC98" si="57">AM103-AM99</f>
        <v>-2747.2341581999999</v>
      </c>
      <c r="AN98" s="6">
        <f t="shared" si="57"/>
        <v>-2773.8261402999997</v>
      </c>
      <c r="AO98" s="6">
        <f t="shared" si="57"/>
        <v>-2800.5504092000001</v>
      </c>
      <c r="AP98" s="6">
        <f t="shared" si="57"/>
        <v>-2827.5449441000001</v>
      </c>
      <c r="AQ98" s="6">
        <f t="shared" si="57"/>
        <v>-2854.8631043</v>
      </c>
      <c r="AR98" s="6">
        <f t="shared" si="57"/>
        <v>-2882.5091136999999</v>
      </c>
      <c r="AS98" s="6">
        <f t="shared" si="57"/>
        <v>-2910.6290832999998</v>
      </c>
      <c r="AT98" s="6">
        <f t="shared" si="57"/>
        <v>-2939.1405631000002</v>
      </c>
      <c r="AU98" s="6">
        <f t="shared" si="57"/>
        <v>-2968.0304357999999</v>
      </c>
      <c r="AV98" s="6">
        <f t="shared" si="57"/>
        <v>-2997.2959443</v>
      </c>
      <c r="AW98" s="6">
        <f t="shared" si="57"/>
        <v>-3026.8351425999999</v>
      </c>
      <c r="AX98" s="6">
        <f t="shared" si="57"/>
        <v>-3057.2462298</v>
      </c>
      <c r="AY98" s="6">
        <f t="shared" si="57"/>
        <v>-3088.1544758999999</v>
      </c>
      <c r="AZ98" s="6">
        <f t="shared" si="57"/>
        <v>-3119.4990071000002</v>
      </c>
      <c r="BA98" s="6">
        <f t="shared" si="57"/>
        <v>-3151.2744175000003</v>
      </c>
      <c r="BB98" s="6">
        <f t="shared" si="57"/>
        <v>-3183.4306784999999</v>
      </c>
      <c r="BC98" s="6">
        <f t="shared" si="57"/>
        <v>-3216.2363344</v>
      </c>
      <c r="BD98" s="6">
        <f t="shared" ref="BD98:BF98" si="58">BD103-BD99</f>
        <v>-3249.4906539999997</v>
      </c>
      <c r="BE98" s="6">
        <f t="shared" si="58"/>
        <v>-3283.1498619999998</v>
      </c>
      <c r="BF98" s="6">
        <f t="shared" si="58"/>
        <v>-3317.2022489000001</v>
      </c>
    </row>
    <row r="99" spans="1:58" x14ac:dyDescent="0.35">
      <c r="B99" t="s">
        <v>36</v>
      </c>
      <c r="C99" s="6">
        <f>C101+C102</f>
        <v>-124.14541389999999</v>
      </c>
      <c r="D99" s="6">
        <f t="shared" ref="D99:AL99" si="59">D101+D102</f>
        <v>-117.28668110000001</v>
      </c>
      <c r="E99" s="6">
        <f t="shared" si="59"/>
        <v>-114.13504819999997</v>
      </c>
      <c r="F99" s="6">
        <f t="shared" si="59"/>
        <v>-111.52146340000007</v>
      </c>
      <c r="G99" s="6">
        <f t="shared" si="59"/>
        <v>-109.58685810000003</v>
      </c>
      <c r="H99" s="6">
        <f t="shared" si="59"/>
        <v>-108.46022519999997</v>
      </c>
      <c r="I99" s="6">
        <f t="shared" si="59"/>
        <v>-108.27417390000005</v>
      </c>
      <c r="J99" s="6">
        <f t="shared" si="59"/>
        <v>-108.46764860000008</v>
      </c>
      <c r="K99" s="6">
        <f t="shared" si="59"/>
        <v>-108.98250930000006</v>
      </c>
      <c r="L99" s="6">
        <f t="shared" si="59"/>
        <v>-109.71849710000004</v>
      </c>
      <c r="M99" s="6">
        <f t="shared" si="59"/>
        <v>-110.25425790000008</v>
      </c>
      <c r="N99" s="6">
        <f t="shared" si="59"/>
        <v>-111.51163789999998</v>
      </c>
      <c r="O99" s="6">
        <f t="shared" si="59"/>
        <v>-112.62655749999999</v>
      </c>
      <c r="P99" s="6">
        <f t="shared" si="59"/>
        <v>-113.76493370000003</v>
      </c>
      <c r="Q99" s="6">
        <f t="shared" si="59"/>
        <v>-114.94443060000003</v>
      </c>
      <c r="R99" s="6">
        <f t="shared" si="59"/>
        <v>-116.15809239999999</v>
      </c>
      <c r="S99" s="6">
        <f t="shared" si="59"/>
        <v>-117.42543620000004</v>
      </c>
      <c r="T99" s="6">
        <f t="shared" si="59"/>
        <v>-118.67228390000002</v>
      </c>
      <c r="U99" s="6">
        <f t="shared" si="59"/>
        <v>-119.92577750000009</v>
      </c>
      <c r="V99" s="6">
        <f t="shared" si="59"/>
        <v>-121.18508350000002</v>
      </c>
      <c r="W99" s="6">
        <f t="shared" si="59"/>
        <v>-122.6941789</v>
      </c>
      <c r="X99" s="6">
        <f t="shared" si="59"/>
        <v>-123.77191970000001</v>
      </c>
      <c r="Y99" s="6">
        <f t="shared" si="59"/>
        <v>-124.97213390000002</v>
      </c>
      <c r="Z99" s="6">
        <f t="shared" si="59"/>
        <v>-126.18017099999997</v>
      </c>
      <c r="AA99" s="6">
        <f t="shared" si="59"/>
        <v>-127.37549320000005</v>
      </c>
      <c r="AB99" s="6">
        <f t="shared" si="59"/>
        <v>-129.25924110000005</v>
      </c>
      <c r="AC99" s="6">
        <f t="shared" si="59"/>
        <v>-130.23384799999997</v>
      </c>
      <c r="AD99" s="6">
        <f t="shared" si="59"/>
        <v>-131.34281220000003</v>
      </c>
      <c r="AE99" s="6">
        <f t="shared" si="59"/>
        <v>-132.43019429999993</v>
      </c>
      <c r="AF99" s="6">
        <f t="shared" si="59"/>
        <v>-133.47302280000008</v>
      </c>
      <c r="AG99" s="6">
        <f t="shared" si="59"/>
        <v>-134.47424269999999</v>
      </c>
      <c r="AH99" s="6">
        <f t="shared" si="59"/>
        <v>-135.43299309999998</v>
      </c>
      <c r="AI99" s="6">
        <f t="shared" si="59"/>
        <v>-136.36829009999997</v>
      </c>
      <c r="AJ99" s="6">
        <f t="shared" si="59"/>
        <v>-137.27559359999998</v>
      </c>
      <c r="AK99" s="6">
        <f t="shared" si="59"/>
        <v>-138.15565820000006</v>
      </c>
      <c r="AL99" s="6">
        <f t="shared" si="59"/>
        <v>-139.00956049999991</v>
      </c>
      <c r="AM99" s="6">
        <f t="shared" ref="AM99:BC99" si="60">AM101+AM102</f>
        <v>-139.94818079999993</v>
      </c>
      <c r="AN99" s="6">
        <f t="shared" si="60"/>
        <v>-140.81853269999999</v>
      </c>
      <c r="AO99" s="6">
        <f t="shared" si="60"/>
        <v>-141.64395779999995</v>
      </c>
      <c r="AP99" s="6">
        <f t="shared" si="60"/>
        <v>-142.4302169</v>
      </c>
      <c r="AQ99" s="6">
        <f t="shared" si="60"/>
        <v>-143.18071169999996</v>
      </c>
      <c r="AR99" s="6">
        <f t="shared" si="60"/>
        <v>-143.8901343</v>
      </c>
      <c r="AS99" s="6">
        <f t="shared" si="60"/>
        <v>-144.58220870000002</v>
      </c>
      <c r="AT99" s="6">
        <f t="shared" si="60"/>
        <v>-145.24918089999994</v>
      </c>
      <c r="AU99" s="6">
        <f t="shared" si="60"/>
        <v>-145.89142419999996</v>
      </c>
      <c r="AV99" s="6">
        <f t="shared" si="60"/>
        <v>-146.50990769999999</v>
      </c>
      <c r="AW99" s="6">
        <f t="shared" si="60"/>
        <v>-147.06021739999994</v>
      </c>
      <c r="AX99" s="6">
        <f t="shared" si="60"/>
        <v>-147.63450819999991</v>
      </c>
      <c r="AY99" s="6">
        <f t="shared" si="60"/>
        <v>-148.18696709999995</v>
      </c>
      <c r="AZ99" s="6">
        <f t="shared" si="60"/>
        <v>-148.70849490000001</v>
      </c>
      <c r="BA99" s="6">
        <f t="shared" si="60"/>
        <v>-149.19623249999995</v>
      </c>
      <c r="BB99" s="6">
        <f t="shared" si="60"/>
        <v>-149.62984649999999</v>
      </c>
      <c r="BC99" s="6">
        <f t="shared" si="60"/>
        <v>-150.05034660000001</v>
      </c>
      <c r="BD99" s="6">
        <f t="shared" ref="BD99:BF99" si="61">BD101+BD102</f>
        <v>-150.43341800000007</v>
      </c>
      <c r="BE99" s="6">
        <f t="shared" si="61"/>
        <v>-150.77326600000004</v>
      </c>
      <c r="BF99" s="6">
        <f t="shared" si="61"/>
        <v>-151.06693810000002</v>
      </c>
    </row>
    <row r="100" spans="1:58" x14ac:dyDescent="0.35">
      <c r="B100" t="s">
        <v>33</v>
      </c>
      <c r="C100" s="6">
        <f>[1]Results!F1541</f>
        <v>39996.93838</v>
      </c>
      <c r="D100" s="6">
        <f>[1]Results!G1541</f>
        <v>40118.369729999999</v>
      </c>
      <c r="E100" s="6">
        <f>[1]Results!H1541</f>
        <v>40262.968419999997</v>
      </c>
      <c r="F100" s="6">
        <f>[1]Results!I1541</f>
        <v>40446.479500000001</v>
      </c>
      <c r="G100" s="6">
        <f>[1]Results!J1541</f>
        <v>40679.376750000003</v>
      </c>
      <c r="H100" s="6">
        <f>[1]Results!K1541</f>
        <v>40958.534189999998</v>
      </c>
      <c r="I100" s="6">
        <f>[1]Results!L1541</f>
        <v>41251.202389999999</v>
      </c>
      <c r="J100" s="6">
        <f>[1]Results!M1541</f>
        <v>41563.833489999997</v>
      </c>
      <c r="K100" s="6">
        <f>[1]Results!N1541</f>
        <v>41895.376680000001</v>
      </c>
      <c r="L100" s="6">
        <f>[1]Results!O1541</f>
        <v>42242.696279999996</v>
      </c>
      <c r="M100" s="6">
        <f>[1]Results!P1541</f>
        <v>42639.752899999999</v>
      </c>
      <c r="N100" s="6">
        <f>[1]Results!Q1541</f>
        <v>43016.58109</v>
      </c>
      <c r="O100" s="6">
        <f>[1]Results!R1541</f>
        <v>43391.951979999998</v>
      </c>
      <c r="P100" s="6">
        <f>[1]Results!S1541</f>
        <v>43766.718459999996</v>
      </c>
      <c r="Q100" s="6">
        <f>[1]Results!T1541</f>
        <v>44140.313990000002</v>
      </c>
      <c r="R100" s="6">
        <f>[1]Results!U1541</f>
        <v>44512.300920000001</v>
      </c>
      <c r="S100" s="6">
        <f>[1]Results!V1541</f>
        <v>44879.852070000001</v>
      </c>
      <c r="T100" s="6">
        <f>[1]Results!W1541</f>
        <v>45245.42699</v>
      </c>
      <c r="U100" s="6">
        <f>[1]Results!X1541</f>
        <v>45609.768150000004</v>
      </c>
      <c r="V100" s="6">
        <f>[1]Results!Y1541</f>
        <v>45973.67166</v>
      </c>
      <c r="W100" s="6">
        <f>[1]Results!Z1541</f>
        <v>46310.626020000003</v>
      </c>
      <c r="X100" s="6">
        <f>[1]Results!AA1541</f>
        <v>46667.261630000001</v>
      </c>
      <c r="Y100" s="6">
        <f>[1]Results!AB1541</f>
        <v>47030.270969999998</v>
      </c>
      <c r="Z100" s="6">
        <f>[1]Results!AC1541</f>
        <v>47398.540500000003</v>
      </c>
      <c r="AA100" s="6">
        <f>[1]Results!AD1541</f>
        <v>47772.360959999998</v>
      </c>
      <c r="AB100" s="6">
        <f>[1]Results!AE1541</f>
        <v>48074.751369999998</v>
      </c>
      <c r="AC100" s="6">
        <f>[1]Results!AF1541</f>
        <v>48399.822749999999</v>
      </c>
      <c r="AD100" s="6">
        <f>[1]Results!AG1541</f>
        <v>48730.86634</v>
      </c>
      <c r="AE100" s="6">
        <f>[1]Results!AH1541</f>
        <v>49067.683210000003</v>
      </c>
      <c r="AF100" s="6">
        <f>[1]Results!AI1541</f>
        <v>49411.371959999997</v>
      </c>
      <c r="AG100" s="6">
        <f>[1]Results!AJ1541</f>
        <v>49763.034169999999</v>
      </c>
      <c r="AH100" s="6">
        <f>[1]Results!AK1541</f>
        <v>50124.189740000002</v>
      </c>
      <c r="AI100" s="6">
        <f>[1]Results!AL1541</f>
        <v>50495.06637</v>
      </c>
      <c r="AJ100" s="6">
        <f>[1]Results!AM1541</f>
        <v>50876.122280000003</v>
      </c>
      <c r="AK100" s="6">
        <f>[1]Results!AN1541</f>
        <v>51267.655059999997</v>
      </c>
      <c r="AL100" s="6">
        <f>[1]Results!AO1541</f>
        <v>51669.80143</v>
      </c>
      <c r="AM100" s="6">
        <f>[1]Results!AP1541</f>
        <v>52069.774859999998</v>
      </c>
      <c r="AN100" s="6">
        <f>[1]Results!AQ1541</f>
        <v>52475.022129999998</v>
      </c>
      <c r="AO100" s="6">
        <f>[1]Results!AR1541</f>
        <v>52887.474670000003</v>
      </c>
      <c r="AP100" s="6">
        <f>[1]Results!AS1541</f>
        <v>53307.930229999998</v>
      </c>
      <c r="AQ100" s="6">
        <f>[1]Results!AT1541</f>
        <v>53736.768819999998</v>
      </c>
      <c r="AR100" s="6">
        <f>[1]Results!AU1541</f>
        <v>54175.00505</v>
      </c>
      <c r="AS100" s="6">
        <f>[1]Results!AV1541</f>
        <v>54622.040999999997</v>
      </c>
      <c r="AT100" s="6">
        <f>[1]Results!AW1541</f>
        <v>55077.81134</v>
      </c>
      <c r="AU100" s="6">
        <f>[1]Results!AX1541</f>
        <v>55542.234349999999</v>
      </c>
      <c r="AV100" s="6">
        <f>[1]Results!AY1541</f>
        <v>56015.209239999996</v>
      </c>
      <c r="AW100" s="6">
        <f>[1]Results!AZ1541</f>
        <v>56501.388659999997</v>
      </c>
      <c r="AX100" s="6">
        <f>[1]Results!BA1541</f>
        <v>56998.029629999997</v>
      </c>
      <c r="AY100" s="6">
        <f>[1]Results!BB1541</f>
        <v>57505.237260000002</v>
      </c>
      <c r="AZ100" s="6">
        <f>[1]Results!BC1541</f>
        <v>58023.157339999998</v>
      </c>
      <c r="BA100" s="6">
        <f>[1]Results!BD1541</f>
        <v>58551.781999999999</v>
      </c>
      <c r="BB100" s="6">
        <f>[1]Results!BE1541</f>
        <v>59092.767370000001</v>
      </c>
      <c r="BC100" s="6">
        <f>[1]Results!BF1541</f>
        <v>59644.604249999997</v>
      </c>
      <c r="BD100" s="6">
        <f>[1]Results!BG1541</f>
        <v>60207.102050000001</v>
      </c>
      <c r="BE100" s="6">
        <f>[1]Results!BH1541</f>
        <v>60780.19412</v>
      </c>
      <c r="BF100" s="6">
        <f>[1]Results!BI1541</f>
        <v>61363.878259999998</v>
      </c>
    </row>
    <row r="101" spans="1:58" x14ac:dyDescent="0.35">
      <c r="B101" t="s">
        <v>35</v>
      </c>
      <c r="C101" s="6">
        <f>[1]Results!F1538</f>
        <v>-607.24778779999997</v>
      </c>
      <c r="D101" s="6">
        <f>[1]Results!G1538</f>
        <v>-602.04486919999999</v>
      </c>
      <c r="E101" s="6">
        <f>[1]Results!H1538</f>
        <v>-601.55610279999996</v>
      </c>
      <c r="F101" s="6">
        <f>[1]Results!I1538</f>
        <v>-602.17483230000005</v>
      </c>
      <c r="G101" s="6">
        <f>[1]Results!J1538</f>
        <v>-604.05185270000004</v>
      </c>
      <c r="H101" s="6">
        <f>[1]Results!K1538</f>
        <v>-607.28381899999999</v>
      </c>
      <c r="I101" s="6">
        <f>[1]Results!L1538</f>
        <v>-611.58302330000004</v>
      </c>
      <c r="J101" s="6">
        <f>[1]Results!M1538</f>
        <v>-616.57648630000006</v>
      </c>
      <c r="K101" s="6">
        <f>[1]Results!N1538</f>
        <v>-622.19115650000003</v>
      </c>
      <c r="L101" s="6">
        <f>[1]Results!O1538</f>
        <v>-628.28214960000003</v>
      </c>
      <c r="M101" s="6">
        <f>[1]Results!P1538</f>
        <v>-634.93064690000006</v>
      </c>
      <c r="N101" s="6">
        <f>[1]Results!Q1538</f>
        <v>-642.03180889999999</v>
      </c>
      <c r="O101" s="6">
        <f>[1]Results!R1538</f>
        <v>-649.03606230000003</v>
      </c>
      <c r="P101" s="6">
        <f>[1]Results!S1538</f>
        <v>-656.12944870000001</v>
      </c>
      <c r="Q101" s="6">
        <f>[1]Results!T1538</f>
        <v>-663.32005770000001</v>
      </c>
      <c r="R101" s="6">
        <f>[1]Results!U1538</f>
        <v>-670.59165559999997</v>
      </c>
      <c r="S101" s="6">
        <f>[1]Results!V1538</f>
        <v>-677.90502230000004</v>
      </c>
      <c r="T101" s="6">
        <f>[1]Results!W1538</f>
        <v>-685.2290544</v>
      </c>
      <c r="U101" s="6">
        <f>[1]Results!X1538</f>
        <v>-692.59639030000005</v>
      </c>
      <c r="V101" s="6">
        <f>[1]Results!Y1538</f>
        <v>-700.01032880000002</v>
      </c>
      <c r="W101" s="6">
        <f>[1]Results!Z1538</f>
        <v>-707.32371239999998</v>
      </c>
      <c r="X101" s="6">
        <f>[1]Results!AA1538</f>
        <v>-714.53276310000001</v>
      </c>
      <c r="Y101" s="6">
        <f>[1]Results!AB1538</f>
        <v>-721.97620970000003</v>
      </c>
      <c r="Z101" s="6">
        <f>[1]Results!AC1538</f>
        <v>-729.5154675</v>
      </c>
      <c r="AA101" s="6">
        <f>[1]Results!AD1538</f>
        <v>-737.12796730000002</v>
      </c>
      <c r="AB101" s="6">
        <f>[1]Results!AE1538</f>
        <v>-744.39204740000002</v>
      </c>
      <c r="AC101" s="6">
        <f>[1]Results!AF1538</f>
        <v>-751.10811279999996</v>
      </c>
      <c r="AD101" s="6">
        <f>[1]Results!AG1538</f>
        <v>-758.0390936</v>
      </c>
      <c r="AE101" s="6">
        <f>[1]Results!AH1538</f>
        <v>-765.01523999999995</v>
      </c>
      <c r="AF101" s="6">
        <f>[1]Results!AI1538</f>
        <v>-772.02253740000003</v>
      </c>
      <c r="AG101" s="6">
        <f>[1]Results!AJ1538</f>
        <v>-779.07394799999997</v>
      </c>
      <c r="AH101" s="6">
        <f>[1]Results!AK1538</f>
        <v>-786.18980790000001</v>
      </c>
      <c r="AI101" s="6">
        <f>[1]Results!AL1538</f>
        <v>-793.38687949999996</v>
      </c>
      <c r="AJ101" s="6">
        <f>[1]Results!AM1538</f>
        <v>-800.66539039999998</v>
      </c>
      <c r="AK101" s="6">
        <f>[1]Results!AN1538</f>
        <v>-808.02982540000005</v>
      </c>
      <c r="AL101" s="6">
        <f>[1]Results!AO1538</f>
        <v>-815.48358529999996</v>
      </c>
      <c r="AM101" s="6">
        <f>[1]Results!AP1538</f>
        <v>-822.97820049999996</v>
      </c>
      <c r="AN101" s="6">
        <f>[1]Results!AQ1538</f>
        <v>-830.45357639999997</v>
      </c>
      <c r="AO101" s="6">
        <f>[1]Results!AR1538</f>
        <v>-837.95865409999999</v>
      </c>
      <c r="AP101" s="6">
        <f>[1]Results!AS1538</f>
        <v>-845.5111733</v>
      </c>
      <c r="AQ101" s="6">
        <f>[1]Results!AT1538</f>
        <v>-853.12141999999994</v>
      </c>
      <c r="AR101" s="6">
        <f>[1]Results!AU1538</f>
        <v>-860.80490829999997</v>
      </c>
      <c r="AS101" s="6">
        <f>[1]Results!AV1538</f>
        <v>-868.57444740000005</v>
      </c>
      <c r="AT101" s="6">
        <f>[1]Results!AW1538</f>
        <v>-876.42275059999997</v>
      </c>
      <c r="AU101" s="6">
        <f>[1]Results!AX1538</f>
        <v>-884.35083239999994</v>
      </c>
      <c r="AV101" s="6">
        <f>[1]Results!AY1538</f>
        <v>-892.35983120000003</v>
      </c>
      <c r="AW101" s="6">
        <f>[1]Results!AZ1538</f>
        <v>-900.48496009999997</v>
      </c>
      <c r="AX101" s="6">
        <f>[1]Results!BA1538</f>
        <v>-908.75765579999995</v>
      </c>
      <c r="AY101" s="6">
        <f>[1]Results!BB1538</f>
        <v>-917.12636239999995</v>
      </c>
      <c r="AZ101" s="6">
        <f>[1]Results!BC1538</f>
        <v>-925.58073360000003</v>
      </c>
      <c r="BA101" s="6">
        <f>[1]Results!BD1538</f>
        <v>-934.11683029999995</v>
      </c>
      <c r="BB101" s="6">
        <f>[1]Results!BE1538</f>
        <v>-942.74770809999995</v>
      </c>
      <c r="BC101" s="6">
        <f>[1]Results!BF1538</f>
        <v>-951.48437720000004</v>
      </c>
      <c r="BD101" s="6">
        <f>[1]Results!BG1538</f>
        <v>-960.29914380000002</v>
      </c>
      <c r="BE101" s="6">
        <f>[1]Results!BH1538</f>
        <v>-969.18531340000004</v>
      </c>
      <c r="BF101" s="6">
        <f>[1]Results!BI1538</f>
        <v>-978.139635</v>
      </c>
    </row>
    <row r="102" spans="1:58" x14ac:dyDescent="0.35">
      <c r="B102" t="s">
        <v>34</v>
      </c>
      <c r="C102" s="6">
        <f>[1]Results!F1540</f>
        <v>483.10237389999998</v>
      </c>
      <c r="D102" s="6">
        <f>[1]Results!G1540</f>
        <v>484.75818809999998</v>
      </c>
      <c r="E102" s="6">
        <f>[1]Results!H1540</f>
        <v>487.42105459999999</v>
      </c>
      <c r="F102" s="6">
        <f>[1]Results!I1540</f>
        <v>490.65336889999998</v>
      </c>
      <c r="G102" s="6">
        <f>[1]Results!J1540</f>
        <v>494.46499460000001</v>
      </c>
      <c r="H102" s="6">
        <f>[1]Results!K1540</f>
        <v>498.82359380000003</v>
      </c>
      <c r="I102" s="6">
        <f>[1]Results!L1540</f>
        <v>503.30884939999999</v>
      </c>
      <c r="J102" s="6">
        <f>[1]Results!M1540</f>
        <v>508.10883769999998</v>
      </c>
      <c r="K102" s="6">
        <f>[1]Results!N1540</f>
        <v>513.20864719999997</v>
      </c>
      <c r="L102" s="6">
        <f>[1]Results!O1540</f>
        <v>518.56365249999999</v>
      </c>
      <c r="M102" s="6">
        <f>[1]Results!P1540</f>
        <v>524.67638899999997</v>
      </c>
      <c r="N102" s="6">
        <f>[1]Results!Q1540</f>
        <v>530.520171</v>
      </c>
      <c r="O102" s="6">
        <f>[1]Results!R1540</f>
        <v>536.40950480000004</v>
      </c>
      <c r="P102" s="6">
        <f>[1]Results!S1540</f>
        <v>542.36451499999998</v>
      </c>
      <c r="Q102" s="6">
        <f>[1]Results!T1540</f>
        <v>548.37562709999997</v>
      </c>
      <c r="R102" s="6">
        <f>[1]Results!U1540</f>
        <v>554.43356319999998</v>
      </c>
      <c r="S102" s="6">
        <f>[1]Results!V1540</f>
        <v>560.47958610000001</v>
      </c>
      <c r="T102" s="6">
        <f>[1]Results!W1540</f>
        <v>566.55677049999997</v>
      </c>
      <c r="U102" s="6">
        <f>[1]Results!X1540</f>
        <v>572.67061279999996</v>
      </c>
      <c r="V102" s="6">
        <f>[1]Results!Y1540</f>
        <v>578.82524530000001</v>
      </c>
      <c r="W102" s="6">
        <f>[1]Results!Z1540</f>
        <v>584.62953349999998</v>
      </c>
      <c r="X102" s="6">
        <f>[1]Results!AA1540</f>
        <v>590.7608434</v>
      </c>
      <c r="Y102" s="6">
        <f>[1]Results!AB1540</f>
        <v>597.00407580000001</v>
      </c>
      <c r="Z102" s="6">
        <f>[1]Results!AC1540</f>
        <v>603.33529650000003</v>
      </c>
      <c r="AA102" s="6">
        <f>[1]Results!AD1540</f>
        <v>609.75247409999997</v>
      </c>
      <c r="AB102" s="6">
        <f>[1]Results!AE1540</f>
        <v>615.13280629999997</v>
      </c>
      <c r="AC102" s="6">
        <f>[1]Results!AF1540</f>
        <v>620.87426479999999</v>
      </c>
      <c r="AD102" s="6">
        <f>[1]Results!AG1540</f>
        <v>626.69628139999998</v>
      </c>
      <c r="AE102" s="6">
        <f>[1]Results!AH1540</f>
        <v>632.58504570000002</v>
      </c>
      <c r="AF102" s="6">
        <f>[1]Results!AI1540</f>
        <v>638.54951459999995</v>
      </c>
      <c r="AG102" s="6">
        <f>[1]Results!AJ1540</f>
        <v>644.59970529999998</v>
      </c>
      <c r="AH102" s="6">
        <f>[1]Results!AK1540</f>
        <v>650.75681480000003</v>
      </c>
      <c r="AI102" s="6">
        <f>[1]Results!AL1540</f>
        <v>657.0185894</v>
      </c>
      <c r="AJ102" s="6">
        <f>[1]Results!AM1540</f>
        <v>663.3897968</v>
      </c>
      <c r="AK102" s="6">
        <f>[1]Results!AN1540</f>
        <v>669.87416719999999</v>
      </c>
      <c r="AL102" s="6">
        <f>[1]Results!AO1540</f>
        <v>676.47402480000005</v>
      </c>
      <c r="AM102" s="6">
        <f>[1]Results!AP1540</f>
        <v>683.03001970000003</v>
      </c>
      <c r="AN102" s="6">
        <f>[1]Results!AQ1540</f>
        <v>689.63504369999998</v>
      </c>
      <c r="AO102" s="6">
        <f>[1]Results!AR1540</f>
        <v>696.31469630000004</v>
      </c>
      <c r="AP102" s="6">
        <f>[1]Results!AS1540</f>
        <v>703.08095639999999</v>
      </c>
      <c r="AQ102" s="6">
        <f>[1]Results!AT1540</f>
        <v>709.94070829999998</v>
      </c>
      <c r="AR102" s="6">
        <f>[1]Results!AU1540</f>
        <v>716.91477399999997</v>
      </c>
      <c r="AS102" s="6">
        <f>[1]Results!AV1540</f>
        <v>723.99223870000003</v>
      </c>
      <c r="AT102" s="6">
        <f>[1]Results!AW1540</f>
        <v>731.17356970000003</v>
      </c>
      <c r="AU102" s="6">
        <f>[1]Results!AX1540</f>
        <v>738.45940819999998</v>
      </c>
      <c r="AV102" s="6">
        <f>[1]Results!AY1540</f>
        <v>745.84992350000005</v>
      </c>
      <c r="AW102" s="6">
        <f>[1]Results!AZ1540</f>
        <v>753.42474270000002</v>
      </c>
      <c r="AX102" s="6">
        <f>[1]Results!BA1540</f>
        <v>761.12314760000004</v>
      </c>
      <c r="AY102" s="6">
        <f>[1]Results!BB1540</f>
        <v>768.9393953</v>
      </c>
      <c r="AZ102" s="6">
        <f>[1]Results!BC1540</f>
        <v>776.87223870000003</v>
      </c>
      <c r="BA102" s="6">
        <f>[1]Results!BD1540</f>
        <v>784.9205978</v>
      </c>
      <c r="BB102" s="6">
        <f>[1]Results!BE1540</f>
        <v>793.11786159999997</v>
      </c>
      <c r="BC102" s="6">
        <f>[1]Results!BF1540</f>
        <v>801.43403060000003</v>
      </c>
      <c r="BD102" s="6">
        <f>[1]Results!BG1540</f>
        <v>809.86572579999995</v>
      </c>
      <c r="BE102" s="6">
        <f>[1]Results!BH1540</f>
        <v>818.41204740000001</v>
      </c>
      <c r="BF102" s="6">
        <f>[1]Results!BI1540</f>
        <v>827.07269689999998</v>
      </c>
    </row>
    <row r="103" spans="1:58" x14ac:dyDescent="0.35">
      <c r="B103" t="s">
        <v>37</v>
      </c>
      <c r="C103" s="6">
        <f>[1]Results!F1537</f>
        <v>-2144.109794</v>
      </c>
      <c r="D103" s="6">
        <f>[1]Results!G1537</f>
        <v>-2088.6828420000002</v>
      </c>
      <c r="E103" s="6">
        <f>[1]Results!H1537</f>
        <v>-2083.2294029999998</v>
      </c>
      <c r="F103" s="6">
        <f>[1]Results!I1537</f>
        <v>-2087.2735899999998</v>
      </c>
      <c r="G103" s="6">
        <f>[1]Results!J1537</f>
        <v>-2095.989309</v>
      </c>
      <c r="H103" s="6">
        <f>[1]Results!K1537</f>
        <v>-2109.3086640000001</v>
      </c>
      <c r="I103" s="6">
        <f>[1]Results!L1537</f>
        <v>-2127.2405220000001</v>
      </c>
      <c r="J103" s="6">
        <f>[1]Results!M1537</f>
        <v>-2146.4134479999998</v>
      </c>
      <c r="K103" s="6">
        <f>[1]Results!N1537</f>
        <v>-2167.4063160000001</v>
      </c>
      <c r="L103" s="6">
        <f>[1]Results!O1537</f>
        <v>-2189.9612350000002</v>
      </c>
      <c r="M103" s="6">
        <f>[1]Results!P1537</f>
        <v>-2212.872601</v>
      </c>
      <c r="N103" s="6">
        <f>[1]Results!Q1537</f>
        <v>-2240.7337499999999</v>
      </c>
      <c r="O103" s="6">
        <f>[1]Results!R1537</f>
        <v>-2266.583881</v>
      </c>
      <c r="P103" s="6">
        <f>[1]Results!S1537</f>
        <v>-2292.2501010000001</v>
      </c>
      <c r="Q103" s="6">
        <f>[1]Results!T1537</f>
        <v>-2318.060422</v>
      </c>
      <c r="R103" s="6">
        <f>[1]Results!U1537</f>
        <v>-2344.0241719999999</v>
      </c>
      <c r="S103" s="6">
        <f>[1]Results!V1537</f>
        <v>-2370.2117370000001</v>
      </c>
      <c r="T103" s="6">
        <f>[1]Results!W1537</f>
        <v>-2396.1211680000001</v>
      </c>
      <c r="U103" s="6">
        <f>[1]Results!X1537</f>
        <v>-2422.0856910000002</v>
      </c>
      <c r="V103" s="6">
        <f>[1]Results!Y1537</f>
        <v>-2448.1788029999998</v>
      </c>
      <c r="W103" s="6">
        <f>[1]Results!Z1537</f>
        <v>-2475.024128</v>
      </c>
      <c r="X103" s="6">
        <f>[1]Results!AA1537</f>
        <v>-2499.1643800000002</v>
      </c>
      <c r="Y103" s="6">
        <f>[1]Results!AB1537</f>
        <v>-2525.1297439999998</v>
      </c>
      <c r="Z103" s="6">
        <f>[1]Results!AC1537</f>
        <v>-2551.719713</v>
      </c>
      <c r="AA103" s="6">
        <f>[1]Results!AD1537</f>
        <v>-2578.6731239999999</v>
      </c>
      <c r="AB103" s="6">
        <f>[1]Results!AE1537</f>
        <v>-2607.6487870000001</v>
      </c>
      <c r="AC103" s="6">
        <f>[1]Results!AF1537</f>
        <v>-2629.5170819999998</v>
      </c>
      <c r="AD103" s="6">
        <f>[1]Results!AG1537</f>
        <v>-2653.4319959999998</v>
      </c>
      <c r="AE103" s="6">
        <f>[1]Results!AH1537</f>
        <v>-2677.9395469999999</v>
      </c>
      <c r="AF103" s="6">
        <f>[1]Results!AI1537</f>
        <v>-2702.7550030000002</v>
      </c>
      <c r="AG103" s="6">
        <f>[1]Results!AJ1537</f>
        <v>-2727.870359</v>
      </c>
      <c r="AH103" s="6">
        <f>[1]Results!AK1537</f>
        <v>-2753.3005320000002</v>
      </c>
      <c r="AI103" s="6">
        <f>[1]Results!AL1537</f>
        <v>-2779.1910830000002</v>
      </c>
      <c r="AJ103" s="6">
        <f>[1]Results!AM1537</f>
        <v>-2805.4974219999999</v>
      </c>
      <c r="AK103" s="6">
        <f>[1]Results!AN1537</f>
        <v>-2832.2249619999998</v>
      </c>
      <c r="AL103" s="6">
        <f>[1]Results!AO1537</f>
        <v>-2859.3821240000002</v>
      </c>
      <c r="AM103" s="6">
        <f>[1]Results!AP1537</f>
        <v>-2887.182339</v>
      </c>
      <c r="AN103" s="6">
        <f>[1]Results!AQ1537</f>
        <v>-2914.6446729999998</v>
      </c>
      <c r="AO103" s="6">
        <f>[1]Results!AR1537</f>
        <v>-2942.1943670000001</v>
      </c>
      <c r="AP103" s="6">
        <f>[1]Results!AS1537</f>
        <v>-2969.9751609999998</v>
      </c>
      <c r="AQ103" s="6">
        <f>[1]Results!AT1537</f>
        <v>-2998.0438159999999</v>
      </c>
      <c r="AR103" s="6">
        <f>[1]Results!AU1537</f>
        <v>-3026.3992480000002</v>
      </c>
      <c r="AS103" s="6">
        <f>[1]Results!AV1537</f>
        <v>-3055.211292</v>
      </c>
      <c r="AT103" s="6">
        <f>[1]Results!AW1537</f>
        <v>-3084.3897440000001</v>
      </c>
      <c r="AU103" s="6">
        <f>[1]Results!AX1537</f>
        <v>-3113.9218599999999</v>
      </c>
      <c r="AV103" s="6">
        <f>[1]Results!AY1537</f>
        <v>-3143.805852</v>
      </c>
      <c r="AW103" s="6">
        <f>[1]Results!AZ1537</f>
        <v>-3173.89536</v>
      </c>
      <c r="AX103" s="6">
        <f>[1]Results!BA1537</f>
        <v>-3204.8807379999998</v>
      </c>
      <c r="AY103" s="6">
        <f>[1]Results!BB1537</f>
        <v>-3236.3414429999998</v>
      </c>
      <c r="AZ103" s="6">
        <f>[1]Results!BC1537</f>
        <v>-3268.2075020000002</v>
      </c>
      <c r="BA103" s="6">
        <f>[1]Results!BD1537</f>
        <v>-3300.4706500000002</v>
      </c>
      <c r="BB103" s="6">
        <f>[1]Results!BE1537</f>
        <v>-3333.0605249999999</v>
      </c>
      <c r="BC103" s="6">
        <f>[1]Results!BF1537</f>
        <v>-3366.286681</v>
      </c>
      <c r="BD103" s="6">
        <f>[1]Results!BG1537</f>
        <v>-3399.9240719999998</v>
      </c>
      <c r="BE103" s="6">
        <f>[1]Results!BH1537</f>
        <v>-3433.9231279999999</v>
      </c>
      <c r="BF103" s="6">
        <f>[1]Results!BI1537</f>
        <v>-3468.2691869999999</v>
      </c>
    </row>
    <row r="104" spans="1:58" x14ac:dyDescent="0.35"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</row>
    <row r="106" spans="1:58" x14ac:dyDescent="0.35">
      <c r="A106" s="12" t="s">
        <v>79</v>
      </c>
      <c r="B106" t="s">
        <v>14</v>
      </c>
      <c r="C106" s="7" t="s">
        <v>15</v>
      </c>
      <c r="D106" s="7" t="s">
        <v>16</v>
      </c>
      <c r="E106" s="7" t="s">
        <v>17</v>
      </c>
    </row>
    <row r="107" spans="1:58" x14ac:dyDescent="0.35">
      <c r="A107" t="s">
        <v>80</v>
      </c>
      <c r="B107" t="s">
        <v>27</v>
      </c>
      <c r="C107" s="4">
        <f>(R93-R79)/R79</f>
        <v>-4.2396278684210247E-2</v>
      </c>
      <c r="D107" s="10">
        <f>(AB93-AB79)/AB79</f>
        <v>-5.2262659412179634E-2</v>
      </c>
      <c r="E107" s="10">
        <f>(AL93-AL79)/AL79</f>
        <v>-6.1070354842462406E-2</v>
      </c>
    </row>
    <row r="108" spans="1:58" x14ac:dyDescent="0.35">
      <c r="B108" t="s">
        <v>7</v>
      </c>
      <c r="C108" s="4">
        <f t="shared" ref="C108:C114" si="62">(R94-R82)/R82</f>
        <v>-5.0395074553683673E-2</v>
      </c>
      <c r="D108" s="4">
        <f t="shared" ref="D108:D114" si="63">(AB94-AB82)/AB82</f>
        <v>-6.1144198278742588E-2</v>
      </c>
      <c r="E108" s="4">
        <f t="shared" ref="E108:E114" si="64">(AL94-AL82)/AL82</f>
        <v>-7.2872079923104835E-2</v>
      </c>
      <c r="Q108" s="5"/>
      <c r="U108" s="5"/>
      <c r="V108" s="5"/>
      <c r="Y108" s="5"/>
      <c r="Z108" s="5"/>
      <c r="AA108" s="5"/>
    </row>
    <row r="109" spans="1:58" x14ac:dyDescent="0.35">
      <c r="B109" t="s">
        <v>30</v>
      </c>
      <c r="C109" s="4">
        <f t="shared" si="62"/>
        <v>-6.1225074214842037E-2</v>
      </c>
      <c r="D109" s="4">
        <f t="shared" si="63"/>
        <v>-8.0716307943719728E-2</v>
      </c>
      <c r="E109" s="4">
        <f t="shared" si="64"/>
        <v>-9.5290840235190147E-2</v>
      </c>
      <c r="Q109" s="5"/>
      <c r="U109" s="5"/>
      <c r="V109" s="5"/>
      <c r="Y109" s="5"/>
      <c r="Z109" s="5"/>
      <c r="AA109" s="5"/>
    </row>
    <row r="110" spans="1:58" x14ac:dyDescent="0.35">
      <c r="B110" t="s">
        <v>9</v>
      </c>
      <c r="C110" s="4">
        <f t="shared" si="62"/>
        <v>-4.7661213931507879E-2</v>
      </c>
      <c r="D110" s="4">
        <f t="shared" si="63"/>
        <v>-5.9694106977493486E-2</v>
      </c>
      <c r="E110" s="4">
        <f t="shared" si="64"/>
        <v>-7.1817371216760822E-2</v>
      </c>
      <c r="Q110" s="5"/>
      <c r="U110" s="5"/>
      <c r="V110" s="5"/>
      <c r="Y110" s="5"/>
      <c r="Z110" s="5"/>
      <c r="AA110" s="5"/>
    </row>
    <row r="111" spans="1:58" x14ac:dyDescent="0.35">
      <c r="B111" t="s">
        <v>10</v>
      </c>
      <c r="C111" s="4">
        <f t="shared" si="62"/>
        <v>-3.8171772560379756E-2</v>
      </c>
      <c r="D111" s="4">
        <f t="shared" si="63"/>
        <v>-4.5776153245825693E-2</v>
      </c>
      <c r="E111" s="4">
        <f t="shared" si="64"/>
        <v>-5.2976195354255594E-2</v>
      </c>
      <c r="Q111" s="5"/>
      <c r="U111" s="5"/>
      <c r="V111" s="5"/>
      <c r="Y111" s="5"/>
      <c r="Z111" s="5"/>
      <c r="AA111" s="5"/>
    </row>
    <row r="112" spans="1:58" x14ac:dyDescent="0.35">
      <c r="B112" t="s">
        <v>29</v>
      </c>
      <c r="C112" s="4">
        <f t="shared" si="62"/>
        <v>3.0909288203201674E-2</v>
      </c>
      <c r="D112" s="4">
        <f t="shared" si="63"/>
        <v>3.8924838248652199E-2</v>
      </c>
      <c r="E112" s="4">
        <f t="shared" si="64"/>
        <v>4.5055602497480411E-2</v>
      </c>
      <c r="Q112" s="5"/>
      <c r="U112" s="5"/>
      <c r="V112" s="5"/>
      <c r="Y112" s="5"/>
      <c r="Z112" s="5"/>
      <c r="AA112" s="5"/>
    </row>
    <row r="113" spans="1:58" x14ac:dyDescent="0.35">
      <c r="B113" t="s">
        <v>36</v>
      </c>
      <c r="C113" s="4">
        <f t="shared" si="62"/>
        <v>-0.47001325201247857</v>
      </c>
      <c r="D113" s="4">
        <f t="shared" si="63"/>
        <v>-0.58422092182722474</v>
      </c>
      <c r="E113" s="4">
        <f t="shared" si="64"/>
        <v>-0.65412293446314551</v>
      </c>
      <c r="Q113" s="5"/>
      <c r="U113" s="5"/>
      <c r="V113" s="5"/>
      <c r="Y113" s="5"/>
      <c r="Z113" s="5"/>
      <c r="AA113" s="5"/>
    </row>
    <row r="114" spans="1:58" x14ac:dyDescent="0.35">
      <c r="B114" t="s">
        <v>33</v>
      </c>
      <c r="C114" s="4">
        <f t="shared" si="62"/>
        <v>-3.2456914580622706E-2</v>
      </c>
      <c r="D114" s="4">
        <f t="shared" si="63"/>
        <v>-4.2737694359088439E-2</v>
      </c>
      <c r="E114" s="4">
        <f t="shared" si="64"/>
        <v>-5.5710149087477914E-2</v>
      </c>
      <c r="Q114" s="5"/>
      <c r="U114" s="5"/>
      <c r="V114" s="5"/>
      <c r="Y114" s="5"/>
      <c r="Z114" s="5"/>
      <c r="AA114" s="5"/>
    </row>
    <row r="115" spans="1:58" x14ac:dyDescent="0.35"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</row>
    <row r="116" spans="1:58" x14ac:dyDescent="0.35">
      <c r="A116" s="12" t="s">
        <v>79</v>
      </c>
      <c r="B116" t="s">
        <v>14</v>
      </c>
      <c r="C116" s="7" t="s">
        <v>15</v>
      </c>
      <c r="D116" s="7" t="s">
        <v>16</v>
      </c>
      <c r="E116" s="7" t="s">
        <v>17</v>
      </c>
    </row>
    <row r="117" spans="1:58" x14ac:dyDescent="0.35">
      <c r="A117" t="s">
        <v>81</v>
      </c>
      <c r="B117" t="s">
        <v>7</v>
      </c>
      <c r="C117" s="4">
        <f>R94/R82-1</f>
        <v>-5.0395074553683639E-2</v>
      </c>
      <c r="D117" s="4">
        <f>AB94/AB82-1</f>
        <v>-6.1144198278742623E-2</v>
      </c>
      <c r="E117" s="4">
        <f>AL94/AL82-1</f>
        <v>-7.2872079923104849E-2</v>
      </c>
    </row>
    <row r="118" spans="1:58" x14ac:dyDescent="0.35">
      <c r="B118" t="s">
        <v>30</v>
      </c>
      <c r="C118" s="4">
        <f>R95/R83-1</f>
        <v>-6.1225074214842024E-2</v>
      </c>
      <c r="D118" s="4">
        <f>AB95/AB83-1</f>
        <v>-8.0716307943719756E-2</v>
      </c>
      <c r="E118" s="4">
        <f>AL95/AL83-1</f>
        <v>-9.5290840235190188E-2</v>
      </c>
    </row>
    <row r="119" spans="1:58" x14ac:dyDescent="0.35">
      <c r="B119" t="s">
        <v>9</v>
      </c>
      <c r="C119" s="4">
        <f>R96/R84-1</f>
        <v>-4.7661213931507906E-2</v>
      </c>
      <c r="D119" s="4">
        <f>AB96/AB84-1</f>
        <v>-5.9694106977493444E-2</v>
      </c>
      <c r="E119" s="4">
        <f>AL96/AL84-1</f>
        <v>-7.1817371216760795E-2</v>
      </c>
    </row>
    <row r="120" spans="1:58" x14ac:dyDescent="0.35">
      <c r="B120" t="s">
        <v>10</v>
      </c>
      <c r="C120" s="4">
        <f>R97/R85-1</f>
        <v>-3.8171772560379735E-2</v>
      </c>
      <c r="D120" s="4">
        <f>AB97/AB85-1</f>
        <v>-4.5776153245825735E-2</v>
      </c>
      <c r="E120" s="4">
        <f>AL97/AL85-1</f>
        <v>-5.2976195354255573E-2</v>
      </c>
    </row>
    <row r="121" spans="1:58" x14ac:dyDescent="0.35">
      <c r="B121" t="s">
        <v>29</v>
      </c>
      <c r="C121" s="4">
        <f>R98/R86-1</f>
        <v>3.0909288203201601E-2</v>
      </c>
      <c r="D121" s="4">
        <f>AB98/AB86-1</f>
        <v>3.8924838248652227E-2</v>
      </c>
      <c r="E121" s="4">
        <f>AL98/AL86-1</f>
        <v>4.5055602497480418E-2</v>
      </c>
    </row>
    <row r="122" spans="1:58" x14ac:dyDescent="0.35">
      <c r="B122" t="s">
        <v>33</v>
      </c>
      <c r="C122" s="4">
        <f>R100/R88-1</f>
        <v>-3.245691458062272E-2</v>
      </c>
      <c r="D122" s="4">
        <f>AB100/AB88-1</f>
        <v>-4.2737694359088474E-2</v>
      </c>
      <c r="E122" s="4">
        <f>AL100/AL88-1</f>
        <v>-5.5710149087477956E-2</v>
      </c>
    </row>
    <row r="124" spans="1:58" x14ac:dyDescent="0.35">
      <c r="A124" s="12" t="s">
        <v>82</v>
      </c>
      <c r="C124" s="2">
        <v>42005</v>
      </c>
      <c r="D124" s="2">
        <v>42370</v>
      </c>
      <c r="E124" s="2">
        <v>42736</v>
      </c>
      <c r="F124" s="2">
        <v>43101</v>
      </c>
      <c r="G124" s="2">
        <v>43466</v>
      </c>
      <c r="H124" s="2">
        <v>43831</v>
      </c>
      <c r="I124" s="2">
        <v>44197</v>
      </c>
      <c r="J124" s="2">
        <v>44562</v>
      </c>
      <c r="K124" s="2">
        <v>44927</v>
      </c>
      <c r="L124" s="2">
        <v>45292</v>
      </c>
      <c r="M124" s="2">
        <v>45658</v>
      </c>
      <c r="N124" s="2">
        <v>46023</v>
      </c>
      <c r="O124" s="2">
        <v>46388</v>
      </c>
      <c r="P124" s="2">
        <v>46753</v>
      </c>
      <c r="Q124" s="2">
        <v>47119</v>
      </c>
      <c r="R124" s="2">
        <v>47484</v>
      </c>
      <c r="S124" s="2">
        <v>47849</v>
      </c>
      <c r="T124" s="2">
        <v>48214</v>
      </c>
      <c r="U124" s="2">
        <v>48580</v>
      </c>
      <c r="V124" s="2">
        <v>48945</v>
      </c>
      <c r="W124" s="2">
        <v>49310</v>
      </c>
      <c r="X124" s="2">
        <v>49675</v>
      </c>
      <c r="Y124" s="2">
        <v>50041</v>
      </c>
      <c r="Z124" s="2">
        <v>50406</v>
      </c>
      <c r="AA124" s="2">
        <v>50771</v>
      </c>
      <c r="AB124" s="2">
        <v>51136</v>
      </c>
      <c r="AC124" s="2">
        <v>51502</v>
      </c>
      <c r="AD124" s="2">
        <v>51867</v>
      </c>
      <c r="AE124" s="2">
        <v>52232</v>
      </c>
      <c r="AF124" s="2">
        <v>52597</v>
      </c>
      <c r="AG124" s="2">
        <v>52963</v>
      </c>
      <c r="AH124" s="2">
        <v>53328</v>
      </c>
      <c r="AI124" s="2">
        <v>53693</v>
      </c>
      <c r="AJ124" s="2">
        <v>54058</v>
      </c>
      <c r="AK124" s="2">
        <v>54424</v>
      </c>
      <c r="AL124" s="2">
        <v>54789</v>
      </c>
      <c r="AM124" s="2">
        <v>54790</v>
      </c>
      <c r="AN124" s="2">
        <v>54791</v>
      </c>
      <c r="AO124" s="2">
        <v>54792</v>
      </c>
      <c r="AP124" s="2">
        <v>54793</v>
      </c>
      <c r="AQ124" s="2">
        <v>54794</v>
      </c>
      <c r="AR124" s="2">
        <v>54795</v>
      </c>
      <c r="AS124" s="2">
        <v>54796</v>
      </c>
      <c r="AT124" s="2">
        <v>54797</v>
      </c>
      <c r="AU124" s="2">
        <v>54798</v>
      </c>
      <c r="AV124" s="2">
        <v>54799</v>
      </c>
      <c r="AW124" s="2">
        <v>54800</v>
      </c>
      <c r="AX124" s="2">
        <v>54801</v>
      </c>
      <c r="AY124" s="2">
        <v>54802</v>
      </c>
      <c r="AZ124" s="2">
        <v>54803</v>
      </c>
      <c r="BA124" s="2">
        <v>54804</v>
      </c>
      <c r="BB124" s="2">
        <v>54805</v>
      </c>
      <c r="BC124" s="2">
        <v>54806</v>
      </c>
      <c r="BD124" s="2">
        <v>54807</v>
      </c>
      <c r="BE124" s="2">
        <v>54808</v>
      </c>
      <c r="BF124" s="2">
        <v>54809</v>
      </c>
    </row>
    <row r="125" spans="1:58" x14ac:dyDescent="0.35">
      <c r="A125" t="s">
        <v>38</v>
      </c>
      <c r="B125" t="s">
        <v>27</v>
      </c>
      <c r="C125" s="6">
        <f>[1]Production!B3</f>
        <v>3859362.8769999999</v>
      </c>
      <c r="D125" s="6">
        <f>[1]Production!C3</f>
        <v>3908270.1009999998</v>
      </c>
      <c r="E125" s="6">
        <f>[1]Production!D3</f>
        <v>3962069.2280000001</v>
      </c>
      <c r="F125" s="6">
        <f>[1]Production!E3</f>
        <v>4019511.3679999998</v>
      </c>
      <c r="G125" s="6">
        <f>[1]Production!F3</f>
        <v>4080255.4759999998</v>
      </c>
      <c r="H125" s="6">
        <f>[1]Production!G3</f>
        <v>4143927.4419999998</v>
      </c>
      <c r="I125" s="6">
        <f>[1]Production!H3</f>
        <v>4207559.4890000001</v>
      </c>
      <c r="J125" s="6">
        <f>[1]Production!I3</f>
        <v>4272581.2709999997</v>
      </c>
      <c r="K125" s="6">
        <f>[1]Production!J3</f>
        <v>4339001.5159999998</v>
      </c>
      <c r="L125" s="6">
        <f>[1]Production!K3</f>
        <v>4406764.1670000004</v>
      </c>
      <c r="M125" s="6">
        <f>[1]Production!L3</f>
        <v>4480406.0319999997</v>
      </c>
      <c r="N125" s="6">
        <f>[1]Production!M3</f>
        <v>4552217.8279999997</v>
      </c>
      <c r="O125" s="6">
        <f>[1]Production!N3</f>
        <v>4624727.4230000004</v>
      </c>
      <c r="P125" s="6">
        <f>[1]Production!O3</f>
        <v>4698046.0669999998</v>
      </c>
      <c r="Q125" s="6">
        <f>[1]Production!P3</f>
        <v>4772200.3470000001</v>
      </c>
      <c r="R125" s="6">
        <f>[1]Production!Q3</f>
        <v>4847214.2010000004</v>
      </c>
      <c r="S125" s="6">
        <f>[1]Production!R3</f>
        <v>4923123.2300000004</v>
      </c>
      <c r="T125" s="6">
        <f>[1]Production!S3</f>
        <v>4999973.13</v>
      </c>
      <c r="U125" s="6">
        <f>[1]Production!T3</f>
        <v>5077814.9979999997</v>
      </c>
      <c r="V125" s="6">
        <f>[1]Production!U3</f>
        <v>5156701.1009999998</v>
      </c>
      <c r="W125" s="6">
        <f>[1]Production!V3</f>
        <v>5233255.767</v>
      </c>
      <c r="X125" s="6">
        <f>[1]Production!W3</f>
        <v>5313205.6310000001</v>
      </c>
      <c r="Y125" s="6">
        <f>[1]Production!X3</f>
        <v>5394678.602</v>
      </c>
      <c r="Z125" s="6">
        <f>[1]Production!Y3</f>
        <v>5477598.7439999999</v>
      </c>
      <c r="AA125" s="6">
        <f>[1]Production!Z3</f>
        <v>5561956.7209999999</v>
      </c>
      <c r="AB125" s="6">
        <f>[1]Production!AA3</f>
        <v>5637837.6509999996</v>
      </c>
      <c r="AC125" s="6">
        <f>[1]Production!AB3</f>
        <v>5716951.4340000004</v>
      </c>
      <c r="AD125" s="6">
        <f>[1]Production!AC3</f>
        <v>5796788.8859999999</v>
      </c>
      <c r="AE125" s="6">
        <f>[1]Production!AD3</f>
        <v>5877455.5640000002</v>
      </c>
      <c r="AF125" s="6">
        <f>[1]Production!AE3</f>
        <v>5959108.4529999997</v>
      </c>
      <c r="AG125" s="6">
        <f>[1]Production!AF3</f>
        <v>6041880.5719999997</v>
      </c>
      <c r="AH125" s="6">
        <f>[1]Production!AG3</f>
        <v>6125866.5240000002</v>
      </c>
      <c r="AI125" s="6">
        <f>[1]Production!AH3</f>
        <v>6211124.6909999996</v>
      </c>
      <c r="AJ125" s="6">
        <f>[1]Production!AI3</f>
        <v>6297684.6040000003</v>
      </c>
      <c r="AK125" s="6">
        <f>[1]Production!AJ3</f>
        <v>6385555.3949999996</v>
      </c>
      <c r="AL125" s="6">
        <f>[1]Production!AK3</f>
        <v>6474733.5049999999</v>
      </c>
      <c r="AM125" s="6">
        <f>[1]Production!AL3</f>
        <v>6562799.7120000003</v>
      </c>
      <c r="AN125" s="6">
        <f>[1]Production!AM3</f>
        <v>6651295.6129999999</v>
      </c>
      <c r="AO125" s="6">
        <f>[1]Production!AN3</f>
        <v>6740437.5729999999</v>
      </c>
      <c r="AP125" s="6">
        <f>[1]Production!AO3</f>
        <v>6830366.6529999999</v>
      </c>
      <c r="AQ125" s="6">
        <f>[1]Production!AP3</f>
        <v>6921197.2120000003</v>
      </c>
      <c r="AR125" s="6">
        <f>[1]Production!AQ3</f>
        <v>7013024.5609999998</v>
      </c>
      <c r="AS125" s="6">
        <f>[1]Production!AR3</f>
        <v>7105925.4680000003</v>
      </c>
      <c r="AT125" s="6">
        <f>[1]Production!AS3</f>
        <v>7199958.9220000003</v>
      </c>
      <c r="AU125" s="6">
        <f>[1]Production!AT3</f>
        <v>7295168.3430000003</v>
      </c>
      <c r="AV125" s="6">
        <f>[1]Production!AU3</f>
        <v>7391584.9129999997</v>
      </c>
      <c r="AW125" s="6">
        <f>[1]Production!AV3</f>
        <v>7489450.5499999998</v>
      </c>
      <c r="AX125" s="6">
        <f>[1]Production!AW3</f>
        <v>7588641.148</v>
      </c>
      <c r="AY125" s="6">
        <f>[1]Production!AX3</f>
        <v>7689151.8470000001</v>
      </c>
      <c r="AZ125" s="6">
        <f>[1]Production!AY3</f>
        <v>7790980.6090000002</v>
      </c>
      <c r="BA125" s="6">
        <f>[1]Production!AZ3</f>
        <v>7894128.3969999999</v>
      </c>
      <c r="BB125" s="6">
        <f>[1]Production!BA3</f>
        <v>7998601.0990000004</v>
      </c>
      <c r="BC125" s="6">
        <f>[1]Production!BB3</f>
        <v>8104409.9289999995</v>
      </c>
      <c r="BD125" s="6">
        <f>[1]Production!BC3</f>
        <v>8211571.0599999996</v>
      </c>
      <c r="BE125" s="6">
        <f>[1]Production!BD3</f>
        <v>8320104.9079999998</v>
      </c>
      <c r="BF125" s="6">
        <f>[1]Production!BE3</f>
        <v>8430035.3049999997</v>
      </c>
    </row>
    <row r="126" spans="1:58" x14ac:dyDescent="0.35">
      <c r="B126" t="s">
        <v>7</v>
      </c>
      <c r="C126" s="6">
        <f>[1]Production!B5+[1]Production!B7</f>
        <v>88399.361327999999</v>
      </c>
      <c r="D126" s="6">
        <f>[1]Production!C5+[1]Production!C7</f>
        <v>89086.882841000013</v>
      </c>
      <c r="E126" s="6">
        <f>[1]Production!D5+[1]Production!D7</f>
        <v>89901.650273000007</v>
      </c>
      <c r="F126" s="6">
        <f>[1]Production!E5+[1]Production!E7</f>
        <v>90860.683375999986</v>
      </c>
      <c r="G126" s="6">
        <f>[1]Production!F5+[1]Production!F7</f>
        <v>91956.934049000003</v>
      </c>
      <c r="H126" s="6">
        <f>[1]Production!G5+[1]Production!G7</f>
        <v>93174.719924000005</v>
      </c>
      <c r="I126" s="6">
        <f>[1]Production!H5+[1]Production!H7</f>
        <v>94440.778932000001</v>
      </c>
      <c r="J126" s="6">
        <f>[1]Production!I5+[1]Production!I7</f>
        <v>95767.211995000005</v>
      </c>
      <c r="K126" s="6">
        <f>[1]Production!J5+[1]Production!J7</f>
        <v>97145.316160000002</v>
      </c>
      <c r="L126" s="6">
        <f>[1]Production!K5+[1]Production!K7</f>
        <v>98567.02408599999</v>
      </c>
      <c r="M126" s="6">
        <f>[1]Production!L5+[1]Production!L7</f>
        <v>100120.72703699999</v>
      </c>
      <c r="N126" s="6">
        <f>[1]Production!M5+[1]Production!M7</f>
        <v>101653.34252599999</v>
      </c>
      <c r="O126" s="6">
        <f>[1]Production!N5+[1]Production!N7</f>
        <v>103202.053998</v>
      </c>
      <c r="P126" s="6">
        <f>[1]Production!O5+[1]Production!O7</f>
        <v>104767.053982</v>
      </c>
      <c r="Q126" s="6">
        <f>[1]Production!P5+[1]Production!P7</f>
        <v>106347.418551</v>
      </c>
      <c r="R126" s="6">
        <f>[1]Production!Q5+[1]Production!Q7</f>
        <v>107942.74711200001</v>
      </c>
      <c r="S126" s="6">
        <f>[1]Production!R5+[1]Production!R7</f>
        <v>109553.31293</v>
      </c>
      <c r="T126" s="6">
        <f>[1]Production!S5+[1]Production!S7</f>
        <v>111179.89245100001</v>
      </c>
      <c r="U126" s="6">
        <f>[1]Production!T5+[1]Production!T7</f>
        <v>112823.566452</v>
      </c>
      <c r="V126" s="6">
        <f>[1]Production!U5+[1]Production!U7</f>
        <v>114485.564061</v>
      </c>
      <c r="W126" s="6">
        <f>[1]Production!V5+[1]Production!V7</f>
        <v>116096.807352</v>
      </c>
      <c r="X126" s="6">
        <f>[1]Production!W5+[1]Production!W7</f>
        <v>117768.01037600001</v>
      </c>
      <c r="Y126" s="6">
        <f>[1]Production!X5+[1]Production!X7</f>
        <v>119470.072225</v>
      </c>
      <c r="Z126" s="6">
        <f>[1]Production!Y5+[1]Production!Y7</f>
        <v>121201.76812600001</v>
      </c>
      <c r="AA126" s="6">
        <f>[1]Production!Z5+[1]Production!Z7</f>
        <v>122963.148688</v>
      </c>
      <c r="AB126" s="6">
        <f>[1]Production!AA5+[1]Production!AA7</f>
        <v>124551.21451200001</v>
      </c>
      <c r="AC126" s="6">
        <f>[1]Production!AB5+[1]Production!AB7</f>
        <v>126185.314594</v>
      </c>
      <c r="AD126" s="6">
        <f>[1]Production!AC5+[1]Production!AC7</f>
        <v>127830.372483</v>
      </c>
      <c r="AE126" s="6">
        <f>[1]Production!AD5+[1]Production!AD7</f>
        <v>129491.06479600001</v>
      </c>
      <c r="AF126" s="6">
        <f>[1]Production!AE5+[1]Production!AE7</f>
        <v>131172.84799499999</v>
      </c>
      <c r="AG126" s="6">
        <f>[1]Production!AF5+[1]Production!AF7</f>
        <v>132880.201095</v>
      </c>
      <c r="AH126" s="6">
        <f>[1]Production!AG5+[1]Production!AG7</f>
        <v>134616.32672300001</v>
      </c>
      <c r="AI126" s="6">
        <f>[1]Production!AH5+[1]Production!AH7</f>
        <v>136383.27910799999</v>
      </c>
      <c r="AJ126" s="6">
        <f>[1]Production!AI5+[1]Production!AI7</f>
        <v>138182.21338999999</v>
      </c>
      <c r="AK126" s="6">
        <f>[1]Production!AJ5+[1]Production!AJ7</f>
        <v>140013.64700599998</v>
      </c>
      <c r="AL126" s="6">
        <f>[1]Production!AK5+[1]Production!AK7</f>
        <v>141877.690241</v>
      </c>
      <c r="AM126" s="6">
        <f>[1]Production!AL5+[1]Production!AL7</f>
        <v>143725.06982999999</v>
      </c>
      <c r="AN126" s="6">
        <f>[1]Production!AM5+[1]Production!AM7</f>
        <v>145582.33989599999</v>
      </c>
      <c r="AO126" s="6">
        <f>[1]Production!AN5+[1]Production!AN7</f>
        <v>147455.16819999999</v>
      </c>
      <c r="AP126" s="6">
        <f>[1]Production!AO5+[1]Production!AO7</f>
        <v>149347.67305100002</v>
      </c>
      <c r="AQ126" s="6">
        <f>[1]Production!AP5+[1]Production!AP7</f>
        <v>151263.34208999999</v>
      </c>
      <c r="AR126" s="6">
        <f>[1]Production!AQ5+[1]Production!AQ7</f>
        <v>153205.09813199998</v>
      </c>
      <c r="AS126" s="6">
        <f>[1]Production!AR5+[1]Production!AR7</f>
        <v>155175.26089599999</v>
      </c>
      <c r="AT126" s="6">
        <f>[1]Production!AS5+[1]Production!AS7</f>
        <v>157175.55324199999</v>
      </c>
      <c r="AU126" s="6">
        <f>[1]Production!AT5+[1]Production!AT7</f>
        <v>159207.16056500003</v>
      </c>
      <c r="AV126" s="6">
        <f>[1]Production!AU5+[1]Production!AU7</f>
        <v>161270.80056199999</v>
      </c>
      <c r="AW126" s="6">
        <f>[1]Production!AV5+[1]Production!AV7</f>
        <v>163371.10910100001</v>
      </c>
      <c r="AX126" s="6">
        <f>[1]Production!AW5+[1]Production!AW7</f>
        <v>165506.00804099999</v>
      </c>
      <c r="AY126" s="6">
        <f>[1]Production!AX5+[1]Production!AX7</f>
        <v>167675.35423699999</v>
      </c>
      <c r="AZ126" s="6">
        <f>[1]Production!AY5+[1]Production!AY7</f>
        <v>169878.87327800001</v>
      </c>
      <c r="BA126" s="6">
        <f>[1]Production!AZ5+[1]Production!AZ7</f>
        <v>172116.297823</v>
      </c>
      <c r="BB126" s="6">
        <f>[1]Production!BA5+[1]Production!BA7</f>
        <v>174387.43664699999</v>
      </c>
      <c r="BC126" s="6">
        <f>[1]Production!BB5+[1]Production!BB7</f>
        <v>176692.19964899999</v>
      </c>
      <c r="BD126" s="6">
        <f>[1]Production!BC5+[1]Production!BC7</f>
        <v>179030.607846</v>
      </c>
      <c r="BE126" s="6">
        <f>[1]Production!BD5+[1]Production!BD7</f>
        <v>181402.79010899999</v>
      </c>
      <c r="BF126" s="6">
        <f>[1]Production!BE5+[1]Production!BE7</f>
        <v>183808.96694899999</v>
      </c>
    </row>
    <row r="127" spans="1:58" x14ac:dyDescent="0.35">
      <c r="B127" t="s">
        <v>30</v>
      </c>
      <c r="C127" s="6">
        <f>[1]Production!B9+[1]Production!B11+[1]Production!B13+[1]Production!B15+[1]Production!B17+[1]Production!B19+[1]Production!B21+[1]Production!B23+[1]Production!B25+[1]Production!B27+[1]Production!B41</f>
        <v>980668.46071000001</v>
      </c>
      <c r="D127" s="6">
        <f>[1]Production!C9+[1]Production!C11+[1]Production!C13+[1]Production!C15+[1]Production!C17+[1]Production!C19+[1]Production!C21+[1]Production!C23+[1]Production!C25+[1]Production!C27+[1]Production!C41</f>
        <v>993738.33286500024</v>
      </c>
      <c r="E127" s="6">
        <f>[1]Production!D9+[1]Production!D11+[1]Production!D13+[1]Production!D15+[1]Production!D17+[1]Production!D19+[1]Production!D21+[1]Production!D23+[1]Production!D25+[1]Production!D27+[1]Production!D41</f>
        <v>1008305.6107640001</v>
      </c>
      <c r="F127" s="6">
        <f>[1]Production!E9+[1]Production!E11+[1]Production!E13+[1]Production!E15+[1]Production!E17+[1]Production!E19+[1]Production!E21+[1]Production!E23+[1]Production!E25+[1]Production!E27+[1]Production!E41</f>
        <v>1023739.5024589999</v>
      </c>
      <c r="G127" s="6">
        <f>[1]Production!F9+[1]Production!F11+[1]Production!F13+[1]Production!F15+[1]Production!F17+[1]Production!F19+[1]Production!F21+[1]Production!F23+[1]Production!F25+[1]Production!F27+[1]Production!F41</f>
        <v>1039865.8880829999</v>
      </c>
      <c r="H127" s="6">
        <f>[1]Production!G9+[1]Production!G11+[1]Production!G13+[1]Production!G15+[1]Production!G17+[1]Production!G19+[1]Production!G21+[1]Production!G23+[1]Production!G25+[1]Production!G27+[1]Production!G41</f>
        <v>1056587.333871</v>
      </c>
      <c r="I127" s="6">
        <f>[1]Production!H9+[1]Production!H11+[1]Production!H13+[1]Production!H15+[1]Production!H17+[1]Production!H19+[1]Production!H21+[1]Production!H23+[1]Production!H25+[1]Production!H27+[1]Production!H41</f>
        <v>1073194.6998279998</v>
      </c>
      <c r="J127" s="6">
        <f>[1]Production!I9+[1]Production!I11+[1]Production!I13+[1]Production!I15+[1]Production!I17+[1]Production!I19+[1]Production!I21+[1]Production!I23+[1]Production!I25+[1]Production!I27+[1]Production!I41</f>
        <v>1090088.1231269999</v>
      </c>
      <c r="K127" s="6">
        <f>[1]Production!J9+[1]Production!J11+[1]Production!J13+[1]Production!J15+[1]Production!J17+[1]Production!J19+[1]Production!J21+[1]Production!J23+[1]Production!J25+[1]Production!J27+[1]Production!J41</f>
        <v>1107297.1683969998</v>
      </c>
      <c r="L127" s="6">
        <f>[1]Production!K9+[1]Production!K11+[1]Production!K13+[1]Production!K15+[1]Production!K17+[1]Production!K19+[1]Production!K21+[1]Production!K23+[1]Production!K25+[1]Production!K27+[1]Production!K41</f>
        <v>1124832.0244309998</v>
      </c>
      <c r="M127" s="6">
        <f>[1]Production!L9+[1]Production!L11+[1]Production!L13+[1]Production!L15+[1]Production!L17+[1]Production!L19+[1]Production!L21+[1]Production!L23+[1]Production!L25+[1]Production!L27+[1]Production!L41</f>
        <v>1143837.2184210001</v>
      </c>
      <c r="N127" s="6">
        <f>[1]Production!M9+[1]Production!M11+[1]Production!M13+[1]Production!M15+[1]Production!M17+[1]Production!M19+[1]Production!M21+[1]Production!M23+[1]Production!M25+[1]Production!M27+[1]Production!M41</f>
        <v>1162394.5639619997</v>
      </c>
      <c r="O127" s="6">
        <f>[1]Production!N9+[1]Production!N11+[1]Production!N13+[1]Production!N15+[1]Production!N17+[1]Production!N19+[1]Production!N21+[1]Production!N23+[1]Production!N25+[1]Production!N27+[1]Production!N41</f>
        <v>1181172.4016340002</v>
      </c>
      <c r="P127" s="6">
        <f>[1]Production!O9+[1]Production!O11+[1]Production!O13+[1]Production!O15+[1]Production!O17+[1]Production!O19+[1]Production!O21+[1]Production!O23+[1]Production!O25+[1]Production!O27+[1]Production!O41</f>
        <v>1200204.990454</v>
      </c>
      <c r="Q127" s="6">
        <f>[1]Production!P9+[1]Production!P11+[1]Production!P13+[1]Production!P15+[1]Production!P17+[1]Production!P19+[1]Production!P21+[1]Production!P23+[1]Production!P25+[1]Production!P27+[1]Production!P41</f>
        <v>1219506.915031</v>
      </c>
      <c r="R127" s="6">
        <f>[1]Production!Q9+[1]Production!Q11+[1]Production!Q13+[1]Production!Q15+[1]Production!Q17+[1]Production!Q19+[1]Production!Q21+[1]Production!Q23+[1]Production!Q25+[1]Production!Q27+[1]Production!Q41</f>
        <v>1239090.2203790001</v>
      </c>
      <c r="S127" s="6">
        <f>[1]Production!R9+[1]Production!R11+[1]Production!R13+[1]Production!R15+[1]Production!R17+[1]Production!R19+[1]Production!R21+[1]Production!R23+[1]Production!R25+[1]Production!R27+[1]Production!R41</f>
        <v>1258968.0761520001</v>
      </c>
      <c r="T127" s="6">
        <f>[1]Production!S9+[1]Production!S11+[1]Production!S13+[1]Production!S15+[1]Production!S17+[1]Production!S19+[1]Production!S21+[1]Production!S23+[1]Production!S25+[1]Production!S27+[1]Production!S41</f>
        <v>1279154.9631169999</v>
      </c>
      <c r="U127" s="6">
        <f>[1]Production!T9+[1]Production!T11+[1]Production!T13+[1]Production!T15+[1]Production!T17+[1]Production!T19+[1]Production!T21+[1]Production!T23+[1]Production!T25+[1]Production!T27+[1]Production!T41</f>
        <v>1299665.8850059998</v>
      </c>
      <c r="V127" s="6">
        <f>[1]Production!U9+[1]Production!U11+[1]Production!U13+[1]Production!U15+[1]Production!U17+[1]Production!U19+[1]Production!U21+[1]Production!U23+[1]Production!U25+[1]Production!U27+[1]Production!U41</f>
        <v>1320515.456739</v>
      </c>
      <c r="W127" s="6">
        <f>[1]Production!V9+[1]Production!V11+[1]Production!V13+[1]Production!V15+[1]Production!V17+[1]Production!V19+[1]Production!V21+[1]Production!V23+[1]Production!V25+[1]Production!V27+[1]Production!V41</f>
        <v>1340867.5344920002</v>
      </c>
      <c r="X127" s="6">
        <f>[1]Production!W9+[1]Production!W11+[1]Production!W13+[1]Production!W15+[1]Production!W17+[1]Production!W19+[1]Production!W21+[1]Production!W23+[1]Production!W25+[1]Production!W27+[1]Production!W41</f>
        <v>1362155.2624959999</v>
      </c>
      <c r="Y127" s="6">
        <f>[1]Production!X9+[1]Production!X11+[1]Production!X13+[1]Production!X15+[1]Production!X17+[1]Production!X19+[1]Production!X21+[1]Production!X23+[1]Production!X25+[1]Production!X27+[1]Production!X41</f>
        <v>1383892.6897329998</v>
      </c>
      <c r="Z127" s="6">
        <f>[1]Production!Y9+[1]Production!Y11+[1]Production!Y13+[1]Production!Y15+[1]Production!Y17+[1]Production!Y19+[1]Production!Y21+[1]Production!Y23+[1]Production!Y25+[1]Production!Y27+[1]Production!Y41</f>
        <v>1406061.594975</v>
      </c>
      <c r="AA127" s="6">
        <f>[1]Production!Z9+[1]Production!Z11+[1]Production!Z13+[1]Production!Z15+[1]Production!Z17+[1]Production!Z19+[1]Production!Z21+[1]Production!Z23+[1]Production!Z25+[1]Production!Z27+[1]Production!Z41</f>
        <v>1428657.459297</v>
      </c>
      <c r="AB127" s="6">
        <f>[1]Production!AA9+[1]Production!AA11+[1]Production!AA13+[1]Production!AA15+[1]Production!AA17+[1]Production!AA19+[1]Production!AA21+[1]Production!AA23+[1]Production!AA25+[1]Production!AA27+[1]Production!AA41</f>
        <v>1449218.6528319998</v>
      </c>
      <c r="AC127" s="6">
        <f>[1]Production!AB9+[1]Production!AB11+[1]Production!AB13+[1]Production!AB15+[1]Production!AB17+[1]Production!AB19+[1]Production!AB21+[1]Production!AB23+[1]Production!AB25+[1]Production!AB27+[1]Production!AB41</f>
        <v>1470680.4742659999</v>
      </c>
      <c r="AD127" s="6">
        <f>[1]Production!AC9+[1]Production!AC11+[1]Production!AC13+[1]Production!AC15+[1]Production!AC17+[1]Production!AC19+[1]Production!AC21+[1]Production!AC23+[1]Production!AC25+[1]Production!AC27+[1]Production!AC41</f>
        <v>1492374.6370819998</v>
      </c>
      <c r="AE127" s="6">
        <f>[1]Production!AD9+[1]Production!AD11+[1]Production!AD13+[1]Production!AD15+[1]Production!AD17+[1]Production!AD19+[1]Production!AD21+[1]Production!AD23+[1]Production!AD25+[1]Production!AD27+[1]Production!AD41</f>
        <v>1514317.7262309999</v>
      </c>
      <c r="AF127" s="6">
        <f>[1]Production!AE9+[1]Production!AE11+[1]Production!AE13+[1]Production!AE15+[1]Production!AE17+[1]Production!AE19+[1]Production!AE21+[1]Production!AE23+[1]Production!AE25+[1]Production!AE27+[1]Production!AE41</f>
        <v>1536535.2944059998</v>
      </c>
      <c r="AG127" s="6">
        <f>[1]Production!AF9+[1]Production!AF11+[1]Production!AF13+[1]Production!AF15+[1]Production!AF17+[1]Production!AF19+[1]Production!AF21+[1]Production!AF23+[1]Production!AF25+[1]Production!AF27+[1]Production!AF41</f>
        <v>1559047.9151340001</v>
      </c>
      <c r="AH127" s="6">
        <f>[1]Production!AG9+[1]Production!AG11+[1]Production!AG13+[1]Production!AG15+[1]Production!AG17+[1]Production!AG19+[1]Production!AG21+[1]Production!AG23+[1]Production!AG25+[1]Production!AG27+[1]Production!AG41</f>
        <v>1581868.4362089999</v>
      </c>
      <c r="AI127" s="6">
        <f>[1]Production!AH9+[1]Production!AH11+[1]Production!AH13+[1]Production!AH15+[1]Production!AH17+[1]Production!AH19+[1]Production!AH21+[1]Production!AH23+[1]Production!AH25+[1]Production!AH27+[1]Production!AH41</f>
        <v>1605002.2465309999</v>
      </c>
      <c r="AJ127" s="6">
        <f>[1]Production!AI9+[1]Production!AI11+[1]Production!AI13+[1]Production!AI15+[1]Production!AI17+[1]Production!AI19+[1]Production!AI21+[1]Production!AI23+[1]Production!AI25+[1]Production!AI27+[1]Production!AI41</f>
        <v>1628448.6535809999</v>
      </c>
      <c r="AK127" s="6">
        <f>[1]Production!AJ9+[1]Production!AJ11+[1]Production!AJ13+[1]Production!AJ15+[1]Production!AJ17+[1]Production!AJ19+[1]Production!AJ21+[1]Production!AJ23+[1]Production!AJ25+[1]Production!AJ27+[1]Production!AJ41</f>
        <v>1652202.636251</v>
      </c>
      <c r="AL127" s="6">
        <f>[1]Production!AK9+[1]Production!AK11+[1]Production!AK13+[1]Production!AK15+[1]Production!AK17+[1]Production!AK19+[1]Production!AK21+[1]Production!AK23+[1]Production!AK25+[1]Production!AK27+[1]Production!AK41</f>
        <v>1676256.5697660001</v>
      </c>
      <c r="AM127" s="6">
        <f>[1]Production!AL9+[1]Production!AL11+[1]Production!AL13+[1]Production!AL15+[1]Production!AL17+[1]Production!AL19+[1]Production!AL21+[1]Production!AL23+[1]Production!AL25+[1]Production!AL27+[1]Production!AL41</f>
        <v>1700002.6877210001</v>
      </c>
      <c r="AN127" s="6">
        <f>[1]Production!AM9+[1]Production!AM11+[1]Production!AM13+[1]Production!AM15+[1]Production!AM17+[1]Production!AM19+[1]Production!AM21+[1]Production!AM23+[1]Production!AM25+[1]Production!AM27+[1]Production!AM41</f>
        <v>1723825.447925</v>
      </c>
      <c r="AO127" s="6">
        <f>[1]Production!AN9+[1]Production!AN11+[1]Production!AN13+[1]Production!AN15+[1]Production!AN17+[1]Production!AN19+[1]Production!AN21+[1]Production!AN23+[1]Production!AN25+[1]Production!AN27+[1]Production!AN41</f>
        <v>1747767.3372659998</v>
      </c>
      <c r="AP127" s="6">
        <f>[1]Production!AO9+[1]Production!AO11+[1]Production!AO13+[1]Production!AO15+[1]Production!AO17+[1]Production!AO19+[1]Production!AO21+[1]Production!AO23+[1]Production!AO25+[1]Production!AO27+[1]Production!AO41</f>
        <v>1771854.3317149999</v>
      </c>
      <c r="AQ127" s="6">
        <f>[1]Production!AP9+[1]Production!AP11+[1]Production!AP13+[1]Production!AP15+[1]Production!AP17+[1]Production!AP19+[1]Production!AP21+[1]Production!AP23+[1]Production!AP25+[1]Production!AP27+[1]Production!AP41</f>
        <v>1796106.5159369998</v>
      </c>
      <c r="AR127" s="6">
        <f>[1]Production!AQ9+[1]Production!AQ11+[1]Production!AQ13+[1]Production!AQ15+[1]Production!AQ17+[1]Production!AQ19+[1]Production!AQ21+[1]Production!AQ23+[1]Production!AQ25+[1]Production!AQ27+[1]Production!AQ41</f>
        <v>1820540.3411550003</v>
      </c>
      <c r="AS127" s="6">
        <f>[1]Production!AR9+[1]Production!AR11+[1]Production!AR13+[1]Production!AR15+[1]Production!AR17+[1]Production!AR19+[1]Production!AR21+[1]Production!AR23+[1]Production!AR25+[1]Production!AR27+[1]Production!AR41</f>
        <v>1845169.1029249998</v>
      </c>
      <c r="AT127" s="6">
        <f>[1]Production!AS9+[1]Production!AS11+[1]Production!AS13+[1]Production!AS15+[1]Production!AS17+[1]Production!AS19+[1]Production!AS21+[1]Production!AS23+[1]Production!AS25+[1]Production!AS27+[1]Production!AS41</f>
        <v>1870003.1983740001</v>
      </c>
      <c r="AU127" s="6">
        <f>[1]Production!AT9+[1]Production!AT11+[1]Production!AT13+[1]Production!AT15+[1]Production!AT17+[1]Production!AT19+[1]Production!AT21+[1]Production!AT23+[1]Production!AT25+[1]Production!AT27+[1]Production!AT41</f>
        <v>1895050.5611630001</v>
      </c>
      <c r="AV127" s="6">
        <f>[1]Production!AU9+[1]Production!AU11+[1]Production!AU13+[1]Production!AU15+[1]Production!AU17+[1]Production!AU19+[1]Production!AU21+[1]Production!AU23+[1]Production!AU25+[1]Production!AU27+[1]Production!AU41</f>
        <v>1920317.314738</v>
      </c>
      <c r="AW127" s="6">
        <f>[1]Production!AV9+[1]Production!AV11+[1]Production!AV13+[1]Production!AV15+[1]Production!AV17+[1]Production!AV19+[1]Production!AV21+[1]Production!AV23+[1]Production!AV25+[1]Production!AV27+[1]Production!AV41</f>
        <v>1945863.2483060001</v>
      </c>
      <c r="AX127" s="6">
        <f>[1]Production!AW9+[1]Production!AW11+[1]Production!AW13+[1]Production!AW15+[1]Production!AW17+[1]Production!AW19+[1]Production!AW21+[1]Production!AW23+[1]Production!AW25+[1]Production!AW27+[1]Production!AW41</f>
        <v>1971657.5062279999</v>
      </c>
      <c r="AY127" s="6">
        <f>[1]Production!AX9+[1]Production!AX11+[1]Production!AX13+[1]Production!AX15+[1]Production!AX17+[1]Production!AX19+[1]Production!AX21+[1]Production!AX23+[1]Production!AX25+[1]Production!AX27+[1]Production!AX41</f>
        <v>1997700.4349349996</v>
      </c>
      <c r="AZ127" s="6">
        <f>[1]Production!AY9+[1]Production!AY11+[1]Production!AY13+[1]Production!AY15+[1]Production!AY17+[1]Production!AY19+[1]Production!AY21+[1]Production!AY23+[1]Production!AY25+[1]Production!AY27+[1]Production!AY41</f>
        <v>2023993.0551090001</v>
      </c>
      <c r="BA127" s="6">
        <f>[1]Production!AZ9+[1]Production!AZ11+[1]Production!AZ13+[1]Production!AZ15+[1]Production!AZ17+[1]Production!AZ19+[1]Production!AZ21+[1]Production!AZ23+[1]Production!AZ25+[1]Production!AZ27+[1]Production!AZ41</f>
        <v>2050537.7823940001</v>
      </c>
      <c r="BB127" s="6">
        <f>[1]Production!BA9+[1]Production!BA11+[1]Production!BA13+[1]Production!BA15+[1]Production!BA17+[1]Production!BA19+[1]Production!BA21+[1]Production!BA23+[1]Production!BA25+[1]Production!BA27+[1]Production!BA41</f>
        <v>2077339.0002649999</v>
      </c>
      <c r="BC127" s="6">
        <f>[1]Production!BB9+[1]Production!BB11+[1]Production!BB13+[1]Production!BB15+[1]Production!BB17+[1]Production!BB19+[1]Production!BB21+[1]Production!BB23+[1]Production!BB25+[1]Production!BB27+[1]Production!BB41</f>
        <v>2104402.9838780002</v>
      </c>
      <c r="BD127" s="6">
        <f>[1]Production!BC9+[1]Production!BC11+[1]Production!BC13+[1]Production!BC15+[1]Production!BC17+[1]Production!BC19+[1]Production!BC21+[1]Production!BC23+[1]Production!BC25+[1]Production!BC27+[1]Production!BC41</f>
        <v>2131737.6458440004</v>
      </c>
      <c r="BE127" s="6">
        <f>[1]Production!BD9+[1]Production!BD11+[1]Production!BD13+[1]Production!BD15+[1]Production!BD17+[1]Production!BD19+[1]Production!BD21+[1]Production!BD23+[1]Production!BD25+[1]Production!BD27+[1]Production!BD41</f>
        <v>2159352.2661299999</v>
      </c>
      <c r="BF127" s="6">
        <f>[1]Production!BE9+[1]Production!BE11+[1]Production!BE13+[1]Production!BE15+[1]Production!BE17+[1]Production!BE19+[1]Production!BE21+[1]Production!BE23+[1]Production!BE25+[1]Production!BE27+[1]Production!BE41</f>
        <v>2187257.2374430001</v>
      </c>
    </row>
    <row r="128" spans="1:58" x14ac:dyDescent="0.35">
      <c r="B128" t="s">
        <v>9</v>
      </c>
      <c r="C128" s="6">
        <f>[1]Production!B29+[1]Production!B31+[1]Production!B33+[1]Production!B35</f>
        <v>121165.405413</v>
      </c>
      <c r="D128" s="6">
        <f>[1]Production!C29+[1]Production!C31+[1]Production!C33+[1]Production!C35</f>
        <v>122672.790399</v>
      </c>
      <c r="E128" s="6">
        <f>[1]Production!D29+[1]Production!D31+[1]Production!D33+[1]Production!D35</f>
        <v>124313.42343000001</v>
      </c>
      <c r="F128" s="6">
        <f>[1]Production!E29+[1]Production!E31+[1]Production!E33+[1]Production!E35</f>
        <v>126051.12421499999</v>
      </c>
      <c r="G128" s="6">
        <f>[1]Production!F29+[1]Production!F31+[1]Production!F33+[1]Production!F35</f>
        <v>127879.95875800001</v>
      </c>
      <c r="H128" s="6">
        <f>[1]Production!G29+[1]Production!G31+[1]Production!G33+[1]Production!G35</f>
        <v>129789.46697899999</v>
      </c>
      <c r="I128" s="6">
        <f>[1]Production!H29+[1]Production!H31+[1]Production!H33+[1]Production!H35</f>
        <v>131683.412262</v>
      </c>
      <c r="J128" s="6">
        <f>[1]Production!I29+[1]Production!I31+[1]Production!I33+[1]Production!I35</f>
        <v>133613.72993599999</v>
      </c>
      <c r="K128" s="6">
        <f>[1]Production!J29+[1]Production!J31+[1]Production!J33+[1]Production!J35</f>
        <v>135579.085547</v>
      </c>
      <c r="L128" s="6">
        <f>[1]Production!K29+[1]Production!K31+[1]Production!K33+[1]Production!K35</f>
        <v>137576.52679600002</v>
      </c>
      <c r="M128" s="6">
        <f>[1]Production!L29+[1]Production!L31+[1]Production!L33+[1]Production!L35</f>
        <v>139752.54794300001</v>
      </c>
      <c r="N128" s="6">
        <f>[1]Production!M29+[1]Production!M31+[1]Production!M33+[1]Production!M35</f>
        <v>141845.87865299999</v>
      </c>
      <c r="O128" s="6">
        <f>[1]Production!N29+[1]Production!N31+[1]Production!N33+[1]Production!N35</f>
        <v>143951.64017500001</v>
      </c>
      <c r="P128" s="6">
        <f>[1]Production!O29+[1]Production!O31+[1]Production!O33+[1]Production!O35</f>
        <v>146073.594224</v>
      </c>
      <c r="Q128" s="6">
        <f>[1]Production!P29+[1]Production!P31+[1]Production!P33+[1]Production!P35</f>
        <v>148212.902133</v>
      </c>
      <c r="R128" s="6">
        <f>[1]Production!Q29+[1]Production!Q31+[1]Production!Q33+[1]Production!Q35</f>
        <v>150370.80739199999</v>
      </c>
      <c r="S128" s="6">
        <f>[1]Production!R29+[1]Production!R31+[1]Production!R33+[1]Production!R35</f>
        <v>152549.030898</v>
      </c>
      <c r="T128" s="6">
        <f>[1]Production!S29+[1]Production!S31+[1]Production!S33+[1]Production!S35</f>
        <v>154749.67095999999</v>
      </c>
      <c r="U128" s="6">
        <f>[1]Production!T29+[1]Production!T31+[1]Production!T33+[1]Production!T35</f>
        <v>156975.02449899999</v>
      </c>
      <c r="V128" s="6">
        <f>[1]Production!U29+[1]Production!U31+[1]Production!U33+[1]Production!U35</f>
        <v>159227.43404600001</v>
      </c>
      <c r="W128" s="6">
        <f>[1]Production!V29+[1]Production!V31+[1]Production!V33+[1]Production!V35</f>
        <v>161398.19500899999</v>
      </c>
      <c r="X128" s="6">
        <f>[1]Production!W29+[1]Production!W31+[1]Production!W33+[1]Production!W35</f>
        <v>163681.78263500001</v>
      </c>
      <c r="Y128" s="6">
        <f>[1]Production!X29+[1]Production!X31+[1]Production!X33+[1]Production!X35</f>
        <v>166008.55480099999</v>
      </c>
      <c r="Z128" s="6">
        <f>[1]Production!Y29+[1]Production!Y31+[1]Production!Y33+[1]Production!Y35</f>
        <v>168376.80355599997</v>
      </c>
      <c r="AA128" s="6">
        <f>[1]Production!Z29+[1]Production!Z31+[1]Production!Z33+[1]Production!Z35</f>
        <v>170786.97246700001</v>
      </c>
      <c r="AB128" s="6">
        <f>[1]Production!AA29+[1]Production!AA31+[1]Production!AA33+[1]Production!AA35</f>
        <v>172918.725103</v>
      </c>
      <c r="AC128" s="6">
        <f>[1]Production!AB29+[1]Production!AB31+[1]Production!AB33+[1]Production!AB35</f>
        <v>175175.81782599998</v>
      </c>
      <c r="AD128" s="6">
        <f>[1]Production!AC29+[1]Production!AC31+[1]Production!AC33+[1]Production!AC35</f>
        <v>177461.26463200001</v>
      </c>
      <c r="AE128" s="6">
        <f>[1]Production!AD29+[1]Production!AD31+[1]Production!AD33+[1]Production!AD35</f>
        <v>179777.83139800001</v>
      </c>
      <c r="AF128" s="6">
        <f>[1]Production!AE29+[1]Production!AE31+[1]Production!AE33+[1]Production!AE35</f>
        <v>182130.20904599997</v>
      </c>
      <c r="AG128" s="6">
        <f>[1]Production!AF29+[1]Production!AF31+[1]Production!AF33+[1]Production!AF35</f>
        <v>184522.40425000002</v>
      </c>
      <c r="AH128" s="6">
        <f>[1]Production!AG29+[1]Production!AG31+[1]Production!AG33+[1]Production!AG35</f>
        <v>186957.25320000001</v>
      </c>
      <c r="AI128" s="6">
        <f>[1]Production!AH29+[1]Production!AH31+[1]Production!AH33+[1]Production!AH35</f>
        <v>189436.48546</v>
      </c>
      <c r="AJ128" s="6">
        <f>[1]Production!AI29+[1]Production!AI31+[1]Production!AI33+[1]Production!AI35</f>
        <v>191960.94680999999</v>
      </c>
      <c r="AK128" s="6">
        <f>[1]Production!AJ29+[1]Production!AJ31+[1]Production!AJ33+[1]Production!AJ35</f>
        <v>194530.85279999999</v>
      </c>
      <c r="AL128" s="6">
        <f>[1]Production!AK29+[1]Production!AK31+[1]Production!AK33+[1]Production!AK35</f>
        <v>197146.01934</v>
      </c>
      <c r="AM128" s="6">
        <f>[1]Production!AL29+[1]Production!AL31+[1]Production!AL33+[1]Production!AL35</f>
        <v>199727.94404</v>
      </c>
      <c r="AN128" s="6">
        <f>[1]Production!AM29+[1]Production!AM31+[1]Production!AM33+[1]Production!AM35</f>
        <v>202332.29774000001</v>
      </c>
      <c r="AO128" s="6">
        <f>[1]Production!AN29+[1]Production!AN31+[1]Production!AN33+[1]Production!AN35</f>
        <v>204965.16742000001</v>
      </c>
      <c r="AP128" s="6">
        <f>[1]Production!AO29+[1]Production!AO31+[1]Production!AO33+[1]Production!AO35</f>
        <v>207630.28397000002</v>
      </c>
      <c r="AQ128" s="6">
        <f>[1]Production!AP29+[1]Production!AP31+[1]Production!AP33+[1]Production!AP35</f>
        <v>210330.63013999999</v>
      </c>
      <c r="AR128" s="6">
        <f>[1]Production!AQ29+[1]Production!AQ31+[1]Production!AQ33+[1]Production!AQ35</f>
        <v>213068.66657</v>
      </c>
      <c r="AS128" s="6">
        <f>[1]Production!AR29+[1]Production!AR31+[1]Production!AR33+[1]Production!AR35</f>
        <v>215846.33148999998</v>
      </c>
      <c r="AT128" s="6">
        <f>[1]Production!AS29+[1]Production!AS31+[1]Production!AS33+[1]Production!AS35</f>
        <v>218665.05360999997</v>
      </c>
      <c r="AU128" s="6">
        <f>[1]Production!AT29+[1]Production!AT31+[1]Production!AT33+[1]Production!AT35</f>
        <v>221525.81304000001</v>
      </c>
      <c r="AV128" s="6">
        <f>[1]Production!AU29+[1]Production!AU31+[1]Production!AU33+[1]Production!AU35</f>
        <v>224429.23674999998</v>
      </c>
      <c r="AW128" s="6">
        <f>[1]Production!AV29+[1]Production!AV31+[1]Production!AV33+[1]Production!AV35</f>
        <v>227382.84234999999</v>
      </c>
      <c r="AX128" s="6">
        <f>[1]Production!AW29+[1]Production!AW31+[1]Production!AW33+[1]Production!AW35</f>
        <v>230381.78305999999</v>
      </c>
      <c r="AY128" s="6">
        <f>[1]Production!AX29+[1]Production!AX31+[1]Production!AX33+[1]Production!AX35</f>
        <v>233425.65453</v>
      </c>
      <c r="AZ128" s="6">
        <f>[1]Production!AY29+[1]Production!AY31+[1]Production!AY33+[1]Production!AY35</f>
        <v>236514.13611999998</v>
      </c>
      <c r="BA128" s="6">
        <f>[1]Production!AZ29+[1]Production!AZ31+[1]Production!AZ33+[1]Production!AZ35</f>
        <v>239646.98977000001</v>
      </c>
      <c r="BB128" s="6">
        <f>[1]Production!BA29+[1]Production!BA31+[1]Production!BA33+[1]Production!BA35</f>
        <v>242824.12852000003</v>
      </c>
      <c r="BC128" s="6">
        <f>[1]Production!BB29+[1]Production!BB31+[1]Production!BB33+[1]Production!BB35</f>
        <v>246045.63071</v>
      </c>
      <c r="BD128" s="6">
        <f>[1]Production!BC29+[1]Production!BC31+[1]Production!BC33+[1]Production!BC35</f>
        <v>249311.72750000001</v>
      </c>
      <c r="BE128" s="6">
        <f>[1]Production!BD29+[1]Production!BD31+[1]Production!BD33+[1]Production!BD35</f>
        <v>252622.78014000002</v>
      </c>
      <c r="BF128" s="6">
        <f>[1]Production!BE29+[1]Production!BE31+[1]Production!BE33+[1]Production!BE35</f>
        <v>255979.25531000001</v>
      </c>
    </row>
    <row r="129" spans="1:58" x14ac:dyDescent="0.35">
      <c r="B129" t="s">
        <v>10</v>
      </c>
      <c r="C129" s="6">
        <f>[1]Production!B37+[1]Production!B39</f>
        <v>2560883.1015999997</v>
      </c>
      <c r="D129" s="6">
        <f>[1]Production!C37+[1]Production!C39</f>
        <v>2593711.7546999999</v>
      </c>
      <c r="E129" s="6">
        <f>[1]Production!D37+[1]Production!D39</f>
        <v>2629752.3501000004</v>
      </c>
      <c r="F129" s="6">
        <f>[1]Production!E37+[1]Production!E39</f>
        <v>2668277.8605000004</v>
      </c>
      <c r="G129" s="6">
        <f>[1]Production!F37+[1]Production!F39</f>
        <v>2709094.5402000002</v>
      </c>
      <c r="H129" s="6">
        <f>[1]Production!G37+[1]Production!G39</f>
        <v>2751940.1952999998</v>
      </c>
      <c r="I129" s="6">
        <f>[1]Production!H37+[1]Production!H39</f>
        <v>2794790.8486000001</v>
      </c>
      <c r="J129" s="6">
        <f>[1]Production!I37+[1]Production!I39</f>
        <v>2838589.3810999999</v>
      </c>
      <c r="K129" s="6">
        <f>[1]Production!J37+[1]Production!J39</f>
        <v>2883334.1324999998</v>
      </c>
      <c r="L129" s="6">
        <f>[1]Production!K37+[1]Production!K39</f>
        <v>2928981.4963000002</v>
      </c>
      <c r="M129" s="6">
        <f>[1]Production!L37+[1]Production!L39</f>
        <v>2978594.9246999999</v>
      </c>
      <c r="N129" s="6">
        <f>[1]Production!M37+[1]Production!M39</f>
        <v>3026974.5385000003</v>
      </c>
      <c r="O129" s="6">
        <f>[1]Production!N37+[1]Production!N39</f>
        <v>3075799.7229000004</v>
      </c>
      <c r="P129" s="6">
        <f>[1]Production!O37+[1]Production!O39</f>
        <v>3125138.3232</v>
      </c>
      <c r="Q129" s="6">
        <f>[1]Production!P37+[1]Production!P39</f>
        <v>3175001.2837</v>
      </c>
      <c r="R129" s="6">
        <f>[1]Production!Q37+[1]Production!Q39</f>
        <v>3225399.3692000001</v>
      </c>
      <c r="S129" s="6">
        <f>[1]Production!R37+[1]Production!R39</f>
        <v>3276352.4712</v>
      </c>
      <c r="T129" s="6">
        <f>[1]Production!S37+[1]Production!S39</f>
        <v>3327888.0205000001</v>
      </c>
      <c r="U129" s="6">
        <f>[1]Production!T37+[1]Production!T39</f>
        <v>3380037.5271999999</v>
      </c>
      <c r="V129" s="6">
        <f>[1]Production!U37+[1]Production!U39</f>
        <v>3432833.6615999998</v>
      </c>
      <c r="W129" s="6">
        <f>[1]Production!V37+[1]Production!V39</f>
        <v>3483988.5131000001</v>
      </c>
      <c r="X129" s="6">
        <f>[1]Production!W37+[1]Production!W39</f>
        <v>3537364.2648</v>
      </c>
      <c r="Y129" s="6">
        <f>[1]Production!X37+[1]Production!X39</f>
        <v>3591710.3810999999</v>
      </c>
      <c r="Z129" s="6">
        <f>[1]Production!Y37+[1]Production!Y39</f>
        <v>3646976.2771000001</v>
      </c>
      <c r="AA129" s="6">
        <f>[1]Production!Z37+[1]Production!Z39</f>
        <v>3703156.9861000003</v>
      </c>
      <c r="AB129" s="6">
        <f>[1]Production!AA37+[1]Production!AA39</f>
        <v>3753537.9225000003</v>
      </c>
      <c r="AC129" s="6">
        <f>[1]Production!AB37+[1]Production!AB39</f>
        <v>3806015.4049</v>
      </c>
      <c r="AD129" s="6">
        <f>[1]Production!AC37+[1]Production!AC39</f>
        <v>3858924.7324999999</v>
      </c>
      <c r="AE129" s="6">
        <f>[1]Production!AD37+[1]Production!AD39</f>
        <v>3912348.9227</v>
      </c>
      <c r="AF129" s="6">
        <f>[1]Production!AE37+[1]Production!AE39</f>
        <v>3966407.1124</v>
      </c>
      <c r="AG129" s="6">
        <f>[1]Production!AF37+[1]Production!AF39</f>
        <v>4021200.7960999999</v>
      </c>
      <c r="AH129" s="6">
        <f>[1]Production!AG37+[1]Production!AG39</f>
        <v>4076803.6623</v>
      </c>
      <c r="AI129" s="6">
        <f>[1]Production!AH37+[1]Production!AH39</f>
        <v>4133263.4791000001</v>
      </c>
      <c r="AJ129" s="6">
        <f>[1]Production!AI37+[1]Production!AI39</f>
        <v>4190607.5796999997</v>
      </c>
      <c r="AK129" s="6">
        <f>[1]Production!AJ37+[1]Production!AJ39</f>
        <v>4248848.9427000005</v>
      </c>
      <c r="AL129" s="6">
        <f>[1]Production!AK37+[1]Production!AK39</f>
        <v>4307991.6090000002</v>
      </c>
      <c r="AM129" s="6">
        <f>[1]Production!AL37+[1]Production!AL39</f>
        <v>4366403.4253000002</v>
      </c>
      <c r="AN129" s="6">
        <f>[1]Production!AM37+[1]Production!AM39</f>
        <v>4425126.3684999999</v>
      </c>
      <c r="AO129" s="6">
        <f>[1]Production!AN37+[1]Production!AN39</f>
        <v>4484315.8617000002</v>
      </c>
      <c r="AP129" s="6">
        <f>[1]Production!AO37+[1]Production!AO39</f>
        <v>4544076.1573000001</v>
      </c>
      <c r="AQ129" s="6">
        <f>[1]Production!AP37+[1]Production!AP39</f>
        <v>4604493.1336000003</v>
      </c>
      <c r="AR129" s="6">
        <f>[1]Production!AQ37+[1]Production!AQ39</f>
        <v>4665638.7965000002</v>
      </c>
      <c r="AS129" s="6">
        <f>[1]Production!AR37+[1]Production!AR39</f>
        <v>4727571.2069999995</v>
      </c>
      <c r="AT129" s="6">
        <f>[1]Production!AS37+[1]Production!AS39</f>
        <v>4790334.9120000005</v>
      </c>
      <c r="AU129" s="6">
        <f>[1]Production!AT37+[1]Production!AT39</f>
        <v>4853962.5970000001</v>
      </c>
      <c r="AV129" s="6">
        <f>[1]Production!AU37+[1]Production!AU39</f>
        <v>4918477.6899999995</v>
      </c>
      <c r="AW129" s="6">
        <f>[1]Production!AV37+[1]Production!AV39</f>
        <v>4984046.22</v>
      </c>
      <c r="AX129" s="6">
        <f>[1]Production!AW37+[1]Production!AW39</f>
        <v>5050588.4359999998</v>
      </c>
      <c r="AY129" s="6">
        <f>[1]Production!AX37+[1]Production!AX39</f>
        <v>5118101.9009999996</v>
      </c>
      <c r="AZ129" s="6">
        <f>[1]Production!AY37+[1]Production!AY39</f>
        <v>5186581.2769999998</v>
      </c>
      <c r="BA129" s="6">
        <f>[1]Production!AZ37+[1]Production!AZ39</f>
        <v>5256022.7929999996</v>
      </c>
      <c r="BB129" s="6">
        <f>[1]Production!BA37+[1]Production!BA39</f>
        <v>5326427.1610000003</v>
      </c>
      <c r="BC129" s="6">
        <f>[1]Production!BB37+[1]Production!BB39</f>
        <v>5397799.3839999996</v>
      </c>
      <c r="BD129" s="6">
        <f>[1]Production!BC37+[1]Production!BC39</f>
        <v>5470147.852</v>
      </c>
      <c r="BE129" s="6">
        <f>[1]Production!BD37+[1]Production!BD39</f>
        <v>5543483.5050000008</v>
      </c>
      <c r="BF129" s="6">
        <f>[1]Production!BE37+[1]Production!BE39</f>
        <v>5617819.1689999998</v>
      </c>
    </row>
    <row r="130" spans="1:58" x14ac:dyDescent="0.35">
      <c r="B130" t="s">
        <v>29</v>
      </c>
      <c r="C130" s="6">
        <f>[1]Production!B43+[1]Production!B47</f>
        <v>35878.822581799999</v>
      </c>
      <c r="D130" s="6">
        <f>[1]Production!C43+[1]Production!C47</f>
        <v>36148.6156195</v>
      </c>
      <c r="E130" s="6">
        <f>[1]Production!D43+[1]Production!D47</f>
        <v>36409.355608400001</v>
      </c>
      <c r="F130" s="6">
        <f>[1]Production!E43+[1]Production!E47</f>
        <v>36704.928332700001</v>
      </c>
      <c r="G130" s="6">
        <f>[1]Production!F43+[1]Production!F47</f>
        <v>37046.735662999999</v>
      </c>
      <c r="H130" s="6">
        <f>[1]Production!G43+[1]Production!G47</f>
        <v>37434.371554600002</v>
      </c>
      <c r="I130" s="6">
        <f>[1]Production!H43+[1]Production!H47</f>
        <v>37840.744437200003</v>
      </c>
      <c r="J130" s="6">
        <f>[1]Production!I43+[1]Production!I47</f>
        <v>38273.115974700006</v>
      </c>
      <c r="K130" s="6">
        <f>[1]Production!J43+[1]Production!J47</f>
        <v>38726.666378199996</v>
      </c>
      <c r="L130" s="6">
        <f>[1]Production!K43+[1]Production!K47</f>
        <v>39196.895113700004</v>
      </c>
      <c r="M130" s="6">
        <f>[1]Production!L43+[1]Production!L47</f>
        <v>39716.669030999998</v>
      </c>
      <c r="N130" s="6">
        <f>[1]Production!M43+[1]Production!M47</f>
        <v>40221.081013799994</v>
      </c>
      <c r="O130" s="6">
        <f>[1]Production!N43+[1]Production!N47</f>
        <v>40731.304402099995</v>
      </c>
      <c r="P130" s="6">
        <f>[1]Production!O43+[1]Production!O47</f>
        <v>41248.0257575</v>
      </c>
      <c r="Q130" s="6">
        <f>[1]Production!P43+[1]Production!P47</f>
        <v>41770.844068999999</v>
      </c>
      <c r="R130" s="6">
        <f>[1]Production!Q43+[1]Production!Q47</f>
        <v>42299.388055299998</v>
      </c>
      <c r="S130" s="6">
        <f>[1]Production!R43+[1]Production!R47</f>
        <v>42833.4690099</v>
      </c>
      <c r="T130" s="6">
        <f>[1]Production!S43+[1]Production!S47</f>
        <v>43373.061161400001</v>
      </c>
      <c r="U130" s="6">
        <f>[1]Production!T43+[1]Production!T47</f>
        <v>43918.258465999999</v>
      </c>
      <c r="V130" s="6">
        <f>[1]Production!U43+[1]Production!U47</f>
        <v>44469.236152899997</v>
      </c>
      <c r="W130" s="6">
        <f>[1]Production!V43+[1]Production!V47</f>
        <v>44999.383792700006</v>
      </c>
      <c r="X130" s="6">
        <f>[1]Production!W43+[1]Production!W47</f>
        <v>45555.296911499994</v>
      </c>
      <c r="Y130" s="6">
        <f>[1]Production!X43+[1]Production!X47</f>
        <v>46120.271698200006</v>
      </c>
      <c r="Z130" s="6">
        <f>[1]Production!Y43+[1]Production!Y47</f>
        <v>46693.2378398</v>
      </c>
      <c r="AA130" s="6">
        <f>[1]Production!Z43+[1]Production!Z47</f>
        <v>47274.184227400001</v>
      </c>
      <c r="AB130" s="6">
        <f>[1]Production!AA43+[1]Production!AA47</f>
        <v>47785.845297700005</v>
      </c>
      <c r="AC130" s="6">
        <f>[1]Production!AB43+[1]Production!AB47</f>
        <v>48325.372248300002</v>
      </c>
      <c r="AD130" s="6">
        <f>[1]Production!AC43+[1]Production!AC47</f>
        <v>48870.076862299997</v>
      </c>
      <c r="AE130" s="6">
        <f>[1]Production!AD43+[1]Production!AD47</f>
        <v>49419.507663000004</v>
      </c>
      <c r="AF130" s="6">
        <f>[1]Production!AE43+[1]Production!AE47</f>
        <v>49974.424112299996</v>
      </c>
      <c r="AG130" s="6">
        <f>[1]Production!AF43+[1]Production!AF47</f>
        <v>50535.677395300001</v>
      </c>
      <c r="AH130" s="6">
        <f>[1]Production!AG43+[1]Production!AG47</f>
        <v>51103.989751699999</v>
      </c>
      <c r="AI130" s="6">
        <f>[1]Production!AH43+[1]Production!AH47</f>
        <v>51679.913133299997</v>
      </c>
      <c r="AJ130" s="6">
        <f>[1]Production!AI43+[1]Production!AI47</f>
        <v>52263.841037399994</v>
      </c>
      <c r="AK130" s="6">
        <f>[1]Production!AJ43+[1]Production!AJ47</f>
        <v>52856.036617199999</v>
      </c>
      <c r="AL130" s="6">
        <f>[1]Production!AK43+[1]Production!AK47</f>
        <v>53456.664243799998</v>
      </c>
      <c r="AM130" s="6">
        <f>[1]Production!AL43+[1]Production!AL47</f>
        <v>54047.134297799996</v>
      </c>
      <c r="AN130" s="6">
        <f>[1]Production!AM43+[1]Production!AM47</f>
        <v>54640.948498800004</v>
      </c>
      <c r="AO130" s="6">
        <f>[1]Production!AN43+[1]Production!AN47</f>
        <v>55239.818174500004</v>
      </c>
      <c r="AP130" s="6">
        <f>[1]Production!AO43+[1]Production!AO47</f>
        <v>55844.524623899997</v>
      </c>
      <c r="AQ130" s="6">
        <f>[1]Production!AP43+[1]Production!AP47</f>
        <v>56455.652220299999</v>
      </c>
      <c r="AR130" s="6">
        <f>[1]Production!AQ43+[1]Production!AQ47</f>
        <v>57073.703226600002</v>
      </c>
      <c r="AS130" s="6">
        <f>[1]Production!AR43+[1]Production!AR47</f>
        <v>57699.104514300001</v>
      </c>
      <c r="AT130" s="6">
        <f>[1]Production!AS43+[1]Production!AS47</f>
        <v>58332.201664400003</v>
      </c>
      <c r="AU130" s="6">
        <f>[1]Production!AT43+[1]Production!AT47</f>
        <v>58973.253467399998</v>
      </c>
      <c r="AV130" s="6">
        <f>[1]Production!AU43+[1]Production!AU47</f>
        <v>59622.413619799998</v>
      </c>
      <c r="AW130" s="6">
        <f>[1]Production!AV43+[1]Production!AV47</f>
        <v>60281.305168000006</v>
      </c>
      <c r="AX130" s="6">
        <f>[1]Production!AW43+[1]Production!AW47</f>
        <v>60948.7306016</v>
      </c>
      <c r="AY130" s="6">
        <f>[1]Production!AX43+[1]Production!AX47</f>
        <v>61624.4181427</v>
      </c>
      <c r="AZ130" s="6">
        <f>[1]Production!AY43+[1]Production!AY47</f>
        <v>62308.839553600003</v>
      </c>
      <c r="BA130" s="6">
        <f>[1]Production!AZ43+[1]Production!AZ47</f>
        <v>63002.393665200005</v>
      </c>
      <c r="BB130" s="6">
        <f>[1]Production!BA43+[1]Production!BA47</f>
        <v>63705.210585200002</v>
      </c>
      <c r="BC130" s="6">
        <f>[1]Production!BB43+[1]Production!BB47</f>
        <v>64417.281812000001</v>
      </c>
      <c r="BD130" s="6">
        <f>[1]Production!BC43+[1]Production!BC47</f>
        <v>65138.573009400003</v>
      </c>
      <c r="BE130" s="6">
        <f>[1]Production!BD43+[1]Production!BD47</f>
        <v>65869.076038600004</v>
      </c>
      <c r="BF130" s="6">
        <f>[1]Production!BE43+[1]Production!BE47</f>
        <v>66608.822160800002</v>
      </c>
    </row>
    <row r="131" spans="1:58" x14ac:dyDescent="0.35">
      <c r="B131" t="s">
        <v>36</v>
      </c>
      <c r="C131" s="6">
        <f>[1]Production!B45+[1]Production!B49</f>
        <v>4493.4727461000002</v>
      </c>
      <c r="D131" s="6">
        <f>[1]Production!C45+[1]Production!C49</f>
        <v>4520.7024339</v>
      </c>
      <c r="E131" s="6">
        <f>[1]Production!D45+[1]Production!D49</f>
        <v>4545.8350082999996</v>
      </c>
      <c r="F131" s="6">
        <f>[1]Production!E45+[1]Production!E49</f>
        <v>4576.4446508000001</v>
      </c>
      <c r="G131" s="6">
        <f>[1]Production!F45+[1]Production!F49</f>
        <v>4614.3838715000002</v>
      </c>
      <c r="H131" s="6">
        <f>[1]Production!G45+[1]Production!G49</f>
        <v>4659.1592093999998</v>
      </c>
      <c r="I131" s="6">
        <f>[1]Production!H45+[1]Production!H49</f>
        <v>4707.2387978999996</v>
      </c>
      <c r="J131" s="6">
        <f>[1]Production!I45+[1]Production!I49</f>
        <v>4759.0850185999998</v>
      </c>
      <c r="K131" s="6">
        <f>[1]Production!J45+[1]Production!J49</f>
        <v>4813.8899556999995</v>
      </c>
      <c r="L131" s="6">
        <f>[1]Production!K45+[1]Production!K49</f>
        <v>4870.9893619000004</v>
      </c>
      <c r="M131" s="6">
        <f>[1]Production!L45+[1]Production!L49</f>
        <v>4934.0090602</v>
      </c>
      <c r="N131" s="6">
        <f>[1]Production!M45+[1]Production!M49</f>
        <v>4995.5617097000004</v>
      </c>
      <c r="O131" s="6">
        <f>[1]Production!N45+[1]Production!N49</f>
        <v>5058.0106901999998</v>
      </c>
      <c r="P131" s="6">
        <f>[1]Production!O45+[1]Production!O49</f>
        <v>5121.3287582000003</v>
      </c>
      <c r="Q131" s="6">
        <f>[1]Production!P45+[1]Production!P49</f>
        <v>5185.4146092999999</v>
      </c>
      <c r="R131" s="6">
        <f>[1]Production!Q45+[1]Production!Q49</f>
        <v>5250.1874923000005</v>
      </c>
      <c r="S131" s="6">
        <f>[1]Production!R45+[1]Production!R49</f>
        <v>5315.5964767000005</v>
      </c>
      <c r="T131" s="6">
        <f>[1]Production!S45+[1]Production!S49</f>
        <v>5381.6151897</v>
      </c>
      <c r="U131" s="6">
        <f>[1]Production!T45+[1]Production!T49</f>
        <v>5448.2353677999999</v>
      </c>
      <c r="V131" s="6">
        <f>[1]Production!U45+[1]Production!U49</f>
        <v>5515.46162</v>
      </c>
      <c r="W131" s="6">
        <f>[1]Production!V45+[1]Production!V49</f>
        <v>5580.2585459000002</v>
      </c>
      <c r="X131" s="6">
        <f>[1]Production!W45+[1]Production!W49</f>
        <v>5647.8782805000001</v>
      </c>
      <c r="Y131" s="6">
        <f>[1]Production!X45+[1]Production!X49</f>
        <v>5716.4017719999993</v>
      </c>
      <c r="Z131" s="6">
        <f>[1]Production!Y45+[1]Production!Y49</f>
        <v>5785.7454170999999</v>
      </c>
      <c r="AA131" s="6">
        <f>[1]Production!Z45+[1]Production!Z49</f>
        <v>5855.9171065999999</v>
      </c>
      <c r="AB131" s="6">
        <f>[1]Production!AA45+[1]Production!AA49</f>
        <v>5918.1371544000003</v>
      </c>
      <c r="AC131" s="6">
        <f>[1]Production!AB45+[1]Production!AB49</f>
        <v>5983.3626411000005</v>
      </c>
      <c r="AD131" s="6">
        <f>[1]Production!AC45+[1]Production!AC49</f>
        <v>6048.9299711999993</v>
      </c>
      <c r="AE131" s="6">
        <f>[1]Production!AD45+[1]Production!AD49</f>
        <v>6114.8490110999992</v>
      </c>
      <c r="AF131" s="6">
        <f>[1]Production!AE45+[1]Production!AE49</f>
        <v>6181.2384753000006</v>
      </c>
      <c r="AG131" s="6">
        <f>[1]Production!AF45+[1]Production!AF49</f>
        <v>6248.2203116000001</v>
      </c>
      <c r="AH131" s="6">
        <f>[1]Production!AG45+[1]Production!AG49</f>
        <v>6315.8973028999999</v>
      </c>
      <c r="AI131" s="6">
        <f>[1]Production!AH45+[1]Production!AH49</f>
        <v>6384.3496321000002</v>
      </c>
      <c r="AJ131" s="6">
        <f>[1]Production!AI45+[1]Production!AI49</f>
        <v>6453.6368493999998</v>
      </c>
      <c r="AK131" s="6">
        <f>[1]Production!AJ45+[1]Production!AJ49</f>
        <v>6523.8015205000002</v>
      </c>
      <c r="AL131" s="6">
        <f>[1]Production!AK45+[1]Production!AK49</f>
        <v>6594.8731798999997</v>
      </c>
      <c r="AM131" s="6">
        <f>[1]Production!AL45+[1]Production!AL49</f>
        <v>6664.7484605</v>
      </c>
      <c r="AN131" s="6">
        <f>[1]Production!AM45+[1]Production!AM49</f>
        <v>6734.9530941999992</v>
      </c>
      <c r="AO131" s="6">
        <f>[1]Production!AN45+[1]Production!AN49</f>
        <v>6805.6579972999998</v>
      </c>
      <c r="AP131" s="6">
        <f>[1]Production!AO45+[1]Production!AO49</f>
        <v>6876.9555639</v>
      </c>
      <c r="AQ131" s="6">
        <f>[1]Production!AP45+[1]Production!AP49</f>
        <v>6948.9225433000001</v>
      </c>
      <c r="AR131" s="6">
        <f>[1]Production!AQ45+[1]Production!AQ49</f>
        <v>7021.6277913000004</v>
      </c>
      <c r="AS131" s="6">
        <f>[1]Production!AR45+[1]Production!AR49</f>
        <v>7095.1312018999997</v>
      </c>
      <c r="AT131" s="6">
        <f>[1]Production!AS45+[1]Production!AS49</f>
        <v>7169.4825048000002</v>
      </c>
      <c r="AU131" s="6">
        <f>[1]Production!AT45+[1]Production!AT49</f>
        <v>7244.7211038000005</v>
      </c>
      <c r="AV131" s="6">
        <f>[1]Production!AU45+[1]Production!AU49</f>
        <v>7320.8764767999992</v>
      </c>
      <c r="AW131" s="6">
        <f>[1]Production!AV45+[1]Production!AV49</f>
        <v>7398.1588813999997</v>
      </c>
      <c r="AX131" s="6">
        <f>[1]Production!AW45+[1]Production!AW49</f>
        <v>7476.4298835</v>
      </c>
      <c r="AY131" s="6">
        <f>[1]Production!AX45+[1]Production!AX49</f>
        <v>7555.6655877000003</v>
      </c>
      <c r="AZ131" s="6">
        <f>[1]Production!AY45+[1]Production!AY49</f>
        <v>7635.9017145999997</v>
      </c>
      <c r="BA131" s="6">
        <f>[1]Production!AZ45+[1]Production!AZ49</f>
        <v>7717.1690795000004</v>
      </c>
      <c r="BB131" s="6">
        <f>[1]Production!BA45+[1]Production!BA49</f>
        <v>7799.4788360000002</v>
      </c>
      <c r="BC131" s="6">
        <f>[1]Production!BB45+[1]Production!BB49</f>
        <v>7882.8320380000005</v>
      </c>
      <c r="BD131" s="6">
        <f>[1]Production!BC45+[1]Production!BC49</f>
        <v>7967.2278349999997</v>
      </c>
      <c r="BE131" s="6">
        <f>[1]Production!BD45+[1]Production!BD49</f>
        <v>8052.6672419999995</v>
      </c>
      <c r="BF131" s="6">
        <f>[1]Production!BE45+[1]Production!BE49</f>
        <v>8139.1541020000004</v>
      </c>
    </row>
    <row r="132" spans="1:58" x14ac:dyDescent="0.35">
      <c r="B132" t="s">
        <v>33</v>
      </c>
      <c r="C132" s="6">
        <f>[1]Production!B51+[1]Production!B53+[1]Production!B55+[1]Production!B57+[1]Production!B59+[1]Production!B61+[1]Production!B63+[1]Production!B65+[1]Production!B67</f>
        <v>67874.252405700012</v>
      </c>
      <c r="D132" s="6">
        <f>[1]Production!C51+[1]Production!C53+[1]Production!C55+[1]Production!C57+[1]Production!C59+[1]Production!C61+[1]Production!C63+[1]Production!C65+[1]Production!C67</f>
        <v>68391.021739599993</v>
      </c>
      <c r="E132" s="6">
        <f>[1]Production!D51+[1]Production!D53+[1]Production!D55+[1]Production!D57+[1]Production!D59+[1]Production!D61+[1]Production!D63+[1]Production!D65+[1]Production!D67</f>
        <v>68841.002032400007</v>
      </c>
      <c r="F132" s="6">
        <f>[1]Production!E51+[1]Production!E53+[1]Production!E55+[1]Production!E57+[1]Production!E59+[1]Production!E61+[1]Production!E63+[1]Production!E65+[1]Production!E67</f>
        <v>69300.824671199996</v>
      </c>
      <c r="G132" s="6">
        <f>[1]Production!F51+[1]Production!F53+[1]Production!F55+[1]Production!F57+[1]Production!F59+[1]Production!F61+[1]Production!F63+[1]Production!F65+[1]Production!F67</f>
        <v>69797.034870300005</v>
      </c>
      <c r="H132" s="6">
        <f>[1]Production!G51+[1]Production!G53+[1]Production!G55+[1]Production!G57+[1]Production!G59+[1]Production!G61+[1]Production!G63+[1]Production!G65+[1]Production!G67</f>
        <v>70342.195141900011</v>
      </c>
      <c r="I132" s="6">
        <f>[1]Production!H51+[1]Production!H53+[1]Production!H55+[1]Production!H57+[1]Production!H59+[1]Production!H61+[1]Production!H63+[1]Production!H65+[1]Production!H67</f>
        <v>70901.765762199997</v>
      </c>
      <c r="J132" s="6">
        <f>[1]Production!I51+[1]Production!I53+[1]Production!I55+[1]Production!I57+[1]Production!I59+[1]Production!I61+[1]Production!I63+[1]Production!I65+[1]Production!I67</f>
        <v>71490.623237900014</v>
      </c>
      <c r="K132" s="6">
        <f>[1]Production!J51+[1]Production!J53+[1]Production!J55+[1]Production!J57+[1]Production!J59+[1]Production!J61+[1]Production!J63+[1]Production!J65+[1]Production!J67</f>
        <v>72105.257084199999</v>
      </c>
      <c r="L132" s="6">
        <f>[1]Production!K51+[1]Production!K53+[1]Production!K55+[1]Production!K57+[1]Production!K59+[1]Production!K61+[1]Production!K63+[1]Production!K65+[1]Production!K67</f>
        <v>72739.210920199985</v>
      </c>
      <c r="M132" s="6">
        <f>[1]Production!L51+[1]Production!L53+[1]Production!L55+[1]Production!L57+[1]Production!L59+[1]Production!L61+[1]Production!L63+[1]Production!L65+[1]Production!L67</f>
        <v>73449.935716700013</v>
      </c>
      <c r="N132" s="6">
        <f>[1]Production!M51+[1]Production!M53+[1]Production!M55+[1]Production!M57+[1]Production!M59+[1]Production!M61+[1]Production!M63+[1]Production!M65+[1]Production!M67</f>
        <v>74132.862037900006</v>
      </c>
      <c r="O132" s="6">
        <f>[1]Production!N51+[1]Production!N53+[1]Production!N55+[1]Production!N57+[1]Production!N59+[1]Production!N61+[1]Production!N63+[1]Production!N65+[1]Production!N67</f>
        <v>74812.289010399996</v>
      </c>
      <c r="P132" s="6">
        <f>[1]Production!O51+[1]Production!O53+[1]Production!O55+[1]Production!O57+[1]Production!O59+[1]Production!O61+[1]Production!O63+[1]Production!O65+[1]Production!O67</f>
        <v>75492.750615099998</v>
      </c>
      <c r="Q132" s="6">
        <f>[1]Production!P51+[1]Production!P53+[1]Production!P55+[1]Production!P57+[1]Production!P59+[1]Production!P61+[1]Production!P63+[1]Production!P65+[1]Production!P67</f>
        <v>76175.569378299988</v>
      </c>
      <c r="R132" s="6">
        <f>[1]Production!Q51+[1]Production!Q53+[1]Production!Q55+[1]Production!Q57+[1]Production!Q59+[1]Production!Q61+[1]Production!Q63+[1]Production!Q65+[1]Production!Q67</f>
        <v>76861.48189689999</v>
      </c>
      <c r="S132" s="6">
        <f>[1]Production!R51+[1]Production!R53+[1]Production!R55+[1]Production!R57+[1]Production!R59+[1]Production!R61+[1]Production!R63+[1]Production!R65+[1]Production!R67</f>
        <v>77551.274110500002</v>
      </c>
      <c r="T132" s="6">
        <f>[1]Production!S51+[1]Production!S53+[1]Production!S55+[1]Production!S57+[1]Production!S59+[1]Production!S61+[1]Production!S63+[1]Production!S65+[1]Production!S67</f>
        <v>78245.906808600004</v>
      </c>
      <c r="U132" s="6">
        <f>[1]Production!T51+[1]Production!T53+[1]Production!T55+[1]Production!T57+[1]Production!T59+[1]Production!T61+[1]Production!T63+[1]Production!T65+[1]Production!T67</f>
        <v>78946.501320399999</v>
      </c>
      <c r="V132" s="6">
        <f>[1]Production!U51+[1]Production!U53+[1]Production!U55+[1]Production!U57+[1]Production!U59+[1]Production!U61+[1]Production!U63+[1]Production!U65+[1]Production!U67</f>
        <v>79654.287054800006</v>
      </c>
      <c r="W132" s="6">
        <f>[1]Production!V51+[1]Production!V53+[1]Production!V55+[1]Production!V57+[1]Production!V59+[1]Production!V61+[1]Production!V63+[1]Production!V65+[1]Production!V67</f>
        <v>80325.074690900001</v>
      </c>
      <c r="X132" s="6">
        <f>[1]Production!W51+[1]Production!W53+[1]Production!W55+[1]Production!W57+[1]Production!W59+[1]Production!W61+[1]Production!W63+[1]Production!W65+[1]Production!W67</f>
        <v>81033.135381999993</v>
      </c>
      <c r="Y132" s="6">
        <f>[1]Production!X51+[1]Production!X53+[1]Production!X55+[1]Production!X57+[1]Production!X59+[1]Production!X61+[1]Production!X63+[1]Production!X65+[1]Production!X67</f>
        <v>81760.230844699996</v>
      </c>
      <c r="Z132" s="6">
        <f>[1]Production!Y51+[1]Production!Y53+[1]Production!Y55+[1]Production!Y57+[1]Production!Y59+[1]Production!Y61+[1]Production!Y63+[1]Production!Y65+[1]Production!Y67</f>
        <v>82503.316968000014</v>
      </c>
      <c r="AA132" s="6">
        <f>[1]Production!Z51+[1]Production!Z53+[1]Production!Z55+[1]Production!Z57+[1]Production!Z59+[1]Production!Z61+[1]Production!Z63+[1]Production!Z65+[1]Production!Z67</f>
        <v>83262.053031500007</v>
      </c>
      <c r="AB132" s="6">
        <f>[1]Production!AA51+[1]Production!AA53+[1]Production!AA55+[1]Production!AA57+[1]Production!AA59+[1]Production!AA61+[1]Production!AA63+[1]Production!AA65+[1]Production!AA67</f>
        <v>83907.153648899999</v>
      </c>
      <c r="AC132" s="6">
        <f>[1]Production!AB51+[1]Production!AB53+[1]Production!AB55+[1]Production!AB57+[1]Production!AB59+[1]Production!AB61+[1]Production!AB63+[1]Production!AB65+[1]Production!AB67</f>
        <v>84585.687449100005</v>
      </c>
      <c r="AD132" s="6">
        <f>[1]Production!AC51+[1]Production!AC53+[1]Production!AC55+[1]Production!AC57+[1]Production!AC59+[1]Production!AC61+[1]Production!AC63+[1]Production!AC65+[1]Production!AC67</f>
        <v>85278.872473199997</v>
      </c>
      <c r="AE132" s="6">
        <f>[1]Production!AD51+[1]Production!AD53+[1]Production!AD55+[1]Production!AD57+[1]Production!AD59+[1]Production!AD61+[1]Production!AD63+[1]Production!AD65+[1]Production!AD67</f>
        <v>85985.662925700002</v>
      </c>
      <c r="AF132" s="6">
        <f>[1]Production!AE51+[1]Production!AE53+[1]Production!AE55+[1]Production!AE57+[1]Production!AE59+[1]Production!AE61+[1]Production!AE63+[1]Production!AE65+[1]Production!AE67</f>
        <v>86707.326717000004</v>
      </c>
      <c r="AG132" s="6">
        <f>[1]Production!AF51+[1]Production!AF53+[1]Production!AF55+[1]Production!AF57+[1]Production!AF59+[1]Production!AF61+[1]Production!AF63+[1]Production!AF65+[1]Production!AF67</f>
        <v>87445.357927999983</v>
      </c>
      <c r="AH132" s="6">
        <f>[1]Production!AG51+[1]Production!AG53+[1]Production!AG55+[1]Production!AG57+[1]Production!AG59+[1]Production!AG61+[1]Production!AG63+[1]Production!AG65+[1]Production!AG67</f>
        <v>88200.958643500009</v>
      </c>
      <c r="AI132" s="6">
        <f>[1]Production!AH51+[1]Production!AH53+[1]Production!AH55+[1]Production!AH57+[1]Production!AH59+[1]Production!AH61+[1]Production!AH63+[1]Production!AH65+[1]Production!AH67</f>
        <v>88974.937505000009</v>
      </c>
      <c r="AJ132" s="6">
        <f>[1]Production!AI51+[1]Production!AI53+[1]Production!AI55+[1]Production!AI57+[1]Production!AI59+[1]Production!AI61+[1]Production!AI63+[1]Production!AI65+[1]Production!AI67</f>
        <v>89767.732747500006</v>
      </c>
      <c r="AK132" s="6">
        <f>[1]Production!AJ51+[1]Production!AJ53+[1]Production!AJ55+[1]Production!AJ57+[1]Production!AJ59+[1]Production!AJ61+[1]Production!AJ63+[1]Production!AJ65+[1]Production!AJ67</f>
        <v>90579.477841</v>
      </c>
      <c r="AL132" s="6">
        <f>[1]Production!AK51+[1]Production!AK53+[1]Production!AK55+[1]Production!AK57+[1]Production!AK59+[1]Production!AK61+[1]Production!AK63+[1]Production!AK65+[1]Production!AK67</f>
        <v>91410.0791359</v>
      </c>
      <c r="AM132" s="6">
        <f>[1]Production!AL51+[1]Production!AL53+[1]Production!AL55+[1]Production!AL57+[1]Production!AL59+[1]Production!AL61+[1]Production!AL63+[1]Production!AL65+[1]Production!AL67</f>
        <v>92228.702352000008</v>
      </c>
      <c r="AN132" s="6">
        <f>[1]Production!AM51+[1]Production!AM53+[1]Production!AM55+[1]Production!AM57+[1]Production!AM59+[1]Production!AM61+[1]Production!AM63+[1]Production!AM65+[1]Production!AM67</f>
        <v>93053.257986199998</v>
      </c>
      <c r="AO132" s="6">
        <f>[1]Production!AN51+[1]Production!AN53+[1]Production!AN55+[1]Production!AN57+[1]Production!AN59+[1]Production!AN61+[1]Production!AN63+[1]Production!AN65+[1]Production!AN67</f>
        <v>93888.561822100004</v>
      </c>
      <c r="AP132" s="6">
        <f>[1]Production!AO51+[1]Production!AO53+[1]Production!AO55+[1]Production!AO57+[1]Production!AO59+[1]Production!AO61+[1]Production!AO63+[1]Production!AO65+[1]Production!AO67</f>
        <v>94736.726296699999</v>
      </c>
      <c r="AQ132" s="6">
        <f>[1]Production!AP51+[1]Production!AP53+[1]Production!AP55+[1]Production!AP57+[1]Production!AP59+[1]Production!AP61+[1]Production!AP63+[1]Production!AP65+[1]Production!AP67</f>
        <v>95599.015930299996</v>
      </c>
      <c r="AR132" s="6">
        <f>[1]Production!AQ51+[1]Production!AQ53+[1]Production!AQ55+[1]Production!AQ57+[1]Production!AQ59+[1]Production!AQ61+[1]Production!AQ63+[1]Production!AQ65+[1]Production!AQ67</f>
        <v>96476.327890400004</v>
      </c>
      <c r="AS132" s="6">
        <f>[1]Production!AR51+[1]Production!AR53+[1]Production!AR55+[1]Production!AR57+[1]Production!AR59+[1]Production!AR61+[1]Production!AR63+[1]Production!AR65+[1]Production!AR67</f>
        <v>97369.329397800015</v>
      </c>
      <c r="AT132" s="6">
        <f>[1]Production!AS51+[1]Production!AS53+[1]Production!AS55+[1]Production!AS57+[1]Production!AS59+[1]Production!AS61+[1]Production!AS63+[1]Production!AS65+[1]Production!AS67</f>
        <v>98278.520456500002</v>
      </c>
      <c r="AU132" s="6">
        <f>[1]Production!AT51+[1]Production!AT53+[1]Production!AT55+[1]Production!AT57+[1]Production!AT59+[1]Production!AT61+[1]Production!AT63+[1]Production!AT65+[1]Production!AT67</f>
        <v>99204.236876800001</v>
      </c>
      <c r="AV132" s="6">
        <f>[1]Production!AU51+[1]Production!AU53+[1]Production!AU55+[1]Production!AU57+[1]Production!AU59+[1]Production!AU61+[1]Production!AU63+[1]Production!AU65+[1]Production!AU67</f>
        <v>100146.58140540001</v>
      </c>
      <c r="AW132" s="6">
        <f>[1]Production!AV51+[1]Production!AV53+[1]Production!AV55+[1]Production!AV57+[1]Production!AV59+[1]Production!AV61+[1]Production!AV63+[1]Production!AV65+[1]Production!AV67</f>
        <v>101107.66604929998</v>
      </c>
      <c r="AX132" s="6">
        <f>[1]Production!AW51+[1]Production!AW53+[1]Production!AW55+[1]Production!AW57+[1]Production!AW59+[1]Production!AW61+[1]Production!AW63+[1]Production!AW65+[1]Production!AW67</f>
        <v>102082.2534991</v>
      </c>
      <c r="AY132" s="6">
        <f>[1]Production!AX51+[1]Production!AX53+[1]Production!AX55+[1]Production!AX57+[1]Production!AX59+[1]Production!AX61+[1]Production!AX63+[1]Production!AX65+[1]Production!AX67</f>
        <v>103068.4186275</v>
      </c>
      <c r="AZ132" s="6">
        <f>[1]Production!AY51+[1]Production!AY53+[1]Production!AY55+[1]Production!AY57+[1]Production!AY59+[1]Production!AY61+[1]Production!AY63+[1]Production!AY65+[1]Production!AY67</f>
        <v>104068.52575259999</v>
      </c>
      <c r="BA132" s="6">
        <f>[1]Production!AZ51+[1]Production!AZ53+[1]Production!AZ55+[1]Production!AZ57+[1]Production!AZ59+[1]Production!AZ61+[1]Production!AZ63+[1]Production!AZ65+[1]Production!AZ67</f>
        <v>105084.97227089998</v>
      </c>
      <c r="BB132" s="6">
        <f>[1]Production!BA51+[1]Production!BA53+[1]Production!BA55+[1]Production!BA57+[1]Production!BA59+[1]Production!BA61+[1]Production!BA63+[1]Production!BA65+[1]Production!BA67</f>
        <v>106118.68288349999</v>
      </c>
      <c r="BC132" s="6">
        <f>[1]Production!BB51+[1]Production!BB53+[1]Production!BB55+[1]Production!BB57+[1]Production!BB59+[1]Production!BB61+[1]Production!BB63+[1]Production!BB65+[1]Production!BB67</f>
        <v>107169.6172106</v>
      </c>
      <c r="BD132" s="6">
        <f>[1]Production!BC51+[1]Production!BC53+[1]Production!BC55+[1]Production!BC57+[1]Production!BC59+[1]Production!BC61+[1]Production!BC63+[1]Production!BC65+[1]Production!BC67</f>
        <v>108237.4268748</v>
      </c>
      <c r="BE132" s="6">
        <f>[1]Production!BD51+[1]Production!BD53+[1]Production!BD55+[1]Production!BD57+[1]Production!BD59+[1]Production!BD61+[1]Production!BD63+[1]Production!BD65+[1]Production!BD67</f>
        <v>109321.82280620001</v>
      </c>
      <c r="BF132" s="6">
        <f>[1]Production!BE51+[1]Production!BE53+[1]Production!BE55+[1]Production!BE57+[1]Production!BE59+[1]Production!BE61+[1]Production!BE63+[1]Production!BE65+[1]Production!BE67</f>
        <v>110422.69929</v>
      </c>
    </row>
    <row r="133" spans="1:58" x14ac:dyDescent="0.35"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</row>
    <row r="134" spans="1:58" x14ac:dyDescent="0.35">
      <c r="C134" s="2"/>
    </row>
    <row r="135" spans="1:58" x14ac:dyDescent="0.35">
      <c r="A135" s="12" t="s">
        <v>82</v>
      </c>
      <c r="B135" t="s">
        <v>24</v>
      </c>
      <c r="C135" s="2">
        <v>42005</v>
      </c>
      <c r="D135" s="2">
        <v>42370</v>
      </c>
      <c r="E135" s="2">
        <v>42736</v>
      </c>
      <c r="F135" s="2">
        <v>43101</v>
      </c>
      <c r="G135" s="2">
        <v>43466</v>
      </c>
      <c r="H135" s="2">
        <v>43831</v>
      </c>
      <c r="I135" s="2">
        <v>44197</v>
      </c>
      <c r="J135" s="2">
        <v>44562</v>
      </c>
      <c r="K135" s="2">
        <v>44927</v>
      </c>
      <c r="L135" s="2">
        <v>45292</v>
      </c>
      <c r="M135" s="2">
        <v>45658</v>
      </c>
      <c r="N135" s="2">
        <v>46023</v>
      </c>
      <c r="O135" s="2">
        <v>46388</v>
      </c>
      <c r="P135" s="2">
        <v>46753</v>
      </c>
      <c r="Q135" s="2">
        <v>47119</v>
      </c>
      <c r="R135" s="2">
        <v>47484</v>
      </c>
      <c r="S135" s="2">
        <v>47849</v>
      </c>
      <c r="T135" s="2">
        <v>48214</v>
      </c>
      <c r="U135" s="2">
        <v>48580</v>
      </c>
      <c r="V135" s="2">
        <v>48945</v>
      </c>
      <c r="W135" s="2">
        <v>49310</v>
      </c>
      <c r="X135" s="2">
        <v>49675</v>
      </c>
      <c r="Y135" s="2">
        <v>50041</v>
      </c>
      <c r="Z135" s="2">
        <v>50406</v>
      </c>
      <c r="AA135" s="2">
        <v>50771</v>
      </c>
      <c r="AB135" s="2">
        <v>51136</v>
      </c>
      <c r="AC135" s="2">
        <v>51502</v>
      </c>
      <c r="AD135" s="2">
        <v>51867</v>
      </c>
      <c r="AE135" s="2">
        <v>52232</v>
      </c>
      <c r="AF135" s="2">
        <v>52597</v>
      </c>
      <c r="AG135" s="2">
        <v>52963</v>
      </c>
      <c r="AH135" s="2">
        <v>53328</v>
      </c>
      <c r="AI135" s="2">
        <v>53693</v>
      </c>
      <c r="AJ135" s="2">
        <v>54058</v>
      </c>
      <c r="AK135" s="2">
        <v>54424</v>
      </c>
      <c r="AL135" s="2">
        <v>54789</v>
      </c>
      <c r="AM135" s="2">
        <v>54790</v>
      </c>
      <c r="AN135" s="2">
        <v>54791</v>
      </c>
      <c r="AO135" s="2">
        <v>54792</v>
      </c>
      <c r="AP135" s="2">
        <v>54793</v>
      </c>
      <c r="AQ135" s="2">
        <v>54794</v>
      </c>
      <c r="AR135" s="2">
        <v>54795</v>
      </c>
      <c r="AS135" s="2">
        <v>54796</v>
      </c>
      <c r="AT135" s="2">
        <v>54797</v>
      </c>
      <c r="AU135" s="2">
        <v>54798</v>
      </c>
      <c r="AV135" s="2">
        <v>54799</v>
      </c>
      <c r="AW135" s="2">
        <v>54800</v>
      </c>
      <c r="AX135" s="2">
        <v>54801</v>
      </c>
      <c r="AY135" s="2">
        <v>54802</v>
      </c>
      <c r="AZ135" s="2">
        <v>54803</v>
      </c>
      <c r="BA135" s="2">
        <v>54804</v>
      </c>
      <c r="BB135" s="2">
        <v>54805</v>
      </c>
      <c r="BC135" s="2">
        <v>54806</v>
      </c>
      <c r="BD135" s="2">
        <v>54807</v>
      </c>
      <c r="BE135" s="2">
        <v>54808</v>
      </c>
      <c r="BF135" s="2">
        <v>54809</v>
      </c>
    </row>
    <row r="136" spans="1:58" x14ac:dyDescent="0.35">
      <c r="A136" t="s">
        <v>39</v>
      </c>
      <c r="B136" t="s">
        <v>27</v>
      </c>
      <c r="C136" s="6">
        <f>[1]Production!B2</f>
        <v>3788269.57</v>
      </c>
      <c r="D136" s="6">
        <f>[1]Production!C2</f>
        <v>3815582.074</v>
      </c>
      <c r="E136" s="6">
        <f>[1]Production!D2</f>
        <v>3853125.0619999999</v>
      </c>
      <c r="F136" s="6">
        <f>[1]Production!E2</f>
        <v>3897003.355</v>
      </c>
      <c r="G136" s="6">
        <f>[1]Production!F2</f>
        <v>3945983.1490000002</v>
      </c>
      <c r="H136" s="6">
        <f>[1]Production!G2</f>
        <v>3999240.713</v>
      </c>
      <c r="I136" s="6">
        <f>[1]Production!H2</f>
        <v>4053515.091</v>
      </c>
      <c r="J136" s="6">
        <f>[1]Production!I2</f>
        <v>4109990.1310000001</v>
      </c>
      <c r="K136" s="6">
        <f>[1]Production!J2</f>
        <v>4168449.838</v>
      </c>
      <c r="L136" s="6">
        <f>[1]Production!K2</f>
        <v>4228632.7740000002</v>
      </c>
      <c r="M136" s="6">
        <f>[1]Production!L2</f>
        <v>4294720.7929999996</v>
      </c>
      <c r="N136" s="6">
        <f>[1]Production!M2</f>
        <v>4358836.4790000003</v>
      </c>
      <c r="O136" s="6">
        <f>[1]Production!N2</f>
        <v>4423544.4869999997</v>
      </c>
      <c r="P136" s="6">
        <f>[1]Production!O2</f>
        <v>4488907.6050000004</v>
      </c>
      <c r="Q136" s="6">
        <f>[1]Production!P2</f>
        <v>4554917.0779999997</v>
      </c>
      <c r="R136" s="6">
        <f>[1]Production!Q2</f>
        <v>4621573.7630000003</v>
      </c>
      <c r="S136" s="6">
        <f>[1]Production!R2</f>
        <v>4688590.0750000002</v>
      </c>
      <c r="T136" s="6">
        <f>[1]Production!S2</f>
        <v>4756243.4589999998</v>
      </c>
      <c r="U136" s="6">
        <f>[1]Production!T2</f>
        <v>4824608.3540000003</v>
      </c>
      <c r="V136" s="6">
        <f>[1]Production!U2</f>
        <v>4893748.9720000001</v>
      </c>
      <c r="W136" s="6">
        <f>[1]Production!V2</f>
        <v>4960465.5980000002</v>
      </c>
      <c r="X136" s="6">
        <f>[1]Production!W2</f>
        <v>5030230.0750000002</v>
      </c>
      <c r="Y136" s="6">
        <f>[1]Production!X2</f>
        <v>5101262.0970000001</v>
      </c>
      <c r="Z136" s="6">
        <f>[1]Production!Y2</f>
        <v>5173492.8550000004</v>
      </c>
      <c r="AA136" s="6">
        <f>[1]Production!Z2</f>
        <v>5246919.4110000003</v>
      </c>
      <c r="AB136" s="6">
        <f>[1]Production!AA2</f>
        <v>5312183.7470000004</v>
      </c>
      <c r="AC136" s="6">
        <f>[1]Production!AB2</f>
        <v>5380521.4989999998</v>
      </c>
      <c r="AD136" s="6">
        <f>[1]Production!AC2</f>
        <v>5449473.4620000003</v>
      </c>
      <c r="AE136" s="6">
        <f>[1]Production!AD2</f>
        <v>5519135.6780000003</v>
      </c>
      <c r="AF136" s="6">
        <f>[1]Production!AE2</f>
        <v>5589657.2280000001</v>
      </c>
      <c r="AG136" s="6">
        <f>[1]Production!AF2</f>
        <v>5661167.2570000002</v>
      </c>
      <c r="AH136" s="6">
        <f>[1]Production!AG2</f>
        <v>5733830.2740000002</v>
      </c>
      <c r="AI136" s="6">
        <f>[1]Production!AH2</f>
        <v>5807654.1679999996</v>
      </c>
      <c r="AJ136" s="6">
        <f>[1]Production!AI2</f>
        <v>5882665.3169999998</v>
      </c>
      <c r="AK136" s="6">
        <f>[1]Production!AJ2</f>
        <v>5958873.0089999996</v>
      </c>
      <c r="AL136" s="6">
        <f>[1]Production!AK2</f>
        <v>6036274.875</v>
      </c>
      <c r="AM136" s="6">
        <f>[1]Production!AL2</f>
        <v>6113237.0520000001</v>
      </c>
      <c r="AN136" s="6">
        <f>[1]Production!AM2</f>
        <v>6190736.3729999997</v>
      </c>
      <c r="AO136" s="6">
        <f>[1]Production!AN2</f>
        <v>6268918.3449999997</v>
      </c>
      <c r="AP136" s="6">
        <f>[1]Production!AO2</f>
        <v>6347879.7199999997</v>
      </c>
      <c r="AQ136" s="6">
        <f>[1]Production!AP2</f>
        <v>6427701.3559999997</v>
      </c>
      <c r="AR136" s="6">
        <f>[1]Production!AQ2</f>
        <v>6508552.6129999999</v>
      </c>
      <c r="AS136" s="6">
        <f>[1]Production!AR2</f>
        <v>6590415.9850000003</v>
      </c>
      <c r="AT136" s="6">
        <f>[1]Production!AS2</f>
        <v>6673323.3499999996</v>
      </c>
      <c r="AU136" s="6">
        <f>[1]Production!AT2</f>
        <v>6757297.4709999999</v>
      </c>
      <c r="AV136" s="6">
        <f>[1]Production!AU2</f>
        <v>6842352.4929999998</v>
      </c>
      <c r="AW136" s="6">
        <f>[1]Production!AV2</f>
        <v>6929039.8439999996</v>
      </c>
      <c r="AX136" s="6">
        <f>[1]Production!AW2</f>
        <v>7016983.8480000002</v>
      </c>
      <c r="AY136" s="6">
        <f>[1]Production!AX2</f>
        <v>7106132.4419999998</v>
      </c>
      <c r="AZ136" s="6">
        <f>[1]Production!AY2</f>
        <v>7196454.7300000004</v>
      </c>
      <c r="BA136" s="6">
        <f>[1]Production!AZ2</f>
        <v>7287932.0070000002</v>
      </c>
      <c r="BB136" s="6">
        <f>[1]Production!BA2</f>
        <v>7380770.8049999997</v>
      </c>
      <c r="BC136" s="6">
        <f>[1]Production!BB2</f>
        <v>7474815.7110000001</v>
      </c>
      <c r="BD136" s="6">
        <f>[1]Production!BC2</f>
        <v>7570050.7309999997</v>
      </c>
      <c r="BE136" s="6">
        <f>[1]Production!BD2</f>
        <v>7666473.3609999996</v>
      </c>
      <c r="BF136" s="6">
        <f>[1]Production!BE2</f>
        <v>7764089.8119999999</v>
      </c>
    </row>
    <row r="137" spans="1:58" x14ac:dyDescent="0.35">
      <c r="B137" t="s">
        <v>7</v>
      </c>
      <c r="C137" s="6">
        <f>[1]Production!B4+[1]Production!B6</f>
        <v>86481.910596999995</v>
      </c>
      <c r="D137" s="6">
        <f>[1]Production!C4+[1]Production!C6</f>
        <v>86590.452363999997</v>
      </c>
      <c r="E137" s="6">
        <f>[1]Production!D4+[1]Production!D6</f>
        <v>86955.834556999995</v>
      </c>
      <c r="F137" s="6">
        <f>[1]Production!E4+[1]Production!E6</f>
        <v>87538.505308000007</v>
      </c>
      <c r="G137" s="6">
        <f>[1]Production!F4+[1]Production!F6</f>
        <v>88315.610008999996</v>
      </c>
      <c r="H137" s="6">
        <f>[1]Production!G4+[1]Production!G6</f>
        <v>89258.524294000003</v>
      </c>
      <c r="I137" s="6">
        <f>[1]Production!H4+[1]Production!H6</f>
        <v>90284.406409000003</v>
      </c>
      <c r="J137" s="6">
        <f>[1]Production!I4+[1]Production!I6</f>
        <v>91398.365942000004</v>
      </c>
      <c r="K137" s="6">
        <f>[1]Production!J4+[1]Production!J6</f>
        <v>92586.454494000005</v>
      </c>
      <c r="L137" s="6">
        <f>[1]Production!K4+[1]Production!K6</f>
        <v>93835.172870999988</v>
      </c>
      <c r="M137" s="6">
        <f>[1]Production!L4+[1]Production!L6</f>
        <v>95222.645265999992</v>
      </c>
      <c r="N137" s="6">
        <f>[1]Production!M4+[1]Production!M6</f>
        <v>96590.568877999991</v>
      </c>
      <c r="O137" s="6">
        <f>[1]Production!N4+[1]Production!N6</f>
        <v>97975.933037999988</v>
      </c>
      <c r="P137" s="6">
        <f>[1]Production!O4+[1]Production!O6</f>
        <v>99376.569464</v>
      </c>
      <c r="Q137" s="6">
        <f>[1]Production!P4+[1]Production!P6</f>
        <v>100789.763752</v>
      </c>
      <c r="R137" s="6">
        <f>[1]Production!Q4+[1]Production!Q6</f>
        <v>102213.818829</v>
      </c>
      <c r="S137" s="6">
        <f>[1]Production!R4+[1]Production!R6</f>
        <v>103639.868338</v>
      </c>
      <c r="T137" s="6">
        <f>[1]Production!S4+[1]Production!S6</f>
        <v>105074.390904</v>
      </c>
      <c r="U137" s="6">
        <f>[1]Production!T4+[1]Production!T6</f>
        <v>106518.527995</v>
      </c>
      <c r="V137" s="6">
        <f>[1]Production!U4+[1]Production!U6</f>
        <v>107973.425124</v>
      </c>
      <c r="W137" s="6">
        <f>[1]Production!V4+[1]Production!V6</f>
        <v>109374.324125</v>
      </c>
      <c r="X137" s="6">
        <f>[1]Production!W4+[1]Production!W6</f>
        <v>110824.84538999999</v>
      </c>
      <c r="Y137" s="6">
        <f>[1]Production!X4+[1]Production!X6</f>
        <v>112298.248849</v>
      </c>
      <c r="Z137" s="6">
        <f>[1]Production!Y4+[1]Production!Y6</f>
        <v>113793.30717300001</v>
      </c>
      <c r="AA137" s="6">
        <f>[1]Production!Z4+[1]Production!Z6</f>
        <v>115310.094633</v>
      </c>
      <c r="AB137" s="6">
        <f>[1]Production!AA4+[1]Production!AA6</f>
        <v>116660.03098699999</v>
      </c>
      <c r="AC137" s="6">
        <f>[1]Production!AB4+[1]Production!AB6</f>
        <v>118049.51245900001</v>
      </c>
      <c r="AD137" s="6">
        <f>[1]Production!AC4+[1]Production!AC6</f>
        <v>119444.93092699999</v>
      </c>
      <c r="AE137" s="6">
        <f>[1]Production!AD4+[1]Production!AD6</f>
        <v>120850.649087</v>
      </c>
      <c r="AF137" s="6">
        <f>[1]Production!AE4+[1]Production!AE6</f>
        <v>122271.82731499999</v>
      </c>
      <c r="AG137" s="6">
        <f>[1]Production!AF4+[1]Production!AF6</f>
        <v>123712.78258499999</v>
      </c>
      <c r="AH137" s="6">
        <f>[1]Production!AG4+[1]Production!AG6</f>
        <v>125178.541403</v>
      </c>
      <c r="AI137" s="6">
        <f>[1]Production!AH4+[1]Production!AH6</f>
        <v>126669.817878</v>
      </c>
      <c r="AJ137" s="6">
        <f>[1]Production!AI4+[1]Production!AI6</f>
        <v>128187.753168</v>
      </c>
      <c r="AK137" s="6">
        <f>[1]Production!AJ4+[1]Production!AJ6</f>
        <v>129732.931102</v>
      </c>
      <c r="AL137" s="6">
        <f>[1]Production!AK4+[1]Production!AK6</f>
        <v>131305.54004699999</v>
      </c>
      <c r="AM137" s="6">
        <f>[1]Production!AL4+[1]Production!AL6</f>
        <v>132876.968288</v>
      </c>
      <c r="AN137" s="6">
        <f>[1]Production!AM4+[1]Production!AM6</f>
        <v>134458.53683</v>
      </c>
      <c r="AO137" s="6">
        <f>[1]Production!AN4+[1]Production!AN6</f>
        <v>136054.295132</v>
      </c>
      <c r="AP137" s="6">
        <f>[1]Production!AO4+[1]Production!AO6</f>
        <v>137667.240934</v>
      </c>
      <c r="AQ137" s="6">
        <f>[1]Production!AP4+[1]Production!AP6</f>
        <v>139299.89499100001</v>
      </c>
      <c r="AR137" s="6">
        <f>[1]Production!AQ4+[1]Production!AQ6</f>
        <v>140956.98549000002</v>
      </c>
      <c r="AS137" s="6">
        <f>[1]Production!AR4+[1]Production!AR6</f>
        <v>142638.157099</v>
      </c>
      <c r="AT137" s="6">
        <f>[1]Production!AS4+[1]Production!AS6</f>
        <v>144344.32759</v>
      </c>
      <c r="AU137" s="6">
        <f>[1]Production!AT4+[1]Production!AT6</f>
        <v>146076.06159699999</v>
      </c>
      <c r="AV137" s="6">
        <f>[1]Production!AU4+[1]Production!AU6</f>
        <v>147833.63051799999</v>
      </c>
      <c r="AW137" s="6">
        <f>[1]Production!AV4+[1]Production!AV6</f>
        <v>149630.40222700001</v>
      </c>
      <c r="AX137" s="6">
        <f>[1]Production!AW4+[1]Production!AW6</f>
        <v>151457.95332299999</v>
      </c>
      <c r="AY137" s="6">
        <f>[1]Production!AX4+[1]Production!AX6</f>
        <v>153315.30056</v>
      </c>
      <c r="AZ137" s="6">
        <f>[1]Production!AY4+[1]Production!AY6</f>
        <v>155201.719966</v>
      </c>
      <c r="BA137" s="6">
        <f>[1]Production!AZ4+[1]Production!AZ6</f>
        <v>157116.57160299999</v>
      </c>
      <c r="BB137" s="6">
        <f>[1]Production!BA4+[1]Production!BA6</f>
        <v>159064.98156300001</v>
      </c>
      <c r="BC137" s="6">
        <f>[1]Production!BB4+[1]Production!BB6</f>
        <v>161042.40077600002</v>
      </c>
      <c r="BD137" s="6">
        <f>[1]Production!BC4+[1]Production!BC6</f>
        <v>163048.11104300001</v>
      </c>
      <c r="BE137" s="6">
        <f>[1]Production!BD4+[1]Production!BD6</f>
        <v>165081.70465299999</v>
      </c>
      <c r="BF137" s="6">
        <f>[1]Production!BE4+[1]Production!BE6</f>
        <v>167142.98387900001</v>
      </c>
    </row>
    <row r="138" spans="1:58" x14ac:dyDescent="0.35">
      <c r="B138" t="s">
        <v>30</v>
      </c>
      <c r="C138" s="6">
        <f>[1]Production!B8+[1]Production!B10+[1]Production!B12+[1]Production!B14+[1]Production!B16+[1]Production!B18+[1]Production!B20+[1]Production!B22+[1]Production!B24+[1]Production!B26+[1]Production!B40</f>
        <v>954099.44457199995</v>
      </c>
      <c r="D138" s="6">
        <f>[1]Production!C8+[1]Production!C10+[1]Production!C12+[1]Production!C14+[1]Production!C16+[1]Production!C18+[1]Production!C20+[1]Production!C22+[1]Production!C24+[1]Production!C26+[1]Production!C40</f>
        <v>961486.60573299997</v>
      </c>
      <c r="E138" s="6">
        <f>[1]Production!D8+[1]Production!D10+[1]Production!D12+[1]Production!D14+[1]Production!D16+[1]Production!D18+[1]Production!D20+[1]Production!D22+[1]Production!D24+[1]Production!D26+[1]Production!D40</f>
        <v>971724.78085699992</v>
      </c>
      <c r="F138" s="6">
        <f>[1]Production!E8+[1]Production!E10+[1]Production!E12+[1]Production!E14+[1]Production!E16+[1]Production!E18+[1]Production!E20+[1]Production!E22+[1]Production!E24+[1]Production!E26+[1]Production!E40</f>
        <v>983487.25069500005</v>
      </c>
      <c r="G138" s="6">
        <f>[1]Production!F8+[1]Production!F10+[1]Production!F12+[1]Production!F14+[1]Production!F16+[1]Production!F18+[1]Production!F20+[1]Production!F22+[1]Production!F24+[1]Production!F26+[1]Production!F40</f>
        <v>996319.16607500007</v>
      </c>
      <c r="H138" s="6">
        <f>[1]Production!G8+[1]Production!G10+[1]Production!G12+[1]Production!G14+[1]Production!G16+[1]Production!G18+[1]Production!G20+[1]Production!G22+[1]Production!G24+[1]Production!G26+[1]Production!G40</f>
        <v>1009976.8368879999</v>
      </c>
      <c r="I138" s="6">
        <f>[1]Production!H8+[1]Production!H10+[1]Production!H12+[1]Production!H14+[1]Production!H16+[1]Production!H18+[1]Production!H20+[1]Production!H22+[1]Production!H24+[1]Production!H26+[1]Production!H40</f>
        <v>1023666.0786659998</v>
      </c>
      <c r="J138" s="6">
        <f>[1]Production!I8+[1]Production!I10+[1]Production!I12+[1]Production!I14+[1]Production!I16+[1]Production!I18+[1]Production!I20+[1]Production!I22+[1]Production!I24+[1]Production!I26+[1]Production!I40</f>
        <v>1037727.045218</v>
      </c>
      <c r="K138" s="6">
        <f>[1]Production!J8+[1]Production!J10+[1]Production!J12+[1]Production!J14+[1]Production!J16+[1]Production!J18+[1]Production!J20+[1]Production!J22+[1]Production!J24+[1]Production!J26+[1]Production!J40</f>
        <v>1052139.8753849999</v>
      </c>
      <c r="L138" s="6">
        <f>[1]Production!K8+[1]Production!K10+[1]Production!K12+[1]Production!K14+[1]Production!K16+[1]Production!K18+[1]Production!K20+[1]Production!K22+[1]Production!K24+[1]Production!K26+[1]Production!K40</f>
        <v>1066872.592738</v>
      </c>
      <c r="M138" s="6">
        <f>[1]Production!L8+[1]Production!L10+[1]Production!L12+[1]Production!L14+[1]Production!L16+[1]Production!L18+[1]Production!L20+[1]Production!L22+[1]Production!L24+[1]Production!L26+[1]Production!L40</f>
        <v>1082971.0742929999</v>
      </c>
      <c r="N138" s="6">
        <f>[1]Production!M8+[1]Production!M10+[1]Production!M12+[1]Production!M14+[1]Production!M16+[1]Production!M18+[1]Production!M20+[1]Production!M22+[1]Production!M24+[1]Production!M26+[1]Production!M40</f>
        <v>1098482.1053879999</v>
      </c>
      <c r="O138" s="6">
        <f>[1]Production!N8+[1]Production!N10+[1]Production!N12+[1]Production!N14+[1]Production!N16+[1]Production!N18+[1]Production!N20+[1]Production!N22+[1]Production!N24+[1]Production!N26+[1]Production!N40</f>
        <v>1114111.833574</v>
      </c>
      <c r="P138" s="6">
        <f>[1]Production!O8+[1]Production!O10+[1]Production!O12+[1]Production!O14+[1]Production!O16+[1]Production!O18+[1]Production!O20+[1]Production!O22+[1]Production!O24+[1]Production!O26+[1]Production!O40</f>
        <v>1129889.3189200002</v>
      </c>
      <c r="Q138" s="6">
        <f>[1]Production!P8+[1]Production!P10+[1]Production!P12+[1]Production!P14+[1]Production!P16+[1]Production!P18+[1]Production!P20+[1]Production!P22+[1]Production!P24+[1]Production!P26+[1]Production!P40</f>
        <v>1145826.624567</v>
      </c>
      <c r="R138" s="6">
        <f>[1]Production!Q8+[1]Production!Q10+[1]Production!Q12+[1]Production!Q14+[1]Production!Q16+[1]Production!Q18+[1]Production!Q20+[1]Production!Q22+[1]Production!Q24+[1]Production!Q26+[1]Production!Q40</f>
        <v>1161936.0940139999</v>
      </c>
      <c r="S138" s="6">
        <f>[1]Production!R8+[1]Production!R10+[1]Production!R12+[1]Production!R14+[1]Production!R16+[1]Production!R18+[1]Production!R20+[1]Production!R22+[1]Production!R24+[1]Production!R26+[1]Production!R40</f>
        <v>1178117.066137</v>
      </c>
      <c r="T138" s="6">
        <f>[1]Production!S8+[1]Production!S10+[1]Production!S12+[1]Production!S14+[1]Production!S16+[1]Production!S18+[1]Production!S20+[1]Production!S22+[1]Production!S24+[1]Production!S26+[1]Production!S40</f>
        <v>1194488.7769600002</v>
      </c>
      <c r="U138" s="6">
        <f>[1]Production!T8+[1]Production!T10+[1]Production!T12+[1]Production!T14+[1]Production!T16+[1]Production!T18+[1]Production!T20+[1]Production!T22+[1]Production!T24+[1]Production!T26+[1]Production!T40</f>
        <v>1211078.312616</v>
      </c>
      <c r="V138" s="6">
        <f>[1]Production!U8+[1]Production!U10+[1]Production!U12+[1]Production!U14+[1]Production!U16+[1]Production!U18+[1]Production!U20+[1]Production!U22+[1]Production!U24+[1]Production!U26+[1]Production!U40</f>
        <v>1227909.1230350002</v>
      </c>
      <c r="W138" s="6">
        <f>[1]Production!V8+[1]Production!V10+[1]Production!V12+[1]Production!V14+[1]Production!V16+[1]Production!V18+[1]Production!V20+[1]Production!V22+[1]Production!V24+[1]Production!V26+[1]Production!V40</f>
        <v>1244215.2136529998</v>
      </c>
      <c r="X138" s="6">
        <f>[1]Production!W8+[1]Production!W10+[1]Production!W12+[1]Production!W14+[1]Production!W16+[1]Production!W18+[1]Production!W20+[1]Production!W22+[1]Production!W24+[1]Production!W26+[1]Production!W40</f>
        <v>1261333.4548830001</v>
      </c>
      <c r="Y138" s="6">
        <f>[1]Production!X8+[1]Production!X10+[1]Production!X12+[1]Production!X14+[1]Production!X16+[1]Production!X18+[1]Production!X20+[1]Production!X22+[1]Production!X24+[1]Production!X26+[1]Production!X40</f>
        <v>1278822.724071</v>
      </c>
      <c r="Z138" s="6">
        <f>[1]Production!Y8+[1]Production!Y10+[1]Production!Y12+[1]Production!Y14+[1]Production!Y16+[1]Production!Y18+[1]Production!Y20+[1]Production!Y22+[1]Production!Y24+[1]Production!Y26+[1]Production!Y40</f>
        <v>1296670.5266820001</v>
      </c>
      <c r="AA138" s="6">
        <f>[1]Production!Z8+[1]Production!Z10+[1]Production!Z12+[1]Production!Z14+[1]Production!Z16+[1]Production!Z18+[1]Production!Z20+[1]Production!Z22+[1]Production!Z24+[1]Production!Z26+[1]Production!Z40</f>
        <v>1314877.6133979999</v>
      </c>
      <c r="AB138" s="6">
        <f>[1]Production!AA8+[1]Production!AA10+[1]Production!AA12+[1]Production!AA14+[1]Production!AA16+[1]Production!AA18+[1]Production!AA20+[1]Production!AA22+[1]Production!AA24+[1]Production!AA26+[1]Production!AA40</f>
        <v>1331194.5855050001</v>
      </c>
      <c r="AC138" s="6">
        <f>[1]Production!AB8+[1]Production!AB10+[1]Production!AB12+[1]Production!AB14+[1]Production!AB16+[1]Production!AB18+[1]Production!AB20+[1]Production!AB22+[1]Production!AB24+[1]Production!AB26+[1]Production!AB40</f>
        <v>1348363.1236409999</v>
      </c>
      <c r="AD138" s="6">
        <f>[1]Production!AC8+[1]Production!AC10+[1]Production!AC12+[1]Production!AC14+[1]Production!AC16+[1]Production!AC18+[1]Production!AC20+[1]Production!AC22+[1]Production!AC24+[1]Production!AC26+[1]Production!AC40</f>
        <v>1365744.509781</v>
      </c>
      <c r="AE138" s="6">
        <f>[1]Production!AD8+[1]Production!AD10+[1]Production!AD12+[1]Production!AD14+[1]Production!AD16+[1]Production!AD18+[1]Production!AD20+[1]Production!AD22+[1]Production!AD24+[1]Production!AD26+[1]Production!AD40</f>
        <v>1383355.3834520001</v>
      </c>
      <c r="AF138" s="6">
        <f>[1]Production!AE8+[1]Production!AE10+[1]Production!AE12+[1]Production!AE14+[1]Production!AE16+[1]Production!AE18+[1]Production!AE20+[1]Production!AE22+[1]Production!AE24+[1]Production!AE26+[1]Production!AE40</f>
        <v>1401221.542711</v>
      </c>
      <c r="AG138" s="6">
        <f>[1]Production!AF8+[1]Production!AF10+[1]Production!AF12+[1]Production!AF14+[1]Production!AF16+[1]Production!AF18+[1]Production!AF20+[1]Production!AF22+[1]Production!AF24+[1]Production!AF26+[1]Production!AF40</f>
        <v>1419364.4965009999</v>
      </c>
      <c r="AH138" s="6">
        <f>[1]Production!AG8+[1]Production!AG10+[1]Production!AG12+[1]Production!AG14+[1]Production!AG16+[1]Production!AG18+[1]Production!AG20+[1]Production!AG22+[1]Production!AG24+[1]Production!AG26+[1]Production!AG40</f>
        <v>1437824.9566880001</v>
      </c>
      <c r="AI138" s="6">
        <f>[1]Production!AH8+[1]Production!AH10+[1]Production!AH12+[1]Production!AH14+[1]Production!AH16+[1]Production!AH18+[1]Production!AH20+[1]Production!AH22+[1]Production!AH24+[1]Production!AH26+[1]Production!AH40</f>
        <v>1456588.2181700002</v>
      </c>
      <c r="AJ138" s="6">
        <f>[1]Production!AI8+[1]Production!AI10+[1]Production!AI12+[1]Production!AI14+[1]Production!AI16+[1]Production!AI18+[1]Production!AI20+[1]Production!AI22+[1]Production!AI24+[1]Production!AI26+[1]Production!AI40</f>
        <v>1475654.007282</v>
      </c>
      <c r="AK138" s="6">
        <f>[1]Production!AJ8+[1]Production!AJ10+[1]Production!AJ12+[1]Production!AJ14+[1]Production!AJ16+[1]Production!AJ18+[1]Production!AJ20+[1]Production!AJ22+[1]Production!AJ24+[1]Production!AJ26+[1]Production!AJ40</f>
        <v>1495018.3808639997</v>
      </c>
      <c r="AL138" s="6">
        <f>[1]Production!AK8+[1]Production!AK10+[1]Production!AK12+[1]Production!AK14+[1]Production!AK16+[1]Production!AK18+[1]Production!AK20+[1]Production!AK22+[1]Production!AK24+[1]Production!AK26+[1]Production!AK40</f>
        <v>1514674.899253</v>
      </c>
      <c r="AM138" s="6">
        <f>[1]Production!AL8+[1]Production!AL10+[1]Production!AL12+[1]Production!AL14+[1]Production!AL16+[1]Production!AL18+[1]Production!AL20+[1]Production!AL22+[1]Production!AL24+[1]Production!AL26+[1]Production!AL40</f>
        <v>1534311.0394059997</v>
      </c>
      <c r="AN138" s="6">
        <f>[1]Production!AM8+[1]Production!AM10+[1]Production!AM12+[1]Production!AM14+[1]Production!AM16+[1]Production!AM18+[1]Production!AM20+[1]Production!AM22+[1]Production!AM24+[1]Production!AM26+[1]Production!AM40</f>
        <v>1554074.8316850001</v>
      </c>
      <c r="AO138" s="6">
        <f>[1]Production!AN8+[1]Production!AN10+[1]Production!AN12+[1]Production!AN14+[1]Production!AN16+[1]Production!AN18+[1]Production!AN20+[1]Production!AN22+[1]Production!AN24+[1]Production!AN26+[1]Production!AN40</f>
        <v>1573991.4604470001</v>
      </c>
      <c r="AP138" s="6">
        <f>[1]Production!AO8+[1]Production!AO10+[1]Production!AO12+[1]Production!AO14+[1]Production!AO16+[1]Production!AO18+[1]Production!AO20+[1]Production!AO22+[1]Production!AO24+[1]Production!AO26+[1]Production!AO40</f>
        <v>1594075.7693060001</v>
      </c>
      <c r="AQ138" s="6">
        <f>[1]Production!AP8+[1]Production!AP10+[1]Production!AP12+[1]Production!AP14+[1]Production!AP16+[1]Production!AP18+[1]Production!AP20+[1]Production!AP22+[1]Production!AP24+[1]Production!AP26+[1]Production!AP40</f>
        <v>1614339.3916819999</v>
      </c>
      <c r="AR138" s="6">
        <f>[1]Production!AQ8+[1]Production!AQ10+[1]Production!AQ12+[1]Production!AQ14+[1]Production!AQ16+[1]Production!AQ18+[1]Production!AQ20+[1]Production!AQ22+[1]Production!AQ24+[1]Production!AQ26+[1]Production!AQ40</f>
        <v>1634829.688697</v>
      </c>
      <c r="AS138" s="6">
        <f>[1]Production!AR8+[1]Production!AR10+[1]Production!AR12+[1]Production!AR14+[1]Production!AR16+[1]Production!AR18+[1]Production!AR20+[1]Production!AR22+[1]Production!AR24+[1]Production!AR26+[1]Production!AR40</f>
        <v>1655524.0367970001</v>
      </c>
      <c r="AT138" s="6">
        <f>[1]Production!AS8+[1]Production!AS10+[1]Production!AS12+[1]Production!AS14+[1]Production!AS16+[1]Production!AS18+[1]Production!AS20+[1]Production!AS22+[1]Production!AS24+[1]Production!AS26+[1]Production!AS40</f>
        <v>1676425.9197560004</v>
      </c>
      <c r="AU138" s="6">
        <f>[1]Production!AT8+[1]Production!AT10+[1]Production!AT12+[1]Production!AT14+[1]Production!AT16+[1]Production!AT18+[1]Production!AT20+[1]Production!AT22+[1]Production!AT24+[1]Production!AT26+[1]Production!AT40</f>
        <v>1697537.7526689998</v>
      </c>
      <c r="AV138" s="6">
        <f>[1]Production!AU8+[1]Production!AU10+[1]Production!AU12+[1]Production!AU14+[1]Production!AU16+[1]Production!AU18+[1]Production!AU20+[1]Production!AU22+[1]Production!AU24+[1]Production!AU26+[1]Production!AU40</f>
        <v>1718860.8087310002</v>
      </c>
      <c r="AW138" s="6">
        <f>[1]Production!AV8+[1]Production!AV10+[1]Production!AV12+[1]Production!AV14+[1]Production!AV16+[1]Production!AV18+[1]Production!AV20+[1]Production!AV22+[1]Production!AV24+[1]Production!AV26+[1]Production!AV40</f>
        <v>1740571.2769779996</v>
      </c>
      <c r="AX138" s="6">
        <f>[1]Production!AW8+[1]Production!AW10+[1]Production!AW12+[1]Production!AW14+[1]Production!AW16+[1]Production!AW18+[1]Production!AW20+[1]Production!AW22+[1]Production!AW24+[1]Production!AW26+[1]Production!AW40</f>
        <v>1762533.980984</v>
      </c>
      <c r="AY138" s="6">
        <f>[1]Production!AX8+[1]Production!AX10+[1]Production!AX12+[1]Production!AX14+[1]Production!AX16+[1]Production!AX18+[1]Production!AX20+[1]Production!AX22+[1]Production!AX24+[1]Production!AX26+[1]Production!AX40</f>
        <v>1784735.7666260002</v>
      </c>
      <c r="AZ138" s="6">
        <f>[1]Production!AY8+[1]Production!AY10+[1]Production!AY12+[1]Production!AY14+[1]Production!AY16+[1]Production!AY18+[1]Production!AY20+[1]Production!AY22+[1]Production!AY24+[1]Production!AY26+[1]Production!AY40</f>
        <v>1807168.863466</v>
      </c>
      <c r="BA138" s="6">
        <f>[1]Production!AZ8+[1]Production!AZ10+[1]Production!AZ12+[1]Production!AZ14+[1]Production!AZ16+[1]Production!AZ18+[1]Production!AZ20+[1]Production!AZ22+[1]Production!AZ24+[1]Production!AZ26+[1]Production!AZ40</f>
        <v>1829829.030763</v>
      </c>
      <c r="BB138" s="6">
        <f>[1]Production!BA8+[1]Production!BA10+[1]Production!BA12+[1]Production!BA14+[1]Production!BA16+[1]Production!BA18+[1]Production!BA20+[1]Production!BA22+[1]Production!BA24+[1]Production!BA26+[1]Production!BA40</f>
        <v>1852795.3406139999</v>
      </c>
      <c r="BC138" s="6">
        <f>[1]Production!BB8+[1]Production!BB10+[1]Production!BB12+[1]Production!BB14+[1]Production!BB16+[1]Production!BB18+[1]Production!BB20+[1]Production!BB22+[1]Production!BB24+[1]Production!BB26+[1]Production!BB40</f>
        <v>1876004.4397120001</v>
      </c>
      <c r="BD138" s="6">
        <f>[1]Production!BC8+[1]Production!BC10+[1]Production!BC12+[1]Production!BC14+[1]Production!BC16+[1]Production!BC18+[1]Production!BC20+[1]Production!BC22+[1]Production!BC24+[1]Production!BC26+[1]Production!BC40</f>
        <v>1899453.9509290003</v>
      </c>
      <c r="BE138" s="6">
        <f>[1]Production!BD8+[1]Production!BD10+[1]Production!BD12+[1]Production!BD14+[1]Production!BD16+[1]Production!BD18+[1]Production!BD20+[1]Production!BD22+[1]Production!BD24+[1]Production!BD26+[1]Production!BD40</f>
        <v>1923144.8702399998</v>
      </c>
      <c r="BF138" s="6">
        <f>[1]Production!BE8+[1]Production!BE10+[1]Production!BE12+[1]Production!BE14+[1]Production!BE16+[1]Production!BE18+[1]Production!BE20+[1]Production!BE22+[1]Production!BE24+[1]Production!BE26+[1]Production!BE40</f>
        <v>1947080.527823</v>
      </c>
    </row>
    <row r="139" spans="1:58" x14ac:dyDescent="0.35">
      <c r="B139" t="s">
        <v>9</v>
      </c>
      <c r="C139" s="6">
        <f>[1]Production!B28+[1]Production!B30+[1]Production!B32+[1]Production!B34</f>
        <v>117987.376445</v>
      </c>
      <c r="D139" s="6">
        <f>[1]Production!C28+[1]Production!C30+[1]Production!C32+[1]Production!C34</f>
        <v>118906.397027</v>
      </c>
      <c r="E139" s="6">
        <f>[1]Production!D28+[1]Production!D30+[1]Production!D32+[1]Production!D34</f>
        <v>120081.659225</v>
      </c>
      <c r="F139" s="6">
        <f>[1]Production!E28+[1]Production!E30+[1]Production!E32+[1]Production!E34</f>
        <v>121420.42409299998</v>
      </c>
      <c r="G139" s="6">
        <f>[1]Production!F28+[1]Production!F30+[1]Production!F32+[1]Production!F34</f>
        <v>122901.18041399999</v>
      </c>
      <c r="H139" s="6">
        <f>[1]Production!G28+[1]Production!G30+[1]Production!G32+[1]Production!G34</f>
        <v>124504.44911300001</v>
      </c>
      <c r="I139" s="6">
        <f>[1]Production!H28+[1]Production!H30+[1]Production!H32+[1]Production!H34</f>
        <v>126126.08936499999</v>
      </c>
      <c r="J139" s="6">
        <f>[1]Production!I28+[1]Production!I30+[1]Production!I32+[1]Production!I34</f>
        <v>127809.83081300001</v>
      </c>
      <c r="K139" s="6">
        <f>[1]Production!J28+[1]Production!J30+[1]Production!J32+[1]Production!J34</f>
        <v>129546.142007</v>
      </c>
      <c r="L139" s="6">
        <f>[1]Production!K28+[1]Production!K30+[1]Production!K32+[1]Production!K34</f>
        <v>131324.48544299998</v>
      </c>
      <c r="M139" s="6">
        <f>[1]Production!L28+[1]Production!L30+[1]Production!L32+[1]Production!L34</f>
        <v>133277.183639</v>
      </c>
      <c r="N139" s="6">
        <f>[1]Production!M28+[1]Production!M30+[1]Production!M32+[1]Production!M34</f>
        <v>135137.098787</v>
      </c>
      <c r="O139" s="6">
        <f>[1]Production!N28+[1]Production!N30+[1]Production!N32+[1]Production!N34</f>
        <v>137002.55455199999</v>
      </c>
      <c r="P139" s="6">
        <f>[1]Production!O28+[1]Production!O30+[1]Production!O32+[1]Production!O34</f>
        <v>138875.29717500001</v>
      </c>
      <c r="Q139" s="6">
        <f>[1]Production!P28+[1]Production!P30+[1]Production!P32+[1]Production!P34</f>
        <v>140755.04023700001</v>
      </c>
      <c r="R139" s="6">
        <f>[1]Production!Q28+[1]Production!Q30+[1]Production!Q32+[1]Production!Q34</f>
        <v>142642.097641</v>
      </c>
      <c r="S139" s="6">
        <f>[1]Production!R28+[1]Production!R30+[1]Production!R32+[1]Production!R34</f>
        <v>144523.344445</v>
      </c>
      <c r="T139" s="6">
        <f>[1]Production!S28+[1]Production!S30+[1]Production!S32+[1]Production!S34</f>
        <v>146413.34326400002</v>
      </c>
      <c r="U139" s="6">
        <f>[1]Production!T28+[1]Production!T30+[1]Production!T32+[1]Production!T34</f>
        <v>148315.06816700002</v>
      </c>
      <c r="V139" s="6">
        <f>[1]Production!U28+[1]Production!U30+[1]Production!U32+[1]Production!U34</f>
        <v>150231.27998399999</v>
      </c>
      <c r="W139" s="6">
        <f>[1]Production!V28+[1]Production!V30+[1]Production!V32+[1]Production!V34</f>
        <v>152060.90815499998</v>
      </c>
      <c r="X139" s="6">
        <f>[1]Production!W28+[1]Production!W30+[1]Production!W32+[1]Production!W34</f>
        <v>153986.31882700001</v>
      </c>
      <c r="Y139" s="6">
        <f>[1]Production!X28+[1]Production!X30+[1]Production!X32+[1]Production!X34</f>
        <v>155943.215631</v>
      </c>
      <c r="Z139" s="6">
        <f>[1]Production!Y28+[1]Production!Y30+[1]Production!Y32+[1]Production!Y34</f>
        <v>157930.27817000001</v>
      </c>
      <c r="AA139" s="6">
        <f>[1]Production!Z28+[1]Production!Z30+[1]Production!Z32+[1]Production!Z34</f>
        <v>159948.30814099999</v>
      </c>
      <c r="AB139" s="6">
        <f>[1]Production!AA28+[1]Production!AA30+[1]Production!AA32+[1]Production!AA34</f>
        <v>161701.23245999997</v>
      </c>
      <c r="AC139" s="6">
        <f>[1]Production!AB28+[1]Production!AB30+[1]Production!AB32+[1]Production!AB34</f>
        <v>163568.745669</v>
      </c>
      <c r="AD139" s="6">
        <f>[1]Production!AC28+[1]Production!AC30+[1]Production!AC32+[1]Production!AC34</f>
        <v>165457.43680899998</v>
      </c>
      <c r="AE139" s="6">
        <f>[1]Production!AD28+[1]Production!AD30+[1]Production!AD32+[1]Production!AD34</f>
        <v>167369.911303</v>
      </c>
      <c r="AF139" s="6">
        <f>[1]Production!AE28+[1]Production!AE30+[1]Production!AE32+[1]Production!AE34</f>
        <v>169310.71048299997</v>
      </c>
      <c r="AG139" s="6">
        <f>[1]Production!AF28+[1]Production!AF30+[1]Production!AF32+[1]Production!AF34</f>
        <v>171283.76989499998</v>
      </c>
      <c r="AH139" s="6">
        <f>[1]Production!AG28+[1]Production!AG30+[1]Production!AG32+[1]Production!AG34</f>
        <v>173295.15439400001</v>
      </c>
      <c r="AI139" s="6">
        <f>[1]Production!AH28+[1]Production!AH30+[1]Production!AH32+[1]Production!AH34</f>
        <v>175343.85355200002</v>
      </c>
      <c r="AJ139" s="6">
        <f>[1]Production!AI28+[1]Production!AI30+[1]Production!AI32+[1]Production!AI34</f>
        <v>177430.61467000001</v>
      </c>
      <c r="AK139" s="6">
        <f>[1]Production!AJ28+[1]Production!AJ30+[1]Production!AJ32+[1]Production!AJ34</f>
        <v>179555.63865400001</v>
      </c>
      <c r="AL139" s="6">
        <f>[1]Production!AK28+[1]Production!AK30+[1]Production!AK32+[1]Production!AK34</f>
        <v>181718.74648999999</v>
      </c>
      <c r="AM139" s="6">
        <f>[1]Production!AL28+[1]Production!AL30+[1]Production!AL32+[1]Production!AL34</f>
        <v>183877.05332999997</v>
      </c>
      <c r="AN139" s="6">
        <f>[1]Production!AM28+[1]Production!AM30+[1]Production!AM32+[1]Production!AM34</f>
        <v>186056.07296999998</v>
      </c>
      <c r="AO139" s="6">
        <f>[1]Production!AN28+[1]Production!AN30+[1]Production!AN32+[1]Production!AN34</f>
        <v>188259.93812000001</v>
      </c>
      <c r="AP139" s="6">
        <f>[1]Production!AO28+[1]Production!AO30+[1]Production!AO32+[1]Production!AO34</f>
        <v>190491.15480999998</v>
      </c>
      <c r="AQ139" s="6">
        <f>[1]Production!AP28+[1]Production!AP30+[1]Production!AP32+[1]Production!AP34</f>
        <v>192751.74745000002</v>
      </c>
      <c r="AR139" s="6">
        <f>[1]Production!AQ28+[1]Production!AQ30+[1]Production!AQ32+[1]Production!AQ34</f>
        <v>195047.98849000002</v>
      </c>
      <c r="AS139" s="6">
        <f>[1]Production!AR28+[1]Production!AR30+[1]Production!AR32+[1]Production!AR34</f>
        <v>197377.29902999999</v>
      </c>
      <c r="AT139" s="6">
        <f>[1]Production!AS28+[1]Production!AS30+[1]Production!AS32+[1]Production!AS34</f>
        <v>199740.34272000002</v>
      </c>
      <c r="AU139" s="6">
        <f>[1]Production!AT28+[1]Production!AT30+[1]Production!AT32+[1]Production!AT34</f>
        <v>202137.53878</v>
      </c>
      <c r="AV139" s="6">
        <f>[1]Production!AU28+[1]Production!AU30+[1]Production!AU32+[1]Production!AU34</f>
        <v>204569.07595999999</v>
      </c>
      <c r="AW139" s="6">
        <f>[1]Production!AV28+[1]Production!AV30+[1]Production!AV32+[1]Production!AV34</f>
        <v>207056.95613000001</v>
      </c>
      <c r="AX139" s="6">
        <f>[1]Production!AW28+[1]Production!AW30+[1]Production!AW32+[1]Production!AW34</f>
        <v>209583.37245000002</v>
      </c>
      <c r="AY139" s="6">
        <f>[1]Production!AX28+[1]Production!AX30+[1]Production!AX32+[1]Production!AX34</f>
        <v>212146.72078</v>
      </c>
      <c r="AZ139" s="6">
        <f>[1]Production!AY28+[1]Production!AY30+[1]Production!AY32+[1]Production!AY34</f>
        <v>214746.02379000001</v>
      </c>
      <c r="BA139" s="6">
        <f>[1]Production!AZ28+[1]Production!AZ30+[1]Production!AZ32+[1]Production!AZ34</f>
        <v>217380.64383000002</v>
      </c>
      <c r="BB139" s="6">
        <f>[1]Production!BA28+[1]Production!BA30+[1]Production!BA32+[1]Production!BA34</f>
        <v>220060.03512000002</v>
      </c>
      <c r="BC139" s="6">
        <f>[1]Production!BB28+[1]Production!BB30+[1]Production!BB32+[1]Production!BB34</f>
        <v>222775.85695000002</v>
      </c>
      <c r="BD139" s="6">
        <f>[1]Production!BC28+[1]Production!BC30+[1]Production!BC32+[1]Production!BC34</f>
        <v>225527.59933</v>
      </c>
      <c r="BE139" s="6">
        <f>[1]Production!BD28+[1]Production!BD30+[1]Production!BD32+[1]Production!BD34</f>
        <v>228315.14121</v>
      </c>
      <c r="BF139" s="6">
        <f>[1]Production!BE28+[1]Production!BE30+[1]Production!BE32+[1]Production!BE34</f>
        <v>231138.60783999998</v>
      </c>
    </row>
    <row r="140" spans="1:58" x14ac:dyDescent="0.35">
      <c r="B140" t="s">
        <v>10</v>
      </c>
      <c r="C140" s="6">
        <f>[1]Production!B36+[1]Production!B38</f>
        <v>2523497.8370000003</v>
      </c>
      <c r="D140" s="6">
        <f>[1]Production!C36+[1]Production!C38</f>
        <v>2542145.2961999997</v>
      </c>
      <c r="E140" s="6">
        <f>[1]Production!D36+[1]Production!D38</f>
        <v>2567558.0443000002</v>
      </c>
      <c r="F140" s="6">
        <f>[1]Production!E36+[1]Production!E38</f>
        <v>2597278.0677999998</v>
      </c>
      <c r="G140" s="6">
        <f>[1]Production!F36+[1]Production!F38</f>
        <v>2630546.4408</v>
      </c>
      <c r="H140" s="6">
        <f>[1]Production!G36+[1]Production!G38</f>
        <v>2666840.1827000002</v>
      </c>
      <c r="I140" s="6">
        <f>[1]Production!H36+[1]Production!H38</f>
        <v>2703964.6534000002</v>
      </c>
      <c r="J140" s="6">
        <f>[1]Production!I36+[1]Production!I38</f>
        <v>2742700.125</v>
      </c>
      <c r="K140" s="6">
        <f>[1]Production!J36+[1]Production!J38</f>
        <v>2782880.7171</v>
      </c>
      <c r="L140" s="6">
        <f>[1]Production!K36+[1]Production!K38</f>
        <v>2824311.4637000002</v>
      </c>
      <c r="M140" s="6">
        <f>[1]Production!L36+[1]Production!L38</f>
        <v>2869831.5838000001</v>
      </c>
      <c r="N140" s="6">
        <f>[1]Production!M36+[1]Production!M38</f>
        <v>2914122.7299999995</v>
      </c>
      <c r="O140" s="6">
        <f>[1]Production!N36+[1]Production!N38</f>
        <v>2958860.6431</v>
      </c>
      <c r="P140" s="6">
        <f>[1]Production!O36+[1]Production!O38</f>
        <v>3004077.2544999998</v>
      </c>
      <c r="Q140" s="6">
        <f>[1]Production!P36+[1]Production!P38</f>
        <v>3049756.5735999998</v>
      </c>
      <c r="R140" s="6">
        <f>[1]Production!Q36+[1]Production!Q38</f>
        <v>3095890.2119</v>
      </c>
      <c r="S140" s="6">
        <f>[1]Production!R36+[1]Production!R38</f>
        <v>3142322.8656000001</v>
      </c>
      <c r="T140" s="6">
        <f>[1]Production!S36+[1]Production!S38</f>
        <v>3189184.5808999999</v>
      </c>
      <c r="U140" s="6">
        <f>[1]Production!T36+[1]Production!T38</f>
        <v>3236517.0740999999</v>
      </c>
      <c r="V140" s="6">
        <f>[1]Production!U36+[1]Production!U38</f>
        <v>3284355.7725</v>
      </c>
      <c r="W140" s="6">
        <f>[1]Production!V36+[1]Production!V38</f>
        <v>3330501.7395000001</v>
      </c>
      <c r="X140" s="6">
        <f>[1]Production!W36+[1]Production!W38</f>
        <v>3378685.6463000001</v>
      </c>
      <c r="Y140" s="6">
        <f>[1]Production!X36+[1]Production!X38</f>
        <v>3427692.9330000002</v>
      </c>
      <c r="Z140" s="6">
        <f>[1]Production!Y36+[1]Production!Y38</f>
        <v>3477473.4484000001</v>
      </c>
      <c r="AA140" s="6">
        <f>[1]Production!Z36+[1]Production!Z38</f>
        <v>3528022.4893</v>
      </c>
      <c r="AB140" s="6">
        <f>[1]Production!AA36+[1]Production!AA38</f>
        <v>3572915.3363999999</v>
      </c>
      <c r="AC140" s="6">
        <f>[1]Production!AB36+[1]Production!AB38</f>
        <v>3619819.7195000001</v>
      </c>
      <c r="AD140" s="6">
        <f>[1]Production!AC36+[1]Production!AC38</f>
        <v>3667084.0870000003</v>
      </c>
      <c r="AE140" s="6">
        <f>[1]Production!AD36+[1]Production!AD38</f>
        <v>3714782.0284000002</v>
      </c>
      <c r="AF140" s="6">
        <f>[1]Production!AE36+[1]Production!AE38</f>
        <v>3763024.7041000002</v>
      </c>
      <c r="AG140" s="6">
        <f>[1]Production!AF36+[1]Production!AF38</f>
        <v>3811908.8206000002</v>
      </c>
      <c r="AH140" s="6">
        <f>[1]Production!AG36+[1]Production!AG38</f>
        <v>3861542.821</v>
      </c>
      <c r="AI140" s="6">
        <f>[1]Production!AH36+[1]Production!AH38</f>
        <v>3911949.3377999999</v>
      </c>
      <c r="AJ140" s="6">
        <f>[1]Production!AI36+[1]Production!AI38</f>
        <v>3963151.9906000001</v>
      </c>
      <c r="AK140" s="6">
        <f>[1]Production!AJ36+[1]Production!AJ38</f>
        <v>4015162.4203999997</v>
      </c>
      <c r="AL140" s="6">
        <f>[1]Production!AK36+[1]Production!AK38</f>
        <v>4067984.2565000001</v>
      </c>
      <c r="AM140" s="6">
        <f>[1]Production!AL36+[1]Production!AL38</f>
        <v>4120397.3887</v>
      </c>
      <c r="AN140" s="6">
        <f>[1]Production!AM36+[1]Production!AM38</f>
        <v>4173177.7881999998</v>
      </c>
      <c r="AO140" s="6">
        <f>[1]Production!AN36+[1]Production!AN38</f>
        <v>4226432.8094999995</v>
      </c>
      <c r="AP140" s="6">
        <f>[1]Production!AO36+[1]Production!AO38</f>
        <v>4280236.6764000002</v>
      </c>
      <c r="AQ140" s="6">
        <f>[1]Production!AP36+[1]Production!AP38</f>
        <v>4334652.9195999997</v>
      </c>
      <c r="AR140" s="6">
        <f>[1]Production!AQ36+[1]Production!AQ38</f>
        <v>4389789.1747000003</v>
      </c>
      <c r="AS140" s="6">
        <f>[1]Production!AR36+[1]Production!AR38</f>
        <v>4445655.3071999997</v>
      </c>
      <c r="AT140" s="6">
        <f>[1]Production!AS36+[1]Production!AS38</f>
        <v>4502278.2290000003</v>
      </c>
      <c r="AU140" s="6">
        <f>[1]Production!AT36+[1]Production!AT38</f>
        <v>4559677.3990000002</v>
      </c>
      <c r="AV140" s="6">
        <f>[1]Production!AU36+[1]Production!AU38</f>
        <v>4617865.4000000004</v>
      </c>
      <c r="AW140" s="6">
        <f>[1]Production!AV36+[1]Production!AV38</f>
        <v>4677168.3090000004</v>
      </c>
      <c r="AX140" s="6">
        <f>[1]Production!AW36+[1]Production!AW38</f>
        <v>4737380.7239999995</v>
      </c>
      <c r="AY140" s="6">
        <f>[1]Production!AX36+[1]Production!AX38</f>
        <v>4798466.6710000001</v>
      </c>
      <c r="AZ140" s="6">
        <f>[1]Production!AY36+[1]Production!AY38</f>
        <v>4860404.6119999997</v>
      </c>
      <c r="BA140" s="6">
        <f>[1]Production!AZ36+[1]Production!AZ38</f>
        <v>4923181.5070000002</v>
      </c>
      <c r="BB140" s="6">
        <f>[1]Production!BA36+[1]Production!BA38</f>
        <v>4986904.875</v>
      </c>
      <c r="BC140" s="6">
        <f>[1]Production!BB36+[1]Production!BB38</f>
        <v>5051500.4819999998</v>
      </c>
      <c r="BD140" s="6">
        <f>[1]Production!BC36+[1]Production!BC38</f>
        <v>5116956.7429999998</v>
      </c>
      <c r="BE140" s="6">
        <f>[1]Production!BD36+[1]Production!BD38</f>
        <v>5183271.0439999998</v>
      </c>
      <c r="BF140" s="6">
        <f>[1]Production!BE36+[1]Production!BE38</f>
        <v>5250446.5310000004</v>
      </c>
    </row>
    <row r="141" spans="1:58" x14ac:dyDescent="0.35">
      <c r="B141" t="s">
        <v>29</v>
      </c>
      <c r="C141" s="6">
        <f>[1]Production!B42+[1]Production!B46</f>
        <v>34944.7359927</v>
      </c>
      <c r="D141" s="6">
        <f>[1]Production!C42+[1]Production!C46</f>
        <v>35014.287675699998</v>
      </c>
      <c r="E141" s="6">
        <f>[1]Production!D42+[1]Production!D46</f>
        <v>35127.250235499996</v>
      </c>
      <c r="F141" s="6">
        <f>[1]Production!E42+[1]Production!E46</f>
        <v>35288.051188999998</v>
      </c>
      <c r="G141" s="6">
        <f>[1]Production!F42+[1]Production!F46</f>
        <v>35504.035260900004</v>
      </c>
      <c r="H141" s="6">
        <f>[1]Production!G42+[1]Production!G46</f>
        <v>35771.443624299995</v>
      </c>
      <c r="I141" s="6">
        <f>[1]Production!H42+[1]Production!H46</f>
        <v>36061.310250100003</v>
      </c>
      <c r="J141" s="6">
        <f>[1]Production!I42+[1]Production!I46</f>
        <v>36381.164406399999</v>
      </c>
      <c r="K141" s="6">
        <f>[1]Production!J42+[1]Production!J46</f>
        <v>36726.751674300001</v>
      </c>
      <c r="L141" s="6">
        <f>[1]Production!K42+[1]Production!K46</f>
        <v>37093.4438543</v>
      </c>
      <c r="M141" s="6">
        <f>[1]Production!L42+[1]Production!L46</f>
        <v>37510.759510399999</v>
      </c>
      <c r="N141" s="6">
        <f>[1]Production!M42+[1]Production!M46</f>
        <v>37913.420714600004</v>
      </c>
      <c r="O141" s="6">
        <f>[1]Production!N42+[1]Production!N46</f>
        <v>38323.131298799999</v>
      </c>
      <c r="P141" s="6">
        <f>[1]Production!O42+[1]Production!O46</f>
        <v>38739.818753200001</v>
      </c>
      <c r="Q141" s="6">
        <f>[1]Production!P42+[1]Production!P46</f>
        <v>39162.319462700005</v>
      </c>
      <c r="R141" s="6">
        <f>[1]Production!Q42+[1]Production!Q46</f>
        <v>39589.651710999999</v>
      </c>
      <c r="S141" s="6">
        <f>[1]Production!R42+[1]Production!R46</f>
        <v>40017.178311999996</v>
      </c>
      <c r="T141" s="6">
        <f>[1]Production!S42+[1]Production!S46</f>
        <v>40448.014892400002</v>
      </c>
      <c r="U141" s="6">
        <f>[1]Production!T42+[1]Production!T46</f>
        <v>40882.268282499994</v>
      </c>
      <c r="V141" s="6">
        <f>[1]Production!U42+[1]Production!U46</f>
        <v>41319.980807899999</v>
      </c>
      <c r="W141" s="6">
        <f>[1]Production!V42+[1]Production!V46</f>
        <v>41736.920858799996</v>
      </c>
      <c r="X141" s="6">
        <f>[1]Production!W42+[1]Production!W46</f>
        <v>42175.236193000004</v>
      </c>
      <c r="Y141" s="6">
        <f>[1]Production!X42+[1]Production!X46</f>
        <v>42619.8990318</v>
      </c>
      <c r="Z141" s="6">
        <f>[1]Production!Y42+[1]Production!Y46</f>
        <v>43069.884907600004</v>
      </c>
      <c r="AA141" s="6">
        <f>[1]Production!Z42+[1]Production!Z46</f>
        <v>43525.174973100002</v>
      </c>
      <c r="AB141" s="6">
        <f>[1]Production!AA42+[1]Production!AA46</f>
        <v>43916.571684300005</v>
      </c>
      <c r="AC141" s="6">
        <f>[1]Production!AB42+[1]Production!AB46</f>
        <v>44332.464740399999</v>
      </c>
      <c r="AD141" s="6">
        <f>[1]Production!AC42+[1]Production!AC46</f>
        <v>44751.543065000005</v>
      </c>
      <c r="AE141" s="6">
        <f>[1]Production!AD42+[1]Production!AD46</f>
        <v>45173.379325399997</v>
      </c>
      <c r="AF141" s="6">
        <f>[1]Production!AE42+[1]Production!AE46</f>
        <v>45598.739787500002</v>
      </c>
      <c r="AG141" s="6">
        <f>[1]Production!AF42+[1]Production!AF46</f>
        <v>46028.448951499995</v>
      </c>
      <c r="AH141" s="6">
        <f>[1]Production!AG42+[1]Production!AG46</f>
        <v>46464.115976200002</v>
      </c>
      <c r="AI141" s="6">
        <f>[1]Production!AH42+[1]Production!AH46</f>
        <v>46905.547809799995</v>
      </c>
      <c r="AJ141" s="6">
        <f>[1]Production!AI42+[1]Production!AI46</f>
        <v>47353.119109699997</v>
      </c>
      <c r="AK141" s="6">
        <f>[1]Production!AJ42+[1]Production!AJ46</f>
        <v>47807.121663999998</v>
      </c>
      <c r="AL141" s="6">
        <f>[1]Production!AK42+[1]Production!AK46</f>
        <v>48267.746060700003</v>
      </c>
      <c r="AM141" s="6">
        <f>[1]Production!AL42+[1]Production!AL46</f>
        <v>48726.523646000001</v>
      </c>
      <c r="AN141" s="6">
        <f>[1]Production!AM42+[1]Production!AM46</f>
        <v>49188.351588599995</v>
      </c>
      <c r="AO141" s="6">
        <f>[1]Production!AN42+[1]Production!AN46</f>
        <v>49654.254713399998</v>
      </c>
      <c r="AP141" s="6">
        <f>[1]Production!AO42+[1]Production!AO46</f>
        <v>50124.773814500004</v>
      </c>
      <c r="AQ141" s="6">
        <f>[1]Production!AP42+[1]Production!AP46</f>
        <v>50600.282190000005</v>
      </c>
      <c r="AR141" s="6">
        <f>[1]Production!AQ42+[1]Production!AQ46</f>
        <v>51082.301403099998</v>
      </c>
      <c r="AS141" s="6">
        <f>[1]Production!AR42+[1]Production!AR46</f>
        <v>51569.960940099998</v>
      </c>
      <c r="AT141" s="6">
        <f>[1]Production!AS42+[1]Production!AS46</f>
        <v>52063.307037500002</v>
      </c>
      <c r="AU141" s="6">
        <f>[1]Production!AT42+[1]Production!AT46</f>
        <v>52562.3816343</v>
      </c>
      <c r="AV141" s="6">
        <f>[1]Production!AU42+[1]Production!AU46</f>
        <v>53067.1859798</v>
      </c>
      <c r="AW141" s="6">
        <f>[1]Production!AV42+[1]Production!AV46</f>
        <v>53583.519997399999</v>
      </c>
      <c r="AX141" s="6">
        <f>[1]Production!AW42+[1]Production!AW46</f>
        <v>54106.958978800001</v>
      </c>
      <c r="AY141" s="6">
        <f>[1]Production!AX42+[1]Production!AX46</f>
        <v>54637.268360199996</v>
      </c>
      <c r="AZ141" s="6">
        <f>[1]Production!AY42+[1]Production!AY46</f>
        <v>55174.392051100003</v>
      </c>
      <c r="BA141" s="6">
        <f>[1]Production!AZ42+[1]Production!AZ46</f>
        <v>55718.221443899994</v>
      </c>
      <c r="BB141" s="6">
        <f>[1]Production!BA42+[1]Production!BA46</f>
        <v>56271.220108999994</v>
      </c>
      <c r="BC141" s="6">
        <f>[1]Production!BB42+[1]Production!BB46</f>
        <v>56830.963690299999</v>
      </c>
      <c r="BD141" s="6">
        <f>[1]Production!BC42+[1]Production!BC46</f>
        <v>57397.114571400001</v>
      </c>
      <c r="BE141" s="6">
        <f>[1]Production!BD42+[1]Production!BD46</f>
        <v>57969.478138600003</v>
      </c>
      <c r="BF141" s="6">
        <f>[1]Production!BE42+[1]Production!BE46</f>
        <v>58547.896383899999</v>
      </c>
    </row>
    <row r="142" spans="1:58" x14ac:dyDescent="0.35">
      <c r="B142" t="s">
        <v>36</v>
      </c>
      <c r="C142" s="6">
        <f>+[1]Production!B44+[1]Production!B48</f>
        <v>4387.5707228000001</v>
      </c>
      <c r="D142" s="6">
        <f>+[1]Production!C44+[1]Production!C48</f>
        <v>4392.6901681999998</v>
      </c>
      <c r="E142" s="6">
        <f>+[1]Production!D44+[1]Production!D48</f>
        <v>4399.8300851000004</v>
      </c>
      <c r="F142" s="6">
        <f>+[1]Production!E44+[1]Production!E48</f>
        <v>4413.3020496999998</v>
      </c>
      <c r="G142" s="6">
        <f>+[1]Production!F44+[1]Production!F48</f>
        <v>4434.8222852999997</v>
      </c>
      <c r="H142" s="6">
        <f>+[1]Production!G44+[1]Production!G48</f>
        <v>4463.9405863000002</v>
      </c>
      <c r="I142" s="6">
        <f>+[1]Production!H44+[1]Production!H48</f>
        <v>4497.1421347000005</v>
      </c>
      <c r="J142" s="6">
        <f>+[1]Production!I44+[1]Production!I48</f>
        <v>4534.8856803999997</v>
      </c>
      <c r="K142" s="6">
        <f>+[1]Production!J44+[1]Production!J48</f>
        <v>4576.3140664000002</v>
      </c>
      <c r="L142" s="6">
        <f>+[1]Production!K44+[1]Production!K48</f>
        <v>4620.6701328999998</v>
      </c>
      <c r="M142" s="6">
        <f>+[1]Production!L44+[1]Production!L48</f>
        <v>4671.1579089999996</v>
      </c>
      <c r="N142" s="6">
        <f>+[1]Production!M44+[1]Production!M48</f>
        <v>4720.3559366999998</v>
      </c>
      <c r="O142" s="6">
        <f>+[1]Production!N44+[1]Production!N48</f>
        <v>4770.6815084</v>
      </c>
      <c r="P142" s="6">
        <f>+[1]Production!O44+[1]Production!O48</f>
        <v>4822.0218099000003</v>
      </c>
      <c r="Q142" s="6">
        <f>+[1]Production!P44+[1]Production!P48</f>
        <v>4874.1937163000002</v>
      </c>
      <c r="R142" s="6">
        <f>+[1]Production!Q44+[1]Production!Q48</f>
        <v>4927.0498062000006</v>
      </c>
      <c r="S142" s="6">
        <f>+[1]Production!R44+[1]Production!R48</f>
        <v>4980.0316592999998</v>
      </c>
      <c r="T142" s="6">
        <f>+[1]Production!S44+[1]Production!S48</f>
        <v>5033.4645434999993</v>
      </c>
      <c r="U142" s="6">
        <f>+[1]Production!T44+[1]Production!T48</f>
        <v>5087.3268363999996</v>
      </c>
      <c r="V142" s="6">
        <f>+[1]Production!U44+[1]Production!U48</f>
        <v>5141.5984577999998</v>
      </c>
      <c r="W142" s="6">
        <f>+[1]Production!V44+[1]Production!V48</f>
        <v>5193.5134878999997</v>
      </c>
      <c r="X142" s="6">
        <f>+[1]Production!W44+[1]Production!W48</f>
        <v>5247.7955552000003</v>
      </c>
      <c r="Y142" s="6">
        <f>+[1]Production!X44+[1]Production!X48</f>
        <v>5302.7203021000005</v>
      </c>
      <c r="Z142" s="6">
        <f>+[1]Production!Y44+[1]Production!Y48</f>
        <v>5358.1998291999998</v>
      </c>
      <c r="AA142" s="6">
        <f>+[1]Production!Z44+[1]Production!Z48</f>
        <v>5414.2329712000001</v>
      </c>
      <c r="AB142" s="6">
        <f>+[1]Production!AA44+[1]Production!AA48</f>
        <v>5462.9708553</v>
      </c>
      <c r="AC142" s="6">
        <f>+[1]Production!AB44+[1]Production!AB48</f>
        <v>5514.3329023999995</v>
      </c>
      <c r="AD142" s="6">
        <f>+[1]Production!AC44+[1]Production!AC48</f>
        <v>5565.8312471999998</v>
      </c>
      <c r="AE142" s="6">
        <f>+[1]Production!AD44+[1]Production!AD48</f>
        <v>5617.4752953000007</v>
      </c>
      <c r="AF142" s="6">
        <f>+[1]Production!AE44+[1]Production!AE48</f>
        <v>5669.3795539000002</v>
      </c>
      <c r="AG142" s="6">
        <f>+[1]Production!AF44+[1]Production!AF48</f>
        <v>5721.6587894000004</v>
      </c>
      <c r="AH142" s="6">
        <f>+[1]Production!AG44+[1]Production!AG48</f>
        <v>5774.5105255999997</v>
      </c>
      <c r="AI142" s="6">
        <f>+[1]Production!AH44+[1]Production!AH48</f>
        <v>5827.9227208000002</v>
      </c>
      <c r="AJ142" s="6">
        <f>+[1]Production!AI44+[1]Production!AI48</f>
        <v>5881.9463876000009</v>
      </c>
      <c r="AK142" s="6">
        <f>+[1]Production!AJ44+[1]Production!AJ48</f>
        <v>5936.6198147999994</v>
      </c>
      <c r="AL142" s="6">
        <f>+[1]Production!AK44+[1]Production!AK48</f>
        <v>5991.9686639000001</v>
      </c>
      <c r="AM142" s="6">
        <f>+[1]Production!AL44+[1]Production!AL48</f>
        <v>6047.0363253999994</v>
      </c>
      <c r="AN142" s="6">
        <f>+[1]Production!AM44+[1]Production!AM48</f>
        <v>6102.3592205000004</v>
      </c>
      <c r="AO142" s="6">
        <f>+[1]Production!AN44+[1]Production!AN48</f>
        <v>6158.0469795000008</v>
      </c>
      <c r="AP142" s="6">
        <f>+[1]Production!AO44+[1]Production!AO48</f>
        <v>6214.1691097000003</v>
      </c>
      <c r="AQ142" s="6">
        <f>+[1]Production!AP44+[1]Production!AP48</f>
        <v>6270.7805180999994</v>
      </c>
      <c r="AR142" s="6">
        <f>+[1]Production!AQ44+[1]Production!AQ48</f>
        <v>6328.0666442999991</v>
      </c>
      <c r="AS142" s="6">
        <f>+[1]Production!AR44+[1]Production!AR48</f>
        <v>6385.9404433</v>
      </c>
      <c r="AT142" s="6">
        <f>+[1]Production!AS44+[1]Production!AS48</f>
        <v>6444.4201324000005</v>
      </c>
      <c r="AU142" s="6">
        <f>+[1]Production!AT44+[1]Production!AT48</f>
        <v>6503.5196588999997</v>
      </c>
      <c r="AV142" s="6">
        <f>+[1]Production!AU44+[1]Production!AU48</f>
        <v>6563.2452824000002</v>
      </c>
      <c r="AW142" s="6">
        <f>+[1]Production!AV44+[1]Production!AV48</f>
        <v>6624.2381108999998</v>
      </c>
      <c r="AX142" s="6">
        <f>+[1]Production!AW44+[1]Production!AW48</f>
        <v>6685.9694377000005</v>
      </c>
      <c r="AY142" s="6">
        <f>+[1]Production!AX44+[1]Production!AX48</f>
        <v>6748.3981042999994</v>
      </c>
      <c r="AZ142" s="6">
        <f>+[1]Production!AY44+[1]Production!AY48</f>
        <v>6811.5028261000007</v>
      </c>
      <c r="BA142" s="6">
        <f>+[1]Production!AZ44+[1]Production!AZ48</f>
        <v>6875.2622468999998</v>
      </c>
      <c r="BB142" s="6">
        <f>+[1]Production!BA44+[1]Production!BA48</f>
        <v>6939.9499513000001</v>
      </c>
      <c r="BC142" s="6">
        <f>+[1]Production!BB44+[1]Production!BB48</f>
        <v>7005.2878207000003</v>
      </c>
      <c r="BD142" s="6">
        <f>+[1]Production!BC44+[1]Production!BC48</f>
        <v>7071.2415420999996</v>
      </c>
      <c r="BE142" s="6">
        <f>+[1]Production!BD44+[1]Production!BD48</f>
        <v>7137.7889986999999</v>
      </c>
      <c r="BF142" s="6">
        <f>+[1]Production!BE44+[1]Production!BE48</f>
        <v>7204.9102220999994</v>
      </c>
    </row>
    <row r="143" spans="1:58" x14ac:dyDescent="0.35">
      <c r="B143" t="s">
        <v>33</v>
      </c>
      <c r="C143" s="6">
        <f>[1]Production!B50+[1]Production!B52+[1]Production!B54+[1]Production!B56+[1]Production!B58+[1]Production!B60+[1]Production!B62+[1]Production!B64+[1]Production!B66</f>
        <v>66870.693884499982</v>
      </c>
      <c r="D143" s="6">
        <f>[1]Production!C50+[1]Production!C52+[1]Production!C54+[1]Production!C56+[1]Production!C58+[1]Production!C60+[1]Production!C62+[1]Production!C64+[1]Production!C66</f>
        <v>67046.344282800012</v>
      </c>
      <c r="E143" s="6">
        <f>[1]Production!D50+[1]Production!D52+[1]Production!D54+[1]Production!D56+[1]Production!D58+[1]Production!D60+[1]Production!D62+[1]Production!D64+[1]Production!D66</f>
        <v>67277.662750800009</v>
      </c>
      <c r="F143" s="6">
        <f>[1]Production!E50+[1]Production!E52+[1]Production!E54+[1]Production!E56+[1]Production!E58+[1]Production!E60+[1]Production!E62+[1]Production!E64+[1]Production!E66</f>
        <v>67577.753863099992</v>
      </c>
      <c r="G143" s="6">
        <f>[1]Production!F50+[1]Production!F52+[1]Production!F54+[1]Production!F56+[1]Production!F58+[1]Production!F60+[1]Production!F62+[1]Production!F64+[1]Production!F66</f>
        <v>67961.894723999998</v>
      </c>
      <c r="H143" s="6">
        <f>[1]Production!G50+[1]Production!G52+[1]Production!G54+[1]Production!G56+[1]Production!G58+[1]Production!G60+[1]Production!G62+[1]Production!G64+[1]Production!G66</f>
        <v>68425.335754</v>
      </c>
      <c r="I143" s="6">
        <f>[1]Production!H50+[1]Production!H52+[1]Production!H54+[1]Production!H56+[1]Production!H58+[1]Production!H60+[1]Production!H62+[1]Production!H64+[1]Production!H66</f>
        <v>68915.410737500002</v>
      </c>
      <c r="J143" s="6">
        <f>[1]Production!I50+[1]Production!I52+[1]Production!I54+[1]Production!I56+[1]Production!I58+[1]Production!I60+[1]Production!I62+[1]Production!I64+[1]Production!I66</f>
        <v>69438.713680400004</v>
      </c>
      <c r="K143" s="6">
        <f>[1]Production!J50+[1]Production!J52+[1]Production!J54+[1]Production!J56+[1]Production!J58+[1]Production!J60+[1]Production!J62+[1]Production!J64+[1]Production!J66</f>
        <v>69993.583127800011</v>
      </c>
      <c r="L143" s="6">
        <f>[1]Production!K50+[1]Production!K52+[1]Production!K54+[1]Production!K56+[1]Production!K58+[1]Production!K60+[1]Production!K62+[1]Production!K64+[1]Production!K66</f>
        <v>70574.94509590001</v>
      </c>
      <c r="M143" s="6">
        <f>[1]Production!L50+[1]Production!L52+[1]Production!L54+[1]Production!L56+[1]Production!L58+[1]Production!L60+[1]Production!L62+[1]Production!L64+[1]Production!L66</f>
        <v>71236.3887196</v>
      </c>
      <c r="N143" s="6">
        <f>[1]Production!M50+[1]Production!M52+[1]Production!M54+[1]Production!M56+[1]Production!M58+[1]Production!M60+[1]Production!M62+[1]Production!M64+[1]Production!M66</f>
        <v>71870.199150300017</v>
      </c>
      <c r="O143" s="6">
        <f>[1]Production!N50+[1]Production!N52+[1]Production!N54+[1]Production!N56+[1]Production!N58+[1]Production!N60+[1]Production!N62+[1]Production!N64+[1]Production!N66</f>
        <v>72499.709715199991</v>
      </c>
      <c r="P143" s="6">
        <f>[1]Production!O50+[1]Production!O52+[1]Production!O54+[1]Production!O56+[1]Production!O58+[1]Production!O60+[1]Production!O62+[1]Production!O64+[1]Production!O66</f>
        <v>73127.324675799988</v>
      </c>
      <c r="Q143" s="6">
        <f>[1]Production!P50+[1]Production!P52+[1]Production!P54+[1]Production!P56+[1]Production!P58+[1]Production!P60+[1]Production!P62+[1]Production!P64+[1]Production!P66</f>
        <v>73752.562410099985</v>
      </c>
      <c r="R143" s="6">
        <f>[1]Production!Q50+[1]Production!Q52+[1]Production!Q54+[1]Production!Q56+[1]Production!Q58+[1]Production!Q60+[1]Production!Q62+[1]Production!Q64+[1]Production!Q66</f>
        <v>74374.839602999986</v>
      </c>
      <c r="S143" s="6">
        <f>[1]Production!R50+[1]Production!R52+[1]Production!R54+[1]Production!R56+[1]Production!R58+[1]Production!R60+[1]Production!R62+[1]Production!R64+[1]Production!R66</f>
        <v>74989.720160800003</v>
      </c>
      <c r="T143" s="6">
        <f>[1]Production!S50+[1]Production!S52+[1]Production!S54+[1]Production!S56+[1]Production!S58+[1]Production!S60+[1]Production!S62+[1]Production!S64+[1]Production!S66</f>
        <v>75600.887276699985</v>
      </c>
      <c r="U143" s="6">
        <f>[1]Production!T50+[1]Production!T52+[1]Production!T54+[1]Production!T56+[1]Production!T58+[1]Production!T60+[1]Production!T62+[1]Production!T64+[1]Production!T66</f>
        <v>76209.776367600003</v>
      </c>
      <c r="V143" s="6">
        <f>[1]Production!U50+[1]Production!U52+[1]Production!U54+[1]Production!U56+[1]Production!U58+[1]Production!U60+[1]Production!U62+[1]Production!U64+[1]Production!U66</f>
        <v>76817.791978900001</v>
      </c>
      <c r="W143" s="6">
        <f>[1]Production!V50+[1]Production!V52+[1]Production!V54+[1]Production!V56+[1]Production!V58+[1]Production!V60+[1]Production!V62+[1]Production!V64+[1]Production!V66</f>
        <v>77382.978683000008</v>
      </c>
      <c r="X143" s="6">
        <f>[1]Production!W50+[1]Production!W52+[1]Production!W54+[1]Production!W56+[1]Production!W58+[1]Production!W60+[1]Production!W62+[1]Production!W64+[1]Production!W66</f>
        <v>77976.777674099998</v>
      </c>
      <c r="Y143" s="6">
        <f>[1]Production!X50+[1]Production!X52+[1]Production!X54+[1]Production!X56+[1]Production!X58+[1]Production!X60+[1]Production!X62+[1]Production!X64+[1]Production!X66</f>
        <v>78582.355988700001</v>
      </c>
      <c r="Z143" s="6">
        <f>[1]Production!Y50+[1]Production!Y52+[1]Production!Y54+[1]Production!Y56+[1]Production!Y58+[1]Production!Y60+[1]Production!Y62+[1]Production!Y64+[1]Production!Y66</f>
        <v>79197.209107499992</v>
      </c>
      <c r="AA143" s="6">
        <f>[1]Production!Z50+[1]Production!Z52+[1]Production!Z54+[1]Production!Z56+[1]Production!Z58+[1]Production!Z60+[1]Production!Z62+[1]Production!Z64+[1]Production!Z66</f>
        <v>79821.497609700004</v>
      </c>
      <c r="AB143" s="6">
        <f>[1]Production!AA50+[1]Production!AA52+[1]Production!AA54+[1]Production!AA56+[1]Production!AA58+[1]Production!AA60+[1]Production!AA62+[1]Production!AA64+[1]Production!AA66</f>
        <v>80333.018356300003</v>
      </c>
      <c r="AC143" s="6">
        <f>[1]Production!AB50+[1]Production!AB52+[1]Production!AB54+[1]Production!AB56+[1]Production!AB58+[1]Production!AB60+[1]Production!AB62+[1]Production!AB64+[1]Production!AB66</f>
        <v>80873.600398700015</v>
      </c>
      <c r="AD143" s="6">
        <f>[1]Production!AC50+[1]Production!AC52+[1]Production!AC54+[1]Production!AC56+[1]Production!AC58+[1]Production!AC60+[1]Production!AC62+[1]Production!AC64+[1]Production!AC66</f>
        <v>81425.122884500015</v>
      </c>
      <c r="AE143" s="6">
        <f>[1]Production!AD50+[1]Production!AD52+[1]Production!AD54+[1]Production!AD56+[1]Production!AD58+[1]Production!AD60+[1]Production!AD62+[1]Production!AD64+[1]Production!AD66</f>
        <v>81986.85163960002</v>
      </c>
      <c r="AF143" s="6">
        <f>[1]Production!AE50+[1]Production!AE52+[1]Production!AE54+[1]Production!AE56+[1]Production!AE58+[1]Production!AE60+[1]Production!AE62+[1]Production!AE64+[1]Production!AE66</f>
        <v>82560.323508600006</v>
      </c>
      <c r="AG143" s="6">
        <f>[1]Production!AF50+[1]Production!AF52+[1]Production!AF54+[1]Production!AF56+[1]Production!AF58+[1]Production!AF60+[1]Production!AF62+[1]Production!AF64+[1]Production!AF66</f>
        <v>83147.279680599997</v>
      </c>
      <c r="AH143" s="6">
        <f>[1]Production!AG50+[1]Production!AG52+[1]Production!AG54+[1]Production!AG56+[1]Production!AG58+[1]Production!AG60+[1]Production!AG62+[1]Production!AG64+[1]Production!AG66</f>
        <v>83750.174016600009</v>
      </c>
      <c r="AI143" s="6">
        <f>[1]Production!AH50+[1]Production!AH52+[1]Production!AH54+[1]Production!AH56+[1]Production!AH58+[1]Production!AH60+[1]Production!AH62+[1]Production!AH64+[1]Production!AH66</f>
        <v>84369.470411399991</v>
      </c>
      <c r="AJ143" s="6">
        <f>[1]Production!AI50+[1]Production!AI52+[1]Production!AI54+[1]Production!AI56+[1]Production!AI58+[1]Production!AI60+[1]Production!AI62+[1]Production!AI64+[1]Production!AI66</f>
        <v>85005.885871299994</v>
      </c>
      <c r="AK143" s="6">
        <f>[1]Production!AJ50+[1]Production!AJ52+[1]Production!AJ54+[1]Production!AJ56+[1]Production!AJ58+[1]Production!AJ60+[1]Production!AJ62+[1]Production!AJ64+[1]Production!AJ66</f>
        <v>85659.8965856</v>
      </c>
      <c r="AL143" s="6">
        <f>[1]Production!AK50+[1]Production!AK52+[1]Production!AK54+[1]Production!AK56+[1]Production!AK58+[1]Production!AK60+[1]Production!AK62+[1]Production!AK64+[1]Production!AK66</f>
        <v>86331.717810100003</v>
      </c>
      <c r="AM143" s="6">
        <f>[1]Production!AL50+[1]Production!AL52+[1]Production!AL54+[1]Production!AL56+[1]Production!AL58+[1]Production!AL60+[1]Production!AL62+[1]Production!AL64+[1]Production!AL66</f>
        <v>87001.043111699983</v>
      </c>
      <c r="AN143" s="6">
        <f>[1]Production!AM50+[1]Production!AM52+[1]Production!AM54+[1]Production!AM56+[1]Production!AM58+[1]Production!AM60+[1]Production!AM62+[1]Production!AM64+[1]Production!AM66</f>
        <v>87678.432475099995</v>
      </c>
      <c r="AO143" s="6">
        <f>[1]Production!AN50+[1]Production!AN52+[1]Production!AN54+[1]Production!AN56+[1]Production!AN58+[1]Production!AN60+[1]Production!AN62+[1]Production!AN64+[1]Production!AN66</f>
        <v>88367.540242100004</v>
      </c>
      <c r="AP143" s="6">
        <f>[1]Production!AO50+[1]Production!AO52+[1]Production!AO54+[1]Production!AO56+[1]Production!AO58+[1]Production!AO60+[1]Production!AO62+[1]Production!AO64+[1]Production!AO66</f>
        <v>89069.9349086</v>
      </c>
      <c r="AQ143" s="6">
        <f>[1]Production!AP50+[1]Production!AP52+[1]Production!AP54+[1]Production!AP56+[1]Production!AP58+[1]Production!AP60+[1]Production!AP62+[1]Production!AP64+[1]Production!AP66</f>
        <v>89786.340169100018</v>
      </c>
      <c r="AR143" s="6">
        <f>[1]Production!AQ50+[1]Production!AQ52+[1]Production!AQ54+[1]Production!AQ56+[1]Production!AQ58+[1]Production!AQ60+[1]Production!AQ62+[1]Production!AQ64+[1]Production!AQ66</f>
        <v>90518.407903400017</v>
      </c>
      <c r="AS143" s="6">
        <f>[1]Production!AR50+[1]Production!AR52+[1]Production!AR54+[1]Production!AR56+[1]Production!AR58+[1]Production!AR60+[1]Production!AR62+[1]Production!AR64+[1]Production!AR66</f>
        <v>91265.283280700009</v>
      </c>
      <c r="AT143" s="6">
        <f>[1]Production!AS50+[1]Production!AS52+[1]Production!AS54+[1]Production!AS56+[1]Production!AS58+[1]Production!AS60+[1]Production!AS62+[1]Production!AS64+[1]Production!AS66</f>
        <v>92026.804385400013</v>
      </c>
      <c r="AU143" s="6">
        <f>[1]Production!AT50+[1]Production!AT52+[1]Production!AT54+[1]Production!AT56+[1]Production!AT58+[1]Production!AT60+[1]Production!AT62+[1]Production!AT64+[1]Production!AT66</f>
        <v>92802.817508200009</v>
      </c>
      <c r="AV143" s="6">
        <f>[1]Production!AU50+[1]Production!AU52+[1]Production!AU54+[1]Production!AU56+[1]Production!AU58+[1]Production!AU60+[1]Production!AU62+[1]Production!AU64+[1]Production!AU66</f>
        <v>93593.146148499975</v>
      </c>
      <c r="AW143" s="6">
        <f>[1]Production!AV50+[1]Production!AV52+[1]Production!AV54+[1]Production!AV56+[1]Production!AV58+[1]Production!AV60+[1]Production!AV62+[1]Production!AV64+[1]Production!AV66</f>
        <v>94405.1416513</v>
      </c>
      <c r="AX143" s="6">
        <f>[1]Production!AW50+[1]Production!AW52+[1]Production!AW54+[1]Production!AW56+[1]Production!AW58+[1]Production!AW60+[1]Production!AW62+[1]Production!AW64+[1]Production!AW66</f>
        <v>95234.888575999998</v>
      </c>
      <c r="AY143" s="6">
        <f>[1]Production!AX50+[1]Production!AX52+[1]Production!AX54+[1]Production!AX56+[1]Production!AX58+[1]Production!AX60+[1]Production!AX62+[1]Production!AX64+[1]Production!AX66</f>
        <v>96082.317688400013</v>
      </c>
      <c r="AZ143" s="6">
        <f>[1]Production!AY50+[1]Production!AY52+[1]Production!AY54+[1]Production!AY56+[1]Production!AY58+[1]Production!AY60+[1]Production!AY62+[1]Production!AY64+[1]Production!AY66</f>
        <v>96947.615717899986</v>
      </c>
      <c r="BA143" s="6">
        <f>[1]Production!AZ50+[1]Production!AZ52+[1]Production!AZ54+[1]Production!AZ56+[1]Production!AZ58+[1]Production!AZ60+[1]Production!AZ62+[1]Production!AZ64+[1]Production!AZ66</f>
        <v>97830.770279300006</v>
      </c>
      <c r="BB143" s="6">
        <f>[1]Production!BA50+[1]Production!BA52+[1]Production!BA54+[1]Production!BA56+[1]Production!BA58+[1]Production!BA60+[1]Production!BA62+[1]Production!BA64+[1]Production!BA66</f>
        <v>98734.402163699982</v>
      </c>
      <c r="BC143" s="6">
        <f>[1]Production!BB50+[1]Production!BB52+[1]Production!BB54+[1]Production!BB56+[1]Production!BB58+[1]Production!BB60+[1]Production!BB62+[1]Production!BB64+[1]Production!BB66</f>
        <v>99656.279410100033</v>
      </c>
      <c r="BD143" s="6">
        <f>[1]Production!BC50+[1]Production!BC52+[1]Production!BC54+[1]Production!BC56+[1]Production!BC58+[1]Production!BC60+[1]Production!BC62+[1]Production!BC64+[1]Production!BC66</f>
        <v>100595.97082520001</v>
      </c>
      <c r="BE143" s="6">
        <f>[1]Production!BD50+[1]Production!BD52+[1]Production!BD54+[1]Production!BD56+[1]Production!BD58+[1]Production!BD60+[1]Production!BD62+[1]Production!BD64+[1]Production!BD66</f>
        <v>101553.33317010001</v>
      </c>
      <c r="BF143" s="6">
        <f>[1]Production!BE50+[1]Production!BE52+[1]Production!BE54+[1]Production!BE56+[1]Production!BE58+[1]Production!BE60+[1]Production!BE62+[1]Production!BE64+[1]Production!BE66</f>
        <v>102528.3551454</v>
      </c>
    </row>
    <row r="145" spans="1:5" x14ac:dyDescent="0.35">
      <c r="A145" s="12" t="s">
        <v>83</v>
      </c>
      <c r="B145" t="s">
        <v>14</v>
      </c>
      <c r="C145" s="7" t="s">
        <v>15</v>
      </c>
      <c r="D145" s="7" t="s">
        <v>16</v>
      </c>
      <c r="E145" s="7" t="s">
        <v>17</v>
      </c>
    </row>
    <row r="146" spans="1:5" x14ac:dyDescent="0.35">
      <c r="A146" t="s">
        <v>80</v>
      </c>
      <c r="B146" t="s">
        <v>40</v>
      </c>
      <c r="C146" s="4">
        <f t="shared" ref="C146:C153" si="65">(R136-R125)/R125</f>
        <v>-4.6550539886075083E-2</v>
      </c>
      <c r="D146" s="4">
        <f t="shared" ref="D146:D153" si="66">(S135-S124)/S124</f>
        <v>0</v>
      </c>
      <c r="E146" s="4">
        <f t="shared" ref="E146:E153" si="67">(AL136-AL125)/AL125</f>
        <v>-6.7718405655060224E-2</v>
      </c>
    </row>
    <row r="147" spans="1:5" x14ac:dyDescent="0.35">
      <c r="B147" t="s">
        <v>7</v>
      </c>
      <c r="C147" s="4">
        <f t="shared" si="65"/>
        <v>-5.3073767680340327E-2</v>
      </c>
      <c r="D147" s="4">
        <f t="shared" si="66"/>
        <v>-4.7639099011543583E-2</v>
      </c>
      <c r="E147" s="4">
        <f t="shared" si="67"/>
        <v>-7.4515945220433699E-2</v>
      </c>
    </row>
    <row r="148" spans="1:5" x14ac:dyDescent="0.35">
      <c r="B148" t="s">
        <v>30</v>
      </c>
      <c r="C148" s="4">
        <f t="shared" si="65"/>
        <v>-6.2266754346104874E-2</v>
      </c>
      <c r="D148" s="4">
        <f t="shared" si="66"/>
        <v>-5.3977779711494846E-2</v>
      </c>
      <c r="E148" s="4">
        <f t="shared" si="67"/>
        <v>-9.6394354794717599E-2</v>
      </c>
    </row>
    <row r="149" spans="1:5" x14ac:dyDescent="0.35">
      <c r="B149" t="s">
        <v>9</v>
      </c>
      <c r="C149" s="4">
        <f t="shared" si="65"/>
        <v>-5.1397674090105136E-2</v>
      </c>
      <c r="D149" s="4">
        <f t="shared" si="66"/>
        <v>-6.4220063674782696E-2</v>
      </c>
      <c r="E149" s="4">
        <f t="shared" si="67"/>
        <v>-7.825302738369766E-2</v>
      </c>
    </row>
    <row r="150" spans="1:5" x14ac:dyDescent="0.35">
      <c r="B150" t="s">
        <v>10</v>
      </c>
      <c r="C150" s="4">
        <f t="shared" si="65"/>
        <v>-4.0152905880961466E-2</v>
      </c>
      <c r="D150" s="4">
        <f t="shared" si="66"/>
        <v>-5.2610537122102577E-2</v>
      </c>
      <c r="E150" s="4">
        <f t="shared" si="67"/>
        <v>-5.571212162962224E-2</v>
      </c>
    </row>
    <row r="151" spans="1:5" x14ac:dyDescent="0.35">
      <c r="B151" t="s">
        <v>29</v>
      </c>
      <c r="C151" s="4">
        <f t="shared" si="65"/>
        <v>-6.4060887612781364E-2</v>
      </c>
      <c r="D151" s="4">
        <f t="shared" si="66"/>
        <v>-4.0908176631835366E-2</v>
      </c>
      <c r="E151" s="4">
        <f t="shared" si="67"/>
        <v>-9.7067751168215019E-2</v>
      </c>
    </row>
    <row r="152" spans="1:5" x14ac:dyDescent="0.35">
      <c r="B152" t="s">
        <v>36</v>
      </c>
      <c r="C152" s="4">
        <f t="shared" si="65"/>
        <v>-6.1547837400839148E-2</v>
      </c>
      <c r="D152" s="4">
        <f t="shared" si="66"/>
        <v>-6.5749769117441334E-2</v>
      </c>
      <c r="E152" s="4">
        <f t="shared" si="67"/>
        <v>-9.1420183459713117E-2</v>
      </c>
    </row>
    <row r="153" spans="1:5" x14ac:dyDescent="0.35">
      <c r="B153" t="s">
        <v>33</v>
      </c>
      <c r="C153" s="4">
        <f t="shared" si="65"/>
        <v>-3.2352255414949217E-2</v>
      </c>
      <c r="D153" s="4">
        <f t="shared" si="66"/>
        <v>-6.3128346719110676E-2</v>
      </c>
      <c r="E153" s="4">
        <f t="shared" si="67"/>
        <v>-5.5555813689319333E-2</v>
      </c>
    </row>
    <row r="154" spans="1:5" x14ac:dyDescent="0.35">
      <c r="C154" s="5"/>
      <c r="D154" s="5"/>
      <c r="E154" s="5"/>
    </row>
    <row r="155" spans="1:5" x14ac:dyDescent="0.35">
      <c r="A155" s="12" t="s">
        <v>83</v>
      </c>
      <c r="B155" t="s">
        <v>14</v>
      </c>
      <c r="C155" s="7" t="s">
        <v>15</v>
      </c>
      <c r="D155" s="7" t="s">
        <v>16</v>
      </c>
      <c r="E155" s="7" t="s">
        <v>17</v>
      </c>
    </row>
    <row r="156" spans="1:5" x14ac:dyDescent="0.35">
      <c r="A156" t="s">
        <v>84</v>
      </c>
      <c r="B156" t="s">
        <v>7</v>
      </c>
      <c r="C156" s="4">
        <f>R137/R126-1</f>
        <v>-5.3073767680340334E-2</v>
      </c>
      <c r="D156" s="4">
        <f>AB137/AB126-1</f>
        <v>-6.3356937593247897E-2</v>
      </c>
      <c r="E156" s="4">
        <f>AL137/AL126-1</f>
        <v>-7.4515945220433699E-2</v>
      </c>
    </row>
    <row r="157" spans="1:5" x14ac:dyDescent="0.35">
      <c r="B157" t="s">
        <v>8</v>
      </c>
      <c r="C157" s="4">
        <f>R138/R127-1</f>
        <v>-6.2266754346104847E-2</v>
      </c>
      <c r="D157" s="4">
        <f>AB138/AB127-1</f>
        <v>-8.1439793157755958E-2</v>
      </c>
      <c r="E157" s="4">
        <f>AL138/AL127-1</f>
        <v>-9.6394354794717585E-2</v>
      </c>
    </row>
    <row r="158" spans="1:5" x14ac:dyDescent="0.35">
      <c r="B158" t="s">
        <v>9</v>
      </c>
      <c r="C158" s="4">
        <f>R139/R128-1</f>
        <v>-5.1397674090105094E-2</v>
      </c>
      <c r="D158" s="4">
        <f>AB139/AB128-1</f>
        <v>-6.4871474366459014E-2</v>
      </c>
      <c r="E158" s="4">
        <f>AL139/AL128-1</f>
        <v>-7.825302738369766E-2</v>
      </c>
    </row>
    <row r="159" spans="1:5" x14ac:dyDescent="0.35">
      <c r="B159" t="s">
        <v>10</v>
      </c>
      <c r="C159" s="4">
        <f>R140/R129-1</f>
        <v>-4.0152905880961431E-2</v>
      </c>
      <c r="D159" s="4">
        <f>AB140/AB129-1</f>
        <v>-4.8120623750005698E-2</v>
      </c>
      <c r="E159" s="4">
        <f>AL140/AL129-1</f>
        <v>-5.5712121629622247E-2</v>
      </c>
    </row>
    <row r="160" spans="1:5" x14ac:dyDescent="0.35">
      <c r="B160" t="s">
        <v>12</v>
      </c>
      <c r="C160" s="4">
        <f>R141/R130-1</f>
        <v>-6.4060887612781392E-2</v>
      </c>
      <c r="D160" s="4">
        <f>AB141/AB130-1</f>
        <v>-8.0971124174844977E-2</v>
      </c>
      <c r="E160" s="4">
        <f>AL141/AL130-1</f>
        <v>-9.7067751168214977E-2</v>
      </c>
    </row>
    <row r="161" spans="1:58" x14ac:dyDescent="0.35">
      <c r="B161" t="s">
        <v>11</v>
      </c>
      <c r="C161" s="4">
        <f>R143/R132-1</f>
        <v>-3.2352255414949238E-2</v>
      </c>
      <c r="D161" s="4">
        <f>AB143/AB132-1</f>
        <v>-4.2596311961141775E-2</v>
      </c>
      <c r="E161" s="4">
        <f>AL143/AL132-1</f>
        <v>-5.5555813689319389E-2</v>
      </c>
    </row>
    <row r="162" spans="1:58" x14ac:dyDescent="0.35">
      <c r="C162" s="4"/>
      <c r="D162" s="4"/>
      <c r="E162" s="4"/>
    </row>
    <row r="163" spans="1:58" x14ac:dyDescent="0.35">
      <c r="A163" s="12" t="s">
        <v>41</v>
      </c>
      <c r="C163" s="4"/>
      <c r="D163" s="4"/>
      <c r="E163" s="4"/>
    </row>
    <row r="164" spans="1:58" x14ac:dyDescent="0.35">
      <c r="A164" t="s">
        <v>38</v>
      </c>
      <c r="B164" t="s">
        <v>40</v>
      </c>
      <c r="C164" s="6">
        <f>[1]Capital!B3</f>
        <v>5224351.5990000004</v>
      </c>
      <c r="D164" s="6">
        <f>[1]Capital!C3</f>
        <v>5285939.1890000002</v>
      </c>
      <c r="E164" s="6">
        <f>[1]Capital!D3</f>
        <v>5349468.2699999996</v>
      </c>
      <c r="F164" s="6">
        <f>[1]Capital!E3</f>
        <v>5415267.1299999999</v>
      </c>
      <c r="G164" s="6">
        <f>[1]Capital!F3</f>
        <v>5483570.4560000002</v>
      </c>
      <c r="H164" s="6">
        <f>[1]Capital!G3</f>
        <v>5554548.6670000004</v>
      </c>
      <c r="I164" s="6">
        <f>[1]Capital!H3</f>
        <v>5628132.9570000004</v>
      </c>
      <c r="J164" s="6">
        <f>[1]Capital!I3</f>
        <v>5704292.977</v>
      </c>
      <c r="K164" s="6">
        <f>[1]Capital!J3</f>
        <v>5783028.068</v>
      </c>
      <c r="L164" s="6">
        <f>[1]Capital!K3</f>
        <v>5864354.1330000004</v>
      </c>
      <c r="M164" s="6">
        <f>[1]Capital!L3</f>
        <v>5948646.0389999999</v>
      </c>
      <c r="N164" s="6">
        <f>[1]Capital!M3</f>
        <v>6035819.648</v>
      </c>
      <c r="O164" s="6">
        <f>[1]Capital!N3</f>
        <v>6125820.824</v>
      </c>
      <c r="P164" s="6">
        <f>[1]Capital!O3</f>
        <v>6218620.2929999996</v>
      </c>
      <c r="Q164" s="6">
        <f>[1]Capital!P3</f>
        <v>6314200.1500000004</v>
      </c>
      <c r="R164" s="6">
        <f>[1]Capital!Q3</f>
        <v>6412547.8660000004</v>
      </c>
      <c r="S164" s="6">
        <f>[1]Capital!R3</f>
        <v>6513654.2599999998</v>
      </c>
      <c r="T164" s="6">
        <f>[1]Capital!S3</f>
        <v>6617512.8930000002</v>
      </c>
      <c r="U164" s="6">
        <f>[1]Capital!T3</f>
        <v>6724119.6900000004</v>
      </c>
      <c r="V164" s="6">
        <f>[1]Capital!U3</f>
        <v>6833472.3940000003</v>
      </c>
      <c r="W164" s="6">
        <f>[1]Capital!V3</f>
        <v>6945305.1550000003</v>
      </c>
      <c r="X164" s="6">
        <f>[1]Capital!W3</f>
        <v>7059698.8559999997</v>
      </c>
      <c r="Y164" s="6">
        <f>[1]Capital!X3</f>
        <v>7176711.4019999998</v>
      </c>
      <c r="Z164" s="6">
        <f>[1]Capital!Y3</f>
        <v>7296379.2050000001</v>
      </c>
      <c r="AA164" s="6">
        <f>[1]Capital!Z3</f>
        <v>7418725.7719999999</v>
      </c>
      <c r="AB164" s="6">
        <f>[1]Capital!AA3</f>
        <v>7542993.5410000002</v>
      </c>
      <c r="AC164" s="6">
        <f>[1]Capital!AB3</f>
        <v>7669058.5209999997</v>
      </c>
      <c r="AD164" s="6">
        <f>[1]Capital!AC3</f>
        <v>7796832.5360000003</v>
      </c>
      <c r="AE164" s="6">
        <f>[1]Capital!AD3</f>
        <v>7926240.943</v>
      </c>
      <c r="AF164" s="6">
        <f>[1]Capital!AE3</f>
        <v>8057223.2759999996</v>
      </c>
      <c r="AG164" s="6">
        <f>[1]Capital!AF3</f>
        <v>8189731.7719999999</v>
      </c>
      <c r="AH164" s="6">
        <f>[1]Capital!AG3</f>
        <v>8323728.1009999998</v>
      </c>
      <c r="AI164" s="6">
        <f>[1]Capital!AH3</f>
        <v>8459179.6539999992</v>
      </c>
      <c r="AJ164" s="6">
        <f>[1]Capital!AI3</f>
        <v>8596056.3379999995</v>
      </c>
      <c r="AK164" s="6">
        <f>[1]Capital!AJ3</f>
        <v>8734328.2550000008</v>
      </c>
      <c r="AL164" s="6">
        <f>[1]Capital!AK3</f>
        <v>8873964.3570000008</v>
      </c>
      <c r="AM164" s="6">
        <f>[1]Capital!AL3</f>
        <v>9014742.1779999994</v>
      </c>
      <c r="AN164" s="6">
        <f>[1]Capital!AM3</f>
        <v>9156493.5209999997</v>
      </c>
      <c r="AO164" s="6">
        <f>[1]Capital!AN3</f>
        <v>9299090.307</v>
      </c>
      <c r="AP164" s="6">
        <f>[1]Capital!AO3</f>
        <v>9442431.8100000005</v>
      </c>
      <c r="AQ164" s="6">
        <f>[1]Capital!AP3</f>
        <v>9586438.2219999991</v>
      </c>
      <c r="AR164" s="6">
        <f>[1]Capital!AQ3</f>
        <v>9731047.0299999993</v>
      </c>
      <c r="AS164" s="6">
        <f>[1]Capital!AR3</f>
        <v>9876210.3969999999</v>
      </c>
      <c r="AT164" s="6">
        <f>[1]Capital!AS3</f>
        <v>10021892.93</v>
      </c>
      <c r="AU164" s="6">
        <f>[1]Capital!AT3</f>
        <v>10168069.75</v>
      </c>
      <c r="AV164" s="6">
        <f>[1]Capital!AU3</f>
        <v>10314724.859999999</v>
      </c>
      <c r="AW164" s="6">
        <f>[1]Capital!AV3</f>
        <v>10461867.300000001</v>
      </c>
      <c r="AX164" s="6">
        <f>[1]Capital!AW3</f>
        <v>10609507.949999999</v>
      </c>
      <c r="AY164" s="6">
        <f>[1]Capital!AX3</f>
        <v>10757660.439999999</v>
      </c>
      <c r="AZ164" s="6">
        <f>[1]Capital!AY3</f>
        <v>10906341.779999999</v>
      </c>
      <c r="BA164" s="6">
        <f>[1]Capital!AZ3</f>
        <v>11055572.85</v>
      </c>
      <c r="BB164" s="6">
        <f>[1]Capital!BA3</f>
        <v>11205378.99</v>
      </c>
      <c r="BC164" s="6">
        <f>[1]Capital!BB3</f>
        <v>11355790.529999999</v>
      </c>
      <c r="BD164" s="6">
        <f>[1]Capital!BC3</f>
        <v>11506843.220000001</v>
      </c>
      <c r="BE164" s="6">
        <f>[1]Capital!BD3</f>
        <v>11658578.529999999</v>
      </c>
      <c r="BF164" s="6">
        <f>[1]Capital!BE3</f>
        <v>11811043.779999999</v>
      </c>
    </row>
    <row r="165" spans="1:58" x14ac:dyDescent="0.35">
      <c r="B165" t="s">
        <v>7</v>
      </c>
      <c r="C165" s="5">
        <f>[1]Capital!B5+[1]Capital!B7</f>
        <v>49062.141071999999</v>
      </c>
      <c r="D165" s="5">
        <f>[1]Capital!C5+[1]Capital!C7</f>
        <v>49625.231839</v>
      </c>
      <c r="E165" s="5">
        <f>[1]Capital!D5+[1]Capital!D7</f>
        <v>50187.860066999994</v>
      </c>
      <c r="F165" s="5">
        <f>[1]Capital!E5+[1]Capital!E7</f>
        <v>50755.068525000002</v>
      </c>
      <c r="G165" s="5">
        <f>[1]Capital!F5+[1]Capital!F7</f>
        <v>51332.564119999995</v>
      </c>
      <c r="H165" s="5">
        <f>[1]Capital!G5+[1]Capital!G7</f>
        <v>51925.404205999999</v>
      </c>
      <c r="I165" s="5">
        <f>[1]Capital!H5+[1]Capital!H7</f>
        <v>52535.760403</v>
      </c>
      <c r="J165" s="5">
        <f>[1]Capital!I5+[1]Capital!I7</f>
        <v>53165.369107999999</v>
      </c>
      <c r="K165" s="5">
        <f>[1]Capital!J5+[1]Capital!J7</f>
        <v>53815.596505000001</v>
      </c>
      <c r="L165" s="5">
        <f>[1]Capital!K5+[1]Capital!K7</f>
        <v>54487.458894000003</v>
      </c>
      <c r="M165" s="5">
        <f>[1]Capital!L5+[1]Capital!L7</f>
        <v>55184.980896999994</v>
      </c>
      <c r="N165" s="5">
        <f>[1]Capital!M5+[1]Capital!M7</f>
        <v>55907.693439000002</v>
      </c>
      <c r="O165" s="5">
        <f>[1]Capital!N5+[1]Capital!N7</f>
        <v>56655.058232999996</v>
      </c>
      <c r="P165" s="5">
        <f>[1]Capital!O5+[1]Capital!O7</f>
        <v>57426.583829000003</v>
      </c>
      <c r="Q165" s="5">
        <f>[1]Capital!P5+[1]Capital!P7</f>
        <v>58221.778230000004</v>
      </c>
      <c r="R165" s="5">
        <f>[1]Capital!Q5+[1]Capital!Q7</f>
        <v>59040.146429</v>
      </c>
      <c r="S165" s="5">
        <f>[1]Capital!R5+[1]Capital!R7</f>
        <v>59881.209528000007</v>
      </c>
      <c r="T165" s="5">
        <f>[1]Capital!S5+[1]Capital!S7</f>
        <v>60744.524245999994</v>
      </c>
      <c r="U165" s="5">
        <f>[1]Capital!T5+[1]Capital!T7</f>
        <v>61629.694981000001</v>
      </c>
      <c r="V165" s="5">
        <f>[1]Capital!U5+[1]Capital!U7</f>
        <v>62536.377931999996</v>
      </c>
      <c r="W165" s="5">
        <f>[1]Capital!V5+[1]Capital!V7</f>
        <v>63461.803285000002</v>
      </c>
      <c r="X165" s="5">
        <f>[1]Capital!W5+[1]Capital!W7</f>
        <v>64406.410532000002</v>
      </c>
      <c r="Y165" s="5">
        <f>[1]Capital!X5+[1]Capital!X7</f>
        <v>65370.587375000003</v>
      </c>
      <c r="Z165" s="5">
        <f>[1]Capital!Y5+[1]Capital!Y7</f>
        <v>66354.603753999996</v>
      </c>
      <c r="AA165" s="5">
        <f>[1]Capital!Z5+[1]Capital!Z7</f>
        <v>67358.664671999999</v>
      </c>
      <c r="AB165" s="5">
        <f>[1]Capital!AA5+[1]Capital!AA7</f>
        <v>68375.736443000002</v>
      </c>
      <c r="AC165" s="5">
        <f>[1]Capital!AB5+[1]Capital!AB7</f>
        <v>69404.508188000007</v>
      </c>
      <c r="AD165" s="5">
        <f>[1]Capital!AC5+[1]Capital!AC7</f>
        <v>70444.268038000009</v>
      </c>
      <c r="AE165" s="5">
        <f>[1]Capital!AD5+[1]Capital!AD7</f>
        <v>71494.618336</v>
      </c>
      <c r="AF165" s="5">
        <f>[1]Capital!AE5+[1]Capital!AE7</f>
        <v>72555.449370999995</v>
      </c>
      <c r="AG165" s="5">
        <f>[1]Capital!AF5+[1]Capital!AF7</f>
        <v>73626.89136899999</v>
      </c>
      <c r="AH165" s="5">
        <f>[1]Capital!AG5+[1]Capital!AG7</f>
        <v>74709.247897000008</v>
      </c>
      <c r="AI165" s="5">
        <f>[1]Capital!AH5+[1]Capital!AH7</f>
        <v>75802.929781999992</v>
      </c>
      <c r="AJ165" s="5">
        <f>[1]Capital!AI5+[1]Capital!AI7</f>
        <v>76908.400644000008</v>
      </c>
      <c r="AK165" s="5">
        <f>[1]Capital!AJ5+[1]Capital!AJ7</f>
        <v>78026.137507000007</v>
      </c>
      <c r="AL165" s="5">
        <f>[1]Capital!AK5+[1]Capital!AK7</f>
        <v>79156.605970000004</v>
      </c>
      <c r="AM165" s="5">
        <f>[1]Capital!AL5+[1]Capital!AL7</f>
        <v>80298.489150999987</v>
      </c>
      <c r="AN165" s="5">
        <f>[1]Capital!AM5+[1]Capital!AM7</f>
        <v>81450.911055999997</v>
      </c>
      <c r="AO165" s="5">
        <f>[1]Capital!AN5+[1]Capital!AN7</f>
        <v>82613.377708999993</v>
      </c>
      <c r="AP165" s="5">
        <f>[1]Capital!AO5+[1]Capital!AO7</f>
        <v>83785.677463</v>
      </c>
      <c r="AQ165" s="5">
        <f>[1]Capital!AP5+[1]Capital!AP7</f>
        <v>84967.821683999995</v>
      </c>
      <c r="AR165" s="5">
        <f>[1]Capital!AQ5+[1]Capital!AQ7</f>
        <v>86160.001179999992</v>
      </c>
      <c r="AS165" s="5">
        <f>[1]Capital!AR5+[1]Capital!AR7</f>
        <v>87362.546180000005</v>
      </c>
      <c r="AT165" s="5">
        <f>[1]Capital!AS5+[1]Capital!AS7</f>
        <v>88575.888312999989</v>
      </c>
      <c r="AU165" s="5">
        <f>[1]Capital!AT5+[1]Capital!AT7</f>
        <v>89800.526141999988</v>
      </c>
      <c r="AV165" s="5">
        <f>[1]Capital!AU5+[1]Capital!AU7</f>
        <v>91036.996274000005</v>
      </c>
      <c r="AW165" s="5">
        <f>[1]Capital!AV5+[1]Capital!AV7</f>
        <v>92286.009045999992</v>
      </c>
      <c r="AX165" s="5">
        <f>[1]Capital!AW5+[1]Capital!AW7</f>
        <v>93548.237672000003</v>
      </c>
      <c r="AY165" s="5">
        <f>[1]Capital!AX5+[1]Capital!AX7</f>
        <v>94824.31818300001</v>
      </c>
      <c r="AZ165" s="5">
        <f>[1]Capital!AY5+[1]Capital!AY7</f>
        <v>96114.844185000009</v>
      </c>
      <c r="BA165" s="5">
        <f>[1]Capital!AZ5+[1]Capital!AZ7</f>
        <v>97420.367094999994</v>
      </c>
      <c r="BB165" s="5">
        <f>[1]Capital!BA5+[1]Capital!BA7</f>
        <v>98741.402198000011</v>
      </c>
      <c r="BC165" s="5">
        <f>[1]Capital!BB5+[1]Capital!BB7</f>
        <v>100078.436328</v>
      </c>
      <c r="BD165" s="5">
        <f>[1]Capital!BC5+[1]Capital!BC7</f>
        <v>101431.93479300001</v>
      </c>
      <c r="BE165" s="5">
        <f>[1]Capital!BD5+[1]Capital!BD7</f>
        <v>102802.34689399999</v>
      </c>
      <c r="BF165" s="5">
        <f>[1]Capital!BE5+[1]Capital!BE7</f>
        <v>104190.11029500001</v>
      </c>
    </row>
    <row r="166" spans="1:58" x14ac:dyDescent="0.35">
      <c r="B166" t="s">
        <v>30</v>
      </c>
      <c r="C166" s="5">
        <f>[1]Capital!B9+[1]Capital!B11+[1]Capital!B13+[1]Capital!B15+[1]Capital!B17+[1]Capital!B19+[1]Capital!B21+[1]Capital!B23+[1]Capital!B25+[1]Capital!B27+[1]Capital!B41</f>
        <v>2595738.3102210006</v>
      </c>
      <c r="D166" s="5">
        <f>[1]Capital!C9+[1]Capital!C11+[1]Capital!C13+[1]Capital!C15+[1]Capital!C17+[1]Capital!C19+[1]Capital!C21+[1]Capital!C23+[1]Capital!C25+[1]Capital!C27+[1]Capital!C41</f>
        <v>2626423.7680189996</v>
      </c>
      <c r="E166" s="5">
        <f>[1]Capital!D9+[1]Capital!D11+[1]Capital!D13+[1]Capital!D15+[1]Capital!D17+[1]Capital!D19+[1]Capital!D21+[1]Capital!D23+[1]Capital!D25+[1]Capital!D27+[1]Capital!D41</f>
        <v>2658230.4610699997</v>
      </c>
      <c r="F166" s="5">
        <f>[1]Capital!E9+[1]Capital!E11+[1]Capital!E13+[1]Capital!E15+[1]Capital!E17+[1]Capital!E19+[1]Capital!E21+[1]Capital!E23+[1]Capital!E25+[1]Capital!E27+[1]Capital!E41</f>
        <v>2691317.0445999997</v>
      </c>
      <c r="G166" s="5">
        <f>[1]Capital!F9+[1]Capital!F11+[1]Capital!F13+[1]Capital!F15+[1]Capital!F17+[1]Capital!F19+[1]Capital!F21+[1]Capital!F23+[1]Capital!F25+[1]Capital!F27+[1]Capital!F41</f>
        <v>2725774.2720940001</v>
      </c>
      <c r="H166" s="5">
        <f>[1]Capital!G9+[1]Capital!G11+[1]Capital!G13+[1]Capital!G15+[1]Capital!G17+[1]Capital!G19+[1]Capital!G21+[1]Capital!G23+[1]Capital!G25+[1]Capital!G27+[1]Capital!G41</f>
        <v>2761659.2562510003</v>
      </c>
      <c r="I166" s="5">
        <f>[1]Capital!H9+[1]Capital!H11+[1]Capital!H13+[1]Capital!H15+[1]Capital!H17+[1]Capital!H19+[1]Capital!H21+[1]Capital!H23+[1]Capital!H25+[1]Capital!H27+[1]Capital!H41</f>
        <v>2798928.3271829998</v>
      </c>
      <c r="J166" s="5">
        <f>[1]Capital!I9+[1]Capital!I11+[1]Capital!I13+[1]Capital!I15+[1]Capital!I17+[1]Capital!I19+[1]Capital!I21+[1]Capital!I23+[1]Capital!I25+[1]Capital!I27+[1]Capital!I41</f>
        <v>2837557.0754559999</v>
      </c>
      <c r="K166" s="5">
        <f>[1]Capital!J9+[1]Capital!J11+[1]Capital!J13+[1]Capital!J15+[1]Capital!J17+[1]Capital!J19+[1]Capital!J21+[1]Capital!J23+[1]Capital!J25+[1]Capital!J27+[1]Capital!J41</f>
        <v>2877540.5143280001</v>
      </c>
      <c r="L166" s="5">
        <f>[1]Capital!K9+[1]Capital!K11+[1]Capital!K13+[1]Capital!K15+[1]Capital!K17+[1]Capital!K19+[1]Capital!K21+[1]Capital!K23+[1]Capital!K25+[1]Capital!K27+[1]Capital!K41</f>
        <v>2918887.6047490002</v>
      </c>
      <c r="M166" s="5">
        <f>[1]Capital!L9+[1]Capital!L11+[1]Capital!L13+[1]Capital!L15+[1]Capital!L17+[1]Capital!L19+[1]Capital!L21+[1]Capital!L23+[1]Capital!L25+[1]Capital!L27+[1]Capital!L41</f>
        <v>2961771.2849960001</v>
      </c>
      <c r="N166" s="5">
        <f>[1]Capital!M9+[1]Capital!M11+[1]Capital!M13+[1]Capital!M15+[1]Capital!M17+[1]Capital!M19+[1]Capital!M21+[1]Capital!M23+[1]Capital!M25+[1]Capital!M27+[1]Capital!M41</f>
        <v>3006175.5668879999</v>
      </c>
      <c r="O166" s="5">
        <f>[1]Capital!N9+[1]Capital!N11+[1]Capital!N13+[1]Capital!N15+[1]Capital!N17+[1]Capital!N19+[1]Capital!N21+[1]Capital!N23+[1]Capital!N25+[1]Capital!N27+[1]Capital!N41</f>
        <v>3052093.3306589997</v>
      </c>
      <c r="P166" s="5">
        <f>[1]Capital!O9+[1]Capital!O11+[1]Capital!O13+[1]Capital!O15+[1]Capital!O17+[1]Capital!O19+[1]Capital!O21+[1]Capital!O23+[1]Capital!O25+[1]Capital!O27+[1]Capital!O41</f>
        <v>3099527.270207</v>
      </c>
      <c r="Q166" s="5">
        <f>[1]Capital!P9+[1]Capital!P11+[1]Capital!P13+[1]Capital!P15+[1]Capital!P17+[1]Capital!P19+[1]Capital!P21+[1]Capital!P23+[1]Capital!P25+[1]Capital!P27+[1]Capital!P41</f>
        <v>3148485.3305989997</v>
      </c>
      <c r="R166" s="5">
        <f>[1]Capital!Q9+[1]Capital!Q11+[1]Capital!Q13+[1]Capital!Q15+[1]Capital!Q17+[1]Capital!Q19+[1]Capital!Q21+[1]Capital!Q23+[1]Capital!Q25+[1]Capital!Q27+[1]Capital!Q41</f>
        <v>3198978.0065309997</v>
      </c>
      <c r="S166" s="5">
        <f>[1]Capital!R9+[1]Capital!R11+[1]Capital!R13+[1]Capital!R15+[1]Capital!R17+[1]Capital!R19+[1]Capital!R21+[1]Capital!R23+[1]Capital!R25+[1]Capital!R27+[1]Capital!R41</f>
        <v>3251017.0120209996</v>
      </c>
      <c r="T166" s="5">
        <f>[1]Capital!S9+[1]Capital!S11+[1]Capital!S13+[1]Capital!S15+[1]Capital!S17+[1]Capital!S19+[1]Capital!S21+[1]Capital!S23+[1]Capital!S25+[1]Capital!S27+[1]Capital!S41</f>
        <v>3304614.6095540002</v>
      </c>
      <c r="U166" s="5">
        <f>[1]Capital!T9+[1]Capital!T11+[1]Capital!T13+[1]Capital!T15+[1]Capital!T17+[1]Capital!T19+[1]Capital!T21+[1]Capital!T23+[1]Capital!T25+[1]Capital!T27+[1]Capital!T41</f>
        <v>3359783.1665580003</v>
      </c>
      <c r="V166" s="5">
        <f>[1]Capital!U9+[1]Capital!U11+[1]Capital!U13+[1]Capital!U15+[1]Capital!U17+[1]Capital!U19+[1]Capital!U21+[1]Capital!U23+[1]Capital!U25+[1]Capital!U27+[1]Capital!U41</f>
        <v>3416534.6982530002</v>
      </c>
      <c r="W166" s="5">
        <f>[1]Capital!V9+[1]Capital!V11+[1]Capital!V13+[1]Capital!V15+[1]Capital!V17+[1]Capital!V19+[1]Capital!V21+[1]Capital!V23+[1]Capital!V25+[1]Capital!V27+[1]Capital!V41</f>
        <v>3474763.047702</v>
      </c>
      <c r="X166" s="5">
        <f>[1]Capital!W9+[1]Capital!W11+[1]Capital!W13+[1]Capital!W15+[1]Capital!W17+[1]Capital!W19+[1]Capital!W21+[1]Capital!W23+[1]Capital!W25+[1]Capital!W27+[1]Capital!W41</f>
        <v>3534506.2237209999</v>
      </c>
      <c r="Y166" s="5">
        <f>[1]Capital!X9+[1]Capital!X11+[1]Capital!X13+[1]Capital!X15+[1]Capital!X17+[1]Capital!X19+[1]Capital!X21+[1]Capital!X23+[1]Capital!X25+[1]Capital!X27+[1]Capital!X41</f>
        <v>3595795.7438699999</v>
      </c>
      <c r="Z166" s="5">
        <f>[1]Capital!Y9+[1]Capital!Y11+[1]Capital!Y13+[1]Capital!Y15+[1]Capital!Y17+[1]Capital!Y19+[1]Capital!Y21+[1]Capital!Y23+[1]Capital!Y25+[1]Capital!Y27+[1]Capital!Y41</f>
        <v>3658653.97431</v>
      </c>
      <c r="AA166" s="5">
        <f>[1]Capital!Z9+[1]Capital!Z11+[1]Capital!Z13+[1]Capital!Z15+[1]Capital!Z17+[1]Capital!Z19+[1]Capital!Z21+[1]Capital!Z23+[1]Capital!Z25+[1]Capital!Z27+[1]Capital!Z41</f>
        <v>3723096.1516539999</v>
      </c>
      <c r="AB166" s="5">
        <f>[1]Capital!AA9+[1]Capital!AA11+[1]Capital!AA13+[1]Capital!AA15+[1]Capital!AA17+[1]Capital!AA19+[1]Capital!AA21+[1]Capital!AA23+[1]Capital!AA25+[1]Capital!AA27+[1]Capital!AA41</f>
        <v>3788788.5613349997</v>
      </c>
      <c r="AC166" s="5">
        <f>[1]Capital!AB9+[1]Capital!AB11+[1]Capital!AB13+[1]Capital!AB15+[1]Capital!AB17+[1]Capital!AB19+[1]Capital!AB21+[1]Capital!AB23+[1]Capital!AB25+[1]Capital!AB27+[1]Capital!AB41</f>
        <v>3855652.4748670002</v>
      </c>
      <c r="AD166" s="5">
        <f>[1]Capital!AC9+[1]Capital!AC11+[1]Capital!AC13+[1]Capital!AC15+[1]Capital!AC17+[1]Capital!AC19+[1]Capital!AC21+[1]Capital!AC23+[1]Capital!AC25+[1]Capital!AC27+[1]Capital!AC41</f>
        <v>3923627.305125</v>
      </c>
      <c r="AE166" s="5">
        <f>[1]Capital!AD9+[1]Capital!AD11+[1]Capital!AD13+[1]Capital!AD15+[1]Capital!AD17+[1]Capital!AD19+[1]Capital!AD21+[1]Capital!AD23+[1]Capital!AD25+[1]Capital!AD27+[1]Capital!AD41</f>
        <v>3992658.6579340002</v>
      </c>
      <c r="AF166" s="5">
        <f>[1]Capital!AE9+[1]Capital!AE11+[1]Capital!AE13+[1]Capital!AE15+[1]Capital!AE17+[1]Capital!AE19+[1]Capital!AE21+[1]Capital!AE23+[1]Capital!AE25+[1]Capital!AE27+[1]Capital!AE41</f>
        <v>4062696.7688370002</v>
      </c>
      <c r="AG166" s="5">
        <f>[1]Capital!AF9+[1]Capital!AF11+[1]Capital!AF13+[1]Capital!AF15+[1]Capital!AF17+[1]Capital!AF19+[1]Capital!AF21+[1]Capital!AF23+[1]Capital!AF25+[1]Capital!AF27+[1]Capital!AF41</f>
        <v>4133695.4366270001</v>
      </c>
      <c r="AH166" s="5">
        <f>[1]Capital!AG9+[1]Capital!AG11+[1]Capital!AG13+[1]Capital!AG15+[1]Capital!AG17+[1]Capital!AG19+[1]Capital!AG21+[1]Capital!AG23+[1]Capital!AG25+[1]Capital!AG27+[1]Capital!AG41</f>
        <v>4205610.7678410001</v>
      </c>
      <c r="AI166" s="5">
        <f>[1]Capital!AH9+[1]Capital!AH11+[1]Capital!AH13+[1]Capital!AH15+[1]Capital!AH17+[1]Capital!AH19+[1]Capital!AH21+[1]Capital!AH23+[1]Capital!AH25+[1]Capital!AH27+[1]Capital!AH41</f>
        <v>4278399.8864529999</v>
      </c>
      <c r="AJ166" s="5">
        <f>[1]Capital!AI9+[1]Capital!AI11+[1]Capital!AI13+[1]Capital!AI15+[1]Capital!AI17+[1]Capital!AI19+[1]Capital!AI21+[1]Capital!AI23+[1]Capital!AI25+[1]Capital!AI27+[1]Capital!AI41</f>
        <v>4352019.8125360003</v>
      </c>
      <c r="AK166" s="5">
        <f>[1]Capital!AJ9+[1]Capital!AJ11+[1]Capital!AJ13+[1]Capital!AJ15+[1]Capital!AJ17+[1]Capital!AJ19+[1]Capital!AJ21+[1]Capital!AJ23+[1]Capital!AJ25+[1]Capital!AJ27+[1]Capital!AJ41</f>
        <v>4426426.687593</v>
      </c>
      <c r="AL166" s="5">
        <f>[1]Capital!AK9+[1]Capital!AK11+[1]Capital!AK13+[1]Capital!AK15+[1]Capital!AK17+[1]Capital!AK19+[1]Capital!AK21+[1]Capital!AK23+[1]Capital!AK25+[1]Capital!AK27+[1]Capital!AK41</f>
        <v>4501575.3909609998</v>
      </c>
      <c r="AM166" s="5">
        <f>[1]Capital!AL9+[1]Capital!AL11+[1]Capital!AL13+[1]Capital!AL15+[1]Capital!AL17+[1]Capital!AL19+[1]Capital!AL21+[1]Capital!AL23+[1]Capital!AL25+[1]Capital!AL27+[1]Capital!AL41</f>
        <v>4577334.7612370001</v>
      </c>
      <c r="AN166" s="5">
        <f>[1]Capital!AM9+[1]Capital!AM11+[1]Capital!AM13+[1]Capital!AM15+[1]Capital!AM17+[1]Capital!AM19+[1]Capital!AM21+[1]Capital!AM23+[1]Capital!AM25+[1]Capital!AM27+[1]Capital!AM41</f>
        <v>4653591.2272290001</v>
      </c>
      <c r="AO166" s="5">
        <f>[1]Capital!AN9+[1]Capital!AN11+[1]Capital!AN13+[1]Capital!AN15+[1]Capital!AN17+[1]Capital!AN19+[1]Capital!AN21+[1]Capital!AN23+[1]Capital!AN25+[1]Capital!AN27+[1]Capital!AN41</f>
        <v>4730246.8597159991</v>
      </c>
      <c r="AP166" s="5">
        <f>[1]Capital!AO9+[1]Capital!AO11+[1]Capital!AO13+[1]Capital!AO15+[1]Capital!AO17+[1]Capital!AO19+[1]Capital!AO21+[1]Capital!AO23+[1]Capital!AO25+[1]Capital!AO27+[1]Capital!AO41</f>
        <v>4807215.6661689989</v>
      </c>
      <c r="AQ166" s="5">
        <f>[1]Capital!AP9+[1]Capital!AP11+[1]Capital!AP13+[1]Capital!AP15+[1]Capital!AP17+[1]Capital!AP19+[1]Capital!AP21+[1]Capital!AP23+[1]Capital!AP25+[1]Capital!AP27+[1]Capital!AP41</f>
        <v>4884421.4722180003</v>
      </c>
      <c r="AR166" s="5">
        <f>[1]Capital!AQ9+[1]Capital!AQ11+[1]Capital!AQ13+[1]Capital!AQ15+[1]Capital!AQ17+[1]Capital!AQ19+[1]Capital!AQ21+[1]Capital!AQ23+[1]Capital!AQ25+[1]Capital!AQ27+[1]Capital!AQ41</f>
        <v>4961796.7403900009</v>
      </c>
      <c r="AS166" s="5">
        <f>[1]Capital!AR9+[1]Capital!AR11+[1]Capital!AR13+[1]Capital!AR15+[1]Capital!AR17+[1]Capital!AR19+[1]Capital!AR21+[1]Capital!AR23+[1]Capital!AR25+[1]Capital!AR27+[1]Capital!AR41</f>
        <v>5039281.7957999995</v>
      </c>
      <c r="AT166" s="5">
        <f>[1]Capital!AS9+[1]Capital!AS11+[1]Capital!AS13+[1]Capital!AS15+[1]Capital!AS17+[1]Capital!AS19+[1]Capital!AS21+[1]Capital!AS23+[1]Capital!AS25+[1]Capital!AS27+[1]Capital!AS41</f>
        <v>5116824.2133700009</v>
      </c>
      <c r="AU166" s="5">
        <f>[1]Capital!AT9+[1]Capital!AT11+[1]Capital!AT13+[1]Capital!AT15+[1]Capital!AT17+[1]Capital!AT19+[1]Capital!AT21+[1]Capital!AT23+[1]Capital!AT25+[1]Capital!AT27+[1]Capital!AT41</f>
        <v>5194378.3089399999</v>
      </c>
      <c r="AV166" s="5">
        <f>[1]Capital!AU9+[1]Capital!AU11+[1]Capital!AU13+[1]Capital!AU15+[1]Capital!AU17+[1]Capital!AU19+[1]Capital!AU21+[1]Capital!AU23+[1]Capital!AU25+[1]Capital!AU27+[1]Capital!AU41</f>
        <v>5271904.7172999997</v>
      </c>
      <c r="AW166" s="5">
        <f>[1]Capital!AV9+[1]Capital!AV11+[1]Capital!AV13+[1]Capital!AV15+[1]Capital!AV17+[1]Capital!AV19+[1]Capital!AV21+[1]Capital!AV23+[1]Capital!AV25+[1]Capital!AV27+[1]Capital!AV41</f>
        <v>5349377.8354500001</v>
      </c>
      <c r="AX166" s="5">
        <f>[1]Capital!AW9+[1]Capital!AW11+[1]Capital!AW13+[1]Capital!AW15+[1]Capital!AW17+[1]Capital!AW19+[1]Capital!AW21+[1]Capital!AW23+[1]Capital!AW25+[1]Capital!AW27+[1]Capital!AW41</f>
        <v>5426776.2074300004</v>
      </c>
      <c r="AY166" s="5">
        <f>[1]Capital!AX9+[1]Capital!AX11+[1]Capital!AX13+[1]Capital!AX15+[1]Capital!AX17+[1]Capital!AX19+[1]Capital!AX21+[1]Capital!AX23+[1]Capital!AX25+[1]Capital!AX27+[1]Capital!AX41</f>
        <v>5504082.6800899999</v>
      </c>
      <c r="AZ166" s="5">
        <f>[1]Capital!AY9+[1]Capital!AY11+[1]Capital!AY13+[1]Capital!AY15+[1]Capital!AY17+[1]Capital!AY19+[1]Capital!AY21+[1]Capital!AY23+[1]Capital!AY25+[1]Capital!AY27+[1]Capital!AY41</f>
        <v>5581284.7033299999</v>
      </c>
      <c r="BA166" s="5">
        <f>[1]Capital!AZ9+[1]Capital!AZ11+[1]Capital!AZ13+[1]Capital!AZ15+[1]Capital!AZ17+[1]Capital!AZ19+[1]Capital!AZ21+[1]Capital!AZ23+[1]Capital!AZ25+[1]Capital!AZ27+[1]Capital!AZ41</f>
        <v>5658374.6018900005</v>
      </c>
      <c r="BB166" s="5">
        <f>[1]Capital!BA9+[1]Capital!BA11+[1]Capital!BA13+[1]Capital!BA15+[1]Capital!BA17+[1]Capital!BA19+[1]Capital!BA21+[1]Capital!BA23+[1]Capital!BA25+[1]Capital!BA27+[1]Capital!BA41</f>
        <v>5735349.8811800005</v>
      </c>
      <c r="BC166" s="5">
        <f>[1]Capital!BB9+[1]Capital!BB11+[1]Capital!BB13+[1]Capital!BB15+[1]Capital!BB17+[1]Capital!BB19+[1]Capital!BB21+[1]Capital!BB23+[1]Capital!BB25+[1]Capital!BB27+[1]Capital!BB41</f>
        <v>5812213.4798099995</v>
      </c>
      <c r="BD166" s="5">
        <f>[1]Capital!BC9+[1]Capital!BC11+[1]Capital!BC13+[1]Capital!BC15+[1]Capital!BC17+[1]Capital!BC19+[1]Capital!BC21+[1]Capital!BC23+[1]Capital!BC25+[1]Capital!BC27+[1]Capital!BC41</f>
        <v>5888973.9656199999</v>
      </c>
      <c r="BE166" s="5">
        <f>[1]Capital!BD9+[1]Capital!BD11+[1]Capital!BD13+[1]Capital!BD15+[1]Capital!BD17+[1]Capital!BD19+[1]Capital!BD21+[1]Capital!BD23+[1]Capital!BD25+[1]Capital!BD27+[1]Capital!BD41</f>
        <v>5965645.6408699993</v>
      </c>
      <c r="BF166" s="5">
        <f>[1]Capital!BE9+[1]Capital!BE11+[1]Capital!BE13+[1]Capital!BE15+[1]Capital!BE17+[1]Capital!BE19+[1]Capital!BE21+[1]Capital!BE23+[1]Capital!BE25+[1]Capital!BE27+[1]Capital!BE41</f>
        <v>6042248.5625499999</v>
      </c>
    </row>
    <row r="167" spans="1:58" x14ac:dyDescent="0.35">
      <c r="B167" t="s">
        <v>9</v>
      </c>
      <c r="C167" s="5">
        <f>[1]Capital!B29+[1]Capital!B31+[1]Capital!B33+[1]Capital!B35</f>
        <v>88561.469265999986</v>
      </c>
      <c r="D167" s="5">
        <f>[1]Capital!C29+[1]Capital!C31+[1]Capital!C33+[1]Capital!C35</f>
        <v>89608.593986000007</v>
      </c>
      <c r="E167" s="5">
        <f>[1]Capital!D29+[1]Capital!D31+[1]Capital!D33+[1]Capital!D35</f>
        <v>90688.423627000011</v>
      </c>
      <c r="F167" s="5">
        <f>[1]Capital!E29+[1]Capital!E31+[1]Capital!E33+[1]Capital!E35</f>
        <v>91805.446395000006</v>
      </c>
      <c r="G167" s="5">
        <f>[1]Capital!F29+[1]Capital!F31+[1]Capital!F33+[1]Capital!F35</f>
        <v>92962.692792000002</v>
      </c>
      <c r="H167" s="5">
        <f>[1]Capital!G29+[1]Capital!G31+[1]Capital!G33+[1]Capital!G35</f>
        <v>94162.076824000003</v>
      </c>
      <c r="I167" s="5">
        <f>[1]Capital!H29+[1]Capital!H31+[1]Capital!H33+[1]Capital!H35</f>
        <v>95400.400439999998</v>
      </c>
      <c r="J167" s="5">
        <f>[1]Capital!I29+[1]Capital!I31+[1]Capital!I33+[1]Capital!I35</f>
        <v>96676.077151000005</v>
      </c>
      <c r="K167" s="5">
        <f>[1]Capital!J29+[1]Capital!J31+[1]Capital!J33+[1]Capital!J35</f>
        <v>97988.168065000005</v>
      </c>
      <c r="L167" s="5">
        <f>[1]Capital!K29+[1]Capital!K31+[1]Capital!K33+[1]Capital!K35</f>
        <v>99335.946855999995</v>
      </c>
      <c r="M167" s="5">
        <f>[1]Capital!L29+[1]Capital!L31+[1]Capital!L33+[1]Capital!L35</f>
        <v>100726.26733500001</v>
      </c>
      <c r="N167" s="5">
        <f>[1]Capital!M29+[1]Capital!M31+[1]Capital!M33+[1]Capital!M35</f>
        <v>102154.55362599999</v>
      </c>
      <c r="O167" s="5">
        <f>[1]Capital!N29+[1]Capital!N31+[1]Capital!N33+[1]Capital!N35</f>
        <v>103618.311541</v>
      </c>
      <c r="P167" s="5">
        <f>[1]Capital!O29+[1]Capital!O31+[1]Capital!O33+[1]Capital!O35</f>
        <v>105116.06047899999</v>
      </c>
      <c r="Q167" s="5">
        <f>[1]Capital!P29+[1]Capital!P31+[1]Capital!P33+[1]Capital!P35</f>
        <v>106646.752419</v>
      </c>
      <c r="R167" s="5">
        <f>[1]Capital!Q29+[1]Capital!Q31+[1]Capital!Q33+[1]Capital!Q35</f>
        <v>108209.578888</v>
      </c>
      <c r="S167" s="5">
        <f>[1]Capital!R29+[1]Capital!R31+[1]Capital!R33+[1]Capital!R35</f>
        <v>109803.91768300001</v>
      </c>
      <c r="T167" s="5">
        <f>[1]Capital!S29+[1]Capital!S31+[1]Capital!S33+[1]Capital!S35</f>
        <v>111429.31978199999</v>
      </c>
      <c r="U167" s="5">
        <f>[1]Capital!T29+[1]Capital!T31+[1]Capital!T33+[1]Capital!T35</f>
        <v>113085.50137900001</v>
      </c>
      <c r="V167" s="5">
        <f>[1]Capital!U29+[1]Capital!U31+[1]Capital!U33+[1]Capital!U35</f>
        <v>114772.332046</v>
      </c>
      <c r="W167" s="5">
        <f>[1]Capital!V29+[1]Capital!V31+[1]Capital!V33+[1]Capital!V35</f>
        <v>116484.18198699999</v>
      </c>
      <c r="X167" s="5">
        <f>[1]Capital!W29+[1]Capital!W31+[1]Capital!W33+[1]Capital!W35</f>
        <v>118224.12844599999</v>
      </c>
      <c r="Y167" s="5">
        <f>[1]Capital!X29+[1]Capital!X31+[1]Capital!X33+[1]Capital!X35</f>
        <v>119993.815625</v>
      </c>
      <c r="Z167" s="5">
        <f>[1]Capital!Y29+[1]Capital!Y31+[1]Capital!Y33+[1]Capital!Y35</f>
        <v>121794.240074</v>
      </c>
      <c r="AA167" s="5">
        <f>[1]Capital!Z29+[1]Capital!Z31+[1]Capital!Z33+[1]Capital!Z35</f>
        <v>123626.173935</v>
      </c>
      <c r="AB167" s="5">
        <f>[1]Capital!AA29+[1]Capital!AA31+[1]Capital!AA33+[1]Capital!AA35</f>
        <v>125473.92528599998</v>
      </c>
      <c r="AC167" s="5">
        <f>[1]Capital!AB29+[1]Capital!AB31+[1]Capital!AB33+[1]Capital!AB35</f>
        <v>127338.90731400001</v>
      </c>
      <c r="AD167" s="5">
        <f>[1]Capital!AC29+[1]Capital!AC31+[1]Capital!AC33+[1]Capital!AC35</f>
        <v>129222.01727699999</v>
      </c>
      <c r="AE167" s="5">
        <f>[1]Capital!AD29+[1]Capital!AD31+[1]Capital!AD33+[1]Capital!AD35</f>
        <v>131123.916879</v>
      </c>
      <c r="AF167" s="5">
        <f>[1]Capital!AE29+[1]Capital!AE31+[1]Capital!AE33+[1]Capital!AE35</f>
        <v>133045.33598199999</v>
      </c>
      <c r="AG167" s="5">
        <f>[1]Capital!AF29+[1]Capital!AF31+[1]Capital!AF33+[1]Capital!AF35</f>
        <v>134987.13654000001</v>
      </c>
      <c r="AH167" s="5">
        <f>[1]Capital!AG29+[1]Capital!AG31+[1]Capital!AG33+[1]Capital!AG35</f>
        <v>136950.28218800001</v>
      </c>
      <c r="AI167" s="5">
        <f>[1]Capital!AH29+[1]Capital!AH31+[1]Capital!AH33+[1]Capital!AH35</f>
        <v>138935.78241699998</v>
      </c>
      <c r="AJ167" s="5">
        <f>[1]Capital!AI29+[1]Capital!AI31+[1]Capital!AI33+[1]Capital!AI35</f>
        <v>140944.64036699999</v>
      </c>
      <c r="AK167" s="5">
        <f>[1]Capital!AJ29+[1]Capital!AJ31+[1]Capital!AJ33+[1]Capital!AJ35</f>
        <v>142977.81442100002</v>
      </c>
      <c r="AL167" s="5">
        <f>[1]Capital!AK29+[1]Capital!AK31+[1]Capital!AK33+[1]Capital!AK35</f>
        <v>145036.19498899998</v>
      </c>
      <c r="AM167" s="5">
        <f>[1]Capital!AL29+[1]Capital!AL31+[1]Capital!AL33+[1]Capital!AL35</f>
        <v>147116.58018399999</v>
      </c>
      <c r="AN167" s="5">
        <f>[1]Capital!AM29+[1]Capital!AM31+[1]Capital!AM33+[1]Capital!AM35</f>
        <v>149217.737222</v>
      </c>
      <c r="AO167" s="5">
        <f>[1]Capital!AN29+[1]Capital!AN31+[1]Capital!AN33+[1]Capital!AN35</f>
        <v>151339.35125400001</v>
      </c>
      <c r="AP167" s="5">
        <f>[1]Capital!AO29+[1]Capital!AO31+[1]Capital!AO33+[1]Capital!AO35</f>
        <v>153481.53255299997</v>
      </c>
      <c r="AQ167" s="5">
        <f>[1]Capital!AP29+[1]Capital!AP31+[1]Capital!AP33+[1]Capital!AP35</f>
        <v>155644.63015199997</v>
      </c>
      <c r="AR167" s="5">
        <f>[1]Capital!AQ29+[1]Capital!AQ31+[1]Capital!AQ33+[1]Capital!AQ35</f>
        <v>157829.15085000001</v>
      </c>
      <c r="AS167" s="5">
        <f>[1]Capital!AR29+[1]Capital!AR31+[1]Capital!AR33+[1]Capital!AR35</f>
        <v>160035.711125</v>
      </c>
      <c r="AT167" s="5">
        <f>[1]Capital!AS29+[1]Capital!AS31+[1]Capital!AS33+[1]Capital!AS35</f>
        <v>162264.99971400001</v>
      </c>
      <c r="AU167" s="5">
        <f>[1]Capital!AT29+[1]Capital!AT31+[1]Capital!AT33+[1]Capital!AT35</f>
        <v>164517.74659600001</v>
      </c>
      <c r="AV167" s="5">
        <f>[1]Capital!AU29+[1]Capital!AU31+[1]Capital!AU33+[1]Capital!AU35</f>
        <v>166794.69824300002</v>
      </c>
      <c r="AW167" s="5">
        <f>[1]Capital!AV29+[1]Capital!AV31+[1]Capital!AV33+[1]Capital!AV35</f>
        <v>169096.96740599998</v>
      </c>
      <c r="AX167" s="5">
        <f>[1]Capital!AW29+[1]Capital!AW31+[1]Capital!AW33+[1]Capital!AW35</f>
        <v>171425.46865</v>
      </c>
      <c r="AY167" s="5">
        <f>[1]Capital!AX29+[1]Capital!AX31+[1]Capital!AX33+[1]Capital!AX35</f>
        <v>173781.009464</v>
      </c>
      <c r="AZ167" s="5">
        <f>[1]Capital!AY29+[1]Capital!AY31+[1]Capital!AY33+[1]Capital!AY35</f>
        <v>176164.33029000001</v>
      </c>
      <c r="BA167" s="5">
        <f>[1]Capital!AZ29+[1]Capital!AZ31+[1]Capital!AZ33+[1]Capital!AZ35</f>
        <v>178576.12226800001</v>
      </c>
      <c r="BB167" s="5">
        <f>[1]Capital!BA29+[1]Capital!BA31+[1]Capital!BA33+[1]Capital!BA35</f>
        <v>181017.04015799999</v>
      </c>
      <c r="BC167" s="5">
        <f>[1]Capital!BB29+[1]Capital!BB31+[1]Capital!BB33+[1]Capital!BB35</f>
        <v>183487.71381799999</v>
      </c>
      <c r="BD167" s="5">
        <f>[1]Capital!BC29+[1]Capital!BC31+[1]Capital!BC33+[1]Capital!BC35</f>
        <v>185988.75812200003</v>
      </c>
      <c r="BE167" s="5">
        <f>[1]Capital!BD29+[1]Capital!BD31+[1]Capital!BD33+[1]Capital!BD35</f>
        <v>188520.780944</v>
      </c>
      <c r="BF167" s="5">
        <f>[1]Capital!BE29+[1]Capital!BE31+[1]Capital!BE33+[1]Capital!BE35</f>
        <v>191084.389322</v>
      </c>
    </row>
    <row r="168" spans="1:58" x14ac:dyDescent="0.35">
      <c r="B168" t="s">
        <v>10</v>
      </c>
      <c r="C168" s="5">
        <f>[1]Capital!B37+[1]Capital!B39</f>
        <v>2425814.7522</v>
      </c>
      <c r="D168" s="5">
        <f>[1]Capital!C37+[1]Capital!C39</f>
        <v>2454366.3103999998</v>
      </c>
      <c r="E168" s="5">
        <f>[1]Capital!D37+[1]Capital!D39</f>
        <v>2483721.5929</v>
      </c>
      <c r="F168" s="5">
        <f>[1]Capital!E37+[1]Capital!E39</f>
        <v>2514041.4032999999</v>
      </c>
      <c r="G168" s="5">
        <f>[1]Capital!F37+[1]Capital!F39</f>
        <v>2545457.4737999998</v>
      </c>
      <c r="H168" s="5">
        <f>[1]Capital!G37+[1]Capital!G39</f>
        <v>2578071.0337999999</v>
      </c>
      <c r="I168" s="5">
        <f>[1]Capital!H37+[1]Capital!H39</f>
        <v>2611854.9687000001</v>
      </c>
      <c r="J168" s="5">
        <f>[1]Capital!I37+[1]Capital!I39</f>
        <v>2646800.0476000002</v>
      </c>
      <c r="K168" s="5">
        <f>[1]Capital!J37+[1]Capital!J39</f>
        <v>2682907.3774999999</v>
      </c>
      <c r="L168" s="5">
        <f>[1]Capital!K37+[1]Capital!K39</f>
        <v>2720181.4358999999</v>
      </c>
      <c r="M168" s="5">
        <f>[1]Capital!L37+[1]Capital!L39</f>
        <v>2758807.7576000001</v>
      </c>
      <c r="N168" s="5">
        <f>[1]Capital!M37+[1]Capital!M39</f>
        <v>2798723.5497999997</v>
      </c>
      <c r="O168" s="5">
        <f>[1]Capital!N37+[1]Capital!N39</f>
        <v>2839885.1686</v>
      </c>
      <c r="P168" s="5">
        <f>[1]Capital!O37+[1]Capital!O39</f>
        <v>2882262.7248</v>
      </c>
      <c r="Q168" s="5">
        <f>[1]Capital!P37+[1]Capital!P39</f>
        <v>2925831.9148999997</v>
      </c>
      <c r="R168" s="5">
        <f>[1]Capital!Q37+[1]Capital!Q39</f>
        <v>2970570.9915</v>
      </c>
      <c r="S168" s="5">
        <f>[1]Capital!R37+[1]Capital!R39</f>
        <v>3016460.1132</v>
      </c>
      <c r="T168" s="5">
        <f>[1]Capital!S37+[1]Capital!S39</f>
        <v>3063481.3830000004</v>
      </c>
      <c r="U168" s="5">
        <f>[1]Capital!T37+[1]Capital!T39</f>
        <v>3111618.9081000001</v>
      </c>
      <c r="V168" s="5">
        <f>[1]Capital!U37+[1]Capital!U39</f>
        <v>3160858.7012999998</v>
      </c>
      <c r="W168" s="5">
        <f>[1]Capital!V37+[1]Capital!V39</f>
        <v>3211052.0767999999</v>
      </c>
      <c r="X168" s="5">
        <f>[1]Capital!W37+[1]Capital!W39</f>
        <v>3262237.0321</v>
      </c>
      <c r="Y168" s="5">
        <f>[1]Capital!X37+[1]Capital!X39</f>
        <v>3314436.7344</v>
      </c>
      <c r="Z168" s="5">
        <f>[1]Capital!Y37+[1]Capital!Y39</f>
        <v>3367663.0592</v>
      </c>
      <c r="AA168" s="5">
        <f>[1]Capital!Z37+[1]Capital!Z39</f>
        <v>3421922.5159999998</v>
      </c>
      <c r="AB168" s="5">
        <f>[1]Capital!AA37+[1]Capital!AA39</f>
        <v>3476821.4254000001</v>
      </c>
      <c r="AC168" s="5">
        <f>[1]Capital!AB37+[1]Capital!AB39</f>
        <v>3532314.5965999998</v>
      </c>
      <c r="AD168" s="5">
        <f>[1]Capital!AC37+[1]Capital!AC39</f>
        <v>3588373.7553000003</v>
      </c>
      <c r="AE168" s="5">
        <f>[1]Capital!AD37+[1]Capital!AD39</f>
        <v>3644977.8015000001</v>
      </c>
      <c r="AF168" s="5">
        <f>[1]Capital!AE37+[1]Capital!AE39</f>
        <v>3702114.7282000002</v>
      </c>
      <c r="AG168" s="5">
        <f>[1]Capital!AF37+[1]Capital!AF39</f>
        <v>3759781.2006000001</v>
      </c>
      <c r="AH168" s="5">
        <f>[1]Capital!AG37+[1]Capital!AG39</f>
        <v>3817980.6348000001</v>
      </c>
      <c r="AI168" s="5">
        <f>[1]Capital!AH37+[1]Capital!AH39</f>
        <v>3876720.9462000001</v>
      </c>
      <c r="AJ168" s="5">
        <f>[1]Capital!AI37+[1]Capital!AI39</f>
        <v>3936012.5945000001</v>
      </c>
      <c r="AK168" s="5">
        <f>[1]Capital!AJ37+[1]Capital!AJ39</f>
        <v>3995867.1509999996</v>
      </c>
      <c r="AL168" s="5">
        <f>[1]Capital!AK37+[1]Capital!AK39</f>
        <v>4056296.4007999999</v>
      </c>
      <c r="AM168" s="5">
        <f>[1]Capital!AL37+[1]Capital!AL39</f>
        <v>4117214.6121</v>
      </c>
      <c r="AN168" s="5">
        <f>[1]Capital!AM37+[1]Capital!AM39</f>
        <v>4178569.6754000001</v>
      </c>
      <c r="AO168" s="5">
        <f>[1]Capital!AN37+[1]Capital!AN39</f>
        <v>4240332.1849999996</v>
      </c>
      <c r="AP168" s="5">
        <f>[1]Capital!AO37+[1]Capital!AO39</f>
        <v>4302487.1951000001</v>
      </c>
      <c r="AQ168" s="5">
        <f>[1]Capital!AP37+[1]Capital!AP39</f>
        <v>4365030.2614000002</v>
      </c>
      <c r="AR168" s="5">
        <f>[1]Capital!AQ37+[1]Capital!AQ39</f>
        <v>4427965.1770000001</v>
      </c>
      <c r="AS168" s="5">
        <f>[1]Capital!AR37+[1]Capital!AR39</f>
        <v>4491302.2558000004</v>
      </c>
      <c r="AT168" s="5">
        <f>[1]Capital!AS37+[1]Capital!AS39</f>
        <v>4555056.7975000003</v>
      </c>
      <c r="AU168" s="5">
        <f>[1]Capital!AT37+[1]Capital!AT39</f>
        <v>4619247.7490999997</v>
      </c>
      <c r="AV168" s="5">
        <f>[1]Capital!AU37+[1]Capital!AU39</f>
        <v>4683896.5961999996</v>
      </c>
      <c r="AW168" s="5">
        <f>[1]Capital!AV37+[1]Capital!AV39</f>
        <v>4749035.4172999999</v>
      </c>
      <c r="AX168" s="5">
        <f>[1]Capital!AW37+[1]Capital!AW39</f>
        <v>4814694.4583000001</v>
      </c>
      <c r="AY168" s="5">
        <f>[1]Capital!AX37+[1]Capital!AX39</f>
        <v>4880902.7219000002</v>
      </c>
      <c r="AZ168" s="5">
        <f>[1]Capital!AY37+[1]Capital!AY39</f>
        <v>4947688.0739000002</v>
      </c>
      <c r="BA168" s="5">
        <f>[1]Capital!AZ37+[1]Capital!AZ39</f>
        <v>5015077.3717999998</v>
      </c>
      <c r="BB168" s="5">
        <f>[1]Capital!BA37+[1]Capital!BA39</f>
        <v>5083096.7635000004</v>
      </c>
      <c r="BC168" s="5">
        <f>[1]Capital!BB37+[1]Capital!BB39</f>
        <v>5151772.0130000003</v>
      </c>
      <c r="BD168" s="5">
        <f>[1]Capital!BC37+[1]Capital!BC39</f>
        <v>5221128.7610999998</v>
      </c>
      <c r="BE168" s="5">
        <f>[1]Capital!BD37+[1]Capital!BD39</f>
        <v>5291192.7001</v>
      </c>
      <c r="BF168" s="5">
        <f>[1]Capital!BE37+[1]Capital!BE39</f>
        <v>5361989.6745000007</v>
      </c>
    </row>
    <row r="169" spans="1:58" x14ac:dyDescent="0.35">
      <c r="B169" t="s">
        <v>29</v>
      </c>
      <c r="C169" s="5">
        <f>[1]Capital!B43+[1]Capital!B47</f>
        <v>22930.647962299998</v>
      </c>
      <c r="D169" s="5">
        <f>[1]Capital!C43+[1]Capital!C47</f>
        <v>23191.660401099998</v>
      </c>
      <c r="E169" s="5">
        <f>[1]Capital!D43+[1]Capital!D47</f>
        <v>23447.8429578</v>
      </c>
      <c r="F169" s="5">
        <f>[1]Capital!E43+[1]Capital!E47</f>
        <v>23699.838781899998</v>
      </c>
      <c r="G169" s="5">
        <f>[1]Capital!F43+[1]Capital!F47</f>
        <v>23949.752385799999</v>
      </c>
      <c r="H169" s="5">
        <f>[1]Capital!G43+[1]Capital!G47</f>
        <v>24200.0660427</v>
      </c>
      <c r="I169" s="5">
        <f>[1]Capital!H43+[1]Capital!H47</f>
        <v>24452.219570599998</v>
      </c>
      <c r="J169" s="5">
        <f>[1]Capital!I43+[1]Capital!I47</f>
        <v>24707.5857521</v>
      </c>
      <c r="K169" s="5">
        <f>[1]Capital!J43+[1]Capital!J47</f>
        <v>24967.2968067</v>
      </c>
      <c r="L169" s="5">
        <f>[1]Capital!K43+[1]Capital!K47</f>
        <v>25232.198608999999</v>
      </c>
      <c r="M169" s="5">
        <f>[1]Capital!L43+[1]Capital!L47</f>
        <v>25504.353024400003</v>
      </c>
      <c r="N169" s="5">
        <f>[1]Capital!M43+[1]Capital!M47</f>
        <v>25783.529654000002</v>
      </c>
      <c r="O169" s="5">
        <f>[1]Capital!N43+[1]Capital!N47</f>
        <v>26069.618658300002</v>
      </c>
      <c r="P169" s="5">
        <f>[1]Capital!O43+[1]Capital!O47</f>
        <v>26362.5896268</v>
      </c>
      <c r="Q169" s="5">
        <f>[1]Capital!P43+[1]Capital!P47</f>
        <v>26662.414277100001</v>
      </c>
      <c r="R169" s="5">
        <f>[1]Capital!Q43+[1]Capital!Q47</f>
        <v>26969.043946899998</v>
      </c>
      <c r="S169" s="5">
        <f>[1]Capital!R43+[1]Capital!R47</f>
        <v>27282.410926</v>
      </c>
      <c r="T169" s="5">
        <f>[1]Capital!S43+[1]Capital!S47</f>
        <v>27602.436214699999</v>
      </c>
      <c r="U169" s="5">
        <f>[1]Capital!T43+[1]Capital!T47</f>
        <v>27929.037348400001</v>
      </c>
      <c r="V169" s="5">
        <f>[1]Capital!U43+[1]Capital!U47</f>
        <v>28262.134352199999</v>
      </c>
      <c r="W169" s="5">
        <f>[1]Capital!V43+[1]Capital!V47</f>
        <v>28600.5679614</v>
      </c>
      <c r="X169" s="5">
        <f>[1]Capital!W43+[1]Capital!W47</f>
        <v>28944.746196099997</v>
      </c>
      <c r="Y169" s="5">
        <f>[1]Capital!X43+[1]Capital!X47</f>
        <v>29294.892137299998</v>
      </c>
      <c r="Z169" s="5">
        <f>[1]Capital!Y43+[1]Capital!Y47</f>
        <v>29651.105916600001</v>
      </c>
      <c r="AA169" s="5">
        <f>[1]Capital!Z43+[1]Capital!Z47</f>
        <v>30013.443453</v>
      </c>
      <c r="AB169" s="5">
        <f>[1]Capital!AA43+[1]Capital!AA47</f>
        <v>30378.809379400001</v>
      </c>
      <c r="AC169" s="5">
        <f>[1]Capital!AB43+[1]Capital!AB47</f>
        <v>30747.1225753</v>
      </c>
      <c r="AD169" s="5">
        <f>[1]Capital!AC43+[1]Capital!AC47</f>
        <v>31118.362427400003</v>
      </c>
      <c r="AE169" s="5">
        <f>[1]Capital!AD43+[1]Capital!AD47</f>
        <v>31492.487871400001</v>
      </c>
      <c r="AF169" s="5">
        <f>[1]Capital!AE43+[1]Capital!AE47</f>
        <v>31869.484015800001</v>
      </c>
      <c r="AG169" s="5">
        <f>[1]Capital!AF43+[1]Capital!AF47</f>
        <v>32249.3803243</v>
      </c>
      <c r="AH169" s="5">
        <f>[1]Capital!AG43+[1]Capital!AG47</f>
        <v>32632.249701299999</v>
      </c>
      <c r="AI169" s="5">
        <f>[1]Capital!AH43+[1]Capital!AH47</f>
        <v>33018.200097499997</v>
      </c>
      <c r="AJ169" s="5">
        <f>[1]Capital!AI43+[1]Capital!AI47</f>
        <v>33407.364486699997</v>
      </c>
      <c r="AK169" s="5">
        <f>[1]Capital!AJ43+[1]Capital!AJ47</f>
        <v>33799.891630999999</v>
      </c>
      <c r="AL169" s="5">
        <f>[1]Capital!AK43+[1]Capital!AK47</f>
        <v>34195.938669900002</v>
      </c>
      <c r="AM169" s="5">
        <f>[1]Capital!AL43+[1]Capital!AL47</f>
        <v>34594.906606100005</v>
      </c>
      <c r="AN169" s="5">
        <f>[1]Capital!AM43+[1]Capital!AM47</f>
        <v>34996.521032699995</v>
      </c>
      <c r="AO169" s="5">
        <f>[1]Capital!AN43+[1]Capital!AN47</f>
        <v>35400.693367100001</v>
      </c>
      <c r="AP169" s="5">
        <f>[1]Capital!AO43+[1]Capital!AO47</f>
        <v>35807.426755300003</v>
      </c>
      <c r="AQ169" s="5">
        <f>[1]Capital!AP43+[1]Capital!AP47</f>
        <v>36216.777243799996</v>
      </c>
      <c r="AR169" s="5">
        <f>[1]Capital!AQ43+[1]Capital!AQ47</f>
        <v>36628.837450400002</v>
      </c>
      <c r="AS169" s="5">
        <f>[1]Capital!AR43+[1]Capital!AR47</f>
        <v>37043.7275716</v>
      </c>
      <c r="AT169" s="5">
        <f>[1]Capital!AS43+[1]Capital!AS47</f>
        <v>37461.588404100003</v>
      </c>
      <c r="AU169" s="5">
        <f>[1]Capital!AT43+[1]Capital!AT47</f>
        <v>37882.575033000001</v>
      </c>
      <c r="AV169" s="5">
        <f>[1]Capital!AU43+[1]Capital!AU47</f>
        <v>38306.849938000007</v>
      </c>
      <c r="AW169" s="5">
        <f>[1]Capital!AV43+[1]Capital!AV47</f>
        <v>38734.640022899999</v>
      </c>
      <c r="AX169" s="5">
        <f>[1]Capital!AW43+[1]Capital!AW47</f>
        <v>39166.137896400003</v>
      </c>
      <c r="AY169" s="5">
        <f>[1]Capital!AX43+[1]Capital!AX47</f>
        <v>39601.508158700002</v>
      </c>
      <c r="AZ169" s="5">
        <f>[1]Capital!AY43+[1]Capital!AY47</f>
        <v>40040.922130899999</v>
      </c>
      <c r="BA169" s="5">
        <f>[1]Capital!AZ43+[1]Capital!AZ47</f>
        <v>40484.565224400001</v>
      </c>
      <c r="BB169" s="5">
        <f>[1]Capital!BA43+[1]Capital!BA47</f>
        <v>40932.627193499997</v>
      </c>
      <c r="BC169" s="5">
        <f>[1]Capital!BB43+[1]Capital!BB47</f>
        <v>41385.292678099999</v>
      </c>
      <c r="BD169" s="5">
        <f>[1]Capital!BC43+[1]Capital!BC47</f>
        <v>41842.737135800002</v>
      </c>
      <c r="BE169" s="5">
        <f>[1]Capital!BD43+[1]Capital!BD47</f>
        <v>42305.126663899995</v>
      </c>
      <c r="BF169" s="5">
        <f>[1]Capital!BE43+[1]Capital!BE47</f>
        <v>42772.619611999995</v>
      </c>
    </row>
    <row r="170" spans="1:58" x14ac:dyDescent="0.35">
      <c r="B170" t="s">
        <v>36</v>
      </c>
      <c r="C170" s="5">
        <f>[1]Capital!B45+[1]Capital!B49</f>
        <v>1942.1812264</v>
      </c>
      <c r="D170" s="5">
        <f>[1]Capital!C45+[1]Capital!C49</f>
        <v>1964.1139651000001</v>
      </c>
      <c r="E170" s="5">
        <f>[1]Capital!D45+[1]Capital!D49</f>
        <v>1985.4144655</v>
      </c>
      <c r="F170" s="5">
        <f>[1]Capital!E45+[1]Capital!E49</f>
        <v>2006.1488116</v>
      </c>
      <c r="G170" s="5">
        <f>[1]Capital!F45+[1]Capital!F49</f>
        <v>2026.5393736999999</v>
      </c>
      <c r="H170" s="5">
        <f>[1]Capital!G45+[1]Capital!G49</f>
        <v>2046.8383769</v>
      </c>
      <c r="I170" s="5">
        <f>[1]Capital!H45+[1]Capital!H49</f>
        <v>2067.2054673000002</v>
      </c>
      <c r="J170" s="5">
        <f>[1]Capital!I45+[1]Capital!I49</f>
        <v>2087.7823180999999</v>
      </c>
      <c r="K170" s="5">
        <f>[1]Capital!J45+[1]Capital!J49</f>
        <v>2108.6816564000001</v>
      </c>
      <c r="L170" s="5">
        <f>[1]Capital!K45+[1]Capital!K49</f>
        <v>2129.9871151000002</v>
      </c>
      <c r="M170" s="5">
        <f>[1]Capital!L45+[1]Capital!L49</f>
        <v>2151.8715192999998</v>
      </c>
      <c r="N170" s="5">
        <f>[1]Capital!M45+[1]Capital!M49</f>
        <v>2174.3284478</v>
      </c>
      <c r="O170" s="5">
        <f>[1]Capital!N45+[1]Capital!N49</f>
        <v>2197.3590384999998</v>
      </c>
      <c r="P170" s="5">
        <f>[1]Capital!O45+[1]Capital!O49</f>
        <v>2220.9674767000001</v>
      </c>
      <c r="Q170" s="5">
        <f>[1]Capital!P45+[1]Capital!P49</f>
        <v>2245.1557141000003</v>
      </c>
      <c r="R170" s="5">
        <f>[1]Capital!Q45+[1]Capital!Q49</f>
        <v>2269.9223425999999</v>
      </c>
      <c r="S170" s="5">
        <f>[1]Capital!R45+[1]Capital!R49</f>
        <v>2295.2630923000002</v>
      </c>
      <c r="T170" s="5">
        <f>[1]Capital!S45+[1]Capital!S49</f>
        <v>2321.1717141999998</v>
      </c>
      <c r="U170" s="5">
        <f>[1]Capital!T45+[1]Capital!T49</f>
        <v>2347.6407650000001</v>
      </c>
      <c r="V170" s="5">
        <f>[1]Capital!U45+[1]Capital!U49</f>
        <v>2374.6622262000001</v>
      </c>
      <c r="W170" s="5">
        <f>[1]Capital!V45+[1]Capital!V49</f>
        <v>2402.1441451999999</v>
      </c>
      <c r="X170" s="5">
        <f>[1]Capital!W45+[1]Capital!W49</f>
        <v>2430.1142868000002</v>
      </c>
      <c r="Y170" s="5">
        <f>[1]Capital!X45+[1]Capital!X49</f>
        <v>2458.5851972</v>
      </c>
      <c r="Z170" s="5">
        <f>[1]Capital!Y45+[1]Capital!Y49</f>
        <v>2487.5603999</v>
      </c>
      <c r="AA170" s="5">
        <f>[1]Capital!Z45+[1]Capital!Z49</f>
        <v>2517.0402996999997</v>
      </c>
      <c r="AB170" s="5">
        <f>[1]Capital!AA45+[1]Capital!AA49</f>
        <v>2546.7821980000003</v>
      </c>
      <c r="AC170" s="5">
        <f>[1]Capital!AB45+[1]Capital!AB49</f>
        <v>2576.7741544999999</v>
      </c>
      <c r="AD170" s="5">
        <f>[1]Capital!AC45+[1]Capital!AC49</f>
        <v>2607.0064649999999</v>
      </c>
      <c r="AE170" s="5">
        <f>[1]Capital!AD45+[1]Capital!AD49</f>
        <v>2637.4685060000002</v>
      </c>
      <c r="AF170" s="5">
        <f>[1]Capital!AE45+[1]Capital!AE49</f>
        <v>2668.1526835000004</v>
      </c>
      <c r="AG170" s="5">
        <f>[1]Capital!AF45+[1]Capital!AF49</f>
        <v>2699.0557811999997</v>
      </c>
      <c r="AH170" s="5">
        <f>[1]Capital!AG45+[1]Capital!AG49</f>
        <v>2730.1787904000003</v>
      </c>
      <c r="AI170" s="5">
        <f>[1]Capital!AH45+[1]Capital!AH49</f>
        <v>2761.5261482000001</v>
      </c>
      <c r="AJ170" s="5">
        <f>[1]Capital!AI45+[1]Capital!AI49</f>
        <v>2793.1048804000002</v>
      </c>
      <c r="AK170" s="5">
        <f>[1]Capital!AJ45+[1]Capital!AJ49</f>
        <v>2824.9238132</v>
      </c>
      <c r="AL170" s="5">
        <f>[1]Capital!AK45+[1]Capital!AK49</f>
        <v>2856.9929479000002</v>
      </c>
      <c r="AM170" s="5">
        <f>[1]Capital!AL45+[1]Capital!AL49</f>
        <v>2889.2644347</v>
      </c>
      <c r="AN170" s="5">
        <f>[1]Capital!AM45+[1]Capital!AM49</f>
        <v>2921.7155477000001</v>
      </c>
      <c r="AO170" s="5">
        <f>[1]Capital!AN45+[1]Capital!AN49</f>
        <v>2954.3375194</v>
      </c>
      <c r="AP170" s="5">
        <f>[1]Capital!AO45+[1]Capital!AO49</f>
        <v>2987.1287409000001</v>
      </c>
      <c r="AQ170" s="5">
        <f>[1]Capital!AP45+[1]Capital!AP49</f>
        <v>3020.0920704</v>
      </c>
      <c r="AR170" s="5">
        <f>[1]Capital!AQ45+[1]Capital!AQ49</f>
        <v>3053.2336885</v>
      </c>
      <c r="AS170" s="5">
        <f>[1]Capital!AR45+[1]Capital!AR49</f>
        <v>3086.562418</v>
      </c>
      <c r="AT170" s="5">
        <f>[1]Capital!AS45+[1]Capital!AS49</f>
        <v>3120.0891643999998</v>
      </c>
      <c r="AU170" s="5">
        <f>[1]Capital!AT45+[1]Capital!AT49</f>
        <v>3153.8263915999996</v>
      </c>
      <c r="AV170" s="5">
        <f>[1]Capital!AU45+[1]Capital!AU49</f>
        <v>3187.7876292000001</v>
      </c>
      <c r="AW170" s="5">
        <f>[1]Capital!AV45+[1]Capital!AV49</f>
        <v>3221.9922226000003</v>
      </c>
      <c r="AX170" s="5">
        <f>[1]Capital!AW45+[1]Capital!AW49</f>
        <v>3256.4569197999999</v>
      </c>
      <c r="AY170" s="5">
        <f>[1]Capital!AX45+[1]Capital!AX49</f>
        <v>3291.1963144000001</v>
      </c>
      <c r="AZ170" s="5">
        <f>[1]Capital!AY45+[1]Capital!AY49</f>
        <v>3326.2252779999999</v>
      </c>
      <c r="BA170" s="5">
        <f>[1]Capital!AZ45+[1]Capital!AZ49</f>
        <v>3361.5595196999998</v>
      </c>
      <c r="BB170" s="5">
        <f>[1]Capital!BA45+[1]Capital!BA49</f>
        <v>3397.2149774999998</v>
      </c>
      <c r="BC170" s="5">
        <f>[1]Capital!BB45+[1]Capital!BB49</f>
        <v>3433.2072177999999</v>
      </c>
      <c r="BD170" s="5">
        <f>[1]Capital!BC45+[1]Capital!BC49</f>
        <v>3469.5511550000001</v>
      </c>
      <c r="BE170" s="5">
        <f>[1]Capital!BD45+[1]Capital!BD49</f>
        <v>3506.2610169999998</v>
      </c>
      <c r="BF170" s="5">
        <f>[1]Capital!BE45+[1]Capital!BE49</f>
        <v>3543.3504177</v>
      </c>
    </row>
    <row r="171" spans="1:58" x14ac:dyDescent="0.35">
      <c r="B171" t="s">
        <v>33</v>
      </c>
      <c r="C171" s="5">
        <f>[1]Capital!B51+[1]Capital!B53+[1]Capital!B55+[1]Capital!B57+[1]Capital!B59+[1]Capital!B61+[1]Capital!B63+[1]Capital!B65+[1]Capital!B67</f>
        <v>40302.096713759995</v>
      </c>
      <c r="D171" s="5">
        <f>[1]Capital!C51+[1]Capital!C53+[1]Capital!C55+[1]Capital!C57+[1]Capital!C59+[1]Capital!C61+[1]Capital!C63+[1]Capital!C65+[1]Capital!C67</f>
        <v>40759.510624930001</v>
      </c>
      <c r="E171" s="5">
        <f>[1]Capital!D51+[1]Capital!D53+[1]Capital!D55+[1]Capital!D57+[1]Capital!D59+[1]Capital!D61+[1]Capital!D63+[1]Capital!D65+[1]Capital!D67</f>
        <v>41206.675207150001</v>
      </c>
      <c r="F171" s="5">
        <f>[1]Capital!E51+[1]Capital!E53+[1]Capital!E55+[1]Capital!E57+[1]Capital!E59+[1]Capital!E61+[1]Capital!E63+[1]Capital!E65+[1]Capital!E67</f>
        <v>41642.179729410003</v>
      </c>
      <c r="G171" s="5">
        <f>[1]Capital!F51+[1]Capital!F53+[1]Capital!F55+[1]Capital!F57+[1]Capital!F59+[1]Capital!F61+[1]Capital!F63+[1]Capital!F65+[1]Capital!F67</f>
        <v>42067.161052259988</v>
      </c>
      <c r="H171" s="5">
        <f>[1]Capital!G51+[1]Capital!G53+[1]Capital!G55+[1]Capital!G57+[1]Capital!G59+[1]Capital!G61+[1]Capital!G63+[1]Capital!G65+[1]Capital!G67</f>
        <v>42483.991800780008</v>
      </c>
      <c r="I171" s="5">
        <f>[1]Capital!H51+[1]Capital!H53+[1]Capital!H55+[1]Capital!H57+[1]Capital!H59+[1]Capital!H61+[1]Capital!H63+[1]Capital!H65+[1]Capital!H67</f>
        <v>42894.074922760003</v>
      </c>
      <c r="J171" s="5">
        <f>[1]Capital!I51+[1]Capital!I53+[1]Capital!I55+[1]Capital!I57+[1]Capital!I59+[1]Capital!I61+[1]Capital!I63+[1]Capital!I65+[1]Capital!I67</f>
        <v>43299.039731090008</v>
      </c>
      <c r="K171" s="5">
        <f>[1]Capital!J51+[1]Capital!J53+[1]Capital!J55+[1]Capital!J57+[1]Capital!J59+[1]Capital!J61+[1]Capital!J63+[1]Capital!J65+[1]Capital!J67</f>
        <v>43700.432819349997</v>
      </c>
      <c r="L171" s="5">
        <f>[1]Capital!K51+[1]Capital!K53+[1]Capital!K55+[1]Capital!K57+[1]Capital!K59+[1]Capital!K61+[1]Capital!K63+[1]Capital!K65+[1]Capital!K67</f>
        <v>44099.500919320002</v>
      </c>
      <c r="M171" s="5">
        <f>[1]Capital!L51+[1]Capital!L53+[1]Capital!L55+[1]Capital!L57+[1]Capital!L59+[1]Capital!L61+[1]Capital!L63+[1]Capital!L65+[1]Capital!L67</f>
        <v>44499.523462659999</v>
      </c>
      <c r="N171" s="5">
        <f>[1]Capital!M51+[1]Capital!M53+[1]Capital!M55+[1]Capital!M57+[1]Capital!M59+[1]Capital!M61+[1]Capital!M63+[1]Capital!M65+[1]Capital!M67</f>
        <v>44900.426107679988</v>
      </c>
      <c r="O171" s="5">
        <f>[1]Capital!N51+[1]Capital!N53+[1]Capital!N55+[1]Capital!N57+[1]Capital!N59+[1]Capital!N61+[1]Capital!N63+[1]Capital!N65+[1]Capital!N67</f>
        <v>45301.977501419999</v>
      </c>
      <c r="P171" s="5">
        <f>[1]Capital!O51+[1]Capital!O53+[1]Capital!O55+[1]Capital!O57+[1]Capital!O59+[1]Capital!O61+[1]Capital!O63+[1]Capital!O65+[1]Capital!O67</f>
        <v>45704.096984350006</v>
      </c>
      <c r="Q171" s="5">
        <f>[1]Capital!P51+[1]Capital!P53+[1]Capital!P55+[1]Capital!P57+[1]Capital!P59+[1]Capital!P61+[1]Capital!P63+[1]Capital!P65+[1]Capital!P67</f>
        <v>46106.803855589991</v>
      </c>
      <c r="R171" s="5">
        <f>[1]Capital!Q51+[1]Capital!Q53+[1]Capital!Q55+[1]Capital!Q57+[1]Capital!Q59+[1]Capital!Q61+[1]Capital!Q63+[1]Capital!Q65+[1]Capital!Q67</f>
        <v>46510.175328979996</v>
      </c>
      <c r="S171" s="5">
        <f>[1]Capital!R51+[1]Capital!R53+[1]Capital!R55+[1]Capital!R57+[1]Capital!R59+[1]Capital!R61+[1]Capital!R63+[1]Capital!R65+[1]Capital!R67</f>
        <v>46914.33389781</v>
      </c>
      <c r="T171" s="5">
        <f>[1]Capital!S51+[1]Capital!S53+[1]Capital!S55+[1]Capital!S57+[1]Capital!S59+[1]Capital!S61+[1]Capital!S63+[1]Capital!S65+[1]Capital!S67</f>
        <v>47319.448772439995</v>
      </c>
      <c r="U171" s="5">
        <f>[1]Capital!T51+[1]Capital!T53+[1]Capital!T55+[1]Capital!T57+[1]Capital!T59+[1]Capital!T61+[1]Capital!T63+[1]Capital!T65+[1]Capital!T67</f>
        <v>47725.740950309999</v>
      </c>
      <c r="V171" s="5">
        <f>[1]Capital!U51+[1]Capital!U53+[1]Capital!U55+[1]Capital!U57+[1]Capital!U59+[1]Capital!U61+[1]Capital!U63+[1]Capital!U65+[1]Capital!U67</f>
        <v>48133.487042680004</v>
      </c>
      <c r="W171" s="5">
        <f>[1]Capital!V51+[1]Capital!V53+[1]Capital!V55+[1]Capital!V57+[1]Capital!V59+[1]Capital!V61+[1]Capital!V63+[1]Capital!V65+[1]Capital!V67</f>
        <v>48541.332877589994</v>
      </c>
      <c r="X171" s="5">
        <f>[1]Capital!W51+[1]Capital!W53+[1]Capital!W55+[1]Capital!W57+[1]Capital!W59+[1]Capital!W61+[1]Capital!W63+[1]Capital!W65+[1]Capital!W67</f>
        <v>48950.201317799998</v>
      </c>
      <c r="Y171" s="5">
        <f>[1]Capital!X51+[1]Capital!X53+[1]Capital!X55+[1]Capital!X57+[1]Capital!X59+[1]Capital!X61+[1]Capital!X63+[1]Capital!X65+[1]Capital!X67</f>
        <v>49361.042748710002</v>
      </c>
      <c r="Z171" s="5">
        <f>[1]Capital!Y51+[1]Capital!Y53+[1]Capital!Y55+[1]Capital!Y57+[1]Capital!Y59+[1]Capital!Y61+[1]Capital!Y63+[1]Capital!Y65+[1]Capital!Y67</f>
        <v>49774.661723680001</v>
      </c>
      <c r="AA171" s="5">
        <f>[1]Capital!Z51+[1]Capital!Z53+[1]Capital!Z55+[1]Capital!Z57+[1]Capital!Z59+[1]Capital!Z61+[1]Capital!Z63+[1]Capital!Z65+[1]Capital!Z67</f>
        <v>50191.781726000001</v>
      </c>
      <c r="AB171" s="5">
        <f>[1]Capital!AA51+[1]Capital!AA53+[1]Capital!AA55+[1]Capital!AA57+[1]Capital!AA59+[1]Capital!AA61+[1]Capital!AA63+[1]Capital!AA65+[1]Capital!AA67</f>
        <v>50608.300293050001</v>
      </c>
      <c r="AC171" s="5">
        <f>[1]Capital!AB51+[1]Capital!AB53+[1]Capital!AB55+[1]Capital!AB57+[1]Capital!AB59+[1]Capital!AB61+[1]Capital!AB63+[1]Capital!AB65+[1]Capital!AB67</f>
        <v>51024.137101420012</v>
      </c>
      <c r="AD171" s="5">
        <f>[1]Capital!AC51+[1]Capital!AC53+[1]Capital!AC55+[1]Capital!AC57+[1]Capital!AC59+[1]Capital!AC61+[1]Capital!AC63+[1]Capital!AC65+[1]Capital!AC67</f>
        <v>51439.820973659997</v>
      </c>
      <c r="AE171" s="5">
        <f>[1]Capital!AD51+[1]Capital!AD53+[1]Capital!AD55+[1]Capital!AD57+[1]Capital!AD59+[1]Capital!AD61+[1]Capital!AD63+[1]Capital!AD65+[1]Capital!AD67</f>
        <v>51855.992644800004</v>
      </c>
      <c r="AF171" s="5">
        <f>[1]Capital!AE51+[1]Capital!AE53+[1]Capital!AE55+[1]Capital!AE57+[1]Capital!AE59+[1]Capital!AE61+[1]Capital!AE63+[1]Capital!AE65+[1]Capital!AE67</f>
        <v>52273.355991860008</v>
      </c>
      <c r="AG171" s="5">
        <f>[1]Capital!AF51+[1]Capital!AF53+[1]Capital!AF55+[1]Capital!AF57+[1]Capital!AF59+[1]Capital!AF61+[1]Capital!AF63+[1]Capital!AF65+[1]Capital!AF67</f>
        <v>52692.671265959994</v>
      </c>
      <c r="AH171" s="5">
        <f>[1]Capital!AG51+[1]Capital!AG53+[1]Capital!AG55+[1]Capital!AG57+[1]Capital!AG59+[1]Capital!AG61+[1]Capital!AG63+[1]Capital!AG65+[1]Capital!AG67</f>
        <v>53114.739914950005</v>
      </c>
      <c r="AI171" s="5">
        <f>[1]Capital!AH51+[1]Capital!AH53+[1]Capital!AH55+[1]Capital!AH57+[1]Capital!AH59+[1]Capital!AH61+[1]Capital!AH63+[1]Capital!AH65+[1]Capital!AH67</f>
        <v>53540.383143989995</v>
      </c>
      <c r="AJ171" s="5">
        <f>[1]Capital!AI51+[1]Capital!AI53+[1]Capital!AI55+[1]Capital!AI57+[1]Capital!AI59+[1]Capital!AI61+[1]Capital!AI63+[1]Capital!AI65+[1]Capital!AI67</f>
        <v>53970.42008566</v>
      </c>
      <c r="AK171" s="5">
        <f>[1]Capital!AJ51+[1]Capital!AJ53+[1]Capital!AJ55+[1]Capital!AJ57+[1]Capital!AJ59+[1]Capital!AJ61+[1]Capital!AJ63+[1]Capital!AJ65+[1]Capital!AJ67</f>
        <v>54405.64886927</v>
      </c>
      <c r="AL171" s="5">
        <f>[1]Capital!AK51+[1]Capital!AK53+[1]Capital!AK55+[1]Capital!AK57+[1]Capital!AK59+[1]Capital!AK61+[1]Capital!AK63+[1]Capital!AK65+[1]Capital!AK67</f>
        <v>54846.832040169997</v>
      </c>
      <c r="AM171" s="5">
        <f>[1]Capital!AL51+[1]Capital!AL53+[1]Capital!AL55+[1]Capital!AL57+[1]Capital!AL59+[1]Capital!AL61+[1]Capital!AL63+[1]Capital!AL65+[1]Capital!AL67</f>
        <v>55293.564207729993</v>
      </c>
      <c r="AN171" s="5">
        <f>[1]Capital!AM51+[1]Capital!AM53+[1]Capital!AM55+[1]Capital!AM57+[1]Capital!AM59+[1]Capital!AM61+[1]Capital!AM63+[1]Capital!AM65+[1]Capital!AM67</f>
        <v>55745.733375209988</v>
      </c>
      <c r="AO171" s="5">
        <f>[1]Capital!AN51+[1]Capital!AN53+[1]Capital!AN55+[1]Capital!AN57+[1]Capital!AN59+[1]Capital!AN61+[1]Capital!AN63+[1]Capital!AN65+[1]Capital!AN67</f>
        <v>56203.501522560007</v>
      </c>
      <c r="AP171" s="5">
        <f>[1]Capital!AO51+[1]Capital!AO53+[1]Capital!AO55+[1]Capital!AO57+[1]Capital!AO59+[1]Capital!AO61+[1]Capital!AO63+[1]Capital!AO65+[1]Capital!AO67</f>
        <v>56667.18207149001</v>
      </c>
      <c r="AQ171" s="5">
        <f>[1]Capital!AP51+[1]Capital!AP53+[1]Capital!AP55+[1]Capital!AP57+[1]Capital!AP59+[1]Capital!AP61+[1]Capital!AP63+[1]Capital!AP65+[1]Capital!AP67</f>
        <v>57137.166901019998</v>
      </c>
      <c r="AR171" s="5">
        <f>[1]Capital!AQ51+[1]Capital!AQ53+[1]Capital!AQ55+[1]Capital!AQ57+[1]Capital!AQ59+[1]Capital!AQ61+[1]Capital!AQ63+[1]Capital!AQ65+[1]Capital!AQ67</f>
        <v>57613.888544829999</v>
      </c>
      <c r="AS171" s="5">
        <f>[1]Capital!AR51+[1]Capital!AR53+[1]Capital!AR55+[1]Capital!AR57+[1]Capital!AR59+[1]Capital!AR61+[1]Capital!AR63+[1]Capital!AR65+[1]Capital!AR67</f>
        <v>58097.799040270002</v>
      </c>
      <c r="AT171" s="5">
        <f>[1]Capital!AS51+[1]Capital!AS53+[1]Capital!AS55+[1]Capital!AS57+[1]Capital!AS59+[1]Capital!AS61+[1]Capital!AS63+[1]Capital!AS65+[1]Capital!AS67</f>
        <v>58589.356569080002</v>
      </c>
      <c r="AU171" s="5">
        <f>[1]Capital!AT51+[1]Capital!AT53+[1]Capital!AT55+[1]Capital!AT57+[1]Capital!AT59+[1]Capital!AT61+[1]Capital!AT63+[1]Capital!AT65+[1]Capital!AT67</f>
        <v>59089.014833699999</v>
      </c>
      <c r="AV171" s="5">
        <f>[1]Capital!AU51+[1]Capital!AU53+[1]Capital!AU55+[1]Capital!AU57+[1]Capital!AU59+[1]Capital!AU61+[1]Capital!AU63+[1]Capital!AU65+[1]Capital!AU67</f>
        <v>59597.211041539995</v>
      </c>
      <c r="AW171" s="5">
        <f>[1]Capital!AV51+[1]Capital!AV53+[1]Capital!AV55+[1]Capital!AV57+[1]Capital!AV59+[1]Capital!AV61+[1]Capital!AV63+[1]Capital!AV65+[1]Capital!AV67</f>
        <v>60114.435547359994</v>
      </c>
      <c r="AX171" s="5">
        <f>[1]Capital!AW51+[1]Capital!AW53+[1]Capital!AW55+[1]Capital!AW57+[1]Capital!AW59+[1]Capital!AW61+[1]Capital!AW63+[1]Capital!AW65+[1]Capital!AW67</f>
        <v>60640.984255979994</v>
      </c>
      <c r="AY171" s="5">
        <f>[1]Capital!AX51+[1]Capital!AX53+[1]Capital!AX55+[1]Capital!AX57+[1]Capital!AX59+[1]Capital!AX61+[1]Capital!AX63+[1]Capital!AX65+[1]Capital!AX67</f>
        <v>61177.005334619993</v>
      </c>
      <c r="AZ171" s="5">
        <f>[1]Capital!AY51+[1]Capital!AY53+[1]Capital!AY55+[1]Capital!AY57+[1]Capital!AY59+[1]Capital!AY61+[1]Capital!AY63+[1]Capital!AY65+[1]Capital!AY67</f>
        <v>61722.676056100005</v>
      </c>
      <c r="BA171" s="5">
        <f>[1]Capital!AZ51+[1]Capital!AZ53+[1]Capital!AZ55+[1]Capital!AZ57+[1]Capital!AZ59+[1]Capital!AZ61+[1]Capital!AZ63+[1]Capital!AZ65+[1]Capital!AZ67</f>
        <v>62278.2587594</v>
      </c>
      <c r="BB171" s="5">
        <f>[1]Capital!BA51+[1]Capital!BA53+[1]Capital!BA55+[1]Capital!BA57+[1]Capital!BA59+[1]Capital!BA61+[1]Capital!BA63+[1]Capital!BA65+[1]Capital!BA67</f>
        <v>62844.061261499999</v>
      </c>
      <c r="BC171" s="5">
        <f>[1]Capital!BB51+[1]Capital!BB53+[1]Capital!BB55+[1]Capital!BB57+[1]Capital!BB59+[1]Capital!BB61+[1]Capital!BB63+[1]Capital!BB65+[1]Capital!BB67</f>
        <v>63420.387625499992</v>
      </c>
      <c r="BD171" s="5">
        <f>[1]Capital!BC51+[1]Capital!BC53+[1]Capital!BC55+[1]Capital!BC57+[1]Capital!BC59+[1]Capital!BC61+[1]Capital!BC63+[1]Capital!BC65+[1]Capital!BC67</f>
        <v>64007.511600099999</v>
      </c>
      <c r="BE171" s="5">
        <f>[1]Capital!BD51+[1]Capital!BD53+[1]Capital!BD55+[1]Capital!BD57+[1]Capital!BD59+[1]Capital!BD61+[1]Capital!BD63+[1]Capital!BD65+[1]Capital!BD67</f>
        <v>64605.671464799998</v>
      </c>
      <c r="BF171" s="5">
        <f>[1]Capital!BE51+[1]Capital!BE53+[1]Capital!BE55+[1]Capital!BE57+[1]Capital!BE59+[1]Capital!BE61+[1]Capital!BE63+[1]Capital!BE65+[1]Capital!BE67</f>
        <v>65215.076052999997</v>
      </c>
    </row>
    <row r="172" spans="1:58" x14ac:dyDescent="0.35"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</row>
    <row r="173" spans="1:58" x14ac:dyDescent="0.35">
      <c r="A173" s="12" t="s">
        <v>41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</row>
    <row r="174" spans="1:58" x14ac:dyDescent="0.35">
      <c r="A174" t="s">
        <v>39</v>
      </c>
      <c r="B174" t="s">
        <v>40</v>
      </c>
      <c r="C174" s="5">
        <f>[1]Capital!B2</f>
        <v>5218726.67</v>
      </c>
      <c r="D174" s="5">
        <f>[1]Capital!C2</f>
        <v>5271382.8480000002</v>
      </c>
      <c r="E174" s="5">
        <f>[1]Capital!D2</f>
        <v>5323940.7</v>
      </c>
      <c r="F174" s="5">
        <f>[1]Capital!E2</f>
        <v>5377348.7539999997</v>
      </c>
      <c r="G174" s="5">
        <f>[1]Capital!F2</f>
        <v>5432158.7419999996</v>
      </c>
      <c r="H174" s="5">
        <f>[1]Capital!G2</f>
        <v>5488718.1349999998</v>
      </c>
      <c r="I174" s="5">
        <f>[1]Capital!H2</f>
        <v>5547071.6289999997</v>
      </c>
      <c r="J174" s="5">
        <f>[1]Capital!I2</f>
        <v>5607271.2189999996</v>
      </c>
      <c r="K174" s="5">
        <f>[1]Capital!J2</f>
        <v>5669379.4500000002</v>
      </c>
      <c r="L174" s="5">
        <f>[1]Capital!K2</f>
        <v>5733460.8310000002</v>
      </c>
      <c r="M174" s="5">
        <f>[1]Capital!L2</f>
        <v>5799909.7390000001</v>
      </c>
      <c r="N174" s="5">
        <f>[1]Capital!M2</f>
        <v>5868648.6529999999</v>
      </c>
      <c r="O174" s="5">
        <f>[1]Capital!N2</f>
        <v>5939634.3940000003</v>
      </c>
      <c r="P174" s="5">
        <f>[1]Capital!O2</f>
        <v>6012851.3250000002</v>
      </c>
      <c r="Q174" s="5">
        <f>[1]Capital!P2</f>
        <v>6088297.3710000003</v>
      </c>
      <c r="R174" s="5">
        <f>[1]Capital!Q2</f>
        <v>6165978.102</v>
      </c>
      <c r="S174" s="5">
        <f>[1]Capital!R2</f>
        <v>6245880.1469999999</v>
      </c>
      <c r="T174" s="5">
        <f>[1]Capital!S2</f>
        <v>6328006.8159999996</v>
      </c>
      <c r="U174" s="5">
        <f>[1]Capital!T2</f>
        <v>6412372.3720000004</v>
      </c>
      <c r="V174" s="5">
        <f>[1]Capital!U2</f>
        <v>6498997.8509999998</v>
      </c>
      <c r="W174" s="5">
        <f>[1]Capital!V2</f>
        <v>6587662.2290000003</v>
      </c>
      <c r="X174" s="5">
        <f>[1]Capital!W2</f>
        <v>6678470.4730000002</v>
      </c>
      <c r="Y174" s="5">
        <f>[1]Capital!X2</f>
        <v>6771506.5530000003</v>
      </c>
      <c r="Z174" s="5">
        <f>[1]Capital!Y2</f>
        <v>6866834.0350000001</v>
      </c>
      <c r="AA174" s="5">
        <f>[1]Capital!Z2</f>
        <v>6964503.9869999997</v>
      </c>
      <c r="AB174" s="5">
        <f>[1]Capital!AA2</f>
        <v>7063848.1919999998</v>
      </c>
      <c r="AC174" s="5">
        <f>[1]Capital!AB2</f>
        <v>7164796.1869999999</v>
      </c>
      <c r="AD174" s="5">
        <f>[1]Capital!AC2</f>
        <v>7267306.2949999999</v>
      </c>
      <c r="AE174" s="5">
        <f>[1]Capital!AD2</f>
        <v>7371345.7110000001</v>
      </c>
      <c r="AF174" s="5">
        <f>[1]Capital!AE2</f>
        <v>7476891.9740000004</v>
      </c>
      <c r="AG174" s="5">
        <f>[1]Capital!AF2</f>
        <v>7583932.2819999997</v>
      </c>
      <c r="AH174" s="5">
        <f>[1]Capital!AG2</f>
        <v>7692466.6720000003</v>
      </c>
      <c r="AI174" s="5">
        <f>[1]Capital!AH2</f>
        <v>7802496.5990000004</v>
      </c>
      <c r="AJ174" s="5">
        <f>[1]Capital!AI2</f>
        <v>7914023.0010000002</v>
      </c>
      <c r="AK174" s="5">
        <f>[1]Capital!AJ2</f>
        <v>8027044.8020000001</v>
      </c>
      <c r="AL174" s="5">
        <f>[1]Capital!AK2</f>
        <v>8141557.9550000001</v>
      </c>
      <c r="AM174" s="5">
        <f>[1]Capital!AL2</f>
        <v>8257434.5319999997</v>
      </c>
      <c r="AN174" s="5">
        <f>[1]Capital!AM2</f>
        <v>8374572.5060000001</v>
      </c>
      <c r="AO174" s="5">
        <f>[1]Capital!AN2</f>
        <v>8492890.9289999995</v>
      </c>
      <c r="AP174" s="5">
        <f>[1]Capital!AO2</f>
        <v>8612323.7200000007</v>
      </c>
      <c r="AQ174" s="5">
        <f>[1]Capital!AP2</f>
        <v>8732816.8479999993</v>
      </c>
      <c r="AR174" s="5">
        <f>[1]Capital!AQ2</f>
        <v>8854335.2850000001</v>
      </c>
      <c r="AS174" s="5">
        <f>[1]Capital!AR2</f>
        <v>8976850.0040000007</v>
      </c>
      <c r="AT174" s="5">
        <f>[1]Capital!AS2</f>
        <v>9100337.7290000003</v>
      </c>
      <c r="AU174" s="5">
        <f>[1]Capital!AT2</f>
        <v>9224780.3530000001</v>
      </c>
      <c r="AV174" s="5">
        <f>[1]Capital!AU2</f>
        <v>9350164.1439999994</v>
      </c>
      <c r="AW174" s="5">
        <f>[1]Capital!AV2</f>
        <v>9476523.1840000004</v>
      </c>
      <c r="AX174" s="5">
        <f>[1]Capital!AW2</f>
        <v>9603878.4749999996</v>
      </c>
      <c r="AY174" s="5">
        <f>[1]Capital!AX2</f>
        <v>9732242.4370000008</v>
      </c>
      <c r="AZ174" s="5">
        <f>[1]Capital!AY2</f>
        <v>9861622.9550000001</v>
      </c>
      <c r="BA174" s="5">
        <f>[1]Capital!AZ2</f>
        <v>9992026.0940000005</v>
      </c>
      <c r="BB174" s="5">
        <f>[1]Capital!BA2</f>
        <v>10123476.210000001</v>
      </c>
      <c r="BC174" s="5">
        <f>[1]Capital!BB2</f>
        <v>10255992.050000001</v>
      </c>
      <c r="BD174" s="5">
        <f>[1]Capital!BC2</f>
        <v>10389589.779999999</v>
      </c>
      <c r="BE174" s="5">
        <f>[1]Capital!BD2</f>
        <v>10524285.35</v>
      </c>
      <c r="BF174" s="5">
        <f>[1]Capital!BE2</f>
        <v>10660096.050000001</v>
      </c>
    </row>
    <row r="175" spans="1:58" x14ac:dyDescent="0.35">
      <c r="B175" t="s">
        <v>7</v>
      </c>
      <c r="C175" s="5">
        <f>[1]Capital!B4+[1]Capital!B6</f>
        <v>48995.334247999999</v>
      </c>
      <c r="D175" s="5">
        <f>[1]Capital!C4+[1]Capital!C6</f>
        <v>49454.884020000005</v>
      </c>
      <c r="E175" s="5">
        <f>[1]Capital!D4+[1]Capital!D6</f>
        <v>49892.871954000002</v>
      </c>
      <c r="F175" s="5">
        <f>[1]Capital!E4+[1]Capital!E6</f>
        <v>50321.803479000002</v>
      </c>
      <c r="G175" s="5">
        <f>[1]Capital!F4+[1]Capital!F6</f>
        <v>50751.504469</v>
      </c>
      <c r="H175" s="5">
        <f>[1]Capital!G4+[1]Capital!G6</f>
        <v>51189.711446999994</v>
      </c>
      <c r="I175" s="5">
        <f>[1]Capital!H4+[1]Capital!H6</f>
        <v>51640.588803999999</v>
      </c>
      <c r="J175" s="5">
        <f>[1]Capital!I4+[1]Capital!I6</f>
        <v>52107.455375999998</v>
      </c>
      <c r="K175" s="5">
        <f>[1]Capital!J4+[1]Capital!J6</f>
        <v>52592.941050000001</v>
      </c>
      <c r="L175" s="5">
        <f>[1]Capital!K4+[1]Capital!K6</f>
        <v>53099.030359000004</v>
      </c>
      <c r="M175" s="5">
        <f>[1]Capital!L4+[1]Capital!L6</f>
        <v>53630.251264000006</v>
      </c>
      <c r="N175" s="5">
        <f>[1]Capital!M4+[1]Capital!M6</f>
        <v>54186.364292000006</v>
      </c>
      <c r="O175" s="5">
        <f>[1]Capital!N4+[1]Capital!N6</f>
        <v>54767.010520000003</v>
      </c>
      <c r="P175" s="5">
        <f>[1]Capital!O4+[1]Capital!O6</f>
        <v>55371.814817999999</v>
      </c>
      <c r="Q175" s="5">
        <f>[1]Capital!P4+[1]Capital!P6</f>
        <v>56000.347468</v>
      </c>
      <c r="R175" s="5">
        <f>[1]Capital!Q4+[1]Capital!Q6</f>
        <v>56652.137016000001</v>
      </c>
      <c r="S175" s="5">
        <f>[1]Capital!R4+[1]Capital!R6</f>
        <v>57326.412910999999</v>
      </c>
      <c r="T175" s="5">
        <f>[1]Capital!S4+[1]Capital!S6</f>
        <v>58022.571434999998</v>
      </c>
      <c r="U175" s="5">
        <f>[1]Capital!T4+[1]Capital!T6</f>
        <v>58740.118471000002</v>
      </c>
      <c r="V175" s="5">
        <f>[1]Capital!U4+[1]Capital!U6</f>
        <v>59478.635036</v>
      </c>
      <c r="W175" s="5">
        <f>[1]Capital!V4+[1]Capital!V6</f>
        <v>60235.469356000001</v>
      </c>
      <c r="X175" s="5">
        <f>[1]Capital!W4+[1]Capital!W6</f>
        <v>61010.935838000005</v>
      </c>
      <c r="Y175" s="5">
        <f>[1]Capital!X4+[1]Capital!X6</f>
        <v>61805.311220000003</v>
      </c>
      <c r="Z175" s="5">
        <f>[1]Capital!Y4+[1]Capital!Y6</f>
        <v>62618.757810000003</v>
      </c>
      <c r="AA175" s="5">
        <f>[1]Capital!Z4+[1]Capital!Z6</f>
        <v>63451.370323000003</v>
      </c>
      <c r="AB175" s="5">
        <f>[1]Capital!AA4+[1]Capital!AA6</f>
        <v>64296.605460000006</v>
      </c>
      <c r="AC175" s="5">
        <f>[1]Capital!AB4+[1]Capital!AB6</f>
        <v>65153.249906000005</v>
      </c>
      <c r="AD175" s="5">
        <f>[1]Capital!AC4+[1]Capital!AC6</f>
        <v>66020.607602999997</v>
      </c>
      <c r="AE175" s="5">
        <f>[1]Capital!AD4+[1]Capital!AD6</f>
        <v>66898.245878000002</v>
      </c>
      <c r="AF175" s="5">
        <f>[1]Capital!AE4+[1]Capital!AE6</f>
        <v>67785.980492000002</v>
      </c>
      <c r="AG175" s="5">
        <f>[1]Capital!AF4+[1]Capital!AF6</f>
        <v>68683.839154000001</v>
      </c>
      <c r="AH175" s="5">
        <f>[1]Capital!AG4+[1]Capital!AG6</f>
        <v>69592.073235000003</v>
      </c>
      <c r="AI175" s="5">
        <f>[1]Capital!AH4+[1]Capital!AH6</f>
        <v>70510.999188999995</v>
      </c>
      <c r="AJ175" s="5">
        <f>[1]Capital!AI4+[1]Capital!AI6</f>
        <v>71440.964473</v>
      </c>
      <c r="AK175" s="5">
        <f>[1]Capital!AJ4+[1]Capital!AJ6</f>
        <v>72382.320258000007</v>
      </c>
      <c r="AL175" s="5">
        <f>[1]Capital!AK4+[1]Capital!AK6</f>
        <v>73335.402478000004</v>
      </c>
      <c r="AM175" s="5">
        <f>[1]Capital!AL4+[1]Capital!AL6</f>
        <v>74299.54230500001</v>
      </c>
      <c r="AN175" s="5">
        <f>[1]Capital!AM4+[1]Capital!AM6</f>
        <v>75274.155171000006</v>
      </c>
      <c r="AO175" s="5">
        <f>[1]Capital!AN4+[1]Capital!AN6</f>
        <v>76258.834074999992</v>
      </c>
      <c r="AP175" s="5">
        <f>[1]Capital!AO4+[1]Capital!AO6</f>
        <v>77253.339743999997</v>
      </c>
      <c r="AQ175" s="5">
        <f>[1]Capital!AP4+[1]Capital!AP6</f>
        <v>78257.584392000004</v>
      </c>
      <c r="AR175" s="5">
        <f>[1]Capital!AQ4+[1]Capital!AQ6</f>
        <v>79271.711096999992</v>
      </c>
      <c r="AS175" s="5">
        <f>[1]Capital!AR4+[1]Capital!AR6</f>
        <v>80295.924322000006</v>
      </c>
      <c r="AT175" s="5">
        <f>[1]Capital!AS4+[1]Capital!AS6</f>
        <v>81330.481476000001</v>
      </c>
      <c r="AU175" s="5">
        <f>[1]Capital!AT4+[1]Capital!AT6</f>
        <v>82375.678010999996</v>
      </c>
      <c r="AV175" s="5">
        <f>[1]Capital!AU4+[1]Capital!AU6</f>
        <v>83431.830958999999</v>
      </c>
      <c r="AW175" s="5">
        <f>[1]Capital!AV4+[1]Capital!AV6</f>
        <v>84499.750629000002</v>
      </c>
      <c r="AX175" s="5">
        <f>[1]Capital!AW4+[1]Capital!AW6</f>
        <v>85580.058055000001</v>
      </c>
      <c r="AY175" s="5">
        <f>[1]Capital!AX4+[1]Capital!AX6</f>
        <v>86673.244692000007</v>
      </c>
      <c r="AZ175" s="5">
        <f>[1]Capital!AY4+[1]Capital!AY6</f>
        <v>87779.717636000001</v>
      </c>
      <c r="BA175" s="5">
        <f>[1]Capital!AZ4+[1]Capital!AZ6</f>
        <v>88899.825473000004</v>
      </c>
      <c r="BB175" s="5">
        <f>[1]Capital!BA4+[1]Capital!BA6</f>
        <v>90034.090972999998</v>
      </c>
      <c r="BC175" s="5">
        <f>[1]Capital!BB4+[1]Capital!BB6</f>
        <v>91182.910822999998</v>
      </c>
      <c r="BD175" s="5">
        <f>[1]Capital!BC4+[1]Capital!BC6</f>
        <v>92346.602715999994</v>
      </c>
      <c r="BE175" s="5">
        <f>[1]Capital!BD4+[1]Capital!BD6</f>
        <v>93525.438054000013</v>
      </c>
      <c r="BF175" s="5">
        <f>[1]Capital!BE4+[1]Capital!BE6</f>
        <v>94719.661831999998</v>
      </c>
    </row>
    <row r="176" spans="1:58" x14ac:dyDescent="0.35">
      <c r="B176" t="s">
        <v>30</v>
      </c>
      <c r="C176" s="5">
        <f>[1]Capital!B8+[1]Capital!B10+[1]Capital!B13+[1]Capital!B14+[1]Capital!B16+[1]Capital!B18+[1]Capital!B20+[1]Capital!B22+[1]Capital!B24+[1]Capital!B26+[1]Capital!B40</f>
        <v>2592688.0712260003</v>
      </c>
      <c r="D176" s="5">
        <f>[1]Capital!C8+[1]Capital!C10+[1]Capital!C13+[1]Capital!C14+[1]Capital!C16+[1]Capital!C18+[1]Capital!C20+[1]Capital!C22+[1]Capital!C24+[1]Capital!C26+[1]Capital!C40</f>
        <v>2618578.007303</v>
      </c>
      <c r="E176" s="5">
        <f>[1]Capital!D8+[1]Capital!D10+[1]Capital!D13+[1]Capital!D14+[1]Capital!D16+[1]Capital!D18+[1]Capital!D20+[1]Capital!D22+[1]Capital!D24+[1]Capital!D26+[1]Capital!D40</f>
        <v>2644501.3300350001</v>
      </c>
      <c r="F176" s="5">
        <f>[1]Capital!E8+[1]Capital!E10+[1]Capital!E13+[1]Capital!E14+[1]Capital!E16+[1]Capital!E18+[1]Capital!E20+[1]Capital!E22+[1]Capital!E24+[1]Capital!E26+[1]Capital!E40</f>
        <v>2670931.3825940005</v>
      </c>
      <c r="G176" s="5">
        <f>[1]Capital!F8+[1]Capital!F10+[1]Capital!F13+[1]Capital!F14+[1]Capital!F16+[1]Capital!F18+[1]Capital!F20+[1]Capital!F22+[1]Capital!F24+[1]Capital!F26+[1]Capital!F40</f>
        <v>2698111.8366969996</v>
      </c>
      <c r="H176" s="5">
        <f>[1]Capital!G8+[1]Capital!G10+[1]Capital!G13+[1]Capital!G14+[1]Capital!G16+[1]Capital!G18+[1]Capital!G20+[1]Capital!G22+[1]Capital!G24+[1]Capital!G26+[1]Capital!G40</f>
        <v>2726174.001718</v>
      </c>
      <c r="I176" s="5">
        <f>[1]Capital!H8+[1]Capital!H10+[1]Capital!H13+[1]Capital!H14+[1]Capital!H16+[1]Capital!H18+[1]Capital!H20+[1]Capital!H22+[1]Capital!H24+[1]Capital!H26+[1]Capital!H40</f>
        <v>2755111.749022</v>
      </c>
      <c r="J176" s="5">
        <f>[1]Capital!I8+[1]Capital!I10+[1]Capital!I13+[1]Capital!I14+[1]Capital!I16+[1]Capital!I18+[1]Capital!I20+[1]Capital!I22+[1]Capital!I24+[1]Capital!I26+[1]Capital!I40</f>
        <v>2784921.8499270002</v>
      </c>
      <c r="K176" s="5">
        <f>[1]Capital!J8+[1]Capital!J10+[1]Capital!J13+[1]Capital!J14+[1]Capital!J16+[1]Capital!J18+[1]Capital!J20+[1]Capital!J22+[1]Capital!J24+[1]Capital!J26+[1]Capital!J40</f>
        <v>2815613.1628149999</v>
      </c>
      <c r="L176" s="5">
        <f>[1]Capital!K8+[1]Capital!K10+[1]Capital!K13+[1]Capital!K14+[1]Capital!K16+[1]Capital!K18+[1]Capital!K20+[1]Capital!K22+[1]Capital!K24+[1]Capital!K26+[1]Capital!K40</f>
        <v>2847204.7894069999</v>
      </c>
      <c r="M176" s="5">
        <f>[1]Capital!L8+[1]Capital!L10+[1]Capital!L13+[1]Capital!L14+[1]Capital!L16+[1]Capital!L18+[1]Capital!L20+[1]Capital!L22+[1]Capital!L24+[1]Capital!L26+[1]Capital!L40</f>
        <v>2879868.347449</v>
      </c>
      <c r="N176" s="5">
        <f>[1]Capital!M8+[1]Capital!M10+[1]Capital!M13+[1]Capital!M14+[1]Capital!M16+[1]Capital!M18+[1]Capital!M20+[1]Capital!M22+[1]Capital!M24+[1]Capital!M26+[1]Capital!M40</f>
        <v>2913583.25257</v>
      </c>
      <c r="O176" s="5">
        <f>[1]Capital!N8+[1]Capital!N10+[1]Capital!N13+[1]Capital!N14+[1]Capital!N16+[1]Capital!N18+[1]Capital!N20+[1]Capital!N22+[1]Capital!N24+[1]Capital!N26+[1]Capital!N40</f>
        <v>2948343.0147010004</v>
      </c>
      <c r="P176" s="5">
        <f>[1]Capital!O8+[1]Capital!O10+[1]Capital!O13+[1]Capital!O14+[1]Capital!O16+[1]Capital!O18+[1]Capital!O20+[1]Capital!O22+[1]Capital!O24+[1]Capital!O26+[1]Capital!O40</f>
        <v>2984154.6628199997</v>
      </c>
      <c r="Q176" s="5">
        <f>[1]Capital!P8+[1]Capital!P10+[1]Capital!P13+[1]Capital!P14+[1]Capital!P16+[1]Capital!P18+[1]Capital!P20+[1]Capital!P22+[1]Capital!P24+[1]Capital!P26+[1]Capital!P40</f>
        <v>3021033.5348590002</v>
      </c>
      <c r="R176" s="5">
        <f>[1]Capital!Q8+[1]Capital!Q10+[1]Capital!Q13+[1]Capital!Q14+[1]Capital!Q16+[1]Capital!Q18+[1]Capital!Q20+[1]Capital!Q22+[1]Capital!Q24+[1]Capital!Q26+[1]Capital!Q40</f>
        <v>3059000.3426249996</v>
      </c>
      <c r="S176" s="5">
        <f>[1]Capital!R8+[1]Capital!R10+[1]Capital!R13+[1]Capital!R14+[1]Capital!R16+[1]Capital!R18+[1]Capital!R20+[1]Capital!R22+[1]Capital!R24+[1]Capital!R26+[1]Capital!R40</f>
        <v>3098066.2878369996</v>
      </c>
      <c r="T176" s="5">
        <f>[1]Capital!S8+[1]Capital!S10+[1]Capital!S13+[1]Capital!S14+[1]Capital!S16+[1]Capital!S18+[1]Capital!S20+[1]Capital!S22+[1]Capital!S24+[1]Capital!S26+[1]Capital!S40</f>
        <v>3138252.2015960002</v>
      </c>
      <c r="U176" s="5">
        <f>[1]Capital!T8+[1]Capital!T10+[1]Capital!T13+[1]Capital!T14+[1]Capital!T16+[1]Capital!T18+[1]Capital!T20+[1]Capital!T22+[1]Capital!T24+[1]Capital!T26+[1]Capital!T40</f>
        <v>3179584.7964939997</v>
      </c>
      <c r="V176" s="5">
        <f>[1]Capital!U8+[1]Capital!U10+[1]Capital!U13+[1]Capital!U14+[1]Capital!U16+[1]Capital!U18+[1]Capital!U20+[1]Capital!U22+[1]Capital!U24+[1]Capital!U26+[1]Capital!U40</f>
        <v>3222094.2161560003</v>
      </c>
      <c r="W176" s="5">
        <f>[1]Capital!V8+[1]Capital!V10+[1]Capital!V13+[1]Capital!V14+[1]Capital!V16+[1]Capital!V18+[1]Capital!V20+[1]Capital!V22+[1]Capital!V24+[1]Capital!V26+[1]Capital!V40</f>
        <v>3265705.4550789995</v>
      </c>
      <c r="X176" s="5">
        <f>[1]Capital!W8+[1]Capital!W10+[1]Capital!W13+[1]Capital!W14+[1]Capital!W16+[1]Capital!W18+[1]Capital!W20+[1]Capital!W22+[1]Capital!W24+[1]Capital!W26+[1]Capital!W40</f>
        <v>3310477.3005590001</v>
      </c>
      <c r="Y176" s="5">
        <f>[1]Capital!X8+[1]Capital!X10+[1]Capital!X13+[1]Capital!X14+[1]Capital!X16+[1]Capital!X18+[1]Capital!X20+[1]Capital!X22+[1]Capital!X24+[1]Capital!X26+[1]Capital!X40</f>
        <v>3356464.1508490001</v>
      </c>
      <c r="Z176" s="5">
        <f>[1]Capital!Y8+[1]Capital!Y10+[1]Capital!Y13+[1]Capital!Y14+[1]Capital!Y16+[1]Capital!Y18+[1]Capital!Y20+[1]Capital!Y22+[1]Capital!Y24+[1]Capital!Y26+[1]Capital!Y40</f>
        <v>3403712.6107589998</v>
      </c>
      <c r="AA176" s="5">
        <f>[1]Capital!Z8+[1]Capital!Z10+[1]Capital!Z13+[1]Capital!Z14+[1]Capital!Z16+[1]Capital!Z18+[1]Capital!Z20+[1]Capital!Z22+[1]Capital!Z24+[1]Capital!Z26+[1]Capital!Z40</f>
        <v>3452263.0704930001</v>
      </c>
      <c r="AB176" s="5">
        <f>[1]Capital!AA8+[1]Capital!AA10+[1]Capital!AA13+[1]Capital!AA14+[1]Capital!AA16+[1]Capital!AA18+[1]Capital!AA20+[1]Capital!AA22+[1]Capital!AA24+[1]Capital!AA26+[1]Capital!AA40</f>
        <v>3501842.4045600002</v>
      </c>
      <c r="AC176" s="5">
        <f>[1]Capital!AB8+[1]Capital!AB10+[1]Capital!AB13+[1]Capital!AB14+[1]Capital!AB16+[1]Capital!AB18+[1]Capital!AB20+[1]Capital!AB22+[1]Capital!AB24+[1]Capital!AB26+[1]Capital!AB40</f>
        <v>3552413.5547090005</v>
      </c>
      <c r="AD176" s="5">
        <f>[1]Capital!AC8+[1]Capital!AC10+[1]Capital!AC13+[1]Capital!AC14+[1]Capital!AC16+[1]Capital!AC18+[1]Capital!AC20+[1]Capital!AC22+[1]Capital!AC24+[1]Capital!AC26+[1]Capital!AC40</f>
        <v>3603954.7351529999</v>
      </c>
      <c r="AE176" s="5">
        <f>[1]Capital!AD8+[1]Capital!AD10+[1]Capital!AD13+[1]Capital!AD14+[1]Capital!AD16+[1]Capital!AD18+[1]Capital!AD20+[1]Capital!AD22+[1]Capital!AD24+[1]Capital!AD26+[1]Capital!AD40</f>
        <v>3656448.4774989998</v>
      </c>
      <c r="AF176" s="5">
        <f>[1]Capital!AE8+[1]Capital!AE10+[1]Capital!AE13+[1]Capital!AE14+[1]Capital!AE16+[1]Capital!AE18+[1]Capital!AE20+[1]Capital!AE22+[1]Capital!AE24+[1]Capital!AE26+[1]Capital!AE40</f>
        <v>3709880.3571880003</v>
      </c>
      <c r="AG176" s="5">
        <f>[1]Capital!AF8+[1]Capital!AF10+[1]Capital!AF13+[1]Capital!AF14+[1]Capital!AF16+[1]Capital!AF18+[1]Capital!AF20+[1]Capital!AF22+[1]Capital!AF24+[1]Capital!AF26+[1]Capital!AF40</f>
        <v>3764238.1736079999</v>
      </c>
      <c r="AH176" s="5">
        <f>[1]Capital!AG8+[1]Capital!AG10+[1]Capital!AG13+[1]Capital!AG14+[1]Capital!AG16+[1]Capital!AG18+[1]Capital!AG20+[1]Capital!AG22+[1]Capital!AG24+[1]Capital!AG26+[1]Capital!AG40</f>
        <v>3819514.0477879997</v>
      </c>
      <c r="AI176" s="5">
        <f>[1]Capital!AH8+[1]Capital!AH10+[1]Capital!AH13+[1]Capital!AH14+[1]Capital!AH16+[1]Capital!AH18+[1]Capital!AH20+[1]Capital!AH22+[1]Capital!AH24+[1]Capital!AH26+[1]Capital!AH40</f>
        <v>3875698.7833130001</v>
      </c>
      <c r="AJ176" s="5">
        <f>[1]Capital!AI8+[1]Capital!AI10+[1]Capital!AI13+[1]Capital!AI14+[1]Capital!AI16+[1]Capital!AI18+[1]Capital!AI20+[1]Capital!AI22+[1]Capital!AI24+[1]Capital!AI26+[1]Capital!AI40</f>
        <v>3932781.4090709998</v>
      </c>
      <c r="AK176" s="5">
        <f>[1]Capital!AJ8+[1]Capital!AJ10+[1]Capital!AJ13+[1]Capital!AJ14+[1]Capital!AJ16+[1]Capital!AJ18+[1]Capital!AJ20+[1]Capital!AJ22+[1]Capital!AJ24+[1]Capital!AJ26+[1]Capital!AJ40</f>
        <v>3990748.726975</v>
      </c>
      <c r="AL176" s="5">
        <f>[1]Capital!AK8+[1]Capital!AK10+[1]Capital!AK13+[1]Capital!AK14+[1]Capital!AK16+[1]Capital!AK18+[1]Capital!AK20+[1]Capital!AK22+[1]Capital!AK24+[1]Capital!AK26+[1]Capital!AK40</f>
        <v>4049585.0350509998</v>
      </c>
      <c r="AM176" s="5">
        <f>[1]Capital!AL8+[1]Capital!AL10+[1]Capital!AL13+[1]Capital!AL14+[1]Capital!AL16+[1]Capital!AL18+[1]Capital!AL20+[1]Capital!AL22+[1]Capital!AL24+[1]Capital!AL26+[1]Capital!AL40</f>
        <v>4109225.2518179999</v>
      </c>
      <c r="AN176" s="5">
        <f>[1]Capital!AM8+[1]Capital!AM10+[1]Capital!AM13+[1]Capital!AM14+[1]Capital!AM16+[1]Capital!AM18+[1]Capital!AM20+[1]Capital!AM22+[1]Capital!AM24+[1]Capital!AM26+[1]Capital!AM40</f>
        <v>4169606.0027410001</v>
      </c>
      <c r="AO176" s="5">
        <f>[1]Capital!AN8+[1]Capital!AN10+[1]Capital!AN13+[1]Capital!AN14+[1]Capital!AN16+[1]Capital!AN18+[1]Capital!AN20+[1]Capital!AN22+[1]Capital!AN24+[1]Capital!AN26+[1]Capital!AN40</f>
        <v>4230669.3029990001</v>
      </c>
      <c r="AP176" s="5">
        <f>[1]Capital!AO8+[1]Capital!AO10+[1]Capital!AO13+[1]Capital!AO14+[1]Capital!AO16+[1]Capital!AO18+[1]Capital!AO20+[1]Capital!AO22+[1]Capital!AO24+[1]Capital!AO26+[1]Capital!AO40</f>
        <v>4292362.0408960003</v>
      </c>
      <c r="AQ176" s="5">
        <f>[1]Capital!AP8+[1]Capital!AP10+[1]Capital!AP13+[1]Capital!AP14+[1]Capital!AP16+[1]Capital!AP18+[1]Capital!AP20+[1]Capital!AP22+[1]Capital!AP24+[1]Capital!AP26+[1]Capital!AP40</f>
        <v>4354635.5222720001</v>
      </c>
      <c r="AR176" s="5">
        <f>[1]Capital!AQ8+[1]Capital!AQ10+[1]Capital!AQ13+[1]Capital!AQ14+[1]Capital!AQ16+[1]Capital!AQ18+[1]Capital!AQ20+[1]Capital!AQ22+[1]Capital!AQ24+[1]Capital!AQ26+[1]Capital!AQ40</f>
        <v>4417449.822156</v>
      </c>
      <c r="AS176" s="5">
        <f>[1]Capital!AR8+[1]Capital!AR10+[1]Capital!AR13+[1]Capital!AR14+[1]Capital!AR16+[1]Capital!AR18+[1]Capital!AR20+[1]Capital!AR22+[1]Capital!AR24+[1]Capital!AR26+[1]Capital!AR40</f>
        <v>4480767.2550449995</v>
      </c>
      <c r="AT176" s="5">
        <f>[1]Capital!AS8+[1]Capital!AS10+[1]Capital!AS13+[1]Capital!AS14+[1]Capital!AS16+[1]Capital!AS18+[1]Capital!AS20+[1]Capital!AS22+[1]Capital!AS24+[1]Capital!AS26+[1]Capital!AS40</f>
        <v>4544552.8548130002</v>
      </c>
      <c r="AU176" s="5">
        <f>[1]Capital!AT8+[1]Capital!AT10+[1]Capital!AT13+[1]Capital!AT14+[1]Capital!AT16+[1]Capital!AT18+[1]Capital!AT20+[1]Capital!AT22+[1]Capital!AT24+[1]Capital!AT26+[1]Capital!AT40</f>
        <v>4608774.4812850002</v>
      </c>
      <c r="AV176" s="5">
        <f>[1]Capital!AU8+[1]Capital!AU10+[1]Capital!AU13+[1]Capital!AU14+[1]Capital!AU16+[1]Capital!AU18+[1]Capital!AU20+[1]Capital!AU22+[1]Capital!AU24+[1]Capital!AU26+[1]Capital!AU40</f>
        <v>4673402.7380769998</v>
      </c>
      <c r="AW176" s="5">
        <f>[1]Capital!AV8+[1]Capital!AV10+[1]Capital!AV13+[1]Capital!AV14+[1]Capital!AV16+[1]Capital!AV18+[1]Capital!AV20+[1]Capital!AV22+[1]Capital!AV24+[1]Capital!AV26+[1]Capital!AV40</f>
        <v>4738433.0787129998</v>
      </c>
      <c r="AX176" s="5">
        <f>[1]Capital!AW8+[1]Capital!AW10+[1]Capital!AW13+[1]Capital!AW14+[1]Capital!AW16+[1]Capital!AW18+[1]Capital!AW20+[1]Capital!AW22+[1]Capital!AW24+[1]Capital!AW26+[1]Capital!AW40</f>
        <v>4803855.7635679999</v>
      </c>
      <c r="AY176" s="5">
        <f>[1]Capital!AX8+[1]Capital!AX10+[1]Capital!AX13+[1]Capital!AX14+[1]Capital!AX16+[1]Capital!AX18+[1]Capital!AX20+[1]Capital!AX22+[1]Capital!AX24+[1]Capital!AX26+[1]Capital!AX40</f>
        <v>4869658.2775189998</v>
      </c>
      <c r="AZ176" s="5">
        <f>[1]Capital!AY8+[1]Capital!AY10+[1]Capital!AY13+[1]Capital!AY14+[1]Capital!AY16+[1]Capital!AY18+[1]Capital!AY20+[1]Capital!AY22+[1]Capital!AY24+[1]Capital!AY26+[1]Capital!AY40</f>
        <v>4935827.199</v>
      </c>
      <c r="BA176" s="5">
        <f>[1]Capital!AZ8+[1]Capital!AZ10+[1]Capital!AZ13+[1]Capital!AZ14+[1]Capital!AZ16+[1]Capital!AZ18+[1]Capital!AZ20+[1]Capital!AZ22+[1]Capital!AZ24+[1]Capital!AZ26+[1]Capital!AZ40</f>
        <v>5002349.5137499999</v>
      </c>
      <c r="BB176" s="5">
        <f>[1]Capital!BA8+[1]Capital!BA10+[1]Capital!BA13+[1]Capital!BA14+[1]Capital!BA16+[1]Capital!BA18+[1]Capital!BA20+[1]Capital!BA22+[1]Capital!BA24+[1]Capital!BA26+[1]Capital!BA40</f>
        <v>5069223.4015699998</v>
      </c>
      <c r="BC176" s="5">
        <f>[1]Capital!BB8+[1]Capital!BB10+[1]Capital!BB13+[1]Capital!BB14+[1]Capital!BB16+[1]Capital!BB18+[1]Capital!BB20+[1]Capital!BB22+[1]Capital!BB24+[1]Capital!BB26+[1]Capital!BB40</f>
        <v>5136445.3174700001</v>
      </c>
      <c r="BD176" s="5">
        <f>[1]Capital!BC8+[1]Capital!BC10+[1]Capital!BC13+[1]Capital!BC14+[1]Capital!BC16+[1]Capital!BC18+[1]Capital!BC20+[1]Capital!BC22+[1]Capital!BC24+[1]Capital!BC26+[1]Capital!BC40</f>
        <v>5204011.8560499996</v>
      </c>
      <c r="BE176" s="5">
        <f>[1]Capital!BD8+[1]Capital!BD10+[1]Capital!BD13+[1]Capital!BD14+[1]Capital!BD16+[1]Capital!BD18+[1]Capital!BD20+[1]Capital!BD22+[1]Capital!BD24+[1]Capital!BD26+[1]Capital!BD40</f>
        <v>5271920.9376499997</v>
      </c>
      <c r="BF176" s="5">
        <f>[1]Capital!BE8+[1]Capital!BE10+[1]Capital!BE13+[1]Capital!BE14+[1]Capital!BE16+[1]Capital!BE18+[1]Capital!BE20+[1]Capital!BE22+[1]Capital!BE24+[1]Capital!BE26+[1]Capital!BE40</f>
        <v>5340172.5781999994</v>
      </c>
    </row>
    <row r="177" spans="1:58" x14ac:dyDescent="0.35">
      <c r="B177" t="s">
        <v>9</v>
      </c>
      <c r="C177" s="5">
        <f>[1]Capital!B28+[1]Capital!B30+[1]Capital!B32+[1]Capital!B34</f>
        <v>88378.671754999988</v>
      </c>
      <c r="D177" s="5">
        <f>[1]Capital!C28+[1]Capital!C30+[1]Capital!C32+[1]Capital!C34</f>
        <v>89170.252709000008</v>
      </c>
      <c r="E177" s="5">
        <f>[1]Capital!D28+[1]Capital!D30+[1]Capital!D32+[1]Capital!D34</f>
        <v>89963.766193000003</v>
      </c>
      <c r="F177" s="5">
        <f>[1]Capital!E28+[1]Capital!E30+[1]Capital!E32+[1]Capital!E34</f>
        <v>90778.986443000002</v>
      </c>
      <c r="G177" s="5">
        <f>[1]Capital!F28+[1]Capital!F30+[1]Capital!F32+[1]Capital!F34</f>
        <v>91625.132377999995</v>
      </c>
      <c r="H177" s="5">
        <f>[1]Capital!G28+[1]Capital!G30+[1]Capital!G32+[1]Capital!G34</f>
        <v>92507.098251000003</v>
      </c>
      <c r="I177" s="5">
        <f>[1]Capital!H28+[1]Capital!H30+[1]Capital!H32+[1]Capital!H34</f>
        <v>93423.473035999996</v>
      </c>
      <c r="J177" s="5">
        <f>[1]Capital!I28+[1]Capital!I30+[1]Capital!I32+[1]Capital!I34</f>
        <v>94373.872089000011</v>
      </c>
      <c r="K177" s="5">
        <f>[1]Capital!J28+[1]Capital!J30+[1]Capital!J32+[1]Capital!J34</f>
        <v>95358.152992999996</v>
      </c>
      <c r="L177" s="5">
        <f>[1]Capital!K28+[1]Capital!K30+[1]Capital!K32+[1]Capital!K34</f>
        <v>96376.043734000006</v>
      </c>
      <c r="M177" s="5">
        <f>[1]Capital!L28+[1]Capital!L30+[1]Capital!L32+[1]Capital!L34</f>
        <v>97434.047628</v>
      </c>
      <c r="N177" s="5">
        <f>[1]Capital!M28+[1]Capital!M30+[1]Capital!M32+[1]Capital!M34</f>
        <v>98526.984553000017</v>
      </c>
      <c r="O177" s="5">
        <f>[1]Capital!N28+[1]Capital!N30+[1]Capital!N32+[1]Capital!N34</f>
        <v>99651.981675000003</v>
      </c>
      <c r="P177" s="5">
        <f>[1]Capital!O28+[1]Capital!O30+[1]Capital!O32+[1]Capital!O34</f>
        <v>100807.237843</v>
      </c>
      <c r="Q177" s="5">
        <f>[1]Capital!P28+[1]Capital!P30+[1]Capital!P32+[1]Capital!P34</f>
        <v>101991.39987200001</v>
      </c>
      <c r="R177" s="5">
        <f>[1]Capital!Q28+[1]Capital!Q30+[1]Capital!Q32+[1]Capital!Q34</f>
        <v>103203.37</v>
      </c>
      <c r="S177" s="5">
        <f>[1]Capital!R28+[1]Capital!R30+[1]Capital!R32+[1]Capital!R34</f>
        <v>104441.448641</v>
      </c>
      <c r="T177" s="5">
        <f>[1]Capital!S28+[1]Capital!S30+[1]Capital!S32+[1]Capital!S34</f>
        <v>105704.680091</v>
      </c>
      <c r="U177" s="5">
        <f>[1]Capital!T28+[1]Capital!T30+[1]Capital!T32+[1]Capital!T34</f>
        <v>106992.52334400002</v>
      </c>
      <c r="V177" s="5">
        <f>[1]Capital!U28+[1]Capital!U30+[1]Capital!U32+[1]Capital!U34</f>
        <v>108304.703832</v>
      </c>
      <c r="W177" s="5">
        <f>[1]Capital!V28+[1]Capital!V30+[1]Capital!V32+[1]Capital!V34</f>
        <v>109636.029629</v>
      </c>
      <c r="X177" s="5">
        <f>[1]Capital!W28+[1]Capital!W30+[1]Capital!W32+[1]Capital!W34</f>
        <v>110989.277783</v>
      </c>
      <c r="Y177" s="5">
        <f>[1]Capital!X28+[1]Capital!X30+[1]Capital!X32+[1]Capital!X34</f>
        <v>112365.963697</v>
      </c>
      <c r="Z177" s="5">
        <f>[1]Capital!Y28+[1]Capital!Y30+[1]Capital!Y32+[1]Capital!Y34</f>
        <v>113767.033631</v>
      </c>
      <c r="AA177" s="5">
        <f>[1]Capital!Z28+[1]Capital!Z30+[1]Capital!Z32+[1]Capital!Z34</f>
        <v>115193.245127</v>
      </c>
      <c r="AB177" s="5">
        <f>[1]Capital!AA28+[1]Capital!AA30+[1]Capital!AA32+[1]Capital!AA34</f>
        <v>116630.619911</v>
      </c>
      <c r="AC177" s="5">
        <f>[1]Capital!AB28+[1]Capital!AB30+[1]Capital!AB32+[1]Capital!AB34</f>
        <v>118080.85752200001</v>
      </c>
      <c r="AD177" s="5">
        <f>[1]Capital!AC28+[1]Capital!AC30+[1]Capital!AC32+[1]Capital!AC34</f>
        <v>119545.00793100001</v>
      </c>
      <c r="AE177" s="5">
        <f>[1]Capital!AD28+[1]Capital!AD30+[1]Capital!AD32+[1]Capital!AD34</f>
        <v>121023.82531099999</v>
      </c>
      <c r="AF177" s="5">
        <f>[1]Capital!AE28+[1]Capital!AE30+[1]Capital!AE32+[1]Capital!AE34</f>
        <v>122518.087545</v>
      </c>
      <c r="AG177" s="5">
        <f>[1]Capital!AF28+[1]Capital!AF30+[1]Capital!AF32+[1]Capital!AF34</f>
        <v>124028.67212500001</v>
      </c>
      <c r="AH177" s="5">
        <f>[1]Capital!AG28+[1]Capital!AG30+[1]Capital!AG32+[1]Capital!AG34</f>
        <v>125556.72177999999</v>
      </c>
      <c r="AI177" s="5">
        <f>[1]Capital!AH28+[1]Capital!AH30+[1]Capital!AH32+[1]Capital!AH34</f>
        <v>127103.29224600001</v>
      </c>
      <c r="AJ177" s="5">
        <f>[1]Capital!AI28+[1]Capital!AI30+[1]Capital!AI32+[1]Capital!AI34</f>
        <v>128669.37413699999</v>
      </c>
      <c r="AK177" s="5">
        <f>[1]Capital!AJ28+[1]Capital!AJ30+[1]Capital!AJ32+[1]Capital!AJ34</f>
        <v>130255.886633</v>
      </c>
      <c r="AL177" s="5">
        <f>[1]Capital!AK28+[1]Capital!AK30+[1]Capital!AK32+[1]Capital!AK34</f>
        <v>131863.66655299999</v>
      </c>
      <c r="AM177" s="5">
        <f>[1]Capital!AL28+[1]Capital!AL30+[1]Capital!AL32+[1]Capital!AL34</f>
        <v>133491.59727900001</v>
      </c>
      <c r="AN177" s="5">
        <f>[1]Capital!AM28+[1]Capital!AM30+[1]Capital!AM32+[1]Capital!AM34</f>
        <v>135139.212115</v>
      </c>
      <c r="AO177" s="5">
        <f>[1]Capital!AN28+[1]Capital!AN30+[1]Capital!AN32+[1]Capital!AN34</f>
        <v>136806.40159899998</v>
      </c>
      <c r="AP177" s="5">
        <f>[1]Capital!AO28+[1]Capital!AO30+[1]Capital!AO32+[1]Capital!AO34</f>
        <v>138493.24039699999</v>
      </c>
      <c r="AQ177" s="5">
        <f>[1]Capital!AP28+[1]Capital!AP30+[1]Capital!AP32+[1]Capital!AP34</f>
        <v>140199.92230199999</v>
      </c>
      <c r="AR177" s="5">
        <f>[1]Capital!AQ28+[1]Capital!AQ30+[1]Capital!AQ32+[1]Capital!AQ34</f>
        <v>141926.99914200002</v>
      </c>
      <c r="AS177" s="5">
        <f>[1]Capital!AR28+[1]Capital!AR30+[1]Capital!AR32+[1]Capital!AR34</f>
        <v>143674.92929900001</v>
      </c>
      <c r="AT177" s="5">
        <f>[1]Capital!AS28+[1]Capital!AS30+[1]Capital!AS32+[1]Capital!AS34</f>
        <v>145444.14980700001</v>
      </c>
      <c r="AU177" s="5">
        <f>[1]Capital!AT28+[1]Capital!AT30+[1]Capital!AT32+[1]Capital!AT34</f>
        <v>147235.095607</v>
      </c>
      <c r="AV177" s="5">
        <f>[1]Capital!AU28+[1]Capital!AU30+[1]Capital!AU32+[1]Capital!AU34</f>
        <v>149048.197422</v>
      </c>
      <c r="AW177" s="5">
        <f>[1]Capital!AV28+[1]Capital!AV30+[1]Capital!AV32+[1]Capital!AV34</f>
        <v>150885.104208</v>
      </c>
      <c r="AX177" s="5">
        <f>[1]Capital!AW28+[1]Capital!AW30+[1]Capital!AW32+[1]Capital!AW34</f>
        <v>152746.73606999998</v>
      </c>
      <c r="AY177" s="5">
        <f>[1]Capital!AX28+[1]Capital!AX30+[1]Capital!AX32+[1]Capital!AX34</f>
        <v>154633.67579799998</v>
      </c>
      <c r="AZ177" s="5">
        <f>[1]Capital!AY28+[1]Capital!AY30+[1]Capital!AY32+[1]Capital!AY34</f>
        <v>156546.346013</v>
      </c>
      <c r="BA177" s="5">
        <f>[1]Capital!AZ28+[1]Capital!AZ30+[1]Capital!AZ32+[1]Capital!AZ34</f>
        <v>158485.084989</v>
      </c>
      <c r="BB177" s="5">
        <f>[1]Capital!BA28+[1]Capital!BA30+[1]Capital!BA32+[1]Capital!BA34</f>
        <v>160450.76113</v>
      </c>
      <c r="BC177" s="5">
        <f>[1]Capital!BB28+[1]Capital!BB30+[1]Capital!BB32+[1]Capital!BB34</f>
        <v>162443.87608699998</v>
      </c>
      <c r="BD177" s="5">
        <f>[1]Capital!BC28+[1]Capital!BC30+[1]Capital!BC32+[1]Capital!BC34</f>
        <v>164464.77272999997</v>
      </c>
      <c r="BE177" s="5">
        <f>[1]Capital!BD28+[1]Capital!BD30+[1]Capital!BD32+[1]Capital!BD34</f>
        <v>166513.72953300001</v>
      </c>
      <c r="BF177" s="5">
        <f>[1]Capital!BE28+[1]Capital!BE30+[1]Capital!BE32+[1]Capital!BE34</f>
        <v>168591.002286</v>
      </c>
    </row>
    <row r="178" spans="1:58" x14ac:dyDescent="0.35">
      <c r="B178" t="s">
        <v>10</v>
      </c>
      <c r="C178" s="5">
        <f>[1]Capital!B36+[1]Capital!B38</f>
        <v>2423588.33</v>
      </c>
      <c r="D178" s="5">
        <f>[1]Capital!C36+[1]Capital!C38</f>
        <v>2448516.9325000001</v>
      </c>
      <c r="E178" s="5">
        <f>[1]Capital!D36+[1]Capital!D38</f>
        <v>2473379.9254999999</v>
      </c>
      <c r="F178" s="5">
        <f>[1]Capital!E36+[1]Capital!E38</f>
        <v>2498609.1332999999</v>
      </c>
      <c r="G178" s="5">
        <f>[1]Capital!F36+[1]Capital!F38</f>
        <v>2524483.4190000002</v>
      </c>
      <c r="H178" s="5">
        <f>[1]Capital!G36+[1]Capital!G38</f>
        <v>2551197.1622000001</v>
      </c>
      <c r="I178" s="5">
        <f>[1]Capital!H36+[1]Capital!H38</f>
        <v>2578793.1077999999</v>
      </c>
      <c r="J178" s="5">
        <f>[1]Capital!I36+[1]Capital!I38</f>
        <v>2607318.9980000001</v>
      </c>
      <c r="K178" s="5">
        <f>[1]Capital!J36+[1]Capital!J38</f>
        <v>2636822.0852000001</v>
      </c>
      <c r="L178" s="5">
        <f>[1]Capital!K36+[1]Capital!K38</f>
        <v>2667342.8148999996</v>
      </c>
      <c r="M178" s="5">
        <f>[1]Capital!L36+[1]Capital!L38</f>
        <v>2699086.7835000004</v>
      </c>
      <c r="N178" s="5">
        <f>[1]Capital!M36+[1]Capital!M38</f>
        <v>2732002.4268999998</v>
      </c>
      <c r="O178" s="5">
        <f>[1]Capital!N36+[1]Capital!N38</f>
        <v>2766056.3518000003</v>
      </c>
      <c r="P178" s="5">
        <f>[1]Capital!O36+[1]Capital!O38</f>
        <v>2801228.0405000001</v>
      </c>
      <c r="Q178" s="5">
        <f>[1]Capital!P36+[1]Capital!P38</f>
        <v>2837501.8816</v>
      </c>
      <c r="R178" s="5">
        <f>[1]Capital!Q36+[1]Capital!Q38</f>
        <v>2874864.4050000003</v>
      </c>
      <c r="S178" s="5">
        <f>[1]Capital!R36+[1]Capital!R38</f>
        <v>2913294.0790999997</v>
      </c>
      <c r="T178" s="5">
        <f>[1]Capital!S36+[1]Capital!S38</f>
        <v>2952775.3167999997</v>
      </c>
      <c r="U178" s="5">
        <f>[1]Capital!T36+[1]Capital!T38</f>
        <v>2993296.9325999999</v>
      </c>
      <c r="V178" s="5">
        <f>[1]Capital!U36+[1]Capital!U38</f>
        <v>3034850.6323000002</v>
      </c>
      <c r="W178" s="5">
        <f>[1]Capital!V36+[1]Capital!V38</f>
        <v>3077300.8440999999</v>
      </c>
      <c r="X178" s="5">
        <f>[1]Capital!W36+[1]Capital!W38</f>
        <v>3120689.6403000001</v>
      </c>
      <c r="Y178" s="5">
        <f>[1]Capital!X36+[1]Capital!X38</f>
        <v>3165043.8810000001</v>
      </c>
      <c r="Z178" s="5">
        <f>[1]Capital!Y36+[1]Capital!Y38</f>
        <v>3210378.7219000002</v>
      </c>
      <c r="AA178" s="5">
        <f>[1]Capital!Z36+[1]Capital!Z38</f>
        <v>3256703.3701999998</v>
      </c>
      <c r="AB178" s="5">
        <f>[1]Capital!AA36+[1]Capital!AA38</f>
        <v>3303649.9050000003</v>
      </c>
      <c r="AC178" s="5">
        <f>[1]Capital!AB36+[1]Capital!AB38</f>
        <v>3351184.4192000004</v>
      </c>
      <c r="AD178" s="5">
        <f>[1]Capital!AC36+[1]Capital!AC38</f>
        <v>3399286.0523999999</v>
      </c>
      <c r="AE178" s="5">
        <f>[1]Capital!AD36+[1]Capital!AD38</f>
        <v>3447938.4531</v>
      </c>
      <c r="AF178" s="5">
        <f>[1]Capital!AE36+[1]Capital!AE38</f>
        <v>3497132.2072999999</v>
      </c>
      <c r="AG178" s="5">
        <f>[1]Capital!AF36+[1]Capital!AF38</f>
        <v>3546864.9204000002</v>
      </c>
      <c r="AH178" s="5">
        <f>[1]Capital!AG36+[1]Capital!AG38</f>
        <v>3597142.0383000001</v>
      </c>
      <c r="AI178" s="5">
        <f>[1]Capital!AH36+[1]Capital!AH38</f>
        <v>3647971.7428000001</v>
      </c>
      <c r="AJ178" s="5">
        <f>[1]Capital!AI36+[1]Capital!AI38</f>
        <v>3699363.4937</v>
      </c>
      <c r="AK178" s="5">
        <f>[1]Capital!AJ36+[1]Capital!AJ38</f>
        <v>3751327.0285999998</v>
      </c>
      <c r="AL178" s="5">
        <f>[1]Capital!AK36+[1]Capital!AK38</f>
        <v>3803871.7355999998</v>
      </c>
      <c r="AM178" s="5">
        <f>[1]Capital!AL36+[1]Capital!AL38</f>
        <v>3856936.3550000004</v>
      </c>
      <c r="AN178" s="5">
        <f>[1]Capital!AM36+[1]Capital!AM38</f>
        <v>3910482.9597999998</v>
      </c>
      <c r="AO178" s="5">
        <f>[1]Capital!AN36+[1]Capital!AN38</f>
        <v>3964488.6013000002</v>
      </c>
      <c r="AP178" s="5">
        <f>[1]Capital!AO36+[1]Capital!AO38</f>
        <v>4018939.8764999998</v>
      </c>
      <c r="AQ178" s="5">
        <f>[1]Capital!AP36+[1]Capital!AP38</f>
        <v>4073830.7072000001</v>
      </c>
      <c r="AR178" s="5">
        <f>[1]Capital!AQ36+[1]Capital!AQ38</f>
        <v>4129164.5334999999</v>
      </c>
      <c r="AS178" s="5">
        <f>[1]Capital!AR36+[1]Capital!AR38</f>
        <v>4184948.6688000001</v>
      </c>
      <c r="AT178" s="5">
        <f>[1]Capital!AS36+[1]Capital!AS38</f>
        <v>4241193.4992000004</v>
      </c>
      <c r="AU178" s="5">
        <f>[1]Capital!AT36+[1]Capital!AT38</f>
        <v>4297911.7743999995</v>
      </c>
      <c r="AV178" s="5">
        <f>[1]Capital!AU36+[1]Capital!AU38</f>
        <v>4355117.9136999995</v>
      </c>
      <c r="AW178" s="5">
        <f>[1]Capital!AV36+[1]Capital!AV38</f>
        <v>4412847.0273000002</v>
      </c>
      <c r="AX178" s="5">
        <f>[1]Capital!AW36+[1]Capital!AW38</f>
        <v>4471127.5235000001</v>
      </c>
      <c r="AY178" s="5">
        <f>[1]Capital!AX36+[1]Capital!AX38</f>
        <v>4529982.6306999996</v>
      </c>
      <c r="AZ178" s="5">
        <f>[1]Capital!AY36+[1]Capital!AY38</f>
        <v>4589432.2731999997</v>
      </c>
      <c r="BA178" s="5">
        <f>[1]Capital!AZ36+[1]Capital!AZ38</f>
        <v>4649494.3667000001</v>
      </c>
      <c r="BB178" s="5">
        <f>[1]Capital!BA36+[1]Capital!BA38</f>
        <v>4710193.0049000001</v>
      </c>
      <c r="BC178" s="5">
        <f>[1]Capital!BB36+[1]Capital!BB38</f>
        <v>4771549.0998999998</v>
      </c>
      <c r="BD178" s="5">
        <f>[1]Capital!BC36+[1]Capital!BC38</f>
        <v>4833581.2136000004</v>
      </c>
      <c r="BE178" s="5">
        <f>[1]Capital!BD36+[1]Capital!BD38</f>
        <v>4896306.5597000001</v>
      </c>
      <c r="BF178" s="5">
        <f>[1]Capital!BE36+[1]Capital!BE38</f>
        <v>4959741.7271999996</v>
      </c>
    </row>
    <row r="179" spans="1:58" x14ac:dyDescent="0.35">
      <c r="B179" t="s">
        <v>29</v>
      </c>
      <c r="C179" s="5">
        <f>[1]Capital!B42+[1]Capital!B46</f>
        <v>22892.702116200002</v>
      </c>
      <c r="D179" s="5">
        <f>[1]Capital!C42+[1]Capital!C46</f>
        <v>23096.751112499998</v>
      </c>
      <c r="E179" s="5">
        <f>[1]Capital!D42+[1]Capital!D46</f>
        <v>23285.843624200003</v>
      </c>
      <c r="F179" s="5">
        <f>[1]Capital!E42+[1]Capital!E46</f>
        <v>23464.153930600001</v>
      </c>
      <c r="G179" s="5">
        <f>[1]Capital!F42+[1]Capital!F46</f>
        <v>23635.465069599999</v>
      </c>
      <c r="H179" s="5">
        <f>[1]Capital!G42+[1]Capital!G46</f>
        <v>23803.210536499999</v>
      </c>
      <c r="I179" s="5">
        <f>[1]Capital!H42+[1]Capital!H46</f>
        <v>23969.468009299999</v>
      </c>
      <c r="J179" s="5">
        <f>[1]Capital!I42+[1]Capital!I46</f>
        <v>24136.147976</v>
      </c>
      <c r="K179" s="5">
        <f>[1]Capital!J42+[1]Capital!J46</f>
        <v>24304.898840899998</v>
      </c>
      <c r="L179" s="5">
        <f>[1]Capital!K42+[1]Capital!K46</f>
        <v>24477.057627399998</v>
      </c>
      <c r="M179" s="5">
        <f>[1]Capital!L42+[1]Capital!L46</f>
        <v>24655.004351300002</v>
      </c>
      <c r="N179" s="5">
        <f>[1]Capital!M42+[1]Capital!M46</f>
        <v>24838.7773127</v>
      </c>
      <c r="O179" s="5">
        <f>[1]Capital!N42+[1]Capital!N46</f>
        <v>25028.5267317</v>
      </c>
      <c r="P179" s="5">
        <f>[1]Capital!O42+[1]Capital!O46</f>
        <v>25224.440631399997</v>
      </c>
      <c r="Q179" s="5">
        <f>[1]Capital!P42+[1]Capital!P46</f>
        <v>25426.658534400001</v>
      </c>
      <c r="R179" s="5">
        <f>[1]Capital!Q42+[1]Capital!Q46</f>
        <v>25635.253596399998</v>
      </c>
      <c r="S179" s="5">
        <f>[1]Capital!R42+[1]Capital!R46</f>
        <v>25850.084579400002</v>
      </c>
      <c r="T179" s="5">
        <f>[1]Capital!S42+[1]Capital!S46</f>
        <v>26071.061757300002</v>
      </c>
      <c r="U179" s="5">
        <f>[1]Capital!T42+[1]Capital!T46</f>
        <v>26298.111742900001</v>
      </c>
      <c r="V179" s="5">
        <f>[1]Capital!U42+[1]Capital!U46</f>
        <v>26531.161754700002</v>
      </c>
      <c r="W179" s="5">
        <f>[1]Capital!V42+[1]Capital!V46</f>
        <v>26769.1733265</v>
      </c>
      <c r="X179" s="5">
        <f>[1]Capital!W42+[1]Capital!W46</f>
        <v>27012.4922099</v>
      </c>
      <c r="Y179" s="5">
        <f>[1]Capital!X42+[1]Capital!X46</f>
        <v>27261.298607699999</v>
      </c>
      <c r="Z179" s="5">
        <f>[1]Capital!Y42+[1]Capital!Y46</f>
        <v>27515.659116800001</v>
      </c>
      <c r="AA179" s="5">
        <f>[1]Capital!Z42+[1]Capital!Z46</f>
        <v>27775.597571500002</v>
      </c>
      <c r="AB179" s="5">
        <f>[1]Capital!AA42+[1]Capital!AA46</f>
        <v>28038.3760487</v>
      </c>
      <c r="AC179" s="5">
        <f>[1]Capital!AB42+[1]Capital!AB46</f>
        <v>28303.950493199998</v>
      </c>
      <c r="AD179" s="5">
        <f>[1]Capital!AC42+[1]Capital!AC46</f>
        <v>28572.303006000002</v>
      </c>
      <c r="AE179" s="5">
        <f>[1]Capital!AD42+[1]Capital!AD46</f>
        <v>28843.385679899999</v>
      </c>
      <c r="AF179" s="5">
        <f>[1]Capital!AE42+[1]Capital!AE46</f>
        <v>29117.1714029</v>
      </c>
      <c r="AG179" s="5">
        <f>[1]Capital!AF42+[1]Capital!AF46</f>
        <v>29393.671935300001</v>
      </c>
      <c r="AH179" s="5">
        <f>[1]Capital!AG42+[1]Capital!AG46</f>
        <v>29672.9734584</v>
      </c>
      <c r="AI179" s="5">
        <f>[1]Capital!AH42+[1]Capital!AH46</f>
        <v>29955.1746184</v>
      </c>
      <c r="AJ179" s="5">
        <f>[1]Capital!AI42+[1]Capital!AI46</f>
        <v>30240.388838899999</v>
      </c>
      <c r="AK179" s="5">
        <f>[1]Capital!AJ42+[1]Capital!AJ46</f>
        <v>30528.741771700003</v>
      </c>
      <c r="AL179" s="5">
        <f>[1]Capital!AK42+[1]Capital!AK46</f>
        <v>30820.366106699999</v>
      </c>
      <c r="AM179" s="5">
        <f>[1]Capital!AL42+[1]Capital!AL46</f>
        <v>31115.055514600001</v>
      </c>
      <c r="AN179" s="5">
        <f>[1]Capital!AM42+[1]Capital!AM46</f>
        <v>31412.695273999998</v>
      </c>
      <c r="AO179" s="5">
        <f>[1]Capital!AN42+[1]Capital!AN46</f>
        <v>31713.244684199999</v>
      </c>
      <c r="AP179" s="5">
        <f>[1]Capital!AO42+[1]Capital!AO46</f>
        <v>32016.707386499998</v>
      </c>
      <c r="AQ179" s="5">
        <f>[1]Capital!AP42+[1]Capital!AP46</f>
        <v>32323.114566799999</v>
      </c>
      <c r="AR179" s="5">
        <f>[1]Capital!AQ42+[1]Capital!AQ46</f>
        <v>32632.5647455</v>
      </c>
      <c r="AS179" s="5">
        <f>[1]Capital!AR42+[1]Capital!AR46</f>
        <v>32945.139961100002</v>
      </c>
      <c r="AT179" s="5">
        <f>[1]Capital!AS42+[1]Capital!AS46</f>
        <v>33260.915636500002</v>
      </c>
      <c r="AU179" s="5">
        <f>[1]Capital!AT42+[1]Capital!AT46</f>
        <v>33579.9642284</v>
      </c>
      <c r="AV179" s="5">
        <f>[1]Capital!AU42+[1]Capital!AU46</f>
        <v>33902.354702000004</v>
      </c>
      <c r="AW179" s="5">
        <f>[1]Capital!AV42+[1]Capital!AV46</f>
        <v>34228.382391799998</v>
      </c>
      <c r="AX179" s="5">
        <f>[1]Capital!AW42+[1]Capital!AW46</f>
        <v>34558.230159300001</v>
      </c>
      <c r="AY179" s="5">
        <f>[1]Capital!AX42+[1]Capital!AX46</f>
        <v>34892.028388299994</v>
      </c>
      <c r="AZ179" s="5">
        <f>[1]Capital!AY42+[1]Capital!AY46</f>
        <v>35229.884606</v>
      </c>
      <c r="BA179" s="5">
        <f>[1]Capital!AZ42+[1]Capital!AZ46</f>
        <v>35571.890802400005</v>
      </c>
      <c r="BB179" s="5">
        <f>[1]Capital!BA42+[1]Capital!BA46</f>
        <v>35918.227896000004</v>
      </c>
      <c r="BC179" s="5">
        <f>[1]Capital!BB42+[1]Capital!BB46</f>
        <v>36269.002465799997</v>
      </c>
      <c r="BD179" s="5">
        <f>[1]Capital!BC42+[1]Capital!BC46</f>
        <v>36624.278838900005</v>
      </c>
      <c r="BE179" s="5">
        <f>[1]Capital!BD42+[1]Capital!BD46</f>
        <v>36984.097027199998</v>
      </c>
      <c r="BF179" s="5">
        <f>[1]Capital!BE42+[1]Capital!BE46</f>
        <v>37348.4802642</v>
      </c>
    </row>
    <row r="180" spans="1:58" x14ac:dyDescent="0.35">
      <c r="B180" t="s">
        <v>36</v>
      </c>
      <c r="C180" s="5">
        <f>[1]Capital!B44+[1]Capital!B48</f>
        <v>1939.2744991000002</v>
      </c>
      <c r="D180" s="5">
        <f>[1]Capital!C44+[1]Capital!C48</f>
        <v>1956.8648966000001</v>
      </c>
      <c r="E180" s="5">
        <f>[1]Capital!D44+[1]Capital!D48</f>
        <v>1973.0320177999999</v>
      </c>
      <c r="F180" s="5">
        <f>[1]Capital!E44+[1]Capital!E48</f>
        <v>1988.0838222999998</v>
      </c>
      <c r="G180" s="5">
        <f>[1]Capital!F44+[1]Capital!F48</f>
        <v>2002.3534255</v>
      </c>
      <c r="H180" s="5">
        <f>[1]Capital!G44+[1]Capital!G48</f>
        <v>2016.1625090999999</v>
      </c>
      <c r="I180" s="5">
        <f>[1]Capital!H44+[1]Capital!H48</f>
        <v>2029.726672</v>
      </c>
      <c r="J180" s="5">
        <f>[1]Capital!I44+[1]Capital!I48</f>
        <v>2043.2388136</v>
      </c>
      <c r="K180" s="5">
        <f>[1]Capital!J44+[1]Capital!J48</f>
        <v>2056.8595157999998</v>
      </c>
      <c r="L180" s="5">
        <f>[1]Capital!K44+[1]Capital!K48</f>
        <v>2070.7160202999999</v>
      </c>
      <c r="M180" s="5">
        <f>[1]Capital!L44+[1]Capital!L48</f>
        <v>2085.0100056000001</v>
      </c>
      <c r="N180" s="5">
        <f>[1]Capital!M44+[1]Capital!M48</f>
        <v>2099.7598281</v>
      </c>
      <c r="O180" s="5">
        <f>[1]Capital!N44+[1]Capital!N48</f>
        <v>2114.9907361</v>
      </c>
      <c r="P180" s="5">
        <f>[1]Capital!O44+[1]Capital!O48</f>
        <v>2130.7279822999999</v>
      </c>
      <c r="Q180" s="5">
        <f>[1]Capital!P44+[1]Capital!P48</f>
        <v>2146.9909105000002</v>
      </c>
      <c r="R180" s="5">
        <f>[1]Capital!Q44+[1]Capital!Q48</f>
        <v>2163.7921292999999</v>
      </c>
      <c r="S180" s="5">
        <f>[1]Capital!R44+[1]Capital!R48</f>
        <v>2181.1263950000002</v>
      </c>
      <c r="T180" s="5">
        <f>[1]Capital!S44+[1]Capital!S48</f>
        <v>2198.9911504000002</v>
      </c>
      <c r="U180" s="5">
        <f>[1]Capital!T44+[1]Capital!T48</f>
        <v>2217.3837226000001</v>
      </c>
      <c r="V180" s="5">
        <f>[1]Capital!U44+[1]Capital!U48</f>
        <v>2236.3002658</v>
      </c>
      <c r="W180" s="5">
        <f>[1]Capital!V44+[1]Capital!V48</f>
        <v>2255.6614341</v>
      </c>
      <c r="X180" s="5">
        <f>[1]Capital!W44+[1]Capital!W48</f>
        <v>2275.4928572999997</v>
      </c>
      <c r="Y180" s="5">
        <f>[1]Capital!X44+[1]Capital!X48</f>
        <v>2295.8062100000002</v>
      </c>
      <c r="Z180" s="5">
        <f>[1]Capital!Y44+[1]Capital!Y48</f>
        <v>2316.6044343999997</v>
      </c>
      <c r="AA180" s="5">
        <f>[1]Capital!Z44+[1]Capital!Z48</f>
        <v>2337.8870113000003</v>
      </c>
      <c r="AB180" s="5">
        <f>[1]Capital!AA44+[1]Capital!AA48</f>
        <v>2359.4402158000003</v>
      </c>
      <c r="AC180" s="5">
        <f>[1]Capital!AB44+[1]Capital!AB48</f>
        <v>2381.255474</v>
      </c>
      <c r="AD180" s="5">
        <f>[1]Capital!AC44+[1]Capital!AC48</f>
        <v>2403.3238710000001</v>
      </c>
      <c r="AE180" s="5">
        <f>[1]Capital!AD44+[1]Capital!AD48</f>
        <v>2425.6346586</v>
      </c>
      <c r="AF180" s="5">
        <f>[1]Capital!AE44+[1]Capital!AE48</f>
        <v>2448.1794244000002</v>
      </c>
      <c r="AG180" s="5">
        <f>[1]Capital!AF44+[1]Capital!AF48</f>
        <v>2470.9534352999999</v>
      </c>
      <c r="AH180" s="5">
        <f>[1]Capital!AG44+[1]Capital!AG48</f>
        <v>2493.958228</v>
      </c>
      <c r="AI180" s="5">
        <f>[1]Capital!AH44+[1]Capital!AH48</f>
        <v>2517.1967033999999</v>
      </c>
      <c r="AJ180" s="5">
        <f>[1]Capital!AI44+[1]Capital!AI48</f>
        <v>2540.6732422999999</v>
      </c>
      <c r="AK180" s="5">
        <f>[1]Capital!AJ44+[1]Capital!AJ48</f>
        <v>2564.3934325</v>
      </c>
      <c r="AL180" s="5">
        <f>[1]Capital!AK44+[1]Capital!AK48</f>
        <v>2588.3636407999998</v>
      </c>
      <c r="AM180" s="5">
        <f>[1]Capital!AL44+[1]Capital!AL48</f>
        <v>2612.5642269</v>
      </c>
      <c r="AN180" s="5">
        <f>[1]Capital!AM44+[1]Capital!AM48</f>
        <v>2636.9824516999997</v>
      </c>
      <c r="AO180" s="5">
        <f>[1]Capital!AN44+[1]Capital!AN48</f>
        <v>2661.6112301000003</v>
      </c>
      <c r="AP180" s="5">
        <f>[1]Capital!AO44+[1]Capital!AO48</f>
        <v>2686.4472178000001</v>
      </c>
      <c r="AQ180" s="5">
        <f>[1]Capital!AP44+[1]Capital!AP48</f>
        <v>2711.4897473000001</v>
      </c>
      <c r="AR180" s="5">
        <f>[1]Capital!AQ44+[1]Capital!AQ48</f>
        <v>2736.7439608999998</v>
      </c>
      <c r="AS180" s="5">
        <f>[1]Capital!AR44+[1]Capital!AR48</f>
        <v>2762.2143686999998</v>
      </c>
      <c r="AT180" s="5">
        <f>[1]Capital!AS44+[1]Capital!AS48</f>
        <v>2787.9056138999999</v>
      </c>
      <c r="AU180" s="5">
        <f>[1]Capital!AT44+[1]Capital!AT48</f>
        <v>2813.8226535000003</v>
      </c>
      <c r="AV180" s="5">
        <f>[1]Capital!AU44+[1]Capital!AU48</f>
        <v>2839.9706034000001</v>
      </c>
      <c r="AW180" s="5">
        <f>[1]Capital!AV44+[1]Capital!AV48</f>
        <v>2866.3717656999997</v>
      </c>
      <c r="AX180" s="5">
        <f>[1]Capital!AW44+[1]Capital!AW48</f>
        <v>2893.0391325000001</v>
      </c>
      <c r="AY180" s="5">
        <f>[1]Capital!AX44+[1]Capital!AX48</f>
        <v>2919.9811272999996</v>
      </c>
      <c r="AZ180" s="5">
        <f>[1]Capital!AY44+[1]Capital!AY48</f>
        <v>2947.2039810000001</v>
      </c>
      <c r="BA180" s="5">
        <f>[1]Capital!AZ44+[1]Capital!AZ48</f>
        <v>2974.7125071</v>
      </c>
      <c r="BB180" s="5">
        <f>[1]Capital!BA44+[1]Capital!BA48</f>
        <v>3002.5182913999997</v>
      </c>
      <c r="BC180" s="5">
        <f>[1]Capital!BB44+[1]Capital!BB48</f>
        <v>3030.6272833000003</v>
      </c>
      <c r="BD180" s="5">
        <f>[1]Capital!BC44+[1]Capital!BC48</f>
        <v>3059.0424340999998</v>
      </c>
      <c r="BE180" s="5">
        <f>[1]Capital!BD44+[1]Capital!BD48</f>
        <v>3087.7650444999999</v>
      </c>
      <c r="BF180" s="5">
        <f>[1]Capital!BE44+[1]Capital!BE48</f>
        <v>3116.7952786000001</v>
      </c>
    </row>
    <row r="181" spans="1:58" x14ac:dyDescent="0.35">
      <c r="B181" t="s">
        <v>33</v>
      </c>
      <c r="C181" s="5">
        <f>[1]Capital!B50+[1]Capital!B52+[1]Capital!B54+[1]Capital!B56+[1]Capital!B58+[1]Capital!B60+[1]Capital!B62+[1]Capital!B64+[1]Capital!B66</f>
        <v>40264.247912809995</v>
      </c>
      <c r="D181" s="5">
        <f>[1]Capital!C50+[1]Capital!C52+[1]Capital!C54+[1]Capital!C56+[1]Capital!C58+[1]Capital!C60+[1]Capital!C62+[1]Capital!C64+[1]Capital!C66</f>
        <v>40660.003361499999</v>
      </c>
      <c r="E181" s="5">
        <f>[1]Capital!D50+[1]Capital!D52+[1]Capital!D54+[1]Capital!D56+[1]Capital!D58+[1]Capital!D60+[1]Capital!D62+[1]Capital!D64+[1]Capital!D66</f>
        <v>41031.701469209998</v>
      </c>
      <c r="F181" s="5">
        <f>[1]Capital!E50+[1]Capital!E52+[1]Capital!E54+[1]Capital!E56+[1]Capital!E58+[1]Capital!E60+[1]Capital!E62+[1]Capital!E64+[1]Capital!E66</f>
        <v>41383.660844020007</v>
      </c>
      <c r="G181" s="5">
        <f>[1]Capital!F50+[1]Capital!F52+[1]Capital!F54+[1]Capital!F56+[1]Capital!F58+[1]Capital!F60+[1]Capital!F62+[1]Capital!F64+[1]Capital!F66</f>
        <v>41720.877247950011</v>
      </c>
      <c r="H181" s="5">
        <f>[1]Capital!G50+[1]Capital!G52+[1]Capital!G54+[1]Capital!G56+[1]Capital!G58+[1]Capital!G60+[1]Capital!G62+[1]Capital!G64+[1]Capital!G66</f>
        <v>42048.270468229995</v>
      </c>
      <c r="I181" s="5">
        <f>[1]Capital!H50+[1]Capital!H52+[1]Capital!H54+[1]Capital!H56+[1]Capital!H58+[1]Capital!H60+[1]Capital!H62+[1]Capital!H64+[1]Capital!H66</f>
        <v>42368.646982650003</v>
      </c>
      <c r="J181" s="5">
        <f>[1]Capital!I50+[1]Capital!I52+[1]Capital!I54+[1]Capital!I56+[1]Capital!I58+[1]Capital!I60+[1]Capital!I62+[1]Capital!I64+[1]Capital!I66</f>
        <v>42684.33706523</v>
      </c>
      <c r="K181" s="5">
        <f>[1]Capital!J50+[1]Capital!J52+[1]Capital!J54+[1]Capital!J56+[1]Capital!J58+[1]Capital!J60+[1]Capital!J62+[1]Capital!J64+[1]Capital!J66</f>
        <v>42997.418619470001</v>
      </c>
      <c r="L181" s="5">
        <f>[1]Capital!K50+[1]Capital!K52+[1]Capital!K54+[1]Capital!K56+[1]Capital!K58+[1]Capital!K60+[1]Capital!K62+[1]Capital!K64+[1]Capital!K66</f>
        <v>43309.651418829999</v>
      </c>
      <c r="M181" s="5">
        <f>[1]Capital!L50+[1]Capital!L52+[1]Capital!L54+[1]Capital!L56+[1]Capital!L58+[1]Capital!L60+[1]Capital!L62+[1]Capital!L64+[1]Capital!L66</f>
        <v>43624.641212749993</v>
      </c>
      <c r="N181" s="5">
        <f>[1]Capital!M50+[1]Capital!M52+[1]Capital!M54+[1]Capital!M56+[1]Capital!M58+[1]Capital!M60+[1]Capital!M62+[1]Capital!M64+[1]Capital!M66</f>
        <v>43942.476396549995</v>
      </c>
      <c r="O181" s="5">
        <f>[1]Capital!N50+[1]Capital!N52+[1]Capital!N54+[1]Capital!N56+[1]Capital!N58+[1]Capital!N60+[1]Capital!N62+[1]Capital!N64+[1]Capital!N66</f>
        <v>44262.986573260001</v>
      </c>
      <c r="P181" s="5">
        <f>[1]Capital!O50+[1]Capital!O52+[1]Capital!O54+[1]Capital!O56+[1]Capital!O58+[1]Capital!O60+[1]Capital!O62+[1]Capital!O64+[1]Capital!O66</f>
        <v>44586.032907979999</v>
      </c>
      <c r="Q181" s="5">
        <f>[1]Capital!P50+[1]Capital!P52+[1]Capital!P54+[1]Capital!P56+[1]Capital!P58+[1]Capital!P60+[1]Capital!P62+[1]Capital!P64+[1]Capital!P66</f>
        <v>44911.467966280004</v>
      </c>
      <c r="R181" s="5">
        <f>[1]Capital!Q50+[1]Capital!Q52+[1]Capital!Q54+[1]Capital!Q56+[1]Capital!Q58+[1]Capital!Q60+[1]Capital!Q62+[1]Capital!Q64+[1]Capital!Q66</f>
        <v>45239.118381500004</v>
      </c>
      <c r="S181" s="5">
        <f>[1]Capital!R50+[1]Capital!R52+[1]Capital!R54+[1]Capital!R56+[1]Capital!R58+[1]Capital!R60+[1]Capital!R62+[1]Capital!R64+[1]Capital!R66</f>
        <v>45568.6389318</v>
      </c>
      <c r="T181" s="5">
        <f>[1]Capital!S50+[1]Capital!S52+[1]Capital!S54+[1]Capital!S56+[1]Capital!S58+[1]Capital!S60+[1]Capital!S62+[1]Capital!S64+[1]Capital!S66</f>
        <v>45899.770931099993</v>
      </c>
      <c r="U181" s="5">
        <f>[1]Capital!T50+[1]Capital!T52+[1]Capital!T54+[1]Capital!T56+[1]Capital!T58+[1]Capital!T60+[1]Capital!T62+[1]Capital!T64+[1]Capital!T66</f>
        <v>46232.33982411999</v>
      </c>
      <c r="V181" s="5">
        <f>[1]Capital!U50+[1]Capital!U52+[1]Capital!U54+[1]Capital!U56+[1]Capital!U58+[1]Capital!U60+[1]Capital!U62+[1]Capital!U64+[1]Capital!U66</f>
        <v>46566.249576099988</v>
      </c>
      <c r="W181" s="5">
        <f>[1]Capital!V50+[1]Capital!V52+[1]Capital!V54+[1]Capital!V56+[1]Capital!V58+[1]Capital!V60+[1]Capital!V62+[1]Capital!V64+[1]Capital!V66</f>
        <v>46899.886622990001</v>
      </c>
      <c r="X181" s="5">
        <f>[1]Capital!W50+[1]Capital!W52+[1]Capital!W54+[1]Capital!W56+[1]Capital!W58+[1]Capital!W60+[1]Capital!W62+[1]Capital!W64+[1]Capital!W66</f>
        <v>47233.823084039992</v>
      </c>
      <c r="Y181" s="5">
        <f>[1]Capital!X50+[1]Capital!X52+[1]Capital!X54+[1]Capital!X56+[1]Capital!X58+[1]Capital!X60+[1]Capital!X62+[1]Capital!X64+[1]Capital!X66</f>
        <v>47568.694466070017</v>
      </c>
      <c r="Z181" s="5">
        <f>[1]Capital!Y50+[1]Capital!Y52+[1]Capital!Y54+[1]Capital!Y56+[1]Capital!Y58+[1]Capital!Y60+[1]Capital!Y62+[1]Capital!Y64+[1]Capital!Y66</f>
        <v>47905.030512539997</v>
      </c>
      <c r="AA181" s="5">
        <f>[1]Capital!Z50+[1]Capital!Z52+[1]Capital!Z54+[1]Capital!Z56+[1]Capital!Z58+[1]Capital!Z60+[1]Capital!Z62+[1]Capital!Z64+[1]Capital!Z66</f>
        <v>48243.317427270005</v>
      </c>
      <c r="AB181" s="5">
        <f>[1]Capital!AA50+[1]Capital!AA52+[1]Capital!AA54+[1]Capital!AA56+[1]Capital!AA58+[1]Capital!AA60+[1]Capital!AA62+[1]Capital!AA64+[1]Capital!AA66</f>
        <v>48579.543993309999</v>
      </c>
      <c r="AC181" s="5">
        <f>[1]Capital!AB50+[1]Capital!AB52+[1]Capital!AB54+[1]Capital!AB56+[1]Capital!AB58+[1]Capital!AB60+[1]Capital!AB62+[1]Capital!AB64+[1]Capital!AB66</f>
        <v>48913.574254229992</v>
      </c>
      <c r="AD181" s="5">
        <f>[1]Capital!AC50+[1]Capital!AC52+[1]Capital!AC54+[1]Capital!AC56+[1]Capital!AC58+[1]Capital!AC60+[1]Capital!AC62+[1]Capital!AC64+[1]Capital!AC66</f>
        <v>49245.864640540007</v>
      </c>
      <c r="AE181" s="5">
        <f>[1]Capital!AD50+[1]Capital!AD52+[1]Capital!AD54+[1]Capital!AD56+[1]Capital!AD58+[1]Capital!AD60+[1]Capital!AD62+[1]Capital!AD64+[1]Capital!AD66</f>
        <v>49576.993064369999</v>
      </c>
      <c r="AF181" s="5">
        <f>[1]Capital!AE50+[1]Capital!AE52+[1]Capital!AE54+[1]Capital!AE56+[1]Capital!AE58+[1]Capital!AE60+[1]Capital!AE62+[1]Capital!AE64+[1]Capital!AE66</f>
        <v>49907.614723089995</v>
      </c>
      <c r="AG181" s="5">
        <f>[1]Capital!AF50+[1]Capital!AF52+[1]Capital!AF54+[1]Capital!AF56+[1]Capital!AF58+[1]Capital!AF60+[1]Capital!AF62+[1]Capital!AF64+[1]Capital!AF66</f>
        <v>50238.45543128001</v>
      </c>
      <c r="AH181" s="5">
        <f>[1]Capital!AG50+[1]Capital!AG52+[1]Capital!AG54+[1]Capital!AG56+[1]Capital!AG58+[1]Capital!AG60+[1]Capital!AG62+[1]Capital!AG64+[1]Capital!AG66</f>
        <v>50570.332670399999</v>
      </c>
      <c r="AI181" s="5">
        <f>[1]Capital!AH50+[1]Capital!AH52+[1]Capital!AH54+[1]Capital!AH56+[1]Capital!AH58+[1]Capital!AH60+[1]Capital!AH62+[1]Capital!AH64+[1]Capital!AH66</f>
        <v>50904.086385930008</v>
      </c>
      <c r="AJ181" s="5">
        <f>[1]Capital!AI50+[1]Capital!AI52+[1]Capital!AI54+[1]Capital!AI56+[1]Capital!AI58+[1]Capital!AI60+[1]Capital!AI62+[1]Capital!AI64+[1]Capital!AI66</f>
        <v>51240.564580289996</v>
      </c>
      <c r="AK181" s="5">
        <f>[1]Capital!AJ50+[1]Capital!AJ52+[1]Capital!AJ54+[1]Capital!AJ56+[1]Capital!AJ58+[1]Capital!AJ60+[1]Capital!AJ62+[1]Capital!AJ64+[1]Capital!AJ66</f>
        <v>51580.609255309995</v>
      </c>
      <c r="AL181" s="5">
        <f>[1]Capital!AK50+[1]Capital!AK52+[1]Capital!AK54+[1]Capital!AK56+[1]Capital!AK58+[1]Capital!AK60+[1]Capital!AK62+[1]Capital!AK64+[1]Capital!AK66</f>
        <v>51925.041739629996</v>
      </c>
      <c r="AM181" s="5">
        <f>[1]Capital!AL50+[1]Capital!AL52+[1]Capital!AL54+[1]Capital!AL56+[1]Capital!AL58+[1]Capital!AL60+[1]Capital!AL62+[1]Capital!AL64+[1]Capital!AL66</f>
        <v>52273.913815119995</v>
      </c>
      <c r="AN181" s="5">
        <f>[1]Capital!AM50+[1]Capital!AM52+[1]Capital!AM54+[1]Capital!AM56+[1]Capital!AM58+[1]Capital!AM60+[1]Capital!AM62+[1]Capital!AM64+[1]Capital!AM66</f>
        <v>52627.41069456</v>
      </c>
      <c r="AO181" s="5">
        <f>[1]Capital!AN50+[1]Capital!AN52+[1]Capital!AN54+[1]Capital!AN56+[1]Capital!AN58+[1]Capital!AN60+[1]Capital!AN62+[1]Capital!AN64+[1]Capital!AN66</f>
        <v>52985.886184559997</v>
      </c>
      <c r="AP181" s="5">
        <f>[1]Capital!AO50+[1]Capital!AO52+[1]Capital!AO54+[1]Capital!AO56+[1]Capital!AO58+[1]Capital!AO60+[1]Capital!AO62+[1]Capital!AO64+[1]Capital!AO66</f>
        <v>53349.787328279992</v>
      </c>
      <c r="AQ181" s="5">
        <f>[1]Capital!AP50+[1]Capital!AP52+[1]Capital!AP54+[1]Capital!AP56+[1]Capital!AP58+[1]Capital!AP60+[1]Capital!AP62+[1]Capital!AP64+[1]Capital!AP66</f>
        <v>53719.597404959997</v>
      </c>
      <c r="AR181" s="5">
        <f>[1]Capital!AQ50+[1]Capital!AQ52+[1]Capital!AQ54+[1]Capital!AQ56+[1]Capital!AQ58+[1]Capital!AQ60+[1]Capital!AQ62+[1]Capital!AQ64+[1]Capital!AQ66</f>
        <v>54095.850887210006</v>
      </c>
      <c r="AS181" s="5">
        <f>[1]Capital!AR50+[1]Capital!AR52+[1]Capital!AR54+[1]Capital!AR56+[1]Capital!AR58+[1]Capital!AR60+[1]Capital!AR62+[1]Capital!AR64+[1]Capital!AR66</f>
        <v>54479.046312890001</v>
      </c>
      <c r="AT181" s="5">
        <f>[1]Capital!AS50+[1]Capital!AS52+[1]Capital!AS54+[1]Capital!AS56+[1]Capital!AS58+[1]Capital!AS60+[1]Capital!AS62+[1]Capital!AS64+[1]Capital!AS66</f>
        <v>54869.644288380005</v>
      </c>
      <c r="AU181" s="5">
        <f>[1]Capital!AT50+[1]Capital!AT52+[1]Capital!AT54+[1]Capital!AT56+[1]Capital!AT58+[1]Capital!AT60+[1]Capital!AT62+[1]Capital!AT64+[1]Capital!AT66</f>
        <v>55268.068403800011</v>
      </c>
      <c r="AV181" s="5">
        <f>[1]Capital!AU50+[1]Capital!AU52+[1]Capital!AU54+[1]Capital!AU56+[1]Capital!AU58+[1]Capital!AU60+[1]Capital!AU62+[1]Capital!AU64+[1]Capital!AU66</f>
        <v>55674.705342640002</v>
      </c>
      <c r="AW181" s="5">
        <f>[1]Capital!AV50+[1]Capital!AV52+[1]Capital!AV54+[1]Capital!AV56+[1]Capital!AV58+[1]Capital!AV60+[1]Capital!AV62+[1]Capital!AV64+[1]Capital!AV66</f>
        <v>56090.17719609999</v>
      </c>
      <c r="AX181" s="5">
        <f>[1]Capital!AW50+[1]Capital!AW52+[1]Capital!AW54+[1]Capital!AW56+[1]Capital!AW58+[1]Capital!AW60+[1]Capital!AW62+[1]Capital!AW64+[1]Capital!AW66</f>
        <v>56515.014524719998</v>
      </c>
      <c r="AY181" s="5">
        <f>[1]Capital!AX50+[1]Capital!AX52+[1]Capital!AX54+[1]Capital!AX56+[1]Capital!AX58+[1]Capital!AX60+[1]Capital!AX62+[1]Capital!AX64+[1]Capital!AX66</f>
        <v>56949.692235390001</v>
      </c>
      <c r="AZ181" s="5">
        <f>[1]Capital!AY50+[1]Capital!AY52+[1]Capital!AY54+[1]Capital!AY56+[1]Capital!AY58+[1]Capital!AY60+[1]Capital!AY62+[1]Capital!AY64+[1]Capital!AY66</f>
        <v>57394.65366566</v>
      </c>
      <c r="BA181" s="5">
        <f>[1]Capital!AZ50+[1]Capital!AZ52+[1]Capital!AZ54+[1]Capital!AZ56+[1]Capital!AZ58+[1]Capital!AZ60+[1]Capital!AZ62+[1]Capital!AZ64+[1]Capital!AZ66</f>
        <v>57850.311319709996</v>
      </c>
      <c r="BB181" s="5">
        <f>[1]Capital!BA50+[1]Capital!BA52+[1]Capital!BA54+[1]Capital!BA56+[1]Capital!BA58+[1]Capital!BA60+[1]Capital!BA62+[1]Capital!BA64+[1]Capital!BA66</f>
        <v>58317.142607600006</v>
      </c>
      <c r="BC181" s="5">
        <f>[1]Capital!BB50+[1]Capital!BB52+[1]Capital!BB54+[1]Capital!BB56+[1]Capital!BB58+[1]Capital!BB60+[1]Capital!BB62+[1]Capital!BB64+[1]Capital!BB66</f>
        <v>58795.543151530008</v>
      </c>
      <c r="BD181" s="5">
        <f>[1]Capital!BC50+[1]Capital!BC52+[1]Capital!BC54+[1]Capital!BC56+[1]Capital!BC58+[1]Capital!BC60+[1]Capital!BC62+[1]Capital!BC64+[1]Capital!BC66</f>
        <v>59285.846595129995</v>
      </c>
      <c r="BE181" s="5">
        <f>[1]Capital!BD50+[1]Capital!BD52+[1]Capital!BD54+[1]Capital!BD56+[1]Capital!BD58+[1]Capital!BD60+[1]Capital!BD62+[1]Capital!BD64+[1]Capital!BD66</f>
        <v>59788.343682930004</v>
      </c>
      <c r="BF181" s="5">
        <f>[1]Capital!BE50+[1]Capital!BE52+[1]Capital!BE54+[1]Capital!BE56+[1]Capital!BE58+[1]Capital!BE60+[1]Capital!BE62+[1]Capital!BE64+[1]Capital!BE66</f>
        <v>60303.293920060001</v>
      </c>
    </row>
    <row r="182" spans="1:58" x14ac:dyDescent="0.35"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</row>
    <row r="183" spans="1:58" x14ac:dyDescent="0.35">
      <c r="C183" s="2">
        <v>42005</v>
      </c>
      <c r="D183" s="2">
        <v>42370</v>
      </c>
      <c r="E183" s="2">
        <v>42736</v>
      </c>
      <c r="F183" s="2">
        <v>43101</v>
      </c>
      <c r="G183" s="2">
        <v>43466</v>
      </c>
      <c r="H183" s="2">
        <v>43831</v>
      </c>
      <c r="I183" s="2">
        <v>44197</v>
      </c>
      <c r="J183" s="2">
        <v>44562</v>
      </c>
      <c r="K183" s="2">
        <v>44927</v>
      </c>
      <c r="L183" s="2">
        <v>45292</v>
      </c>
      <c r="M183" s="2">
        <v>45658</v>
      </c>
      <c r="N183" s="2">
        <v>46023</v>
      </c>
      <c r="O183" s="2">
        <v>46388</v>
      </c>
      <c r="P183" s="2">
        <v>46753</v>
      </c>
      <c r="Q183" s="2">
        <v>47119</v>
      </c>
      <c r="R183" s="2">
        <v>47484</v>
      </c>
      <c r="S183" s="2">
        <v>47849</v>
      </c>
      <c r="T183" s="2">
        <v>48214</v>
      </c>
      <c r="U183" s="2">
        <v>48580</v>
      </c>
      <c r="V183" s="2">
        <v>48945</v>
      </c>
      <c r="W183" s="2">
        <v>49310</v>
      </c>
      <c r="X183" s="2">
        <v>49675</v>
      </c>
      <c r="Y183" s="2">
        <v>50041</v>
      </c>
      <c r="Z183" s="2">
        <v>50406</v>
      </c>
      <c r="AA183" s="2">
        <v>50771</v>
      </c>
      <c r="AB183" s="2">
        <v>51136</v>
      </c>
      <c r="AC183" s="2">
        <v>51502</v>
      </c>
      <c r="AD183" s="2">
        <v>51867</v>
      </c>
      <c r="AE183" s="2">
        <v>52232</v>
      </c>
      <c r="AF183" s="2">
        <v>52597</v>
      </c>
      <c r="AG183" s="2">
        <v>52963</v>
      </c>
      <c r="AH183" s="2">
        <v>53328</v>
      </c>
      <c r="AI183" s="2">
        <v>53693</v>
      </c>
      <c r="AJ183" s="2">
        <v>54058</v>
      </c>
      <c r="AK183" s="2">
        <v>54424</v>
      </c>
      <c r="AL183" s="2">
        <v>54789</v>
      </c>
      <c r="AM183" s="2">
        <v>54790</v>
      </c>
      <c r="AN183" s="2">
        <v>54791</v>
      </c>
      <c r="AO183" s="2">
        <v>54792</v>
      </c>
      <c r="AP183" s="2">
        <v>54793</v>
      </c>
      <c r="AQ183" s="2">
        <v>54794</v>
      </c>
      <c r="AR183" s="2">
        <v>54795</v>
      </c>
      <c r="AS183" s="2">
        <v>54796</v>
      </c>
      <c r="AT183" s="2">
        <v>54797</v>
      </c>
      <c r="AU183" s="2">
        <v>54798</v>
      </c>
      <c r="AV183" s="2">
        <v>54799</v>
      </c>
      <c r="AW183" s="2">
        <v>54800</v>
      </c>
      <c r="AX183" s="2">
        <v>54801</v>
      </c>
      <c r="AY183" s="2">
        <v>54802</v>
      </c>
      <c r="AZ183" s="2">
        <v>54803</v>
      </c>
      <c r="BA183" s="2">
        <v>54804</v>
      </c>
      <c r="BB183" s="2">
        <v>54805</v>
      </c>
      <c r="BC183" s="2">
        <v>54806</v>
      </c>
      <c r="BD183" s="2">
        <v>54807</v>
      </c>
      <c r="BE183" s="2">
        <v>54808</v>
      </c>
      <c r="BF183" s="2">
        <v>54809</v>
      </c>
    </row>
    <row r="184" spans="1:58" x14ac:dyDescent="0.35">
      <c r="A184" s="12" t="s">
        <v>42</v>
      </c>
      <c r="B184" t="s">
        <v>40</v>
      </c>
      <c r="C184" s="9">
        <f t="shared" ref="C184:AL184" si="68">C174/C136/(C164/C125)-1</f>
        <v>1.7669816273271577E-2</v>
      </c>
      <c r="D184" s="9">
        <f t="shared" si="68"/>
        <v>2.1471295631525944E-2</v>
      </c>
      <c r="E184" s="9">
        <f t="shared" si="68"/>
        <v>2.3367328796139786E-2</v>
      </c>
      <c r="F184" s="9">
        <f t="shared" si="68"/>
        <v>2.4214219073043441E-2</v>
      </c>
      <c r="G184" s="9">
        <f t="shared" si="68"/>
        <v>2.4332977794974564E-2</v>
      </c>
      <c r="H184" s="9">
        <f t="shared" si="68"/>
        <v>2.3898130691635711E-2</v>
      </c>
      <c r="I184" s="9">
        <f t="shared" si="68"/>
        <v>2.3052441696321146E-2</v>
      </c>
      <c r="J184" s="9">
        <f t="shared" si="68"/>
        <v>2.1878574083665558E-2</v>
      </c>
      <c r="K184" s="9">
        <f t="shared" si="68"/>
        <v>2.0458734194109374E-2</v>
      </c>
      <c r="L184" s="9">
        <f t="shared" si="68"/>
        <v>1.8864661797890037E-2</v>
      </c>
      <c r="M184" s="9">
        <f t="shared" si="68"/>
        <v>1.715126917240406E-2</v>
      </c>
      <c r="N184" s="9">
        <f t="shared" si="68"/>
        <v>1.5440109192900398E-2</v>
      </c>
      <c r="O184" s="9">
        <f t="shared" si="68"/>
        <v>1.3704011735488297E-2</v>
      </c>
      <c r="P184" s="9">
        <f t="shared" si="68"/>
        <v>1.1959263558847466E-2</v>
      </c>
      <c r="Q184" s="9">
        <f t="shared" si="68"/>
        <v>1.0219402086957263E-2</v>
      </c>
      <c r="R184" s="9">
        <f t="shared" si="68"/>
        <v>8.4948411610676899E-3</v>
      </c>
      <c r="S184" s="9">
        <f t="shared" si="68"/>
        <v>6.8560551458138885E-3</v>
      </c>
      <c r="T184" s="9">
        <f t="shared" si="68"/>
        <v>5.2538283881955472E-3</v>
      </c>
      <c r="U184" s="9">
        <f t="shared" si="68"/>
        <v>3.6865594156365589E-3</v>
      </c>
      <c r="V184" s="9">
        <f t="shared" si="68"/>
        <v>2.1557437523926914E-3</v>
      </c>
      <c r="W184" s="9">
        <f t="shared" si="68"/>
        <v>6.6684364108815508E-4</v>
      </c>
      <c r="X184" s="9">
        <f t="shared" si="68"/>
        <v>-7.834718738185531E-4</v>
      </c>
      <c r="Y184" s="9">
        <f t="shared" si="68"/>
        <v>-2.190213746856684E-3</v>
      </c>
      <c r="Z184" s="9">
        <f t="shared" si="68"/>
        <v>-3.5499902215636592E-3</v>
      </c>
      <c r="AA184" s="9">
        <f t="shared" si="68"/>
        <v>-4.8602256017993284E-3</v>
      </c>
      <c r="AB184" s="9">
        <f t="shared" si="68"/>
        <v>-6.1127979653304854E-3</v>
      </c>
      <c r="AC184" s="9">
        <f t="shared" si="68"/>
        <v>-7.3368028030020849E-3</v>
      </c>
      <c r="AD184" s="9">
        <f t="shared" si="68"/>
        <v>-8.5103147269929291E-3</v>
      </c>
      <c r="AE184" s="9">
        <f t="shared" si="68"/>
        <v>-9.6292764032864797E-3</v>
      </c>
      <c r="AF184" s="9">
        <f t="shared" si="68"/>
        <v>-1.0691318565472452E-2</v>
      </c>
      <c r="AG184" s="9">
        <f t="shared" si="68"/>
        <v>-1.1695168034907888E-2</v>
      </c>
      <c r="AH184" s="9">
        <f t="shared" si="68"/>
        <v>-1.2651582468246048E-2</v>
      </c>
      <c r="AI184" s="9">
        <f t="shared" si="68"/>
        <v>-1.3550538058948125E-2</v>
      </c>
      <c r="AJ184" s="9">
        <f t="shared" si="68"/>
        <v>-1.4390635719898959E-2</v>
      </c>
      <c r="AK184" s="9">
        <f t="shared" si="68"/>
        <v>-1.5171237498899148E-2</v>
      </c>
      <c r="AL184" s="9">
        <f t="shared" si="68"/>
        <v>-1.5892076551685008E-2</v>
      </c>
      <c r="AM184" s="9">
        <f t="shared" ref="AM184:BC184" si="69">AM174/AM136/(AM164/AM125)-1</f>
        <v>-1.6646331244729806E-2</v>
      </c>
      <c r="AN184" s="9">
        <f t="shared" si="69"/>
        <v>-1.7353312653993536E-2</v>
      </c>
      <c r="AO184" s="9">
        <f t="shared" si="69"/>
        <v>-1.8002099921598069E-2</v>
      </c>
      <c r="AP184" s="9">
        <f t="shared" si="69"/>
        <v>-1.8586977090191303E-2</v>
      </c>
      <c r="AQ184" s="9">
        <f t="shared" si="69"/>
        <v>-1.9104803473060317E-2</v>
      </c>
      <c r="AR184" s="9">
        <f t="shared" si="69"/>
        <v>-1.9568329224623371E-2</v>
      </c>
      <c r="AS184" s="9">
        <f t="shared" si="69"/>
        <v>-1.9965294984666482E-2</v>
      </c>
      <c r="AT184" s="9">
        <f t="shared" si="69"/>
        <v>-2.0294375455081393E-2</v>
      </c>
      <c r="AU184" s="9">
        <f t="shared" si="69"/>
        <v>-2.0555577091584953E-2</v>
      </c>
      <c r="AV184" s="9">
        <f t="shared" si="69"/>
        <v>-2.0749698695498253E-2</v>
      </c>
      <c r="AW184" s="9">
        <f t="shared" si="69"/>
        <v>-2.0923286557273935E-2</v>
      </c>
      <c r="AX184" s="9">
        <f t="shared" si="69"/>
        <v>-2.1039986707765079E-2</v>
      </c>
      <c r="AY184" s="9">
        <f t="shared" si="69"/>
        <v>-2.1095720471470902E-2</v>
      </c>
      <c r="AZ184" s="9">
        <f t="shared" si="69"/>
        <v>-2.1089884716952501E-2</v>
      </c>
      <c r="BA184" s="9">
        <f t="shared" si="69"/>
        <v>-2.1023690152595642E-2</v>
      </c>
      <c r="BB184" s="9">
        <f t="shared" si="69"/>
        <v>-2.0926184679494697E-2</v>
      </c>
      <c r="BC184" s="9">
        <f t="shared" si="69"/>
        <v>-2.0777885653091244E-2</v>
      </c>
      <c r="BD184" s="9">
        <f t="shared" ref="BD184:BF184" si="70">BD174/BD136/(BD164/BD125)-1</f>
        <v>-2.0578417394191861E-2</v>
      </c>
      <c r="BE184" s="9">
        <f t="shared" si="70"/>
        <v>-2.0329154612667377E-2</v>
      </c>
      <c r="BF184" s="9">
        <f t="shared" si="70"/>
        <v>-2.0032480550186249E-2</v>
      </c>
    </row>
    <row r="185" spans="1:58" x14ac:dyDescent="0.35">
      <c r="A185" t="s">
        <v>85</v>
      </c>
      <c r="B185" t="s">
        <v>7</v>
      </c>
      <c r="C185" s="9">
        <f t="shared" ref="C185:AL185" si="71">C175/C137/(C165/C126)-1</f>
        <v>2.0779828735517203E-2</v>
      </c>
      <c r="D185" s="9">
        <f t="shared" si="71"/>
        <v>2.5298669273953189E-2</v>
      </c>
      <c r="E185" s="9">
        <f t="shared" si="71"/>
        <v>2.7800350821654884E-2</v>
      </c>
      <c r="F185" s="9">
        <f t="shared" si="71"/>
        <v>2.9090693907502407E-2</v>
      </c>
      <c r="G185" s="9">
        <f t="shared" si="71"/>
        <v>2.9444582742712999E-2</v>
      </c>
      <c r="H185" s="9">
        <f t="shared" si="71"/>
        <v>2.9084860600971263E-2</v>
      </c>
      <c r="I185" s="9">
        <f t="shared" si="71"/>
        <v>2.8212729388889413E-2</v>
      </c>
      <c r="J185" s="9">
        <f t="shared" si="71"/>
        <v>2.6950344392216996E-2</v>
      </c>
      <c r="K185" s="9">
        <f t="shared" si="71"/>
        <v>2.5400941111186404E-2</v>
      </c>
      <c r="L185" s="9">
        <f t="shared" si="71"/>
        <v>2.3660681102910974E-2</v>
      </c>
      <c r="M185" s="9">
        <f t="shared" si="71"/>
        <v>2.1815974320463338E-2</v>
      </c>
      <c r="N185" s="9">
        <f t="shared" si="71"/>
        <v>2.0012225092369551E-2</v>
      </c>
      <c r="O185" s="9">
        <f t="shared" si="71"/>
        <v>1.8237947355901785E-2</v>
      </c>
      <c r="P185" s="9">
        <f t="shared" si="71"/>
        <v>1.6521356126180775E-2</v>
      </c>
      <c r="Q185" s="9">
        <f t="shared" si="71"/>
        <v>1.4882540519865817E-2</v>
      </c>
      <c r="R185" s="9">
        <f t="shared" si="71"/>
        <v>1.3334253143865604E-2</v>
      </c>
      <c r="S185" s="9">
        <f t="shared" si="71"/>
        <v>1.1958881187778214E-2</v>
      </c>
      <c r="T185" s="9">
        <f t="shared" si="71"/>
        <v>1.0692877833732295E-2</v>
      </c>
      <c r="U185" s="9">
        <f t="shared" si="71"/>
        <v>9.5305539801717742E-3</v>
      </c>
      <c r="V185" s="9">
        <f t="shared" si="71"/>
        <v>8.467994850303695E-3</v>
      </c>
      <c r="W185" s="9">
        <f t="shared" si="71"/>
        <v>7.4993734004353829E-3</v>
      </c>
      <c r="X185" s="9">
        <f t="shared" si="71"/>
        <v>6.6275089547136457E-3</v>
      </c>
      <c r="Y185" s="9">
        <f t="shared" si="71"/>
        <v>5.8415055663672E-3</v>
      </c>
      <c r="Z185" s="9">
        <f t="shared" si="71"/>
        <v>5.1378424140382517E-3</v>
      </c>
      <c r="AA185" s="9">
        <f t="shared" si="71"/>
        <v>4.5121258129485753E-3</v>
      </c>
      <c r="AB185" s="9">
        <f t="shared" si="71"/>
        <v>3.9495913719616027E-3</v>
      </c>
      <c r="AC185" s="9">
        <f t="shared" si="71"/>
        <v>3.443720541405515E-3</v>
      </c>
      <c r="AD185" s="9">
        <f t="shared" si="71"/>
        <v>2.9982766361593693E-3</v>
      </c>
      <c r="AE185" s="9">
        <f t="shared" si="71"/>
        <v>2.6103718907910523E-3</v>
      </c>
      <c r="AF185" s="9">
        <f t="shared" si="71"/>
        <v>2.2761390688628147E-3</v>
      </c>
      <c r="AG185" s="9">
        <f t="shared" si="71"/>
        <v>1.9909513093996356E-3</v>
      </c>
      <c r="AH185" s="9">
        <f t="shared" si="71"/>
        <v>1.7359491130779503E-3</v>
      </c>
      <c r="AI185" s="9">
        <f t="shared" si="71"/>
        <v>1.5182314664621277E-3</v>
      </c>
      <c r="AJ185" s="9">
        <f t="shared" si="71"/>
        <v>1.3344050611350244E-3</v>
      </c>
      <c r="AK185" s="9">
        <f t="shared" si="71"/>
        <v>1.1808393621033364E-3</v>
      </c>
      <c r="AL185" s="9">
        <f t="shared" si="71"/>
        <v>1.0541597651128054E-3</v>
      </c>
      <c r="AM185" s="9">
        <f t="shared" ref="AM185:BC185" si="72">AM175/AM137/(AM165/AM126)-1</f>
        <v>8.3292031177029102E-4</v>
      </c>
      <c r="AN185" s="9">
        <f t="shared" si="72"/>
        <v>6.224856097978293E-4</v>
      </c>
      <c r="AO185" s="9">
        <f t="shared" si="72"/>
        <v>4.3188377911818066E-4</v>
      </c>
      <c r="AP185" s="9">
        <f t="shared" si="72"/>
        <v>2.6559180153507E-4</v>
      </c>
      <c r="AQ185" s="9">
        <f t="shared" si="72"/>
        <v>1.2631968044551911E-4</v>
      </c>
      <c r="AR185" s="9">
        <f t="shared" si="72"/>
        <v>-1.9562557224128696E-6</v>
      </c>
      <c r="AS185" s="9">
        <f t="shared" si="72"/>
        <v>-1.0364793616401968E-4</v>
      </c>
      <c r="AT185" s="9">
        <f t="shared" si="72"/>
        <v>-1.7704671040275066E-4</v>
      </c>
      <c r="AU185" s="9">
        <f t="shared" si="72"/>
        <v>-2.2179123013255087E-4</v>
      </c>
      <c r="AV185" s="9">
        <f t="shared" si="72"/>
        <v>-2.3862541684349647E-4</v>
      </c>
      <c r="AW185" s="9">
        <f t="shared" si="72"/>
        <v>-2.8783649372032816E-4</v>
      </c>
      <c r="AX185" s="9">
        <f t="shared" si="72"/>
        <v>-3.2542595346907177E-4</v>
      </c>
      <c r="AY185" s="9">
        <f t="shared" si="72"/>
        <v>-3.4749136571676775E-4</v>
      </c>
      <c r="AZ185" s="9">
        <f t="shared" si="72"/>
        <v>-3.5325710929023924E-4</v>
      </c>
      <c r="BA185" s="9">
        <f t="shared" si="72"/>
        <v>-3.4268413760241145E-4</v>
      </c>
      <c r="BB185" s="9">
        <f t="shared" si="72"/>
        <v>-3.4922195187869765E-4</v>
      </c>
      <c r="BC185" s="9">
        <f t="shared" si="72"/>
        <v>-3.4513946470171586E-4</v>
      </c>
      <c r="BD185" s="9">
        <f t="shared" ref="BD185:BF185" si="73">BD175/BD137/(BD165/BD126)-1</f>
        <v>-3.2754004157620198E-4</v>
      </c>
      <c r="BE185" s="9">
        <f t="shared" si="73"/>
        <v>-2.9528733857009382E-4</v>
      </c>
      <c r="BF185" s="9">
        <f t="shared" si="73"/>
        <v>-2.4822407003821656E-4</v>
      </c>
    </row>
    <row r="186" spans="1:58" x14ac:dyDescent="0.35">
      <c r="B186" t="s">
        <v>30</v>
      </c>
      <c r="C186" s="9">
        <f t="shared" ref="C186:AL186" si="74">C176/C138/(C166/C127)-1</f>
        <v>2.6639400872807473E-2</v>
      </c>
      <c r="D186" s="9">
        <f t="shared" si="74"/>
        <v>3.0456161410931992E-2</v>
      </c>
      <c r="E186" s="9">
        <f t="shared" si="74"/>
        <v>3.2286065711995438E-2</v>
      </c>
      <c r="F186" s="9">
        <f t="shared" si="74"/>
        <v>3.3043468506091411E-2</v>
      </c>
      <c r="G186" s="9">
        <f t="shared" si="74"/>
        <v>3.3115568301988585E-2</v>
      </c>
      <c r="H186" s="9">
        <f t="shared" si="74"/>
        <v>3.2707819940363425E-2</v>
      </c>
      <c r="I186" s="9">
        <f t="shared" si="74"/>
        <v>3.1971368451790827E-2</v>
      </c>
      <c r="J186" s="9">
        <f t="shared" si="74"/>
        <v>3.0972020599673078E-2</v>
      </c>
      <c r="K186" s="9">
        <f t="shared" si="74"/>
        <v>2.9774773806700683E-2</v>
      </c>
      <c r="L186" s="9">
        <f t="shared" si="74"/>
        <v>2.8434050089820806E-2</v>
      </c>
      <c r="M186" s="9">
        <f t="shared" si="74"/>
        <v>2.6995363579837228E-2</v>
      </c>
      <c r="N186" s="9">
        <f t="shared" si="74"/>
        <v>2.5589758094110682E-2</v>
      </c>
      <c r="O186" s="9">
        <f t="shared" si="74"/>
        <v>2.4152672511452256E-2</v>
      </c>
      <c r="P186" s="9">
        <f t="shared" si="74"/>
        <v>2.2693254298933541E-2</v>
      </c>
      <c r="Q186" s="9">
        <f t="shared" si="74"/>
        <v>2.1219807827769888E-2</v>
      </c>
      <c r="R186" s="9">
        <f t="shared" si="74"/>
        <v>1.9738832616169821E-2</v>
      </c>
      <c r="S186" s="9">
        <f t="shared" si="74"/>
        <v>1.8351563224425327E-2</v>
      </c>
      <c r="T186" s="9">
        <f t="shared" si="74"/>
        <v>1.696992642360029E-2</v>
      </c>
      <c r="U186" s="9">
        <f t="shared" si="74"/>
        <v>1.5590556835837877E-2</v>
      </c>
      <c r="V186" s="9">
        <f t="shared" si="74"/>
        <v>1.4214143272976987E-2</v>
      </c>
      <c r="W186" s="9">
        <f t="shared" si="74"/>
        <v>1.2843127434883694E-2</v>
      </c>
      <c r="X186" s="9">
        <f t="shared" si="74"/>
        <v>1.148293791656374E-2</v>
      </c>
      <c r="Y186" s="9">
        <f t="shared" si="74"/>
        <v>1.0134186286468561E-2</v>
      </c>
      <c r="Z186" s="9">
        <f t="shared" si="74"/>
        <v>8.8027405330772801E-3</v>
      </c>
      <c r="AA186" s="9">
        <f t="shared" si="74"/>
        <v>7.4938690416566089E-3</v>
      </c>
      <c r="AB186" s="9">
        <f t="shared" si="74"/>
        <v>6.209933672823631E-3</v>
      </c>
      <c r="AC186" s="9">
        <f t="shared" si="74"/>
        <v>4.9329729906639752E-3</v>
      </c>
      <c r="AD186" s="9">
        <f t="shared" si="74"/>
        <v>3.6908748791208978E-3</v>
      </c>
      <c r="AE186" s="9">
        <f t="shared" si="74"/>
        <v>2.491079764156412E-3</v>
      </c>
      <c r="AF186" s="9">
        <f t="shared" si="74"/>
        <v>1.3392277200792169E-3</v>
      </c>
      <c r="AG186" s="9">
        <f t="shared" si="74"/>
        <v>2.3982983504877708E-4</v>
      </c>
      <c r="AH186" s="9">
        <f t="shared" si="74"/>
        <v>-8.2081395429434156E-4</v>
      </c>
      <c r="AI186" s="9">
        <f t="shared" si="74"/>
        <v>-1.8231476016004056E-3</v>
      </c>
      <c r="AJ186" s="9">
        <f t="shared" si="74"/>
        <v>-2.7627961980939419E-3</v>
      </c>
      <c r="AK186" s="9">
        <f t="shared" si="74"/>
        <v>-3.6363230220924914E-3</v>
      </c>
      <c r="AL186" s="9">
        <f t="shared" si="74"/>
        <v>-4.4408701007816465E-3</v>
      </c>
      <c r="AM186" s="9">
        <f t="shared" ref="AM186:BC186" si="75">AM176/AM138/(AM166/AM127)-1</f>
        <v>-5.3198047464267928E-3</v>
      </c>
      <c r="AN186" s="9">
        <f t="shared" si="75"/>
        <v>-6.1332812439474083E-3</v>
      </c>
      <c r="AO186" s="9">
        <f t="shared" si="75"/>
        <v>-6.8690411708336452E-3</v>
      </c>
      <c r="AP186" s="9">
        <f t="shared" si="75"/>
        <v>-7.5199320654227853E-3</v>
      </c>
      <c r="AQ186" s="9">
        <f t="shared" si="75"/>
        <v>-8.0816526166875846E-3</v>
      </c>
      <c r="AR186" s="9">
        <f t="shared" si="75"/>
        <v>-8.5736747508277089E-3</v>
      </c>
      <c r="AS186" s="9">
        <f t="shared" si="75"/>
        <v>-8.9754245372527519E-3</v>
      </c>
      <c r="AT186" s="9">
        <f t="shared" si="75"/>
        <v>-9.2852157192897522E-3</v>
      </c>
      <c r="AU186" s="9">
        <f t="shared" si="75"/>
        <v>-9.5028247728492499E-3</v>
      </c>
      <c r="AV186" s="9">
        <f t="shared" si="75"/>
        <v>-9.628932122790812E-3</v>
      </c>
      <c r="AW186" s="9">
        <f t="shared" si="75"/>
        <v>-9.7337435808537709E-3</v>
      </c>
      <c r="AX186" s="9">
        <f t="shared" si="75"/>
        <v>-9.7564446571144492E-3</v>
      </c>
      <c r="AY186" s="9">
        <f t="shared" si="75"/>
        <v>-9.6927143252353298E-3</v>
      </c>
      <c r="AZ186" s="9">
        <f t="shared" si="75"/>
        <v>-9.5420256807872139E-3</v>
      </c>
      <c r="BA186" s="9">
        <f t="shared" si="75"/>
        <v>-9.3058484798408392E-3</v>
      </c>
      <c r="BB186" s="9">
        <f t="shared" si="75"/>
        <v>-9.0278736779088042E-3</v>
      </c>
      <c r="BC186" s="9">
        <f t="shared" si="75"/>
        <v>-8.6747716726622848E-3</v>
      </c>
      <c r="BD186" s="9">
        <f t="shared" ref="BD186:BF186" si="76">BD176/BD138/(BD166/BD127)-1</f>
        <v>-8.2467588749883802E-3</v>
      </c>
      <c r="BE186" s="9">
        <f t="shared" si="76"/>
        <v>-7.7458320590551022E-3</v>
      </c>
      <c r="BF186" s="9">
        <f t="shared" si="76"/>
        <v>-7.1751153965642356E-3</v>
      </c>
    </row>
    <row r="187" spans="1:58" x14ac:dyDescent="0.35">
      <c r="B187" t="s">
        <v>9</v>
      </c>
      <c r="C187" s="9">
        <f t="shared" ref="C187:AL187" si="77">C177/C139/(C167/C128)-1</f>
        <v>2.4815658904113969E-2</v>
      </c>
      <c r="D187" s="9">
        <f t="shared" si="77"/>
        <v>2.6628600041296302E-2</v>
      </c>
      <c r="E187" s="9">
        <f t="shared" si="77"/>
        <v>2.6968497400379432E-2</v>
      </c>
      <c r="F187" s="9">
        <f t="shared" si="77"/>
        <v>2.6530507666503444E-2</v>
      </c>
      <c r="G187" s="9">
        <f t="shared" si="77"/>
        <v>2.5539407696778538E-2</v>
      </c>
      <c r="H187" s="9">
        <f t="shared" si="77"/>
        <v>2.4126508216226306E-2</v>
      </c>
      <c r="I187" s="9">
        <f t="shared" si="77"/>
        <v>2.2426157878325137E-2</v>
      </c>
      <c r="J187" s="9">
        <f t="shared" si="77"/>
        <v>2.0515446244520286E-2</v>
      </c>
      <c r="K187" s="9">
        <f t="shared" si="77"/>
        <v>1.8479773740938787E-2</v>
      </c>
      <c r="L187" s="9">
        <f t="shared" si="77"/>
        <v>1.6392126313494959E-2</v>
      </c>
      <c r="M187" s="9">
        <f t="shared" si="77"/>
        <v>1.4312860381521464E-2</v>
      </c>
      <c r="N187" s="9">
        <f t="shared" si="77"/>
        <v>1.2370756840998531E-2</v>
      </c>
      <c r="O187" s="9">
        <f t="shared" si="77"/>
        <v>1.0502473154732961E-2</v>
      </c>
      <c r="P187" s="9">
        <f t="shared" si="77"/>
        <v>8.7170302940313693E-3</v>
      </c>
      <c r="Q187" s="9">
        <f t="shared" si="77"/>
        <v>7.0197164026526426E-3</v>
      </c>
      <c r="R187" s="9">
        <f t="shared" si="77"/>
        <v>5.4118204778159651E-3</v>
      </c>
      <c r="S187" s="9">
        <f t="shared" si="77"/>
        <v>3.9833288307362658E-3</v>
      </c>
      <c r="T187" s="9">
        <f t="shared" si="77"/>
        <v>2.6371991269460437E-3</v>
      </c>
      <c r="U187" s="9">
        <f t="shared" si="77"/>
        <v>1.363566680532724E-3</v>
      </c>
      <c r="V187" s="9">
        <f t="shared" si="77"/>
        <v>1.5576353304447288E-4</v>
      </c>
      <c r="W187" s="9">
        <f t="shared" si="77"/>
        <v>-9.955127123698615E-4</v>
      </c>
      <c r="X187" s="9">
        <f t="shared" si="77"/>
        <v>-2.086004235594352E-3</v>
      </c>
      <c r="Y187" s="9">
        <f t="shared" si="77"/>
        <v>-3.1268453265456131E-3</v>
      </c>
      <c r="Z187" s="9">
        <f t="shared" si="77"/>
        <v>-4.1210683084726973E-3</v>
      </c>
      <c r="AA187" s="9">
        <f t="shared" si="77"/>
        <v>-5.0719534097857233E-3</v>
      </c>
      <c r="AB187" s="9">
        <f t="shared" si="77"/>
        <v>-5.9967730359284932E-3</v>
      </c>
      <c r="AC187" s="9">
        <f t="shared" si="77"/>
        <v>-6.90176522713426E-3</v>
      </c>
      <c r="AD187" s="9">
        <f t="shared" si="77"/>
        <v>-7.7703316565539415E-3</v>
      </c>
      <c r="AE187" s="9">
        <f t="shared" si="77"/>
        <v>-8.6027417110116078E-3</v>
      </c>
      <c r="AF187" s="9">
        <f t="shared" si="77"/>
        <v>-9.4004910625953286E-3</v>
      </c>
      <c r="AG187" s="9">
        <f t="shared" si="77"/>
        <v>-1.0165467914203585E-2</v>
      </c>
      <c r="AH187" s="9">
        <f t="shared" si="77"/>
        <v>-1.0916547972547819E-2</v>
      </c>
      <c r="AI187" s="9">
        <f t="shared" si="77"/>
        <v>-1.163861415685552E-2</v>
      </c>
      <c r="AJ187" s="9">
        <f t="shared" si="77"/>
        <v>-1.2332077535802011E-2</v>
      </c>
      <c r="AK187" s="9">
        <f t="shared" si="77"/>
        <v>-1.2997737912329055E-2</v>
      </c>
      <c r="AL187" s="9">
        <f t="shared" si="77"/>
        <v>-1.363641601749277E-2</v>
      </c>
      <c r="AM187" s="9">
        <f t="shared" ref="AM187:BC187" si="78">AM177/AM139/(AM167/AM128)-1</f>
        <v>-1.439339619688651E-2</v>
      </c>
      <c r="AN187" s="9">
        <f t="shared" si="78"/>
        <v>-1.5122318419630076E-2</v>
      </c>
      <c r="AO187" s="9">
        <f t="shared" si="78"/>
        <v>-1.5815090000758314E-2</v>
      </c>
      <c r="AP187" s="9">
        <f t="shared" si="78"/>
        <v>-1.6468365949432573E-2</v>
      </c>
      <c r="AQ187" s="9">
        <f t="shared" si="78"/>
        <v>-1.7080773718749942E-2</v>
      </c>
      <c r="AR187" s="9">
        <f t="shared" si="78"/>
        <v>-1.7673381436353774E-2</v>
      </c>
      <c r="AS187" s="9">
        <f t="shared" si="78"/>
        <v>-1.8225928529491564E-2</v>
      </c>
      <c r="AT187" s="9">
        <f t="shared" si="78"/>
        <v>-1.873796976809039E-2</v>
      </c>
      <c r="AU187" s="9">
        <f t="shared" si="78"/>
        <v>-1.9210165096393506E-2</v>
      </c>
      <c r="AV187" s="9">
        <f t="shared" si="78"/>
        <v>-1.964372016090199E-2</v>
      </c>
      <c r="AW187" s="9">
        <f t="shared" si="78"/>
        <v>-2.0107544725474935E-2</v>
      </c>
      <c r="AX187" s="9">
        <f t="shared" si="78"/>
        <v>-2.0537294393967342E-2</v>
      </c>
      <c r="AY187" s="9">
        <f t="shared" si="78"/>
        <v>-2.0929362682330699E-2</v>
      </c>
      <c r="AZ187" s="9">
        <f t="shared" si="78"/>
        <v>-2.1283455659006245E-2</v>
      </c>
      <c r="BA187" s="9">
        <f t="shared" si="78"/>
        <v>-2.1600738136378084E-2</v>
      </c>
      <c r="BB187" s="9">
        <f t="shared" si="78"/>
        <v>-2.1923142626070313E-2</v>
      </c>
      <c r="BC187" s="9">
        <f t="shared" si="78"/>
        <v>-2.2213834142902789E-2</v>
      </c>
      <c r="BD187" s="9">
        <f t="shared" ref="BD187:BF187" si="79">BD177/BD139/(BD167/BD128)-1</f>
        <v>-2.2472000916005985E-2</v>
      </c>
      <c r="BE187" s="9">
        <f t="shared" si="79"/>
        <v>-2.2698389024368937E-2</v>
      </c>
      <c r="BF187" s="9">
        <f t="shared" si="79"/>
        <v>-2.2894490792391253E-2</v>
      </c>
    </row>
    <row r="188" spans="1:58" x14ac:dyDescent="0.35">
      <c r="B188" t="s">
        <v>10</v>
      </c>
      <c r="C188" s="9">
        <f t="shared" ref="C188:AL188" si="80">C178/C140/(C168/C129)-1</f>
        <v>1.3883457964856127E-2</v>
      </c>
      <c r="D188" s="9">
        <f t="shared" si="80"/>
        <v>1.7853025593997041E-2</v>
      </c>
      <c r="E188" s="9">
        <f t="shared" si="80"/>
        <v>1.9958496649260749E-2</v>
      </c>
      <c r="F188" s="9">
        <f t="shared" si="80"/>
        <v>2.1029998099800329E-2</v>
      </c>
      <c r="G188" s="9">
        <f t="shared" si="80"/>
        <v>2.1374155344367818E-2</v>
      </c>
      <c r="H188" s="9">
        <f t="shared" si="80"/>
        <v>2.1153770382545733E-2</v>
      </c>
      <c r="I188" s="9">
        <f t="shared" si="80"/>
        <v>2.0506429983263574E-2</v>
      </c>
      <c r="J188" s="9">
        <f t="shared" si="80"/>
        <v>1.9523598774417561E-2</v>
      </c>
      <c r="K188" s="9">
        <f t="shared" si="80"/>
        <v>1.8299497455408265E-2</v>
      </c>
      <c r="L188" s="9">
        <f t="shared" si="80"/>
        <v>1.6915818380804248E-2</v>
      </c>
      <c r="M188" s="9">
        <f t="shared" si="80"/>
        <v>1.5431062084421132E-2</v>
      </c>
      <c r="N188" s="9">
        <f t="shared" si="80"/>
        <v>1.3962767603166393E-2</v>
      </c>
      <c r="O188" s="9">
        <f t="shared" si="80"/>
        <v>1.2497096023423859E-2</v>
      </c>
      <c r="P188" s="9">
        <f t="shared" si="80"/>
        <v>1.105096350029644E-2</v>
      </c>
      <c r="Q188" s="9">
        <f t="shared" si="80"/>
        <v>9.6375968767494768E-3</v>
      </c>
      <c r="R188" s="9">
        <f t="shared" si="80"/>
        <v>8.2665875491854113E-3</v>
      </c>
      <c r="S188" s="9">
        <f t="shared" si="80"/>
        <v>6.99322980448569E-3</v>
      </c>
      <c r="T188" s="9">
        <f t="shared" si="80"/>
        <v>5.7828013893992392E-3</v>
      </c>
      <c r="U188" s="9">
        <f t="shared" si="80"/>
        <v>4.6320254899414603E-3</v>
      </c>
      <c r="V188" s="9">
        <f t="shared" si="80"/>
        <v>3.5402683273366709E-3</v>
      </c>
      <c r="W188" s="9">
        <f t="shared" si="80"/>
        <v>2.51217724177355E-3</v>
      </c>
      <c r="X188" s="9">
        <f t="shared" si="80"/>
        <v>1.5371499785259424E-3</v>
      </c>
      <c r="Y188" s="9">
        <f t="shared" si="80"/>
        <v>6.2051513619065801E-4</v>
      </c>
      <c r="Z188" s="9">
        <f t="shared" si="80"/>
        <v>-2.3771172626751991E-4</v>
      </c>
      <c r="AA188" s="9">
        <f t="shared" si="80"/>
        <v>-1.0383625510463901E-3</v>
      </c>
      <c r="AB188" s="9">
        <f t="shared" si="80"/>
        <v>-1.7720739848386957E-3</v>
      </c>
      <c r="AC188" s="9">
        <f t="shared" si="80"/>
        <v>-2.4778398727638429E-3</v>
      </c>
      <c r="AD188" s="9">
        <f t="shared" si="80"/>
        <v>-3.136992854629983E-3</v>
      </c>
      <c r="AE188" s="9">
        <f t="shared" si="80"/>
        <v>-3.7487903361881347E-3</v>
      </c>
      <c r="AF188" s="9">
        <f t="shared" si="80"/>
        <v>-4.3140101951609777E-3</v>
      </c>
      <c r="AG188" s="9">
        <f t="shared" si="80"/>
        <v>-4.8344512625609903E-3</v>
      </c>
      <c r="AH188" s="9">
        <f t="shared" si="80"/>
        <v>-5.3213255036015372E-3</v>
      </c>
      <c r="AI188" s="9">
        <f t="shared" si="80"/>
        <v>-5.7701594836048198E-3</v>
      </c>
      <c r="AJ188" s="9">
        <f t="shared" si="80"/>
        <v>-6.1821496454657066E-3</v>
      </c>
      <c r="AK188" s="9">
        <f t="shared" si="80"/>
        <v>-6.5590487155411381E-3</v>
      </c>
      <c r="AL188" s="9">
        <f t="shared" si="80"/>
        <v>-6.902777123618975E-3</v>
      </c>
      <c r="AM188" s="9">
        <f t="shared" ref="AM188:BC188" si="81">AM178/AM140/(AM168/AM129)-1</f>
        <v>-7.2869689710067798E-3</v>
      </c>
      <c r="AN188" s="9">
        <f t="shared" si="81"/>
        <v>-7.6576186607646424E-3</v>
      </c>
      <c r="AO188" s="9">
        <f t="shared" si="81"/>
        <v>-8.0049169471523296E-3</v>
      </c>
      <c r="AP188" s="9">
        <f t="shared" si="81"/>
        <v>-8.3241432950481586E-3</v>
      </c>
      <c r="AQ188" s="9">
        <f t="shared" si="81"/>
        <v>-8.613000652700209E-3</v>
      </c>
      <c r="AR188" s="9">
        <f t="shared" si="81"/>
        <v>-8.881820827720821E-3</v>
      </c>
      <c r="AS188" s="9">
        <f t="shared" si="81"/>
        <v>-9.1220950372751242E-3</v>
      </c>
      <c r="AT188" s="9">
        <f t="shared" si="81"/>
        <v>-9.3326761143628367E-3</v>
      </c>
      <c r="AU188" s="9">
        <f t="shared" si="81"/>
        <v>-9.5135269295045788E-3</v>
      </c>
      <c r="AV188" s="9">
        <f t="shared" si="81"/>
        <v>-9.6651668999070406E-3</v>
      </c>
      <c r="AW188" s="9">
        <f t="shared" si="81"/>
        <v>-9.8237004065888645E-3</v>
      </c>
      <c r="AX188" s="9">
        <f t="shared" si="81"/>
        <v>-9.961653163402806E-3</v>
      </c>
      <c r="AY188" s="9">
        <f t="shared" si="81"/>
        <v>-1.0073773217647686E-2</v>
      </c>
      <c r="AZ188" s="9">
        <f t="shared" si="81"/>
        <v>-1.0159049017763988E-2</v>
      </c>
      <c r="BA188" s="9">
        <f t="shared" si="81"/>
        <v>-1.0218161777305723E-2</v>
      </c>
      <c r="BB188" s="9">
        <f t="shared" si="81"/>
        <v>-1.0273418939945156E-2</v>
      </c>
      <c r="BC188" s="9">
        <f t="shared" si="81"/>
        <v>-1.0310181798600548E-2</v>
      </c>
      <c r="BD188" s="9">
        <f t="shared" ref="BD188:BF188" si="82">BD178/BD140/(BD168/BD129)-1</f>
        <v>-1.0326513409304683E-2</v>
      </c>
      <c r="BE188" s="9">
        <f t="shared" si="82"/>
        <v>-1.0322121475995538E-2</v>
      </c>
      <c r="BF188" s="9">
        <f t="shared" si="82"/>
        <v>-1.0297644447243903E-2</v>
      </c>
    </row>
    <row r="189" spans="1:58" x14ac:dyDescent="0.35">
      <c r="B189" t="s">
        <v>29</v>
      </c>
      <c r="C189" s="9">
        <f t="shared" ref="C189:AL189" si="83">(C179+C180)/(C141+C142)/((C169+C170)/(C130+C131))-1</f>
        <v>2.4755192374219526E-2</v>
      </c>
      <c r="D189" s="9">
        <f t="shared" si="83"/>
        <v>2.7842299623819455E-2</v>
      </c>
      <c r="E189" s="9">
        <f t="shared" si="83"/>
        <v>2.9025751291900992E-2</v>
      </c>
      <c r="F189" s="9">
        <f t="shared" si="83"/>
        <v>2.9533542851254868E-2</v>
      </c>
      <c r="G189" s="9">
        <f t="shared" si="83"/>
        <v>2.9530491668167125E-2</v>
      </c>
      <c r="H189" s="9">
        <f t="shared" si="83"/>
        <v>2.9140822036113345E-2</v>
      </c>
      <c r="I189" s="9">
        <f t="shared" si="83"/>
        <v>2.847418793298262E-2</v>
      </c>
      <c r="J189" s="9">
        <f t="shared" si="83"/>
        <v>2.7542043693870699E-2</v>
      </c>
      <c r="K189" s="9">
        <f t="shared" si="83"/>
        <v>2.6365156770998599E-2</v>
      </c>
      <c r="L189" s="9">
        <f t="shared" si="83"/>
        <v>2.4982612945400717E-2</v>
      </c>
      <c r="M189" s="9">
        <f t="shared" si="83"/>
        <v>2.3459084038703892E-2</v>
      </c>
      <c r="N189" s="9">
        <f t="shared" si="83"/>
        <v>2.1914637052361075E-2</v>
      </c>
      <c r="O189" s="9">
        <f t="shared" si="83"/>
        <v>2.0319006228152414E-2</v>
      </c>
      <c r="P189" s="9">
        <f t="shared" si="83"/>
        <v>1.8703858913743598E-2</v>
      </c>
      <c r="Q189" s="9">
        <f t="shared" si="83"/>
        <v>1.7098997880504063E-2</v>
      </c>
      <c r="R189" s="9">
        <f t="shared" si="83"/>
        <v>1.5527153584459441E-2</v>
      </c>
      <c r="S189" s="9">
        <f t="shared" si="83"/>
        <v>1.4098447692790561E-2</v>
      </c>
      <c r="T189" s="9">
        <f t="shared" si="83"/>
        <v>1.2731597172188192E-2</v>
      </c>
      <c r="U189" s="9">
        <f t="shared" si="83"/>
        <v>1.1426441183581382E-2</v>
      </c>
      <c r="V189" s="9">
        <f t="shared" si="83"/>
        <v>1.0185890315720147E-2</v>
      </c>
      <c r="W189" s="9">
        <f t="shared" si="83"/>
        <v>9.0001919859112878E-3</v>
      </c>
      <c r="X189" s="9">
        <f t="shared" si="83"/>
        <v>7.8949503712997249E-3</v>
      </c>
      <c r="Y189" s="9">
        <f t="shared" si="83"/>
        <v>6.8555675227361945E-3</v>
      </c>
      <c r="Z189" s="9">
        <f t="shared" si="83"/>
        <v>5.8806997290419272E-3</v>
      </c>
      <c r="AA189" s="9">
        <f t="shared" si="83"/>
        <v>4.9684422386226945E-3</v>
      </c>
      <c r="AB189" s="9">
        <f t="shared" si="83"/>
        <v>4.079797436131738E-3</v>
      </c>
      <c r="AC189" s="9">
        <f t="shared" si="83"/>
        <v>3.2419558485994315E-3</v>
      </c>
      <c r="AD189" s="9">
        <f t="shared" si="83"/>
        <v>2.4624176052654434E-3</v>
      </c>
      <c r="AE189" s="9">
        <f t="shared" si="83"/>
        <v>1.7394252963152113E-3</v>
      </c>
      <c r="AF189" s="9">
        <f t="shared" si="83"/>
        <v>1.0693692759697893E-3</v>
      </c>
      <c r="AG189" s="9">
        <f t="shared" si="83"/>
        <v>4.4913207138197464E-4</v>
      </c>
      <c r="AH189" s="9">
        <f t="shared" si="83"/>
        <v>-1.4243058973784084E-4</v>
      </c>
      <c r="AI189" s="9">
        <f t="shared" si="83"/>
        <v>-6.9156563314676234E-4</v>
      </c>
      <c r="AJ189" s="9">
        <f t="shared" si="83"/>
        <v>-1.200263968384685E-3</v>
      </c>
      <c r="AK189" s="9">
        <f t="shared" si="83"/>
        <v>-1.6712441070321216E-3</v>
      </c>
      <c r="AL189" s="9">
        <f t="shared" si="83"/>
        <v>-2.1069154743058593E-3</v>
      </c>
      <c r="AM189" s="9">
        <f t="shared" ref="AM189:BC189" si="84">(AM179+AM180)/(AM141+AM142)/((AM169+AM170)/(AM130+AM131))-1</f>
        <v>-2.6662531756241892E-3</v>
      </c>
      <c r="AN189" s="9">
        <f t="shared" si="84"/>
        <v>-3.1941330483788999E-3</v>
      </c>
      <c r="AO189" s="9">
        <f t="shared" si="84"/>
        <v>-3.6802522254654191E-3</v>
      </c>
      <c r="AP189" s="9">
        <f t="shared" si="84"/>
        <v>-4.122822783781066E-3</v>
      </c>
      <c r="AQ189" s="9">
        <f t="shared" si="84"/>
        <v>-4.5209620652408855E-3</v>
      </c>
      <c r="AR189" s="9">
        <f t="shared" si="84"/>
        <v>-4.8963849118431879E-3</v>
      </c>
      <c r="AS189" s="9">
        <f t="shared" si="84"/>
        <v>-5.2267878368310594E-3</v>
      </c>
      <c r="AT189" s="9">
        <f t="shared" si="84"/>
        <v>-5.5102494105184752E-3</v>
      </c>
      <c r="AU189" s="9">
        <f t="shared" si="84"/>
        <v>-5.7467128651004229E-3</v>
      </c>
      <c r="AV189" s="9">
        <f t="shared" si="84"/>
        <v>-5.9373298960271326E-3</v>
      </c>
      <c r="AW189" s="9">
        <f t="shared" si="84"/>
        <v>-6.160323777059773E-3</v>
      </c>
      <c r="AX189" s="9">
        <f t="shared" si="84"/>
        <v>-6.3531205203073426E-3</v>
      </c>
      <c r="AY189" s="9">
        <f t="shared" si="84"/>
        <v>-6.5170087962059808E-3</v>
      </c>
      <c r="AZ189" s="9">
        <f t="shared" si="84"/>
        <v>-6.6457776718513717E-3</v>
      </c>
      <c r="BA189" s="9">
        <f t="shared" si="84"/>
        <v>-6.7345184969767047E-3</v>
      </c>
      <c r="BB189" s="9">
        <f t="shared" si="84"/>
        <v>-6.8252535236507095E-3</v>
      </c>
      <c r="BC189" s="9">
        <f t="shared" si="84"/>
        <v>-6.8776710466276203E-3</v>
      </c>
      <c r="BD189" s="9">
        <f t="shared" ref="BD189:BF189" si="85">(BD179+BD180)/(BD141+BD142)/((BD169+BD170)/(BD130+BD131))-1</f>
        <v>-6.8902149167923143E-3</v>
      </c>
      <c r="BE189" s="9">
        <f t="shared" si="85"/>
        <v>-6.8638042079559591E-3</v>
      </c>
      <c r="BF189" s="9">
        <f t="shared" si="85"/>
        <v>-6.7996093309063976E-3</v>
      </c>
    </row>
    <row r="190" spans="1:58" x14ac:dyDescent="0.35">
      <c r="B190" t="s">
        <v>33</v>
      </c>
      <c r="C190" s="9">
        <f t="shared" ref="C190:AL190" si="86">C181/C143/(C171/C132)-1</f>
        <v>1.4054227650075912E-2</v>
      </c>
      <c r="D190" s="9">
        <f t="shared" si="86"/>
        <v>1.7565650631935714E-2</v>
      </c>
      <c r="E190" s="9">
        <f t="shared" si="86"/>
        <v>1.889220438014072E-2</v>
      </c>
      <c r="F190" s="9">
        <f t="shared" si="86"/>
        <v>1.913121062831924E-2</v>
      </c>
      <c r="G190" s="9">
        <f t="shared" si="86"/>
        <v>1.8548521025650189E-2</v>
      </c>
      <c r="H190" s="9">
        <f t="shared" si="86"/>
        <v>1.7470439770353785E-2</v>
      </c>
      <c r="I190" s="9">
        <f t="shared" si="86"/>
        <v>1.6220593370292358E-2</v>
      </c>
      <c r="J190" s="9">
        <f t="shared" si="86"/>
        <v>1.4933743893862594E-2</v>
      </c>
      <c r="K190" s="9">
        <f t="shared" si="86"/>
        <v>1.3597073288341699E-2</v>
      </c>
      <c r="L190" s="9">
        <f t="shared" si="86"/>
        <v>1.2206333234707545E-2</v>
      </c>
      <c r="M190" s="9">
        <f t="shared" si="86"/>
        <v>1.0801861120389944E-2</v>
      </c>
      <c r="N190" s="9">
        <f t="shared" si="86"/>
        <v>9.4759682983336369E-3</v>
      </c>
      <c r="O190" s="9">
        <f t="shared" si="86"/>
        <v>8.2314238325509326E-3</v>
      </c>
      <c r="P190" s="9">
        <f t="shared" si="86"/>
        <v>7.0922727495161819E-3</v>
      </c>
      <c r="Q190" s="9">
        <f t="shared" si="86"/>
        <v>6.0760905365522255E-3</v>
      </c>
      <c r="R190" s="9">
        <f t="shared" si="86"/>
        <v>5.1916387849690881E-3</v>
      </c>
      <c r="S190" s="9">
        <f t="shared" si="86"/>
        <v>4.494832611520172E-3</v>
      </c>
      <c r="T190" s="9">
        <f t="shared" si="86"/>
        <v>3.9349573487874601E-3</v>
      </c>
      <c r="U190" s="9">
        <f t="shared" si="86"/>
        <v>3.4954206163522183E-3</v>
      </c>
      <c r="V190" s="9">
        <f t="shared" si="86"/>
        <v>3.1624584234053454E-3</v>
      </c>
      <c r="W190" s="9">
        <f t="shared" si="86"/>
        <v>2.9188423971389099E-3</v>
      </c>
      <c r="X190" s="9">
        <f t="shared" si="86"/>
        <v>2.7576298988598591E-3</v>
      </c>
      <c r="Y190" s="9">
        <f t="shared" si="86"/>
        <v>2.6606482665985087E-3</v>
      </c>
      <c r="Z190" s="9">
        <f t="shared" si="86"/>
        <v>2.6153187651569709E-3</v>
      </c>
      <c r="AA190" s="9">
        <f t="shared" si="86"/>
        <v>2.6094530885896194E-3</v>
      </c>
      <c r="AB190" s="9">
        <f t="shared" si="86"/>
        <v>2.6205140119048842E-3</v>
      </c>
      <c r="AC190" s="9">
        <f t="shared" si="86"/>
        <v>2.6372505252634237E-3</v>
      </c>
      <c r="AD190" s="9">
        <f t="shared" si="86"/>
        <v>2.6592057329097862E-3</v>
      </c>
      <c r="AE190" s="9">
        <f t="shared" si="86"/>
        <v>2.6816448855546682E-3</v>
      </c>
      <c r="AF190" s="9">
        <f t="shared" si="86"/>
        <v>2.6995991159697308E-3</v>
      </c>
      <c r="AG190" s="9">
        <f t="shared" si="86"/>
        <v>2.7086872256905092E-3</v>
      </c>
      <c r="AH190" s="9">
        <f t="shared" si="86"/>
        <v>2.6938211523670486E-3</v>
      </c>
      <c r="AI190" s="9">
        <f t="shared" si="86"/>
        <v>2.6596571358865617E-3</v>
      </c>
      <c r="AJ190" s="9">
        <f t="shared" si="86"/>
        <v>2.6038467394393638E-3</v>
      </c>
      <c r="AK190" s="9">
        <f t="shared" si="86"/>
        <v>2.5239125476934632E-3</v>
      </c>
      <c r="AL190" s="9">
        <f t="shared" si="86"/>
        <v>2.4183520066536346E-3</v>
      </c>
      <c r="AM190" s="9">
        <f t="shared" ref="AM190:BC190" si="87">AM181/AM143/(AM171/AM132)-1</f>
        <v>2.1946284249285686E-3</v>
      </c>
      <c r="AN190" s="9">
        <f t="shared" si="87"/>
        <v>1.9341424098833215E-3</v>
      </c>
      <c r="AO190" s="9">
        <f t="shared" si="87"/>
        <v>1.6517387559720209E-3</v>
      </c>
      <c r="AP190" s="9">
        <f t="shared" si="87"/>
        <v>1.3555612535749439E-3</v>
      </c>
      <c r="AQ190" s="9">
        <f t="shared" si="87"/>
        <v>1.0532943473537948E-3</v>
      </c>
      <c r="AR190" s="9">
        <f t="shared" si="87"/>
        <v>7.3854204227408182E-4</v>
      </c>
      <c r="AS190" s="9">
        <f t="shared" si="87"/>
        <v>4.2926902167383929E-4</v>
      </c>
      <c r="AT190" s="9">
        <f t="shared" si="87"/>
        <v>1.3283203173952707E-4</v>
      </c>
      <c r="AU190" s="9">
        <f t="shared" si="87"/>
        <v>-1.4598197299198201E-4</v>
      </c>
      <c r="AV190" s="9">
        <f t="shared" si="87"/>
        <v>-4.0500476700955357E-4</v>
      </c>
      <c r="AW190" s="9">
        <f t="shared" si="87"/>
        <v>-6.9864677290321087E-4</v>
      </c>
      <c r="AX190" s="9">
        <f t="shared" si="87"/>
        <v>-1.0315494071798659E-3</v>
      </c>
      <c r="AY190" s="9">
        <f t="shared" si="87"/>
        <v>-1.4143758941432827E-3</v>
      </c>
      <c r="AZ190" s="9">
        <f t="shared" si="87"/>
        <v>-1.8197743386180187E-3</v>
      </c>
      <c r="BA190" s="9">
        <f t="shared" si="87"/>
        <v>-2.2209526982278627E-3</v>
      </c>
      <c r="BB190" s="9">
        <f t="shared" si="87"/>
        <v>-2.6321990616631208E-3</v>
      </c>
      <c r="BC190" s="9">
        <f t="shared" si="87"/>
        <v>-3.0290015347780308E-3</v>
      </c>
      <c r="BD190" s="9">
        <f t="shared" ref="BD190:BF190" si="88">BD181/BD143/(BD171/BD132)-1</f>
        <v>-3.4090126527916986E-3</v>
      </c>
      <c r="BE190" s="9">
        <f t="shared" si="88"/>
        <v>-3.7724221811397118E-3</v>
      </c>
      <c r="BF190" s="9">
        <f t="shared" si="88"/>
        <v>-4.1191089987243634E-3</v>
      </c>
    </row>
    <row r="192" spans="1:58" x14ac:dyDescent="0.35">
      <c r="A192" s="12" t="s">
        <v>86</v>
      </c>
      <c r="B192" t="s">
        <v>27</v>
      </c>
      <c r="C192" s="5">
        <f>[1]Results!F1434</f>
        <v>27136.28903</v>
      </c>
      <c r="D192" s="5">
        <f>[1]Results!G1434</f>
        <v>26964.32876</v>
      </c>
      <c r="E192" s="5">
        <f>[1]Results!H1434</f>
        <v>26846.253700000001</v>
      </c>
      <c r="F192" s="5">
        <f>[1]Results!I1434</f>
        <v>26784.704730000001</v>
      </c>
      <c r="G192" s="5">
        <f>[1]Results!J1434</f>
        <v>26773.905180000002</v>
      </c>
      <c r="H192" s="5">
        <f>[1]Results!K1434</f>
        <v>26805.41577</v>
      </c>
      <c r="I192" s="5">
        <f>[1]Results!L1434</f>
        <v>26859.890009999999</v>
      </c>
      <c r="J192" s="5">
        <f>[1]Results!M1434</f>
        <v>26931.285749999999</v>
      </c>
      <c r="K192" s="5">
        <f>[1]Results!N1434</f>
        <v>27014.93244</v>
      </c>
      <c r="L192" s="5">
        <f>[1]Results!O1434</f>
        <v>27106.992320000001</v>
      </c>
      <c r="M192" s="5">
        <f>[1]Results!P1434</f>
        <v>27221.685549999998</v>
      </c>
      <c r="N192" s="5">
        <f>[1]Results!Q1434</f>
        <v>27335.31682</v>
      </c>
      <c r="O192" s="5">
        <f>[1]Results!R1434</f>
        <v>27445.64373</v>
      </c>
      <c r="P192" s="5">
        <f>[1]Results!S1434</f>
        <v>27552.023539999998</v>
      </c>
      <c r="Q192" s="5">
        <f>[1]Results!T1434</f>
        <v>27654.374970000001</v>
      </c>
      <c r="R192" s="5">
        <f>[1]Results!U1434</f>
        <v>27752.897550000002</v>
      </c>
      <c r="S192" s="5">
        <f>[1]Results!V1434</f>
        <v>27847.37125</v>
      </c>
      <c r="T192" s="5">
        <f>[1]Results!W1434</f>
        <v>27938.340219999998</v>
      </c>
      <c r="U192" s="5">
        <f>[1]Results!X1434</f>
        <v>28026.45233</v>
      </c>
      <c r="V192" s="5">
        <f>[1]Results!Y1434</f>
        <v>28112.3344</v>
      </c>
      <c r="W192" s="5">
        <f>[1]Results!Z1434</f>
        <v>28185.11551</v>
      </c>
      <c r="X192" s="5">
        <f>[1]Results!AA1434</f>
        <v>28258.83786</v>
      </c>
      <c r="Y192" s="5">
        <f>[1]Results!AB1434</f>
        <v>28334.27421</v>
      </c>
      <c r="Z192" s="5">
        <f>[1]Results!AC1434</f>
        <v>28411.461009999999</v>
      </c>
      <c r="AA192" s="5">
        <f>[1]Results!AD1434</f>
        <v>28490.276849999998</v>
      </c>
      <c r="AB192" s="5">
        <f>[1]Results!AE1434</f>
        <v>28539.494989999999</v>
      </c>
      <c r="AC192" s="5">
        <f>[1]Results!AF1434</f>
        <v>28581.324410000001</v>
      </c>
      <c r="AD192" s="5">
        <f>[1]Results!AG1434</f>
        <v>28619.289720000001</v>
      </c>
      <c r="AE192" s="5">
        <f>[1]Results!AH1434</f>
        <v>28655.537629999999</v>
      </c>
      <c r="AF192" s="5">
        <f>[1]Results!AI1434</f>
        <v>28691.556619999999</v>
      </c>
      <c r="AG192" s="5">
        <f>[1]Results!AJ1434</f>
        <v>28728.377059999999</v>
      </c>
      <c r="AH192" s="5">
        <f>[1]Results!AK1434</f>
        <v>28766.716400000001</v>
      </c>
      <c r="AI192" s="5">
        <f>[1]Results!AL1434</f>
        <v>28806.954829999999</v>
      </c>
      <c r="AJ192" s="5">
        <f>[1]Results!AM1434</f>
        <v>28849.21787</v>
      </c>
      <c r="AK192" s="5">
        <f>[1]Results!AN1434</f>
        <v>28893.463879999999</v>
      </c>
      <c r="AL192" s="5">
        <f>[1]Results!AO1434</f>
        <v>28939.54896</v>
      </c>
      <c r="AM192" s="5">
        <f>[1]Results!AP1434</f>
        <v>28980.982530000001</v>
      </c>
      <c r="AN192" s="5">
        <f>[1]Results!AQ1434</f>
        <v>29018.970809999999</v>
      </c>
      <c r="AO192" s="5">
        <f>[1]Results!AR1434</f>
        <v>29054.65525</v>
      </c>
      <c r="AP192" s="5">
        <f>[1]Results!AS1434</f>
        <v>29088.93982</v>
      </c>
      <c r="AQ192" s="5">
        <f>[1]Results!AT1434</f>
        <v>29122.50705</v>
      </c>
      <c r="AR192" s="5">
        <f>[1]Results!AU1434</f>
        <v>29155.874749999999</v>
      </c>
      <c r="AS192" s="5">
        <f>[1]Results!AV1434</f>
        <v>29189.433639999999</v>
      </c>
      <c r="AT192" s="5">
        <f>[1]Results!AW1434</f>
        <v>29223.397199999999</v>
      </c>
      <c r="AU192" s="5">
        <f>[1]Results!AX1434</f>
        <v>29257.85946</v>
      </c>
      <c r="AV192" s="5">
        <f>[1]Results!AY1434</f>
        <v>29292.83282</v>
      </c>
      <c r="AW192" s="5">
        <f>[1]Results!AZ1434</f>
        <v>29328.787789999998</v>
      </c>
      <c r="AX192" s="5">
        <f>[1]Results!BA1434</f>
        <v>29365.744119999999</v>
      </c>
      <c r="AY192" s="5">
        <f>[1]Results!BB1434</f>
        <v>29403.515500000001</v>
      </c>
      <c r="AZ192" s="5">
        <f>[1]Results!BC1434</f>
        <v>29441.871350000001</v>
      </c>
      <c r="BA192" s="5">
        <f>[1]Results!BD1434</f>
        <v>29480.598999999998</v>
      </c>
      <c r="BB192" s="5">
        <f>[1]Results!BE1434</f>
        <v>29519.475640000001</v>
      </c>
      <c r="BC192" s="5">
        <f>[1]Results!BF1434</f>
        <v>29558.518919999999</v>
      </c>
      <c r="BD192" s="5">
        <f>[1]Results!BG1434</f>
        <v>29597.674210000001</v>
      </c>
      <c r="BE192" s="5">
        <f>[1]Results!BH1434</f>
        <v>29636.879970000002</v>
      </c>
      <c r="BF192" s="5">
        <f>[1]Results!BI1434</f>
        <v>29676.09073</v>
      </c>
    </row>
    <row r="193" spans="1:58" x14ac:dyDescent="0.35">
      <c r="A193" t="s">
        <v>39</v>
      </c>
      <c r="B193" t="s">
        <v>7</v>
      </c>
      <c r="C193" s="5">
        <f>[1]Results!F1435</f>
        <v>750.78111750000005</v>
      </c>
      <c r="D193" s="5">
        <f>[1]Results!G1435</f>
        <v>741.68078170000001</v>
      </c>
      <c r="E193" s="5">
        <f>[1]Results!H1435</f>
        <v>733.98793850000004</v>
      </c>
      <c r="F193" s="5">
        <f>[1]Results!I1435</f>
        <v>728.36314179999999</v>
      </c>
      <c r="G193" s="5">
        <f>[1]Results!J1435</f>
        <v>724.88973759999999</v>
      </c>
      <c r="H193" s="5">
        <f>[1]Results!K1435</f>
        <v>723.35199309999996</v>
      </c>
      <c r="I193" s="5">
        <f>[1]Results!L1435</f>
        <v>723.14771389999999</v>
      </c>
      <c r="J193" s="5">
        <f>[1]Results!M1435</f>
        <v>723.93549700000005</v>
      </c>
      <c r="K193" s="5">
        <f>[1]Results!N1435</f>
        <v>725.43566499999997</v>
      </c>
      <c r="L193" s="5">
        <f>[1]Results!O1435</f>
        <v>727.42076640000005</v>
      </c>
      <c r="M193" s="5">
        <f>[1]Results!P1435</f>
        <v>730.13126030000001</v>
      </c>
      <c r="N193" s="5">
        <f>[1]Results!Q1435</f>
        <v>732.95232780000003</v>
      </c>
      <c r="O193" s="5">
        <f>[1]Results!R1435</f>
        <v>735.73859230000005</v>
      </c>
      <c r="P193" s="5">
        <f>[1]Results!S1435</f>
        <v>738.41958780000004</v>
      </c>
      <c r="Q193" s="5">
        <f>[1]Results!T1435</f>
        <v>740.96184000000005</v>
      </c>
      <c r="R193" s="5">
        <f>[1]Results!U1435</f>
        <v>743.35438009999996</v>
      </c>
      <c r="S193" s="5">
        <f>[1]Results!V1435</f>
        <v>745.57281999999998</v>
      </c>
      <c r="T193" s="5">
        <f>[1]Results!W1435</f>
        <v>747.63601200000005</v>
      </c>
      <c r="U193" s="5">
        <f>[1]Results!X1435</f>
        <v>749.56700560000002</v>
      </c>
      <c r="V193" s="5">
        <f>[1]Results!Y1435</f>
        <v>751.38869790000001</v>
      </c>
      <c r="W193" s="5">
        <f>[1]Results!Z1435</f>
        <v>752.84689430000003</v>
      </c>
      <c r="X193" s="5">
        <f>[1]Results!AA1435</f>
        <v>754.25230369999997</v>
      </c>
      <c r="Y193" s="5">
        <f>[1]Results!AB1435</f>
        <v>755.65726210000003</v>
      </c>
      <c r="Z193" s="5">
        <f>[1]Results!AC1435</f>
        <v>757.08161380000001</v>
      </c>
      <c r="AA193" s="5">
        <f>[1]Results!AD1435</f>
        <v>758.5329011</v>
      </c>
      <c r="AB193" s="5">
        <f>[1]Results!AE1435</f>
        <v>759.26858990000005</v>
      </c>
      <c r="AC193" s="5">
        <f>[1]Results!AF1435</f>
        <v>759.73340689999998</v>
      </c>
      <c r="AD193" s="5">
        <f>[1]Results!AG1435</f>
        <v>760.04238269999996</v>
      </c>
      <c r="AE193" s="5">
        <f>[1]Results!AH1435</f>
        <v>760.27439479999998</v>
      </c>
      <c r="AF193" s="5">
        <f>[1]Results!AI1435</f>
        <v>760.48845080000001</v>
      </c>
      <c r="AG193" s="5">
        <f>[1]Results!AJ1435</f>
        <v>760.72741900000005</v>
      </c>
      <c r="AH193" s="5">
        <f>[1]Results!AK1435</f>
        <v>761.02379169999995</v>
      </c>
      <c r="AI193" s="5">
        <f>[1]Results!AL1435</f>
        <v>761.39394379999999</v>
      </c>
      <c r="AJ193" s="5">
        <f>[1]Results!AM1435</f>
        <v>761.84465580000006</v>
      </c>
      <c r="AK193" s="5">
        <f>[1]Results!AN1435</f>
        <v>762.37616949999995</v>
      </c>
      <c r="AL193" s="5">
        <f>[1]Results!AO1435</f>
        <v>762.98457229999997</v>
      </c>
      <c r="AM193" s="5">
        <f>[1]Results!AP1435</f>
        <v>763.53443870000001</v>
      </c>
      <c r="AN193" s="5">
        <f>[1]Results!AQ1435</f>
        <v>764.02491180000004</v>
      </c>
      <c r="AO193" s="5">
        <f>[1]Results!AR1435</f>
        <v>764.47166760000005</v>
      </c>
      <c r="AP193" s="5">
        <f>[1]Results!AS1435</f>
        <v>764.89428680000003</v>
      </c>
      <c r="AQ193" s="5">
        <f>[1]Results!AT1435</f>
        <v>765.31147120000003</v>
      </c>
      <c r="AR193" s="5">
        <f>[1]Results!AU1435</f>
        <v>765.74238679999996</v>
      </c>
      <c r="AS193" s="5">
        <f>[1]Results!AV1435</f>
        <v>766.1989026</v>
      </c>
      <c r="AT193" s="5">
        <f>[1]Results!AW1435</f>
        <v>766.68791720000002</v>
      </c>
      <c r="AU193" s="5">
        <f>[1]Results!AX1435</f>
        <v>767.21247359999995</v>
      </c>
      <c r="AV193" s="5">
        <f>[1]Results!AY1435</f>
        <v>767.7727079</v>
      </c>
      <c r="AW193" s="5">
        <f>[1]Results!AZ1435</f>
        <v>768.38869250000005</v>
      </c>
      <c r="AX193" s="5">
        <f>[1]Results!BA1435</f>
        <v>769.0588285</v>
      </c>
      <c r="AY193" s="5">
        <f>[1]Results!BB1435</f>
        <v>769.77591329999996</v>
      </c>
      <c r="AZ193" s="5">
        <f>[1]Results!BC1435</f>
        <v>770.53143660000001</v>
      </c>
      <c r="BA193" s="5">
        <f>[1]Results!BD1435</f>
        <v>771.31722850000006</v>
      </c>
      <c r="BB193" s="5">
        <f>[1]Results!BE1435</f>
        <v>772.13050799999996</v>
      </c>
      <c r="BC193" s="5">
        <f>[1]Results!BF1435</f>
        <v>772.96714840000004</v>
      </c>
      <c r="BD193" s="5">
        <f>[1]Results!BG1435</f>
        <v>773.82210380000004</v>
      </c>
      <c r="BE193" s="5">
        <f>[1]Results!BH1435</f>
        <v>774.69095019999997</v>
      </c>
      <c r="BF193" s="5">
        <f>[1]Results!BI1435</f>
        <v>775.57029360000001</v>
      </c>
    </row>
    <row r="194" spans="1:58" x14ac:dyDescent="0.35">
      <c r="B194" t="s">
        <v>8</v>
      </c>
      <c r="C194" s="5">
        <f>[1]Results!F1438</f>
        <v>4310.8866609999995</v>
      </c>
      <c r="D194" s="5">
        <f>[1]Results!G1438</f>
        <v>4271.5462129999996</v>
      </c>
      <c r="E194" s="5">
        <f>[1]Results!H1438</f>
        <v>4245.3813579999996</v>
      </c>
      <c r="F194" s="5">
        <f>[1]Results!I1438</f>
        <v>4231.1182699999999</v>
      </c>
      <c r="G194" s="5">
        <f>[1]Results!J1438</f>
        <v>4226.6172329999999</v>
      </c>
      <c r="H194" s="5">
        <f>[1]Results!K1438</f>
        <v>4229.7174080000004</v>
      </c>
      <c r="I194" s="5">
        <f>[1]Results!L1438</f>
        <v>4237.0832330000003</v>
      </c>
      <c r="J194" s="5">
        <f>[1]Results!M1438</f>
        <v>4247.3088349999998</v>
      </c>
      <c r="K194" s="5">
        <f>[1]Results!N1438</f>
        <v>4259.4416650000003</v>
      </c>
      <c r="L194" s="5">
        <f>[1]Results!O1438</f>
        <v>4272.8044309999996</v>
      </c>
      <c r="M194" s="5">
        <f>[1]Results!P1438</f>
        <v>4289.2305390000001</v>
      </c>
      <c r="N194" s="5">
        <f>[1]Results!Q1438</f>
        <v>4305.6588279999996</v>
      </c>
      <c r="O194" s="5">
        <f>[1]Results!R1438</f>
        <v>4321.6724169999998</v>
      </c>
      <c r="P194" s="5">
        <f>[1]Results!S1438</f>
        <v>4337.1428980000001</v>
      </c>
      <c r="Q194" s="5">
        <f>[1]Results!T1438</f>
        <v>4352.0602920000001</v>
      </c>
      <c r="R194" s="5">
        <f>[1]Results!U1438</f>
        <v>4366.4736339999999</v>
      </c>
      <c r="S194" s="5">
        <f>[1]Results!V1438</f>
        <v>4380.3022469999996</v>
      </c>
      <c r="T194" s="5">
        <f>[1]Results!W1438</f>
        <v>4393.6887749999996</v>
      </c>
      <c r="U194" s="5">
        <f>[1]Results!X1438</f>
        <v>4406.7801049999998</v>
      </c>
      <c r="V194" s="5">
        <f>[1]Results!Y1438</f>
        <v>4419.7110819999998</v>
      </c>
      <c r="W194" s="5">
        <f>[1]Results!Z1438</f>
        <v>4431.0777619999999</v>
      </c>
      <c r="X194" s="5">
        <f>[1]Results!AA1438</f>
        <v>4442.6282890000002</v>
      </c>
      <c r="Y194" s="5">
        <f>[1]Results!AB1438</f>
        <v>4454.5909869999996</v>
      </c>
      <c r="Z194" s="5">
        <f>[1]Results!AC1438</f>
        <v>4467.0404360000002</v>
      </c>
      <c r="AA194" s="5">
        <f>[1]Results!AD1438</f>
        <v>4479.9941090000002</v>
      </c>
      <c r="AB194" s="5">
        <f>[1]Results!AE1438</f>
        <v>4489.325245</v>
      </c>
      <c r="AC194" s="5">
        <f>[1]Results!AF1438</f>
        <v>4497.5688179999997</v>
      </c>
      <c r="AD194" s="5">
        <f>[1]Results!AG1438</f>
        <v>4505.2402220000004</v>
      </c>
      <c r="AE194" s="5">
        <f>[1]Results!AH1438</f>
        <v>4512.6658450000004</v>
      </c>
      <c r="AF194" s="5">
        <f>[1]Results!AI1438</f>
        <v>4520.0691740000002</v>
      </c>
      <c r="AG194" s="5">
        <f>[1]Results!AJ1438</f>
        <v>4527.5998250000002</v>
      </c>
      <c r="AH194" s="5">
        <f>[1]Results!AK1438</f>
        <v>4535.3707130000003</v>
      </c>
      <c r="AI194" s="5">
        <f>[1]Results!AL1438</f>
        <v>4543.4231840000002</v>
      </c>
      <c r="AJ194" s="5">
        <f>[1]Results!AM1438</f>
        <v>4551.7605270000004</v>
      </c>
      <c r="AK194" s="5">
        <f>[1]Results!AN1438</f>
        <v>4560.3602330000003</v>
      </c>
      <c r="AL194" s="5">
        <f>[1]Results!AO1438</f>
        <v>4569.1833530000004</v>
      </c>
      <c r="AM194" s="5">
        <f>[1]Results!AP1438</f>
        <v>4577.4670770000002</v>
      </c>
      <c r="AN194" s="5">
        <f>[1]Results!AQ1438</f>
        <v>4585.2099580000004</v>
      </c>
      <c r="AO194" s="5">
        <f>[1]Results!AR1438</f>
        <v>4592.4755150000001</v>
      </c>
      <c r="AP194" s="5">
        <f>[1]Results!AS1438</f>
        <v>4599.3376289999997</v>
      </c>
      <c r="AQ194" s="5">
        <f>[1]Results!AT1438</f>
        <v>4605.8627809999998</v>
      </c>
      <c r="AR194" s="5">
        <f>[1]Results!AU1438</f>
        <v>4612.124202</v>
      </c>
      <c r="AS194" s="5">
        <f>[1]Results!AV1438</f>
        <v>4618.162867</v>
      </c>
      <c r="AT194" s="5">
        <f>[1]Results!AW1438</f>
        <v>4624.0019670000001</v>
      </c>
      <c r="AU194" s="5">
        <f>[1]Results!AX1438</f>
        <v>4629.6526080000003</v>
      </c>
      <c r="AV194" s="5">
        <f>[1]Results!AY1438</f>
        <v>4635.1175519999997</v>
      </c>
      <c r="AW194" s="5">
        <f>[1]Results!AZ1438</f>
        <v>4640.5136320000001</v>
      </c>
      <c r="AX194" s="5">
        <f>[1]Results!BA1438</f>
        <v>4645.8404950000004</v>
      </c>
      <c r="AY194" s="5">
        <f>[1]Results!BB1438</f>
        <v>4651.0707560000001</v>
      </c>
      <c r="AZ194" s="5">
        <f>[1]Results!BC1438</f>
        <v>4656.1724990000002</v>
      </c>
      <c r="BA194" s="5">
        <f>[1]Results!BD1438</f>
        <v>4661.1182220000001</v>
      </c>
      <c r="BB194" s="5">
        <f>[1]Results!BE1438</f>
        <v>4665.911368</v>
      </c>
      <c r="BC194" s="5">
        <f>[1]Results!BF1438</f>
        <v>4670.5519619999995</v>
      </c>
      <c r="BD194" s="5">
        <f>[1]Results!BG1438</f>
        <v>4675.0351339999997</v>
      </c>
      <c r="BE194" s="5">
        <f>[1]Results!BH1438</f>
        <v>4679.3586619999996</v>
      </c>
      <c r="BF194" s="5">
        <f>[1]Results!BI1438</f>
        <v>4683.5251319999998</v>
      </c>
    </row>
    <row r="195" spans="1:58" x14ac:dyDescent="0.35">
      <c r="B195" t="s">
        <v>28</v>
      </c>
      <c r="C195" s="5">
        <f>[1]Results!F1450</f>
        <v>858.18659909999997</v>
      </c>
      <c r="D195" s="5">
        <f>[1]Results!G1450</f>
        <v>850.93417139999997</v>
      </c>
      <c r="E195" s="5">
        <f>[1]Results!H1450</f>
        <v>845.72060810000005</v>
      </c>
      <c r="F195" s="5">
        <f>[1]Results!I1450</f>
        <v>842.40305650000005</v>
      </c>
      <c r="G195" s="5">
        <f>[1]Results!J1450</f>
        <v>840.719741</v>
      </c>
      <c r="H195" s="5">
        <f>[1]Results!K1450</f>
        <v>840.37645880000002</v>
      </c>
      <c r="I195" s="5">
        <f>[1]Results!L1450</f>
        <v>840.77910150000002</v>
      </c>
      <c r="J195" s="5">
        <f>[1]Results!M1450</f>
        <v>841.71819830000004</v>
      </c>
      <c r="K195" s="5">
        <f>[1]Results!N1450</f>
        <v>843.03136900000004</v>
      </c>
      <c r="L195" s="5">
        <f>[1]Results!O1450</f>
        <v>844.58324889999994</v>
      </c>
      <c r="M195" s="5">
        <f>[1]Results!P1450</f>
        <v>846.75213359999998</v>
      </c>
      <c r="N195" s="5">
        <f>[1]Results!Q1450</f>
        <v>848.83995000000004</v>
      </c>
      <c r="O195" s="5">
        <f>[1]Results!R1450</f>
        <v>850.77089639999997</v>
      </c>
      <c r="P195" s="5">
        <f>[1]Results!S1450</f>
        <v>852.52744629999995</v>
      </c>
      <c r="Q195" s="5">
        <f>[1]Results!T1450</f>
        <v>854.1106016</v>
      </c>
      <c r="R195" s="5">
        <f>[1]Results!U1450</f>
        <v>855.53058369999997</v>
      </c>
      <c r="S195" s="5">
        <f>[1]Results!V1450</f>
        <v>856.77366649999999</v>
      </c>
      <c r="T195" s="5">
        <f>[1]Results!W1450</f>
        <v>857.86873890000004</v>
      </c>
      <c r="U195" s="5">
        <f>[1]Results!X1450</f>
        <v>858.84538569999995</v>
      </c>
      <c r="V195" s="5">
        <f>[1]Results!Y1450</f>
        <v>859.73064250000004</v>
      </c>
      <c r="W195" s="5">
        <f>[1]Results!Z1450</f>
        <v>860.22890659999996</v>
      </c>
      <c r="X195" s="5">
        <f>[1]Results!AA1450</f>
        <v>860.73955179999996</v>
      </c>
      <c r="Y195" s="5">
        <f>[1]Results!AB1450</f>
        <v>861.29589120000003</v>
      </c>
      <c r="Z195" s="5">
        <f>[1]Results!AC1450</f>
        <v>861.90272289999996</v>
      </c>
      <c r="AA195" s="5">
        <f>[1]Results!AD1450</f>
        <v>862.55941659999996</v>
      </c>
      <c r="AB195" s="5">
        <f>[1]Results!AE1450</f>
        <v>862.40121280000005</v>
      </c>
      <c r="AC195" s="5">
        <f>[1]Results!AF1450</f>
        <v>862.05200509999997</v>
      </c>
      <c r="AD195" s="5">
        <f>[1]Results!AG1450</f>
        <v>861.62478390000001</v>
      </c>
      <c r="AE195" s="5">
        <f>[1]Results!AH1450</f>
        <v>861.18267060000005</v>
      </c>
      <c r="AF195" s="5">
        <f>[1]Results!AI1450</f>
        <v>860.76820629999997</v>
      </c>
      <c r="AG195" s="5">
        <f>[1]Results!AJ1450</f>
        <v>860.41044780000004</v>
      </c>
      <c r="AH195" s="5">
        <f>[1]Results!AK1450</f>
        <v>860.13161560000003</v>
      </c>
      <c r="AI195" s="5">
        <f>[1]Results!AL1450</f>
        <v>859.94031110000003</v>
      </c>
      <c r="AJ195" s="5">
        <f>[1]Results!AM1450</f>
        <v>859.83803479999995</v>
      </c>
      <c r="AK195" s="5">
        <f>[1]Results!AN1450</f>
        <v>859.82163849999995</v>
      </c>
      <c r="AL195" s="5">
        <f>[1]Results!AO1450</f>
        <v>859.8851244</v>
      </c>
      <c r="AM195" s="5">
        <f>[1]Results!AP1450</f>
        <v>859.86800070000004</v>
      </c>
      <c r="AN195" s="5">
        <f>[1]Results!AQ1450</f>
        <v>859.79096270000002</v>
      </c>
      <c r="AO195" s="5">
        <f>[1]Results!AR1450</f>
        <v>859.68019319999996</v>
      </c>
      <c r="AP195" s="5">
        <f>[1]Results!AS1450</f>
        <v>859.55761329999996</v>
      </c>
      <c r="AQ195" s="5">
        <f>[1]Results!AT1450</f>
        <v>859.4400071</v>
      </c>
      <c r="AR195" s="5">
        <f>[1]Results!AU1450</f>
        <v>859.34314400000005</v>
      </c>
      <c r="AS195" s="5">
        <f>[1]Results!AV1450</f>
        <v>859.27496900000006</v>
      </c>
      <c r="AT195" s="5">
        <f>[1]Results!AW1450</f>
        <v>859.23916499999996</v>
      </c>
      <c r="AU195" s="5">
        <f>[1]Results!AX1450</f>
        <v>859.23658</v>
      </c>
      <c r="AV195" s="5">
        <f>[1]Results!AY1450</f>
        <v>859.26609819999999</v>
      </c>
      <c r="AW195" s="5">
        <f>[1]Results!AZ1450</f>
        <v>859.34911680000005</v>
      </c>
      <c r="AX195" s="5">
        <f>[1]Results!BA1450</f>
        <v>859.4804302</v>
      </c>
      <c r="AY195" s="5">
        <f>[1]Results!BB1450</f>
        <v>859.65063229999998</v>
      </c>
      <c r="AZ195" s="5">
        <f>[1]Results!BC1450</f>
        <v>859.8505609</v>
      </c>
      <c r="BA195" s="5">
        <f>[1]Results!BD1450</f>
        <v>860.07252679999999</v>
      </c>
      <c r="BB195" s="5">
        <f>[1]Results!BE1450</f>
        <v>860.31492939999998</v>
      </c>
      <c r="BC195" s="5">
        <f>[1]Results!BF1450</f>
        <v>860.5746312</v>
      </c>
      <c r="BD195" s="5">
        <f>[1]Results!BG1450</f>
        <v>860.84768340000005</v>
      </c>
      <c r="BE195" s="5">
        <f>[1]Results!BH1450</f>
        <v>861.13086229999999</v>
      </c>
      <c r="BF195" s="5">
        <f>[1]Results!BI1450</f>
        <v>861.42196980000006</v>
      </c>
    </row>
    <row r="196" spans="1:58" x14ac:dyDescent="0.35">
      <c r="B196" t="s">
        <v>10</v>
      </c>
      <c r="C196" s="5">
        <f>[1]Results!F1455</f>
        <v>21112.466479999999</v>
      </c>
      <c r="D196" s="5">
        <f>[1]Results!G1455</f>
        <v>20997.222239999999</v>
      </c>
      <c r="E196" s="5">
        <f>[1]Results!H1455</f>
        <v>20919.244620000001</v>
      </c>
      <c r="F196" s="5">
        <f>[1]Results!I1455</f>
        <v>20881.833719999999</v>
      </c>
      <c r="G196" s="5">
        <f>[1]Results!J1455</f>
        <v>20881.47795</v>
      </c>
      <c r="H196" s="5">
        <f>[1]Results!K1455</f>
        <v>20912.396990000001</v>
      </c>
      <c r="I196" s="5">
        <f>[1]Results!L1455</f>
        <v>20959.82504</v>
      </c>
      <c r="J196" s="5">
        <f>[1]Results!M1455</f>
        <v>21019.70074</v>
      </c>
      <c r="K196" s="5">
        <f>[1]Results!N1455</f>
        <v>21088.76642</v>
      </c>
      <c r="L196" s="5">
        <f>[1]Results!O1455</f>
        <v>21164.2408</v>
      </c>
      <c r="M196" s="5">
        <f>[1]Results!P1455</f>
        <v>21257.857260000001</v>
      </c>
      <c r="N196" s="5">
        <f>[1]Results!Q1455</f>
        <v>21350.36808</v>
      </c>
      <c r="O196" s="5">
        <f>[1]Results!R1455</f>
        <v>21440.185549999998</v>
      </c>
      <c r="P196" s="5">
        <f>[1]Results!S1455</f>
        <v>21526.88884</v>
      </c>
      <c r="Q196" s="5">
        <f>[1]Results!T1455</f>
        <v>21610.441139999999</v>
      </c>
      <c r="R196" s="5">
        <f>[1]Results!U1455</f>
        <v>21690.994200000001</v>
      </c>
      <c r="S196" s="5">
        <f>[1]Results!V1455</f>
        <v>21768.44886</v>
      </c>
      <c r="T196" s="5">
        <f>[1]Results!W1455</f>
        <v>21843.156999999999</v>
      </c>
      <c r="U196" s="5">
        <f>[1]Results!X1455</f>
        <v>21915.564419999999</v>
      </c>
      <c r="V196" s="5">
        <f>[1]Results!Y1455</f>
        <v>21986.110560000001</v>
      </c>
      <c r="W196" s="5">
        <f>[1]Results!Z1455</f>
        <v>22045.907790000001</v>
      </c>
      <c r="X196" s="5">
        <f>[1]Results!AA1455</f>
        <v>22106.501029999999</v>
      </c>
      <c r="Y196" s="5">
        <f>[1]Results!AB1455</f>
        <v>22168.342789999999</v>
      </c>
      <c r="Z196" s="5">
        <f>[1]Results!AC1455</f>
        <v>22231.369429999999</v>
      </c>
      <c r="AA196" s="5">
        <f>[1]Results!AD1455</f>
        <v>22295.435219999999</v>
      </c>
      <c r="AB196" s="5">
        <f>[1]Results!AE1455</f>
        <v>22335.133239999999</v>
      </c>
      <c r="AC196" s="5">
        <f>[1]Results!AF1455</f>
        <v>22369.01037</v>
      </c>
      <c r="AD196" s="5">
        <f>[1]Results!AG1455</f>
        <v>22399.831320000001</v>
      </c>
      <c r="AE196" s="5">
        <f>[1]Results!AH1455</f>
        <v>22429.26685</v>
      </c>
      <c r="AF196" s="5">
        <f>[1]Results!AI1455</f>
        <v>22458.476139999999</v>
      </c>
      <c r="AG196" s="5">
        <f>[1]Results!AJ1455</f>
        <v>22488.265469999998</v>
      </c>
      <c r="AH196" s="5">
        <f>[1]Results!AK1455</f>
        <v>22519.182779999999</v>
      </c>
      <c r="AI196" s="5">
        <f>[1]Results!AL1455</f>
        <v>22551.541089999999</v>
      </c>
      <c r="AJ196" s="5">
        <f>[1]Results!AM1455</f>
        <v>22585.454089999999</v>
      </c>
      <c r="AK196" s="5">
        <f>[1]Results!AN1455</f>
        <v>22620.905709999999</v>
      </c>
      <c r="AL196" s="5">
        <f>[1]Results!AO1455</f>
        <v>22657.801289999999</v>
      </c>
      <c r="AM196" s="5">
        <f>[1]Results!AP1455</f>
        <v>22690.7251</v>
      </c>
      <c r="AN196" s="5">
        <f>[1]Results!AQ1455</f>
        <v>22720.863300000001</v>
      </c>
      <c r="AO196" s="5">
        <f>[1]Results!AR1455</f>
        <v>22749.248889999999</v>
      </c>
      <c r="AP196" s="5">
        <f>[1]Results!AS1455</f>
        <v>22776.668010000001</v>
      </c>
      <c r="AQ196" s="5">
        <f>[1]Results!AT1455</f>
        <v>22803.699659999998</v>
      </c>
      <c r="AR196" s="5">
        <f>[1]Results!AU1455</f>
        <v>22830.752420000001</v>
      </c>
      <c r="AS196" s="5">
        <f>[1]Results!AV1455</f>
        <v>22858.155920000001</v>
      </c>
      <c r="AT196" s="5">
        <f>[1]Results!AW1455</f>
        <v>22886.09002</v>
      </c>
      <c r="AU196" s="5">
        <f>[1]Results!AX1455</f>
        <v>22914.634109999999</v>
      </c>
      <c r="AV196" s="5">
        <f>[1]Results!AY1455</f>
        <v>22943.79927</v>
      </c>
      <c r="AW196" s="5">
        <f>[1]Results!AZ1455</f>
        <v>22973.895980000001</v>
      </c>
      <c r="AX196" s="5">
        <f>[1]Results!BA1455</f>
        <v>23004.950990000001</v>
      </c>
      <c r="AY196" s="5">
        <f>[1]Results!BB1455</f>
        <v>23036.82228</v>
      </c>
      <c r="AZ196" s="5">
        <f>[1]Results!BC1455</f>
        <v>23069.329129999998</v>
      </c>
      <c r="BA196" s="5">
        <f>[1]Results!BD1455</f>
        <v>23102.302670000001</v>
      </c>
      <c r="BB196" s="5">
        <f>[1]Results!BE1455</f>
        <v>23135.521280000001</v>
      </c>
      <c r="BC196" s="5">
        <f>[1]Results!BF1455</f>
        <v>23169.01022</v>
      </c>
      <c r="BD196" s="5">
        <f>[1]Results!BG1455</f>
        <v>23202.729299999999</v>
      </c>
      <c r="BE196" s="5">
        <f>[1]Results!BH1455</f>
        <v>23236.627380000002</v>
      </c>
      <c r="BF196" s="5">
        <f>[1]Results!BI1455</f>
        <v>23270.66246</v>
      </c>
    </row>
    <row r="197" spans="1:58" x14ac:dyDescent="0.35">
      <c r="B197" t="s">
        <v>29</v>
      </c>
      <c r="C197" s="5">
        <f>C202-C198</f>
        <v>10.428333762200001</v>
      </c>
      <c r="D197" s="5">
        <f t="shared" ref="D197:AL197" si="89">D202-D198</f>
        <v>10.2944506684</v>
      </c>
      <c r="E197" s="5">
        <f t="shared" si="89"/>
        <v>10.178346446100001</v>
      </c>
      <c r="F197" s="5">
        <f t="shared" si="89"/>
        <v>10.082595749799999</v>
      </c>
      <c r="G197" s="5">
        <f t="shared" si="89"/>
        <v>10.008145287500001</v>
      </c>
      <c r="H197" s="5">
        <f t="shared" si="89"/>
        <v>9.9536147877999994</v>
      </c>
      <c r="I197" s="5">
        <f t="shared" si="89"/>
        <v>9.9125006809999991</v>
      </c>
      <c r="J197" s="5">
        <f t="shared" si="89"/>
        <v>9.8822339362999987</v>
      </c>
      <c r="K197" s="5">
        <f t="shared" si="89"/>
        <v>9.8604989771999989</v>
      </c>
      <c r="L197" s="5">
        <f t="shared" si="89"/>
        <v>9.8451639021999995</v>
      </c>
      <c r="M197" s="5">
        <f t="shared" si="89"/>
        <v>9.8397934441999997</v>
      </c>
      <c r="N197" s="5">
        <f t="shared" si="89"/>
        <v>9.8357038579000005</v>
      </c>
      <c r="O197" s="5">
        <f t="shared" si="89"/>
        <v>9.8318106024999992</v>
      </c>
      <c r="P197" s="5">
        <f t="shared" si="89"/>
        <v>9.8277271096000014</v>
      </c>
      <c r="Q197" s="5">
        <f t="shared" si="89"/>
        <v>9.8232201875000023</v>
      </c>
      <c r="R197" s="5">
        <f t="shared" si="89"/>
        <v>9.8181404870000009</v>
      </c>
      <c r="S197" s="5">
        <f t="shared" si="89"/>
        <v>9.8119415391999993</v>
      </c>
      <c r="T197" s="5">
        <f t="shared" si="89"/>
        <v>9.8047909426000004</v>
      </c>
      <c r="U197" s="5">
        <f t="shared" si="89"/>
        <v>9.7968691385</v>
      </c>
      <c r="V197" s="5">
        <f t="shared" si="89"/>
        <v>9.7883313793000006</v>
      </c>
      <c r="W197" s="5">
        <f t="shared" si="89"/>
        <v>9.7758182949000005</v>
      </c>
      <c r="X197" s="5">
        <f t="shared" si="89"/>
        <v>9.7637497672999984</v>
      </c>
      <c r="Y197" s="5">
        <f t="shared" si="89"/>
        <v>9.7523042161000006</v>
      </c>
      <c r="Z197" s="5">
        <f t="shared" si="89"/>
        <v>9.7413741002999998</v>
      </c>
      <c r="AA197" s="5">
        <f t="shared" si="89"/>
        <v>9.7308657388000004</v>
      </c>
      <c r="AB197" s="5">
        <f t="shared" si="89"/>
        <v>9.7113330283999986</v>
      </c>
      <c r="AC197" s="5">
        <f t="shared" si="89"/>
        <v>9.6900420155999996</v>
      </c>
      <c r="AD197" s="5">
        <f t="shared" si="89"/>
        <v>9.6681162065000024</v>
      </c>
      <c r="AE197" s="5">
        <f t="shared" si="89"/>
        <v>9.6460437704999986</v>
      </c>
      <c r="AF197" s="5">
        <f t="shared" si="89"/>
        <v>9.6241314338000024</v>
      </c>
      <c r="AG197" s="5">
        <f t="shared" si="89"/>
        <v>9.6025944896999995</v>
      </c>
      <c r="AH197" s="5">
        <f t="shared" si="89"/>
        <v>9.5816573774999991</v>
      </c>
      <c r="AI197" s="5">
        <f t="shared" si="89"/>
        <v>9.5614017732000001</v>
      </c>
      <c r="AJ197" s="5">
        <f t="shared" si="89"/>
        <v>9.5418712724999999</v>
      </c>
      <c r="AK197" s="5">
        <f t="shared" si="89"/>
        <v>9.5230839446999997</v>
      </c>
      <c r="AL197" s="5">
        <f t="shared" si="89"/>
        <v>9.5050364457999983</v>
      </c>
      <c r="AM197" s="5">
        <f t="shared" ref="AM197:BC197" si="90">AM202-AM198</f>
        <v>9.4862845831999998</v>
      </c>
      <c r="AN197" s="5">
        <f t="shared" si="90"/>
        <v>9.4670670043000005</v>
      </c>
      <c r="AO197" s="5">
        <f t="shared" si="90"/>
        <v>9.4476602933000002</v>
      </c>
      <c r="AP197" s="5">
        <f t="shared" si="90"/>
        <v>9.4282789301999994</v>
      </c>
      <c r="AQ197" s="5">
        <f t="shared" si="90"/>
        <v>9.4090705363999998</v>
      </c>
      <c r="AR197" s="5">
        <f t="shared" si="90"/>
        <v>9.3902006453000002</v>
      </c>
      <c r="AS197" s="5">
        <f t="shared" si="90"/>
        <v>9.3717009617000002</v>
      </c>
      <c r="AT197" s="5">
        <f t="shared" si="90"/>
        <v>9.3535727435999991</v>
      </c>
      <c r="AU197" s="5">
        <f t="shared" si="90"/>
        <v>9.3358032352000002</v>
      </c>
      <c r="AV197" s="5">
        <f t="shared" si="90"/>
        <v>9.3183703020999999</v>
      </c>
      <c r="AW197" s="5">
        <f t="shared" si="90"/>
        <v>9.3016222076999995</v>
      </c>
      <c r="AX197" s="5">
        <f t="shared" si="90"/>
        <v>9.2854705676999991</v>
      </c>
      <c r="AY197" s="5">
        <f t="shared" si="90"/>
        <v>9.2698205175999995</v>
      </c>
      <c r="AZ197" s="5">
        <f t="shared" si="90"/>
        <v>9.2546004677999996</v>
      </c>
      <c r="BA197" s="5">
        <f t="shared" si="90"/>
        <v>9.2397502563000007</v>
      </c>
      <c r="BB197" s="5">
        <f t="shared" si="90"/>
        <v>9.2253220191</v>
      </c>
      <c r="BC197" s="5">
        <f t="shared" si="90"/>
        <v>9.2112371687000003</v>
      </c>
      <c r="BD197" s="5">
        <f t="shared" ref="BD197:BF197" si="91">BD202-BD198</f>
        <v>9.1974146089999991</v>
      </c>
      <c r="BE197" s="5">
        <f t="shared" si="91"/>
        <v>9.1837898734000021</v>
      </c>
      <c r="BF197" s="5">
        <f t="shared" si="91"/>
        <v>9.1703129249999993</v>
      </c>
    </row>
    <row r="198" spans="1:58" x14ac:dyDescent="0.35">
      <c r="B198" t="s">
        <v>36</v>
      </c>
      <c r="C198" s="5">
        <f>C200+C201</f>
        <v>7.3058931478</v>
      </c>
      <c r="D198" s="5">
        <f t="shared" ref="D198:AL198" si="92">D200+D201</f>
        <v>7.2127806116000004</v>
      </c>
      <c r="E198" s="5">
        <f t="shared" si="92"/>
        <v>7.1231275339</v>
      </c>
      <c r="F198" s="5">
        <f t="shared" si="92"/>
        <v>7.0439593401999998</v>
      </c>
      <c r="G198" s="5">
        <f t="shared" si="92"/>
        <v>6.9795799325000001</v>
      </c>
      <c r="H198" s="5">
        <f t="shared" si="92"/>
        <v>6.9307719822000005</v>
      </c>
      <c r="I198" s="5">
        <f t="shared" si="92"/>
        <v>6.8938690390000001</v>
      </c>
      <c r="J198" s="5">
        <f t="shared" si="92"/>
        <v>6.8668327937000004</v>
      </c>
      <c r="K198" s="5">
        <f t="shared" si="92"/>
        <v>6.8474586428000004</v>
      </c>
      <c r="L198" s="5">
        <f t="shared" si="92"/>
        <v>6.8337098577999997</v>
      </c>
      <c r="M198" s="5">
        <f t="shared" si="92"/>
        <v>6.8272106558000001</v>
      </c>
      <c r="N198" s="5">
        <f t="shared" si="92"/>
        <v>6.8222708421</v>
      </c>
      <c r="O198" s="5">
        <f t="shared" si="92"/>
        <v>6.8180596775</v>
      </c>
      <c r="P198" s="5">
        <f t="shared" si="92"/>
        <v>6.8141439704</v>
      </c>
      <c r="Q198" s="5">
        <f t="shared" si="92"/>
        <v>6.8102356725000002</v>
      </c>
      <c r="R198" s="5">
        <f t="shared" si="92"/>
        <v>6.8061433530000004</v>
      </c>
      <c r="S198" s="5">
        <f t="shared" si="92"/>
        <v>6.8014565308000003</v>
      </c>
      <c r="T198" s="5">
        <f t="shared" si="92"/>
        <v>6.7962292574000003</v>
      </c>
      <c r="U198" s="5">
        <f t="shared" si="92"/>
        <v>6.7905255414999992</v>
      </c>
      <c r="V198" s="5">
        <f t="shared" si="92"/>
        <v>6.7844023206999999</v>
      </c>
      <c r="W198" s="5">
        <f t="shared" si="92"/>
        <v>6.7757681350999999</v>
      </c>
      <c r="X198" s="5">
        <f t="shared" si="92"/>
        <v>6.7672994027</v>
      </c>
      <c r="Y198" s="5">
        <f t="shared" si="92"/>
        <v>6.7590397738999997</v>
      </c>
      <c r="Z198" s="5">
        <f t="shared" si="92"/>
        <v>6.7509295696999994</v>
      </c>
      <c r="AA198" s="5">
        <f t="shared" si="92"/>
        <v>6.7429248011999992</v>
      </c>
      <c r="AB198" s="5">
        <f t="shared" si="92"/>
        <v>6.7292333916000002</v>
      </c>
      <c r="AC198" s="5">
        <f t="shared" si="92"/>
        <v>6.7142965144</v>
      </c>
      <c r="AD198" s="5">
        <f t="shared" si="92"/>
        <v>6.6986706534999998</v>
      </c>
      <c r="AE198" s="5">
        <f t="shared" si="92"/>
        <v>6.6826480395000001</v>
      </c>
      <c r="AF198" s="5">
        <f t="shared" si="92"/>
        <v>6.6664465861999993</v>
      </c>
      <c r="AG198" s="5">
        <f t="shared" si="92"/>
        <v>6.6502394503</v>
      </c>
      <c r="AH198" s="5">
        <f t="shared" si="92"/>
        <v>6.6342025324999998</v>
      </c>
      <c r="AI198" s="5">
        <f t="shared" si="92"/>
        <v>6.6184173868</v>
      </c>
      <c r="AJ198" s="5">
        <f t="shared" si="92"/>
        <v>6.6029358975000001</v>
      </c>
      <c r="AK198" s="5">
        <f t="shared" si="92"/>
        <v>6.5877876152999999</v>
      </c>
      <c r="AL198" s="5">
        <f t="shared" si="92"/>
        <v>6.5729841642000002</v>
      </c>
      <c r="AM198" s="5">
        <f t="shared" ref="AM198:BC198" si="93">AM200+AM201</f>
        <v>6.5576384568000003</v>
      </c>
      <c r="AN198" s="5">
        <f t="shared" si="93"/>
        <v>6.5419040956999996</v>
      </c>
      <c r="AO198" s="5">
        <f t="shared" si="93"/>
        <v>6.5259431267000005</v>
      </c>
      <c r="AP198" s="5">
        <f t="shared" si="93"/>
        <v>6.5098873998000002</v>
      </c>
      <c r="AQ198" s="5">
        <f t="shared" si="93"/>
        <v>6.4938370136000003</v>
      </c>
      <c r="AR198" s="5">
        <f t="shared" si="93"/>
        <v>6.4779068547000005</v>
      </c>
      <c r="AS198" s="5">
        <f t="shared" si="93"/>
        <v>6.4621337883000001</v>
      </c>
      <c r="AT198" s="5">
        <f t="shared" si="93"/>
        <v>6.4465367964000002</v>
      </c>
      <c r="AU198" s="5">
        <f t="shared" si="93"/>
        <v>6.4311234048000001</v>
      </c>
      <c r="AV198" s="5">
        <f t="shared" si="93"/>
        <v>6.4158914578999999</v>
      </c>
      <c r="AW198" s="5">
        <f t="shared" si="93"/>
        <v>6.4010449423000004</v>
      </c>
      <c r="AX198" s="5">
        <f t="shared" si="93"/>
        <v>6.3865157723000001</v>
      </c>
      <c r="AY198" s="5">
        <f t="shared" si="93"/>
        <v>6.3722334223999999</v>
      </c>
      <c r="AZ198" s="5">
        <f t="shared" si="93"/>
        <v>6.3581414222000001</v>
      </c>
      <c r="BA198" s="5">
        <f t="shared" si="93"/>
        <v>6.3441934636999999</v>
      </c>
      <c r="BB198" s="5">
        <f t="shared" si="93"/>
        <v>6.3304108409000008</v>
      </c>
      <c r="BC198" s="5">
        <f t="shared" si="93"/>
        <v>6.3167445213000004</v>
      </c>
      <c r="BD198" s="5">
        <f t="shared" ref="BD198:BF198" si="94">BD200+BD201</f>
        <v>6.303148481</v>
      </c>
      <c r="BE198" s="5">
        <f t="shared" si="94"/>
        <v>6.2895864565999995</v>
      </c>
      <c r="BF198" s="5">
        <f t="shared" si="94"/>
        <v>6.2760294450000007</v>
      </c>
    </row>
    <row r="199" spans="1:58" x14ac:dyDescent="0.35">
      <c r="B199" t="s">
        <v>11</v>
      </c>
      <c r="C199" s="5">
        <f>[1]Results!F1463</f>
        <v>86.233943370000006</v>
      </c>
      <c r="D199" s="5">
        <f>[1]Results!G1463</f>
        <v>85.43812801</v>
      </c>
      <c r="E199" s="5">
        <f>[1]Results!H1463</f>
        <v>84.617696890000005</v>
      </c>
      <c r="F199" s="5">
        <f>[1]Results!I1463</f>
        <v>83.859981579999996</v>
      </c>
      <c r="G199" s="5">
        <f>[1]Results!J1463</f>
        <v>83.212793570000002</v>
      </c>
      <c r="H199" s="5">
        <f>[1]Results!K1463</f>
        <v>82.688535299999998</v>
      </c>
      <c r="I199" s="5">
        <f>[1]Results!L1463</f>
        <v>82.248554920000004</v>
      </c>
      <c r="J199" s="5">
        <f>[1]Results!M1463</f>
        <v>81.873416449999993</v>
      </c>
      <c r="K199" s="5">
        <f>[1]Results!N1463</f>
        <v>81.549363549999995</v>
      </c>
      <c r="L199" s="5">
        <f>[1]Results!O1463</f>
        <v>81.264196720000001</v>
      </c>
      <c r="M199" s="5">
        <f>[1]Results!P1463</f>
        <v>81.047347560000006</v>
      </c>
      <c r="N199" s="5">
        <f>[1]Results!Q1463</f>
        <v>80.839651259999997</v>
      </c>
      <c r="O199" s="5">
        <f>[1]Results!R1463</f>
        <v>80.626404370000003</v>
      </c>
      <c r="P199" s="5">
        <f>[1]Results!S1463</f>
        <v>80.402904939999999</v>
      </c>
      <c r="Q199" s="5">
        <f>[1]Results!T1463</f>
        <v>80.167632549999993</v>
      </c>
      <c r="R199" s="5">
        <f>[1]Results!U1463</f>
        <v>79.920464120000005</v>
      </c>
      <c r="S199" s="5">
        <f>[1]Results!V1463</f>
        <v>79.660257810000004</v>
      </c>
      <c r="T199" s="5">
        <f>[1]Results!W1463</f>
        <v>79.388674980000005</v>
      </c>
      <c r="U199" s="5">
        <f>[1]Results!X1463</f>
        <v>79.10801386</v>
      </c>
      <c r="V199" s="5">
        <f>[1]Results!Y1463</f>
        <v>78.82067954</v>
      </c>
      <c r="W199" s="5">
        <f>[1]Results!Z1463</f>
        <v>78.502572459999996</v>
      </c>
      <c r="X199" s="5">
        <f>[1]Results!AA1463</f>
        <v>78.185643040000002</v>
      </c>
      <c r="Y199" s="5">
        <f>[1]Results!AB1463</f>
        <v>77.875937179999994</v>
      </c>
      <c r="Z199" s="5">
        <f>[1]Results!AC1463</f>
        <v>77.57449604</v>
      </c>
      <c r="AA199" s="5">
        <f>[1]Results!AD1463</f>
        <v>77.281421219999999</v>
      </c>
      <c r="AB199" s="5">
        <f>[1]Results!AE1463</f>
        <v>76.92613498</v>
      </c>
      <c r="AC199" s="5">
        <f>[1]Results!AF1463</f>
        <v>76.555471549999993</v>
      </c>
      <c r="AD199" s="5">
        <f>[1]Results!AG1463</f>
        <v>76.184220999999994</v>
      </c>
      <c r="AE199" s="5">
        <f>[1]Results!AH1463</f>
        <v>75.819179570000003</v>
      </c>
      <c r="AF199" s="5">
        <f>[1]Results!AI1463</f>
        <v>75.464064250000007</v>
      </c>
      <c r="AG199" s="5">
        <f>[1]Results!AJ1463</f>
        <v>75.121059250000002</v>
      </c>
      <c r="AH199" s="5">
        <f>[1]Results!AK1463</f>
        <v>74.791644050000002</v>
      </c>
      <c r="AI199" s="5">
        <f>[1]Results!AL1463</f>
        <v>74.476488700000004</v>
      </c>
      <c r="AJ199" s="5">
        <f>[1]Results!AM1463</f>
        <v>74.175750399999998</v>
      </c>
      <c r="AK199" s="5">
        <f>[1]Results!AN1463</f>
        <v>73.889257380000004</v>
      </c>
      <c r="AL199" s="5">
        <f>[1]Results!AO1463</f>
        <v>73.616594370000001</v>
      </c>
      <c r="AM199" s="5">
        <f>[1]Results!AP1463</f>
        <v>73.343993280000007</v>
      </c>
      <c r="AN199" s="5">
        <f>[1]Results!AQ1463</f>
        <v>73.072711979999994</v>
      </c>
      <c r="AO199" s="5">
        <f>[1]Results!AR1463</f>
        <v>72.80538147</v>
      </c>
      <c r="AP199" s="5">
        <f>[1]Results!AS1463</f>
        <v>72.544116650000007</v>
      </c>
      <c r="AQ199" s="5">
        <f>[1]Results!AT1463</f>
        <v>72.290226669999996</v>
      </c>
      <c r="AR199" s="5">
        <f>[1]Results!AU1463</f>
        <v>72.044490640000006</v>
      </c>
      <c r="AS199" s="5">
        <f>[1]Results!AV1463</f>
        <v>71.807148330000004</v>
      </c>
      <c r="AT199" s="5">
        <f>[1]Results!AW1463</f>
        <v>71.578027570000003</v>
      </c>
      <c r="AU199" s="5">
        <f>[1]Results!AX1463</f>
        <v>71.356768209999998</v>
      </c>
      <c r="AV199" s="5">
        <f>[1]Results!AY1463</f>
        <v>71.14292786</v>
      </c>
      <c r="AW199" s="5">
        <f>[1]Results!AZ1463</f>
        <v>70.937700280000001</v>
      </c>
      <c r="AX199" s="5">
        <f>[1]Results!BA1463</f>
        <v>70.741382000000002</v>
      </c>
      <c r="AY199" s="5">
        <f>[1]Results!BB1463</f>
        <v>70.55386996</v>
      </c>
      <c r="AZ199" s="5">
        <f>[1]Results!BC1463</f>
        <v>70.374979269999997</v>
      </c>
      <c r="BA199" s="5">
        <f>[1]Results!BD1463</f>
        <v>70.204409130000002</v>
      </c>
      <c r="BB199" s="5">
        <f>[1]Results!BE1463</f>
        <v>70.041818090000007</v>
      </c>
      <c r="BC199" s="5">
        <f>[1]Results!BF1463</f>
        <v>69.886979769999996</v>
      </c>
      <c r="BD199" s="5">
        <f>[1]Results!BG1463</f>
        <v>69.739434279999998</v>
      </c>
      <c r="BE199" s="5">
        <f>[1]Results!BH1463</f>
        <v>69.598739570000006</v>
      </c>
      <c r="BF199" s="5">
        <f>[1]Results!BI1463</f>
        <v>69.464531269999995</v>
      </c>
    </row>
    <row r="200" spans="1:58" x14ac:dyDescent="0.35">
      <c r="B200" t="s">
        <v>35</v>
      </c>
      <c r="C200" s="5">
        <f>[1]Results!F1460</f>
        <v>6.5963204089999996</v>
      </c>
      <c r="D200" s="5">
        <f>[1]Results!G1460</f>
        <v>6.5118088920000003</v>
      </c>
      <c r="E200" s="5">
        <f>[1]Results!H1460</f>
        <v>6.4291016929999998</v>
      </c>
      <c r="F200" s="5">
        <f>[1]Results!I1460</f>
        <v>6.3553387959999998</v>
      </c>
      <c r="G200" s="5">
        <f>[1]Results!J1460</f>
        <v>6.2949739759999996</v>
      </c>
      <c r="H200" s="5">
        <f>[1]Results!K1460</f>
        <v>6.2489696070000003</v>
      </c>
      <c r="I200" s="5">
        <f>[1]Results!L1460</f>
        <v>6.214150965</v>
      </c>
      <c r="J200" s="5">
        <f>[1]Results!M1460</f>
        <v>6.1886222030000004</v>
      </c>
      <c r="K200" s="5">
        <f>[1]Results!N1460</f>
        <v>6.1702864450000003</v>
      </c>
      <c r="L200" s="5">
        <f>[1]Results!O1460</f>
        <v>6.1572138509999998</v>
      </c>
      <c r="M200" s="5">
        <f>[1]Results!P1460</f>
        <v>6.1507074020000001</v>
      </c>
      <c r="N200" s="5">
        <f>[1]Results!Q1460</f>
        <v>6.1457048749999998</v>
      </c>
      <c r="O200" s="5">
        <f>[1]Results!R1460</f>
        <v>6.1414726579999996</v>
      </c>
      <c r="P200" s="5">
        <f>[1]Results!S1460</f>
        <v>6.1376010460000003</v>
      </c>
      <c r="Q200" s="5">
        <f>[1]Results!T1460</f>
        <v>6.1338118189999999</v>
      </c>
      <c r="R200" s="5">
        <f>[1]Results!U1460</f>
        <v>6.1299177540000001</v>
      </c>
      <c r="S200" s="5">
        <f>[1]Results!V1460</f>
        <v>6.1255386620000003</v>
      </c>
      <c r="T200" s="5">
        <f>[1]Results!W1460</f>
        <v>6.1207143620000002</v>
      </c>
      <c r="U200" s="5">
        <f>[1]Results!X1460</f>
        <v>6.1154920629999996</v>
      </c>
      <c r="V200" s="5">
        <f>[1]Results!Y1460</f>
        <v>6.1099131849999999</v>
      </c>
      <c r="W200" s="5">
        <f>[1]Results!Z1460</f>
        <v>6.1021443870000001</v>
      </c>
      <c r="X200" s="5">
        <f>[1]Results!AA1460</f>
        <v>6.0945241750000001</v>
      </c>
      <c r="Y200" s="5">
        <f>[1]Results!AB1460</f>
        <v>6.0870625389999997</v>
      </c>
      <c r="Z200" s="5">
        <f>[1]Results!AC1460</f>
        <v>6.0797032389999996</v>
      </c>
      <c r="AA200" s="5">
        <f>[1]Results!AD1460</f>
        <v>6.0724085499999996</v>
      </c>
      <c r="AB200" s="5">
        <f>[1]Results!AE1460</f>
        <v>6.0601204549999999</v>
      </c>
      <c r="AC200" s="5">
        <f>[1]Results!AF1460</f>
        <v>6.0467445360000003</v>
      </c>
      <c r="AD200" s="5">
        <f>[1]Results!AG1460</f>
        <v>6.032718536</v>
      </c>
      <c r="AE200" s="5">
        <f>[1]Results!AH1460</f>
        <v>6.0182850449999998</v>
      </c>
      <c r="AF200" s="5">
        <f>[1]Results!AI1460</f>
        <v>6.0036346959999998</v>
      </c>
      <c r="AG200" s="5">
        <f>[1]Results!AJ1460</f>
        <v>5.9889245239999997</v>
      </c>
      <c r="AH200" s="5">
        <f>[1]Results!AK1460</f>
        <v>5.9743160289999997</v>
      </c>
      <c r="AI200" s="5">
        <f>[1]Results!AL1460</f>
        <v>5.959886097</v>
      </c>
      <c r="AJ200" s="5">
        <f>[1]Results!AM1460</f>
        <v>5.9456850860000001</v>
      </c>
      <c r="AK200" s="5">
        <f>[1]Results!AN1460</f>
        <v>5.9317428559999996</v>
      </c>
      <c r="AL200" s="5">
        <f>[1]Results!AO1460</f>
        <v>5.9180727820000003</v>
      </c>
      <c r="AM200" s="5">
        <f>[1]Results!AP1460</f>
        <v>5.9039085580000004</v>
      </c>
      <c r="AN200" s="5">
        <f>[1]Results!AQ1460</f>
        <v>5.8893874359999998</v>
      </c>
      <c r="AO200" s="5">
        <f>[1]Results!AR1460</f>
        <v>5.8746461200000004</v>
      </c>
      <c r="AP200" s="5">
        <f>[1]Results!AS1460</f>
        <v>5.8597961190000003</v>
      </c>
      <c r="AQ200" s="5">
        <f>[1]Results!AT1460</f>
        <v>5.8449240009999999</v>
      </c>
      <c r="AR200" s="5">
        <f>[1]Results!AU1460</f>
        <v>5.8301324040000004</v>
      </c>
      <c r="AS200" s="5">
        <f>[1]Results!AV1460</f>
        <v>5.8154554220000003</v>
      </c>
      <c r="AT200" s="5">
        <f>[1]Results!AW1460</f>
        <v>5.8009124280000002</v>
      </c>
      <c r="AU200" s="5">
        <f>[1]Results!AX1460</f>
        <v>5.786512654</v>
      </c>
      <c r="AV200" s="5">
        <f>[1]Results!AY1460</f>
        <v>5.7722563669999998</v>
      </c>
      <c r="AW200" s="5">
        <f>[1]Results!AZ1460</f>
        <v>5.7583256550000002</v>
      </c>
      <c r="AX200" s="5">
        <f>[1]Results!BA1460</f>
        <v>5.7446586010000003</v>
      </c>
      <c r="AY200" s="5">
        <f>[1]Results!BB1460</f>
        <v>5.7311929099999999</v>
      </c>
      <c r="AZ200" s="5">
        <f>[1]Results!BC1460</f>
        <v>5.7178784399999998</v>
      </c>
      <c r="BA200" s="5">
        <f>[1]Results!BD1460</f>
        <v>5.7046738100000001</v>
      </c>
      <c r="BB200" s="5">
        <f>[1]Results!BE1460</f>
        <v>5.6915980800000003</v>
      </c>
      <c r="BC200" s="5">
        <f>[1]Results!BF1460</f>
        <v>5.6786065150000002</v>
      </c>
      <c r="BD200" s="5">
        <f>[1]Results!BG1460</f>
        <v>5.6656579010000003</v>
      </c>
      <c r="BE200" s="5">
        <f>[1]Results!BH1460</f>
        <v>5.6527195729999997</v>
      </c>
      <c r="BF200" s="5">
        <f>[1]Results!BI1460</f>
        <v>5.6397651040000003</v>
      </c>
    </row>
    <row r="201" spans="1:58" x14ac:dyDescent="0.35">
      <c r="B201" t="s">
        <v>34</v>
      </c>
      <c r="C201" s="5">
        <f>[1]Results!F1462</f>
        <v>0.70957273880000005</v>
      </c>
      <c r="D201" s="5">
        <f>[1]Results!G1462</f>
        <v>0.70097171960000004</v>
      </c>
      <c r="E201" s="5">
        <f>[1]Results!H1462</f>
        <v>0.69402584089999997</v>
      </c>
      <c r="F201" s="5">
        <f>[1]Results!I1462</f>
        <v>0.68862054419999996</v>
      </c>
      <c r="G201" s="5">
        <f>[1]Results!J1462</f>
        <v>0.6846059565</v>
      </c>
      <c r="H201" s="5">
        <f>[1]Results!K1462</f>
        <v>0.68180237519999998</v>
      </c>
      <c r="I201" s="5">
        <f>[1]Results!L1462</f>
        <v>0.67971807399999995</v>
      </c>
      <c r="J201" s="5">
        <f>[1]Results!M1462</f>
        <v>0.6782105907</v>
      </c>
      <c r="K201" s="5">
        <f>[1]Results!N1462</f>
        <v>0.67717219780000004</v>
      </c>
      <c r="L201" s="5">
        <f>[1]Results!O1462</f>
        <v>0.67649600679999999</v>
      </c>
      <c r="M201" s="5">
        <f>[1]Results!P1462</f>
        <v>0.67650325379999998</v>
      </c>
      <c r="N201" s="5">
        <f>[1]Results!Q1462</f>
        <v>0.67656596710000005</v>
      </c>
      <c r="O201" s="5">
        <f>[1]Results!R1462</f>
        <v>0.6765870195</v>
      </c>
      <c r="P201" s="5">
        <f>[1]Results!S1462</f>
        <v>0.67654292439999997</v>
      </c>
      <c r="Q201" s="5">
        <f>[1]Results!T1462</f>
        <v>0.67642385350000001</v>
      </c>
      <c r="R201" s="5">
        <f>[1]Results!U1462</f>
        <v>0.67622559900000001</v>
      </c>
      <c r="S201" s="5">
        <f>[1]Results!V1462</f>
        <v>0.67591786880000004</v>
      </c>
      <c r="T201" s="5">
        <f>[1]Results!W1462</f>
        <v>0.67551489539999998</v>
      </c>
      <c r="U201" s="5">
        <f>[1]Results!X1462</f>
        <v>0.67503347849999995</v>
      </c>
      <c r="V201" s="5">
        <f>[1]Results!Y1462</f>
        <v>0.67448913570000002</v>
      </c>
      <c r="W201" s="5">
        <f>[1]Results!Z1462</f>
        <v>0.67362374810000003</v>
      </c>
      <c r="X201" s="5">
        <f>[1]Results!AA1462</f>
        <v>0.67277522769999998</v>
      </c>
      <c r="Y201" s="5">
        <f>[1]Results!AB1462</f>
        <v>0.67197723490000005</v>
      </c>
      <c r="Z201" s="5">
        <f>[1]Results!AC1462</f>
        <v>0.67122633070000004</v>
      </c>
      <c r="AA201" s="5">
        <f>[1]Results!AD1462</f>
        <v>0.67051625120000002</v>
      </c>
      <c r="AB201" s="5">
        <f>[1]Results!AE1462</f>
        <v>0.66911293660000004</v>
      </c>
      <c r="AC201" s="5">
        <f>[1]Results!AF1462</f>
        <v>0.66755197840000002</v>
      </c>
      <c r="AD201" s="5">
        <f>[1]Results!AG1462</f>
        <v>0.66595211750000005</v>
      </c>
      <c r="AE201" s="5">
        <f>[1]Results!AH1462</f>
        <v>0.66436299450000003</v>
      </c>
      <c r="AF201" s="5">
        <f>[1]Results!AI1462</f>
        <v>0.66281189019999998</v>
      </c>
      <c r="AG201" s="5">
        <f>[1]Results!AJ1462</f>
        <v>0.66131492629999999</v>
      </c>
      <c r="AH201" s="5">
        <f>[1]Results!AK1462</f>
        <v>0.6598865035</v>
      </c>
      <c r="AI201" s="5">
        <f>[1]Results!AL1462</f>
        <v>0.65853128979999997</v>
      </c>
      <c r="AJ201" s="5">
        <f>[1]Results!AM1462</f>
        <v>0.65725081149999998</v>
      </c>
      <c r="AK201" s="5">
        <f>[1]Results!AN1462</f>
        <v>0.65604475929999995</v>
      </c>
      <c r="AL201" s="5">
        <f>[1]Results!AO1462</f>
        <v>0.6549113822</v>
      </c>
      <c r="AM201" s="5">
        <f>[1]Results!AP1462</f>
        <v>0.65372989879999999</v>
      </c>
      <c r="AN201" s="5">
        <f>[1]Results!AQ1462</f>
        <v>0.65251665969999995</v>
      </c>
      <c r="AO201" s="5">
        <f>[1]Results!AR1462</f>
        <v>0.65129700670000001</v>
      </c>
      <c r="AP201" s="5">
        <f>[1]Results!AS1462</f>
        <v>0.6500912808</v>
      </c>
      <c r="AQ201" s="5">
        <f>[1]Results!AT1462</f>
        <v>0.64891301260000001</v>
      </c>
      <c r="AR201" s="5">
        <f>[1]Results!AU1462</f>
        <v>0.64777445069999995</v>
      </c>
      <c r="AS201" s="5">
        <f>[1]Results!AV1462</f>
        <v>0.64667836629999997</v>
      </c>
      <c r="AT201" s="5">
        <f>[1]Results!AW1462</f>
        <v>0.64562436840000004</v>
      </c>
      <c r="AU201" s="5">
        <f>[1]Results!AX1462</f>
        <v>0.64461075079999997</v>
      </c>
      <c r="AV201" s="5">
        <f>[1]Results!AY1462</f>
        <v>0.64363509090000004</v>
      </c>
      <c r="AW201" s="5">
        <f>[1]Results!AZ1462</f>
        <v>0.64271928730000005</v>
      </c>
      <c r="AX201" s="5">
        <f>[1]Results!BA1462</f>
        <v>0.64185717129999997</v>
      </c>
      <c r="AY201" s="5">
        <f>[1]Results!BB1462</f>
        <v>0.64104051240000004</v>
      </c>
      <c r="AZ201" s="5">
        <f>[1]Results!BC1462</f>
        <v>0.6402629822</v>
      </c>
      <c r="BA201" s="5">
        <f>[1]Results!BD1462</f>
        <v>0.63951965369999997</v>
      </c>
      <c r="BB201" s="5">
        <f>[1]Results!BE1462</f>
        <v>0.63881276090000005</v>
      </c>
      <c r="BC201" s="5">
        <f>[1]Results!BF1462</f>
        <v>0.63813800629999995</v>
      </c>
      <c r="BD201" s="5">
        <f>[1]Results!BG1462</f>
        <v>0.63749058000000003</v>
      </c>
      <c r="BE201" s="5">
        <f>[1]Results!BH1462</f>
        <v>0.63686688359999999</v>
      </c>
      <c r="BF201" s="5">
        <f>[1]Results!BI1462</f>
        <v>0.63626434099999996</v>
      </c>
    </row>
    <row r="202" spans="1:58" x14ac:dyDescent="0.35">
      <c r="B202" t="s">
        <v>37</v>
      </c>
      <c r="C202" s="5">
        <f>[1]Results!F1458</f>
        <v>17.73422691</v>
      </c>
      <c r="D202" s="5">
        <f>[1]Results!G1458</f>
        <v>17.507231279999999</v>
      </c>
      <c r="E202" s="5">
        <f>[1]Results!H1458</f>
        <v>17.301473980000001</v>
      </c>
      <c r="F202" s="5">
        <f>[1]Results!I1458</f>
        <v>17.12655509</v>
      </c>
      <c r="G202" s="5">
        <f>[1]Results!J1458</f>
        <v>16.987725220000002</v>
      </c>
      <c r="H202" s="5">
        <f>[1]Results!K1458</f>
        <v>16.884386769999999</v>
      </c>
      <c r="I202" s="5">
        <f>[1]Results!L1458</f>
        <v>16.806369719999999</v>
      </c>
      <c r="J202" s="5">
        <f>[1]Results!M1458</f>
        <v>16.749066729999999</v>
      </c>
      <c r="K202" s="5">
        <f>[1]Results!N1458</f>
        <v>16.707957619999998</v>
      </c>
      <c r="L202" s="5">
        <f>[1]Results!O1458</f>
        <v>16.678873759999998</v>
      </c>
      <c r="M202" s="5">
        <f>[1]Results!P1458</f>
        <v>16.6670041</v>
      </c>
      <c r="N202" s="5">
        <f>[1]Results!Q1458</f>
        <v>16.6579747</v>
      </c>
      <c r="O202" s="5">
        <f>[1]Results!R1458</f>
        <v>16.649870279999998</v>
      </c>
      <c r="P202" s="5">
        <f>[1]Results!S1458</f>
        <v>16.641871080000001</v>
      </c>
      <c r="Q202" s="5">
        <f>[1]Results!T1458</f>
        <v>16.633455860000002</v>
      </c>
      <c r="R202" s="5">
        <f>[1]Results!U1458</f>
        <v>16.62428384</v>
      </c>
      <c r="S202" s="5">
        <f>[1]Results!V1458</f>
        <v>16.613398069999999</v>
      </c>
      <c r="T202" s="5">
        <f>[1]Results!W1458</f>
        <v>16.601020200000001</v>
      </c>
      <c r="U202" s="5">
        <f>[1]Results!X1458</f>
        <v>16.587394679999999</v>
      </c>
      <c r="V202" s="5">
        <f>[1]Results!Y1458</f>
        <v>16.572733700000001</v>
      </c>
      <c r="W202" s="5">
        <f>[1]Results!Z1458</f>
        <v>16.55158643</v>
      </c>
      <c r="X202" s="5">
        <f>[1]Results!AA1458</f>
        <v>16.531049169999999</v>
      </c>
      <c r="Y202" s="5">
        <f>[1]Results!AB1458</f>
        <v>16.51134399</v>
      </c>
      <c r="Z202" s="5">
        <f>[1]Results!AC1458</f>
        <v>16.492303669999998</v>
      </c>
      <c r="AA202" s="5">
        <f>[1]Results!AD1458</f>
        <v>16.47379054</v>
      </c>
      <c r="AB202" s="5">
        <f>[1]Results!AE1458</f>
        <v>16.44056642</v>
      </c>
      <c r="AC202" s="5">
        <f>[1]Results!AF1458</f>
        <v>16.40433853</v>
      </c>
      <c r="AD202" s="5">
        <f>[1]Results!AG1458</f>
        <v>16.366786860000001</v>
      </c>
      <c r="AE202" s="5">
        <f>[1]Results!AH1458</f>
        <v>16.328691809999999</v>
      </c>
      <c r="AF202" s="5">
        <f>[1]Results!AI1458</f>
        <v>16.290578020000002</v>
      </c>
      <c r="AG202" s="5">
        <f>[1]Results!AJ1458</f>
        <v>16.252833939999999</v>
      </c>
      <c r="AH202" s="5">
        <f>[1]Results!AK1458</f>
        <v>16.215859909999999</v>
      </c>
      <c r="AI202" s="5">
        <f>[1]Results!AL1458</f>
        <v>16.179819160000001</v>
      </c>
      <c r="AJ202" s="5">
        <f>[1]Results!AM1458</f>
        <v>16.14480717</v>
      </c>
      <c r="AK202" s="5">
        <f>[1]Results!AN1458</f>
        <v>16.11087156</v>
      </c>
      <c r="AL202" s="5">
        <f>[1]Results!AO1458</f>
        <v>16.078020609999999</v>
      </c>
      <c r="AM202" s="5">
        <f>[1]Results!AP1458</f>
        <v>16.043923039999999</v>
      </c>
      <c r="AN202" s="5">
        <f>[1]Results!AQ1458</f>
        <v>16.0089711</v>
      </c>
      <c r="AO202" s="5">
        <f>[1]Results!AR1458</f>
        <v>15.97360342</v>
      </c>
      <c r="AP202" s="5">
        <f>[1]Results!AS1458</f>
        <v>15.93816633</v>
      </c>
      <c r="AQ202" s="5">
        <f>[1]Results!AT1458</f>
        <v>15.90290755</v>
      </c>
      <c r="AR202" s="5">
        <f>[1]Results!AU1458</f>
        <v>15.868107500000001</v>
      </c>
      <c r="AS202" s="5">
        <f>[1]Results!AV1458</f>
        <v>15.833834749999999</v>
      </c>
      <c r="AT202" s="5">
        <f>[1]Results!AW1458</f>
        <v>15.800109539999999</v>
      </c>
      <c r="AU202" s="5">
        <f>[1]Results!AX1458</f>
        <v>15.766926639999999</v>
      </c>
      <c r="AV202" s="5">
        <f>[1]Results!AY1458</f>
        <v>15.734261760000001</v>
      </c>
      <c r="AW202" s="5">
        <f>[1]Results!AZ1458</f>
        <v>15.70266715</v>
      </c>
      <c r="AX202" s="5">
        <f>[1]Results!BA1458</f>
        <v>15.67198634</v>
      </c>
      <c r="AY202" s="5">
        <f>[1]Results!BB1458</f>
        <v>15.64205394</v>
      </c>
      <c r="AZ202" s="5">
        <f>[1]Results!BC1458</f>
        <v>15.612741890000001</v>
      </c>
      <c r="BA202" s="5">
        <f>[1]Results!BD1458</f>
        <v>15.583943720000001</v>
      </c>
      <c r="BB202" s="5">
        <f>[1]Results!BE1458</f>
        <v>15.555732860000001</v>
      </c>
      <c r="BC202" s="5">
        <f>[1]Results!BF1458</f>
        <v>15.527981690000001</v>
      </c>
      <c r="BD202" s="5">
        <f>[1]Results!BG1458</f>
        <v>15.50056309</v>
      </c>
      <c r="BE202" s="5">
        <f>[1]Results!BH1458</f>
        <v>15.473376330000001</v>
      </c>
      <c r="BF202" s="5">
        <f>[1]Results!BI1458</f>
        <v>15.44634237</v>
      </c>
    </row>
    <row r="203" spans="1:58" x14ac:dyDescent="0.35"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</row>
    <row r="204" spans="1:58" x14ac:dyDescent="0.35">
      <c r="A204" s="12" t="s">
        <v>86</v>
      </c>
      <c r="B204" t="s">
        <v>27</v>
      </c>
      <c r="C204" s="3">
        <f>[1]Results!F1473</f>
        <v>27371.846870000001</v>
      </c>
      <c r="D204" s="3">
        <f>[1]Results!G1473</f>
        <v>27401.593649999999</v>
      </c>
      <c r="E204" s="3">
        <f>[1]Results!H1473</f>
        <v>27439.540099999998</v>
      </c>
      <c r="F204" s="3">
        <f>[1]Results!I1473</f>
        <v>27494.808359999999</v>
      </c>
      <c r="G204" s="3">
        <f>[1]Results!J1473</f>
        <v>27570.244279999999</v>
      </c>
      <c r="H204" s="3">
        <f>[1]Results!K1473</f>
        <v>27664.90669</v>
      </c>
      <c r="I204" s="3">
        <f>[1]Results!L1473</f>
        <v>27765.32691</v>
      </c>
      <c r="J204" s="3">
        <f>[1]Results!M1473</f>
        <v>27870.142619999999</v>
      </c>
      <c r="K204" s="3">
        <f>[1]Results!N1473</f>
        <v>27978.3992</v>
      </c>
      <c r="L204" s="3">
        <f>[1]Results!O1473</f>
        <v>28089.185700000002</v>
      </c>
      <c r="M204" s="3">
        <f>[1]Results!P1473</f>
        <v>28219.506089999999</v>
      </c>
      <c r="N204" s="3">
        <f>[1]Results!Q1473</f>
        <v>28347.466799999998</v>
      </c>
      <c r="O204" s="3">
        <f>[1]Results!R1473</f>
        <v>28471.8357</v>
      </c>
      <c r="P204" s="3">
        <f>[1]Results!S1473</f>
        <v>28592.55488</v>
      </c>
      <c r="Q204" s="3">
        <f>[1]Results!T1473</f>
        <v>28709.857820000001</v>
      </c>
      <c r="R204" s="3">
        <f>[1]Results!U1473</f>
        <v>28824.0841</v>
      </c>
      <c r="S204" s="3">
        <f>[1]Results!V1473</f>
        <v>28935.630120000002</v>
      </c>
      <c r="T204" s="3">
        <f>[1]Results!W1473</f>
        <v>29044.920099999999</v>
      </c>
      <c r="U204" s="3">
        <f>[1]Results!X1473</f>
        <v>29152.37917</v>
      </c>
      <c r="V204" s="3">
        <f>[1]Results!Y1473</f>
        <v>29258.410459999999</v>
      </c>
      <c r="W204" s="3">
        <f>[1]Results!Z1473</f>
        <v>29351.548210000001</v>
      </c>
      <c r="X204" s="3">
        <f>[1]Results!AA1473</f>
        <v>29446.0723</v>
      </c>
      <c r="Y204" s="3">
        <f>[1]Results!AB1473</f>
        <v>29542.635340000001</v>
      </c>
      <c r="Z204" s="3">
        <f>[1]Results!AC1473</f>
        <v>29641.154159999998</v>
      </c>
      <c r="AA204" s="3">
        <f>[1]Results!AD1473</f>
        <v>29741.393469999999</v>
      </c>
      <c r="AB204" s="3">
        <f>[1]Results!AE1473</f>
        <v>29810.8298</v>
      </c>
      <c r="AC204" s="3">
        <f>[1]Results!AF1473</f>
        <v>29872.11692</v>
      </c>
      <c r="AD204" s="3">
        <f>[1]Results!AG1473</f>
        <v>29928.77248</v>
      </c>
      <c r="AE204" s="3">
        <f>[1]Results!AH1473</f>
        <v>29982.965209999998</v>
      </c>
      <c r="AF204" s="3">
        <f>[1]Results!AI1473</f>
        <v>30036.211480000002</v>
      </c>
      <c r="AG204" s="3">
        <f>[1]Results!AJ1473</f>
        <v>30089.559499999999</v>
      </c>
      <c r="AH204" s="3">
        <f>[1]Results!AK1473</f>
        <v>30143.674370000001</v>
      </c>
      <c r="AI204" s="3">
        <f>[1]Results!AL1473</f>
        <v>30198.911189999999</v>
      </c>
      <c r="AJ204" s="3">
        <f>[1]Results!AM1473</f>
        <v>30255.388940000001</v>
      </c>
      <c r="AK204" s="3">
        <f>[1]Results!AN1473</f>
        <v>30313.061399999999</v>
      </c>
      <c r="AL204" s="3">
        <f>[1]Results!AO1473</f>
        <v>30371.779210000001</v>
      </c>
      <c r="AM204" s="3">
        <f>[1]Results!AP1473</f>
        <v>30424.466499999999</v>
      </c>
      <c r="AN204" s="3">
        <f>[1]Results!AQ1473</f>
        <v>30472.142639999998</v>
      </c>
      <c r="AO204" s="3">
        <f>[1]Results!AR1473</f>
        <v>30516.058779999999</v>
      </c>
      <c r="AP204" s="3">
        <f>[1]Results!AS1473</f>
        <v>30557.311559999998</v>
      </c>
      <c r="AQ204" s="3">
        <f>[1]Results!AT1473</f>
        <v>30596.784889999999</v>
      </c>
      <c r="AR204" s="3">
        <f>[1]Results!AU1473</f>
        <v>30635.157070000001</v>
      </c>
      <c r="AS204" s="3">
        <f>[1]Results!AV1473</f>
        <v>30672.921849999999</v>
      </c>
      <c r="AT204" s="3">
        <f>[1]Results!AW1473</f>
        <v>30710.41447</v>
      </c>
      <c r="AU204" s="3">
        <f>[1]Results!AX1473</f>
        <v>30747.841100000001</v>
      </c>
      <c r="AV204" s="3">
        <f>[1]Results!AY1473</f>
        <v>30785.309720000001</v>
      </c>
      <c r="AW204" s="3">
        <f>[1]Results!AZ1473</f>
        <v>30823.41649</v>
      </c>
      <c r="AX204" s="3">
        <f>[1]Results!BA1473</f>
        <v>30862.064829999999</v>
      </c>
      <c r="AY204" s="3">
        <f>[1]Results!BB1473</f>
        <v>30901.118210000001</v>
      </c>
      <c r="AZ204" s="3">
        <f>[1]Results!BC1473</f>
        <v>30940.427749999999</v>
      </c>
      <c r="BA204" s="3">
        <f>[1]Results!BD1473</f>
        <v>30979.856240000001</v>
      </c>
      <c r="BB204" s="3">
        <f>[1]Results!BE1473</f>
        <v>31019.296030000001</v>
      </c>
      <c r="BC204" s="3">
        <f>[1]Results!BF1473</f>
        <v>31058.674940000001</v>
      </c>
      <c r="BD204" s="3">
        <f>[1]Results!BG1473</f>
        <v>31097.954150000001</v>
      </c>
      <c r="BE204" s="3">
        <f>[1]Results!BH1473</f>
        <v>31137.122480000002</v>
      </c>
      <c r="BF204" s="3">
        <f>[1]Results!BI1473</f>
        <v>31176.189740000002</v>
      </c>
    </row>
    <row r="205" spans="1:58" x14ac:dyDescent="0.35">
      <c r="A205" t="s">
        <v>38</v>
      </c>
      <c r="B205" t="s">
        <v>7</v>
      </c>
      <c r="C205" s="3">
        <f>[1]Results!F1474</f>
        <v>760.53305020000005</v>
      </c>
      <c r="D205" s="3">
        <f>[1]Results!G1474</f>
        <v>759.21501550000005</v>
      </c>
      <c r="E205" s="3">
        <f>[1]Results!H1474</f>
        <v>757.3148377</v>
      </c>
      <c r="F205" s="3">
        <f>[1]Results!I1474</f>
        <v>755.9167549</v>
      </c>
      <c r="G205" s="3">
        <f>[1]Results!J1474</f>
        <v>755.49152949999996</v>
      </c>
      <c r="H205" s="3">
        <f>[1]Results!K1474</f>
        <v>756.13115930000004</v>
      </c>
      <c r="I205" s="3">
        <f>[1]Results!L1474</f>
        <v>757.46432259999995</v>
      </c>
      <c r="J205" s="3">
        <f>[1]Results!M1474</f>
        <v>759.32508589999998</v>
      </c>
      <c r="K205" s="3">
        <f>[1]Results!N1474</f>
        <v>761.56709569999998</v>
      </c>
      <c r="L205" s="3">
        <f>[1]Results!O1474</f>
        <v>764.06698710000001</v>
      </c>
      <c r="M205" s="3">
        <f>[1]Results!P1474</f>
        <v>767.16900250000003</v>
      </c>
      <c r="N205" s="3">
        <f>[1]Results!Q1474</f>
        <v>770.32745969999996</v>
      </c>
      <c r="O205" s="3">
        <f>[1]Results!R1474</f>
        <v>773.43415379999999</v>
      </c>
      <c r="P205" s="3">
        <f>[1]Results!S1474</f>
        <v>776.44274029999997</v>
      </c>
      <c r="Q205" s="3">
        <f>[1]Results!T1474</f>
        <v>779.334608</v>
      </c>
      <c r="R205" s="3">
        <f>[1]Results!U1474</f>
        <v>782.1070651</v>
      </c>
      <c r="S205" s="3">
        <f>[1]Results!V1474</f>
        <v>784.76720220000004</v>
      </c>
      <c r="T205" s="3">
        <f>[1]Results!W1474</f>
        <v>787.32772309999996</v>
      </c>
      <c r="U205" s="3">
        <f>[1]Results!X1474</f>
        <v>789.80393730000003</v>
      </c>
      <c r="V205" s="3">
        <f>[1]Results!Y1474</f>
        <v>792.21168990000001</v>
      </c>
      <c r="W205" s="3">
        <f>[1]Results!Z1474</f>
        <v>794.27426930000001</v>
      </c>
      <c r="X205" s="3">
        <f>[1]Results!AA1474</f>
        <v>796.31609519999995</v>
      </c>
      <c r="Y205" s="3">
        <f>[1]Results!AB1474</f>
        <v>798.38529249999999</v>
      </c>
      <c r="Z205" s="3">
        <f>[1]Results!AC1474</f>
        <v>800.49781399999995</v>
      </c>
      <c r="AA205" s="3">
        <f>[1]Results!AD1474</f>
        <v>802.6576215</v>
      </c>
      <c r="AB205" s="3">
        <f>[1]Results!AE1474</f>
        <v>804.06893500000001</v>
      </c>
      <c r="AC205" s="3">
        <f>[1]Results!AF1474</f>
        <v>805.19966420000003</v>
      </c>
      <c r="AD205" s="3">
        <f>[1]Results!AG1474</f>
        <v>806.16685840000002</v>
      </c>
      <c r="AE205" s="3">
        <f>[1]Results!AH1474</f>
        <v>807.05121999999994</v>
      </c>
      <c r="AF205" s="3">
        <f>[1]Results!AI1474</f>
        <v>807.91324780000002</v>
      </c>
      <c r="AG205" s="3">
        <f>[1]Results!AJ1474</f>
        <v>808.79660369999999</v>
      </c>
      <c r="AH205" s="3">
        <f>[1]Results!AK1474</f>
        <v>809.73002459999998</v>
      </c>
      <c r="AI205" s="3">
        <f>[1]Results!AL1474</f>
        <v>810.72975099999996</v>
      </c>
      <c r="AJ205" s="3">
        <f>[1]Results!AM1474</f>
        <v>811.8023657</v>
      </c>
      <c r="AK205" s="3">
        <f>[1]Results!AN1474</f>
        <v>812.94762170000001</v>
      </c>
      <c r="AL205" s="3">
        <f>[1]Results!AO1474</f>
        <v>814.16093509999996</v>
      </c>
      <c r="AM205" s="3">
        <f>[1]Results!AP1474</f>
        <v>815.26672710000003</v>
      </c>
      <c r="AN205" s="3">
        <f>[1]Results!AQ1474</f>
        <v>816.268328</v>
      </c>
      <c r="AO205" s="3">
        <f>[1]Results!AR1474</f>
        <v>817.19005890000005</v>
      </c>
      <c r="AP205" s="3">
        <f>[1]Results!AS1474</f>
        <v>818.06017039999995</v>
      </c>
      <c r="AQ205" s="3">
        <f>[1]Results!AT1474</f>
        <v>818.9050522</v>
      </c>
      <c r="AR205" s="3">
        <f>[1]Results!AU1474</f>
        <v>819.74677210000004</v>
      </c>
      <c r="AS205" s="3">
        <f>[1]Results!AV1474</f>
        <v>820.60211370000002</v>
      </c>
      <c r="AT205" s="3">
        <f>[1]Results!AW1474</f>
        <v>821.48254110000005</v>
      </c>
      <c r="AU205" s="3">
        <f>[1]Results!AX1474</f>
        <v>822.3947604</v>
      </c>
      <c r="AV205" s="3">
        <f>[1]Results!AY1474</f>
        <v>823.34158400000001</v>
      </c>
      <c r="AW205" s="3">
        <f>[1]Results!AZ1474</f>
        <v>824.33631890000004</v>
      </c>
      <c r="AX205" s="3">
        <f>[1]Results!BA1474</f>
        <v>825.37649220000003</v>
      </c>
      <c r="AY205" s="3">
        <f>[1]Results!BB1474</f>
        <v>826.45734300000004</v>
      </c>
      <c r="AZ205" s="3">
        <f>[1]Results!BC1474</f>
        <v>827.57273789999999</v>
      </c>
      <c r="BA205" s="3">
        <f>[1]Results!BD1474</f>
        <v>828.71630670000002</v>
      </c>
      <c r="BB205" s="3">
        <f>[1]Results!BE1474</f>
        <v>829.88232570000002</v>
      </c>
      <c r="BC205" s="3">
        <f>[1]Results!BF1474</f>
        <v>831.06610660000001</v>
      </c>
      <c r="BD205" s="3">
        <f>[1]Results!BG1474</f>
        <v>832.26405199999999</v>
      </c>
      <c r="BE205" s="3">
        <f>[1]Results!BH1474</f>
        <v>833.47354150000001</v>
      </c>
      <c r="BF205" s="3">
        <f>[1]Results!BI1474</f>
        <v>834.69274770000004</v>
      </c>
    </row>
    <row r="206" spans="1:58" x14ac:dyDescent="0.35">
      <c r="B206" t="s">
        <v>30</v>
      </c>
      <c r="C206" s="3">
        <f>[1]Results!F1477</f>
        <v>4367.1201650000003</v>
      </c>
      <c r="D206" s="3">
        <f>[1]Results!G1477</f>
        <v>4371.5474240000003</v>
      </c>
      <c r="E206" s="3">
        <f>[1]Results!H1477</f>
        <v>4377.7143210000004</v>
      </c>
      <c r="F206" s="3">
        <f>[1]Results!I1477</f>
        <v>4387.0979770000004</v>
      </c>
      <c r="G206" s="3">
        <f>[1]Results!J1477</f>
        <v>4400.0579740000003</v>
      </c>
      <c r="H206" s="3">
        <f>[1]Results!K1477</f>
        <v>4416.3723090000003</v>
      </c>
      <c r="I206" s="3">
        <f>[1]Results!L1477</f>
        <v>4434.1015550000002</v>
      </c>
      <c r="J206" s="3">
        <f>[1]Results!M1477</f>
        <v>4452.838436</v>
      </c>
      <c r="K206" s="3">
        <f>[1]Results!N1477</f>
        <v>4472.3342259999999</v>
      </c>
      <c r="L206" s="3">
        <f>[1]Results!O1477</f>
        <v>4492.4070579999998</v>
      </c>
      <c r="M206" s="3">
        <f>[1]Results!P1477</f>
        <v>4515.3617729999996</v>
      </c>
      <c r="N206" s="3">
        <f>[1]Results!Q1477</f>
        <v>4538.420169</v>
      </c>
      <c r="O206" s="3">
        <f>[1]Results!R1477</f>
        <v>4561.269722</v>
      </c>
      <c r="P206" s="3">
        <f>[1]Results!S1477</f>
        <v>4583.8285830000004</v>
      </c>
      <c r="Q206" s="3">
        <f>[1]Results!T1477</f>
        <v>4606.0978020000002</v>
      </c>
      <c r="R206" s="3">
        <f>[1]Results!U1477</f>
        <v>4628.1141660000003</v>
      </c>
      <c r="S206" s="3">
        <f>[1]Results!V1477</f>
        <v>4649.9314109999996</v>
      </c>
      <c r="T206" s="3">
        <f>[1]Results!W1477</f>
        <v>4671.6105239999997</v>
      </c>
      <c r="U206" s="3">
        <f>[1]Results!X1477</f>
        <v>4693.2133860000004</v>
      </c>
      <c r="V206" s="3">
        <f>[1]Results!Y1477</f>
        <v>4714.7981049999999</v>
      </c>
      <c r="W206" s="3">
        <f>[1]Results!Z1477</f>
        <v>4734.7919910000001</v>
      </c>
      <c r="X206" s="3">
        <f>[1]Results!AA1477</f>
        <v>4754.9928719999998</v>
      </c>
      <c r="Y206" s="3">
        <f>[1]Results!AB1477</f>
        <v>4775.5807119999999</v>
      </c>
      <c r="Z206" s="3">
        <f>[1]Results!AC1477</f>
        <v>4796.5866800000003</v>
      </c>
      <c r="AA206" s="3">
        <f>[1]Results!AD1477</f>
        <v>4817.989106</v>
      </c>
      <c r="AB206" s="3">
        <f>[1]Results!AE1477</f>
        <v>4835.31149</v>
      </c>
      <c r="AC206" s="3">
        <f>[1]Results!AF1477</f>
        <v>4851.1993949999996</v>
      </c>
      <c r="AD206" s="3">
        <f>[1]Results!AG1477</f>
        <v>4866.1657990000003</v>
      </c>
      <c r="AE206" s="3">
        <f>[1]Results!AH1477</f>
        <v>4880.5376409999999</v>
      </c>
      <c r="AF206" s="3">
        <f>[1]Results!AI1477</f>
        <v>4894.5395420000004</v>
      </c>
      <c r="AG206" s="3">
        <f>[1]Results!AJ1477</f>
        <v>4908.3212670000003</v>
      </c>
      <c r="AH206" s="3">
        <f>[1]Results!AK1477</f>
        <v>4921.9726780000001</v>
      </c>
      <c r="AI206" s="3">
        <f>[1]Results!AL1477</f>
        <v>4935.5357789999998</v>
      </c>
      <c r="AJ206" s="3">
        <f>[1]Results!AM1477</f>
        <v>4949.016001</v>
      </c>
      <c r="AK206" s="3">
        <f>[1]Results!AN1477</f>
        <v>4962.3928159999996</v>
      </c>
      <c r="AL206" s="3">
        <f>[1]Results!AO1477</f>
        <v>4975.629269</v>
      </c>
      <c r="AM206" s="3">
        <f>[1]Results!AP1477</f>
        <v>4987.7316879999998</v>
      </c>
      <c r="AN206" s="3">
        <f>[1]Results!AQ1477</f>
        <v>4998.7244849999997</v>
      </c>
      <c r="AO206" s="3">
        <f>[1]Results!AR1477</f>
        <v>5008.7239149999996</v>
      </c>
      <c r="AP206" s="3">
        <f>[1]Results!AS1477</f>
        <v>5017.8594860000003</v>
      </c>
      <c r="AQ206" s="3">
        <f>[1]Results!AT1477</f>
        <v>5026.2494139999999</v>
      </c>
      <c r="AR206" s="3">
        <f>[1]Results!AU1477</f>
        <v>5033.9929750000001</v>
      </c>
      <c r="AS206" s="3">
        <f>[1]Results!AV1477</f>
        <v>5041.1692460000004</v>
      </c>
      <c r="AT206" s="3">
        <f>[1]Results!AW1477</f>
        <v>5047.838667</v>
      </c>
      <c r="AU206" s="3">
        <f>[1]Results!AX1477</f>
        <v>5054.0460030000004</v>
      </c>
      <c r="AV206" s="3">
        <f>[1]Results!AY1477</f>
        <v>5059.8239819999999</v>
      </c>
      <c r="AW206" s="3">
        <f>[1]Results!AZ1477</f>
        <v>5065.2740039999999</v>
      </c>
      <c r="AX206" s="3">
        <f>[1]Results!BA1477</f>
        <v>5070.4102800000001</v>
      </c>
      <c r="AY206" s="3">
        <f>[1]Results!BB1477</f>
        <v>5075.2376009999998</v>
      </c>
      <c r="AZ206" s="3">
        <f>[1]Results!BC1477</f>
        <v>5079.7579009999999</v>
      </c>
      <c r="BA206" s="3">
        <f>[1]Results!BD1477</f>
        <v>5083.9747909999996</v>
      </c>
      <c r="BB206" s="3">
        <f>[1]Results!BE1477</f>
        <v>5087.8965070000004</v>
      </c>
      <c r="BC206" s="3">
        <f>[1]Results!BF1477</f>
        <v>5091.5369529999998</v>
      </c>
      <c r="BD206" s="3">
        <f>[1]Results!BG1477</f>
        <v>5094.9155010000004</v>
      </c>
      <c r="BE206" s="3">
        <f>[1]Results!BH1477</f>
        <v>5098.0561630000002</v>
      </c>
      <c r="BF206" s="3">
        <f>[1]Results!BI1477</f>
        <v>5100.986527</v>
      </c>
    </row>
    <row r="207" spans="1:58" x14ac:dyDescent="0.35">
      <c r="B207" t="s">
        <v>28</v>
      </c>
      <c r="C207" s="3">
        <f>[1]Results!F1489</f>
        <v>868.26537050000002</v>
      </c>
      <c r="D207" s="3">
        <f>[1]Results!G1489</f>
        <v>868.48347030000002</v>
      </c>
      <c r="E207" s="3">
        <f>[1]Results!H1489</f>
        <v>868.50546039999995</v>
      </c>
      <c r="F207" s="3">
        <f>[1]Results!I1489</f>
        <v>868.81863209999995</v>
      </c>
      <c r="G207" s="3">
        <f>[1]Results!J1489</f>
        <v>869.64341139999999</v>
      </c>
      <c r="H207" s="3">
        <f>[1]Results!K1489</f>
        <v>871.02130099999999</v>
      </c>
      <c r="I207" s="3">
        <f>[1]Results!L1489</f>
        <v>872.59028590000003</v>
      </c>
      <c r="J207" s="3">
        <f>[1]Results!M1489</f>
        <v>874.31068909999999</v>
      </c>
      <c r="K207" s="3">
        <f>[1]Results!N1489</f>
        <v>876.14799879999998</v>
      </c>
      <c r="L207" s="3">
        <f>[1]Results!O1489</f>
        <v>878.06463399999996</v>
      </c>
      <c r="M207" s="3">
        <f>[1]Results!P1489</f>
        <v>880.53449699999999</v>
      </c>
      <c r="N207" s="3">
        <f>[1]Results!Q1489</f>
        <v>882.92085080000004</v>
      </c>
      <c r="O207" s="3">
        <f>[1]Results!R1489</f>
        <v>885.17503450000004</v>
      </c>
      <c r="P207" s="3">
        <f>[1]Results!S1489</f>
        <v>887.29482059999998</v>
      </c>
      <c r="Q207" s="3">
        <f>[1]Results!T1489</f>
        <v>889.28897119999999</v>
      </c>
      <c r="R207" s="3">
        <f>[1]Results!U1489</f>
        <v>891.1703804</v>
      </c>
      <c r="S207" s="3">
        <f>[1]Results!V1489</f>
        <v>892.95437389999995</v>
      </c>
      <c r="T207" s="3">
        <f>[1]Results!W1489</f>
        <v>894.65764179999996</v>
      </c>
      <c r="U207" s="3">
        <f>[1]Results!X1489</f>
        <v>896.29719290000003</v>
      </c>
      <c r="V207" s="3">
        <f>[1]Results!Y1489</f>
        <v>897.88943459999996</v>
      </c>
      <c r="W207" s="3">
        <f>[1]Results!Z1489</f>
        <v>899.11346800000001</v>
      </c>
      <c r="X207" s="3">
        <f>[1]Results!AA1489</f>
        <v>900.38128549999999</v>
      </c>
      <c r="Y207" s="3">
        <f>[1]Results!AB1489</f>
        <v>901.71975139999995</v>
      </c>
      <c r="Z207" s="3">
        <f>[1]Results!AC1489</f>
        <v>903.12793239999996</v>
      </c>
      <c r="AA207" s="3">
        <f>[1]Results!AD1489</f>
        <v>904.60016940000003</v>
      </c>
      <c r="AB207" s="3">
        <f>[1]Results!AE1489</f>
        <v>905.21651770000005</v>
      </c>
      <c r="AC207" s="3">
        <f>[1]Results!AF1489</f>
        <v>905.6259</v>
      </c>
      <c r="AD207" s="3">
        <f>[1]Results!AG1489</f>
        <v>905.94349139999997</v>
      </c>
      <c r="AE207" s="3">
        <f>[1]Results!AH1489</f>
        <v>906.23398910000003</v>
      </c>
      <c r="AF207" s="3">
        <f>[1]Results!AI1489</f>
        <v>906.54089169999997</v>
      </c>
      <c r="AG207" s="3">
        <f>[1]Results!AJ1489</f>
        <v>906.89355450000005</v>
      </c>
      <c r="AH207" s="3">
        <f>[1]Results!AK1489</f>
        <v>907.30994120000003</v>
      </c>
      <c r="AI207" s="3">
        <f>[1]Results!AL1489</f>
        <v>907.79879249999999</v>
      </c>
      <c r="AJ207" s="3">
        <f>[1]Results!AM1489</f>
        <v>908.36181020000004</v>
      </c>
      <c r="AK207" s="3">
        <f>[1]Results!AN1489</f>
        <v>908.99577120000004</v>
      </c>
      <c r="AL207" s="3">
        <f>[1]Results!AO1489</f>
        <v>909.69439699999998</v>
      </c>
      <c r="AM207" s="3">
        <f>[1]Results!AP1489</f>
        <v>910.25577280000005</v>
      </c>
      <c r="AN207" s="3">
        <f>[1]Results!AQ1489</f>
        <v>910.70801930000005</v>
      </c>
      <c r="AO207" s="3">
        <f>[1]Results!AR1489</f>
        <v>911.08818220000001</v>
      </c>
      <c r="AP207" s="3">
        <f>[1]Results!AS1489</f>
        <v>911.42770419999999</v>
      </c>
      <c r="AQ207" s="3">
        <f>[1]Results!AT1489</f>
        <v>911.75090869999997</v>
      </c>
      <c r="AR207" s="3">
        <f>[1]Results!AU1489</f>
        <v>912.07565580000005</v>
      </c>
      <c r="AS207" s="3">
        <f>[1]Results!AV1489</f>
        <v>912.41423980000002</v>
      </c>
      <c r="AT207" s="3">
        <f>[1]Results!AW1489</f>
        <v>912.77429219999999</v>
      </c>
      <c r="AU207" s="3">
        <f>[1]Results!AX1489</f>
        <v>913.15970219999997</v>
      </c>
      <c r="AV207" s="3">
        <f>[1]Results!AY1489</f>
        <v>913.57154109999999</v>
      </c>
      <c r="AW207" s="3">
        <f>[1]Results!AZ1489</f>
        <v>914.02462709999998</v>
      </c>
      <c r="AX207" s="3">
        <f>[1]Results!BA1489</f>
        <v>914.51409769999998</v>
      </c>
      <c r="AY207" s="3">
        <f>[1]Results!BB1489</f>
        <v>915.03384289999997</v>
      </c>
      <c r="AZ207" s="3">
        <f>[1]Results!BC1489</f>
        <v>915.57776909999995</v>
      </c>
      <c r="BA207" s="3">
        <f>[1]Results!BD1489</f>
        <v>916.14035469999999</v>
      </c>
      <c r="BB207" s="3">
        <f>[1]Results!BE1489</f>
        <v>916.71702189999996</v>
      </c>
      <c r="BC207" s="3">
        <f>[1]Results!BF1489</f>
        <v>917.30426469999998</v>
      </c>
      <c r="BD207" s="3">
        <f>[1]Results!BG1489</f>
        <v>917.89959539999995</v>
      </c>
      <c r="BE207" s="3">
        <f>[1]Results!BH1489</f>
        <v>918.50139330000002</v>
      </c>
      <c r="BF207" s="3">
        <f>[1]Results!BI1489</f>
        <v>919.10872210000002</v>
      </c>
    </row>
    <row r="208" spans="1:58" x14ac:dyDescent="0.35">
      <c r="B208" t="s">
        <v>10</v>
      </c>
      <c r="C208" s="3">
        <f>[1]Results!F1494</f>
        <v>21270.980510000001</v>
      </c>
      <c r="D208" s="3">
        <f>[1]Results!G1494</f>
        <v>21297.637299999999</v>
      </c>
      <c r="E208" s="3">
        <f>[1]Results!H1494</f>
        <v>21331.772209999999</v>
      </c>
      <c r="F208" s="3">
        <f>[1]Results!I1494</f>
        <v>21379.30891</v>
      </c>
      <c r="G208" s="3">
        <f>[1]Results!J1494</f>
        <v>21441.94224</v>
      </c>
      <c r="H208" s="3">
        <f>[1]Results!K1494</f>
        <v>21518.764060000001</v>
      </c>
      <c r="I208" s="3">
        <f>[1]Results!L1494</f>
        <v>21598.988659999999</v>
      </c>
      <c r="J208" s="3">
        <f>[1]Results!M1494</f>
        <v>21681.864089999999</v>
      </c>
      <c r="K208" s="3">
        <f>[1]Results!N1494</f>
        <v>21766.871660000001</v>
      </c>
      <c r="L208" s="3">
        <f>[1]Results!O1494</f>
        <v>21853.454989999998</v>
      </c>
      <c r="M208" s="3">
        <f>[1]Results!P1494</f>
        <v>21955.455330000001</v>
      </c>
      <c r="N208" s="3">
        <f>[1]Results!Q1494</f>
        <v>22055.009829999999</v>
      </c>
      <c r="O208" s="3">
        <f>[1]Results!R1494</f>
        <v>22151.369979999999</v>
      </c>
      <c r="P208" s="3">
        <f>[1]Results!S1494</f>
        <v>22244.611550000001</v>
      </c>
      <c r="Q208" s="3">
        <f>[1]Results!T1494</f>
        <v>22334.976930000001</v>
      </c>
      <c r="R208" s="3">
        <f>[1]Results!U1494</f>
        <v>22422.757689999999</v>
      </c>
      <c r="S208" s="3">
        <f>[1]Results!V1494</f>
        <v>22508.272639999999</v>
      </c>
      <c r="T208" s="3">
        <f>[1]Results!W1494</f>
        <v>22591.853930000001</v>
      </c>
      <c r="U208" s="3">
        <f>[1]Results!X1494</f>
        <v>22673.83078</v>
      </c>
      <c r="V208" s="3">
        <f>[1]Results!Y1494</f>
        <v>22754.514169999999</v>
      </c>
      <c r="W208" s="3">
        <f>[1]Results!Z1494</f>
        <v>22824.64068</v>
      </c>
      <c r="X208" s="3">
        <f>[1]Results!AA1494</f>
        <v>22895.915850000001</v>
      </c>
      <c r="Y208" s="3">
        <f>[1]Results!AB1494</f>
        <v>22968.731889999999</v>
      </c>
      <c r="Z208" s="3">
        <f>[1]Results!AC1494</f>
        <v>23042.959500000001</v>
      </c>
      <c r="AA208" s="3">
        <f>[1]Results!AD1494</f>
        <v>23118.387610000002</v>
      </c>
      <c r="AB208" s="3">
        <f>[1]Results!AE1494</f>
        <v>23168.77648</v>
      </c>
      <c r="AC208" s="3">
        <f>[1]Results!AF1494</f>
        <v>23212.9568</v>
      </c>
      <c r="AD208" s="3">
        <f>[1]Results!AG1494</f>
        <v>23253.684639999999</v>
      </c>
      <c r="AE208" s="3">
        <f>[1]Results!AH1494</f>
        <v>23292.648980000002</v>
      </c>
      <c r="AF208" s="3">
        <f>[1]Results!AI1494</f>
        <v>23331.03357</v>
      </c>
      <c r="AG208" s="3">
        <f>[1]Results!AJ1494</f>
        <v>23369.661499999998</v>
      </c>
      <c r="AH208" s="3">
        <f>[1]Results!AK1494</f>
        <v>23409.060010000001</v>
      </c>
      <c r="AI208" s="3">
        <f>[1]Results!AL1494</f>
        <v>23449.516660000001</v>
      </c>
      <c r="AJ208" s="3">
        <f>[1]Results!AM1494</f>
        <v>23491.136740000002</v>
      </c>
      <c r="AK208" s="3">
        <f>[1]Results!AN1494</f>
        <v>23533.898420000001</v>
      </c>
      <c r="AL208" s="3">
        <f>[1]Results!AO1494</f>
        <v>23577.700819999998</v>
      </c>
      <c r="AM208" s="3">
        <f>[1]Results!AP1494</f>
        <v>23616.858929999999</v>
      </c>
      <c r="AN208" s="3">
        <f>[1]Results!AQ1494</f>
        <v>23652.334350000001</v>
      </c>
      <c r="AO208" s="3">
        <f>[1]Results!AR1494</f>
        <v>23685.196599999999</v>
      </c>
      <c r="AP208" s="3">
        <f>[1]Results!AS1494</f>
        <v>23716.34978</v>
      </c>
      <c r="AQ208" s="3">
        <f>[1]Results!AT1494</f>
        <v>23746.50649</v>
      </c>
      <c r="AR208" s="3">
        <f>[1]Results!AU1494</f>
        <v>23776.204300000001</v>
      </c>
      <c r="AS208" s="3">
        <f>[1]Results!AV1494</f>
        <v>23805.827870000001</v>
      </c>
      <c r="AT208" s="3">
        <f>[1]Results!AW1494</f>
        <v>23835.632420000002</v>
      </c>
      <c r="AU208" s="3">
        <f>[1]Results!AX1494</f>
        <v>23865.76857</v>
      </c>
      <c r="AV208" s="3">
        <f>[1]Results!AY1494</f>
        <v>23896.307799999999</v>
      </c>
      <c r="AW208" s="3">
        <f>[1]Results!AZ1494</f>
        <v>23927.715800000002</v>
      </c>
      <c r="AX208" s="3">
        <f>[1]Results!BA1494</f>
        <v>23959.89143</v>
      </c>
      <c r="AY208" s="3">
        <f>[1]Results!BB1494</f>
        <v>23992.706450000001</v>
      </c>
      <c r="AZ208" s="3">
        <f>[1]Results!BC1494</f>
        <v>24026.022389999998</v>
      </c>
      <c r="BA208" s="3">
        <f>[1]Results!BD1494</f>
        <v>24059.709320000002</v>
      </c>
      <c r="BB208" s="3">
        <f>[1]Results!BE1494</f>
        <v>24093.660889999999</v>
      </c>
      <c r="BC208" s="3">
        <f>[1]Results!BF1494</f>
        <v>24127.79898</v>
      </c>
      <c r="BD208" s="3">
        <f>[1]Results!BG1494</f>
        <v>24162.07171</v>
      </c>
      <c r="BE208" s="3">
        <f>[1]Results!BH1494</f>
        <v>24196.448530000001</v>
      </c>
      <c r="BF208" s="3">
        <f>[1]Results!BI1494</f>
        <v>24230.914799999999</v>
      </c>
    </row>
    <row r="209" spans="1:58" x14ac:dyDescent="0.35">
      <c r="B209" t="s">
        <v>29</v>
      </c>
      <c r="C209" s="3">
        <f>C214-C210</f>
        <v>10.587678492200002</v>
      </c>
      <c r="D209" s="3">
        <f t="shared" ref="D209:AL209" si="95">D214-D210</f>
        <v>10.566688644200001</v>
      </c>
      <c r="E209" s="3">
        <f t="shared" si="95"/>
        <v>10.525732087</v>
      </c>
      <c r="F209" s="3">
        <f t="shared" si="95"/>
        <v>10.481373047600002</v>
      </c>
      <c r="G209" s="3">
        <f t="shared" si="95"/>
        <v>10.443735862899999</v>
      </c>
      <c r="H209" s="3">
        <f t="shared" si="95"/>
        <v>10.417407544300001</v>
      </c>
      <c r="I209" s="3">
        <f t="shared" si="95"/>
        <v>10.3995636845</v>
      </c>
      <c r="J209" s="3">
        <f t="shared" si="95"/>
        <v>10.389550479899999</v>
      </c>
      <c r="K209" s="3">
        <f t="shared" si="95"/>
        <v>10.385935098799999</v>
      </c>
      <c r="L209" s="3">
        <f t="shared" si="95"/>
        <v>10.3870250887</v>
      </c>
      <c r="M209" s="3">
        <f t="shared" si="95"/>
        <v>10.397090521199999</v>
      </c>
      <c r="N209" s="3">
        <f t="shared" si="95"/>
        <v>10.4077435982</v>
      </c>
      <c r="O209" s="3">
        <f t="shared" si="95"/>
        <v>10.4179972875</v>
      </c>
      <c r="P209" s="3">
        <f t="shared" si="95"/>
        <v>10.427592301600001</v>
      </c>
      <c r="Q209" s="3">
        <f t="shared" si="95"/>
        <v>10.436446653999997</v>
      </c>
      <c r="R209" s="3">
        <f t="shared" si="95"/>
        <v>10.444550114999998</v>
      </c>
      <c r="S209" s="3">
        <f t="shared" si="95"/>
        <v>10.451937253899999</v>
      </c>
      <c r="T209" s="3">
        <f t="shared" si="95"/>
        <v>10.458673512600001</v>
      </c>
      <c r="U209" s="3">
        <f t="shared" si="95"/>
        <v>10.464843921</v>
      </c>
      <c r="V209" s="3">
        <f t="shared" si="95"/>
        <v>10.470543617199999</v>
      </c>
      <c r="W209" s="3">
        <f t="shared" si="95"/>
        <v>10.472048775700001</v>
      </c>
      <c r="X209" s="3">
        <f t="shared" si="95"/>
        <v>10.474167000500001</v>
      </c>
      <c r="Y209" s="3">
        <f t="shared" si="95"/>
        <v>10.4770375636</v>
      </c>
      <c r="Z209" s="3">
        <f t="shared" si="95"/>
        <v>10.4805074812</v>
      </c>
      <c r="AA209" s="3">
        <f t="shared" si="95"/>
        <v>10.484444810900001</v>
      </c>
      <c r="AB209" s="3">
        <f t="shared" si="95"/>
        <v>10.478387376900001</v>
      </c>
      <c r="AC209" s="3">
        <f t="shared" si="95"/>
        <v>10.470228390499997</v>
      </c>
      <c r="AD209" s="3">
        <f t="shared" si="95"/>
        <v>10.461198401499999</v>
      </c>
      <c r="AE209" s="3">
        <f t="shared" si="95"/>
        <v>10.451833796999999</v>
      </c>
      <c r="AF209" s="3">
        <f t="shared" si="95"/>
        <v>10.442457188899999</v>
      </c>
      <c r="AG209" s="3">
        <f t="shared" si="95"/>
        <v>10.433288924899998</v>
      </c>
      <c r="AH209" s="3">
        <f t="shared" si="95"/>
        <v>10.424479954300001</v>
      </c>
      <c r="AI209" s="3">
        <f t="shared" si="95"/>
        <v>10.416125924999999</v>
      </c>
      <c r="AJ209" s="3">
        <f t="shared" si="95"/>
        <v>10.4082775097</v>
      </c>
      <c r="AK209" s="3">
        <f t="shared" si="95"/>
        <v>10.400950195299998</v>
      </c>
      <c r="AL209" s="3">
        <f t="shared" si="95"/>
        <v>10.394133699100003</v>
      </c>
      <c r="AM209" s="3">
        <f t="shared" ref="AM209:BC209" si="96">AM214-AM210</f>
        <v>10.385608003099998</v>
      </c>
      <c r="AN209" s="3">
        <f t="shared" si="96"/>
        <v>10.375858984699999</v>
      </c>
      <c r="AO209" s="3">
        <f t="shared" si="96"/>
        <v>10.3653882248</v>
      </c>
      <c r="AP209" s="3">
        <f t="shared" si="96"/>
        <v>10.3545585515</v>
      </c>
      <c r="AQ209" s="3">
        <f t="shared" si="96"/>
        <v>10.343616019000001</v>
      </c>
      <c r="AR209" s="3">
        <f t="shared" si="96"/>
        <v>10.3327248664</v>
      </c>
      <c r="AS209" s="3">
        <f t="shared" si="96"/>
        <v>10.321992589700001</v>
      </c>
      <c r="AT209" s="3">
        <f t="shared" si="96"/>
        <v>10.311486056300001</v>
      </c>
      <c r="AU209" s="3">
        <f t="shared" si="96"/>
        <v>10.301241493299999</v>
      </c>
      <c r="AV209" s="3">
        <f t="shared" si="96"/>
        <v>10.291269187399999</v>
      </c>
      <c r="AW209" s="3">
        <f t="shared" si="96"/>
        <v>10.281721040800001</v>
      </c>
      <c r="AX209" s="3">
        <f t="shared" si="96"/>
        <v>10.272511730200002</v>
      </c>
      <c r="AY209" s="3">
        <f t="shared" si="96"/>
        <v>10.263532123400001</v>
      </c>
      <c r="AZ209" s="3">
        <f t="shared" si="96"/>
        <v>10.254776735100002</v>
      </c>
      <c r="BA209" s="3">
        <f t="shared" si="96"/>
        <v>10.2462838406</v>
      </c>
      <c r="BB209" s="3">
        <f t="shared" si="96"/>
        <v>10.238074847299998</v>
      </c>
      <c r="BC209" s="3">
        <f t="shared" si="96"/>
        <v>10.2301423973</v>
      </c>
      <c r="BD209" s="3">
        <f t="shared" ref="BD209:BF209" si="97">BD214-BD210</f>
        <v>10.222461079200002</v>
      </c>
      <c r="BE209" s="3">
        <f t="shared" si="97"/>
        <v>10.215000498200002</v>
      </c>
      <c r="BF209" s="3">
        <f t="shared" si="97"/>
        <v>10.207733748900001</v>
      </c>
    </row>
    <row r="210" spans="1:58" x14ac:dyDescent="0.35">
      <c r="B210" t="s">
        <v>36</v>
      </c>
      <c r="C210" s="3">
        <f>C212+C213</f>
        <v>7.4064825877999994</v>
      </c>
      <c r="D210" s="3">
        <f t="shared" ref="D210:AL210" si="98">D212+D213</f>
        <v>7.3832166558000001</v>
      </c>
      <c r="E210" s="3">
        <f t="shared" si="98"/>
        <v>7.3411235829999999</v>
      </c>
      <c r="F210" s="3">
        <f t="shared" si="98"/>
        <v>7.2961147223999996</v>
      </c>
      <c r="G210" s="3">
        <f t="shared" si="98"/>
        <v>7.2579222371000007</v>
      </c>
      <c r="H210" s="3">
        <f t="shared" si="98"/>
        <v>7.2303833157000001</v>
      </c>
      <c r="I210" s="3">
        <f t="shared" si="98"/>
        <v>7.2114877854999992</v>
      </c>
      <c r="J210" s="3">
        <f t="shared" si="98"/>
        <v>7.2001106401000001</v>
      </c>
      <c r="K210" s="3">
        <f t="shared" si="98"/>
        <v>7.1945751811999994</v>
      </c>
      <c r="L210" s="3">
        <f t="shared" si="98"/>
        <v>7.1931961812999994</v>
      </c>
      <c r="M210" s="3">
        <f t="shared" si="98"/>
        <v>7.1981322488000004</v>
      </c>
      <c r="N210" s="3">
        <f t="shared" si="98"/>
        <v>7.2039200118000002</v>
      </c>
      <c r="O210" s="3">
        <f t="shared" si="98"/>
        <v>7.2098245324999999</v>
      </c>
      <c r="P210" s="3">
        <f t="shared" si="98"/>
        <v>7.2155143184000003</v>
      </c>
      <c r="Q210" s="3">
        <f t="shared" si="98"/>
        <v>7.2208043060000007</v>
      </c>
      <c r="R210" s="3">
        <f t="shared" si="98"/>
        <v>7.2255950350000004</v>
      </c>
      <c r="S210" s="3">
        <f t="shared" si="98"/>
        <v>7.2298464760999996</v>
      </c>
      <c r="T210" s="3">
        <f t="shared" si="98"/>
        <v>7.2335595274000006</v>
      </c>
      <c r="U210" s="3">
        <f t="shared" si="98"/>
        <v>7.236761499</v>
      </c>
      <c r="V210" s="3">
        <f t="shared" si="98"/>
        <v>7.2394951727999999</v>
      </c>
      <c r="W210" s="3">
        <f t="shared" si="98"/>
        <v>7.2394525942999994</v>
      </c>
      <c r="X210" s="3">
        <f t="shared" si="98"/>
        <v>7.2395899994999997</v>
      </c>
      <c r="Y210" s="3">
        <f t="shared" si="98"/>
        <v>7.2399381464000001</v>
      </c>
      <c r="Z210" s="3">
        <f t="shared" si="98"/>
        <v>7.2404239387999993</v>
      </c>
      <c r="AA210" s="3">
        <f t="shared" si="98"/>
        <v>7.2409946091000004</v>
      </c>
      <c r="AB210" s="3">
        <f t="shared" si="98"/>
        <v>7.2352068831</v>
      </c>
      <c r="AC210" s="3">
        <f t="shared" si="98"/>
        <v>7.2279458295000003</v>
      </c>
      <c r="AD210" s="3">
        <f t="shared" si="98"/>
        <v>7.2198356185000003</v>
      </c>
      <c r="AE210" s="3">
        <f t="shared" si="98"/>
        <v>7.2112009330000006</v>
      </c>
      <c r="AF210" s="3">
        <f t="shared" si="98"/>
        <v>7.2022749611000005</v>
      </c>
      <c r="AG210" s="3">
        <f t="shared" si="98"/>
        <v>7.1932388350999998</v>
      </c>
      <c r="AH210" s="3">
        <f t="shared" si="98"/>
        <v>7.1842297657000005</v>
      </c>
      <c r="AI210" s="3">
        <f t="shared" si="98"/>
        <v>7.1753453050000005</v>
      </c>
      <c r="AJ210" s="3">
        <f t="shared" si="98"/>
        <v>7.1666487102999996</v>
      </c>
      <c r="AK210" s="3">
        <f t="shared" si="98"/>
        <v>7.1581754546999994</v>
      </c>
      <c r="AL210" s="3">
        <f t="shared" si="98"/>
        <v>7.1499400408999998</v>
      </c>
      <c r="AM210" s="3">
        <f t="shared" ref="AM210:BC210" si="99">AM212+AM213</f>
        <v>7.1405848169000006</v>
      </c>
      <c r="AN210" s="3">
        <f t="shared" si="99"/>
        <v>7.1304254653000001</v>
      </c>
      <c r="AO210" s="3">
        <f t="shared" si="99"/>
        <v>7.1197545351999993</v>
      </c>
      <c r="AP210" s="3">
        <f t="shared" si="99"/>
        <v>7.1087873884999997</v>
      </c>
      <c r="AQ210" s="3">
        <f t="shared" si="99"/>
        <v>7.0976789809999996</v>
      </c>
      <c r="AR210" s="3">
        <f t="shared" si="99"/>
        <v>7.0865415135999994</v>
      </c>
      <c r="AS210" s="3">
        <f t="shared" si="99"/>
        <v>7.0754557502999997</v>
      </c>
      <c r="AT210" s="3">
        <f t="shared" si="99"/>
        <v>7.0644780837000001</v>
      </c>
      <c r="AU210" s="3">
        <f t="shared" si="99"/>
        <v>7.0536454367000001</v>
      </c>
      <c r="AV210" s="3">
        <f t="shared" si="99"/>
        <v>7.0429790325999999</v>
      </c>
      <c r="AW210" s="3">
        <f t="shared" si="99"/>
        <v>7.0325954292000006</v>
      </c>
      <c r="AX210" s="3">
        <f t="shared" si="99"/>
        <v>7.0224606497999993</v>
      </c>
      <c r="AY210" s="3">
        <f t="shared" si="99"/>
        <v>7.0125320765999994</v>
      </c>
      <c r="AZ210" s="3">
        <f t="shared" si="99"/>
        <v>7.0027921948999996</v>
      </c>
      <c r="BA210" s="3">
        <f t="shared" si="99"/>
        <v>6.9932354393999994</v>
      </c>
      <c r="BB210" s="3">
        <f t="shared" si="99"/>
        <v>6.9838544027000005</v>
      </c>
      <c r="BC210" s="3">
        <f t="shared" si="99"/>
        <v>6.9746370426999995</v>
      </c>
      <c r="BD210" s="3">
        <f t="shared" ref="BD210:BF210" si="100">BD212+BD213</f>
        <v>6.9655689607999998</v>
      </c>
      <c r="BE210" s="3">
        <f t="shared" si="100"/>
        <v>6.9566361718000005</v>
      </c>
      <c r="BF210" s="3">
        <f t="shared" si="100"/>
        <v>6.9478267710999999</v>
      </c>
    </row>
    <row r="211" spans="1:58" x14ac:dyDescent="0.35">
      <c r="B211" t="s">
        <v>33</v>
      </c>
      <c r="C211" s="3">
        <f>[1]Results!F1502</f>
        <v>86.953612710000002</v>
      </c>
      <c r="D211" s="3">
        <f>[1]Results!G1502</f>
        <v>86.760530610000004</v>
      </c>
      <c r="E211" s="3">
        <f>[1]Results!H1502</f>
        <v>86.366415599999996</v>
      </c>
      <c r="F211" s="3">
        <f>[1]Results!I1502</f>
        <v>85.888597649999994</v>
      </c>
      <c r="G211" s="3">
        <f>[1]Results!J1502</f>
        <v>85.407461519999998</v>
      </c>
      <c r="H211" s="3">
        <f>[1]Results!K1502</f>
        <v>84.970071660000002</v>
      </c>
      <c r="I211" s="3">
        <f>[1]Results!L1502</f>
        <v>84.571033679999999</v>
      </c>
      <c r="J211" s="3">
        <f>[1]Results!M1502</f>
        <v>84.214655640000004</v>
      </c>
      <c r="K211" s="3">
        <f>[1]Results!N1502</f>
        <v>83.897711020000003</v>
      </c>
      <c r="L211" s="3">
        <f>[1]Results!O1502</f>
        <v>83.611805290000007</v>
      </c>
      <c r="M211" s="3">
        <f>[1]Results!P1502</f>
        <v>83.390268919999997</v>
      </c>
      <c r="N211" s="3">
        <f>[1]Results!Q1502</f>
        <v>83.176826890000001</v>
      </c>
      <c r="O211" s="3">
        <f>[1]Results!R1502</f>
        <v>82.958994540000006</v>
      </c>
      <c r="P211" s="3">
        <f>[1]Results!S1502</f>
        <v>82.734078679999996</v>
      </c>
      <c r="Q211" s="3">
        <f>[1]Results!T1502</f>
        <v>82.502258979999993</v>
      </c>
      <c r="R211" s="3">
        <f>[1]Results!U1502</f>
        <v>82.264650849999995</v>
      </c>
      <c r="S211" s="3">
        <f>[1]Results!V1502</f>
        <v>82.022713850000002</v>
      </c>
      <c r="T211" s="3">
        <f>[1]Results!W1502</f>
        <v>81.778043629999999</v>
      </c>
      <c r="U211" s="3">
        <f>[1]Results!X1502</f>
        <v>81.532275389999995</v>
      </c>
      <c r="V211" s="3">
        <f>[1]Results!Y1502</f>
        <v>81.287020190000007</v>
      </c>
      <c r="W211" s="3">
        <f>[1]Results!Z1502</f>
        <v>81.016300670000007</v>
      </c>
      <c r="X211" s="3">
        <f>[1]Results!AA1502</f>
        <v>80.752447599999996</v>
      </c>
      <c r="Y211" s="3">
        <f>[1]Results!AB1502</f>
        <v>80.500716499999996</v>
      </c>
      <c r="Z211" s="3">
        <f>[1]Results!AC1502</f>
        <v>80.261309109999999</v>
      </c>
      <c r="AA211" s="3">
        <f>[1]Results!AD1502</f>
        <v>80.033516039999995</v>
      </c>
      <c r="AB211" s="3">
        <f>[1]Results!AE1502</f>
        <v>79.742775789999996</v>
      </c>
      <c r="AC211" s="3">
        <f>[1]Results!AF1502</f>
        <v>79.43697976</v>
      </c>
      <c r="AD211" s="3">
        <f>[1]Results!AG1502</f>
        <v>79.130658019999998</v>
      </c>
      <c r="AE211" s="3">
        <f>[1]Results!AH1502</f>
        <v>78.830344109999999</v>
      </c>
      <c r="AF211" s="3">
        <f>[1]Results!AI1502</f>
        <v>78.539497240000003</v>
      </c>
      <c r="AG211" s="3">
        <f>[1]Results!AJ1502</f>
        <v>78.260053540000001</v>
      </c>
      <c r="AH211" s="3">
        <f>[1]Results!AK1502</f>
        <v>77.993015360000001</v>
      </c>
      <c r="AI211" s="3">
        <f>[1]Results!AL1502</f>
        <v>77.738736189999997</v>
      </c>
      <c r="AJ211" s="3">
        <f>[1]Results!AM1502</f>
        <v>77.497098640000004</v>
      </c>
      <c r="AK211" s="3">
        <f>[1]Results!AN1502</f>
        <v>77.267649680000005</v>
      </c>
      <c r="AL211" s="3">
        <f>[1]Results!AO1502</f>
        <v>77.049713179999998</v>
      </c>
      <c r="AM211" s="3">
        <f>[1]Results!AP1502</f>
        <v>76.827197069999997</v>
      </c>
      <c r="AN211" s="3">
        <f>[1]Results!AQ1502</f>
        <v>76.601173770000003</v>
      </c>
      <c r="AO211" s="3">
        <f>[1]Results!AR1502</f>
        <v>76.374873730000004</v>
      </c>
      <c r="AP211" s="3">
        <f>[1]Results!AS1502</f>
        <v>76.151072540000001</v>
      </c>
      <c r="AQ211" s="3">
        <f>[1]Results!AT1502</f>
        <v>75.93172869</v>
      </c>
      <c r="AR211" s="3">
        <f>[1]Results!AU1502</f>
        <v>75.718101680000004</v>
      </c>
      <c r="AS211" s="3">
        <f>[1]Results!AV1502</f>
        <v>75.510929820000001</v>
      </c>
      <c r="AT211" s="3">
        <f>[1]Results!AW1502</f>
        <v>75.310584460000001</v>
      </c>
      <c r="AU211" s="3">
        <f>[1]Results!AX1502</f>
        <v>75.117171029999994</v>
      </c>
      <c r="AV211" s="3">
        <f>[1]Results!AY1502</f>
        <v>74.930562600000002</v>
      </c>
      <c r="AW211" s="3">
        <f>[1]Results!AZ1502</f>
        <v>74.751422219999995</v>
      </c>
      <c r="AX211" s="3">
        <f>[1]Results!BA1502</f>
        <v>74.577560410000004</v>
      </c>
      <c r="AY211" s="3">
        <f>[1]Results!BB1502</f>
        <v>74.406905809999998</v>
      </c>
      <c r="AZ211" s="3">
        <f>[1]Results!BC1502</f>
        <v>74.239388529999999</v>
      </c>
      <c r="BA211" s="3">
        <f>[1]Results!BD1502</f>
        <v>74.075950550000002</v>
      </c>
      <c r="BB211" s="3">
        <f>[1]Results!BE1502</f>
        <v>73.917362299999994</v>
      </c>
      <c r="BC211" s="3">
        <f>[1]Results!BF1502</f>
        <v>73.763858429999999</v>
      </c>
      <c r="BD211" s="3">
        <f>[1]Results!BG1502</f>
        <v>73.615262169999994</v>
      </c>
      <c r="BE211" s="3">
        <f>[1]Results!BH1502</f>
        <v>73.471221920000005</v>
      </c>
      <c r="BF211" s="3">
        <f>[1]Results!BI1502</f>
        <v>73.331388410000002</v>
      </c>
    </row>
    <row r="212" spans="1:58" x14ac:dyDescent="0.35">
      <c r="B212" t="s">
        <v>35</v>
      </c>
      <c r="C212" s="3">
        <f>[1]Results!F1499</f>
        <v>6.6863688339999996</v>
      </c>
      <c r="D212" s="3">
        <f>[1]Results!G1499</f>
        <v>6.6636884539999999</v>
      </c>
      <c r="E212" s="3">
        <f>[1]Results!H1499</f>
        <v>6.6230406139999998</v>
      </c>
      <c r="F212" s="3">
        <f>[1]Results!I1499</f>
        <v>6.5796770139999996</v>
      </c>
      <c r="G212" s="3">
        <f>[1]Results!J1499</f>
        <v>6.5429209100000003</v>
      </c>
      <c r="H212" s="3">
        <f>[1]Results!K1499</f>
        <v>6.5163610030000001</v>
      </c>
      <c r="I212" s="3">
        <f>[1]Results!L1499</f>
        <v>6.4981650689999997</v>
      </c>
      <c r="J212" s="3">
        <f>[1]Results!M1499</f>
        <v>6.4871787830000001</v>
      </c>
      <c r="K212" s="3">
        <f>[1]Results!N1499</f>
        <v>6.4817429339999997</v>
      </c>
      <c r="L212" s="3">
        <f>[1]Results!O1499</f>
        <v>6.4802288389999996</v>
      </c>
      <c r="M212" s="3">
        <f>[1]Results!P1499</f>
        <v>6.4844130570000003</v>
      </c>
      <c r="N212" s="3">
        <f>[1]Results!Q1499</f>
        <v>6.4894319080000002</v>
      </c>
      <c r="O212" s="3">
        <f>[1]Results!R1499</f>
        <v>6.494634596</v>
      </c>
      <c r="P212" s="3">
        <f>[1]Results!S1499</f>
        <v>6.4997009400000003</v>
      </c>
      <c r="Q212" s="3">
        <f>[1]Results!T1499</f>
        <v>6.5044421210000003</v>
      </c>
      <c r="R212" s="3">
        <f>[1]Results!U1499</f>
        <v>6.5087515700000003</v>
      </c>
      <c r="S212" s="3">
        <f>[1]Results!V1499</f>
        <v>6.512581076</v>
      </c>
      <c r="T212" s="3">
        <f>[1]Results!W1499</f>
        <v>6.5159227250000002</v>
      </c>
      <c r="U212" s="3">
        <f>[1]Results!X1499</f>
        <v>6.5187945860000003</v>
      </c>
      <c r="V212" s="3">
        <f>[1]Results!Y1499</f>
        <v>6.52123001</v>
      </c>
      <c r="W212" s="3">
        <f>[1]Results!Z1499</f>
        <v>6.5212052409999997</v>
      </c>
      <c r="X212" s="3">
        <f>[1]Results!AA1499</f>
        <v>6.5213172029999997</v>
      </c>
      <c r="Y212" s="3">
        <f>[1]Results!AB1499</f>
        <v>6.5215674210000003</v>
      </c>
      <c r="Z212" s="3">
        <f>[1]Results!AC1499</f>
        <v>6.5218916699999996</v>
      </c>
      <c r="AA212" s="3">
        <f>[1]Results!AD1499</f>
        <v>6.5222483130000004</v>
      </c>
      <c r="AB212" s="3">
        <f>[1]Results!AE1499</f>
        <v>6.5169956060000001</v>
      </c>
      <c r="AC212" s="3">
        <f>[1]Results!AF1499</f>
        <v>6.510447256</v>
      </c>
      <c r="AD212" s="3">
        <f>[1]Results!AG1499</f>
        <v>6.503102835</v>
      </c>
      <c r="AE212" s="3">
        <f>[1]Results!AH1499</f>
        <v>6.4952354650000004</v>
      </c>
      <c r="AF212" s="3">
        <f>[1]Results!AI1499</f>
        <v>6.4870515050000002</v>
      </c>
      <c r="AG212" s="3">
        <f>[1]Results!AJ1499</f>
        <v>6.4787162949999999</v>
      </c>
      <c r="AH212" s="3">
        <f>[1]Results!AK1499</f>
        <v>6.4703575750000004</v>
      </c>
      <c r="AI212" s="3">
        <f>[1]Results!AL1499</f>
        <v>6.4620677540000004</v>
      </c>
      <c r="AJ212" s="3">
        <f>[1]Results!AM1499</f>
        <v>6.4539081559999998</v>
      </c>
      <c r="AK212" s="3">
        <f>[1]Results!AN1499</f>
        <v>6.4459147239999997</v>
      </c>
      <c r="AL212" s="3">
        <f>[1]Results!AO1499</f>
        <v>6.4381041669999997</v>
      </c>
      <c r="AM212" s="3">
        <f>[1]Results!AP1499</f>
        <v>6.4292883920000001</v>
      </c>
      <c r="AN212" s="3">
        <f>[1]Results!AQ1499</f>
        <v>6.4197541989999998</v>
      </c>
      <c r="AO212" s="3">
        <f>[1]Results!AR1499</f>
        <v>6.4097546779999997</v>
      </c>
      <c r="AP212" s="3">
        <f>[1]Results!AS1499</f>
        <v>6.3994753019999999</v>
      </c>
      <c r="AQ212" s="3">
        <f>[1]Results!AT1499</f>
        <v>6.3890510169999999</v>
      </c>
      <c r="AR212" s="3">
        <f>[1]Results!AU1499</f>
        <v>6.3785813559999998</v>
      </c>
      <c r="AS212" s="3">
        <f>[1]Results!AV1499</f>
        <v>6.3681394989999998</v>
      </c>
      <c r="AT212" s="3">
        <f>[1]Results!AW1499</f>
        <v>6.3577777390000003</v>
      </c>
      <c r="AU212" s="3">
        <f>[1]Results!AX1499</f>
        <v>6.3475313519999998</v>
      </c>
      <c r="AV212" s="3">
        <f>[1]Results!AY1499</f>
        <v>6.337421848</v>
      </c>
      <c r="AW212" s="3">
        <f>[1]Results!AZ1499</f>
        <v>6.3275552050000003</v>
      </c>
      <c r="AX212" s="3">
        <f>[1]Results!BA1499</f>
        <v>6.3179103239999996</v>
      </c>
      <c r="AY212" s="3">
        <f>[1]Results!BB1499</f>
        <v>6.3084635369999997</v>
      </c>
      <c r="AZ212" s="3">
        <f>[1]Results!BC1499</f>
        <v>6.2991946240000001</v>
      </c>
      <c r="BA212" s="3">
        <f>[1]Results!BD1499</f>
        <v>6.2900861509999997</v>
      </c>
      <c r="BB212" s="3">
        <f>[1]Results!BE1499</f>
        <v>6.2811224890000004</v>
      </c>
      <c r="BC212" s="3">
        <f>[1]Results!BF1499</f>
        <v>6.2722897079999997</v>
      </c>
      <c r="BD212" s="3">
        <f>[1]Results!BG1499</f>
        <v>6.2635758299999997</v>
      </c>
      <c r="BE212" s="3">
        <f>[1]Results!BH1499</f>
        <v>6.2549709770000002</v>
      </c>
      <c r="BF212" s="3">
        <f>[1]Results!BI1499</f>
        <v>6.246467269</v>
      </c>
    </row>
    <row r="213" spans="1:58" x14ac:dyDescent="0.35">
      <c r="B213" t="s">
        <v>34</v>
      </c>
      <c r="C213" s="3">
        <f>[1]Results!F1501</f>
        <v>0.72011375379999998</v>
      </c>
      <c r="D213" s="3">
        <f>[1]Results!G1501</f>
        <v>0.71952820179999999</v>
      </c>
      <c r="E213" s="3">
        <f>[1]Results!H1501</f>
        <v>0.71808296900000002</v>
      </c>
      <c r="F213" s="3">
        <f>[1]Results!I1501</f>
        <v>0.71643770839999998</v>
      </c>
      <c r="G213" s="3">
        <f>[1]Results!J1501</f>
        <v>0.71500132709999997</v>
      </c>
      <c r="H213" s="3">
        <f>[1]Results!K1501</f>
        <v>0.71402231270000005</v>
      </c>
      <c r="I213" s="3">
        <f>[1]Results!L1501</f>
        <v>0.71332271650000001</v>
      </c>
      <c r="J213" s="3">
        <f>[1]Results!M1501</f>
        <v>0.71293185709999995</v>
      </c>
      <c r="K213" s="3">
        <f>[1]Results!N1501</f>
        <v>0.71283224720000005</v>
      </c>
      <c r="L213" s="3">
        <f>[1]Results!O1501</f>
        <v>0.71296734230000003</v>
      </c>
      <c r="M213" s="3">
        <f>[1]Results!P1501</f>
        <v>0.71371919179999999</v>
      </c>
      <c r="N213" s="3">
        <f>[1]Results!Q1501</f>
        <v>0.71448810380000005</v>
      </c>
      <c r="O213" s="3">
        <f>[1]Results!R1501</f>
        <v>0.71518993649999996</v>
      </c>
      <c r="P213" s="3">
        <f>[1]Results!S1501</f>
        <v>0.71581337840000003</v>
      </c>
      <c r="Q213" s="3">
        <f>[1]Results!T1501</f>
        <v>0.71636218500000004</v>
      </c>
      <c r="R213" s="3">
        <f>[1]Results!U1501</f>
        <v>0.71684346499999996</v>
      </c>
      <c r="S213" s="3">
        <f>[1]Results!V1501</f>
        <v>0.71726540009999995</v>
      </c>
      <c r="T213" s="3">
        <f>[1]Results!W1501</f>
        <v>0.71763680240000005</v>
      </c>
      <c r="U213" s="3">
        <f>[1]Results!X1501</f>
        <v>0.71796691300000004</v>
      </c>
      <c r="V213" s="3">
        <f>[1]Results!Y1501</f>
        <v>0.71826516279999997</v>
      </c>
      <c r="W213" s="3">
        <f>[1]Results!Z1501</f>
        <v>0.7182473533</v>
      </c>
      <c r="X213" s="3">
        <f>[1]Results!AA1501</f>
        <v>0.71827279649999998</v>
      </c>
      <c r="Y213" s="3">
        <f>[1]Results!AB1501</f>
        <v>0.71837072540000002</v>
      </c>
      <c r="Z213" s="3">
        <f>[1]Results!AC1501</f>
        <v>0.71853226879999998</v>
      </c>
      <c r="AA213" s="3">
        <f>[1]Results!AD1501</f>
        <v>0.71874629609999996</v>
      </c>
      <c r="AB213" s="3">
        <f>[1]Results!AE1501</f>
        <v>0.71821127709999999</v>
      </c>
      <c r="AC213" s="3">
        <f>[1]Results!AF1501</f>
        <v>0.71749857350000001</v>
      </c>
      <c r="AD213" s="3">
        <f>[1]Results!AG1501</f>
        <v>0.71673278350000003</v>
      </c>
      <c r="AE213" s="3">
        <f>[1]Results!AH1501</f>
        <v>0.71596546800000005</v>
      </c>
      <c r="AF213" s="3">
        <f>[1]Results!AI1501</f>
        <v>0.71522345610000004</v>
      </c>
      <c r="AG213" s="3">
        <f>[1]Results!AJ1501</f>
        <v>0.71452254010000005</v>
      </c>
      <c r="AH213" s="3">
        <f>[1]Results!AK1501</f>
        <v>0.71387219069999996</v>
      </c>
      <c r="AI213" s="3">
        <f>[1]Results!AL1501</f>
        <v>0.71327755100000001</v>
      </c>
      <c r="AJ213" s="3">
        <f>[1]Results!AM1501</f>
        <v>0.71274055430000005</v>
      </c>
      <c r="AK213" s="3">
        <f>[1]Results!AN1501</f>
        <v>0.71226073069999996</v>
      </c>
      <c r="AL213" s="3">
        <f>[1]Results!AO1501</f>
        <v>0.71183587390000003</v>
      </c>
      <c r="AM213" s="3">
        <f>[1]Results!AP1501</f>
        <v>0.7112964249</v>
      </c>
      <c r="AN213" s="3">
        <f>[1]Results!AQ1501</f>
        <v>0.71067126629999999</v>
      </c>
      <c r="AO213" s="3">
        <f>[1]Results!AR1501</f>
        <v>0.70999985720000003</v>
      </c>
      <c r="AP213" s="3">
        <f>[1]Results!AS1501</f>
        <v>0.70931208649999999</v>
      </c>
      <c r="AQ213" s="3">
        <f>[1]Results!AT1501</f>
        <v>0.70862796400000005</v>
      </c>
      <c r="AR213" s="3">
        <f>[1]Results!AU1501</f>
        <v>0.70796015759999997</v>
      </c>
      <c r="AS213" s="3">
        <f>[1]Results!AV1501</f>
        <v>0.70731625129999998</v>
      </c>
      <c r="AT213" s="3">
        <f>[1]Results!AW1501</f>
        <v>0.70670034469999998</v>
      </c>
      <c r="AU213" s="3">
        <f>[1]Results!AX1501</f>
        <v>0.70611408470000003</v>
      </c>
      <c r="AV213" s="3">
        <f>[1]Results!AY1501</f>
        <v>0.70555718460000005</v>
      </c>
      <c r="AW213" s="3">
        <f>[1]Results!AZ1501</f>
        <v>0.70504022420000001</v>
      </c>
      <c r="AX213" s="3">
        <f>[1]Results!BA1501</f>
        <v>0.70455032579999999</v>
      </c>
      <c r="AY213" s="3">
        <f>[1]Results!BB1501</f>
        <v>0.70406853960000004</v>
      </c>
      <c r="AZ213" s="3">
        <f>[1]Results!BC1501</f>
        <v>0.70359757089999997</v>
      </c>
      <c r="BA213" s="3">
        <f>[1]Results!BD1501</f>
        <v>0.70314928840000002</v>
      </c>
      <c r="BB213" s="3">
        <f>[1]Results!BE1501</f>
        <v>0.70273191369999999</v>
      </c>
      <c r="BC213" s="3">
        <f>[1]Results!BF1501</f>
        <v>0.70234733469999999</v>
      </c>
      <c r="BD213" s="3">
        <f>[1]Results!BG1501</f>
        <v>0.70199313080000003</v>
      </c>
      <c r="BE213" s="3">
        <f>[1]Results!BH1501</f>
        <v>0.7016651948</v>
      </c>
      <c r="BF213" s="3">
        <f>[1]Results!BI1501</f>
        <v>0.70135950209999998</v>
      </c>
    </row>
    <row r="214" spans="1:58" x14ac:dyDescent="0.35">
      <c r="B214" t="s">
        <v>37</v>
      </c>
      <c r="C214" s="3">
        <f>[1]Results!F1497</f>
        <v>17.994161080000001</v>
      </c>
      <c r="D214" s="3">
        <f>[1]Results!G1497</f>
        <v>17.949905300000001</v>
      </c>
      <c r="E214" s="3">
        <f>[1]Results!H1497</f>
        <v>17.86685567</v>
      </c>
      <c r="F214" s="3">
        <f>[1]Results!I1497</f>
        <v>17.77748777</v>
      </c>
      <c r="G214" s="3">
        <f>[1]Results!J1497</f>
        <v>17.7016581</v>
      </c>
      <c r="H214" s="3">
        <f>[1]Results!K1497</f>
        <v>17.647790860000001</v>
      </c>
      <c r="I214" s="3">
        <f>[1]Results!L1497</f>
        <v>17.61105147</v>
      </c>
      <c r="J214" s="3">
        <f>[1]Results!M1497</f>
        <v>17.589661119999999</v>
      </c>
      <c r="K214" s="3">
        <f>[1]Results!N1497</f>
        <v>17.580510279999999</v>
      </c>
      <c r="L214" s="3">
        <f>[1]Results!O1497</f>
        <v>17.580221269999999</v>
      </c>
      <c r="M214" s="3">
        <f>[1]Results!P1497</f>
        <v>17.595222769999999</v>
      </c>
      <c r="N214" s="3">
        <f>[1]Results!Q1497</f>
        <v>17.611663610000001</v>
      </c>
      <c r="O214" s="3">
        <f>[1]Results!R1497</f>
        <v>17.627821820000001</v>
      </c>
      <c r="P214" s="3">
        <f>[1]Results!S1497</f>
        <v>17.643106620000001</v>
      </c>
      <c r="Q214" s="3">
        <f>[1]Results!T1497</f>
        <v>17.657250959999999</v>
      </c>
      <c r="R214" s="3">
        <f>[1]Results!U1497</f>
        <v>17.67014515</v>
      </c>
      <c r="S214" s="3">
        <f>[1]Results!V1497</f>
        <v>17.681783729999999</v>
      </c>
      <c r="T214" s="3">
        <f>[1]Results!W1497</f>
        <v>17.692233040000001</v>
      </c>
      <c r="U214" s="3">
        <f>[1]Results!X1497</f>
        <v>17.70160542</v>
      </c>
      <c r="V214" s="3">
        <f>[1]Results!Y1497</f>
        <v>17.710038789999999</v>
      </c>
      <c r="W214" s="3">
        <f>[1]Results!Z1497</f>
        <v>17.711501370000001</v>
      </c>
      <c r="X214" s="3">
        <f>[1]Results!AA1497</f>
        <v>17.713757000000001</v>
      </c>
      <c r="Y214" s="3">
        <f>[1]Results!AB1497</f>
        <v>17.71697571</v>
      </c>
      <c r="Z214" s="3">
        <f>[1]Results!AC1497</f>
        <v>17.720931419999999</v>
      </c>
      <c r="AA214" s="3">
        <f>[1]Results!AD1497</f>
        <v>17.725439420000001</v>
      </c>
      <c r="AB214" s="3">
        <f>[1]Results!AE1497</f>
        <v>17.713594260000001</v>
      </c>
      <c r="AC214" s="3">
        <f>[1]Results!AF1497</f>
        <v>17.698174219999999</v>
      </c>
      <c r="AD214" s="3">
        <f>[1]Results!AG1497</f>
        <v>17.681034019999998</v>
      </c>
      <c r="AE214" s="3">
        <f>[1]Results!AH1497</f>
        <v>17.66303473</v>
      </c>
      <c r="AF214" s="3">
        <f>[1]Results!AI1497</f>
        <v>17.644732149999999</v>
      </c>
      <c r="AG214" s="3">
        <f>[1]Results!AJ1497</f>
        <v>17.626527759999998</v>
      </c>
      <c r="AH214" s="3">
        <f>[1]Results!AK1497</f>
        <v>17.60870972</v>
      </c>
      <c r="AI214" s="3">
        <f>[1]Results!AL1497</f>
        <v>17.59147123</v>
      </c>
      <c r="AJ214" s="3">
        <f>[1]Results!AM1497</f>
        <v>17.574926219999998</v>
      </c>
      <c r="AK214" s="3">
        <f>[1]Results!AN1497</f>
        <v>17.559125649999999</v>
      </c>
      <c r="AL214" s="3">
        <f>[1]Results!AO1497</f>
        <v>17.544073740000002</v>
      </c>
      <c r="AM214" s="3">
        <f>[1]Results!AP1497</f>
        <v>17.526192819999999</v>
      </c>
      <c r="AN214" s="3">
        <f>[1]Results!AQ1497</f>
        <v>17.506284449999999</v>
      </c>
      <c r="AO214" s="3">
        <f>[1]Results!AR1497</f>
        <v>17.485142759999999</v>
      </c>
      <c r="AP214" s="3">
        <f>[1]Results!AS1497</f>
        <v>17.46334594</v>
      </c>
      <c r="AQ214" s="3">
        <f>[1]Results!AT1497</f>
        <v>17.441295</v>
      </c>
      <c r="AR214" s="3">
        <f>[1]Results!AU1497</f>
        <v>17.41926638</v>
      </c>
      <c r="AS214" s="3">
        <f>[1]Results!AV1497</f>
        <v>17.39744834</v>
      </c>
      <c r="AT214" s="3">
        <f>[1]Results!AW1497</f>
        <v>17.375964140000001</v>
      </c>
      <c r="AU214" s="3">
        <f>[1]Results!AX1497</f>
        <v>17.354886929999999</v>
      </c>
      <c r="AV214" s="3">
        <f>[1]Results!AY1497</f>
        <v>17.334248219999999</v>
      </c>
      <c r="AW214" s="3">
        <f>[1]Results!AZ1497</f>
        <v>17.314316470000001</v>
      </c>
      <c r="AX214" s="3">
        <f>[1]Results!BA1497</f>
        <v>17.294972380000001</v>
      </c>
      <c r="AY214" s="3">
        <f>[1]Results!BB1497</f>
        <v>17.2760642</v>
      </c>
      <c r="AZ214" s="3">
        <f>[1]Results!BC1497</f>
        <v>17.257568930000001</v>
      </c>
      <c r="BA214" s="3">
        <f>[1]Results!BD1497</f>
        <v>17.23951928</v>
      </c>
      <c r="BB214" s="3">
        <f>[1]Results!BE1497</f>
        <v>17.221929249999999</v>
      </c>
      <c r="BC214" s="3">
        <f>[1]Results!BF1497</f>
        <v>17.204779439999999</v>
      </c>
      <c r="BD214" s="3">
        <f>[1]Results!BG1497</f>
        <v>17.188030040000001</v>
      </c>
      <c r="BE214" s="3">
        <f>[1]Results!BH1497</f>
        <v>17.171636670000002</v>
      </c>
      <c r="BF214" s="3">
        <f>[1]Results!BI1497</f>
        <v>17.155560520000002</v>
      </c>
    </row>
    <row r="216" spans="1:58" x14ac:dyDescent="0.35">
      <c r="A216" s="12" t="s">
        <v>86</v>
      </c>
      <c r="B216" t="s">
        <v>27</v>
      </c>
      <c r="C216" s="5">
        <f t="shared" ref="C216:AL216" si="101">C192-C204</f>
        <v>-235.55784000000131</v>
      </c>
      <c r="D216" s="5">
        <f t="shared" si="101"/>
        <v>-437.26488999999856</v>
      </c>
      <c r="E216" s="5">
        <f t="shared" si="101"/>
        <v>-593.28639999999723</v>
      </c>
      <c r="F216" s="5">
        <f t="shared" si="101"/>
        <v>-710.10362999999779</v>
      </c>
      <c r="G216" s="5">
        <f t="shared" si="101"/>
        <v>-796.33909999999742</v>
      </c>
      <c r="H216" s="5">
        <f t="shared" si="101"/>
        <v>-859.49092000000019</v>
      </c>
      <c r="I216" s="5">
        <f t="shared" si="101"/>
        <v>-905.43690000000061</v>
      </c>
      <c r="J216" s="5">
        <f t="shared" si="101"/>
        <v>-938.85686999999962</v>
      </c>
      <c r="K216" s="5">
        <f t="shared" si="101"/>
        <v>-963.46675999999934</v>
      </c>
      <c r="L216" s="5">
        <f t="shared" si="101"/>
        <v>-982.19338000000062</v>
      </c>
      <c r="M216" s="5">
        <f t="shared" si="101"/>
        <v>-997.82054000000062</v>
      </c>
      <c r="N216" s="5">
        <f t="shared" si="101"/>
        <v>-1012.1499799999983</v>
      </c>
      <c r="O216" s="5">
        <f t="shared" si="101"/>
        <v>-1026.1919699999999</v>
      </c>
      <c r="P216" s="5">
        <f t="shared" si="101"/>
        <v>-1040.5313400000014</v>
      </c>
      <c r="Q216" s="5">
        <f t="shared" si="101"/>
        <v>-1055.4828500000003</v>
      </c>
      <c r="R216" s="5">
        <f t="shared" si="101"/>
        <v>-1071.1865499999985</v>
      </c>
      <c r="S216" s="5">
        <f t="shared" si="101"/>
        <v>-1088.2588700000015</v>
      </c>
      <c r="T216" s="5">
        <f t="shared" si="101"/>
        <v>-1106.5798800000011</v>
      </c>
      <c r="U216" s="5">
        <f t="shared" si="101"/>
        <v>-1125.9268400000001</v>
      </c>
      <c r="V216" s="5">
        <f t="shared" si="101"/>
        <v>-1146.0760599999994</v>
      </c>
      <c r="W216" s="5">
        <f t="shared" si="101"/>
        <v>-1166.4327000000012</v>
      </c>
      <c r="X216" s="5">
        <f t="shared" si="101"/>
        <v>-1187.2344400000002</v>
      </c>
      <c r="Y216" s="5">
        <f t="shared" si="101"/>
        <v>-1208.3611300000011</v>
      </c>
      <c r="Z216" s="5">
        <f t="shared" si="101"/>
        <v>-1229.6931499999992</v>
      </c>
      <c r="AA216" s="5">
        <f t="shared" si="101"/>
        <v>-1251.1166200000007</v>
      </c>
      <c r="AB216" s="5">
        <f t="shared" si="101"/>
        <v>-1271.3348100000003</v>
      </c>
      <c r="AC216" s="5">
        <f t="shared" si="101"/>
        <v>-1290.7925099999993</v>
      </c>
      <c r="AD216" s="5">
        <f t="shared" si="101"/>
        <v>-1309.482759999999</v>
      </c>
      <c r="AE216" s="5">
        <f t="shared" si="101"/>
        <v>-1327.4275799999996</v>
      </c>
      <c r="AF216" s="5">
        <f t="shared" si="101"/>
        <v>-1344.6548600000024</v>
      </c>
      <c r="AG216" s="5">
        <f t="shared" si="101"/>
        <v>-1361.1824400000005</v>
      </c>
      <c r="AH216" s="5">
        <f t="shared" si="101"/>
        <v>-1376.9579699999995</v>
      </c>
      <c r="AI216" s="5">
        <f t="shared" si="101"/>
        <v>-1391.9563600000001</v>
      </c>
      <c r="AJ216" s="5">
        <f t="shared" si="101"/>
        <v>-1406.1710700000003</v>
      </c>
      <c r="AK216" s="5">
        <f t="shared" si="101"/>
        <v>-1419.5975199999993</v>
      </c>
      <c r="AL216" s="5">
        <f t="shared" si="101"/>
        <v>-1432.2302500000005</v>
      </c>
      <c r="AM216" s="5">
        <f t="shared" ref="AM216:BC216" si="102">AM192-AM204</f>
        <v>-1443.4839699999975</v>
      </c>
      <c r="AN216" s="5">
        <f t="shared" si="102"/>
        <v>-1453.1718299999993</v>
      </c>
      <c r="AO216" s="5">
        <f t="shared" si="102"/>
        <v>-1461.4035299999996</v>
      </c>
      <c r="AP216" s="5">
        <f t="shared" si="102"/>
        <v>-1468.3717399999987</v>
      </c>
      <c r="AQ216" s="5">
        <f t="shared" si="102"/>
        <v>-1474.2778399999988</v>
      </c>
      <c r="AR216" s="5">
        <f t="shared" si="102"/>
        <v>-1479.2823200000021</v>
      </c>
      <c r="AS216" s="5">
        <f t="shared" si="102"/>
        <v>-1483.4882099999995</v>
      </c>
      <c r="AT216" s="5">
        <f t="shared" si="102"/>
        <v>-1487.0172700000003</v>
      </c>
      <c r="AU216" s="5">
        <f t="shared" si="102"/>
        <v>-1489.9816400000018</v>
      </c>
      <c r="AV216" s="5">
        <f t="shared" si="102"/>
        <v>-1492.4769000000015</v>
      </c>
      <c r="AW216" s="5">
        <f t="shared" si="102"/>
        <v>-1494.6287000000011</v>
      </c>
      <c r="AX216" s="5">
        <f t="shared" si="102"/>
        <v>-1496.32071</v>
      </c>
      <c r="AY216" s="5">
        <f t="shared" si="102"/>
        <v>-1497.6027099999992</v>
      </c>
      <c r="AZ216" s="5">
        <f t="shared" si="102"/>
        <v>-1498.5563999999977</v>
      </c>
      <c r="BA216" s="5">
        <f t="shared" si="102"/>
        <v>-1499.2572400000026</v>
      </c>
      <c r="BB216" s="5">
        <f t="shared" si="102"/>
        <v>-1499.8203900000008</v>
      </c>
      <c r="BC216" s="5">
        <f t="shared" si="102"/>
        <v>-1500.1560200000022</v>
      </c>
      <c r="BD216" s="5">
        <f t="shared" ref="BD216:BF216" si="103">BD192-BD204</f>
        <v>-1500.2799400000004</v>
      </c>
      <c r="BE216" s="5">
        <f t="shared" si="103"/>
        <v>-1500.24251</v>
      </c>
      <c r="BF216" s="5">
        <f t="shared" si="103"/>
        <v>-1500.0990100000017</v>
      </c>
    </row>
    <row r="217" spans="1:58" x14ac:dyDescent="0.35">
      <c r="A217" t="s">
        <v>87</v>
      </c>
      <c r="B217" t="s">
        <v>7</v>
      </c>
      <c r="C217" s="5">
        <f t="shared" ref="C217:AL217" si="104">C193-C205</f>
        <v>-9.7519326999999976</v>
      </c>
      <c r="D217" s="5">
        <f t="shared" si="104"/>
        <v>-17.534233800000038</v>
      </c>
      <c r="E217" s="5">
        <f t="shared" si="104"/>
        <v>-23.326899199999957</v>
      </c>
      <c r="F217" s="5">
        <f t="shared" si="104"/>
        <v>-27.553613100000007</v>
      </c>
      <c r="G217" s="5">
        <f t="shared" si="104"/>
        <v>-30.601791899999967</v>
      </c>
      <c r="H217" s="5">
        <f t="shared" si="104"/>
        <v>-32.779166200000077</v>
      </c>
      <c r="I217" s="5">
        <f t="shared" si="104"/>
        <v>-34.316608699999961</v>
      </c>
      <c r="J217" s="5">
        <f t="shared" si="104"/>
        <v>-35.389588899999922</v>
      </c>
      <c r="K217" s="5">
        <f t="shared" si="104"/>
        <v>-36.13143070000001</v>
      </c>
      <c r="L217" s="5">
        <f t="shared" si="104"/>
        <v>-36.646220699999958</v>
      </c>
      <c r="M217" s="5">
        <f t="shared" si="104"/>
        <v>-37.037742200000025</v>
      </c>
      <c r="N217" s="5">
        <f t="shared" si="104"/>
        <v>-37.375131899999928</v>
      </c>
      <c r="O217" s="5">
        <f t="shared" si="104"/>
        <v>-37.69556149999994</v>
      </c>
      <c r="P217" s="5">
        <f t="shared" si="104"/>
        <v>-38.023152499999924</v>
      </c>
      <c r="Q217" s="5">
        <f t="shared" si="104"/>
        <v>-38.372767999999951</v>
      </c>
      <c r="R217" s="5">
        <f t="shared" si="104"/>
        <v>-38.752685000000042</v>
      </c>
      <c r="S217" s="5">
        <f t="shared" si="104"/>
        <v>-39.194382200000064</v>
      </c>
      <c r="T217" s="5">
        <f t="shared" si="104"/>
        <v>-39.691711099999907</v>
      </c>
      <c r="U217" s="5">
        <f t="shared" si="104"/>
        <v>-40.236931700000014</v>
      </c>
      <c r="V217" s="5">
        <f t="shared" si="104"/>
        <v>-40.822991999999999</v>
      </c>
      <c r="W217" s="5">
        <f t="shared" si="104"/>
        <v>-41.427374999999984</v>
      </c>
      <c r="X217" s="5">
        <f t="shared" si="104"/>
        <v>-42.063791499999979</v>
      </c>
      <c r="Y217" s="5">
        <f t="shared" si="104"/>
        <v>-42.728030399999966</v>
      </c>
      <c r="Z217" s="5">
        <f t="shared" si="104"/>
        <v>-43.416200199999935</v>
      </c>
      <c r="AA217" s="5">
        <f t="shared" si="104"/>
        <v>-44.124720400000001</v>
      </c>
      <c r="AB217" s="5">
        <f t="shared" si="104"/>
        <v>-44.800345099999959</v>
      </c>
      <c r="AC217" s="5">
        <f t="shared" si="104"/>
        <v>-45.466257300000052</v>
      </c>
      <c r="AD217" s="5">
        <f t="shared" si="104"/>
        <v>-46.124475700000062</v>
      </c>
      <c r="AE217" s="5">
        <f t="shared" si="104"/>
        <v>-46.776825199999962</v>
      </c>
      <c r="AF217" s="5">
        <f t="shared" si="104"/>
        <v>-47.424797000000012</v>
      </c>
      <c r="AG217" s="5">
        <f t="shared" si="104"/>
        <v>-48.069184699999937</v>
      </c>
      <c r="AH217" s="5">
        <f t="shared" si="104"/>
        <v>-48.706232900000032</v>
      </c>
      <c r="AI217" s="5">
        <f t="shared" si="104"/>
        <v>-49.335807199999977</v>
      </c>
      <c r="AJ217" s="5">
        <f t="shared" si="104"/>
        <v>-49.957709899999941</v>
      </c>
      <c r="AK217" s="5">
        <f t="shared" si="104"/>
        <v>-50.571452200000067</v>
      </c>
      <c r="AL217" s="5">
        <f t="shared" si="104"/>
        <v>-51.176362799999993</v>
      </c>
      <c r="AM217" s="5">
        <f t="shared" ref="AM217:BC217" si="105">AM193-AM205</f>
        <v>-51.732288400000016</v>
      </c>
      <c r="AN217" s="5">
        <f t="shared" si="105"/>
        <v>-52.243416199999956</v>
      </c>
      <c r="AO217" s="5">
        <f t="shared" si="105"/>
        <v>-52.718391300000008</v>
      </c>
      <c r="AP217" s="5">
        <f t="shared" si="105"/>
        <v>-53.165883599999916</v>
      </c>
      <c r="AQ217" s="5">
        <f t="shared" si="105"/>
        <v>-53.593580999999972</v>
      </c>
      <c r="AR217" s="5">
        <f t="shared" si="105"/>
        <v>-54.004385300000081</v>
      </c>
      <c r="AS217" s="5">
        <f t="shared" si="105"/>
        <v>-54.403211100000021</v>
      </c>
      <c r="AT217" s="5">
        <f t="shared" si="105"/>
        <v>-54.794623900000033</v>
      </c>
      <c r="AU217" s="5">
        <f t="shared" si="105"/>
        <v>-55.182286800000043</v>
      </c>
      <c r="AV217" s="5">
        <f t="shared" si="105"/>
        <v>-55.568876100000011</v>
      </c>
      <c r="AW217" s="5">
        <f t="shared" si="105"/>
        <v>-55.94762639999999</v>
      </c>
      <c r="AX217" s="5">
        <f t="shared" si="105"/>
        <v>-56.317663700000026</v>
      </c>
      <c r="AY217" s="5">
        <f t="shared" si="105"/>
        <v>-56.681429700000081</v>
      </c>
      <c r="AZ217" s="5">
        <f t="shared" si="105"/>
        <v>-57.041301299999986</v>
      </c>
      <c r="BA217" s="5">
        <f t="shared" si="105"/>
        <v>-57.399078199999963</v>
      </c>
      <c r="BB217" s="5">
        <f t="shared" si="105"/>
        <v>-57.751817700000061</v>
      </c>
      <c r="BC217" s="5">
        <f t="shared" si="105"/>
        <v>-58.09895819999997</v>
      </c>
      <c r="BD217" s="5">
        <f t="shared" ref="BD217:BF217" si="106">BD193-BD205</f>
        <v>-58.441948199999956</v>
      </c>
      <c r="BE217" s="5">
        <f t="shared" si="106"/>
        <v>-58.782591300000036</v>
      </c>
      <c r="BF217" s="5">
        <f t="shared" si="106"/>
        <v>-59.122454100000027</v>
      </c>
    </row>
    <row r="218" spans="1:58" x14ac:dyDescent="0.35">
      <c r="B218" t="s">
        <v>30</v>
      </c>
      <c r="C218" s="5">
        <f t="shared" ref="C218:AL218" si="107">C194-C206</f>
        <v>-56.233504000000721</v>
      </c>
      <c r="D218" s="5">
        <f t="shared" si="107"/>
        <v>-100.00121100000069</v>
      </c>
      <c r="E218" s="5">
        <f t="shared" si="107"/>
        <v>-132.33296300000075</v>
      </c>
      <c r="F218" s="5">
        <f t="shared" si="107"/>
        <v>-155.97970700000042</v>
      </c>
      <c r="G218" s="5">
        <f t="shared" si="107"/>
        <v>-173.44074100000034</v>
      </c>
      <c r="H218" s="5">
        <f t="shared" si="107"/>
        <v>-186.65490099999988</v>
      </c>
      <c r="I218" s="5">
        <f t="shared" si="107"/>
        <v>-197.0183219999999</v>
      </c>
      <c r="J218" s="5">
        <f t="shared" si="107"/>
        <v>-205.52960100000018</v>
      </c>
      <c r="K218" s="5">
        <f t="shared" si="107"/>
        <v>-212.89256099999966</v>
      </c>
      <c r="L218" s="5">
        <f t="shared" si="107"/>
        <v>-219.60262700000021</v>
      </c>
      <c r="M218" s="5">
        <f t="shared" si="107"/>
        <v>-226.13123399999949</v>
      </c>
      <c r="N218" s="5">
        <f t="shared" si="107"/>
        <v>-232.76134100000036</v>
      </c>
      <c r="O218" s="5">
        <f t="shared" si="107"/>
        <v>-239.59730500000023</v>
      </c>
      <c r="P218" s="5">
        <f t="shared" si="107"/>
        <v>-246.68568500000038</v>
      </c>
      <c r="Q218" s="5">
        <f t="shared" si="107"/>
        <v>-254.03751000000011</v>
      </c>
      <c r="R218" s="5">
        <f t="shared" si="107"/>
        <v>-261.64053200000035</v>
      </c>
      <c r="S218" s="5">
        <f t="shared" si="107"/>
        <v>-269.62916399999995</v>
      </c>
      <c r="T218" s="5">
        <f t="shared" si="107"/>
        <v>-277.92174900000009</v>
      </c>
      <c r="U218" s="5">
        <f t="shared" si="107"/>
        <v>-286.43328100000053</v>
      </c>
      <c r="V218" s="5">
        <f t="shared" si="107"/>
        <v>-295.08702300000004</v>
      </c>
      <c r="W218" s="5">
        <f t="shared" si="107"/>
        <v>-303.71422900000016</v>
      </c>
      <c r="X218" s="5">
        <f t="shared" si="107"/>
        <v>-312.36458299999958</v>
      </c>
      <c r="Y218" s="5">
        <f t="shared" si="107"/>
        <v>-320.98972500000036</v>
      </c>
      <c r="Z218" s="5">
        <f t="shared" si="107"/>
        <v>-329.54624400000012</v>
      </c>
      <c r="AA218" s="5">
        <f t="shared" si="107"/>
        <v>-337.99499699999978</v>
      </c>
      <c r="AB218" s="5">
        <f t="shared" si="107"/>
        <v>-345.98624500000005</v>
      </c>
      <c r="AC218" s="5">
        <f t="shared" si="107"/>
        <v>-353.6305769999999</v>
      </c>
      <c r="AD218" s="5">
        <f t="shared" si="107"/>
        <v>-360.92557699999998</v>
      </c>
      <c r="AE218" s="5">
        <f t="shared" si="107"/>
        <v>-367.87179599999945</v>
      </c>
      <c r="AF218" s="5">
        <f t="shared" si="107"/>
        <v>-374.47036800000024</v>
      </c>
      <c r="AG218" s="5">
        <f t="shared" si="107"/>
        <v>-380.72144200000002</v>
      </c>
      <c r="AH218" s="5">
        <f t="shared" si="107"/>
        <v>-386.60196499999984</v>
      </c>
      <c r="AI218" s="5">
        <f t="shared" si="107"/>
        <v>-392.1125949999996</v>
      </c>
      <c r="AJ218" s="5">
        <f t="shared" si="107"/>
        <v>-397.25547399999959</v>
      </c>
      <c r="AK218" s="5">
        <f t="shared" si="107"/>
        <v>-402.03258299999925</v>
      </c>
      <c r="AL218" s="5">
        <f t="shared" si="107"/>
        <v>-406.44591599999967</v>
      </c>
      <c r="AM218" s="5">
        <f t="shared" ref="AM218:BC218" si="108">AM194-AM206</f>
        <v>-410.2646109999996</v>
      </c>
      <c r="AN218" s="5">
        <f t="shared" si="108"/>
        <v>-413.51452699999936</v>
      </c>
      <c r="AO218" s="5">
        <f t="shared" si="108"/>
        <v>-416.24839999999949</v>
      </c>
      <c r="AP218" s="5">
        <f t="shared" si="108"/>
        <v>-418.52185700000064</v>
      </c>
      <c r="AQ218" s="5">
        <f t="shared" si="108"/>
        <v>-420.38663300000007</v>
      </c>
      <c r="AR218" s="5">
        <f t="shared" si="108"/>
        <v>-421.86877300000015</v>
      </c>
      <c r="AS218" s="5">
        <f t="shared" si="108"/>
        <v>-423.00637900000038</v>
      </c>
      <c r="AT218" s="5">
        <f t="shared" si="108"/>
        <v>-423.83669999999984</v>
      </c>
      <c r="AU218" s="5">
        <f t="shared" si="108"/>
        <v>-424.39339500000006</v>
      </c>
      <c r="AV218" s="5">
        <f t="shared" si="108"/>
        <v>-424.70643000000018</v>
      </c>
      <c r="AW218" s="5">
        <f t="shared" si="108"/>
        <v>-424.76037199999973</v>
      </c>
      <c r="AX218" s="5">
        <f t="shared" si="108"/>
        <v>-424.56978499999968</v>
      </c>
      <c r="AY218" s="5">
        <f t="shared" si="108"/>
        <v>-424.16684499999974</v>
      </c>
      <c r="AZ218" s="5">
        <f t="shared" si="108"/>
        <v>-423.5854019999997</v>
      </c>
      <c r="BA218" s="5">
        <f t="shared" si="108"/>
        <v>-422.85656899999958</v>
      </c>
      <c r="BB218" s="5">
        <f t="shared" si="108"/>
        <v>-421.98513900000034</v>
      </c>
      <c r="BC218" s="5">
        <f t="shared" si="108"/>
        <v>-420.98499100000026</v>
      </c>
      <c r="BD218" s="5">
        <f t="shared" ref="BD218:BF218" si="109">BD194-BD206</f>
        <v>-419.88036700000066</v>
      </c>
      <c r="BE218" s="5">
        <f t="shared" si="109"/>
        <v>-418.69750100000056</v>
      </c>
      <c r="BF218" s="5">
        <f t="shared" si="109"/>
        <v>-417.46139500000027</v>
      </c>
    </row>
    <row r="219" spans="1:58" x14ac:dyDescent="0.35">
      <c r="B219" t="s">
        <v>28</v>
      </c>
      <c r="C219" s="5">
        <f t="shared" ref="C219:AL219" si="110">C195-C207</f>
        <v>-10.078771400000051</v>
      </c>
      <c r="D219" s="5">
        <f t="shared" si="110"/>
        <v>-17.549298900000053</v>
      </c>
      <c r="E219" s="5">
        <f t="shared" si="110"/>
        <v>-22.784852299999898</v>
      </c>
      <c r="F219" s="5">
        <f t="shared" si="110"/>
        <v>-26.415575599999897</v>
      </c>
      <c r="G219" s="5">
        <f t="shared" si="110"/>
        <v>-28.923670399999992</v>
      </c>
      <c r="H219" s="5">
        <f t="shared" si="110"/>
        <v>-30.644842199999971</v>
      </c>
      <c r="I219" s="5">
        <f t="shared" si="110"/>
        <v>-31.811184400000002</v>
      </c>
      <c r="J219" s="5">
        <f t="shared" si="110"/>
        <v>-32.59249079999995</v>
      </c>
      <c r="K219" s="5">
        <f t="shared" si="110"/>
        <v>-33.116629799999941</v>
      </c>
      <c r="L219" s="5">
        <f t="shared" si="110"/>
        <v>-33.481385100000011</v>
      </c>
      <c r="M219" s="5">
        <f t="shared" si="110"/>
        <v>-33.782363400000008</v>
      </c>
      <c r="N219" s="5">
        <f t="shared" si="110"/>
        <v>-34.080900799999995</v>
      </c>
      <c r="O219" s="5">
        <f t="shared" si="110"/>
        <v>-34.404138100000068</v>
      </c>
      <c r="P219" s="5">
        <f t="shared" si="110"/>
        <v>-34.767374300000029</v>
      </c>
      <c r="Q219" s="5">
        <f t="shared" si="110"/>
        <v>-35.178369599999996</v>
      </c>
      <c r="R219" s="5">
        <f t="shared" si="110"/>
        <v>-35.639796700000034</v>
      </c>
      <c r="S219" s="5">
        <f t="shared" si="110"/>
        <v>-36.18070739999996</v>
      </c>
      <c r="T219" s="5">
        <f t="shared" si="110"/>
        <v>-36.788902899999925</v>
      </c>
      <c r="U219" s="5">
        <f t="shared" si="110"/>
        <v>-37.451807200000076</v>
      </c>
      <c r="V219" s="5">
        <f t="shared" si="110"/>
        <v>-38.158792099999914</v>
      </c>
      <c r="W219" s="5">
        <f t="shared" si="110"/>
        <v>-38.884561400000052</v>
      </c>
      <c r="X219" s="5">
        <f t="shared" si="110"/>
        <v>-39.641733700000032</v>
      </c>
      <c r="Y219" s="5">
        <f t="shared" si="110"/>
        <v>-40.423860199999922</v>
      </c>
      <c r="Z219" s="5">
        <f t="shared" si="110"/>
        <v>-41.225209500000005</v>
      </c>
      <c r="AA219" s="5">
        <f t="shared" si="110"/>
        <v>-42.040752800000064</v>
      </c>
      <c r="AB219" s="5">
        <f t="shared" si="110"/>
        <v>-42.815304900000001</v>
      </c>
      <c r="AC219" s="5">
        <f t="shared" si="110"/>
        <v>-43.573894900000028</v>
      </c>
      <c r="AD219" s="5">
        <f t="shared" si="110"/>
        <v>-44.31870749999996</v>
      </c>
      <c r="AE219" s="5">
        <f t="shared" si="110"/>
        <v>-45.051318499999979</v>
      </c>
      <c r="AF219" s="5">
        <f t="shared" si="110"/>
        <v>-45.7726854</v>
      </c>
      <c r="AG219" s="5">
        <f t="shared" si="110"/>
        <v>-46.483106700000008</v>
      </c>
      <c r="AH219" s="5">
        <f t="shared" si="110"/>
        <v>-47.178325599999994</v>
      </c>
      <c r="AI219" s="5">
        <f t="shared" si="110"/>
        <v>-47.85848139999996</v>
      </c>
      <c r="AJ219" s="5">
        <f t="shared" si="110"/>
        <v>-48.52377540000009</v>
      </c>
      <c r="AK219" s="5">
        <f t="shared" si="110"/>
        <v>-49.174132700000087</v>
      </c>
      <c r="AL219" s="5">
        <f t="shared" si="110"/>
        <v>-49.809272599999986</v>
      </c>
      <c r="AM219" s="5">
        <f t="shared" ref="AM219:BC219" si="111">AM195-AM207</f>
        <v>-50.387772100000007</v>
      </c>
      <c r="AN219" s="5">
        <f t="shared" si="111"/>
        <v>-50.917056600000024</v>
      </c>
      <c r="AO219" s="5">
        <f t="shared" si="111"/>
        <v>-51.407989000000043</v>
      </c>
      <c r="AP219" s="5">
        <f t="shared" si="111"/>
        <v>-51.870090900000037</v>
      </c>
      <c r="AQ219" s="5">
        <f t="shared" si="111"/>
        <v>-52.310901599999966</v>
      </c>
      <c r="AR219" s="5">
        <f t="shared" si="111"/>
        <v>-52.732511799999997</v>
      </c>
      <c r="AS219" s="5">
        <f t="shared" si="111"/>
        <v>-53.139270799999963</v>
      </c>
      <c r="AT219" s="5">
        <f t="shared" si="111"/>
        <v>-53.535127200000034</v>
      </c>
      <c r="AU219" s="5">
        <f t="shared" si="111"/>
        <v>-53.923122199999966</v>
      </c>
      <c r="AV219" s="5">
        <f t="shared" si="111"/>
        <v>-54.305442900000003</v>
      </c>
      <c r="AW219" s="5">
        <f t="shared" si="111"/>
        <v>-54.675510299999928</v>
      </c>
      <c r="AX219" s="5">
        <f t="shared" si="111"/>
        <v>-55.033667499999979</v>
      </c>
      <c r="AY219" s="5">
        <f t="shared" si="111"/>
        <v>-55.383210599999984</v>
      </c>
      <c r="AZ219" s="5">
        <f t="shared" si="111"/>
        <v>-55.72720819999995</v>
      </c>
      <c r="BA219" s="5">
        <f t="shared" si="111"/>
        <v>-56.067827899999997</v>
      </c>
      <c r="BB219" s="5">
        <f t="shared" si="111"/>
        <v>-56.402092499999981</v>
      </c>
      <c r="BC219" s="5">
        <f t="shared" si="111"/>
        <v>-56.729633499999977</v>
      </c>
      <c r="BD219" s="5">
        <f t="shared" ref="BD219:BF219" si="112">BD195-BD207</f>
        <v>-57.051911999999902</v>
      </c>
      <c r="BE219" s="5">
        <f t="shared" si="112"/>
        <v>-57.370531000000028</v>
      </c>
      <c r="BF219" s="5">
        <f t="shared" si="112"/>
        <v>-57.686752299999966</v>
      </c>
    </row>
    <row r="220" spans="1:58" x14ac:dyDescent="0.35">
      <c r="B220" t="s">
        <v>10</v>
      </c>
      <c r="C220" s="5">
        <f t="shared" ref="C220:AL220" si="113">C196-C208</f>
        <v>-158.51403000000209</v>
      </c>
      <c r="D220" s="5">
        <f t="shared" si="113"/>
        <v>-300.41505999999936</v>
      </c>
      <c r="E220" s="5">
        <f t="shared" si="113"/>
        <v>-412.52758999999787</v>
      </c>
      <c r="F220" s="5">
        <f t="shared" si="113"/>
        <v>-497.47519000000102</v>
      </c>
      <c r="G220" s="5">
        <f t="shared" si="113"/>
        <v>-560.46428999999989</v>
      </c>
      <c r="H220" s="5">
        <f t="shared" si="113"/>
        <v>-606.36707000000024</v>
      </c>
      <c r="I220" s="5">
        <f t="shared" si="113"/>
        <v>-639.16361999999936</v>
      </c>
      <c r="J220" s="5">
        <f t="shared" si="113"/>
        <v>-662.1633499999989</v>
      </c>
      <c r="K220" s="5">
        <f t="shared" si="113"/>
        <v>-678.10524000000078</v>
      </c>
      <c r="L220" s="5">
        <f t="shared" si="113"/>
        <v>-689.21418999999878</v>
      </c>
      <c r="M220" s="5">
        <f t="shared" si="113"/>
        <v>-697.59807000000001</v>
      </c>
      <c r="N220" s="5">
        <f t="shared" si="113"/>
        <v>-704.64174999999886</v>
      </c>
      <c r="O220" s="5">
        <f t="shared" si="113"/>
        <v>-711.18443000000116</v>
      </c>
      <c r="P220" s="5">
        <f t="shared" si="113"/>
        <v>-717.72271000000183</v>
      </c>
      <c r="Q220" s="5">
        <f t="shared" si="113"/>
        <v>-724.53579000000173</v>
      </c>
      <c r="R220" s="5">
        <f t="shared" si="113"/>
        <v>-731.76348999999755</v>
      </c>
      <c r="S220" s="5">
        <f t="shared" si="113"/>
        <v>-739.82377999999881</v>
      </c>
      <c r="T220" s="5">
        <f t="shared" si="113"/>
        <v>-748.69693000000188</v>
      </c>
      <c r="U220" s="5">
        <f t="shared" si="113"/>
        <v>-758.26636000000144</v>
      </c>
      <c r="V220" s="5">
        <f t="shared" si="113"/>
        <v>-768.40360999999757</v>
      </c>
      <c r="W220" s="5">
        <f t="shared" si="113"/>
        <v>-778.73288999999932</v>
      </c>
      <c r="X220" s="5">
        <f t="shared" si="113"/>
        <v>-789.41482000000178</v>
      </c>
      <c r="Y220" s="5">
        <f t="shared" si="113"/>
        <v>-800.38910000000033</v>
      </c>
      <c r="Z220" s="5">
        <f t="shared" si="113"/>
        <v>-811.59007000000202</v>
      </c>
      <c r="AA220" s="5">
        <f t="shared" si="113"/>
        <v>-822.9523900000022</v>
      </c>
      <c r="AB220" s="5">
        <f t="shared" si="113"/>
        <v>-833.64324000000124</v>
      </c>
      <c r="AC220" s="5">
        <f t="shared" si="113"/>
        <v>-843.94642999999996</v>
      </c>
      <c r="AD220" s="5">
        <f t="shared" si="113"/>
        <v>-853.85331999999835</v>
      </c>
      <c r="AE220" s="5">
        <f t="shared" si="113"/>
        <v>-863.38213000000178</v>
      </c>
      <c r="AF220" s="5">
        <f t="shared" si="113"/>
        <v>-872.55743000000075</v>
      </c>
      <c r="AG220" s="5">
        <f t="shared" si="113"/>
        <v>-881.39602999999988</v>
      </c>
      <c r="AH220" s="5">
        <f t="shared" si="113"/>
        <v>-889.87723000000187</v>
      </c>
      <c r="AI220" s="5">
        <f t="shared" si="113"/>
        <v>-897.97557000000234</v>
      </c>
      <c r="AJ220" s="5">
        <f t="shared" si="113"/>
        <v>-905.68265000000247</v>
      </c>
      <c r="AK220" s="5">
        <f t="shared" si="113"/>
        <v>-912.99271000000226</v>
      </c>
      <c r="AL220" s="5">
        <f t="shared" si="113"/>
        <v>-919.89952999999878</v>
      </c>
      <c r="AM220" s="5">
        <f t="shared" ref="AM220:BC220" si="114">AM196-AM208</f>
        <v>-926.13382999999885</v>
      </c>
      <c r="AN220" s="5">
        <f t="shared" si="114"/>
        <v>-931.4710500000001</v>
      </c>
      <c r="AO220" s="5">
        <f t="shared" si="114"/>
        <v>-935.94771000000037</v>
      </c>
      <c r="AP220" s="5">
        <f t="shared" si="114"/>
        <v>-939.68176999999923</v>
      </c>
      <c r="AQ220" s="5">
        <f t="shared" si="114"/>
        <v>-942.80683000000136</v>
      </c>
      <c r="AR220" s="5">
        <f t="shared" si="114"/>
        <v>-945.45188000000053</v>
      </c>
      <c r="AS220" s="5">
        <f t="shared" si="114"/>
        <v>-947.67194999999992</v>
      </c>
      <c r="AT220" s="5">
        <f t="shared" si="114"/>
        <v>-949.54240000000209</v>
      </c>
      <c r="AU220" s="5">
        <f t="shared" si="114"/>
        <v>-951.13446000000113</v>
      </c>
      <c r="AV220" s="5">
        <f t="shared" si="114"/>
        <v>-952.50852999999915</v>
      </c>
      <c r="AW220" s="5">
        <f t="shared" si="114"/>
        <v>-953.81982000000062</v>
      </c>
      <c r="AX220" s="5">
        <f t="shared" si="114"/>
        <v>-954.94043999999849</v>
      </c>
      <c r="AY220" s="5">
        <f t="shared" si="114"/>
        <v>-955.88417000000118</v>
      </c>
      <c r="AZ220" s="5">
        <f t="shared" si="114"/>
        <v>-956.69326000000001</v>
      </c>
      <c r="BA220" s="5">
        <f t="shared" si="114"/>
        <v>-957.40665000000081</v>
      </c>
      <c r="BB220" s="5">
        <f t="shared" si="114"/>
        <v>-958.13960999999836</v>
      </c>
      <c r="BC220" s="5">
        <f t="shared" si="114"/>
        <v>-958.78875999999946</v>
      </c>
      <c r="BD220" s="5">
        <f t="shared" ref="BD220:BF220" si="115">BD196-BD208</f>
        <v>-959.34241000000111</v>
      </c>
      <c r="BE220" s="5">
        <f t="shared" si="115"/>
        <v>-959.82114999999976</v>
      </c>
      <c r="BF220" s="5">
        <f t="shared" si="115"/>
        <v>-960.25233999999909</v>
      </c>
    </row>
    <row r="221" spans="1:58" x14ac:dyDescent="0.35">
      <c r="B221" t="s">
        <v>31</v>
      </c>
      <c r="C221" s="5">
        <f>C197-C209</f>
        <v>-0.15934473000000082</v>
      </c>
      <c r="D221" s="5">
        <f t="shared" ref="D221:AL221" si="116">D197-D209</f>
        <v>-0.27223797580000131</v>
      </c>
      <c r="E221" s="5">
        <f t="shared" si="116"/>
        <v>-0.3473856408999989</v>
      </c>
      <c r="F221" s="5">
        <f t="shared" si="116"/>
        <v>-0.39877729780000237</v>
      </c>
      <c r="G221" s="5">
        <f t="shared" si="116"/>
        <v>-0.43559057539999735</v>
      </c>
      <c r="H221" s="5">
        <f t="shared" si="116"/>
        <v>-0.46379275650000196</v>
      </c>
      <c r="I221" s="5">
        <f t="shared" si="116"/>
        <v>-0.4870630035000012</v>
      </c>
      <c r="J221" s="5">
        <f t="shared" si="116"/>
        <v>-0.5073165436</v>
      </c>
      <c r="K221" s="5">
        <f t="shared" si="116"/>
        <v>-0.52543612160000031</v>
      </c>
      <c r="L221" s="5">
        <f t="shared" si="116"/>
        <v>-0.54186118650000026</v>
      </c>
      <c r="M221" s="5">
        <f t="shared" si="116"/>
        <v>-0.55729707699999942</v>
      </c>
      <c r="N221" s="5">
        <f t="shared" si="116"/>
        <v>-0.57203974029999927</v>
      </c>
      <c r="O221" s="5">
        <f t="shared" si="116"/>
        <v>-0.58618668500000126</v>
      </c>
      <c r="P221" s="5">
        <f t="shared" si="116"/>
        <v>-0.59986519199999933</v>
      </c>
      <c r="Q221" s="5">
        <f t="shared" si="116"/>
        <v>-0.61322646649999513</v>
      </c>
      <c r="R221" s="5">
        <f t="shared" si="116"/>
        <v>-0.62640962799999755</v>
      </c>
      <c r="S221" s="5">
        <f t="shared" si="116"/>
        <v>-0.6399957146999995</v>
      </c>
      <c r="T221" s="5">
        <f t="shared" si="116"/>
        <v>-0.65388257000000038</v>
      </c>
      <c r="U221" s="5">
        <f t="shared" si="116"/>
        <v>-0.66797478249999998</v>
      </c>
      <c r="V221" s="5">
        <f t="shared" si="116"/>
        <v>-0.68221223789999819</v>
      </c>
      <c r="W221" s="5">
        <f t="shared" si="116"/>
        <v>-0.69623048080000061</v>
      </c>
      <c r="X221" s="5">
        <f t="shared" si="116"/>
        <v>-0.71041723320000294</v>
      </c>
      <c r="Y221" s="5">
        <f t="shared" si="116"/>
        <v>-0.72473334749999907</v>
      </c>
      <c r="Z221" s="5">
        <f t="shared" si="116"/>
        <v>-0.73913338090000025</v>
      </c>
      <c r="AA221" s="5">
        <f t="shared" si="116"/>
        <v>-0.75357907210000086</v>
      </c>
      <c r="AB221" s="5">
        <f t="shared" si="116"/>
        <v>-0.76705434850000209</v>
      </c>
      <c r="AC221" s="5">
        <f t="shared" si="116"/>
        <v>-0.78018637489999776</v>
      </c>
      <c r="AD221" s="5">
        <f t="shared" si="116"/>
        <v>-0.79308219499999666</v>
      </c>
      <c r="AE221" s="5">
        <f t="shared" si="116"/>
        <v>-0.80579002650000042</v>
      </c>
      <c r="AF221" s="5">
        <f t="shared" si="116"/>
        <v>-0.8183257550999965</v>
      </c>
      <c r="AG221" s="5">
        <f t="shared" si="116"/>
        <v>-0.83069443519999808</v>
      </c>
      <c r="AH221" s="5">
        <f t="shared" si="116"/>
        <v>-0.8428225768000015</v>
      </c>
      <c r="AI221" s="5">
        <f t="shared" si="116"/>
        <v>-0.85472415179999928</v>
      </c>
      <c r="AJ221" s="5">
        <f t="shared" si="116"/>
        <v>-0.86640623719999965</v>
      </c>
      <c r="AK221" s="5">
        <f t="shared" si="116"/>
        <v>-0.87786625059999857</v>
      </c>
      <c r="AL221" s="5">
        <f t="shared" si="116"/>
        <v>-0.88909725330000455</v>
      </c>
      <c r="AM221" s="5">
        <f t="shared" ref="AM221:BC221" si="117">AM197-AM209</f>
        <v>-0.8993234198999982</v>
      </c>
      <c r="AN221" s="5">
        <f t="shared" si="117"/>
        <v>-0.90879198039999842</v>
      </c>
      <c r="AO221" s="5">
        <f t="shared" si="117"/>
        <v>-0.91772793149999998</v>
      </c>
      <c r="AP221" s="5">
        <f t="shared" si="117"/>
        <v>-0.92627962130000085</v>
      </c>
      <c r="AQ221" s="5">
        <f t="shared" si="117"/>
        <v>-0.93454548260000081</v>
      </c>
      <c r="AR221" s="5">
        <f t="shared" si="117"/>
        <v>-0.94252422109999934</v>
      </c>
      <c r="AS221" s="5">
        <f t="shared" si="117"/>
        <v>-0.95029162800000044</v>
      </c>
      <c r="AT221" s="5">
        <f t="shared" si="117"/>
        <v>-0.95791331270000235</v>
      </c>
      <c r="AU221" s="5">
        <f t="shared" si="117"/>
        <v>-0.96543825809999895</v>
      </c>
      <c r="AV221" s="5">
        <f t="shared" si="117"/>
        <v>-0.97289888529999935</v>
      </c>
      <c r="AW221" s="5">
        <f t="shared" si="117"/>
        <v>-0.98009883310000134</v>
      </c>
      <c r="AX221" s="5">
        <f t="shared" si="117"/>
        <v>-0.9870411625000024</v>
      </c>
      <c r="AY221" s="5">
        <f t="shared" si="117"/>
        <v>-0.99371160580000151</v>
      </c>
      <c r="AZ221" s="5">
        <f t="shared" si="117"/>
        <v>-1.0001762673000023</v>
      </c>
      <c r="BA221" s="5">
        <f t="shared" si="117"/>
        <v>-1.0065335842999996</v>
      </c>
      <c r="BB221" s="5">
        <f t="shared" si="117"/>
        <v>-1.0127528281999982</v>
      </c>
      <c r="BC221" s="5">
        <f t="shared" si="117"/>
        <v>-1.0189052285999995</v>
      </c>
      <c r="BD221" s="5">
        <f t="shared" ref="BD221:BF221" si="118">BD197-BD209</f>
        <v>-1.0250464702000031</v>
      </c>
      <c r="BE221" s="5">
        <f t="shared" si="118"/>
        <v>-1.0312106247999999</v>
      </c>
      <c r="BF221" s="5">
        <f t="shared" si="118"/>
        <v>-1.0374208239000016</v>
      </c>
    </row>
    <row r="222" spans="1:58" x14ac:dyDescent="0.35">
      <c r="B222" t="s">
        <v>36</v>
      </c>
      <c r="C222" s="5">
        <f>C198-C210</f>
        <v>-0.10058943999999936</v>
      </c>
      <c r="D222" s="5">
        <f t="shared" ref="D222:AL222" si="119">D198-D210</f>
        <v>-0.17043604419999969</v>
      </c>
      <c r="E222" s="5">
        <f t="shared" si="119"/>
        <v>-0.21799604909999992</v>
      </c>
      <c r="F222" s="5">
        <f t="shared" si="119"/>
        <v>-0.25215538219999978</v>
      </c>
      <c r="G222" s="5">
        <f t="shared" si="119"/>
        <v>-0.27834230460000065</v>
      </c>
      <c r="H222" s="5">
        <f t="shared" si="119"/>
        <v>-0.29961133349999969</v>
      </c>
      <c r="I222" s="5">
        <f t="shared" si="119"/>
        <v>-0.31761874649999911</v>
      </c>
      <c r="J222" s="5">
        <f t="shared" si="119"/>
        <v>-0.33327784639999969</v>
      </c>
      <c r="K222" s="5">
        <f t="shared" si="119"/>
        <v>-0.34711653839999901</v>
      </c>
      <c r="L222" s="5">
        <f t="shared" si="119"/>
        <v>-0.35948632349999965</v>
      </c>
      <c r="M222" s="5">
        <f t="shared" si="119"/>
        <v>-0.37092159300000027</v>
      </c>
      <c r="N222" s="5">
        <f t="shared" si="119"/>
        <v>-0.38164916970000018</v>
      </c>
      <c r="O222" s="5">
        <f t="shared" si="119"/>
        <v>-0.39176485499999991</v>
      </c>
      <c r="P222" s="5">
        <f t="shared" si="119"/>
        <v>-0.40137034800000038</v>
      </c>
      <c r="Q222" s="5">
        <f t="shared" si="119"/>
        <v>-0.4105686335000005</v>
      </c>
      <c r="R222" s="5">
        <f t="shared" si="119"/>
        <v>-0.41945168200000005</v>
      </c>
      <c r="S222" s="5">
        <f t="shared" si="119"/>
        <v>-0.4283899452999993</v>
      </c>
      <c r="T222" s="5">
        <f t="shared" si="119"/>
        <v>-0.43733027000000035</v>
      </c>
      <c r="U222" s="5">
        <f t="shared" si="119"/>
        <v>-0.44623595750000078</v>
      </c>
      <c r="V222" s="5">
        <f t="shared" si="119"/>
        <v>-0.45509285209999994</v>
      </c>
      <c r="W222" s="5">
        <f t="shared" si="119"/>
        <v>-0.46368445919999957</v>
      </c>
      <c r="X222" s="5">
        <f t="shared" si="119"/>
        <v>-0.47229059679999974</v>
      </c>
      <c r="Y222" s="5">
        <f t="shared" si="119"/>
        <v>-0.48089837250000045</v>
      </c>
      <c r="Z222" s="5">
        <f t="shared" si="119"/>
        <v>-0.48949436909999999</v>
      </c>
      <c r="AA222" s="5">
        <f t="shared" si="119"/>
        <v>-0.49806980790000122</v>
      </c>
      <c r="AB222" s="5">
        <f t="shared" si="119"/>
        <v>-0.50597349149999982</v>
      </c>
      <c r="AC222" s="5">
        <f t="shared" si="119"/>
        <v>-0.51364931510000034</v>
      </c>
      <c r="AD222" s="5">
        <f t="shared" si="119"/>
        <v>-0.52116496500000054</v>
      </c>
      <c r="AE222" s="5">
        <f t="shared" si="119"/>
        <v>-0.52855289350000056</v>
      </c>
      <c r="AF222" s="5">
        <f t="shared" si="119"/>
        <v>-0.53582837490000124</v>
      </c>
      <c r="AG222" s="5">
        <f t="shared" si="119"/>
        <v>-0.54299938479999987</v>
      </c>
      <c r="AH222" s="5">
        <f t="shared" si="119"/>
        <v>-0.55002723320000069</v>
      </c>
      <c r="AI222" s="5">
        <f t="shared" si="119"/>
        <v>-0.55692791820000043</v>
      </c>
      <c r="AJ222" s="5">
        <f t="shared" si="119"/>
        <v>-0.56371281279999952</v>
      </c>
      <c r="AK222" s="5">
        <f t="shared" si="119"/>
        <v>-0.57038783939999949</v>
      </c>
      <c r="AL222" s="5">
        <f t="shared" si="119"/>
        <v>-0.57695587669999959</v>
      </c>
      <c r="AM222" s="5">
        <f t="shared" ref="AM222:BC222" si="120">AM198-AM210</f>
        <v>-0.58294636010000023</v>
      </c>
      <c r="AN222" s="5">
        <f t="shared" si="120"/>
        <v>-0.58852136960000045</v>
      </c>
      <c r="AO222" s="5">
        <f t="shared" si="120"/>
        <v>-0.59381140849999881</v>
      </c>
      <c r="AP222" s="5">
        <f t="shared" si="120"/>
        <v>-0.5988999886999995</v>
      </c>
      <c r="AQ222" s="5">
        <f t="shared" si="120"/>
        <v>-0.60384196739999929</v>
      </c>
      <c r="AR222" s="5">
        <f t="shared" si="120"/>
        <v>-0.6086346588999989</v>
      </c>
      <c r="AS222" s="5">
        <f t="shared" si="120"/>
        <v>-0.61332196199999967</v>
      </c>
      <c r="AT222" s="5">
        <f t="shared" si="120"/>
        <v>-0.61794128729999986</v>
      </c>
      <c r="AU222" s="5">
        <f t="shared" si="120"/>
        <v>-0.62252203189999999</v>
      </c>
      <c r="AV222" s="5">
        <f t="shared" si="120"/>
        <v>-0.62708757469999998</v>
      </c>
      <c r="AW222" s="5">
        <f t="shared" si="120"/>
        <v>-0.63155048690000015</v>
      </c>
      <c r="AX222" s="5">
        <f t="shared" si="120"/>
        <v>-0.63594487749999917</v>
      </c>
      <c r="AY222" s="5">
        <f t="shared" si="120"/>
        <v>-0.64029865419999954</v>
      </c>
      <c r="AZ222" s="5">
        <f t="shared" si="120"/>
        <v>-0.64465077269999949</v>
      </c>
      <c r="BA222" s="5">
        <f t="shared" si="120"/>
        <v>-0.64904197569999944</v>
      </c>
      <c r="BB222" s="5">
        <f t="shared" si="120"/>
        <v>-0.65344356179999963</v>
      </c>
      <c r="BC222" s="5">
        <f t="shared" si="120"/>
        <v>-0.6578925213999991</v>
      </c>
      <c r="BD222" s="5">
        <f t="shared" ref="BD222:BF222" si="121">BD198-BD210</f>
        <v>-0.66242047979999974</v>
      </c>
      <c r="BE222" s="5">
        <f t="shared" si="121"/>
        <v>-0.667049715200001</v>
      </c>
      <c r="BF222" s="5">
        <f t="shared" si="121"/>
        <v>-0.6717973260999992</v>
      </c>
    </row>
    <row r="223" spans="1:58" x14ac:dyDescent="0.35">
      <c r="B223" t="s">
        <v>11</v>
      </c>
      <c r="C223" s="5">
        <f>C199-C211</f>
        <v>-0.71966933999999583</v>
      </c>
      <c r="D223" s="5">
        <f t="shared" ref="D223:AL223" si="122">D199-D211</f>
        <v>-1.3224026000000038</v>
      </c>
      <c r="E223" s="5">
        <f t="shared" si="122"/>
        <v>-1.7487187099999915</v>
      </c>
      <c r="F223" s="5">
        <f t="shared" si="122"/>
        <v>-2.0286160699999982</v>
      </c>
      <c r="G223" s="5">
        <f t="shared" si="122"/>
        <v>-2.1946679499999959</v>
      </c>
      <c r="H223" s="5">
        <f t="shared" si="122"/>
        <v>-2.281536360000004</v>
      </c>
      <c r="I223" s="5">
        <f t="shared" si="122"/>
        <v>-2.3224787599999956</v>
      </c>
      <c r="J223" s="5">
        <f t="shared" si="122"/>
        <v>-2.3412391900000102</v>
      </c>
      <c r="K223" s="5">
        <f t="shared" si="122"/>
        <v>-2.3483474700000073</v>
      </c>
      <c r="L223" s="5">
        <f t="shared" si="122"/>
        <v>-2.3476085700000056</v>
      </c>
      <c r="M223" s="5">
        <f t="shared" si="122"/>
        <v>-2.3429213599999912</v>
      </c>
      <c r="N223" s="5">
        <f t="shared" si="122"/>
        <v>-2.3371756300000044</v>
      </c>
      <c r="O223" s="5">
        <f t="shared" si="122"/>
        <v>-2.3325901700000031</v>
      </c>
      <c r="P223" s="5">
        <f t="shared" si="122"/>
        <v>-2.331173739999997</v>
      </c>
      <c r="Q223" s="5">
        <f t="shared" si="122"/>
        <v>-2.3346264300000001</v>
      </c>
      <c r="R223" s="5">
        <f t="shared" si="122"/>
        <v>-2.3441867299999899</v>
      </c>
      <c r="S223" s="5">
        <f t="shared" si="122"/>
        <v>-2.3624560399999979</v>
      </c>
      <c r="T223" s="5">
        <f t="shared" si="122"/>
        <v>-2.3893686499999944</v>
      </c>
      <c r="U223" s="5">
        <f t="shared" si="122"/>
        <v>-2.4242615299999954</v>
      </c>
      <c r="V223" s="5">
        <f t="shared" si="122"/>
        <v>-2.4663406500000065</v>
      </c>
      <c r="W223" s="5">
        <f t="shared" si="122"/>
        <v>-2.5137282100000107</v>
      </c>
      <c r="X223" s="5">
        <f t="shared" si="122"/>
        <v>-2.5668045599999942</v>
      </c>
      <c r="Y223" s="5">
        <f t="shared" si="122"/>
        <v>-2.6247793200000018</v>
      </c>
      <c r="Z223" s="5">
        <f t="shared" si="122"/>
        <v>-2.6868130699999995</v>
      </c>
      <c r="AA223" s="5">
        <f t="shared" si="122"/>
        <v>-2.7520948199999964</v>
      </c>
      <c r="AB223" s="5">
        <f t="shared" si="122"/>
        <v>-2.8166408099999956</v>
      </c>
      <c r="AC223" s="5">
        <f t="shared" si="122"/>
        <v>-2.8815082100000069</v>
      </c>
      <c r="AD223" s="5">
        <f t="shared" si="122"/>
        <v>-2.9464370200000047</v>
      </c>
      <c r="AE223" s="5">
        <f t="shared" si="122"/>
        <v>-3.0111645399999958</v>
      </c>
      <c r="AF223" s="5">
        <f t="shared" si="122"/>
        <v>-3.0754329899999959</v>
      </c>
      <c r="AG223" s="5">
        <f t="shared" si="122"/>
        <v>-3.1389942899999994</v>
      </c>
      <c r="AH223" s="5">
        <f t="shared" si="122"/>
        <v>-3.201371309999999</v>
      </c>
      <c r="AI223" s="5">
        <f t="shared" si="122"/>
        <v>-3.2622474899999929</v>
      </c>
      <c r="AJ223" s="5">
        <f t="shared" si="122"/>
        <v>-3.3213482400000061</v>
      </c>
      <c r="AK223" s="5">
        <f t="shared" si="122"/>
        <v>-3.3783923000000016</v>
      </c>
      <c r="AL223" s="5">
        <f t="shared" si="122"/>
        <v>-3.4331188099999963</v>
      </c>
      <c r="AM223" s="5">
        <f t="shared" ref="AM223:BC223" si="123">AM199-AM211</f>
        <v>-3.4832037899999904</v>
      </c>
      <c r="AN223" s="5">
        <f t="shared" si="123"/>
        <v>-3.5284617900000086</v>
      </c>
      <c r="AO223" s="5">
        <f t="shared" si="123"/>
        <v>-3.5694922600000041</v>
      </c>
      <c r="AP223" s="5">
        <f t="shared" si="123"/>
        <v>-3.6069558899999947</v>
      </c>
      <c r="AQ223" s="5">
        <f t="shared" si="123"/>
        <v>-3.6415020200000043</v>
      </c>
      <c r="AR223" s="5">
        <f t="shared" si="123"/>
        <v>-3.6736110399999973</v>
      </c>
      <c r="AS223" s="5">
        <f t="shared" si="123"/>
        <v>-3.7037814899999972</v>
      </c>
      <c r="AT223" s="5">
        <f t="shared" si="123"/>
        <v>-3.7325568899999979</v>
      </c>
      <c r="AU223" s="5">
        <f t="shared" si="123"/>
        <v>-3.7604028199999959</v>
      </c>
      <c r="AV223" s="5">
        <f t="shared" si="123"/>
        <v>-3.7876347400000014</v>
      </c>
      <c r="AW223" s="5">
        <f t="shared" si="123"/>
        <v>-3.8137219399999935</v>
      </c>
      <c r="AX223" s="5">
        <f t="shared" si="123"/>
        <v>-3.8361784100000023</v>
      </c>
      <c r="AY223" s="5">
        <f t="shared" si="123"/>
        <v>-3.8530358499999977</v>
      </c>
      <c r="AZ223" s="5">
        <f t="shared" si="123"/>
        <v>-3.8644092600000022</v>
      </c>
      <c r="BA223" s="5">
        <f t="shared" si="123"/>
        <v>-3.8715414199999998</v>
      </c>
      <c r="BB223" s="5">
        <f t="shared" si="123"/>
        <v>-3.8755442099999868</v>
      </c>
      <c r="BC223" s="5">
        <f t="shared" si="123"/>
        <v>-3.8768786600000027</v>
      </c>
      <c r="BD223" s="5">
        <f t="shared" ref="BD223:BF223" si="124">BD199-BD211</f>
        <v>-3.8758278899999965</v>
      </c>
      <c r="BE223" s="5">
        <f t="shared" si="124"/>
        <v>-3.8724823499999985</v>
      </c>
      <c r="BF223" s="5">
        <f t="shared" si="124"/>
        <v>-3.8668571400000076</v>
      </c>
    </row>
    <row r="225" spans="1:58" x14ac:dyDescent="0.35">
      <c r="A225" s="12" t="s">
        <v>86</v>
      </c>
      <c r="B225" t="s">
        <v>14</v>
      </c>
      <c r="C225" s="7" t="s">
        <v>15</v>
      </c>
      <c r="D225" s="7" t="s">
        <v>16</v>
      </c>
      <c r="E225" s="7" t="s">
        <v>17</v>
      </c>
    </row>
    <row r="226" spans="1:58" x14ac:dyDescent="0.35">
      <c r="A226" t="s">
        <v>87</v>
      </c>
      <c r="B226" t="s">
        <v>27</v>
      </c>
      <c r="C226" s="6">
        <f t="shared" ref="C226:C232" si="125">R216</f>
        <v>-1071.1865499999985</v>
      </c>
      <c r="D226" s="6">
        <f t="shared" ref="D226:D232" si="126">AB216</f>
        <v>-1271.3348100000003</v>
      </c>
      <c r="E226" s="6">
        <f>AL216</f>
        <v>-1432.2302500000005</v>
      </c>
    </row>
    <row r="227" spans="1:58" x14ac:dyDescent="0.35">
      <c r="B227" t="s">
        <v>7</v>
      </c>
      <c r="C227" s="6">
        <f t="shared" si="125"/>
        <v>-38.752685000000042</v>
      </c>
      <c r="D227" s="6">
        <f t="shared" si="126"/>
        <v>-44.800345099999959</v>
      </c>
      <c r="E227" s="6">
        <f t="shared" ref="E227:E231" si="127">AL217</f>
        <v>-51.176362799999993</v>
      </c>
    </row>
    <row r="228" spans="1:58" x14ac:dyDescent="0.35">
      <c r="B228" t="s">
        <v>30</v>
      </c>
      <c r="C228" s="6">
        <f t="shared" si="125"/>
        <v>-261.64053200000035</v>
      </c>
      <c r="D228" s="6">
        <f t="shared" si="126"/>
        <v>-345.98624500000005</v>
      </c>
      <c r="E228" s="6">
        <f t="shared" si="127"/>
        <v>-406.44591599999967</v>
      </c>
    </row>
    <row r="229" spans="1:58" x14ac:dyDescent="0.35">
      <c r="B229" t="s">
        <v>28</v>
      </c>
      <c r="C229" s="6">
        <f t="shared" si="125"/>
        <v>-35.639796700000034</v>
      </c>
      <c r="D229" s="6">
        <f t="shared" si="126"/>
        <v>-42.815304900000001</v>
      </c>
      <c r="E229" s="6">
        <f t="shared" si="127"/>
        <v>-49.809272599999986</v>
      </c>
    </row>
    <row r="230" spans="1:58" x14ac:dyDescent="0.35">
      <c r="B230" t="s">
        <v>10</v>
      </c>
      <c r="C230" s="6">
        <f t="shared" si="125"/>
        <v>-731.76348999999755</v>
      </c>
      <c r="D230" s="6">
        <f t="shared" si="126"/>
        <v>-833.64324000000124</v>
      </c>
      <c r="E230" s="6">
        <f t="shared" si="127"/>
        <v>-919.89952999999878</v>
      </c>
    </row>
    <row r="231" spans="1:58" x14ac:dyDescent="0.35">
      <c r="B231" t="s">
        <v>29</v>
      </c>
      <c r="C231" s="1">
        <f t="shared" si="125"/>
        <v>-0.62640962799999755</v>
      </c>
      <c r="D231" s="1">
        <f t="shared" si="126"/>
        <v>-0.76705434850000209</v>
      </c>
      <c r="E231" s="1">
        <f t="shared" si="127"/>
        <v>-0.88909725330000455</v>
      </c>
    </row>
    <row r="232" spans="1:58" x14ac:dyDescent="0.35">
      <c r="B232" t="s">
        <v>32</v>
      </c>
      <c r="C232" s="1">
        <f t="shared" si="125"/>
        <v>-0.41945168200000005</v>
      </c>
      <c r="D232" s="1">
        <f t="shared" si="126"/>
        <v>-0.50597349149999982</v>
      </c>
      <c r="E232" s="1">
        <f t="shared" ref="E232" si="128">AL222</f>
        <v>-0.57695587669999959</v>
      </c>
    </row>
    <row r="233" spans="1:58" x14ac:dyDescent="0.35">
      <c r="B233" t="s">
        <v>33</v>
      </c>
      <c r="C233" s="1">
        <f t="shared" ref="C233" si="129">R223</f>
        <v>-2.3441867299999899</v>
      </c>
      <c r="D233" s="1">
        <f t="shared" ref="D233" si="130">AB223</f>
        <v>-2.8166408099999956</v>
      </c>
      <c r="E233" s="1">
        <f t="shared" ref="E233" si="131">AL223</f>
        <v>-3.4331188099999963</v>
      </c>
    </row>
    <row r="235" spans="1:58" x14ac:dyDescent="0.35">
      <c r="A235" s="12" t="s">
        <v>43</v>
      </c>
      <c r="B235" t="s">
        <v>26</v>
      </c>
      <c r="C235" s="5">
        <f>C236+C237+C238+C239</f>
        <v>95.693920994999999</v>
      </c>
      <c r="D235" s="5">
        <f t="shared" ref="D235:AL235" si="132">D236+D237+D238+D239</f>
        <v>95.966301270000002</v>
      </c>
      <c r="E235" s="5">
        <f t="shared" si="132"/>
        <v>96.622635903000003</v>
      </c>
      <c r="F235" s="5">
        <f t="shared" si="132"/>
        <v>97.495113618000005</v>
      </c>
      <c r="G235" s="5">
        <f t="shared" si="132"/>
        <v>98.555214734999993</v>
      </c>
      <c r="H235" s="5">
        <f t="shared" si="132"/>
        <v>99.783038784999988</v>
      </c>
      <c r="I235" s="5">
        <f t="shared" si="132"/>
        <v>101.09160555</v>
      </c>
      <c r="J235" s="5">
        <f t="shared" si="132"/>
        <v>102.491822392</v>
      </c>
      <c r="K235" s="5">
        <f t="shared" si="132"/>
        <v>103.969386547</v>
      </c>
      <c r="L235" s="5">
        <f t="shared" si="132"/>
        <v>105.507811245</v>
      </c>
      <c r="M235" s="5">
        <f t="shared" si="132"/>
        <v>107.198347466</v>
      </c>
      <c r="N235" s="5">
        <f t="shared" si="132"/>
        <v>108.85282720699999</v>
      </c>
      <c r="O235" s="5">
        <f t="shared" si="132"/>
        <v>110.51372007900001</v>
      </c>
      <c r="P235" s="5">
        <f t="shared" si="132"/>
        <v>112.183916649</v>
      </c>
      <c r="Q235" s="5">
        <f t="shared" si="132"/>
        <v>113.86083791799999</v>
      </c>
      <c r="R235" s="5">
        <f t="shared" si="132"/>
        <v>115.54233537900001</v>
      </c>
      <c r="S235" s="5">
        <f t="shared" si="132"/>
        <v>117.21752332</v>
      </c>
      <c r="T235" s="5">
        <f t="shared" si="132"/>
        <v>118.89369424700001</v>
      </c>
      <c r="U235" s="5">
        <f t="shared" si="132"/>
        <v>120.57319549699999</v>
      </c>
      <c r="V235" s="5">
        <f t="shared" si="132"/>
        <v>122.258055072</v>
      </c>
      <c r="W235" s="5">
        <f t="shared" si="132"/>
        <v>123.87271468499999</v>
      </c>
      <c r="X235" s="5">
        <f t="shared" si="132"/>
        <v>125.54251276799999</v>
      </c>
      <c r="Y235" s="5">
        <f t="shared" si="132"/>
        <v>127.237154628</v>
      </c>
      <c r="Z235" s="5">
        <f t="shared" si="132"/>
        <v>128.95297523100001</v>
      </c>
      <c r="AA235" s="5">
        <f t="shared" si="132"/>
        <v>130.690971279</v>
      </c>
      <c r="AB235" s="5">
        <f t="shared" si="132"/>
        <v>132.22979435400001</v>
      </c>
      <c r="AC235" s="5">
        <f t="shared" si="132"/>
        <v>133.82051268799998</v>
      </c>
      <c r="AD235" s="5">
        <f t="shared" si="132"/>
        <v>135.427343893</v>
      </c>
      <c r="AE235" s="5">
        <f t="shared" si="132"/>
        <v>137.04914660700001</v>
      </c>
      <c r="AF235" s="5">
        <f t="shared" si="132"/>
        <v>138.69025016399999</v>
      </c>
      <c r="AG235" s="5">
        <f t="shared" si="132"/>
        <v>140.35505312500001</v>
      </c>
      <c r="AH235" s="5">
        <f t="shared" si="132"/>
        <v>142.04922514499998</v>
      </c>
      <c r="AI235" s="5">
        <f t="shared" si="132"/>
        <v>143.77369629399999</v>
      </c>
      <c r="AJ235" s="5">
        <f t="shared" si="132"/>
        <v>145.52979858199998</v>
      </c>
      <c r="AK235" s="5">
        <f t="shared" si="132"/>
        <v>147.3183473</v>
      </c>
      <c r="AL235" s="5">
        <f t="shared" si="132"/>
        <v>149.13964037900001</v>
      </c>
      <c r="AM235" s="5">
        <f t="shared" ref="AM235:BC235" si="133">AM236+AM237+AM238+AM239</f>
        <v>150.95957137400001</v>
      </c>
      <c r="AN235" s="5">
        <f t="shared" si="133"/>
        <v>152.793906932</v>
      </c>
      <c r="AO235" s="5">
        <f t="shared" si="133"/>
        <v>154.647752363</v>
      </c>
      <c r="AP235" s="5">
        <f t="shared" si="133"/>
        <v>156.523668918</v>
      </c>
      <c r="AQ235" s="5">
        <f t="shared" si="133"/>
        <v>158.42336173699999</v>
      </c>
      <c r="AR235" s="5">
        <f t="shared" si="133"/>
        <v>160.35110093399999</v>
      </c>
      <c r="AS235" s="5">
        <f t="shared" si="133"/>
        <v>162.305595162</v>
      </c>
      <c r="AT235" s="5">
        <f t="shared" si="133"/>
        <v>164.287020928</v>
      </c>
      <c r="AU235" s="5">
        <f t="shared" si="133"/>
        <v>166.29555229100001</v>
      </c>
      <c r="AV235" s="5">
        <f t="shared" si="133"/>
        <v>168.33118312100001</v>
      </c>
      <c r="AW235" s="5">
        <f t="shared" si="133"/>
        <v>170.40876885799997</v>
      </c>
      <c r="AX235" s="5">
        <f t="shared" si="133"/>
        <v>172.51812383700002</v>
      </c>
      <c r="AY235" s="5">
        <f t="shared" si="133"/>
        <v>174.65700811900001</v>
      </c>
      <c r="AZ235" s="5">
        <f t="shared" si="133"/>
        <v>176.82444783900002</v>
      </c>
      <c r="BA235" s="5">
        <f t="shared" si="133"/>
        <v>179.019704128</v>
      </c>
      <c r="BB235" s="5">
        <f t="shared" si="133"/>
        <v>181.248584021</v>
      </c>
      <c r="BC235" s="5">
        <f t="shared" si="133"/>
        <v>183.50618663500001</v>
      </c>
      <c r="BD235" s="5">
        <f t="shared" ref="BD235:BF235" si="134">BD236+BD237+BD238+BD239</f>
        <v>185.79158685900001</v>
      </c>
      <c r="BE235" s="5">
        <f t="shared" si="134"/>
        <v>188.104585267</v>
      </c>
      <c r="BF235" s="5">
        <f t="shared" si="134"/>
        <v>190.44518495199998</v>
      </c>
    </row>
    <row r="236" spans="1:58" x14ac:dyDescent="0.35">
      <c r="A236" t="s">
        <v>39</v>
      </c>
      <c r="B236" t="s">
        <v>7</v>
      </c>
      <c r="C236" s="5">
        <f>[1]Results!F378</f>
        <v>4.7928841450000004</v>
      </c>
      <c r="D236" s="5">
        <f>[1]Results!G378</f>
        <v>4.7866539699999997</v>
      </c>
      <c r="E236" s="5">
        <f>[1]Results!H378</f>
        <v>4.7976650530000002</v>
      </c>
      <c r="F236" s="5">
        <f>[1]Results!I378</f>
        <v>4.8227564679999997</v>
      </c>
      <c r="G236" s="5">
        <f>[1]Results!J378</f>
        <v>4.8609786750000001</v>
      </c>
      <c r="H236" s="5">
        <f>[1]Results!K378</f>
        <v>4.9108848350000001</v>
      </c>
      <c r="I236" s="5">
        <f>[1]Results!L378</f>
        <v>4.96790062</v>
      </c>
      <c r="J236" s="5">
        <f>[1]Results!M378</f>
        <v>5.0314680320000003</v>
      </c>
      <c r="K236" s="5">
        <f>[1]Results!N378</f>
        <v>5.1004572570000004</v>
      </c>
      <c r="L236" s="5">
        <f>[1]Results!O378</f>
        <v>5.1737757950000001</v>
      </c>
      <c r="M236" s="5">
        <f>[1]Results!P378</f>
        <v>5.2551767360000001</v>
      </c>
      <c r="N236" s="5">
        <f>[1]Results!Q378</f>
        <v>5.3367844670000002</v>
      </c>
      <c r="O236" s="5">
        <f>[1]Results!R378</f>
        <v>5.419484679</v>
      </c>
      <c r="P236" s="5">
        <f>[1]Results!S378</f>
        <v>5.5031548289999996</v>
      </c>
      <c r="Q236" s="5">
        <f>[1]Results!T378</f>
        <v>5.5875546680000001</v>
      </c>
      <c r="R236" s="5">
        <f>[1]Results!U378</f>
        <v>5.6725033590000002</v>
      </c>
      <c r="S236" s="5">
        <f>[1]Results!V378</f>
        <v>5.7574628299999997</v>
      </c>
      <c r="T236" s="5">
        <f>[1]Results!W378</f>
        <v>5.842665727</v>
      </c>
      <c r="U236" s="5">
        <f>[1]Results!X378</f>
        <v>5.9281670770000003</v>
      </c>
      <c r="V236" s="5">
        <f>[1]Results!Y378</f>
        <v>6.0140160619999996</v>
      </c>
      <c r="W236" s="5">
        <f>[1]Results!Z378</f>
        <v>6.0968265349999999</v>
      </c>
      <c r="X236" s="5">
        <f>[1]Results!AA378</f>
        <v>6.1815924579999999</v>
      </c>
      <c r="Y236" s="5">
        <f>[1]Results!AB378</f>
        <v>6.2675187479999996</v>
      </c>
      <c r="Z236" s="5">
        <f>[1]Results!AC378</f>
        <v>6.3544827110000002</v>
      </c>
      <c r="AA236" s="5">
        <f>[1]Results!AD378</f>
        <v>6.4425016890000002</v>
      </c>
      <c r="AB236" s="5">
        <f>[1]Results!AE378</f>
        <v>6.5217243639999998</v>
      </c>
      <c r="AC236" s="5">
        <f>[1]Results!AF378</f>
        <v>6.6017342479999996</v>
      </c>
      <c r="AD236" s="5">
        <f>[1]Results!AG378</f>
        <v>6.6818930930000002</v>
      </c>
      <c r="AE236" s="5">
        <f>[1]Results!AH378</f>
        <v>6.762397977</v>
      </c>
      <c r="AF236" s="5">
        <f>[1]Results!AI378</f>
        <v>6.8435815340000001</v>
      </c>
      <c r="AG236" s="5">
        <f>[1]Results!AJ378</f>
        <v>6.9257416550000004</v>
      </c>
      <c r="AH236" s="5">
        <f>[1]Results!AK378</f>
        <v>7.0092028649999998</v>
      </c>
      <c r="AI236" s="5">
        <f>[1]Results!AL378</f>
        <v>7.0940664340000001</v>
      </c>
      <c r="AJ236" s="5">
        <f>[1]Results!AM378</f>
        <v>7.1804273319999998</v>
      </c>
      <c r="AK236" s="5">
        <f>[1]Results!AN378</f>
        <v>7.2683460799999997</v>
      </c>
      <c r="AL236" s="5">
        <f>[1]Results!AO378</f>
        <v>7.3578539889999997</v>
      </c>
      <c r="AM236" s="5">
        <f>[1]Results!AP378</f>
        <v>7.4474445439999997</v>
      </c>
      <c r="AN236" s="5">
        <f>[1]Results!AQ378</f>
        <v>7.5375370420000003</v>
      </c>
      <c r="AO236" s="5">
        <f>[1]Results!AR378</f>
        <v>7.6284044030000002</v>
      </c>
      <c r="AP236" s="5">
        <f>[1]Results!AS378</f>
        <v>7.7202455680000002</v>
      </c>
      <c r="AQ236" s="5">
        <f>[1]Results!AT378</f>
        <v>7.813219557</v>
      </c>
      <c r="AR236" s="5">
        <f>[1]Results!AU378</f>
        <v>7.9075865939999996</v>
      </c>
      <c r="AS236" s="5">
        <f>[1]Results!AV378</f>
        <v>8.0033578320000007</v>
      </c>
      <c r="AT236" s="5">
        <f>[1]Results!AW378</f>
        <v>8.1005832380000005</v>
      </c>
      <c r="AU236" s="5">
        <f>[1]Results!AX378</f>
        <v>8.199297971</v>
      </c>
      <c r="AV236" s="5">
        <f>[1]Results!AY378</f>
        <v>8.2995187510000008</v>
      </c>
      <c r="AW236" s="5">
        <f>[1]Results!AZ378</f>
        <v>8.4019127180000002</v>
      </c>
      <c r="AX236" s="5">
        <f>[1]Results!BA378</f>
        <v>8.5061068570000007</v>
      </c>
      <c r="AY236" s="5">
        <f>[1]Results!BB378</f>
        <v>8.6120029490000007</v>
      </c>
      <c r="AZ236" s="5">
        <f>[1]Results!BC378</f>
        <v>8.7195471090000005</v>
      </c>
      <c r="BA236" s="5">
        <f>[1]Results!BD378</f>
        <v>8.8286939879999995</v>
      </c>
      <c r="BB236" s="5">
        <f>[1]Results!BE378</f>
        <v>8.9396863609999997</v>
      </c>
      <c r="BC236" s="5">
        <f>[1]Results!BF378</f>
        <v>9.0523173549999996</v>
      </c>
      <c r="BD236" s="5">
        <f>[1]Results!BG378</f>
        <v>9.1665335589999994</v>
      </c>
      <c r="BE236" s="5">
        <f>[1]Results!BH378</f>
        <v>9.2823127670000005</v>
      </c>
      <c r="BF236" s="5">
        <f>[1]Results!BI378</f>
        <v>9.3996437119999996</v>
      </c>
    </row>
    <row r="237" spans="1:58" x14ac:dyDescent="0.35">
      <c r="B237" t="s">
        <v>8</v>
      </c>
      <c r="C237" s="5">
        <f>[1]Results!F390</f>
        <v>42.880290989999999</v>
      </c>
      <c r="D237" s="5">
        <f>[1]Results!G390</f>
        <v>42.956177969999999</v>
      </c>
      <c r="E237" s="5">
        <f>[1]Results!H390</f>
        <v>43.25029885</v>
      </c>
      <c r="F237" s="5">
        <f>[1]Results!I390</f>
        <v>43.651243999999998</v>
      </c>
      <c r="G237" s="5">
        <f>[1]Results!J390</f>
        <v>44.139366459999998</v>
      </c>
      <c r="H237" s="5">
        <f>[1]Results!K390</f>
        <v>44.703743019999997</v>
      </c>
      <c r="I237" s="5">
        <f>[1]Results!L390</f>
        <v>45.302734510000001</v>
      </c>
      <c r="J237" s="5">
        <f>[1]Results!M390</f>
        <v>45.942784170000003</v>
      </c>
      <c r="K237" s="5">
        <f>[1]Results!N390</f>
        <v>46.617184569999999</v>
      </c>
      <c r="L237" s="5">
        <f>[1]Results!O390</f>
        <v>47.318186140000002</v>
      </c>
      <c r="M237" s="5">
        <f>[1]Results!P390</f>
        <v>48.08880636</v>
      </c>
      <c r="N237" s="5">
        <f>[1]Results!Q390</f>
        <v>48.837585330000003</v>
      </c>
      <c r="O237" s="5">
        <f>[1]Results!R390</f>
        <v>49.587848710000003</v>
      </c>
      <c r="P237" s="5">
        <f>[1]Results!S390</f>
        <v>50.341283160000003</v>
      </c>
      <c r="Q237" s="5">
        <f>[1]Results!T390</f>
        <v>51.096712570000001</v>
      </c>
      <c r="R237" s="5">
        <f>[1]Results!U390</f>
        <v>51.853164640000003</v>
      </c>
      <c r="S237" s="5">
        <f>[1]Results!V390</f>
        <v>52.604464100000001</v>
      </c>
      <c r="T237" s="5">
        <f>[1]Results!W390</f>
        <v>53.355227540000001</v>
      </c>
      <c r="U237" s="5">
        <f>[1]Results!X390</f>
        <v>54.106833969999997</v>
      </c>
      <c r="V237" s="5">
        <f>[1]Results!Y390</f>
        <v>54.860427119999997</v>
      </c>
      <c r="W237" s="5">
        <f>[1]Results!Z390</f>
        <v>55.580764969999997</v>
      </c>
      <c r="X237" s="5">
        <f>[1]Results!AA390</f>
        <v>56.328225600000003</v>
      </c>
      <c r="Y237" s="5">
        <f>[1]Results!AB390</f>
        <v>57.087183760000002</v>
      </c>
      <c r="Z237" s="5">
        <f>[1]Results!AC390</f>
        <v>57.856040950000001</v>
      </c>
      <c r="AA237" s="5">
        <f>[1]Results!AD390</f>
        <v>58.635504619999999</v>
      </c>
      <c r="AB237" s="5">
        <f>[1]Results!AE390</f>
        <v>59.322215399999997</v>
      </c>
      <c r="AC237" s="5">
        <f>[1]Results!AF390</f>
        <v>60.038064579999997</v>
      </c>
      <c r="AD237" s="5">
        <f>[1]Results!AG390</f>
        <v>60.763180269999999</v>
      </c>
      <c r="AE237" s="5">
        <f>[1]Results!AH390</f>
        <v>61.49647332</v>
      </c>
      <c r="AF237" s="5">
        <f>[1]Results!AI390</f>
        <v>62.239700859999999</v>
      </c>
      <c r="AG237" s="5">
        <f>[1]Results!AJ390</f>
        <v>62.994718220000003</v>
      </c>
      <c r="AH237" s="5">
        <f>[1]Results!AK390</f>
        <v>63.764278359999999</v>
      </c>
      <c r="AI237" s="5">
        <f>[1]Results!AL390</f>
        <v>64.548465489999998</v>
      </c>
      <c r="AJ237" s="5">
        <f>[1]Results!AM390</f>
        <v>65.347787659999995</v>
      </c>
      <c r="AK237" s="5">
        <f>[1]Results!AN390</f>
        <v>66.162542720000005</v>
      </c>
      <c r="AL237" s="5">
        <f>[1]Results!AO390</f>
        <v>66.992782460000001</v>
      </c>
      <c r="AM237" s="5">
        <f>[1]Results!AP390</f>
        <v>67.824729750000003</v>
      </c>
      <c r="AN237" s="5">
        <f>[1]Results!AQ390</f>
        <v>68.664354860000003</v>
      </c>
      <c r="AO237" s="5">
        <f>[1]Results!AR390</f>
        <v>69.51352765</v>
      </c>
      <c r="AP237" s="5">
        <f>[1]Results!AS390</f>
        <v>70.373099740000001</v>
      </c>
      <c r="AQ237" s="5">
        <f>[1]Results!AT390</f>
        <v>71.243560520000003</v>
      </c>
      <c r="AR237" s="5">
        <f>[1]Results!AU390</f>
        <v>72.126982769999998</v>
      </c>
      <c r="AS237" s="5">
        <f>[1]Results!AV390</f>
        <v>73.022202669999999</v>
      </c>
      <c r="AT237" s="5">
        <f>[1]Results!AW390</f>
        <v>73.929090430000002</v>
      </c>
      <c r="AU237" s="5">
        <f>[1]Results!AX390</f>
        <v>74.847594349999994</v>
      </c>
      <c r="AV237" s="5">
        <f>[1]Results!AY390</f>
        <v>75.777614139999997</v>
      </c>
      <c r="AW237" s="5">
        <f>[1]Results!AZ390</f>
        <v>76.727201239999999</v>
      </c>
      <c r="AX237" s="5">
        <f>[1]Results!BA390</f>
        <v>77.690362309999998</v>
      </c>
      <c r="AY237" s="5">
        <f>[1]Results!BB390</f>
        <v>78.665928469999997</v>
      </c>
      <c r="AZ237" s="5">
        <f>[1]Results!BC390</f>
        <v>79.65345026</v>
      </c>
      <c r="BA237" s="5">
        <f>[1]Results!BD390</f>
        <v>80.652588629999997</v>
      </c>
      <c r="BB237" s="5">
        <f>[1]Results!BE390</f>
        <v>81.666798560000004</v>
      </c>
      <c r="BC237" s="5">
        <f>[1]Results!BF390</f>
        <v>82.693098520000007</v>
      </c>
      <c r="BD237" s="5">
        <f>[1]Results!BG390</f>
        <v>83.731002070000002</v>
      </c>
      <c r="BE237" s="5">
        <f>[1]Results!BH390</f>
        <v>84.780437809999995</v>
      </c>
      <c r="BF237" s="5">
        <f>[1]Results!BI390</f>
        <v>85.84143109</v>
      </c>
    </row>
    <row r="238" spans="1:58" x14ac:dyDescent="0.35">
      <c r="B238" t="s">
        <v>28</v>
      </c>
      <c r="C238" s="5">
        <f>[1]Results!F366</f>
        <v>25.84335038</v>
      </c>
      <c r="D238" s="5">
        <f>[1]Results!G366</f>
        <v>25.97016473</v>
      </c>
      <c r="E238" s="5">
        <f>[1]Results!H366</f>
        <v>26.183670960000001</v>
      </c>
      <c r="F238" s="5">
        <f>[1]Results!I366</f>
        <v>26.44123115</v>
      </c>
      <c r="G238" s="5">
        <f>[1]Results!J366</f>
        <v>26.73473504</v>
      </c>
      <c r="H238" s="5">
        <f>[1]Results!K366</f>
        <v>27.059648889999998</v>
      </c>
      <c r="I238" s="5">
        <f>[1]Results!L366</f>
        <v>27.395693170000001</v>
      </c>
      <c r="J238" s="5">
        <f>[1]Results!M366</f>
        <v>27.74736403</v>
      </c>
      <c r="K238" s="5">
        <f>[1]Results!N366</f>
        <v>28.112916479999999</v>
      </c>
      <c r="L238" s="5">
        <f>[1]Results!O366</f>
        <v>28.489656459999999</v>
      </c>
      <c r="M238" s="5">
        <f>[1]Results!P366</f>
        <v>28.901369509999999</v>
      </c>
      <c r="N238" s="5">
        <f>[1]Results!Q366</f>
        <v>29.301978259999998</v>
      </c>
      <c r="O238" s="5">
        <f>[1]Results!R366</f>
        <v>29.702515739999999</v>
      </c>
      <c r="P238" s="5">
        <f>[1]Results!S366</f>
        <v>30.10454228</v>
      </c>
      <c r="Q238" s="5">
        <f>[1]Results!T366</f>
        <v>30.508030949999998</v>
      </c>
      <c r="R238" s="5">
        <f>[1]Results!U366</f>
        <v>30.912896570000001</v>
      </c>
      <c r="S238" s="5">
        <f>[1]Results!V366</f>
        <v>31.31684465</v>
      </c>
      <c r="T238" s="5">
        <f>[1]Results!W366</f>
        <v>31.721909050000001</v>
      </c>
      <c r="U238" s="5">
        <f>[1]Results!X366</f>
        <v>32.128834820000002</v>
      </c>
      <c r="V238" s="5">
        <f>[1]Results!Y366</f>
        <v>32.538184440000002</v>
      </c>
      <c r="W238" s="5">
        <f>[1]Results!Z366</f>
        <v>32.931232080000001</v>
      </c>
      <c r="X238" s="5">
        <f>[1]Results!AA366</f>
        <v>33.339058250000001</v>
      </c>
      <c r="Y238" s="5">
        <f>[1]Results!AB366</f>
        <v>33.754190749999999</v>
      </c>
      <c r="Z238" s="5">
        <f>[1]Results!AC366</f>
        <v>34.175387450000002</v>
      </c>
      <c r="AA238" s="5">
        <f>[1]Results!AD366</f>
        <v>34.602634960000003</v>
      </c>
      <c r="AB238" s="5">
        <f>[1]Results!AE366</f>
        <v>34.980976859999998</v>
      </c>
      <c r="AC238" s="5">
        <f>[1]Results!AF366</f>
        <v>35.372762090000002</v>
      </c>
      <c r="AD238" s="5">
        <f>[1]Results!AG366</f>
        <v>35.769626899999999</v>
      </c>
      <c r="AE238" s="5">
        <f>[1]Results!AH366</f>
        <v>36.171026519999998</v>
      </c>
      <c r="AF238" s="5">
        <f>[1]Results!AI366</f>
        <v>36.577804329999999</v>
      </c>
      <c r="AG238" s="5">
        <f>[1]Results!AJ366</f>
        <v>36.99085814</v>
      </c>
      <c r="AH238" s="5">
        <f>[1]Results!AK366</f>
        <v>37.411411780000002</v>
      </c>
      <c r="AI238" s="5">
        <f>[1]Results!AL366</f>
        <v>37.839531260000001</v>
      </c>
      <c r="AJ238" s="5">
        <f>[1]Results!AM366</f>
        <v>38.275390309999999</v>
      </c>
      <c r="AK238" s="5">
        <f>[1]Results!AN366</f>
        <v>38.719067549999998</v>
      </c>
      <c r="AL238" s="5">
        <f>[1]Results!AO366</f>
        <v>39.170552659999998</v>
      </c>
      <c r="AM238" s="5">
        <f>[1]Results!AP366</f>
        <v>39.621367380000002</v>
      </c>
      <c r="AN238" s="5">
        <f>[1]Results!AQ366</f>
        <v>40.075499219999998</v>
      </c>
      <c r="AO238" s="5">
        <f>[1]Results!AR366</f>
        <v>40.534314670000001</v>
      </c>
      <c r="AP238" s="5">
        <f>[1]Results!AS366</f>
        <v>40.998499459999998</v>
      </c>
      <c r="AQ238" s="5">
        <f>[1]Results!AT366</f>
        <v>41.468541639999998</v>
      </c>
      <c r="AR238" s="5">
        <f>[1]Results!AU366</f>
        <v>41.945586740000003</v>
      </c>
      <c r="AS238" s="5">
        <f>[1]Results!AV366</f>
        <v>42.429390740000002</v>
      </c>
      <c r="AT238" s="5">
        <f>[1]Results!AW366</f>
        <v>42.920041079999997</v>
      </c>
      <c r="AU238" s="5">
        <f>[1]Results!AX366</f>
        <v>43.417617030000002</v>
      </c>
      <c r="AV238" s="5">
        <f>[1]Results!AY366</f>
        <v>43.922150780000003</v>
      </c>
      <c r="AW238" s="5">
        <f>[1]Results!AZ366</f>
        <v>44.437397079999997</v>
      </c>
      <c r="AX238" s="5">
        <f>[1]Results!BA366</f>
        <v>44.960838840000001</v>
      </c>
      <c r="AY238" s="5">
        <f>[1]Results!BB366</f>
        <v>45.491848910000002</v>
      </c>
      <c r="AZ238" s="5">
        <f>[1]Results!BC366</f>
        <v>46.030156740000002</v>
      </c>
      <c r="BA238" s="5">
        <f>[1]Results!BD366</f>
        <v>46.57559577</v>
      </c>
      <c r="BB238" s="5">
        <f>[1]Results!BE366</f>
        <v>47.129683749999998</v>
      </c>
      <c r="BC238" s="5">
        <f>[1]Results!BF366</f>
        <v>47.69123853</v>
      </c>
      <c r="BD238" s="5">
        <f>[1]Results!BG366</f>
        <v>48.260007010000002</v>
      </c>
      <c r="BE238" s="5">
        <f>[1]Results!BH366</f>
        <v>48.835925320000001</v>
      </c>
      <c r="BF238" s="5">
        <f>[1]Results!BI366</f>
        <v>49.418996880000002</v>
      </c>
    </row>
    <row r="239" spans="1:58" x14ac:dyDescent="0.35">
      <c r="B239" t="s">
        <v>10</v>
      </c>
      <c r="C239" s="5">
        <f>[1]Results!F402</f>
        <v>22.177395480000001</v>
      </c>
      <c r="D239" s="5">
        <f>[1]Results!G402</f>
        <v>22.2533046</v>
      </c>
      <c r="E239" s="5">
        <f>[1]Results!H402</f>
        <v>22.391001039999999</v>
      </c>
      <c r="F239" s="5">
        <f>[1]Results!I402</f>
        <v>22.579882000000001</v>
      </c>
      <c r="G239" s="5">
        <f>[1]Results!J402</f>
        <v>22.82013456</v>
      </c>
      <c r="H239" s="5">
        <f>[1]Results!K402</f>
        <v>23.108762039999998</v>
      </c>
      <c r="I239" s="5">
        <f>[1]Results!L402</f>
        <v>23.425277250000001</v>
      </c>
      <c r="J239" s="5">
        <f>[1]Results!M402</f>
        <v>23.770206160000001</v>
      </c>
      <c r="K239" s="5">
        <f>[1]Results!N402</f>
        <v>24.138828239999999</v>
      </c>
      <c r="L239" s="5">
        <f>[1]Results!O402</f>
        <v>24.526192850000001</v>
      </c>
      <c r="M239" s="5">
        <f>[1]Results!P402</f>
        <v>24.95299486</v>
      </c>
      <c r="N239" s="5">
        <f>[1]Results!Q402</f>
        <v>25.376479150000002</v>
      </c>
      <c r="O239" s="5">
        <f>[1]Results!R402</f>
        <v>25.80387095</v>
      </c>
      <c r="P239" s="5">
        <f>[1]Results!S402</f>
        <v>26.234936380000001</v>
      </c>
      <c r="Q239" s="5">
        <f>[1]Results!T402</f>
        <v>26.668539729999999</v>
      </c>
      <c r="R239" s="5">
        <f>[1]Results!U402</f>
        <v>27.10377081</v>
      </c>
      <c r="S239" s="5">
        <f>[1]Results!V402</f>
        <v>27.538751739999999</v>
      </c>
      <c r="T239" s="5">
        <f>[1]Results!W402</f>
        <v>27.973891930000001</v>
      </c>
      <c r="U239" s="5">
        <f>[1]Results!X402</f>
        <v>28.409359630000001</v>
      </c>
      <c r="V239" s="5">
        <f>[1]Results!Y402</f>
        <v>28.845427449999999</v>
      </c>
      <c r="W239" s="5">
        <f>[1]Results!Z402</f>
        <v>29.263891099999999</v>
      </c>
      <c r="X239" s="5">
        <f>[1]Results!AA402</f>
        <v>29.69363646</v>
      </c>
      <c r="Y239" s="5">
        <f>[1]Results!AB402</f>
        <v>30.128261370000001</v>
      </c>
      <c r="Z239" s="5">
        <f>[1]Results!AC402</f>
        <v>30.567064120000001</v>
      </c>
      <c r="AA239" s="5">
        <f>[1]Results!AD402</f>
        <v>31.010330010000001</v>
      </c>
      <c r="AB239" s="5">
        <f>[1]Results!AE402</f>
        <v>31.404877729999999</v>
      </c>
      <c r="AC239" s="5">
        <f>[1]Results!AF402</f>
        <v>31.807951769999999</v>
      </c>
      <c r="AD239" s="5">
        <f>[1]Results!AG402</f>
        <v>32.212643630000002</v>
      </c>
      <c r="AE239" s="5">
        <f>[1]Results!AH402</f>
        <v>32.61924879</v>
      </c>
      <c r="AF239" s="5">
        <f>[1]Results!AI402</f>
        <v>33.029163439999998</v>
      </c>
      <c r="AG239" s="5">
        <f>[1]Results!AJ402</f>
        <v>33.443735109999999</v>
      </c>
      <c r="AH239" s="5">
        <f>[1]Results!AK402</f>
        <v>33.864332140000002</v>
      </c>
      <c r="AI239" s="5">
        <f>[1]Results!AL402</f>
        <v>34.291633109999999</v>
      </c>
      <c r="AJ239" s="5">
        <f>[1]Results!AM402</f>
        <v>34.726193279999997</v>
      </c>
      <c r="AK239" s="5">
        <f>[1]Results!AN402</f>
        <v>35.168390950000003</v>
      </c>
      <c r="AL239" s="5">
        <f>[1]Results!AO402</f>
        <v>35.618451270000001</v>
      </c>
      <c r="AM239" s="5">
        <f>[1]Results!AP402</f>
        <v>36.066029700000001</v>
      </c>
      <c r="AN239" s="5">
        <f>[1]Results!AQ402</f>
        <v>36.516515810000001</v>
      </c>
      <c r="AO239" s="5">
        <f>[1]Results!AR402</f>
        <v>36.971505639999997</v>
      </c>
      <c r="AP239" s="5">
        <f>[1]Results!AS402</f>
        <v>37.431824149999997</v>
      </c>
      <c r="AQ239" s="5">
        <f>[1]Results!AT402</f>
        <v>37.898040020000003</v>
      </c>
      <c r="AR239" s="5">
        <f>[1]Results!AU402</f>
        <v>38.370944829999999</v>
      </c>
      <c r="AS239" s="5">
        <f>[1]Results!AV402</f>
        <v>38.850643920000003</v>
      </c>
      <c r="AT239" s="5">
        <f>[1]Results!AW402</f>
        <v>39.337306179999999</v>
      </c>
      <c r="AU239" s="5">
        <f>[1]Results!AX402</f>
        <v>39.831042940000003</v>
      </c>
      <c r="AV239" s="5">
        <f>[1]Results!AY402</f>
        <v>40.331899450000002</v>
      </c>
      <c r="AW239" s="5">
        <f>[1]Results!AZ402</f>
        <v>40.84225782</v>
      </c>
      <c r="AX239" s="5">
        <f>[1]Results!BA402</f>
        <v>41.36081583</v>
      </c>
      <c r="AY239" s="5">
        <f>[1]Results!BB402</f>
        <v>41.887227789999997</v>
      </c>
      <c r="AZ239" s="5">
        <f>[1]Results!BC402</f>
        <v>42.421293730000002</v>
      </c>
      <c r="BA239" s="5">
        <f>[1]Results!BD402</f>
        <v>42.96282574</v>
      </c>
      <c r="BB239" s="5">
        <f>[1]Results!BE402</f>
        <v>43.512415349999998</v>
      </c>
      <c r="BC239" s="5">
        <f>[1]Results!BF402</f>
        <v>44.06953223</v>
      </c>
      <c r="BD239" s="5">
        <f>[1]Results!BG402</f>
        <v>44.63404422</v>
      </c>
      <c r="BE239" s="5">
        <f>[1]Results!BH402</f>
        <v>45.205909370000001</v>
      </c>
      <c r="BF239" s="5">
        <f>[1]Results!BI402</f>
        <v>45.785113269999997</v>
      </c>
    </row>
    <row r="240" spans="1:58" x14ac:dyDescent="0.35">
      <c r="B240" t="s">
        <v>44</v>
      </c>
      <c r="C240" s="5">
        <f>[1]Results!F353</f>
        <v>64.301440170000006</v>
      </c>
      <c r="D240" s="5">
        <f>[1]Results!G353</f>
        <v>64.22072695</v>
      </c>
      <c r="E240" s="5">
        <f>[1]Results!H353</f>
        <v>63.922664949999998</v>
      </c>
      <c r="F240" s="5">
        <f>[1]Results!I353</f>
        <v>63.619772910000002</v>
      </c>
      <c r="G240" s="5">
        <f>[1]Results!J353</f>
        <v>63.377791629999997</v>
      </c>
      <c r="H240" s="5">
        <f>[1]Results!K353</f>
        <v>63.202465400000001</v>
      </c>
      <c r="I240" s="5">
        <f>[1]Results!L353</f>
        <v>63.058966820000002</v>
      </c>
      <c r="J240" s="5">
        <f>[1]Results!M353</f>
        <v>62.953107009999997</v>
      </c>
      <c r="K240" s="5">
        <f>[1]Results!N353</f>
        <v>62.888777130000001</v>
      </c>
      <c r="L240" s="5">
        <f>[1]Results!O353</f>
        <v>62.863858239999999</v>
      </c>
      <c r="M240" s="5">
        <f>[1]Results!P353</f>
        <v>62.901636799999999</v>
      </c>
      <c r="N240" s="5">
        <f>[1]Results!Q353</f>
        <v>62.951887190000001</v>
      </c>
      <c r="O240" s="5">
        <f>[1]Results!R353</f>
        <v>63.016270300000002</v>
      </c>
      <c r="P240" s="5">
        <f>[1]Results!S353</f>
        <v>63.09334681</v>
      </c>
      <c r="Q240" s="5">
        <f>[1]Results!T353</f>
        <v>63.180248659999997</v>
      </c>
      <c r="R240" s="5">
        <f>[1]Results!U353</f>
        <v>63.274416410000001</v>
      </c>
      <c r="S240" s="5">
        <f>[1]Results!V353</f>
        <v>63.373734919999997</v>
      </c>
      <c r="T240" s="5">
        <f>[1]Results!W353</f>
        <v>63.4765041</v>
      </c>
      <c r="U240" s="5">
        <f>[1]Results!X353</f>
        <v>63.581382480000002</v>
      </c>
      <c r="V240" s="5">
        <f>[1]Results!Y353</f>
        <v>63.687294690000002</v>
      </c>
      <c r="W240" s="5">
        <f>[1]Results!Z353</f>
        <v>63.773940289999999</v>
      </c>
      <c r="X240" s="5">
        <f>[1]Results!AA353</f>
        <v>63.869491019999998</v>
      </c>
      <c r="Y240" s="5">
        <f>[1]Results!AB353</f>
        <v>63.968244200000001</v>
      </c>
      <c r="Z240" s="5">
        <f>[1]Results!AC353</f>
        <v>64.06739528</v>
      </c>
      <c r="AA240" s="5">
        <f>[1]Results!AD353</f>
        <v>64.165623670000002</v>
      </c>
      <c r="AB240" s="5">
        <f>[1]Results!AE353</f>
        <v>64.209194229999994</v>
      </c>
      <c r="AC240" s="5">
        <f>[1]Results!AF353</f>
        <v>64.252018840000005</v>
      </c>
      <c r="AD240" s="5">
        <f>[1]Results!AG353</f>
        <v>64.292273789999996</v>
      </c>
      <c r="AE240" s="5">
        <f>[1]Results!AH353</f>
        <v>64.329214690000001</v>
      </c>
      <c r="AF240" s="5">
        <f>[1]Results!AI353</f>
        <v>64.362750090000006</v>
      </c>
      <c r="AG240" s="5">
        <f>[1]Results!AJ353</f>
        <v>64.392941219999997</v>
      </c>
      <c r="AH240" s="5">
        <f>[1]Results!AK353</f>
        <v>64.420329839999994</v>
      </c>
      <c r="AI240" s="5">
        <f>[1]Results!AL353</f>
        <v>64.445711810000006</v>
      </c>
      <c r="AJ240" s="5">
        <f>[1]Results!AM353</f>
        <v>64.469975489999996</v>
      </c>
      <c r="AK240" s="5">
        <f>[1]Results!AN353</f>
        <v>64.493987559999994</v>
      </c>
      <c r="AL240" s="5">
        <f>[1]Results!AO353</f>
        <v>64.518509190000003</v>
      </c>
      <c r="AM240" s="5">
        <f>[1]Results!AP353</f>
        <v>64.532800010000003</v>
      </c>
      <c r="AN240" s="5">
        <f>[1]Results!AQ353</f>
        <v>64.542817850000006</v>
      </c>
      <c r="AO240" s="5">
        <f>[1]Results!AR353</f>
        <v>64.551316069999999</v>
      </c>
      <c r="AP240" s="5">
        <f>[1]Results!AS353</f>
        <v>64.559496039999999</v>
      </c>
      <c r="AQ240" s="5">
        <f>[1]Results!AT353</f>
        <v>64.567824169999994</v>
      </c>
      <c r="AR240" s="5">
        <f>[1]Results!AU353</f>
        <v>64.576426600000005</v>
      </c>
      <c r="AS240" s="5">
        <f>[1]Results!AV353</f>
        <v>64.585244560000007</v>
      </c>
      <c r="AT240" s="5">
        <f>[1]Results!AW353</f>
        <v>64.594099139999997</v>
      </c>
      <c r="AU240" s="5">
        <f>[1]Results!AX353</f>
        <v>64.602731919999997</v>
      </c>
      <c r="AV240" s="5">
        <f>[1]Results!AY353</f>
        <v>64.6108914</v>
      </c>
      <c r="AW240" s="5">
        <f>[1]Results!AZ353</f>
        <v>64.620784700000002</v>
      </c>
      <c r="AX240" s="5">
        <f>[1]Results!BA353</f>
        <v>64.634201219999994</v>
      </c>
      <c r="AY240" s="5">
        <f>[1]Results!BB353</f>
        <v>64.652930810000001</v>
      </c>
      <c r="AZ240" s="5">
        <f>[1]Results!BC353</f>
        <v>64.678061749999998</v>
      </c>
      <c r="BA240" s="5">
        <f>[1]Results!BD353</f>
        <v>64.709902819999996</v>
      </c>
      <c r="BB240" s="5">
        <f>[1]Results!BE353</f>
        <v>64.748205549999994</v>
      </c>
      <c r="BC240" s="5">
        <f>[1]Results!BF353</f>
        <v>64.792382880000005</v>
      </c>
      <c r="BD240" s="5">
        <f>[1]Results!BG353</f>
        <v>64.841665149999997</v>
      </c>
      <c r="BE240" s="5">
        <f>[1]Results!BH353</f>
        <v>64.895230900000001</v>
      </c>
      <c r="BF240" s="5">
        <f>[1]Results!BI353</f>
        <v>64.952292700000001</v>
      </c>
    </row>
    <row r="241" spans="1:58" x14ac:dyDescent="0.35">
      <c r="B241" t="s">
        <v>45</v>
      </c>
      <c r="C241" s="5">
        <f>[1]Results!F354</f>
        <v>42.52087745</v>
      </c>
      <c r="D241" s="5">
        <f>[1]Results!G354</f>
        <v>42.739836780000005</v>
      </c>
      <c r="E241" s="5">
        <f>[1]Results!H354</f>
        <v>42.61933861</v>
      </c>
      <c r="F241" s="5">
        <f>[1]Results!I354</f>
        <v>42.40910435</v>
      </c>
      <c r="G241" s="5">
        <f>[1]Results!J354</f>
        <v>42.199241030000003</v>
      </c>
      <c r="H241" s="5">
        <f>[1]Results!K354</f>
        <v>42.011194340000003</v>
      </c>
      <c r="I241" s="5">
        <f>[1]Results!L354</f>
        <v>41.82297174</v>
      </c>
      <c r="J241" s="5">
        <f>[1]Results!M354</f>
        <v>41.647298159999998</v>
      </c>
      <c r="K241" s="5">
        <f>[1]Results!N354</f>
        <v>41.492982659999996</v>
      </c>
      <c r="L241" s="5">
        <f>[1]Results!O354</f>
        <v>41.361586299999999</v>
      </c>
      <c r="M241" s="5">
        <f>[1]Results!P354</f>
        <v>41.274898740000005</v>
      </c>
      <c r="N241" s="5">
        <f>[1]Results!Q354</f>
        <v>41.189825859999999</v>
      </c>
      <c r="O241" s="5">
        <f>[1]Results!R354</f>
        <v>41.11010297</v>
      </c>
      <c r="P241" s="5">
        <f>[1]Results!S354</f>
        <v>41.036071479999997</v>
      </c>
      <c r="Q241" s="5">
        <f>[1]Results!T354</f>
        <v>40.966345840000002</v>
      </c>
      <c r="R241" s="5">
        <f>[1]Results!U354</f>
        <v>40.899591619999995</v>
      </c>
      <c r="S241" s="5">
        <f>[1]Results!V354</f>
        <v>40.83483081</v>
      </c>
      <c r="T241" s="5">
        <f>[1]Results!W354</f>
        <v>40.771259490000006</v>
      </c>
      <c r="U241" s="5">
        <f>[1]Results!X354</f>
        <v>40.708267490000004</v>
      </c>
      <c r="V241" s="5">
        <f>[1]Results!Y354</f>
        <v>40.645393640000002</v>
      </c>
      <c r="W241" s="5">
        <f>[1]Results!Z354</f>
        <v>40.565982779999999</v>
      </c>
      <c r="X241" s="5">
        <f>[1]Results!AA354</f>
        <v>40.495270590000004</v>
      </c>
      <c r="Y241" s="5">
        <f>[1]Results!AB354</f>
        <v>40.427868109999999</v>
      </c>
      <c r="Z241" s="5">
        <f>[1]Results!AC354</f>
        <v>40.361187840000007</v>
      </c>
      <c r="AA241" s="5">
        <f>[1]Results!AD354</f>
        <v>40.294095759999998</v>
      </c>
      <c r="AB241" s="5">
        <f>[1]Results!AE354</f>
        <v>40.181782759999997</v>
      </c>
      <c r="AC241" s="5">
        <f>[1]Results!AF354</f>
        <v>40.072900490000002</v>
      </c>
      <c r="AD241" s="5">
        <f>[1]Results!AG354</f>
        <v>39.965268569999999</v>
      </c>
      <c r="AE241" s="5">
        <f>[1]Results!AH354</f>
        <v>39.857629680000002</v>
      </c>
      <c r="AF241" s="5">
        <f>[1]Results!AI354</f>
        <v>39.749349430000002</v>
      </c>
      <c r="AG241" s="5">
        <f>[1]Results!AJ354</f>
        <v>39.63998007</v>
      </c>
      <c r="AH241" s="5">
        <f>[1]Results!AK354</f>
        <v>39.529593219999995</v>
      </c>
      <c r="AI241" s="5">
        <f>[1]Results!AL354</f>
        <v>39.418601649999999</v>
      </c>
      <c r="AJ241" s="5">
        <f>[1]Results!AM354</f>
        <v>39.3075847</v>
      </c>
      <c r="AK241" s="5">
        <f>[1]Results!AN354</f>
        <v>39.19715686</v>
      </c>
      <c r="AL241" s="5">
        <f>[1]Results!AO354</f>
        <v>39.087870240000001</v>
      </c>
      <c r="AM241" s="5">
        <f>[1]Results!AP354</f>
        <v>38.970562780000002</v>
      </c>
      <c r="AN241" s="5">
        <f>[1]Results!AQ354</f>
        <v>38.850812049999995</v>
      </c>
      <c r="AO241" s="5">
        <f>[1]Results!AR354</f>
        <v>38.731061509999996</v>
      </c>
      <c r="AP241" s="5">
        <f>[1]Results!AS354</f>
        <v>38.612196470000001</v>
      </c>
      <c r="AQ241" s="5">
        <f>[1]Results!AT354</f>
        <v>38.494364170000004</v>
      </c>
      <c r="AR241" s="5">
        <f>[1]Results!AU354</f>
        <v>38.37736022</v>
      </c>
      <c r="AS241" s="5">
        <f>[1]Results!AV354</f>
        <v>38.260857630000004</v>
      </c>
      <c r="AT241" s="5">
        <f>[1]Results!AW354</f>
        <v>38.14447371</v>
      </c>
      <c r="AU241" s="5">
        <f>[1]Results!AX354</f>
        <v>38.027803320000004</v>
      </c>
      <c r="AV241" s="5">
        <f>[1]Results!AY354</f>
        <v>37.910498369999999</v>
      </c>
      <c r="AW241" s="5">
        <f>[1]Results!AZ354</f>
        <v>37.794445670000002</v>
      </c>
      <c r="AX241" s="5">
        <f>[1]Results!BA354</f>
        <v>37.681397509999996</v>
      </c>
      <c r="AY241" s="5">
        <f>[1]Results!BB354</f>
        <v>37.573179570000001</v>
      </c>
      <c r="AZ241" s="5">
        <f>[1]Results!BC354</f>
        <v>37.470950240000001</v>
      </c>
      <c r="BA241" s="5">
        <f>[1]Results!BD354</f>
        <v>37.37510545</v>
      </c>
      <c r="BB241" s="5">
        <f>[1]Results!BE354</f>
        <v>37.28543286</v>
      </c>
      <c r="BC241" s="5">
        <f>[1]Results!BF354</f>
        <v>37.201431710000001</v>
      </c>
      <c r="BD241" s="5">
        <f>[1]Results!BG354</f>
        <v>37.122452530000004</v>
      </c>
      <c r="BE241" s="5">
        <f>[1]Results!BH354</f>
        <v>37.04780564</v>
      </c>
      <c r="BF241" s="5">
        <f>[1]Results!BI354</f>
        <v>36.976839909999995</v>
      </c>
    </row>
    <row r="242" spans="1:58" x14ac:dyDescent="0.35">
      <c r="B242" t="s">
        <v>46</v>
      </c>
      <c r="C242" s="5">
        <f>[1]Results!F362</f>
        <v>21.78056273</v>
      </c>
      <c r="D242" s="5">
        <f>[1]Results!G362</f>
        <v>21.480890170000002</v>
      </c>
      <c r="E242" s="5">
        <f>[1]Results!H362</f>
        <v>21.303326329999997</v>
      </c>
      <c r="F242" s="5">
        <f>[1]Results!I362</f>
        <v>21.210668559999998</v>
      </c>
      <c r="G242" s="5">
        <f>[1]Results!J362</f>
        <v>21.178550600000001</v>
      </c>
      <c r="H242" s="5">
        <f>[1]Results!K362</f>
        <v>21.191271059999998</v>
      </c>
      <c r="I242" s="5">
        <f>[1]Results!L362</f>
        <v>21.235995089999999</v>
      </c>
      <c r="J242" s="5">
        <f>[1]Results!M362</f>
        <v>21.305808859999999</v>
      </c>
      <c r="K242" s="5">
        <f>[1]Results!N362</f>
        <v>21.395794469999998</v>
      </c>
      <c r="L242" s="5">
        <f>[1]Results!O362</f>
        <v>21.502271950000001</v>
      </c>
      <c r="M242" s="5">
        <f>[1]Results!P362</f>
        <v>21.626738059999997</v>
      </c>
      <c r="N242" s="5">
        <f>[1]Results!Q362</f>
        <v>21.762061329999998</v>
      </c>
      <c r="O242" s="5">
        <f>[1]Results!R362</f>
        <v>21.906167329999999</v>
      </c>
      <c r="P242" s="5">
        <f>[1]Results!S362</f>
        <v>22.05727533</v>
      </c>
      <c r="Q242" s="5">
        <f>[1]Results!T362</f>
        <v>22.213902820000001</v>
      </c>
      <c r="R242" s="5">
        <f>[1]Results!U362</f>
        <v>22.374824789999998</v>
      </c>
      <c r="S242" s="5">
        <f>[1]Results!V362</f>
        <v>22.538904110000001</v>
      </c>
      <c r="T242" s="5">
        <f>[1]Results!W362</f>
        <v>22.705244610000001</v>
      </c>
      <c r="U242" s="5">
        <f>[1]Results!X362</f>
        <v>22.873114999999999</v>
      </c>
      <c r="V242" s="5">
        <f>[1]Results!Y362</f>
        <v>23.04190105</v>
      </c>
      <c r="W242" s="5">
        <f>[1]Results!Z362</f>
        <v>23.20795751</v>
      </c>
      <c r="X242" s="5">
        <f>[1]Results!AA362</f>
        <v>23.374220430000001</v>
      </c>
      <c r="Y242" s="5">
        <f>[1]Results!AB362</f>
        <v>23.540376089999999</v>
      </c>
      <c r="Z242" s="5">
        <f>[1]Results!AC362</f>
        <v>23.70620744</v>
      </c>
      <c r="AA242" s="5">
        <f>[1]Results!AD362</f>
        <v>23.871527910000001</v>
      </c>
      <c r="AB242" s="5">
        <f>[1]Results!AE362</f>
        <v>24.027411470000001</v>
      </c>
      <c r="AC242" s="5">
        <f>[1]Results!AF362</f>
        <v>24.179118350000003</v>
      </c>
      <c r="AD242" s="5">
        <f>[1]Results!AG362</f>
        <v>24.32700522</v>
      </c>
      <c r="AE242" s="5">
        <f>[1]Results!AH362</f>
        <v>24.471585010000002</v>
      </c>
      <c r="AF242" s="5">
        <f>[1]Results!AI362</f>
        <v>24.61340066</v>
      </c>
      <c r="AG242" s="5">
        <f>[1]Results!AJ362</f>
        <v>24.75296114</v>
      </c>
      <c r="AH242" s="5">
        <f>[1]Results!AK362</f>
        <v>24.890736620000002</v>
      </c>
      <c r="AI242" s="5">
        <f>[1]Results!AL362</f>
        <v>25.027110159999999</v>
      </c>
      <c r="AJ242" s="5">
        <f>[1]Results!AM362</f>
        <v>25.16239079</v>
      </c>
      <c r="AK242" s="5">
        <f>[1]Results!AN362</f>
        <v>25.296830700000001</v>
      </c>
      <c r="AL242" s="5">
        <f>[1]Results!AO362</f>
        <v>25.43063896</v>
      </c>
      <c r="AM242" s="5">
        <f>[1]Results!AP362</f>
        <v>25.562237230000001</v>
      </c>
      <c r="AN242" s="5">
        <f>[1]Results!AQ362</f>
        <v>25.6920058</v>
      </c>
      <c r="AO242" s="5">
        <f>[1]Results!AR362</f>
        <v>25.820254559999999</v>
      </c>
      <c r="AP242" s="5">
        <f>[1]Results!AS362</f>
        <v>25.947299570000002</v>
      </c>
      <c r="AQ242" s="5">
        <f>[1]Results!AT362</f>
        <v>26.073460000000001</v>
      </c>
      <c r="AR242" s="5">
        <f>[1]Results!AU362</f>
        <v>26.199066379999998</v>
      </c>
      <c r="AS242" s="5">
        <f>[1]Results!AV362</f>
        <v>26.32438694</v>
      </c>
      <c r="AT242" s="5">
        <f>[1]Results!AW362</f>
        <v>26.449625430000001</v>
      </c>
      <c r="AU242" s="5">
        <f>[1]Results!AX362</f>
        <v>26.5749286</v>
      </c>
      <c r="AV242" s="5">
        <f>[1]Results!AY362</f>
        <v>26.700393030000001</v>
      </c>
      <c r="AW242" s="5">
        <f>[1]Results!AZ362</f>
        <v>26.82633903</v>
      </c>
      <c r="AX242" s="5">
        <f>[1]Results!BA362</f>
        <v>26.952803719999999</v>
      </c>
      <c r="AY242" s="5">
        <f>[1]Results!BB362</f>
        <v>27.079751239999997</v>
      </c>
      <c r="AZ242" s="5">
        <f>[1]Results!BC362</f>
        <v>27.207111510000001</v>
      </c>
      <c r="BA242" s="5">
        <f>[1]Results!BD362</f>
        <v>27.33479737</v>
      </c>
      <c r="BB242" s="5">
        <f>[1]Results!BE362</f>
        <v>27.462772690000001</v>
      </c>
      <c r="BC242" s="5">
        <f>[1]Results!BF362</f>
        <v>27.59095117</v>
      </c>
      <c r="BD242" s="5">
        <f>[1]Results!BG362</f>
        <v>27.71921262</v>
      </c>
      <c r="BE242" s="5">
        <f>[1]Results!BH362</f>
        <v>27.847425260000001</v>
      </c>
      <c r="BF242" s="5">
        <f>[1]Results!BI362</f>
        <v>27.975452789999999</v>
      </c>
    </row>
    <row r="244" spans="1:58" x14ac:dyDescent="0.35">
      <c r="A244" s="12" t="s">
        <v>43</v>
      </c>
      <c r="B244" t="s">
        <v>26</v>
      </c>
      <c r="C244" s="5">
        <f>C245+C246+C247+C248</f>
        <v>98.023964293000006</v>
      </c>
      <c r="D244" s="5">
        <f t="shared" ref="D244:AL244" si="135">D245+D246+D247+D248</f>
        <v>99.171189542999997</v>
      </c>
      <c r="E244" s="5">
        <f t="shared" si="135"/>
        <v>100.42206186200001</v>
      </c>
      <c r="F244" s="5">
        <f t="shared" si="135"/>
        <v>101.78541330300001</v>
      </c>
      <c r="G244" s="5">
        <f t="shared" si="135"/>
        <v>103.26253467100001</v>
      </c>
      <c r="H244" s="5">
        <f t="shared" si="135"/>
        <v>104.845316868</v>
      </c>
      <c r="I244" s="5">
        <f t="shared" si="135"/>
        <v>106.457062544</v>
      </c>
      <c r="J244" s="5">
        <f t="shared" si="135"/>
        <v>108.11998808800001</v>
      </c>
      <c r="K244" s="5">
        <f t="shared" si="135"/>
        <v>109.830431469</v>
      </c>
      <c r="L244" s="5">
        <f t="shared" si="135"/>
        <v>111.58132747699999</v>
      </c>
      <c r="M244" s="5">
        <f t="shared" si="135"/>
        <v>113.478143878</v>
      </c>
      <c r="N244" s="5">
        <f t="shared" si="135"/>
        <v>115.339317642</v>
      </c>
      <c r="O244" s="5">
        <f t="shared" si="135"/>
        <v>117.20854001299999</v>
      </c>
      <c r="P244" s="5">
        <f t="shared" si="135"/>
        <v>119.09182927000001</v>
      </c>
      <c r="Q244" s="5">
        <f t="shared" si="135"/>
        <v>120.989224076</v>
      </c>
      <c r="R244" s="5">
        <f t="shared" si="135"/>
        <v>122.900479237</v>
      </c>
      <c r="S244" s="5">
        <f t="shared" si="135"/>
        <v>124.825965482</v>
      </c>
      <c r="T244" s="5">
        <f t="shared" si="135"/>
        <v>126.76666916299999</v>
      </c>
      <c r="U244" s="5">
        <f t="shared" si="135"/>
        <v>128.724039296</v>
      </c>
      <c r="V244" s="5">
        <f t="shared" si="135"/>
        <v>130.699830257</v>
      </c>
      <c r="W244" s="5">
        <f t="shared" si="135"/>
        <v>132.61254402099999</v>
      </c>
      <c r="X244" s="5">
        <f t="shared" si="135"/>
        <v>134.59564995300002</v>
      </c>
      <c r="Y244" s="5">
        <f t="shared" si="135"/>
        <v>136.61572723800001</v>
      </c>
      <c r="Z244" s="5">
        <f t="shared" si="135"/>
        <v>138.66812295900002</v>
      </c>
      <c r="AA244" s="5">
        <f t="shared" si="135"/>
        <v>140.753153537</v>
      </c>
      <c r="AB244" s="5">
        <f t="shared" si="135"/>
        <v>142.63061652599998</v>
      </c>
      <c r="AC244" s="5">
        <f t="shared" si="135"/>
        <v>144.566692276</v>
      </c>
      <c r="AD244" s="5">
        <f t="shared" si="135"/>
        <v>146.524192169</v>
      </c>
      <c r="AE244" s="5">
        <f t="shared" si="135"/>
        <v>148.50138983299999</v>
      </c>
      <c r="AF244" s="5">
        <f t="shared" si="135"/>
        <v>150.502300279</v>
      </c>
      <c r="AG244" s="5">
        <f t="shared" si="135"/>
        <v>152.53111215500002</v>
      </c>
      <c r="AH244" s="5">
        <f t="shared" si="135"/>
        <v>154.591141943</v>
      </c>
      <c r="AI244" s="5">
        <f t="shared" si="135"/>
        <v>156.68472301099999</v>
      </c>
      <c r="AJ244" s="5">
        <f t="shared" si="135"/>
        <v>158.81331735700002</v>
      </c>
      <c r="AK244" s="5">
        <f t="shared" si="135"/>
        <v>160.97768414000001</v>
      </c>
      <c r="AL244" s="5">
        <f t="shared" si="135"/>
        <v>163.17805465999999</v>
      </c>
      <c r="AM244" s="5">
        <f t="shared" ref="AM244:BC244" si="136">AM245+AM246+AM247+AM248</f>
        <v>165.355807411</v>
      </c>
      <c r="AN244" s="5">
        <f t="shared" si="136"/>
        <v>167.54353677699999</v>
      </c>
      <c r="AO244" s="5">
        <f t="shared" si="136"/>
        <v>169.74932129299998</v>
      </c>
      <c r="AP244" s="5">
        <f t="shared" si="136"/>
        <v>171.97670174999999</v>
      </c>
      <c r="AQ244" s="5">
        <f t="shared" si="136"/>
        <v>174.22822510499998</v>
      </c>
      <c r="AR244" s="5">
        <f t="shared" si="136"/>
        <v>176.50600500299998</v>
      </c>
      <c r="AS244" s="5">
        <f t="shared" si="136"/>
        <v>178.811773278</v>
      </c>
      <c r="AT244" s="5">
        <f t="shared" si="136"/>
        <v>181.14688212200002</v>
      </c>
      <c r="AU244" s="5">
        <f t="shared" si="136"/>
        <v>183.51233408900001</v>
      </c>
      <c r="AV244" s="5">
        <f t="shared" si="136"/>
        <v>185.90884281899997</v>
      </c>
      <c r="AW244" s="5">
        <f t="shared" si="136"/>
        <v>188.34224467800001</v>
      </c>
      <c r="AX244" s="5">
        <f t="shared" si="136"/>
        <v>190.80997440499999</v>
      </c>
      <c r="AY244" s="5">
        <f t="shared" si="136"/>
        <v>193.31160420499998</v>
      </c>
      <c r="AZ244" s="5">
        <f t="shared" si="136"/>
        <v>195.84689901499999</v>
      </c>
      <c r="BA244" s="5">
        <f t="shared" si="136"/>
        <v>198.41565623699998</v>
      </c>
      <c r="BB244" s="5">
        <f t="shared" si="136"/>
        <v>201.017784003</v>
      </c>
      <c r="BC244" s="5">
        <f t="shared" si="136"/>
        <v>203.65334182000001</v>
      </c>
      <c r="BD244" s="5">
        <f t="shared" ref="BD244:BF244" si="137">BD245+BD246+BD247+BD248</f>
        <v>206.32254651000002</v>
      </c>
      <c r="BE244" s="5">
        <f t="shared" si="137"/>
        <v>209.02575994</v>
      </c>
      <c r="BF244" s="5">
        <f t="shared" si="137"/>
        <v>211.76346795000001</v>
      </c>
    </row>
    <row r="245" spans="1:58" x14ac:dyDescent="0.35">
      <c r="A245" t="s">
        <v>38</v>
      </c>
      <c r="B245" t="s">
        <v>7</v>
      </c>
      <c r="C245" s="5">
        <f>[1]Results!F439</f>
        <v>4.8967256030000001</v>
      </c>
      <c r="D245" s="5">
        <f>[1]Results!G439</f>
        <v>4.9371381330000004</v>
      </c>
      <c r="E245" s="5">
        <f>[1]Results!H439</f>
        <v>4.9821183519999996</v>
      </c>
      <c r="F245" s="5">
        <f>[1]Results!I439</f>
        <v>5.0356536429999998</v>
      </c>
      <c r="G245" s="5">
        <f>[1]Results!J439</f>
        <v>5.0980337310000001</v>
      </c>
      <c r="H245" s="5">
        <f>[1]Results!K439</f>
        <v>5.1684125679999999</v>
      </c>
      <c r="I245" s="5">
        <f>[1]Results!L439</f>
        <v>5.2427701239999998</v>
      </c>
      <c r="J245" s="5">
        <f>[1]Results!M439</f>
        <v>5.3211436980000002</v>
      </c>
      <c r="K245" s="5">
        <f>[1]Results!N439</f>
        <v>5.4029623689999999</v>
      </c>
      <c r="L245" s="5">
        <f>[1]Results!O439</f>
        <v>5.4876413069999996</v>
      </c>
      <c r="M245" s="5">
        <f>[1]Results!P439</f>
        <v>5.579664008</v>
      </c>
      <c r="N245" s="5">
        <f>[1]Results!Q439</f>
        <v>5.6715202119999999</v>
      </c>
      <c r="O245" s="5">
        <f>[1]Results!R439</f>
        <v>5.7642180229999997</v>
      </c>
      <c r="P245" s="5">
        <f>[1]Results!S439</f>
        <v>5.8578144600000002</v>
      </c>
      <c r="Q245" s="5">
        <f>[1]Results!T439</f>
        <v>5.9522154660000002</v>
      </c>
      <c r="R245" s="5">
        <f>[1]Results!U439</f>
        <v>6.0473505769999996</v>
      </c>
      <c r="S245" s="5">
        <f>[1]Results!V439</f>
        <v>6.1431971120000002</v>
      </c>
      <c r="T245" s="5">
        <f>[1]Results!W439</f>
        <v>6.2397721429999997</v>
      </c>
      <c r="U245" s="5">
        <f>[1]Results!X439</f>
        <v>6.3371204560000001</v>
      </c>
      <c r="V245" s="5">
        <f>[1]Results!Y439</f>
        <v>6.4353045169999996</v>
      </c>
      <c r="W245" s="5">
        <f>[1]Results!Z439</f>
        <v>6.5306901310000001</v>
      </c>
      <c r="X245" s="5">
        <f>[1]Results!AA439</f>
        <v>6.6286546729999998</v>
      </c>
      <c r="Y245" s="5">
        <f>[1]Results!AB439</f>
        <v>6.7283058179999999</v>
      </c>
      <c r="Z245" s="5">
        <f>[1]Results!AC439</f>
        <v>6.8295040890000003</v>
      </c>
      <c r="AA245" s="5">
        <f>[1]Results!AD439</f>
        <v>6.9322594569999998</v>
      </c>
      <c r="AB245" s="5">
        <f>[1]Results!AE439</f>
        <v>7.025880366</v>
      </c>
      <c r="AC245" s="5">
        <f>[1]Results!AF439</f>
        <v>7.1206103560000003</v>
      </c>
      <c r="AD245" s="5">
        <f>[1]Results!AG439</f>
        <v>7.2157772390000003</v>
      </c>
      <c r="AE245" s="5">
        <f>[1]Results!AH439</f>
        <v>7.3115759430000002</v>
      </c>
      <c r="AF245" s="5">
        <f>[1]Results!AI439</f>
        <v>7.4083459989999998</v>
      </c>
      <c r="AG245" s="5">
        <f>[1]Results!AJ439</f>
        <v>7.506391195</v>
      </c>
      <c r="AH245" s="5">
        <f>[1]Results!AK439</f>
        <v>7.605943023</v>
      </c>
      <c r="AI245" s="5">
        <f>[1]Results!AL439</f>
        <v>7.7071629609999999</v>
      </c>
      <c r="AJ245" s="5">
        <f>[1]Results!AM439</f>
        <v>7.8101549270000001</v>
      </c>
      <c r="AK245" s="5">
        <f>[1]Results!AN439</f>
        <v>7.9149793600000002</v>
      </c>
      <c r="AL245" s="5">
        <f>[1]Results!AO439</f>
        <v>8.0216660399999995</v>
      </c>
      <c r="AM245" s="5">
        <f>[1]Results!AP439</f>
        <v>8.1276290410000005</v>
      </c>
      <c r="AN245" s="5">
        <f>[1]Results!AQ439</f>
        <v>8.2339534570000001</v>
      </c>
      <c r="AO245" s="5">
        <f>[1]Results!AR439</f>
        <v>8.3410495630000003</v>
      </c>
      <c r="AP245" s="5">
        <f>[1]Results!AS439</f>
        <v>8.4491758600000004</v>
      </c>
      <c r="AQ245" s="5">
        <f>[1]Results!AT439</f>
        <v>8.5585446750000003</v>
      </c>
      <c r="AR245" s="5">
        <f>[1]Results!AU439</f>
        <v>8.6693354629999995</v>
      </c>
      <c r="AS245" s="5">
        <f>[1]Results!AV439</f>
        <v>8.7816934179999997</v>
      </c>
      <c r="AT245" s="5">
        <f>[1]Results!AW439</f>
        <v>8.8957294620000003</v>
      </c>
      <c r="AU245" s="5">
        <f>[1]Results!AX439</f>
        <v>9.0115234789999992</v>
      </c>
      <c r="AV245" s="5">
        <f>[1]Results!AY439</f>
        <v>9.1291295189999992</v>
      </c>
      <c r="AW245" s="5">
        <f>[1]Results!AZ439</f>
        <v>9.2488160480000001</v>
      </c>
      <c r="AX245" s="5">
        <f>[1]Results!BA439</f>
        <v>9.3705138550000004</v>
      </c>
      <c r="AY245" s="5">
        <f>[1]Results!BB439</f>
        <v>9.4942086450000005</v>
      </c>
      <c r="AZ245" s="5">
        <f>[1]Results!BC439</f>
        <v>9.6198788650000004</v>
      </c>
      <c r="BA245" s="5">
        <f>[1]Results!BD439</f>
        <v>9.7475017370000003</v>
      </c>
      <c r="BB245" s="5">
        <f>[1]Results!BE439</f>
        <v>9.8770616429999993</v>
      </c>
      <c r="BC245" s="5">
        <f>[1]Results!BF439</f>
        <v>10.008551750000001</v>
      </c>
      <c r="BD245" s="5">
        <f>[1]Results!BG439</f>
        <v>10.14197321</v>
      </c>
      <c r="BE245" s="5">
        <f>[1]Results!BH439</f>
        <v>10.27733388</v>
      </c>
      <c r="BF245" s="5">
        <f>[1]Results!BI439</f>
        <v>10.414647069999999</v>
      </c>
    </row>
    <row r="246" spans="1:58" x14ac:dyDescent="0.35">
      <c r="B246" t="s">
        <v>30</v>
      </c>
      <c r="C246" s="5">
        <f>[1]Results!F451</f>
        <v>44.244008659999999</v>
      </c>
      <c r="D246" s="5">
        <f>[1]Results!G451</f>
        <v>44.769815770000001</v>
      </c>
      <c r="E246" s="5">
        <f>[1]Results!H451</f>
        <v>45.353067879999998</v>
      </c>
      <c r="F246" s="5">
        <f>[1]Results!I451</f>
        <v>45.991688310000001</v>
      </c>
      <c r="G246" s="5">
        <f>[1]Results!J451</f>
        <v>46.683978760000002</v>
      </c>
      <c r="H246" s="5">
        <f>[1]Results!K451</f>
        <v>47.425375170000002</v>
      </c>
      <c r="I246" s="5">
        <f>[1]Results!L451</f>
        <v>48.179204910000003</v>
      </c>
      <c r="J246" s="5">
        <f>[1]Results!M451</f>
        <v>48.957183690000001</v>
      </c>
      <c r="K246" s="5">
        <f>[1]Results!N451</f>
        <v>49.757438260000001</v>
      </c>
      <c r="L246" s="5">
        <f>[1]Results!O451</f>
        <v>50.57647034</v>
      </c>
      <c r="M246" s="5">
        <f>[1]Results!P451</f>
        <v>51.464484409999997</v>
      </c>
      <c r="N246" s="5">
        <f>[1]Results!Q451</f>
        <v>52.33302553</v>
      </c>
      <c r="O246" s="5">
        <f>[1]Results!R451</f>
        <v>53.20541806</v>
      </c>
      <c r="P246" s="5">
        <f>[1]Results!S451</f>
        <v>54.084782130000001</v>
      </c>
      <c r="Q246" s="5">
        <f>[1]Results!T451</f>
        <v>54.971196970000001</v>
      </c>
      <c r="R246" s="5">
        <f>[1]Results!U451</f>
        <v>55.864593280000001</v>
      </c>
      <c r="S246" s="5">
        <f>[1]Results!V451</f>
        <v>56.765192820000003</v>
      </c>
      <c r="T246" s="5">
        <f>[1]Results!W451</f>
        <v>57.673515629999997</v>
      </c>
      <c r="U246" s="5">
        <f>[1]Results!X451</f>
        <v>58.5903128</v>
      </c>
      <c r="V246" s="5">
        <f>[1]Results!Y451</f>
        <v>59.516491930000001</v>
      </c>
      <c r="W246" s="5">
        <f>[1]Results!Z451</f>
        <v>60.413300229999997</v>
      </c>
      <c r="X246" s="5">
        <f>[1]Results!AA451</f>
        <v>61.345848240000002</v>
      </c>
      <c r="Y246" s="5">
        <f>[1]Results!AB451</f>
        <v>62.296504030000001</v>
      </c>
      <c r="Z246" s="5">
        <f>[1]Results!AC451</f>
        <v>63.263019219999997</v>
      </c>
      <c r="AA246" s="5">
        <f>[1]Results!AD451</f>
        <v>64.24565054</v>
      </c>
      <c r="AB246" s="5">
        <f>[1]Results!AE451</f>
        <v>65.130067479999994</v>
      </c>
      <c r="AC246" s="5">
        <f>[1]Results!AF451</f>
        <v>66.047222950000005</v>
      </c>
      <c r="AD246" s="5">
        <f>[1]Results!AG451</f>
        <v>66.976295680000007</v>
      </c>
      <c r="AE246" s="5">
        <f>[1]Results!AH451</f>
        <v>67.915770940000002</v>
      </c>
      <c r="AF246" s="5">
        <f>[1]Results!AI451</f>
        <v>68.867155019999998</v>
      </c>
      <c r="AG246" s="5">
        <f>[1]Results!AJ451</f>
        <v>69.832134839999995</v>
      </c>
      <c r="AH246" s="5">
        <f>[1]Results!AK451</f>
        <v>70.812064419999999</v>
      </c>
      <c r="AI246" s="5">
        <f>[1]Results!AL451</f>
        <v>71.807892300000006</v>
      </c>
      <c r="AJ246" s="5">
        <f>[1]Results!AM451</f>
        <v>72.820190310000001</v>
      </c>
      <c r="AK246" s="5">
        <f>[1]Results!AN451</f>
        <v>73.849212980000004</v>
      </c>
      <c r="AL246" s="5">
        <f>[1]Results!AO451</f>
        <v>74.894966800000006</v>
      </c>
      <c r="AM246" s="5">
        <f>[1]Results!AP451</f>
        <v>75.929390150000003</v>
      </c>
      <c r="AN246" s="5">
        <f>[1]Results!AQ451</f>
        <v>76.968864949999997</v>
      </c>
      <c r="AO246" s="5">
        <f>[1]Results!AR451</f>
        <v>78.016891319999999</v>
      </c>
      <c r="AP246" s="5">
        <f>[1]Results!AS451</f>
        <v>79.074750649999999</v>
      </c>
      <c r="AQ246" s="5">
        <f>[1]Results!AT451</f>
        <v>80.143301080000001</v>
      </c>
      <c r="AR246" s="5">
        <f>[1]Results!AU451</f>
        <v>81.223257189999998</v>
      </c>
      <c r="AS246" s="5">
        <f>[1]Results!AV451</f>
        <v>82.315217099999998</v>
      </c>
      <c r="AT246" s="5">
        <f>[1]Results!AW451</f>
        <v>83.419659249999995</v>
      </c>
      <c r="AU246" s="5">
        <f>[1]Results!AX451</f>
        <v>84.536947389999995</v>
      </c>
      <c r="AV246" s="5">
        <f>[1]Results!AY451</f>
        <v>85.667348399999995</v>
      </c>
      <c r="AW246" s="5">
        <f>[1]Results!AZ451</f>
        <v>86.813606890000003</v>
      </c>
      <c r="AX246" s="5">
        <f>[1]Results!BA451</f>
        <v>87.974380490000001</v>
      </c>
      <c r="AY246" s="5">
        <f>[1]Results!BB451</f>
        <v>89.149470109999996</v>
      </c>
      <c r="AZ246" s="5">
        <f>[1]Results!BC451</f>
        <v>90.338799089999995</v>
      </c>
      <c r="BA246" s="5">
        <f>[1]Results!BD451</f>
        <v>91.542314669999996</v>
      </c>
      <c r="BB246" s="5">
        <f>[1]Results!BE451</f>
        <v>92.760016559999997</v>
      </c>
      <c r="BC246" s="5">
        <f>[1]Results!BF451</f>
        <v>93.991976210000004</v>
      </c>
      <c r="BD246" s="5">
        <f>[1]Results!BG451</f>
        <v>95.238342090000003</v>
      </c>
      <c r="BE246" s="5">
        <f>[1]Results!BH451</f>
        <v>96.499336099999994</v>
      </c>
      <c r="BF246" s="5">
        <f>[1]Results!BI451</f>
        <v>97.775244869999995</v>
      </c>
    </row>
    <row r="247" spans="1:58" x14ac:dyDescent="0.35">
      <c r="B247" t="s">
        <v>28</v>
      </c>
      <c r="C247" s="5">
        <f>[1]Results!F427</f>
        <v>26.37987115</v>
      </c>
      <c r="D247" s="5">
        <f>[1]Results!G427</f>
        <v>26.68954651</v>
      </c>
      <c r="E247" s="5">
        <f>[1]Results!H427</f>
        <v>27.01817612</v>
      </c>
      <c r="F247" s="5">
        <f>[1]Results!I427</f>
        <v>27.368658150000002</v>
      </c>
      <c r="G247" s="5">
        <f>[1]Results!J427</f>
        <v>27.74120967</v>
      </c>
      <c r="H247" s="5">
        <f>[1]Results!K427</f>
        <v>28.13400811</v>
      </c>
      <c r="I247" s="5">
        <f>[1]Results!L427</f>
        <v>28.528733840000001</v>
      </c>
      <c r="J247" s="5">
        <f>[1]Results!M427</f>
        <v>28.931914150000001</v>
      </c>
      <c r="K247" s="5">
        <f>[1]Results!N427</f>
        <v>29.343819929999999</v>
      </c>
      <c r="L247" s="5">
        <f>[1]Results!O427</f>
        <v>29.763610629999999</v>
      </c>
      <c r="M247" s="5">
        <f>[1]Results!P427</f>
        <v>30.217983709999999</v>
      </c>
      <c r="N247" s="5">
        <f>[1]Results!Q427</f>
        <v>30.66237564</v>
      </c>
      <c r="O247" s="5">
        <f>[1]Results!R427</f>
        <v>31.107693279999999</v>
      </c>
      <c r="P247" s="5">
        <f>[1]Results!S427</f>
        <v>31.555929559999999</v>
      </c>
      <c r="Q247" s="5">
        <f>[1]Results!T427</f>
        <v>32.007439150000003</v>
      </c>
      <c r="R247" s="5">
        <f>[1]Results!U427</f>
        <v>32.462404919999997</v>
      </c>
      <c r="S247" s="5">
        <f>[1]Results!V427</f>
        <v>32.921099069999997</v>
      </c>
      <c r="T247" s="5">
        <f>[1]Results!W427</f>
        <v>33.383893200000003</v>
      </c>
      <c r="U247" s="5">
        <f>[1]Results!X427</f>
        <v>33.8512226</v>
      </c>
      <c r="V247" s="5">
        <f>[1]Results!Y427</f>
        <v>34.323550640000001</v>
      </c>
      <c r="W247" s="5">
        <f>[1]Results!Z427</f>
        <v>34.780851679999998</v>
      </c>
      <c r="X247" s="5">
        <f>[1]Results!AA427</f>
        <v>35.256059579999999</v>
      </c>
      <c r="Y247" s="5">
        <f>[1]Results!AB427</f>
        <v>35.741056260000001</v>
      </c>
      <c r="Z247" s="5">
        <f>[1]Results!AC427</f>
        <v>36.234440220000003</v>
      </c>
      <c r="AA247" s="5">
        <f>[1]Results!AD427</f>
        <v>36.736105350000003</v>
      </c>
      <c r="AB247" s="5">
        <f>[1]Results!AE427</f>
        <v>37.186976510000001</v>
      </c>
      <c r="AC247" s="5">
        <f>[1]Results!AF427</f>
        <v>37.652840159999997</v>
      </c>
      <c r="AD247" s="5">
        <f>[1]Results!AG427</f>
        <v>38.125171440000003</v>
      </c>
      <c r="AE247" s="5">
        <f>[1]Results!AH427</f>
        <v>38.603413750000001</v>
      </c>
      <c r="AF247" s="5">
        <f>[1]Results!AI427</f>
        <v>39.088421289999999</v>
      </c>
      <c r="AG247" s="5">
        <f>[1]Results!AJ427</f>
        <v>39.581094669999999</v>
      </c>
      <c r="AH247" s="5">
        <f>[1]Results!AK427</f>
        <v>40.082111329999996</v>
      </c>
      <c r="AI247" s="5">
        <f>[1]Results!AL427</f>
        <v>40.591904800000002</v>
      </c>
      <c r="AJ247" s="5">
        <f>[1]Results!AM427</f>
        <v>41.110705840000001</v>
      </c>
      <c r="AK247" s="5">
        <f>[1]Results!AN427</f>
        <v>41.63859626</v>
      </c>
      <c r="AL247" s="5">
        <f>[1]Results!AO427</f>
        <v>42.175559499999999</v>
      </c>
      <c r="AM247" s="5">
        <f>[1]Results!AP427</f>
        <v>42.707177549999997</v>
      </c>
      <c r="AN247" s="5">
        <f>[1]Results!AQ427</f>
        <v>43.241588370000002</v>
      </c>
      <c r="AO247" s="5">
        <f>[1]Results!AR427</f>
        <v>43.781027960000003</v>
      </c>
      <c r="AP247" s="5">
        <f>[1]Results!AS427</f>
        <v>44.326505830000002</v>
      </c>
      <c r="AQ247" s="5">
        <f>[1]Results!AT427</f>
        <v>44.878725410000001</v>
      </c>
      <c r="AR247" s="5">
        <f>[1]Results!AU427</f>
        <v>45.438246919999997</v>
      </c>
      <c r="AS247" s="5">
        <f>[1]Results!AV427</f>
        <v>46.005509140000001</v>
      </c>
      <c r="AT247" s="5">
        <f>[1]Results!AW427</f>
        <v>46.580835880000002</v>
      </c>
      <c r="AU247" s="5">
        <f>[1]Results!AX427</f>
        <v>47.164449439999999</v>
      </c>
      <c r="AV247" s="5">
        <f>[1]Results!AY427</f>
        <v>47.756491279999999</v>
      </c>
      <c r="AW247" s="5">
        <f>[1]Results!AZ427</f>
        <v>48.358352050000001</v>
      </c>
      <c r="AX247" s="5">
        <f>[1]Results!BA427</f>
        <v>48.969339869999999</v>
      </c>
      <c r="AY247" s="5">
        <f>[1]Results!BB427</f>
        <v>49.58928006</v>
      </c>
      <c r="AZ247" s="5">
        <f>[1]Results!BC427</f>
        <v>50.218076879999998</v>
      </c>
      <c r="BA247" s="5">
        <f>[1]Results!BD427</f>
        <v>50.855660749999998</v>
      </c>
      <c r="BB247" s="5">
        <f>[1]Results!BE427</f>
        <v>51.501995659999999</v>
      </c>
      <c r="BC247" s="5">
        <f>[1]Results!BF427</f>
        <v>52.157082010000003</v>
      </c>
      <c r="BD247" s="5">
        <f>[1]Results!BG427</f>
        <v>52.820953580000001</v>
      </c>
      <c r="BE247" s="5">
        <f>[1]Results!BH427</f>
        <v>53.493672580000002</v>
      </c>
      <c r="BF247" s="5">
        <f>[1]Results!BI427</f>
        <v>54.175324420000003</v>
      </c>
    </row>
    <row r="248" spans="1:58" x14ac:dyDescent="0.35">
      <c r="B248" t="s">
        <v>10</v>
      </c>
      <c r="C248" s="5">
        <f>[1]Results!F463</f>
        <v>22.50335888</v>
      </c>
      <c r="D248" s="5">
        <f>[1]Results!G463</f>
        <v>22.774689129999999</v>
      </c>
      <c r="E248" s="5">
        <f>[1]Results!H463</f>
        <v>23.068699509999998</v>
      </c>
      <c r="F248" s="5">
        <f>[1]Results!I463</f>
        <v>23.3894132</v>
      </c>
      <c r="G248" s="5">
        <f>[1]Results!J463</f>
        <v>23.739312510000001</v>
      </c>
      <c r="H248" s="5">
        <f>[1]Results!K463</f>
        <v>24.117521020000002</v>
      </c>
      <c r="I248" s="5">
        <f>[1]Results!L463</f>
        <v>24.506353669999999</v>
      </c>
      <c r="J248" s="5">
        <f>[1]Results!M463</f>
        <v>24.909746550000001</v>
      </c>
      <c r="K248" s="5">
        <f>[1]Results!N463</f>
        <v>25.32621091</v>
      </c>
      <c r="L248" s="5">
        <f>[1]Results!O463</f>
        <v>25.753605199999999</v>
      </c>
      <c r="M248" s="5">
        <f>[1]Results!P463</f>
        <v>26.21601175</v>
      </c>
      <c r="N248" s="5">
        <f>[1]Results!Q463</f>
        <v>26.672396259999999</v>
      </c>
      <c r="O248" s="5">
        <f>[1]Results!R463</f>
        <v>27.13121065</v>
      </c>
      <c r="P248" s="5">
        <f>[1]Results!S463</f>
        <v>27.593303120000002</v>
      </c>
      <c r="Q248" s="5">
        <f>[1]Results!T463</f>
        <v>28.05837249</v>
      </c>
      <c r="R248" s="5">
        <f>[1]Results!U463</f>
        <v>28.526130460000001</v>
      </c>
      <c r="S248" s="5">
        <f>[1]Results!V463</f>
        <v>28.996476479999998</v>
      </c>
      <c r="T248" s="5">
        <f>[1]Results!W463</f>
        <v>29.46948819</v>
      </c>
      <c r="U248" s="5">
        <f>[1]Results!X463</f>
        <v>29.945383440000001</v>
      </c>
      <c r="V248" s="5">
        <f>[1]Results!Y463</f>
        <v>30.424483169999998</v>
      </c>
      <c r="W248" s="5">
        <f>[1]Results!Z463</f>
        <v>30.887701979999999</v>
      </c>
      <c r="X248" s="5">
        <f>[1]Results!AA463</f>
        <v>31.365087460000002</v>
      </c>
      <c r="Y248" s="5">
        <f>[1]Results!AB463</f>
        <v>31.849861130000001</v>
      </c>
      <c r="Z248" s="5">
        <f>[1]Results!AC463</f>
        <v>32.341159429999998</v>
      </c>
      <c r="AA248" s="5">
        <f>[1]Results!AD463</f>
        <v>32.83913819</v>
      </c>
      <c r="AB248" s="5">
        <f>[1]Results!AE463</f>
        <v>33.28769217</v>
      </c>
      <c r="AC248" s="5">
        <f>[1]Results!AF463</f>
        <v>33.746018810000002</v>
      </c>
      <c r="AD248" s="5">
        <f>[1]Results!AG463</f>
        <v>34.206947810000003</v>
      </c>
      <c r="AE248" s="5">
        <f>[1]Results!AH463</f>
        <v>34.6706292</v>
      </c>
      <c r="AF248" s="5">
        <f>[1]Results!AI463</f>
        <v>35.138377970000001</v>
      </c>
      <c r="AG248" s="5">
        <f>[1]Results!AJ463</f>
        <v>35.611491450000003</v>
      </c>
      <c r="AH248" s="5">
        <f>[1]Results!AK463</f>
        <v>36.09102317</v>
      </c>
      <c r="AI248" s="5">
        <f>[1]Results!AL463</f>
        <v>36.57776295</v>
      </c>
      <c r="AJ248" s="5">
        <f>[1]Results!AM463</f>
        <v>37.072266280000001</v>
      </c>
      <c r="AK248" s="5">
        <f>[1]Results!AN463</f>
        <v>37.57489554</v>
      </c>
      <c r="AL248" s="5">
        <f>[1]Results!AO463</f>
        <v>38.085862319999997</v>
      </c>
      <c r="AM248" s="5">
        <f>[1]Results!AP463</f>
        <v>38.591610670000001</v>
      </c>
      <c r="AN248" s="5">
        <f>[1]Results!AQ463</f>
        <v>39.099130000000002</v>
      </c>
      <c r="AO248" s="5">
        <f>[1]Results!AR463</f>
        <v>39.610352450000001</v>
      </c>
      <c r="AP248" s="5">
        <f>[1]Results!AS463</f>
        <v>40.126269409999999</v>
      </c>
      <c r="AQ248" s="5">
        <f>[1]Results!AT463</f>
        <v>40.647653939999998</v>
      </c>
      <c r="AR248" s="5">
        <f>[1]Results!AU463</f>
        <v>41.17516543</v>
      </c>
      <c r="AS248" s="5">
        <f>[1]Results!AV463</f>
        <v>41.709353620000002</v>
      </c>
      <c r="AT248" s="5">
        <f>[1]Results!AW463</f>
        <v>42.250657529999998</v>
      </c>
      <c r="AU248" s="5">
        <f>[1]Results!AX463</f>
        <v>42.799413780000002</v>
      </c>
      <c r="AV248" s="5">
        <f>[1]Results!AY463</f>
        <v>43.355873619999997</v>
      </c>
      <c r="AW248" s="5">
        <f>[1]Results!AZ463</f>
        <v>43.921469690000002</v>
      </c>
      <c r="AX248" s="5">
        <f>[1]Results!BA463</f>
        <v>44.495740189999999</v>
      </c>
      <c r="AY248" s="5">
        <f>[1]Results!BB463</f>
        <v>45.078645389999998</v>
      </c>
      <c r="AZ248" s="5">
        <f>[1]Results!BC463</f>
        <v>45.670144180000001</v>
      </c>
      <c r="BA248" s="5">
        <f>[1]Results!BD463</f>
        <v>46.270179079999998</v>
      </c>
      <c r="BB248" s="5">
        <f>[1]Results!BE463</f>
        <v>46.878710140000003</v>
      </c>
      <c r="BC248" s="5">
        <f>[1]Results!BF463</f>
        <v>47.495731849999999</v>
      </c>
      <c r="BD248" s="5">
        <f>[1]Results!BG463</f>
        <v>48.121277630000002</v>
      </c>
      <c r="BE248" s="5">
        <f>[1]Results!BH463</f>
        <v>48.755417379999997</v>
      </c>
      <c r="BF248" s="5">
        <f>[1]Results!BI463</f>
        <v>49.398251590000001</v>
      </c>
    </row>
    <row r="249" spans="1:58" x14ac:dyDescent="0.35">
      <c r="B249" t="s">
        <v>25</v>
      </c>
      <c r="C249" s="5">
        <f>[1]Results!F414</f>
        <v>64.301440170000006</v>
      </c>
      <c r="D249" s="5">
        <f>[1]Results!G414</f>
        <v>64.244438369999997</v>
      </c>
      <c r="E249" s="5">
        <f>[1]Results!H414</f>
        <v>63.979054079999997</v>
      </c>
      <c r="F249" s="5">
        <f>[1]Results!I414</f>
        <v>63.707653299999997</v>
      </c>
      <c r="G249" s="5">
        <f>[1]Results!J414</f>
        <v>63.482470339999999</v>
      </c>
      <c r="H249" s="5">
        <f>[1]Results!K414</f>
        <v>63.336263180000003</v>
      </c>
      <c r="I249" s="5">
        <f>[1]Results!L414</f>
        <v>63.253989920000002</v>
      </c>
      <c r="J249" s="5">
        <f>[1]Results!M414</f>
        <v>63.230666970000001</v>
      </c>
      <c r="K249" s="5">
        <f>[1]Results!N414</f>
        <v>63.25270673</v>
      </c>
      <c r="L249" s="5">
        <f>[1]Results!O414</f>
        <v>63.306551419999998</v>
      </c>
      <c r="M249" s="5">
        <f>[1]Results!P414</f>
        <v>63.411263310000002</v>
      </c>
      <c r="N249" s="5">
        <f>[1]Results!Q414</f>
        <v>63.516182149999999</v>
      </c>
      <c r="O249" s="5">
        <f>[1]Results!R414</f>
        <v>63.624458709999999</v>
      </c>
      <c r="P249" s="5">
        <f>[1]Results!S414</f>
        <v>63.736656179999997</v>
      </c>
      <c r="Q249" s="5">
        <f>[1]Results!T414</f>
        <v>63.852380940000003</v>
      </c>
      <c r="R249" s="5">
        <f>[1]Results!U414</f>
        <v>63.970977120000001</v>
      </c>
      <c r="S249" s="5">
        <f>[1]Results!V414</f>
        <v>64.091795520000005</v>
      </c>
      <c r="T249" s="5">
        <f>[1]Results!W414</f>
        <v>64.214278820000004</v>
      </c>
      <c r="U249" s="5">
        <f>[1]Results!X414</f>
        <v>64.337974070000001</v>
      </c>
      <c r="V249" s="5">
        <f>[1]Results!Y414</f>
        <v>64.462521510000002</v>
      </c>
      <c r="W249" s="5">
        <f>[1]Results!Z414</f>
        <v>64.56813957</v>
      </c>
      <c r="X249" s="5">
        <f>[1]Results!AA414</f>
        <v>64.683683909999999</v>
      </c>
      <c r="Y249" s="5">
        <f>[1]Results!AB414</f>
        <v>64.80393067</v>
      </c>
      <c r="Z249" s="5">
        <f>[1]Results!AC414</f>
        <v>64.926449239999997</v>
      </c>
      <c r="AA249" s="5">
        <f>[1]Results!AD414</f>
        <v>65.050136899999998</v>
      </c>
      <c r="AB249" s="5">
        <f>[1]Results!AE414</f>
        <v>65.121097919999997</v>
      </c>
      <c r="AC249" s="5">
        <f>[1]Results!AF414</f>
        <v>65.193553410000007</v>
      </c>
      <c r="AD249" s="5">
        <f>[1]Results!AG414</f>
        <v>65.265840319999995</v>
      </c>
      <c r="AE249" s="5">
        <f>[1]Results!AH414</f>
        <v>65.337381640000004</v>
      </c>
      <c r="AF249" s="5">
        <f>[1]Results!AI414</f>
        <v>65.407922859999999</v>
      </c>
      <c r="AG249" s="5">
        <f>[1]Results!AJ414</f>
        <v>65.477596989999995</v>
      </c>
      <c r="AH249" s="5">
        <f>[1]Results!AK414</f>
        <v>65.546739970000004</v>
      </c>
      <c r="AI249" s="5">
        <f>[1]Results!AL414</f>
        <v>65.615738300000004</v>
      </c>
      <c r="AJ249" s="5">
        <f>[1]Results!AM414</f>
        <v>65.684962839999997</v>
      </c>
      <c r="AK249" s="5">
        <f>[1]Results!AN414</f>
        <v>65.754746539999999</v>
      </c>
      <c r="AL249" s="5">
        <f>[1]Results!AO414</f>
        <v>65.825382790000006</v>
      </c>
      <c r="AM249" s="5">
        <f>[1]Results!AP414</f>
        <v>65.885648000000003</v>
      </c>
      <c r="AN249" s="5">
        <f>[1]Results!AQ414</f>
        <v>65.941298040000007</v>
      </c>
      <c r="AO249" s="5">
        <f>[1]Results!AR414</f>
        <v>65.995158930000002</v>
      </c>
      <c r="AP249" s="5">
        <f>[1]Results!AS414</f>
        <v>66.048712100000003</v>
      </c>
      <c r="AQ249" s="5">
        <f>[1]Results!AT414</f>
        <v>66.102831510000001</v>
      </c>
      <c r="AR249" s="5">
        <f>[1]Results!AU414</f>
        <v>66.158103350000005</v>
      </c>
      <c r="AS249" s="5">
        <f>[1]Results!AV414</f>
        <v>66.214953399999999</v>
      </c>
      <c r="AT249" s="5">
        <f>[1]Results!AW414</f>
        <v>66.273683890000001</v>
      </c>
      <c r="AU249" s="5">
        <f>[1]Results!AX414</f>
        <v>66.334418209999995</v>
      </c>
      <c r="AV249" s="5">
        <f>[1]Results!AY414</f>
        <v>66.396859359999993</v>
      </c>
      <c r="AW249" s="5">
        <f>[1]Results!AZ414</f>
        <v>66.46001579</v>
      </c>
      <c r="AX249" s="5">
        <f>[1]Results!BA414</f>
        <v>66.519687910000002</v>
      </c>
      <c r="AY249" s="5">
        <f>[1]Results!BB414</f>
        <v>66.57202839</v>
      </c>
      <c r="AZ249" s="5">
        <f>[1]Results!BC414</f>
        <v>66.623567769999994</v>
      </c>
      <c r="BA249" s="5">
        <f>[1]Results!BD414</f>
        <v>66.679880150000002</v>
      </c>
      <c r="BB249" s="5">
        <f>[1]Results!BE414</f>
        <v>66.742631790000004</v>
      </c>
      <c r="BC249" s="5">
        <f>[1]Results!BF414</f>
        <v>66.811291710000006</v>
      </c>
      <c r="BD249" s="5">
        <f>[1]Results!BG414</f>
        <v>66.884671749999995</v>
      </c>
      <c r="BE249" s="5">
        <f>[1]Results!BH414</f>
        <v>66.961664510000006</v>
      </c>
      <c r="BF249" s="5">
        <f>[1]Results!BI414</f>
        <v>67.041464809999994</v>
      </c>
    </row>
    <row r="250" spans="1:58" x14ac:dyDescent="0.35">
      <c r="B250" t="s">
        <v>47</v>
      </c>
      <c r="C250" s="5">
        <f>[1]Results!F415</f>
        <v>42.52087745</v>
      </c>
      <c r="D250" s="5">
        <f>[1]Results!G415</f>
        <v>42.741900170000001</v>
      </c>
      <c r="E250" s="5">
        <f>[1]Results!H415</f>
        <v>42.617083280000003</v>
      </c>
      <c r="F250" s="5">
        <f>[1]Results!I415</f>
        <v>42.393360119999997</v>
      </c>
      <c r="G250" s="5">
        <f>[1]Results!J415</f>
        <v>42.152352619999995</v>
      </c>
      <c r="H250" s="5">
        <f>[1]Results!K415</f>
        <v>41.94586262</v>
      </c>
      <c r="I250" s="5">
        <f>[1]Results!L415</f>
        <v>41.773745030000001</v>
      </c>
      <c r="J250" s="5">
        <f>[1]Results!M415</f>
        <v>41.639066840000005</v>
      </c>
      <c r="K250" s="5">
        <f>[1]Results!N415</f>
        <v>41.533635529999998</v>
      </c>
      <c r="L250" s="5">
        <f>[1]Results!O415</f>
        <v>41.447631350000002</v>
      </c>
      <c r="M250" s="5">
        <f>[1]Results!P415</f>
        <v>41.398385959999999</v>
      </c>
      <c r="N250" s="5">
        <f>[1]Results!Q415</f>
        <v>41.341999100000002</v>
      </c>
      <c r="O250" s="5">
        <f>[1]Results!R415</f>
        <v>41.283366979999997</v>
      </c>
      <c r="P250" s="5">
        <f>[1]Results!S415</f>
        <v>41.224530710000003</v>
      </c>
      <c r="Q250" s="5">
        <f>[1]Results!T415</f>
        <v>41.16629167</v>
      </c>
      <c r="R250" s="5">
        <f>[1]Results!U415</f>
        <v>41.108941299999998</v>
      </c>
      <c r="S250" s="5">
        <f>[1]Results!V415</f>
        <v>41.052575740000002</v>
      </c>
      <c r="T250" s="5">
        <f>[1]Results!W415</f>
        <v>40.997223499999997</v>
      </c>
      <c r="U250" s="5">
        <f>[1]Results!X415</f>
        <v>40.942892560000004</v>
      </c>
      <c r="V250" s="5">
        <f>[1]Results!Y415</f>
        <v>40.889585029999999</v>
      </c>
      <c r="W250" s="5">
        <f>[1]Results!Z415</f>
        <v>40.820963829999997</v>
      </c>
      <c r="X250" s="5">
        <f>[1]Results!AA415</f>
        <v>40.762713789999999</v>
      </c>
      <c r="Y250" s="5">
        <f>[1]Results!AB415</f>
        <v>40.709698780000004</v>
      </c>
      <c r="Z250" s="5">
        <f>[1]Results!AC415</f>
        <v>40.659504759999997</v>
      </c>
      <c r="AA250" s="5">
        <f>[1]Results!AD415</f>
        <v>40.611042320000003</v>
      </c>
      <c r="AB250" s="5">
        <f>[1]Results!AE415</f>
        <v>40.519310560000001</v>
      </c>
      <c r="AC250" s="5">
        <f>[1]Results!AF415</f>
        <v>40.433222590000007</v>
      </c>
      <c r="AD250" s="5">
        <f>[1]Results!AG415</f>
        <v>40.350661860000002</v>
      </c>
      <c r="AE250" s="5">
        <f>[1]Results!AH415</f>
        <v>40.270437369999996</v>
      </c>
      <c r="AF250" s="5">
        <f>[1]Results!AI415</f>
        <v>40.191665130000004</v>
      </c>
      <c r="AG250" s="5">
        <f>[1]Results!AJ415</f>
        <v>40.113901240000004</v>
      </c>
      <c r="AH250" s="5">
        <f>[1]Results!AK415</f>
        <v>40.036984629999999</v>
      </c>
      <c r="AI250" s="5">
        <f>[1]Results!AL415</f>
        <v>39.960888650000001</v>
      </c>
      <c r="AJ250" s="5">
        <f>[1]Results!AM415</f>
        <v>39.885646189999996</v>
      </c>
      <c r="AK250" s="5">
        <f>[1]Results!AN415</f>
        <v>39.811313869999999</v>
      </c>
      <c r="AL250" s="5">
        <f>[1]Results!AO415</f>
        <v>39.737956459999999</v>
      </c>
      <c r="AM250" s="5">
        <f>[1]Results!AP415</f>
        <v>39.656155529999999</v>
      </c>
      <c r="AN250" s="5">
        <f>[1]Results!AQ415</f>
        <v>39.571361189999998</v>
      </c>
      <c r="AO250" s="5">
        <f>[1]Results!AR415</f>
        <v>39.486073079999997</v>
      </c>
      <c r="AP250" s="5">
        <f>[1]Results!AS415</f>
        <v>39.401410720000001</v>
      </c>
      <c r="AQ250" s="5">
        <f>[1]Results!AT415</f>
        <v>39.317875829999998</v>
      </c>
      <c r="AR250" s="5">
        <f>[1]Results!AU415</f>
        <v>39.23570015</v>
      </c>
      <c r="AS250" s="5">
        <f>[1]Results!AV415</f>
        <v>39.154993070000003</v>
      </c>
      <c r="AT250" s="5">
        <f>[1]Results!AW415</f>
        <v>39.075788719999998</v>
      </c>
      <c r="AU250" s="5">
        <f>[1]Results!AX415</f>
        <v>38.997992880000005</v>
      </c>
      <c r="AV250" s="5">
        <f>[1]Results!AY415</f>
        <v>38.921137969999997</v>
      </c>
      <c r="AW250" s="5">
        <f>[1]Results!AZ415</f>
        <v>38.843933960000001</v>
      </c>
      <c r="AX250" s="5">
        <f>[1]Results!BA415</f>
        <v>38.762096509999999</v>
      </c>
      <c r="AY250" s="5">
        <f>[1]Results!BB415</f>
        <v>38.67172343</v>
      </c>
      <c r="AZ250" s="5">
        <f>[1]Results!BC415</f>
        <v>38.579317549999999</v>
      </c>
      <c r="BA250" s="5">
        <f>[1]Results!BD415</f>
        <v>38.490445799999996</v>
      </c>
      <c r="BB250" s="5">
        <f>[1]Results!BE415</f>
        <v>38.406781009999996</v>
      </c>
      <c r="BC250" s="5">
        <f>[1]Results!BF415</f>
        <v>38.327807299999996</v>
      </c>
      <c r="BD250" s="5">
        <f>[1]Results!BG415</f>
        <v>38.25235722</v>
      </c>
      <c r="BE250" s="5">
        <f>[1]Results!BH415</f>
        <v>38.17934837</v>
      </c>
      <c r="BF250" s="5">
        <f>[1]Results!BI415</f>
        <v>38.108004489999999</v>
      </c>
    </row>
    <row r="251" spans="1:58" x14ac:dyDescent="0.35">
      <c r="B251" t="s">
        <v>48</v>
      </c>
      <c r="C251" s="5">
        <f>[1]Results!F423</f>
        <v>21.78056273</v>
      </c>
      <c r="D251" s="5">
        <f>[1]Results!G423</f>
        <v>21.5025382</v>
      </c>
      <c r="E251" s="5">
        <f>[1]Results!H423</f>
        <v>21.361970790000001</v>
      </c>
      <c r="F251" s="5">
        <f>[1]Results!I423</f>
        <v>21.31429318</v>
      </c>
      <c r="G251" s="5">
        <f>[1]Results!J423</f>
        <v>21.330117720000001</v>
      </c>
      <c r="H251" s="5">
        <f>[1]Results!K423</f>
        <v>21.390400570000001</v>
      </c>
      <c r="I251" s="5">
        <f>[1]Results!L423</f>
        <v>21.480244890000002</v>
      </c>
      <c r="J251" s="5">
        <f>[1]Results!M423</f>
        <v>21.591600140000001</v>
      </c>
      <c r="K251" s="5">
        <f>[1]Results!N423</f>
        <v>21.719071199999998</v>
      </c>
      <c r="L251" s="5">
        <f>[1]Results!O423</f>
        <v>21.85892007</v>
      </c>
      <c r="M251" s="5">
        <f>[1]Results!P423</f>
        <v>22.012877360000001</v>
      </c>
      <c r="N251" s="5">
        <f>[1]Results!Q423</f>
        <v>22.17418305</v>
      </c>
      <c r="O251" s="5">
        <f>[1]Results!R423</f>
        <v>22.341091729999999</v>
      </c>
      <c r="P251" s="5">
        <f>[1]Results!S423</f>
        <v>22.512125469999997</v>
      </c>
      <c r="Q251" s="5">
        <f>[1]Results!T423</f>
        <v>22.68608927</v>
      </c>
      <c r="R251" s="5">
        <f>[1]Results!U423</f>
        <v>22.862035819999999</v>
      </c>
      <c r="S251" s="5">
        <f>[1]Results!V423</f>
        <v>23.03921978</v>
      </c>
      <c r="T251" s="5">
        <f>[1]Results!W423</f>
        <v>23.217055309999999</v>
      </c>
      <c r="U251" s="5">
        <f>[1]Results!X423</f>
        <v>23.395081510000001</v>
      </c>
      <c r="V251" s="5">
        <f>[1]Results!Y423</f>
        <v>23.572936479999999</v>
      </c>
      <c r="W251" s="5">
        <f>[1]Results!Z423</f>
        <v>23.747175730000002</v>
      </c>
      <c r="X251" s="5">
        <f>[1]Results!AA423</f>
        <v>23.92097012</v>
      </c>
      <c r="Y251" s="5">
        <f>[1]Results!AB423</f>
        <v>24.09423189</v>
      </c>
      <c r="Z251" s="5">
        <f>[1]Results!AC423</f>
        <v>24.266944489999997</v>
      </c>
      <c r="AA251" s="5">
        <f>[1]Results!AD423</f>
        <v>24.439094579999999</v>
      </c>
      <c r="AB251" s="5">
        <f>[1]Results!AE423</f>
        <v>24.601787350000002</v>
      </c>
      <c r="AC251" s="5">
        <f>[1]Results!AF423</f>
        <v>24.76033082</v>
      </c>
      <c r="AD251" s="5">
        <f>[1]Results!AG423</f>
        <v>24.915178469999997</v>
      </c>
      <c r="AE251" s="5">
        <f>[1]Results!AH423</f>
        <v>25.06694427</v>
      </c>
      <c r="AF251" s="5">
        <f>[1]Results!AI423</f>
        <v>25.216257729999999</v>
      </c>
      <c r="AG251" s="5">
        <f>[1]Results!AJ423</f>
        <v>25.363695760000002</v>
      </c>
      <c r="AH251" s="5">
        <f>[1]Results!AK423</f>
        <v>25.509755339999998</v>
      </c>
      <c r="AI251" s="5">
        <f>[1]Results!AL423</f>
        <v>25.654849649999999</v>
      </c>
      <c r="AJ251" s="5">
        <f>[1]Results!AM423</f>
        <v>25.799316649999998</v>
      </c>
      <c r="AK251" s="5">
        <f>[1]Results!AN423</f>
        <v>25.943432670000004</v>
      </c>
      <c r="AL251" s="5">
        <f>[1]Results!AO423</f>
        <v>26.08742633</v>
      </c>
      <c r="AM251" s="5">
        <f>[1]Results!AP423</f>
        <v>26.229492480000001</v>
      </c>
      <c r="AN251" s="5">
        <f>[1]Results!AQ423</f>
        <v>26.369936850000002</v>
      </c>
      <c r="AO251" s="5">
        <f>[1]Results!AR423</f>
        <v>26.509085850000002</v>
      </c>
      <c r="AP251" s="5">
        <f>[1]Results!AS423</f>
        <v>26.647301370000001</v>
      </c>
      <c r="AQ251" s="5">
        <f>[1]Results!AT423</f>
        <v>26.784955679999999</v>
      </c>
      <c r="AR251" s="5">
        <f>[1]Results!AU423</f>
        <v>26.922403190000001</v>
      </c>
      <c r="AS251" s="5">
        <f>[1]Results!AV423</f>
        <v>27.059960329999999</v>
      </c>
      <c r="AT251" s="5">
        <f>[1]Results!AW423</f>
        <v>27.197895160000002</v>
      </c>
      <c r="AU251" s="5">
        <f>[1]Results!AX423</f>
        <v>27.336425329999997</v>
      </c>
      <c r="AV251" s="5">
        <f>[1]Results!AY423</f>
        <v>27.47572138</v>
      </c>
      <c r="AW251" s="5">
        <f>[1]Results!AZ423</f>
        <v>27.616081829999999</v>
      </c>
      <c r="AX251" s="5">
        <f>[1]Results!BA423</f>
        <v>27.757591399999999</v>
      </c>
      <c r="AY251" s="5">
        <f>[1]Results!BB423</f>
        <v>27.90030496</v>
      </c>
      <c r="AZ251" s="5">
        <f>[1]Results!BC423</f>
        <v>28.044250229999999</v>
      </c>
      <c r="BA251" s="5">
        <f>[1]Results!BD423</f>
        <v>28.189434339999998</v>
      </c>
      <c r="BB251" s="5">
        <f>[1]Results!BE423</f>
        <v>28.33585077</v>
      </c>
      <c r="BC251" s="5">
        <f>[1]Results!BF423</f>
        <v>28.483484409999999</v>
      </c>
      <c r="BD251" s="5">
        <f>[1]Results!BG423</f>
        <v>28.632314530000002</v>
      </c>
      <c r="BE251" s="5">
        <f>[1]Results!BH423</f>
        <v>28.782316139999999</v>
      </c>
      <c r="BF251" s="5">
        <f>[1]Results!BI423</f>
        <v>28.933460309999997</v>
      </c>
    </row>
    <row r="253" spans="1:58" x14ac:dyDescent="0.35">
      <c r="A253" s="12" t="s">
        <v>43</v>
      </c>
      <c r="C253" s="2">
        <v>42005</v>
      </c>
      <c r="D253" s="2">
        <v>42370</v>
      </c>
      <c r="E253" s="2">
        <v>42736</v>
      </c>
      <c r="F253" s="2">
        <v>43101</v>
      </c>
      <c r="G253" s="2">
        <v>43466</v>
      </c>
      <c r="H253" s="2">
        <v>43831</v>
      </c>
      <c r="I253" s="2">
        <v>44197</v>
      </c>
      <c r="J253" s="2">
        <v>44562</v>
      </c>
      <c r="K253" s="2">
        <v>44927</v>
      </c>
      <c r="L253" s="2">
        <v>45292</v>
      </c>
      <c r="M253" s="2">
        <v>45658</v>
      </c>
      <c r="N253" s="2">
        <v>46023</v>
      </c>
      <c r="O253" s="2">
        <v>46388</v>
      </c>
      <c r="P253" s="2">
        <v>46753</v>
      </c>
      <c r="Q253" s="2">
        <v>47119</v>
      </c>
      <c r="R253" s="2">
        <v>47484</v>
      </c>
      <c r="S253" s="2">
        <v>47849</v>
      </c>
      <c r="T253" s="2">
        <v>48214</v>
      </c>
      <c r="U253" s="2">
        <v>48580</v>
      </c>
      <c r="V253" s="2">
        <v>48945</v>
      </c>
      <c r="W253" s="2">
        <v>49310</v>
      </c>
      <c r="X253" s="2">
        <v>49675</v>
      </c>
      <c r="Y253" s="2">
        <v>50041</v>
      </c>
      <c r="Z253" s="2">
        <v>50406</v>
      </c>
      <c r="AA253" s="2">
        <v>50771</v>
      </c>
      <c r="AB253" s="2">
        <v>51136</v>
      </c>
      <c r="AC253" s="2">
        <v>51502</v>
      </c>
      <c r="AD253" s="2">
        <v>51867</v>
      </c>
      <c r="AE253" s="2">
        <v>52232</v>
      </c>
      <c r="AF253" s="2">
        <v>52597</v>
      </c>
      <c r="AG253" s="2">
        <v>52963</v>
      </c>
      <c r="AH253" s="2">
        <v>53328</v>
      </c>
      <c r="AI253" s="2">
        <v>53693</v>
      </c>
      <c r="AJ253" s="2">
        <v>54058</v>
      </c>
      <c r="AK253" s="2">
        <v>54424</v>
      </c>
      <c r="AL253" s="2">
        <v>54789</v>
      </c>
      <c r="AM253" s="2">
        <v>54790</v>
      </c>
      <c r="AN253" s="2">
        <v>54791</v>
      </c>
      <c r="AO253" s="2">
        <v>54792</v>
      </c>
      <c r="AP253" s="2">
        <v>54793</v>
      </c>
      <c r="AQ253" s="2">
        <v>54794</v>
      </c>
      <c r="AR253" s="2">
        <v>54795</v>
      </c>
      <c r="AS253" s="2">
        <v>54796</v>
      </c>
      <c r="AT253" s="2">
        <v>54797</v>
      </c>
      <c r="AU253" s="2">
        <v>54798</v>
      </c>
      <c r="AV253" s="2">
        <v>54799</v>
      </c>
      <c r="AW253" s="2">
        <v>54800</v>
      </c>
      <c r="AX253" s="2">
        <v>54801</v>
      </c>
      <c r="AY253" s="2">
        <v>54802</v>
      </c>
      <c r="AZ253" s="2">
        <v>54803</v>
      </c>
      <c r="BA253" s="2">
        <v>54804</v>
      </c>
      <c r="BB253" s="2">
        <v>54805</v>
      </c>
      <c r="BC253" s="2">
        <v>54806</v>
      </c>
      <c r="BD253" s="2">
        <v>54807</v>
      </c>
      <c r="BE253" s="2">
        <v>54808</v>
      </c>
      <c r="BF253" s="2">
        <v>54809</v>
      </c>
    </row>
    <row r="254" spans="1:58" x14ac:dyDescent="0.35">
      <c r="A254" t="s">
        <v>39</v>
      </c>
      <c r="B254" t="s">
        <v>26</v>
      </c>
      <c r="C254" s="9">
        <f t="shared" ref="C254:AL254" si="138">(C235/C136)/(C244/C125)-1</f>
        <v>-5.4495294717566978E-3</v>
      </c>
      <c r="D254" s="9">
        <f t="shared" si="138"/>
        <v>-8.8097886002367343E-3</v>
      </c>
      <c r="E254" s="9">
        <f t="shared" si="138"/>
        <v>-1.0630082298235255E-2</v>
      </c>
      <c r="F254" s="9">
        <f t="shared" si="138"/>
        <v>-1.2039032240561354E-2</v>
      </c>
      <c r="G254" s="9">
        <f t="shared" si="138"/>
        <v>-1.3109524622837987E-2</v>
      </c>
      <c r="H254" s="9">
        <f t="shared" si="138"/>
        <v>-1.3851571972181564E-2</v>
      </c>
      <c r="I254" s="9">
        <f t="shared" si="138"/>
        <v>-1.4312869346422064E-2</v>
      </c>
      <c r="J254" s="9">
        <f t="shared" si="138"/>
        <v>-1.4554116821433039E-2</v>
      </c>
      <c r="K254" s="9">
        <f t="shared" si="138"/>
        <v>-1.4632999270195235E-2</v>
      </c>
      <c r="L254" s="9">
        <f t="shared" si="138"/>
        <v>-1.4599160961196289E-2</v>
      </c>
      <c r="M254" s="9">
        <f t="shared" si="138"/>
        <v>-1.4496195330434669E-2</v>
      </c>
      <c r="N254" s="9">
        <f t="shared" si="138"/>
        <v>-1.4368002317918238E-2</v>
      </c>
      <c r="O254" s="9">
        <f t="shared" si="138"/>
        <v>-1.4236613036798906E-2</v>
      </c>
      <c r="P254" s="9">
        <f t="shared" si="138"/>
        <v>-1.4117320556495283E-2</v>
      </c>
      <c r="Q254" s="9">
        <f t="shared" si="138"/>
        <v>-1.4025059911003668E-2</v>
      </c>
      <c r="R254" s="9">
        <f t="shared" si="138"/>
        <v>-1.3970546521507532E-2</v>
      </c>
      <c r="S254" s="9">
        <f t="shared" si="138"/>
        <v>-1.3979260218363265E-2</v>
      </c>
      <c r="T254" s="9">
        <f t="shared" si="138"/>
        <v>-1.4044450185461854E-2</v>
      </c>
      <c r="U254" s="9">
        <f t="shared" si="138"/>
        <v>-1.4161167309890366E-2</v>
      </c>
      <c r="V254" s="9">
        <f t="shared" si="138"/>
        <v>-1.432729603738192E-2</v>
      </c>
      <c r="W254" s="9">
        <f t="shared" si="138"/>
        <v>-1.4536445419149668E-2</v>
      </c>
      <c r="X254" s="9">
        <f t="shared" si="138"/>
        <v>-1.4790552667166668E-2</v>
      </c>
      <c r="Y254" s="9">
        <f t="shared" si="138"/>
        <v>-1.5079473798555121E-2</v>
      </c>
      <c r="Z254" s="9">
        <f t="shared" si="138"/>
        <v>-1.5397143312782968E-2</v>
      </c>
      <c r="AA254" s="9">
        <f t="shared" si="138"/>
        <v>-1.5738125219358357E-2</v>
      </c>
      <c r="AB254" s="9">
        <f t="shared" si="138"/>
        <v>-1.6088492569811708E-2</v>
      </c>
      <c r="AC254" s="9">
        <f t="shared" si="138"/>
        <v>-1.6454225651701182E-2</v>
      </c>
      <c r="AD254" s="9">
        <f t="shared" si="138"/>
        <v>-1.6826946108874807E-2</v>
      </c>
      <c r="AE254" s="9">
        <f t="shared" si="138"/>
        <v>-1.7202368607071583E-2</v>
      </c>
      <c r="AF254" s="9">
        <f t="shared" si="138"/>
        <v>-1.7576128703180149E-2</v>
      </c>
      <c r="AG254" s="9">
        <f t="shared" si="138"/>
        <v>-1.7945101209465908E-2</v>
      </c>
      <c r="AH254" s="9">
        <f t="shared" si="138"/>
        <v>-1.8304138340499487E-2</v>
      </c>
      <c r="AI254" s="9">
        <f t="shared" si="138"/>
        <v>-1.8653710471083773E-2</v>
      </c>
      <c r="AJ254" s="9">
        <f t="shared" si="138"/>
        <v>-1.8993744318021477E-2</v>
      </c>
      <c r="AK254" s="9">
        <f t="shared" si="138"/>
        <v>-1.932363320947672E-2</v>
      </c>
      <c r="AL254" s="9">
        <f t="shared" si="138"/>
        <v>-1.9643054569444263E-2</v>
      </c>
      <c r="AM254" s="9">
        <f t="shared" ref="AM254:BC254" si="139">(AM235/AM136)/(AM244/AM125)-1</f>
        <v>-1.9925441765213492E-2</v>
      </c>
      <c r="AN254" s="9">
        <f t="shared" si="139"/>
        <v>-2.0189031619073594E-2</v>
      </c>
      <c r="AO254" s="9">
        <f t="shared" si="139"/>
        <v>-2.0439997530625087E-2</v>
      </c>
      <c r="AP254" s="9">
        <f t="shared" si="139"/>
        <v>-2.0677502011850479E-2</v>
      </c>
      <c r="AQ254" s="9">
        <f t="shared" si="139"/>
        <v>-2.0901813501710054E-2</v>
      </c>
      <c r="AR254" s="9">
        <f t="shared" si="139"/>
        <v>-2.1111107216863489E-2</v>
      </c>
      <c r="AS254" s="9">
        <f t="shared" si="139"/>
        <v>-2.1309886018629265E-2</v>
      </c>
      <c r="AT254" s="9">
        <f t="shared" si="139"/>
        <v>-2.1501327046821395E-2</v>
      </c>
      <c r="AU254" s="9">
        <f t="shared" si="139"/>
        <v>-2.1687382037810177E-2</v>
      </c>
      <c r="AV254" s="9">
        <f t="shared" si="139"/>
        <v>-2.1869829595427159E-2</v>
      </c>
      <c r="AW254" s="9">
        <f t="shared" si="139"/>
        <v>-2.2039991270836112E-2</v>
      </c>
      <c r="AX254" s="9">
        <f t="shared" si="139"/>
        <v>-2.2206394620552294E-2</v>
      </c>
      <c r="AY254" s="9">
        <f t="shared" si="139"/>
        <v>-2.2372900428415443E-2</v>
      </c>
      <c r="AZ254" s="9">
        <f t="shared" si="139"/>
        <v>-2.2539678669315832E-2</v>
      </c>
      <c r="BA254" s="9">
        <f t="shared" si="139"/>
        <v>-2.2707038584055539E-2</v>
      </c>
      <c r="BB254" s="9">
        <f t="shared" si="139"/>
        <v>-2.2869745437344879E-2</v>
      </c>
      <c r="BC254" s="9">
        <f t="shared" si="139"/>
        <v>-2.3032583194389167E-2</v>
      </c>
      <c r="BD254" s="9">
        <f t="shared" ref="BD254:BF254" si="140">(BD235/BD136)/(BD244/BD125)-1</f>
        <v>-2.3197370108340443E-2</v>
      </c>
      <c r="BE254" s="9">
        <f t="shared" si="140"/>
        <v>-2.3363969462925516E-2</v>
      </c>
      <c r="BF254" s="9">
        <f t="shared" si="140"/>
        <v>-2.3532486395573371E-2</v>
      </c>
    </row>
    <row r="255" spans="1:58" x14ac:dyDescent="0.35">
      <c r="B255" t="s">
        <v>7</v>
      </c>
      <c r="C255" s="9">
        <f t="shared" ref="C255:AL255" si="141">(C236/C137)/(C245/C126)-1</f>
        <v>4.9521209694902701E-4</v>
      </c>
      <c r="D255" s="9">
        <f t="shared" si="141"/>
        <v>-2.5284680152569683E-3</v>
      </c>
      <c r="E255" s="9">
        <f t="shared" si="141"/>
        <v>-4.4001539567565251E-3</v>
      </c>
      <c r="F255" s="9">
        <f t="shared" si="141"/>
        <v>-5.9314067421913919E-3</v>
      </c>
      <c r="G255" s="9">
        <f t="shared" si="141"/>
        <v>-7.1857063078160088E-3</v>
      </c>
      <c r="H255" s="9">
        <f t="shared" si="141"/>
        <v>-8.1386455726658591E-3</v>
      </c>
      <c r="I255" s="9">
        <f t="shared" si="141"/>
        <v>-8.805469541867228E-3</v>
      </c>
      <c r="J255" s="9">
        <f t="shared" si="141"/>
        <v>-9.2407324064369689E-3</v>
      </c>
      <c r="K255" s="9">
        <f t="shared" si="141"/>
        <v>-9.5066087889209561E-3</v>
      </c>
      <c r="L255" s="9">
        <f t="shared" si="141"/>
        <v>-9.6518961813963911E-3</v>
      </c>
      <c r="M255" s="9">
        <f t="shared" si="141"/>
        <v>-9.7085457876935344E-3</v>
      </c>
      <c r="N255" s="9">
        <f t="shared" si="141"/>
        <v>-9.6992246312208596E-3</v>
      </c>
      <c r="O255" s="9">
        <f t="shared" si="141"/>
        <v>-9.6549690387283116E-3</v>
      </c>
      <c r="P255" s="9">
        <f t="shared" si="141"/>
        <v>-9.5858163804934948E-3</v>
      </c>
      <c r="Q255" s="9">
        <f t="shared" si="141"/>
        <v>-9.5018551630783321E-3</v>
      </c>
      <c r="R255" s="9">
        <f t="shared" si="141"/>
        <v>-9.4110761413341848E-3</v>
      </c>
      <c r="S255" s="9">
        <f t="shared" si="141"/>
        <v>-9.3155297187588193E-3</v>
      </c>
      <c r="T255" s="9">
        <f t="shared" si="141"/>
        <v>-9.2326700244821369E-3</v>
      </c>
      <c r="U255" s="9">
        <f t="shared" si="141"/>
        <v>-9.1608896712114252E-3</v>
      </c>
      <c r="V255" s="9">
        <f t="shared" si="141"/>
        <v>-9.1011344533175054E-3</v>
      </c>
      <c r="W255" s="9">
        <f t="shared" si="141"/>
        <v>-9.0547608017027548E-3</v>
      </c>
      <c r="X255" s="9">
        <f t="shared" si="141"/>
        <v>-9.0193404598815086E-3</v>
      </c>
      <c r="Y255" s="9">
        <f t="shared" si="141"/>
        <v>-8.9945087487917075E-3</v>
      </c>
      <c r="Z255" s="9">
        <f t="shared" si="141"/>
        <v>-8.9780606968056231E-3</v>
      </c>
      <c r="AA255" s="9">
        <f t="shared" si="141"/>
        <v>-8.968681742981377E-3</v>
      </c>
      <c r="AB255" s="9">
        <f t="shared" si="141"/>
        <v>-8.9682496590705041E-3</v>
      </c>
      <c r="AC255" s="9">
        <f t="shared" si="141"/>
        <v>-8.9731219885582636E-3</v>
      </c>
      <c r="AD255" s="9">
        <f t="shared" si="141"/>
        <v>-8.9792766605568675E-3</v>
      </c>
      <c r="AE255" s="9">
        <f t="shared" si="141"/>
        <v>-8.9842754573727923E-3</v>
      </c>
      <c r="AF255" s="9">
        <f t="shared" si="141"/>
        <v>-8.9861280619915052E-3</v>
      </c>
      <c r="AG255" s="9">
        <f t="shared" si="141"/>
        <v>-8.9837064126954136E-3</v>
      </c>
      <c r="AH255" s="9">
        <f t="shared" si="141"/>
        <v>-8.9777365899800232E-3</v>
      </c>
      <c r="AI255" s="9">
        <f t="shared" si="141"/>
        <v>-8.9656873768276801E-3</v>
      </c>
      <c r="AJ255" s="9">
        <f t="shared" si="141"/>
        <v>-8.9484343928567522E-3</v>
      </c>
      <c r="AK255" s="9">
        <f t="shared" si="141"/>
        <v>-8.9263058442698995E-3</v>
      </c>
      <c r="AL255" s="9">
        <f t="shared" si="141"/>
        <v>-8.8996093808273447E-3</v>
      </c>
      <c r="AM255" s="9">
        <f t="shared" ref="AM255:BC255" si="142">(AM236/AM137)/(AM245/AM126)-1</f>
        <v>-8.8800405600747423E-3</v>
      </c>
      <c r="AN255" s="9">
        <f t="shared" si="142"/>
        <v>-8.8454795724499657E-3</v>
      </c>
      <c r="AO255" s="9">
        <f t="shared" si="142"/>
        <v>-8.8012434983781862E-3</v>
      </c>
      <c r="AP255" s="9">
        <f t="shared" si="142"/>
        <v>-8.7467665839411346E-3</v>
      </c>
      <c r="AQ255" s="9">
        <f t="shared" si="142"/>
        <v>-8.6819609539057208E-3</v>
      </c>
      <c r="AR255" s="9">
        <f t="shared" si="142"/>
        <v>-8.6094793227858846E-3</v>
      </c>
      <c r="AS255" s="9">
        <f t="shared" si="142"/>
        <v>-8.527372502663777E-3</v>
      </c>
      <c r="AT255" s="9">
        <f t="shared" si="142"/>
        <v>-8.4377179514709688E-3</v>
      </c>
      <c r="AU255" s="9">
        <f t="shared" si="142"/>
        <v>-8.3418249226623331E-3</v>
      </c>
      <c r="AV255" s="9">
        <f t="shared" si="142"/>
        <v>-8.2412492373226121E-3</v>
      </c>
      <c r="AW255" s="9">
        <f t="shared" si="142"/>
        <v>-8.1467107137750405E-3</v>
      </c>
      <c r="AX255" s="9">
        <f t="shared" si="142"/>
        <v>-8.051541282399044E-3</v>
      </c>
      <c r="AY255" s="9">
        <f t="shared" si="142"/>
        <v>-7.9601178243768889E-3</v>
      </c>
      <c r="AZ255" s="9">
        <f t="shared" si="142"/>
        <v>-7.8732325064692077E-3</v>
      </c>
      <c r="BA255" s="9">
        <f t="shared" si="142"/>
        <v>-7.7910395728011395E-3</v>
      </c>
      <c r="BB255" s="9">
        <f t="shared" si="142"/>
        <v>-7.717956003595039E-3</v>
      </c>
      <c r="BC255" s="9">
        <f t="shared" si="142"/>
        <v>-7.6481744267996588E-3</v>
      </c>
      <c r="BD255" s="9">
        <f t="shared" ref="BD255:BF255" si="143">(BD236/BD137)/(BD245/BD126)-1</f>
        <v>-7.5830158257849112E-3</v>
      </c>
      <c r="BE255" s="9">
        <f t="shared" si="143"/>
        <v>-7.5223170654830085E-3</v>
      </c>
      <c r="BF255" s="9">
        <f t="shared" si="143"/>
        <v>-7.466033334491029E-3</v>
      </c>
    </row>
    <row r="256" spans="1:58" x14ac:dyDescent="0.35">
      <c r="B256" t="s">
        <v>30</v>
      </c>
      <c r="C256" s="9">
        <f t="shared" ref="C256:AL256" si="144">(C237/C138)/(C246/C127)-1</f>
        <v>-3.8337579047970083E-3</v>
      </c>
      <c r="D256" s="9">
        <f t="shared" si="144"/>
        <v>-8.325536252078436E-3</v>
      </c>
      <c r="E256" s="9">
        <f t="shared" si="144"/>
        <v>-1.0464570559729602E-2</v>
      </c>
      <c r="F256" s="9">
        <f t="shared" si="144"/>
        <v>-1.20430977439141E-2</v>
      </c>
      <c r="G256" s="9">
        <f t="shared" si="144"/>
        <v>-1.318196168003094E-2</v>
      </c>
      <c r="H256" s="9">
        <f t="shared" si="144"/>
        <v>-1.3886057573773147E-2</v>
      </c>
      <c r="I256" s="9">
        <f t="shared" si="144"/>
        <v>-1.4208667324079327E-2</v>
      </c>
      <c r="J256" s="9">
        <f t="shared" si="144"/>
        <v>-1.422146785341305E-2</v>
      </c>
      <c r="K256" s="9">
        <f t="shared" si="144"/>
        <v>-1.3995863157035049E-2</v>
      </c>
      <c r="L256" s="9">
        <f t="shared" si="144"/>
        <v>-1.359631744541967E-2</v>
      </c>
      <c r="M256" s="9">
        <f t="shared" si="144"/>
        <v>-1.3075937492562639E-2</v>
      </c>
      <c r="N256" s="9">
        <f t="shared" si="144"/>
        <v>-1.2495863580124222E-2</v>
      </c>
      <c r="O256" s="9">
        <f t="shared" si="144"/>
        <v>-1.1893146834564883E-2</v>
      </c>
      <c r="P256" s="9">
        <f t="shared" si="144"/>
        <v>-1.1290466849741443E-2</v>
      </c>
      <c r="Q256" s="9">
        <f t="shared" si="144"/>
        <v>-1.0711128002117154E-2</v>
      </c>
      <c r="R256" s="9">
        <f t="shared" si="144"/>
        <v>-1.0172963290074111E-2</v>
      </c>
      <c r="S256" s="9">
        <f t="shared" si="144"/>
        <v>-9.7000575288929136E-3</v>
      </c>
      <c r="T256" s="9">
        <f t="shared" si="144"/>
        <v>-9.3011992585120273E-3</v>
      </c>
      <c r="U256" s="9">
        <f t="shared" si="144"/>
        <v>-8.9722903052478209E-3</v>
      </c>
      <c r="V256" s="9">
        <f t="shared" si="144"/>
        <v>-8.7136574633314146E-3</v>
      </c>
      <c r="W256" s="9">
        <f t="shared" si="144"/>
        <v>-8.5237232762238602E-3</v>
      </c>
      <c r="X256" s="9">
        <f t="shared" si="144"/>
        <v>-8.3975468508460382E-3</v>
      </c>
      <c r="Y256" s="9">
        <f t="shared" si="144"/>
        <v>-8.3303687878566457E-3</v>
      </c>
      <c r="Z256" s="9">
        <f t="shared" si="144"/>
        <v>-8.3155490302477819E-3</v>
      </c>
      <c r="AA256" s="9">
        <f t="shared" si="144"/>
        <v>-8.3470281009072611E-3</v>
      </c>
      <c r="AB256" s="9">
        <f t="shared" si="144"/>
        <v>-8.4189783179180466E-3</v>
      </c>
      <c r="AC256" s="9">
        <f t="shared" si="144"/>
        <v>-8.5208590435363885E-3</v>
      </c>
      <c r="AD256" s="9">
        <f t="shared" si="144"/>
        <v>-8.6482706485375704E-3</v>
      </c>
      <c r="AE256" s="9">
        <f t="shared" si="144"/>
        <v>-8.796521671252111E-3</v>
      </c>
      <c r="AF256" s="9">
        <f t="shared" si="144"/>
        <v>-8.9602152314547379E-3</v>
      </c>
      <c r="AG256" s="9">
        <f t="shared" si="144"/>
        <v>-9.1353298731293719E-3</v>
      </c>
      <c r="AH256" s="9">
        <f t="shared" si="144"/>
        <v>-9.3173979181848665E-3</v>
      </c>
      <c r="AI256" s="9">
        <f t="shared" si="144"/>
        <v>-9.5042998444748727E-3</v>
      </c>
      <c r="AJ256" s="9">
        <f t="shared" si="144"/>
        <v>-9.6958306999939126E-3</v>
      </c>
      <c r="AK256" s="9">
        <f t="shared" si="144"/>
        <v>-9.8908030239110989E-3</v>
      </c>
      <c r="AL256" s="9">
        <f t="shared" si="144"/>
        <v>-1.0088321307649029E-2</v>
      </c>
      <c r="AM256" s="9">
        <f t="shared" ref="AM256:BC256" si="145">(AM237/AM138)/(AM246/AM127)-1</f>
        <v>-1.0275414855842713E-2</v>
      </c>
      <c r="AN256" s="9">
        <f t="shared" si="145"/>
        <v>-1.0450274977905849E-2</v>
      </c>
      <c r="AO256" s="9">
        <f t="shared" si="145"/>
        <v>-1.062271719236485E-2</v>
      </c>
      <c r="AP256" s="9">
        <f t="shared" si="145"/>
        <v>-1.0791352792618003E-2</v>
      </c>
      <c r="AQ256" s="9">
        <f t="shared" si="145"/>
        <v>-1.0955953089397119E-2</v>
      </c>
      <c r="AR256" s="9">
        <f t="shared" si="145"/>
        <v>-1.1116445340496162E-2</v>
      </c>
      <c r="AS256" s="9">
        <f t="shared" si="145"/>
        <v>-1.1275071237138667E-2</v>
      </c>
      <c r="AT256" s="9">
        <f t="shared" si="145"/>
        <v>-1.1435674779103566E-2</v>
      </c>
      <c r="AU256" s="9">
        <f t="shared" si="145"/>
        <v>-1.1600208793547062E-2</v>
      </c>
      <c r="AV256" s="9">
        <f t="shared" si="145"/>
        <v>-1.1770324848610625E-2</v>
      </c>
      <c r="AW256" s="9">
        <f t="shared" si="145"/>
        <v>-1.1942863131710557E-2</v>
      </c>
      <c r="AX256" s="9">
        <f t="shared" si="145"/>
        <v>-1.2118375435285156E-2</v>
      </c>
      <c r="AY256" s="9">
        <f t="shared" si="145"/>
        <v>-1.2301614706051955E-2</v>
      </c>
      <c r="AZ256" s="9">
        <f t="shared" si="145"/>
        <v>-1.2492137729616215E-2</v>
      </c>
      <c r="BA256" s="9">
        <f t="shared" si="145"/>
        <v>-1.2689663249436545E-2</v>
      </c>
      <c r="BB256" s="9">
        <f t="shared" si="145"/>
        <v>-1.2892075717553797E-2</v>
      </c>
      <c r="BC256" s="9">
        <f t="shared" si="145"/>
        <v>-1.3099130709271045E-2</v>
      </c>
      <c r="BD256" s="9">
        <f t="shared" ref="BD256:BF256" si="146">(BD237/BD138)/(BD246/BD127)-1</f>
        <v>-1.3312905883608561E-2</v>
      </c>
      <c r="BE256" s="9">
        <f t="shared" si="146"/>
        <v>-1.3532400469598249E-2</v>
      </c>
      <c r="BF256" s="9">
        <f t="shared" si="146"/>
        <v>-1.3756882048864938E-2</v>
      </c>
    </row>
    <row r="257" spans="1:58" x14ac:dyDescent="0.35">
      <c r="B257" t="s">
        <v>28</v>
      </c>
      <c r="C257" s="9">
        <f t="shared" ref="C257:AL257" si="147">(C238/C139)/(C247/C128)-1</f>
        <v>6.0492490775982954E-3</v>
      </c>
      <c r="D257" s="9">
        <f t="shared" si="147"/>
        <v>3.8678232704059123E-3</v>
      </c>
      <c r="E257" s="9">
        <f t="shared" si="147"/>
        <v>3.2654414887474115E-3</v>
      </c>
      <c r="F257" s="9">
        <f t="shared" si="147"/>
        <v>2.9589211871188237E-3</v>
      </c>
      <c r="G257" s="9">
        <f t="shared" si="147"/>
        <v>2.759818181145679E-3</v>
      </c>
      <c r="H257" s="9">
        <f t="shared" si="147"/>
        <v>2.640230888318662E-3</v>
      </c>
      <c r="I257" s="9">
        <f t="shared" si="147"/>
        <v>2.5959308426908301E-3</v>
      </c>
      <c r="J257" s="9">
        <f t="shared" si="147"/>
        <v>2.6085227811720735E-3</v>
      </c>
      <c r="K257" s="9">
        <f t="shared" si="147"/>
        <v>2.6687277526173947E-3</v>
      </c>
      <c r="L257" s="9">
        <f t="shared" si="147"/>
        <v>2.7674571563904848E-3</v>
      </c>
      <c r="M257" s="9">
        <f t="shared" si="147"/>
        <v>2.8982364239609204E-3</v>
      </c>
      <c r="N257" s="9">
        <f t="shared" si="147"/>
        <v>3.0746914198798159E-3</v>
      </c>
      <c r="O257" s="9">
        <f t="shared" si="147"/>
        <v>3.2597267570553257E-3</v>
      </c>
      <c r="P257" s="9">
        <f t="shared" si="147"/>
        <v>3.4546842908429465E-3</v>
      </c>
      <c r="Q257" s="9">
        <f t="shared" si="147"/>
        <v>3.6569718005818874E-3</v>
      </c>
      <c r="R257" s="9">
        <f t="shared" si="147"/>
        <v>3.8638726746613727E-3</v>
      </c>
      <c r="S257" s="9">
        <f t="shared" si="147"/>
        <v>4.0957345686507551E-3</v>
      </c>
      <c r="T257" s="9">
        <f t="shared" si="147"/>
        <v>4.3183780793289994E-3</v>
      </c>
      <c r="U257" s="9">
        <f t="shared" si="147"/>
        <v>4.5369149270195752E-3</v>
      </c>
      <c r="V257" s="9">
        <f t="shared" si="147"/>
        <v>4.7514416175842289E-3</v>
      </c>
      <c r="W257" s="9">
        <f t="shared" si="147"/>
        <v>4.9601960972547321E-3</v>
      </c>
      <c r="X257" s="9">
        <f t="shared" si="147"/>
        <v>5.1659437587854296E-3</v>
      </c>
      <c r="Y257" s="9">
        <f t="shared" si="147"/>
        <v>5.3662470401225626E-3</v>
      </c>
      <c r="Z257" s="9">
        <f t="shared" si="147"/>
        <v>5.5617634201354793E-3</v>
      </c>
      <c r="AA257" s="9">
        <f t="shared" si="147"/>
        <v>5.752564359142287E-3</v>
      </c>
      <c r="AB257" s="9">
        <f t="shared" si="147"/>
        <v>5.9346283925536536E-3</v>
      </c>
      <c r="AC257" s="9">
        <f t="shared" si="147"/>
        <v>6.1090670232313293E-3</v>
      </c>
      <c r="AD257" s="9">
        <f t="shared" si="147"/>
        <v>6.2824184449636888E-3</v>
      </c>
      <c r="AE257" s="9">
        <f t="shared" si="147"/>
        <v>6.4538693079303489E-3</v>
      </c>
      <c r="AF257" s="9">
        <f t="shared" si="147"/>
        <v>6.623478907980429E-3</v>
      </c>
      <c r="AG257" s="9">
        <f t="shared" si="147"/>
        <v>6.7913997356989775E-3</v>
      </c>
      <c r="AH257" s="9">
        <f t="shared" si="147"/>
        <v>6.9534790257637091E-3</v>
      </c>
      <c r="AI257" s="9">
        <f t="shared" si="147"/>
        <v>7.1157725153268014E-3</v>
      </c>
      <c r="AJ257" s="9">
        <f t="shared" si="147"/>
        <v>7.2772401302725331E-3</v>
      </c>
      <c r="AK257" s="9">
        <f t="shared" si="147"/>
        <v>7.4378247823849719E-3</v>
      </c>
      <c r="AL257" s="9">
        <f t="shared" si="147"/>
        <v>7.5976050509685145E-3</v>
      </c>
      <c r="AM257" s="9">
        <f t="shared" ref="AM257:BC257" si="148">(AM238/AM139)/(AM247/AM128)-1</f>
        <v>7.7200161474997309E-3</v>
      </c>
      <c r="AN257" s="9">
        <f t="shared" si="148"/>
        <v>7.8564188801104606E-3</v>
      </c>
      <c r="AO257" s="9">
        <f t="shared" si="148"/>
        <v>7.9965141761597636E-3</v>
      </c>
      <c r="AP257" s="9">
        <f t="shared" si="148"/>
        <v>8.1388405326341395E-3</v>
      </c>
      <c r="AQ257" s="9">
        <f t="shared" si="148"/>
        <v>8.2830055402662861E-3</v>
      </c>
      <c r="AR257" s="9">
        <f t="shared" si="148"/>
        <v>8.4231768635725235E-3</v>
      </c>
      <c r="AS257" s="9">
        <f t="shared" si="148"/>
        <v>8.5662343653258866E-3</v>
      </c>
      <c r="AT257" s="9">
        <f t="shared" si="148"/>
        <v>8.7102679102466496E-3</v>
      </c>
      <c r="AU257" s="9">
        <f t="shared" si="148"/>
        <v>8.854603605956024E-3</v>
      </c>
      <c r="AV257" s="9">
        <f t="shared" si="148"/>
        <v>8.9987688319606018E-3</v>
      </c>
      <c r="AW257" s="9">
        <f t="shared" si="148"/>
        <v>9.1250459897458391E-3</v>
      </c>
      <c r="AX257" s="9">
        <f t="shared" si="148"/>
        <v>9.25629424201313E-3</v>
      </c>
      <c r="AY257" s="9">
        <f t="shared" si="148"/>
        <v>9.3877899136600718E-3</v>
      </c>
      <c r="AZ257" s="9">
        <f t="shared" si="148"/>
        <v>9.5186540099045924E-3</v>
      </c>
      <c r="BA257" s="9">
        <f t="shared" si="148"/>
        <v>9.6485478766887844E-3</v>
      </c>
      <c r="BB257" s="9">
        <f t="shared" si="148"/>
        <v>9.7668952936413866E-3</v>
      </c>
      <c r="BC257" s="9">
        <f t="shared" si="148"/>
        <v>9.8871567666023452E-3</v>
      </c>
      <c r="BD257" s="9">
        <f t="shared" ref="BD257:BF257" si="149">(BD238/BD139)/(BD247/BD128)-1</f>
        <v>1.0006466528307945E-2</v>
      </c>
      <c r="BE257" s="9">
        <f t="shared" si="149"/>
        <v>1.01242618844406E-2</v>
      </c>
      <c r="BF257" s="9">
        <f t="shared" si="149"/>
        <v>1.0240285973079688E-2</v>
      </c>
    </row>
    <row r="258" spans="1:58" x14ac:dyDescent="0.35">
      <c r="B258" t="s">
        <v>10</v>
      </c>
      <c r="C258" s="9">
        <f t="shared" ref="C258:AL258" si="150">(C239/C140)/(C248/C129)-1</f>
        <v>1.1516443693992962E-4</v>
      </c>
      <c r="D258" s="9">
        <f t="shared" si="150"/>
        <v>-3.0729130561396589E-3</v>
      </c>
      <c r="E258" s="9">
        <f t="shared" si="150"/>
        <v>-5.8658800032849179E-3</v>
      </c>
      <c r="F258" s="9">
        <f t="shared" si="150"/>
        <v>-8.2209131405498459E-3</v>
      </c>
      <c r="G258" s="9">
        <f t="shared" si="150"/>
        <v>-1.00158284790276E-2</v>
      </c>
      <c r="H258" s="9">
        <f t="shared" si="150"/>
        <v>-1.125109351780551E-2</v>
      </c>
      <c r="I258" s="9">
        <f t="shared" si="150"/>
        <v>-1.2005913498058018E-2</v>
      </c>
      <c r="J258" s="9">
        <f t="shared" si="150"/>
        <v>-1.2384523094555844E-2</v>
      </c>
      <c r="K258" s="9">
        <f t="shared" si="150"/>
        <v>-1.2478983999253734E-2</v>
      </c>
      <c r="L258" s="9">
        <f t="shared" si="150"/>
        <v>-1.2365745474412493E-2</v>
      </c>
      <c r="M258" s="9">
        <f t="shared" si="150"/>
        <v>-1.2104315237956742E-2</v>
      </c>
      <c r="N258" s="9">
        <f t="shared" si="150"/>
        <v>-1.1742177271143572E-2</v>
      </c>
      <c r="O258" s="9">
        <f t="shared" si="150"/>
        <v>-1.133483975523597E-2</v>
      </c>
      <c r="P258" s="9">
        <f t="shared" si="150"/>
        <v>-1.0913051566043275E-2</v>
      </c>
      <c r="Q258" s="9">
        <f t="shared" si="150"/>
        <v>-1.0500705918630948E-2</v>
      </c>
      <c r="R258" s="9">
        <f t="shared" si="150"/>
        <v>-1.0114875862023531E-2</v>
      </c>
      <c r="S258" s="9">
        <f t="shared" si="150"/>
        <v>-9.7637177438474332E-3</v>
      </c>
      <c r="T258" s="9">
        <f t="shared" si="150"/>
        <v>-9.4660892801081697E-3</v>
      </c>
      <c r="U258" s="9">
        <f t="shared" si="150"/>
        <v>-9.2246667330522225E-3</v>
      </c>
      <c r="V258" s="9">
        <f t="shared" si="150"/>
        <v>-9.0395211972541523E-3</v>
      </c>
      <c r="W258" s="9">
        <f t="shared" si="150"/>
        <v>-8.9090207694668688E-3</v>
      </c>
      <c r="X258" s="9">
        <f t="shared" si="150"/>
        <v>-8.8283271584954637E-3</v>
      </c>
      <c r="Y258" s="9">
        <f t="shared" si="150"/>
        <v>-8.7894221408085782E-3</v>
      </c>
      <c r="Z258" s="9">
        <f t="shared" si="150"/>
        <v>-8.786386030779525E-3</v>
      </c>
      <c r="AA258" s="9">
        <f t="shared" si="150"/>
        <v>-8.8134158822318343E-3</v>
      </c>
      <c r="AB258" s="9">
        <f t="shared" si="150"/>
        <v>-8.8679891174275882E-3</v>
      </c>
      <c r="AC258" s="9">
        <f t="shared" si="150"/>
        <v>-8.947274715718101E-3</v>
      </c>
      <c r="AD258" s="9">
        <f t="shared" si="150"/>
        <v>-9.0369020977648651E-3</v>
      </c>
      <c r="AE258" s="9">
        <f t="shared" si="150"/>
        <v>-9.130463782438536E-3</v>
      </c>
      <c r="AF258" s="9">
        <f t="shared" si="150"/>
        <v>-9.2226202767691223E-3</v>
      </c>
      <c r="AG258" s="9">
        <f t="shared" si="150"/>
        <v>-9.3097973714945104E-3</v>
      </c>
      <c r="AH258" s="9">
        <f t="shared" si="150"/>
        <v>-9.391016810673003E-3</v>
      </c>
      <c r="AI258" s="9">
        <f t="shared" si="150"/>
        <v>-9.4625579270508631E-3</v>
      </c>
      <c r="AJ258" s="9">
        <f t="shared" si="150"/>
        <v>-9.5231984349258836E-3</v>
      </c>
      <c r="AK258" s="9">
        <f t="shared" si="150"/>
        <v>-9.5720450530125678E-3</v>
      </c>
      <c r="AL258" s="9">
        <f t="shared" si="150"/>
        <v>-9.6086831801676098E-3</v>
      </c>
      <c r="AM258" s="9">
        <f t="shared" ref="AM258:BC258" si="151">(AM239/AM140)/(AM248/AM129)-1</f>
        <v>-9.6466226812248479E-3</v>
      </c>
      <c r="AN258" s="9">
        <f t="shared" si="151"/>
        <v>-9.6675054101459379E-3</v>
      </c>
      <c r="AO258" s="9">
        <f t="shared" si="151"/>
        <v>-9.6683546372059448E-3</v>
      </c>
      <c r="AP258" s="9">
        <f t="shared" si="151"/>
        <v>-9.6469929936841003E-3</v>
      </c>
      <c r="AQ258" s="9">
        <f t="shared" si="151"/>
        <v>-9.6042535480279634E-3</v>
      </c>
      <c r="AR258" s="9">
        <f t="shared" si="151"/>
        <v>-9.5453598534366302E-3</v>
      </c>
      <c r="AS258" s="9">
        <f t="shared" si="151"/>
        <v>-9.471321745203487E-3</v>
      </c>
      <c r="AT258" s="9">
        <f t="shared" si="151"/>
        <v>-9.3854739520257136E-3</v>
      </c>
      <c r="AU258" s="9">
        <f t="shared" si="151"/>
        <v>-9.2908683243285717E-3</v>
      </c>
      <c r="AV258" s="9">
        <f t="shared" si="151"/>
        <v>-9.1904821723132191E-3</v>
      </c>
      <c r="AW258" s="9">
        <f t="shared" si="151"/>
        <v>-9.0951790873999849E-3</v>
      </c>
      <c r="AX258" s="9">
        <f t="shared" si="151"/>
        <v>-8.9984078466807116E-3</v>
      </c>
      <c r="AY258" s="9">
        <f t="shared" si="151"/>
        <v>-8.9006136543274827E-3</v>
      </c>
      <c r="AZ258" s="9">
        <f t="shared" si="151"/>
        <v>-8.8022897057092875E-3</v>
      </c>
      <c r="BA258" s="9">
        <f t="shared" si="151"/>
        <v>-8.7046935242456325E-3</v>
      </c>
      <c r="BB258" s="9">
        <f t="shared" si="151"/>
        <v>-8.6147661429527567E-3</v>
      </c>
      <c r="BC258" s="9">
        <f t="shared" si="151"/>
        <v>-8.5285854427273877E-3</v>
      </c>
      <c r="BD258" s="9">
        <f t="shared" ref="BD258:BF258" si="152">(BD239/BD140)/(BD248/BD129)-1</f>
        <v>-8.4459122009864496E-3</v>
      </c>
      <c r="BE258" s="9">
        <f t="shared" si="152"/>
        <v>-8.3665424615053663E-3</v>
      </c>
      <c r="BF258" s="9">
        <f t="shared" si="152"/>
        <v>-8.29105431714805E-3</v>
      </c>
    </row>
    <row r="259" spans="1:58" x14ac:dyDescent="0.35">
      <c r="B259" t="s">
        <v>25</v>
      </c>
      <c r="C259" s="9">
        <f t="shared" ref="C259:AL259" si="153">(C240/C59)/(C249/C58)-1</f>
        <v>5.6989771048814308E-3</v>
      </c>
      <c r="D259" s="9">
        <f t="shared" si="153"/>
        <v>1.2177025733646651E-2</v>
      </c>
      <c r="E259" s="9">
        <f t="shared" si="153"/>
        <v>1.8098579216347055E-2</v>
      </c>
      <c r="F259" s="9">
        <f t="shared" si="153"/>
        <v>2.3172098588182033E-2</v>
      </c>
      <c r="G259" s="9">
        <f t="shared" si="153"/>
        <v>2.7535682295631414E-2</v>
      </c>
      <c r="H259" s="9">
        <f t="shared" si="153"/>
        <v>3.0805966781427774E-2</v>
      </c>
      <c r="I259" s="9">
        <f t="shared" si="153"/>
        <v>3.2770712654013323E-2</v>
      </c>
      <c r="J259" s="9">
        <f t="shared" si="153"/>
        <v>3.3719930888813421E-2</v>
      </c>
      <c r="K259" s="9">
        <f t="shared" si="153"/>
        <v>3.4062770079190896E-2</v>
      </c>
      <c r="L259" s="9">
        <f t="shared" si="153"/>
        <v>3.4102581267420939E-2</v>
      </c>
      <c r="M259" s="9">
        <f t="shared" si="153"/>
        <v>3.4001145987948123E-2</v>
      </c>
      <c r="N259" s="9">
        <f t="shared" si="153"/>
        <v>3.3878657251963817E-2</v>
      </c>
      <c r="O259" s="9">
        <f t="shared" si="153"/>
        <v>3.3762786954151913E-2</v>
      </c>
      <c r="P259" s="9">
        <f t="shared" si="153"/>
        <v>3.3656071046149316E-2</v>
      </c>
      <c r="Q259" s="9">
        <f t="shared" si="153"/>
        <v>3.354407328075748E-2</v>
      </c>
      <c r="R259" s="9">
        <f t="shared" si="153"/>
        <v>3.3416512369478513E-2</v>
      </c>
      <c r="S259" s="9">
        <f t="shared" si="153"/>
        <v>3.3287948573214265E-2</v>
      </c>
      <c r="T259" s="9">
        <f t="shared" si="153"/>
        <v>3.3157722548268653E-2</v>
      </c>
      <c r="U259" s="9">
        <f t="shared" si="153"/>
        <v>3.3022640588611596E-2</v>
      </c>
      <c r="V259" s="9">
        <f t="shared" si="153"/>
        <v>3.2880691101266235E-2</v>
      </c>
      <c r="W259" s="9">
        <f t="shared" si="153"/>
        <v>3.2735197287169226E-2</v>
      </c>
      <c r="X259" s="9">
        <f t="shared" si="153"/>
        <v>3.2575687834243361E-2</v>
      </c>
      <c r="Y259" s="9">
        <f t="shared" si="153"/>
        <v>3.2405450068762054E-2</v>
      </c>
      <c r="Z259" s="9">
        <f t="shared" si="153"/>
        <v>3.2226487716507046E-2</v>
      </c>
      <c r="AA259" s="9">
        <f t="shared" si="153"/>
        <v>3.2040798405271298E-2</v>
      </c>
      <c r="AB259" s="9">
        <f t="shared" si="153"/>
        <v>3.1858808565633279E-2</v>
      </c>
      <c r="AC259" s="9">
        <f t="shared" si="153"/>
        <v>3.1652795190987737E-2</v>
      </c>
      <c r="AD259" s="9">
        <f t="shared" si="153"/>
        <v>3.1422869666379638E-2</v>
      </c>
      <c r="AE259" s="9">
        <f t="shared" si="153"/>
        <v>3.117012318985446E-2</v>
      </c>
      <c r="AF259" s="9">
        <f t="shared" si="153"/>
        <v>3.0899451951687418E-2</v>
      </c>
      <c r="AG259" s="9">
        <f t="shared" si="153"/>
        <v>3.0610356854435583E-2</v>
      </c>
      <c r="AH259" s="9">
        <f t="shared" si="153"/>
        <v>3.0301604236356416E-2</v>
      </c>
      <c r="AI259" s="9">
        <f t="shared" si="153"/>
        <v>2.9978413890941136E-2</v>
      </c>
      <c r="AJ259" s="9">
        <f t="shared" si="153"/>
        <v>2.9648502589352255E-2</v>
      </c>
      <c r="AK259" s="9">
        <f t="shared" si="153"/>
        <v>2.9319777432249339E-2</v>
      </c>
      <c r="AL259" s="9">
        <f t="shared" si="153"/>
        <v>2.8998895822357484E-2</v>
      </c>
      <c r="AM259" s="9">
        <f t="shared" ref="AM259:BC259" si="154">(AM240/AM59)/(AM249/AM58)-1</f>
        <v>2.8657797622015257E-2</v>
      </c>
      <c r="AN259" s="9">
        <f t="shared" si="154"/>
        <v>2.8295081411480849E-2</v>
      </c>
      <c r="AO259" s="9">
        <f t="shared" si="154"/>
        <v>2.7916164831568224E-2</v>
      </c>
      <c r="AP259" s="9">
        <f t="shared" si="154"/>
        <v>2.7524450946898371E-2</v>
      </c>
      <c r="AQ259" s="9">
        <f t="shared" si="154"/>
        <v>2.7119872430460656E-2</v>
      </c>
      <c r="AR259" s="9">
        <f t="shared" si="154"/>
        <v>2.6694829426951117E-2</v>
      </c>
      <c r="AS259" s="9">
        <f t="shared" si="154"/>
        <v>2.6245453012876618E-2</v>
      </c>
      <c r="AT259" s="9">
        <f t="shared" si="154"/>
        <v>2.5768733235822072E-2</v>
      </c>
      <c r="AU259" s="9">
        <f t="shared" si="154"/>
        <v>2.5262776122706221E-2</v>
      </c>
      <c r="AV259" s="9">
        <f t="shared" si="154"/>
        <v>2.4731633476937409E-2</v>
      </c>
      <c r="AW259" s="9">
        <f t="shared" si="154"/>
        <v>2.4211418441074661E-2</v>
      </c>
      <c r="AX259" s="9">
        <f t="shared" si="154"/>
        <v>2.3797673000819142E-2</v>
      </c>
      <c r="AY259" s="9">
        <f t="shared" si="154"/>
        <v>2.3584025975241563E-2</v>
      </c>
      <c r="AZ259" s="9">
        <f t="shared" si="154"/>
        <v>2.3492413832223003E-2</v>
      </c>
      <c r="BA259" s="9">
        <f t="shared" si="154"/>
        <v>2.3445617130369856E-2</v>
      </c>
      <c r="BB259" s="9">
        <f t="shared" si="154"/>
        <v>2.3406324805071543E-2</v>
      </c>
      <c r="BC259" s="9">
        <f t="shared" si="154"/>
        <v>2.3374986200901615E-2</v>
      </c>
      <c r="BD259" s="9">
        <f t="shared" ref="BD259:BF259" si="155">(BD240/BD59)/(BD249/BD58)-1</f>
        <v>2.3361490515015459E-2</v>
      </c>
      <c r="BE259" s="9">
        <f t="shared" si="155"/>
        <v>2.3373150588098079E-2</v>
      </c>
      <c r="BF259" s="9">
        <f t="shared" si="155"/>
        <v>2.3412102655902878E-2</v>
      </c>
    </row>
    <row r="260" spans="1:58" x14ac:dyDescent="0.35">
      <c r="B260" t="s">
        <v>47</v>
      </c>
      <c r="C260" s="9">
        <f t="shared" ref="C260:AL260" si="156">(C241/C59)/(C250/C58)-1</f>
        <v>5.6989771048814308E-3</v>
      </c>
      <c r="D260" s="9">
        <f t="shared" si="156"/>
        <v>1.2501857789987358E-2</v>
      </c>
      <c r="E260" s="9">
        <f t="shared" si="156"/>
        <v>1.9050617030705208E-2</v>
      </c>
      <c r="F260" s="9">
        <f t="shared" si="156"/>
        <v>2.4965959756431122E-2</v>
      </c>
      <c r="G260" s="9">
        <f t="shared" si="156"/>
        <v>3.0377697264584391E-2</v>
      </c>
      <c r="H260" s="9">
        <f t="shared" si="156"/>
        <v>3.4597057650378682E-2</v>
      </c>
      <c r="I260" s="9">
        <f t="shared" si="156"/>
        <v>3.7185567013247267E-2</v>
      </c>
      <c r="J260" s="9">
        <f t="shared" si="156"/>
        <v>3.8482846761784817E-2</v>
      </c>
      <c r="K260" s="9">
        <f t="shared" si="156"/>
        <v>3.9028772394408495E-2</v>
      </c>
      <c r="L260" s="9">
        <f t="shared" si="156"/>
        <v>3.9222919481149976E-2</v>
      </c>
      <c r="M260" s="9">
        <f t="shared" si="156"/>
        <v>3.9269270903928621E-2</v>
      </c>
      <c r="N260" s="9">
        <f t="shared" si="156"/>
        <v>3.9306597653197439E-2</v>
      </c>
      <c r="O260" s="9">
        <f t="shared" si="156"/>
        <v>3.9359414391614722E-2</v>
      </c>
      <c r="P260" s="9">
        <f t="shared" si="156"/>
        <v>3.942181389346211E-2</v>
      </c>
      <c r="Q260" s="9">
        <f t="shared" si="156"/>
        <v>3.9465898929395227E-2</v>
      </c>
      <c r="R260" s="9">
        <f t="shared" si="156"/>
        <v>3.9472279230332363E-2</v>
      </c>
      <c r="S260" s="9">
        <f t="shared" si="156"/>
        <v>3.9452981195236658E-2</v>
      </c>
      <c r="T260" s="9">
        <f t="shared" si="156"/>
        <v>3.940527718197151E-2</v>
      </c>
      <c r="U260" s="9">
        <f t="shared" si="156"/>
        <v>3.9324948410308203E-2</v>
      </c>
      <c r="V260" s="9">
        <f t="shared" si="156"/>
        <v>3.9209905190270788E-2</v>
      </c>
      <c r="W260" s="9">
        <f t="shared" si="156"/>
        <v>3.9065076603311155E-2</v>
      </c>
      <c r="X260" s="9">
        <f t="shared" si="156"/>
        <v>3.8877647088407352E-2</v>
      </c>
      <c r="Y260" s="9">
        <f t="shared" si="156"/>
        <v>3.8652230587727709E-2</v>
      </c>
      <c r="Z260" s="9">
        <f t="shared" si="156"/>
        <v>3.839225091233911E-2</v>
      </c>
      <c r="AA260" s="9">
        <f t="shared" si="156"/>
        <v>3.8101788156250871E-2</v>
      </c>
      <c r="AB260" s="9">
        <f t="shared" si="156"/>
        <v>3.7795836780899261E-2</v>
      </c>
      <c r="AC260" s="9">
        <f t="shared" si="156"/>
        <v>3.7442070569851937E-2</v>
      </c>
      <c r="AD260" s="9">
        <f t="shared" si="156"/>
        <v>3.7041123279540011E-2</v>
      </c>
      <c r="AE260" s="9">
        <f t="shared" si="156"/>
        <v>3.6594545871083906E-2</v>
      </c>
      <c r="AF260" s="9">
        <f t="shared" si="156"/>
        <v>3.6110559318776492E-2</v>
      </c>
      <c r="AG260" s="9">
        <f t="shared" si="156"/>
        <v>3.5589167836530322E-2</v>
      </c>
      <c r="AH260" s="9">
        <f t="shared" si="156"/>
        <v>3.5031369182044747E-2</v>
      </c>
      <c r="AI260" s="9">
        <f t="shared" si="156"/>
        <v>3.4446880463228302E-2</v>
      </c>
      <c r="AJ260" s="9">
        <f t="shared" si="156"/>
        <v>3.3849143106459811E-2</v>
      </c>
      <c r="AK260" s="9">
        <f t="shared" si="156"/>
        <v>3.32519945329115E-2</v>
      </c>
      <c r="AL260" s="9">
        <f t="shared" si="156"/>
        <v>3.2667375122694686E-2</v>
      </c>
      <c r="AM260" s="9">
        <f t="shared" ref="AM260:BC260" si="157">(AM241/AM59)/(AM250/AM58)-1</f>
        <v>3.2065601835619795E-2</v>
      </c>
      <c r="AN260" s="9">
        <f t="shared" si="157"/>
        <v>3.1445865565298714E-2</v>
      </c>
      <c r="AO260" s="9">
        <f t="shared" si="157"/>
        <v>3.0813573804624461E-2</v>
      </c>
      <c r="AP260" s="9">
        <f t="shared" si="157"/>
        <v>3.0170532684729245E-2</v>
      </c>
      <c r="AQ260" s="9">
        <f t="shared" si="157"/>
        <v>2.9513739461320965E-2</v>
      </c>
      <c r="AR260" s="9">
        <f t="shared" si="157"/>
        <v>2.883114653290586E-2</v>
      </c>
      <c r="AS260" s="9">
        <f t="shared" si="157"/>
        <v>2.8114689811977289E-2</v>
      </c>
      <c r="AT260" s="9">
        <f t="shared" si="157"/>
        <v>2.7357504731015725E-2</v>
      </c>
      <c r="AU260" s="9">
        <f t="shared" si="157"/>
        <v>2.6554979468284445E-2</v>
      </c>
      <c r="AV260" s="9">
        <f t="shared" si="157"/>
        <v>2.5713122315350834E-2</v>
      </c>
      <c r="AW260" s="9">
        <f t="shared" si="157"/>
        <v>2.4902609346076021E-2</v>
      </c>
      <c r="AX260" s="9">
        <f t="shared" si="157"/>
        <v>2.428708756972231E-2</v>
      </c>
      <c r="AY260" s="9">
        <f t="shared" si="157"/>
        <v>2.4027202560973127E-2</v>
      </c>
      <c r="AZ260" s="9">
        <f t="shared" si="157"/>
        <v>2.3989923642506294E-2</v>
      </c>
      <c r="BA260" s="9">
        <f t="shared" si="157"/>
        <v>2.4043296380811929E-2</v>
      </c>
      <c r="BB260" s="9">
        <f t="shared" si="157"/>
        <v>2.4129716139665192E-2</v>
      </c>
      <c r="BC260" s="9">
        <f t="shared" si="157"/>
        <v>2.4250992264660765E-2</v>
      </c>
      <c r="BD260" s="9">
        <f t="shared" ref="BD260:BF260" si="158">(BD241/BD59)/(BD250/BD58)-1</f>
        <v>2.4424529543118245E-2</v>
      </c>
      <c r="BE260" s="9">
        <f t="shared" si="158"/>
        <v>2.4663945371512286E-2</v>
      </c>
      <c r="BF260" s="9">
        <f t="shared" si="158"/>
        <v>2.4974694128496955E-2</v>
      </c>
    </row>
    <row r="261" spans="1:58" x14ac:dyDescent="0.35">
      <c r="B261" t="s">
        <v>48</v>
      </c>
      <c r="C261" s="9">
        <f t="shared" ref="C261:AL261" si="159">(C242/C59)/(C251/C58)-1</f>
        <v>5.6989771048814308E-3</v>
      </c>
      <c r="D261" s="9">
        <f t="shared" si="159"/>
        <v>1.1531337341188497E-2</v>
      </c>
      <c r="E261" s="9">
        <f t="shared" si="159"/>
        <v>1.6199265935374907E-2</v>
      </c>
      <c r="F261" s="9">
        <f t="shared" si="159"/>
        <v>1.9604173446651663E-2</v>
      </c>
      <c r="G261" s="9">
        <f t="shared" si="159"/>
        <v>2.1919322428554766E-2</v>
      </c>
      <c r="H261" s="9">
        <f t="shared" si="159"/>
        <v>2.3371763454724137E-2</v>
      </c>
      <c r="I261" s="9">
        <f t="shared" si="159"/>
        <v>2.4184917150655405E-2</v>
      </c>
      <c r="J261" s="9">
        <f t="shared" si="159"/>
        <v>2.4534721313957508E-2</v>
      </c>
      <c r="K261" s="9">
        <f t="shared" si="159"/>
        <v>2.4566225392630647E-2</v>
      </c>
      <c r="L261" s="9">
        <f t="shared" si="159"/>
        <v>2.4393689905154003E-2</v>
      </c>
      <c r="M261" s="9">
        <f t="shared" si="159"/>
        <v>2.4093677948647363E-2</v>
      </c>
      <c r="N261" s="9">
        <f t="shared" si="159"/>
        <v>2.3758694470171537E-2</v>
      </c>
      <c r="O261" s="9">
        <f t="shared" si="159"/>
        <v>2.3420963593708377E-2</v>
      </c>
      <c r="P261" s="9">
        <f t="shared" si="159"/>
        <v>2.309775910924361E-2</v>
      </c>
      <c r="Q261" s="9">
        <f t="shared" si="159"/>
        <v>2.2798298679884477E-2</v>
      </c>
      <c r="R261" s="9">
        <f t="shared" si="159"/>
        <v>2.2527448667131189E-2</v>
      </c>
      <c r="S261" s="9">
        <f t="shared" si="159"/>
        <v>2.2302747204769879E-2</v>
      </c>
      <c r="T261" s="9">
        <f t="shared" si="159"/>
        <v>2.2125643764166147E-2</v>
      </c>
      <c r="U261" s="9">
        <f t="shared" si="159"/>
        <v>2.1993198290650495E-2</v>
      </c>
      <c r="V261" s="9">
        <f t="shared" si="159"/>
        <v>2.1902044555258238E-2</v>
      </c>
      <c r="W261" s="9">
        <f t="shared" si="159"/>
        <v>2.1854250128526598E-2</v>
      </c>
      <c r="X261" s="9">
        <f t="shared" si="159"/>
        <v>2.1836785519452118E-2</v>
      </c>
      <c r="Y261" s="9">
        <f t="shared" si="159"/>
        <v>2.1850867775669025E-2</v>
      </c>
      <c r="Z261" s="9">
        <f t="shared" si="159"/>
        <v>2.1895690263390222E-2</v>
      </c>
      <c r="AA261" s="9">
        <f t="shared" si="159"/>
        <v>2.1969103217367003E-2</v>
      </c>
      <c r="AB261" s="9">
        <f t="shared" si="159"/>
        <v>2.2080483262806982E-2</v>
      </c>
      <c r="AC261" s="9">
        <f t="shared" si="159"/>
        <v>2.21990014702933E-2</v>
      </c>
      <c r="AD261" s="9">
        <f t="shared" si="159"/>
        <v>2.2323987939501189E-2</v>
      </c>
      <c r="AE261" s="9">
        <f t="shared" si="159"/>
        <v>2.2455703454446807E-2</v>
      </c>
      <c r="AF261" s="9">
        <f t="shared" si="159"/>
        <v>2.2593577047603119E-2</v>
      </c>
      <c r="AG261" s="9">
        <f t="shared" si="159"/>
        <v>2.2736127692249974E-2</v>
      </c>
      <c r="AH261" s="9">
        <f t="shared" si="159"/>
        <v>2.2878345020024282E-2</v>
      </c>
      <c r="AI261" s="9">
        <f t="shared" si="159"/>
        <v>2.3018174498877109E-2</v>
      </c>
      <c r="AJ261" s="9">
        <f t="shared" si="159"/>
        <v>2.3154328200561736E-2</v>
      </c>
      <c r="AK261" s="9">
        <f t="shared" si="159"/>
        <v>2.3285621074040641E-2</v>
      </c>
      <c r="AL261" s="9">
        <f t="shared" si="159"/>
        <v>2.3410845151175197E-2</v>
      </c>
      <c r="AM261" s="9">
        <f t="shared" ref="AM261:BC261" si="160">(AM242/AM59)/(AM251/AM58)-1</f>
        <v>2.350556586228425E-2</v>
      </c>
      <c r="AN261" s="9">
        <f t="shared" si="160"/>
        <v>2.3566938963067718E-2</v>
      </c>
      <c r="AO261" s="9">
        <f t="shared" si="160"/>
        <v>2.3600387852304561E-2</v>
      </c>
      <c r="AP261" s="9">
        <f t="shared" si="160"/>
        <v>2.3611884281025786E-2</v>
      </c>
      <c r="AQ261" s="9">
        <f t="shared" si="160"/>
        <v>2.3605893620961993E-2</v>
      </c>
      <c r="AR261" s="9">
        <f t="shared" si="160"/>
        <v>2.3581441423061733E-2</v>
      </c>
      <c r="AS261" s="9">
        <f t="shared" si="160"/>
        <v>2.3540720910501189E-2</v>
      </c>
      <c r="AT261" s="9">
        <f t="shared" si="160"/>
        <v>2.3486112148872751E-2</v>
      </c>
      <c r="AU261" s="9">
        <f t="shared" si="160"/>
        <v>2.3419325991168138E-2</v>
      </c>
      <c r="AV261" s="9">
        <f t="shared" si="160"/>
        <v>2.3341291373803807E-2</v>
      </c>
      <c r="AW261" s="9">
        <f t="shared" si="160"/>
        <v>2.3239210506839081E-2</v>
      </c>
      <c r="AX261" s="9">
        <f t="shared" si="160"/>
        <v>2.3114230264624336E-2</v>
      </c>
      <c r="AY261" s="9">
        <f t="shared" si="160"/>
        <v>2.2969753035263496E-2</v>
      </c>
      <c r="AZ261" s="9">
        <f t="shared" si="160"/>
        <v>2.2808009755355796E-2</v>
      </c>
      <c r="BA261" s="9">
        <f t="shared" si="160"/>
        <v>2.2629533689922265E-2</v>
      </c>
      <c r="BB261" s="9">
        <f t="shared" si="160"/>
        <v>2.2425831134218921E-2</v>
      </c>
      <c r="BC261" s="9">
        <f t="shared" si="160"/>
        <v>2.2196219196062072E-2</v>
      </c>
      <c r="BD261" s="9">
        <f t="shared" ref="BD261:BF261" si="161">(BD242/BD59)/(BD251/BD58)-1</f>
        <v>2.1941285780983755E-2</v>
      </c>
      <c r="BE261" s="9">
        <f t="shared" si="161"/>
        <v>2.1660928977077054E-2</v>
      </c>
      <c r="BF261" s="9">
        <f t="shared" si="161"/>
        <v>2.1354027611247828E-2</v>
      </c>
    </row>
    <row r="263" spans="1:58" x14ac:dyDescent="0.35">
      <c r="A263" s="12" t="s">
        <v>21</v>
      </c>
      <c r="B263" t="s">
        <v>26</v>
      </c>
      <c r="C263" s="6">
        <f>[1]Results!F1600</f>
        <v>467597.27539999998</v>
      </c>
      <c r="D263" s="6">
        <f>[1]Results!G1600</f>
        <v>470154.31189999997</v>
      </c>
      <c r="E263" s="6">
        <f>[1]Results!H1600</f>
        <v>474268.47979999997</v>
      </c>
      <c r="F263" s="6">
        <f>[1]Results!I1600</f>
        <v>479323.30969999998</v>
      </c>
      <c r="G263" s="6">
        <f>[1]Results!J1600</f>
        <v>484997.8885</v>
      </c>
      <c r="H263" s="6">
        <f>[1]Results!K1600</f>
        <v>491132.09269999998</v>
      </c>
      <c r="I263" s="6">
        <f>[1]Results!L1600</f>
        <v>497450.94439999998</v>
      </c>
      <c r="J263" s="6">
        <f>[1]Results!M1600</f>
        <v>503965.32040000003</v>
      </c>
      <c r="K263" s="6">
        <f>[1]Results!N1600</f>
        <v>510689.92869999999</v>
      </c>
      <c r="L263" s="6">
        <f>[1]Results!O1600</f>
        <v>517631.73710000003</v>
      </c>
      <c r="M263" s="6">
        <f>[1]Results!P1600</f>
        <v>525125.77430000005</v>
      </c>
      <c r="N263" s="6">
        <f>[1]Results!Q1600</f>
        <v>532731.69310000003</v>
      </c>
      <c r="O263" s="6">
        <f>[1]Results!R1600</f>
        <v>540477.63340000005</v>
      </c>
      <c r="P263" s="6">
        <f>[1]Results!S1600</f>
        <v>548387.68209999998</v>
      </c>
      <c r="Q263" s="6">
        <f>[1]Results!T1600</f>
        <v>556474.15209999995</v>
      </c>
      <c r="R263" s="6">
        <f>[1]Results!U1600</f>
        <v>564744.52110000001</v>
      </c>
      <c r="S263" s="6">
        <f>[1]Results!V1600</f>
        <v>573180.29319999996</v>
      </c>
      <c r="T263" s="6">
        <f>[1]Results!W1600</f>
        <v>581797.08019999997</v>
      </c>
      <c r="U263" s="6">
        <f>[1]Results!X1600</f>
        <v>590606.10179999995</v>
      </c>
      <c r="V263" s="6">
        <f>[1]Results!Y1600</f>
        <v>599615.26879999996</v>
      </c>
      <c r="W263" s="6">
        <f>[1]Results!Z1600</f>
        <v>608584.20620000002</v>
      </c>
      <c r="X263" s="6">
        <f>[1]Results!AA1600</f>
        <v>617821.22239999997</v>
      </c>
      <c r="Y263" s="6">
        <f>[1]Results!AB1600</f>
        <v>627313.71699999995</v>
      </c>
      <c r="Z263" s="6">
        <f>[1]Results!AC1600</f>
        <v>637048.00690000004</v>
      </c>
      <c r="AA263" s="6">
        <f>[1]Results!AD1600</f>
        <v>647016.67480000004</v>
      </c>
      <c r="AB263" s="6">
        <f>[1]Results!AE1600</f>
        <v>656504.52410000004</v>
      </c>
      <c r="AC263" s="6">
        <f>[1]Results!AF1600</f>
        <v>666055.84970000002</v>
      </c>
      <c r="AD263" s="6">
        <f>[1]Results!AG1600</f>
        <v>675693.80290000001</v>
      </c>
      <c r="AE263" s="6">
        <f>[1]Results!AH1600</f>
        <v>685423.92009999999</v>
      </c>
      <c r="AF263" s="6">
        <f>[1]Results!AI1600</f>
        <v>695253.92009999999</v>
      </c>
      <c r="AG263" s="6">
        <f>[1]Results!AJ1600</f>
        <v>705191.66570000001</v>
      </c>
      <c r="AH263" s="6">
        <f>[1]Results!AK1600</f>
        <v>715248.97279999999</v>
      </c>
      <c r="AI263" s="6">
        <f>[1]Results!AL1600</f>
        <v>725427.26049999997</v>
      </c>
      <c r="AJ263" s="6">
        <f>[1]Results!AM1600</f>
        <v>735726.1298</v>
      </c>
      <c r="AK263" s="6">
        <f>[1]Results!AN1600</f>
        <v>746143.64110000001</v>
      </c>
      <c r="AL263" s="6">
        <f>[1]Results!AO1600</f>
        <v>756676.73690000002</v>
      </c>
      <c r="AM263" s="6">
        <f>[1]Results!AP1600</f>
        <v>767201.21400000004</v>
      </c>
      <c r="AN263" s="6">
        <f>[1]Results!AQ1600</f>
        <v>777732.73569999996</v>
      </c>
      <c r="AO263" s="6">
        <f>[1]Results!AR1600</f>
        <v>788284.22369999997</v>
      </c>
      <c r="AP263" s="6">
        <f>[1]Results!AS1600</f>
        <v>798864.06570000004</v>
      </c>
      <c r="AQ263" s="6">
        <f>[1]Results!AT1600</f>
        <v>809479.02520000003</v>
      </c>
      <c r="AR263" s="6">
        <f>[1]Results!AU1600</f>
        <v>820143.78540000005</v>
      </c>
      <c r="AS263" s="6">
        <f>[1]Results!AV1600</f>
        <v>830861.5416</v>
      </c>
      <c r="AT263" s="6">
        <f>[1]Results!AW1600</f>
        <v>841635.72510000004</v>
      </c>
      <c r="AU263" s="6">
        <f>[1]Results!AX1600</f>
        <v>852469.6422</v>
      </c>
      <c r="AV263" s="6">
        <f>[1]Results!AY1600</f>
        <v>863366.21909999999</v>
      </c>
      <c r="AW263" s="6">
        <f>[1]Results!AZ1600</f>
        <v>874372.17209999997</v>
      </c>
      <c r="AX263" s="6">
        <f>[1]Results!BA1600</f>
        <v>885477.14520000003</v>
      </c>
      <c r="AY263" s="6">
        <f>[1]Results!BB1600</f>
        <v>896674.24</v>
      </c>
      <c r="AZ263" s="6">
        <f>[1]Results!BC1600</f>
        <v>907959.9129</v>
      </c>
      <c r="BA263" s="6">
        <f>[1]Results!BD1600</f>
        <v>919332.97519999999</v>
      </c>
      <c r="BB263" s="6">
        <f>[1]Results!BE1600</f>
        <v>930812.20239999995</v>
      </c>
      <c r="BC263" s="6">
        <f>[1]Results!BF1600</f>
        <v>942393.93870000006</v>
      </c>
      <c r="BD263" s="6">
        <f>[1]Results!BG1600</f>
        <v>954077.09809999994</v>
      </c>
      <c r="BE263" s="6">
        <f>[1]Results!BH1600</f>
        <v>965862.75060000003</v>
      </c>
      <c r="BF263" s="6">
        <f>[1]Results!BI1600</f>
        <v>977753.52130000002</v>
      </c>
    </row>
    <row r="264" spans="1:58" x14ac:dyDescent="0.35">
      <c r="A264" t="s">
        <v>39</v>
      </c>
      <c r="B264" t="s">
        <v>7</v>
      </c>
      <c r="C264" s="6">
        <f>[1]Results!F1601</f>
        <v>4377.210806</v>
      </c>
      <c r="D264" s="6">
        <f>[1]Results!G1601</f>
        <v>4379.1765079999996</v>
      </c>
      <c r="E264" s="6">
        <f>[1]Results!H1601</f>
        <v>4394.3786559999999</v>
      </c>
      <c r="F264" s="6">
        <f>[1]Results!I1601</f>
        <v>4420.3612869999997</v>
      </c>
      <c r="G264" s="6">
        <f>[1]Results!J1601</f>
        <v>4455.4452670000001</v>
      </c>
      <c r="H264" s="6">
        <f>[1]Results!K1601</f>
        <v>4498.3273289999997</v>
      </c>
      <c r="I264" s="6">
        <f>[1]Results!L1601</f>
        <v>4546.0542809999997</v>
      </c>
      <c r="J264" s="6">
        <f>[1]Results!M1601</f>
        <v>4598.1136749999996</v>
      </c>
      <c r="K264" s="6">
        <f>[1]Results!N1601</f>
        <v>4654.0820970000004</v>
      </c>
      <c r="L264" s="6">
        <f>[1]Results!O1601</f>
        <v>4713.5245990000003</v>
      </c>
      <c r="M264" s="6">
        <f>[1]Results!P1601</f>
        <v>4779.143333</v>
      </c>
      <c r="N264" s="6">
        <f>[1]Results!Q1601</f>
        <v>4846.5331310000001</v>
      </c>
      <c r="O264" s="6">
        <f>[1]Results!R1601</f>
        <v>4915.5553739999996</v>
      </c>
      <c r="P264" s="6">
        <f>[1]Results!S1601</f>
        <v>4986.1651320000001</v>
      </c>
      <c r="Q264" s="6">
        <f>[1]Results!T1601</f>
        <v>5058.2778390000003</v>
      </c>
      <c r="R264" s="6">
        <f>[1]Results!U1601</f>
        <v>5131.8173450000004</v>
      </c>
      <c r="S264" s="6">
        <f>[1]Results!V1601</f>
        <v>5206.446852</v>
      </c>
      <c r="T264" s="6">
        <f>[1]Results!W1601</f>
        <v>5282.2715589999998</v>
      </c>
      <c r="U264" s="6">
        <f>[1]Results!X1601</f>
        <v>5359.3527519999998</v>
      </c>
      <c r="V264" s="6">
        <f>[1]Results!Y1601</f>
        <v>5437.7260420000002</v>
      </c>
      <c r="W264" s="6">
        <f>[1]Results!Z1601</f>
        <v>5515.1251199999997</v>
      </c>
      <c r="X264" s="6">
        <f>[1]Results!AA1601</f>
        <v>5594.3040380000002</v>
      </c>
      <c r="Y264" s="6">
        <f>[1]Results!AB1601</f>
        <v>5675.2502459999996</v>
      </c>
      <c r="Z264" s="6">
        <f>[1]Results!AC1601</f>
        <v>5757.871486</v>
      </c>
      <c r="AA264" s="6">
        <f>[1]Results!AD1601</f>
        <v>5842.1131370000003</v>
      </c>
      <c r="AB264" s="6">
        <f>[1]Results!AE1601</f>
        <v>5921.3447660000002</v>
      </c>
      <c r="AC264" s="6">
        <f>[1]Results!AF1601</f>
        <v>6000.3728810000002</v>
      </c>
      <c r="AD264" s="6">
        <f>[1]Results!AG1601</f>
        <v>6079.6176910000004</v>
      </c>
      <c r="AE264" s="6">
        <f>[1]Results!AH1601</f>
        <v>6159.2868850000004</v>
      </c>
      <c r="AF264" s="6">
        <f>[1]Results!AI1601</f>
        <v>6239.5942859999996</v>
      </c>
      <c r="AG264" s="6">
        <f>[1]Results!AJ1601</f>
        <v>6320.7370929999997</v>
      </c>
      <c r="AH264" s="6">
        <f>[1]Results!AK1601</f>
        <v>6402.9412140000004</v>
      </c>
      <c r="AI264" s="6">
        <f>[1]Results!AL1601</f>
        <v>6486.2918200000004</v>
      </c>
      <c r="AJ264" s="6">
        <f>[1]Results!AM1601</f>
        <v>6570.8452109999998</v>
      </c>
      <c r="AK264" s="6">
        <f>[1]Results!AN1601</f>
        <v>6656.6329459999997</v>
      </c>
      <c r="AL264" s="6">
        <f>[1]Results!AO1601</f>
        <v>6743.6678430000002</v>
      </c>
      <c r="AM264" s="6">
        <f>[1]Results!AP1601</f>
        <v>6830.9720219999999</v>
      </c>
      <c r="AN264" s="6">
        <f>[1]Results!AQ1601</f>
        <v>6918.5762519999998</v>
      </c>
      <c r="AO264" s="6">
        <f>[1]Results!AR1601</f>
        <v>7006.6113169999999</v>
      </c>
      <c r="AP264" s="6">
        <f>[1]Results!AS1601</f>
        <v>7095.2124000000003</v>
      </c>
      <c r="AQ264" s="6">
        <f>[1]Results!AT1601</f>
        <v>7184.5118270000003</v>
      </c>
      <c r="AR264" s="6">
        <f>[1]Results!AU1601</f>
        <v>7274.7334510000001</v>
      </c>
      <c r="AS264" s="6">
        <f>[1]Results!AV1601</f>
        <v>7365.950116</v>
      </c>
      <c r="AT264" s="6">
        <f>[1]Results!AW1601</f>
        <v>7458.2310950000001</v>
      </c>
      <c r="AU264" s="6">
        <f>[1]Results!AX1601</f>
        <v>7551.6350570000004</v>
      </c>
      <c r="AV264" s="6">
        <f>[1]Results!AY1601</f>
        <v>7646.2071859999996</v>
      </c>
      <c r="AW264" s="6">
        <f>[1]Results!AZ1601</f>
        <v>7742.4661500000002</v>
      </c>
      <c r="AX264" s="6">
        <f>[1]Results!BA1601</f>
        <v>7840.2874709999996</v>
      </c>
      <c r="AY264" s="6">
        <f>[1]Results!BB1601</f>
        <v>7939.5912859999999</v>
      </c>
      <c r="AZ264" s="6">
        <f>[1]Results!BC1601</f>
        <v>8040.3325130000003</v>
      </c>
      <c r="BA264" s="6">
        <f>[1]Results!BD1601</f>
        <v>8142.4852499999997</v>
      </c>
      <c r="BB264" s="6">
        <f>[1]Results!BE1601</f>
        <v>8246.2515430000003</v>
      </c>
      <c r="BC264" s="6">
        <f>[1]Results!BF1601</f>
        <v>8351.5471249999991</v>
      </c>
      <c r="BD264" s="6">
        <f>[1]Results!BG1601</f>
        <v>8458.3247589999992</v>
      </c>
      <c r="BE264" s="6">
        <f>[1]Results!BH1601</f>
        <v>8566.5635600000005</v>
      </c>
      <c r="BF264" s="6">
        <f>[1]Results!BI1601</f>
        <v>8676.2588149999992</v>
      </c>
    </row>
    <row r="265" spans="1:58" x14ac:dyDescent="0.35">
      <c r="B265" t="s">
        <v>30</v>
      </c>
      <c r="C265" s="6">
        <f>[1]Results!F1604</f>
        <v>232030.75330000001</v>
      </c>
      <c r="D265" s="6">
        <f>[1]Results!G1604</f>
        <v>233272.49849999999</v>
      </c>
      <c r="E265" s="6">
        <f>[1]Results!H1604</f>
        <v>235368.57320000001</v>
      </c>
      <c r="F265" s="6">
        <f>[1]Results!I1604</f>
        <v>237942.45749999999</v>
      </c>
      <c r="G265" s="6">
        <f>[1]Results!J1604</f>
        <v>240801.2923</v>
      </c>
      <c r="H265" s="6">
        <f>[1]Results!K1604</f>
        <v>243851.72930000001</v>
      </c>
      <c r="I265" s="6">
        <f>[1]Results!L1604</f>
        <v>246966.6189</v>
      </c>
      <c r="J265" s="6">
        <f>[1]Results!M1604</f>
        <v>250148.2813</v>
      </c>
      <c r="K265" s="6">
        <f>[1]Results!N1604</f>
        <v>253408.49770000001</v>
      </c>
      <c r="L265" s="6">
        <f>[1]Results!O1604</f>
        <v>256758.19149999999</v>
      </c>
      <c r="M265" s="6">
        <f>[1]Results!P1604</f>
        <v>260351.32560000001</v>
      </c>
      <c r="N265" s="6">
        <f>[1]Results!Q1604</f>
        <v>264009.38219999999</v>
      </c>
      <c r="O265" s="6">
        <f>[1]Results!R1604</f>
        <v>267744.83149999997</v>
      </c>
      <c r="P265" s="6">
        <f>[1]Results!S1604</f>
        <v>271570.68770000001</v>
      </c>
      <c r="Q265" s="6">
        <f>[1]Results!T1604</f>
        <v>275495.83679999999</v>
      </c>
      <c r="R265" s="6">
        <f>[1]Results!U1604</f>
        <v>279526.89169999998</v>
      </c>
      <c r="S265" s="6">
        <f>[1]Results!V1604</f>
        <v>283655.93209999998</v>
      </c>
      <c r="T265" s="6">
        <f>[1]Results!W1604</f>
        <v>287893.5355</v>
      </c>
      <c r="U265" s="6">
        <f>[1]Results!X1604</f>
        <v>292247.29269999999</v>
      </c>
      <c r="V265" s="6">
        <f>[1]Results!Y1604</f>
        <v>296722.80349999998</v>
      </c>
      <c r="W265" s="6">
        <f>[1]Results!Z1604</f>
        <v>301217.40980000002</v>
      </c>
      <c r="X265" s="6">
        <f>[1]Results!AA1604</f>
        <v>305858.86</v>
      </c>
      <c r="Y265" s="6">
        <f>[1]Results!AB1604</f>
        <v>310647.49080000003</v>
      </c>
      <c r="Z265" s="6">
        <f>[1]Results!AC1604</f>
        <v>315579.87809999997</v>
      </c>
      <c r="AA265" s="6">
        <f>[1]Results!AD1604</f>
        <v>320653.55</v>
      </c>
      <c r="AB265" s="6">
        <f>[1]Results!AE1604</f>
        <v>325558.43780000001</v>
      </c>
      <c r="AC265" s="6">
        <f>[1]Results!AF1604</f>
        <v>330508.67440000002</v>
      </c>
      <c r="AD265" s="6">
        <f>[1]Results!AG1604</f>
        <v>335516.56569999998</v>
      </c>
      <c r="AE265" s="6">
        <f>[1]Results!AH1604</f>
        <v>340584.68949999998</v>
      </c>
      <c r="AF265" s="6">
        <f>[1]Results!AI1604</f>
        <v>345714.69339999999</v>
      </c>
      <c r="AG265" s="6">
        <f>[1]Results!AJ1604</f>
        <v>350907.65519999998</v>
      </c>
      <c r="AH265" s="6">
        <f>[1]Results!AK1604</f>
        <v>356166.94620000001</v>
      </c>
      <c r="AI265" s="6">
        <f>[1]Results!AL1604</f>
        <v>361490.61839999998</v>
      </c>
      <c r="AJ265" s="6">
        <f>[1]Results!AM1604</f>
        <v>366876.16360000003</v>
      </c>
      <c r="AK265" s="6">
        <f>[1]Results!AN1604</f>
        <v>372320.48340000003</v>
      </c>
      <c r="AL265" s="6">
        <f>[1]Results!AO1604</f>
        <v>377820.0221</v>
      </c>
      <c r="AM265" s="6">
        <f>[1]Results!AP1604</f>
        <v>383324.3958</v>
      </c>
      <c r="AN265" s="6">
        <f>[1]Results!AQ1604</f>
        <v>388830.0269</v>
      </c>
      <c r="AO265" s="6">
        <f>[1]Results!AR1604</f>
        <v>394337.18680000002</v>
      </c>
      <c r="AP265" s="6">
        <f>[1]Results!AS1604</f>
        <v>399846.07980000001</v>
      </c>
      <c r="AQ265" s="6">
        <f>[1]Results!AT1604</f>
        <v>405356.85570000001</v>
      </c>
      <c r="AR265" s="6">
        <f>[1]Results!AU1604</f>
        <v>410874.4045</v>
      </c>
      <c r="AS265" s="6">
        <f>[1]Results!AV1604</f>
        <v>416397.74930000002</v>
      </c>
      <c r="AT265" s="6">
        <f>[1]Results!AW1604</f>
        <v>421926.5784</v>
      </c>
      <c r="AU265" s="6">
        <f>[1]Results!AX1604</f>
        <v>427460.90749999997</v>
      </c>
      <c r="AV265" s="6">
        <f>[1]Results!AY1604</f>
        <v>433000.89750000002</v>
      </c>
      <c r="AW265" s="6">
        <f>[1]Results!AZ1604</f>
        <v>438569.1335</v>
      </c>
      <c r="AX265" s="6">
        <f>[1]Results!BA1604</f>
        <v>444160.01199999999</v>
      </c>
      <c r="AY265" s="6">
        <f>[1]Results!BB1604</f>
        <v>449769.94099999999</v>
      </c>
      <c r="AZ265" s="6">
        <f>[1]Results!BC1604</f>
        <v>455396.9865</v>
      </c>
      <c r="BA265" s="6">
        <f>[1]Results!BD1604</f>
        <v>461040.45559999999</v>
      </c>
      <c r="BB265" s="6">
        <f>[1]Results!BE1604</f>
        <v>466710.5527</v>
      </c>
      <c r="BC265" s="6">
        <f>[1]Results!BF1604</f>
        <v>472405.36560000002</v>
      </c>
      <c r="BD265" s="6">
        <f>[1]Results!BG1604</f>
        <v>478124.71649999998</v>
      </c>
      <c r="BE265" s="6">
        <f>[1]Results!BH1604</f>
        <v>483869.63380000001</v>
      </c>
      <c r="BF265" s="6">
        <f>[1]Results!BI1604</f>
        <v>489642.01880000002</v>
      </c>
    </row>
    <row r="266" spans="1:58" x14ac:dyDescent="0.35">
      <c r="B266" t="s">
        <v>28</v>
      </c>
      <c r="C266" s="6">
        <f>[1]Results!F1616</f>
        <v>7841.3663980000001</v>
      </c>
      <c r="D266" s="6">
        <f>[1]Results!G1616</f>
        <v>7861.8746899999996</v>
      </c>
      <c r="E266" s="6">
        <f>[1]Results!H1616</f>
        <v>7927.1336959999999</v>
      </c>
      <c r="F266" s="6">
        <f>[1]Results!I1616</f>
        <v>8012.3215469999996</v>
      </c>
      <c r="G266" s="6">
        <f>[1]Results!J1616</f>
        <v>8108.4648610000004</v>
      </c>
      <c r="H266" s="6">
        <f>[1]Results!K1616</f>
        <v>8211.9764479999994</v>
      </c>
      <c r="I266" s="6">
        <f>[1]Results!L1616</f>
        <v>8316.9426609999991</v>
      </c>
      <c r="J266" s="6">
        <f>[1]Results!M1616</f>
        <v>8424.2768899999992</v>
      </c>
      <c r="K266" s="6">
        <f>[1]Results!N1616</f>
        <v>8534.19067</v>
      </c>
      <c r="L266" s="6">
        <f>[1]Results!O1616</f>
        <v>8646.5429800000002</v>
      </c>
      <c r="M266" s="6">
        <f>[1]Results!P1616</f>
        <v>8768.0873869999996</v>
      </c>
      <c r="N266" s="6">
        <f>[1]Results!Q1616</f>
        <v>8887.6607449999992</v>
      </c>
      <c r="O266" s="6">
        <f>[1]Results!R1616</f>
        <v>9007.1558839999998</v>
      </c>
      <c r="P266" s="6">
        <f>[1]Results!S1616</f>
        <v>9127.4147069999999</v>
      </c>
      <c r="Q266" s="6">
        <f>[1]Results!T1616</f>
        <v>9248.7410419999997</v>
      </c>
      <c r="R266" s="6">
        <f>[1]Results!U1616</f>
        <v>9371.2821129999993</v>
      </c>
      <c r="S266" s="6">
        <f>[1]Results!V1616</f>
        <v>9494.3482480000002</v>
      </c>
      <c r="T266" s="6">
        <f>[1]Results!W1616</f>
        <v>9618.5473440000005</v>
      </c>
      <c r="U266" s="6">
        <f>[1]Results!X1616</f>
        <v>9744.2176710000003</v>
      </c>
      <c r="V266" s="6">
        <f>[1]Results!Y1616</f>
        <v>9871.5823529999998</v>
      </c>
      <c r="W266" s="6">
        <f>[1]Results!Z1616</f>
        <v>9995.7021029999996</v>
      </c>
      <c r="X266" s="6">
        <f>[1]Results!AA1616</f>
        <v>10124.13053</v>
      </c>
      <c r="Y266" s="6">
        <f>[1]Results!AB1616</f>
        <v>10255.82813</v>
      </c>
      <c r="Z266" s="6">
        <f>[1]Results!AC1616</f>
        <v>10390.347030000001</v>
      </c>
      <c r="AA266" s="6">
        <f>[1]Results!AD1616</f>
        <v>10527.57418</v>
      </c>
      <c r="AB266" s="6">
        <f>[1]Results!AE1616</f>
        <v>10652.83439</v>
      </c>
      <c r="AC266" s="6">
        <f>[1]Results!AF1616</f>
        <v>10780.68721</v>
      </c>
      <c r="AD266" s="6">
        <f>[1]Results!AG1616</f>
        <v>10910.61902</v>
      </c>
      <c r="AE266" s="6">
        <f>[1]Results!AH1616</f>
        <v>11042.418009999999</v>
      </c>
      <c r="AF266" s="6">
        <f>[1]Results!AI1616</f>
        <v>11176.168240000001</v>
      </c>
      <c r="AG266" s="6">
        <f>[1]Results!AJ1616</f>
        <v>11312.031590000001</v>
      </c>
      <c r="AH266" s="6">
        <f>[1]Results!AK1616</f>
        <v>11450.343430000001</v>
      </c>
      <c r="AI266" s="6">
        <f>[1]Results!AL1616</f>
        <v>11591.108200000001</v>
      </c>
      <c r="AJ266" s="6">
        <f>[1]Results!AM1616</f>
        <v>11734.34527</v>
      </c>
      <c r="AK266" s="6">
        <f>[1]Results!AN1616</f>
        <v>11880.06243</v>
      </c>
      <c r="AL266" s="6">
        <f>[1]Results!AO1616</f>
        <v>12028.25086</v>
      </c>
      <c r="AM266" s="6">
        <f>[1]Results!AP1616</f>
        <v>12177.02406</v>
      </c>
      <c r="AN266" s="6">
        <f>[1]Results!AQ1616</f>
        <v>12326.94261</v>
      </c>
      <c r="AO266" s="6">
        <f>[1]Results!AR1616</f>
        <v>12478.32645</v>
      </c>
      <c r="AP266" s="6">
        <f>[1]Results!AS1616</f>
        <v>12631.35094</v>
      </c>
      <c r="AQ266" s="6">
        <f>[1]Results!AT1616</f>
        <v>12786.14113</v>
      </c>
      <c r="AR266" s="6">
        <f>[1]Results!AU1616</f>
        <v>12943.07063</v>
      </c>
      <c r="AS266" s="6">
        <f>[1]Results!AV1616</f>
        <v>13102.09008</v>
      </c>
      <c r="AT266" s="6">
        <f>[1]Results!AW1616</f>
        <v>13263.21486</v>
      </c>
      <c r="AU266" s="6">
        <f>[1]Results!AX1616</f>
        <v>13426.477790000001</v>
      </c>
      <c r="AV266" s="6">
        <f>[1]Results!AY1616</f>
        <v>13591.909460000001</v>
      </c>
      <c r="AW266" s="6">
        <f>[1]Results!AZ1616</f>
        <v>13760.762580000001</v>
      </c>
      <c r="AX266" s="6">
        <f>[1]Results!BA1616</f>
        <v>13932.440199999999</v>
      </c>
      <c r="AY266" s="6">
        <f>[1]Results!BB1616</f>
        <v>14106.678610000001</v>
      </c>
      <c r="AZ266" s="6">
        <f>[1]Results!BC1616</f>
        <v>14283.36428</v>
      </c>
      <c r="BA266" s="6">
        <f>[1]Results!BD1616</f>
        <v>14462.44666</v>
      </c>
      <c r="BB266" s="6">
        <f>[1]Results!BE1616</f>
        <v>14644.48294</v>
      </c>
      <c r="BC266" s="6">
        <f>[1]Results!BF1616</f>
        <v>14829.17584</v>
      </c>
      <c r="BD266" s="6">
        <f>[1]Results!BG1616</f>
        <v>15016.40674</v>
      </c>
      <c r="BE266" s="6">
        <f>[1]Results!BH1616</f>
        <v>15206.13861</v>
      </c>
      <c r="BF266" s="6">
        <f>[1]Results!BI1616</f>
        <v>15398.37112</v>
      </c>
    </row>
    <row r="267" spans="1:58" x14ac:dyDescent="0.35">
      <c r="B267" t="s">
        <v>10</v>
      </c>
      <c r="C267" s="6">
        <f>[1]Results!F1621</f>
        <v>217525.54670000001</v>
      </c>
      <c r="D267" s="6">
        <f>[1]Results!G1621</f>
        <v>218815.66940000001</v>
      </c>
      <c r="E267" s="6">
        <f>[1]Results!H1621</f>
        <v>220744.34700000001</v>
      </c>
      <c r="F267" s="6">
        <f>[1]Results!I1621</f>
        <v>223099.6017</v>
      </c>
      <c r="G267" s="6">
        <f>[1]Results!J1621</f>
        <v>225763.01699999999</v>
      </c>
      <c r="H267" s="6">
        <f>[1]Results!K1621</f>
        <v>228672.41620000001</v>
      </c>
      <c r="I267" s="6">
        <f>[1]Results!L1621</f>
        <v>231691.71890000001</v>
      </c>
      <c r="J267" s="6">
        <f>[1]Results!M1621</f>
        <v>234829.33910000001</v>
      </c>
      <c r="K267" s="6">
        <f>[1]Results!N1621</f>
        <v>238088.6072</v>
      </c>
      <c r="L267" s="6">
        <f>[1]Results!O1621</f>
        <v>241466.4958</v>
      </c>
      <c r="M267" s="6">
        <f>[1]Results!P1621</f>
        <v>245131.39350000001</v>
      </c>
      <c r="N267" s="6">
        <f>[1]Results!Q1621</f>
        <v>248842.58660000001</v>
      </c>
      <c r="O267" s="6">
        <f>[1]Results!R1621</f>
        <v>252614.11900000001</v>
      </c>
      <c r="P267" s="6">
        <f>[1]Results!S1621</f>
        <v>256456.1967</v>
      </c>
      <c r="Q267" s="6">
        <f>[1]Results!T1621</f>
        <v>260372.08439999999</v>
      </c>
      <c r="R267" s="6">
        <f>[1]Results!U1621</f>
        <v>264362.67389999999</v>
      </c>
      <c r="S267" s="6">
        <f>[1]Results!V1621</f>
        <v>268418.82699999999</v>
      </c>
      <c r="T267" s="6">
        <f>[1]Results!W1621</f>
        <v>272544.76390000002</v>
      </c>
      <c r="U267" s="6">
        <f>[1]Results!X1621</f>
        <v>276743.64130000002</v>
      </c>
      <c r="V267" s="6">
        <f>[1]Results!Y1621</f>
        <v>281017.45380000002</v>
      </c>
      <c r="W267" s="6">
        <f>[1]Results!Z1621</f>
        <v>285238.26240000001</v>
      </c>
      <c r="X267" s="6">
        <f>[1]Results!AA1621</f>
        <v>289572.86330000003</v>
      </c>
      <c r="Y267" s="6">
        <f>[1]Results!AB1621</f>
        <v>294009.41200000001</v>
      </c>
      <c r="Z267" s="6">
        <f>[1]Results!AC1621</f>
        <v>298538.35149999999</v>
      </c>
      <c r="AA267" s="6">
        <f>[1]Results!AD1621</f>
        <v>303154.946</v>
      </c>
      <c r="AB267" s="6">
        <f>[1]Results!AE1621</f>
        <v>307482.80469999998</v>
      </c>
      <c r="AC267" s="6">
        <f>[1]Results!AF1621</f>
        <v>311826.50650000002</v>
      </c>
      <c r="AD267" s="6">
        <f>[1]Results!AG1621</f>
        <v>316196.38669999997</v>
      </c>
      <c r="AE267" s="6">
        <f>[1]Results!AH1621</f>
        <v>320595.28450000001</v>
      </c>
      <c r="AF267" s="6">
        <f>[1]Results!AI1621</f>
        <v>325028.83100000001</v>
      </c>
      <c r="AG267" s="6">
        <f>[1]Results!AJ1621</f>
        <v>329503.2893</v>
      </c>
      <c r="AH267" s="6">
        <f>[1]Results!AK1621</f>
        <v>334026.31189999997</v>
      </c>
      <c r="AI267" s="6">
        <f>[1]Results!AL1621</f>
        <v>338601.0675</v>
      </c>
      <c r="AJ267" s="6">
        <f>[1]Results!AM1621</f>
        <v>343229.4901</v>
      </c>
      <c r="AK267" s="6">
        <f>[1]Results!AN1621</f>
        <v>347912.61440000002</v>
      </c>
      <c r="AL267" s="6">
        <f>[1]Results!AO1621</f>
        <v>352650.86959999998</v>
      </c>
      <c r="AM267" s="6">
        <f>[1]Results!AP1621</f>
        <v>357374.35830000002</v>
      </c>
      <c r="AN267" s="6">
        <f>[1]Results!AQ1621</f>
        <v>362101.51240000001</v>
      </c>
      <c r="AO267" s="6">
        <f>[1]Results!AR1621</f>
        <v>366844.27840000001</v>
      </c>
      <c r="AP267" s="6">
        <f>[1]Results!AS1621</f>
        <v>371610.36339999997</v>
      </c>
      <c r="AQ267" s="6">
        <f>[1]Results!AT1621</f>
        <v>376406.02130000002</v>
      </c>
      <c r="AR267" s="6">
        <f>[1]Results!AU1621</f>
        <v>381240.28279999999</v>
      </c>
      <c r="AS267" s="6">
        <f>[1]Results!AV1621</f>
        <v>386117.29830000002</v>
      </c>
      <c r="AT267" s="6">
        <f>[1]Results!AW1621</f>
        <v>391040.72379999998</v>
      </c>
      <c r="AU267" s="6">
        <f>[1]Results!AX1621</f>
        <v>396013.7549</v>
      </c>
      <c r="AV267" s="6">
        <f>[1]Results!AY1621</f>
        <v>401039.08110000001</v>
      </c>
      <c r="AW267" s="6">
        <f>[1]Results!AZ1621</f>
        <v>406138.54670000001</v>
      </c>
      <c r="AX267" s="6">
        <f>[1]Results!BA1621</f>
        <v>411308.2586</v>
      </c>
      <c r="AY267" s="6">
        <f>[1]Results!BB1621</f>
        <v>416545.30839999998</v>
      </c>
      <c r="AZ267" s="6">
        <f>[1]Results!BC1621</f>
        <v>421848.25290000002</v>
      </c>
      <c r="BA267" s="6">
        <f>[1]Results!BD1621</f>
        <v>427216.67589999997</v>
      </c>
      <c r="BB267" s="6">
        <f>[1]Results!BE1621</f>
        <v>432658.18790000002</v>
      </c>
      <c r="BC267" s="6">
        <f>[1]Results!BF1621</f>
        <v>438171.53499999997</v>
      </c>
      <c r="BD267" s="6">
        <f>[1]Results!BG1621</f>
        <v>443756.04129999998</v>
      </c>
      <c r="BE267" s="6">
        <f>[1]Results!BH1621</f>
        <v>449411.84330000001</v>
      </c>
      <c r="BF267" s="6">
        <f>[1]Results!BI1621</f>
        <v>455139.6924</v>
      </c>
    </row>
    <row r="268" spans="1:58" x14ac:dyDescent="0.35">
      <c r="B268" t="s">
        <v>31</v>
      </c>
      <c r="C268" s="6">
        <f>[1]Results!F1624</f>
        <v>2211.584867</v>
      </c>
      <c r="D268" s="6">
        <f>[1]Results!G1624</f>
        <v>2208.1975240000002</v>
      </c>
      <c r="E268" s="6">
        <f>[1]Results!H1624</f>
        <v>2209.5489109999999</v>
      </c>
      <c r="F268" s="6">
        <f>[1]Results!I1624</f>
        <v>2214.0721589999998</v>
      </c>
      <c r="G268" s="6">
        <f>[1]Results!J1624</f>
        <v>2221.7597649999998</v>
      </c>
      <c r="H268" s="6">
        <f>[1]Results!K1624</f>
        <v>2232.5800340000001</v>
      </c>
      <c r="I268" s="6">
        <f>[1]Results!L1624</f>
        <v>2245.3714799999998</v>
      </c>
      <c r="J268" s="6">
        <f>[1]Results!M1624</f>
        <v>2260.1276769999999</v>
      </c>
      <c r="K268" s="6">
        <f>[1]Results!N1624</f>
        <v>2276.722514</v>
      </c>
      <c r="L268" s="6">
        <f>[1]Results!O1624</f>
        <v>2294.9559559999998</v>
      </c>
      <c r="M268" s="6">
        <f>[1]Results!P1624</f>
        <v>2316.0626050000001</v>
      </c>
      <c r="N268" s="6">
        <f>[1]Results!Q1624</f>
        <v>2337.723935</v>
      </c>
      <c r="O268" s="6">
        <f>[1]Results!R1624</f>
        <v>2360.063294</v>
      </c>
      <c r="P268" s="6">
        <f>[1]Results!S1624</f>
        <v>2383.1325400000001</v>
      </c>
      <c r="Q268" s="6">
        <f>[1]Results!T1624</f>
        <v>2406.8943220000001</v>
      </c>
      <c r="R268" s="6">
        <f>[1]Results!U1624</f>
        <v>2431.288239</v>
      </c>
      <c r="S268" s="6">
        <f>[1]Results!V1624</f>
        <v>2456.0889080000002</v>
      </c>
      <c r="T268" s="6">
        <f>[1]Results!W1624</f>
        <v>2481.3388110000001</v>
      </c>
      <c r="U268" s="6">
        <f>[1]Results!X1624</f>
        <v>2507.046789</v>
      </c>
      <c r="V268" s="6">
        <f>[1]Results!Y1624</f>
        <v>2533.206189</v>
      </c>
      <c r="W268" s="6">
        <f>[1]Results!Z1624</f>
        <v>2558.7697069999999</v>
      </c>
      <c r="X268" s="6">
        <f>[1]Results!AA1624</f>
        <v>2585.1370870000001</v>
      </c>
      <c r="Y268" s="6">
        <f>[1]Results!AB1624</f>
        <v>2612.1585490000002</v>
      </c>
      <c r="Z268" s="6">
        <f>[1]Results!AC1624</f>
        <v>2639.727128</v>
      </c>
      <c r="AA268" s="6">
        <f>[1]Results!AD1624</f>
        <v>2667.802115</v>
      </c>
      <c r="AB268" s="6">
        <f>[1]Results!AE1624</f>
        <v>2693.4104430000002</v>
      </c>
      <c r="AC268" s="6">
        <f>[1]Results!AF1624</f>
        <v>2719.2150029999998</v>
      </c>
      <c r="AD268" s="6">
        <f>[1]Results!AG1624</f>
        <v>2745.2373889999999</v>
      </c>
      <c r="AE268" s="6">
        <f>[1]Results!AH1624</f>
        <v>2771.443608</v>
      </c>
      <c r="AF268" s="6">
        <f>[1]Results!AI1624</f>
        <v>2797.8521230000001</v>
      </c>
      <c r="AG268" s="6">
        <f>[1]Results!AJ1624</f>
        <v>2824.502606</v>
      </c>
      <c r="AH268" s="6">
        <f>[1]Results!AK1624</f>
        <v>2851.4763419999999</v>
      </c>
      <c r="AI268" s="6">
        <f>[1]Results!AL1624</f>
        <v>2878.7941729999998</v>
      </c>
      <c r="AJ268" s="6">
        <f>[1]Results!AM1624</f>
        <v>2906.4804629999999</v>
      </c>
      <c r="AK268" s="6">
        <f>[1]Results!AN1624</f>
        <v>2934.5580869999999</v>
      </c>
      <c r="AL268" s="6">
        <f>[1]Results!AO1624</f>
        <v>2963.045361</v>
      </c>
      <c r="AM268" s="6">
        <f>[1]Results!AP1624</f>
        <v>2991.588377</v>
      </c>
      <c r="AN268" s="6">
        <f>[1]Results!AQ1624</f>
        <v>3020.2675669999999</v>
      </c>
      <c r="AO268" s="6">
        <f>[1]Results!AR1624</f>
        <v>3049.152407</v>
      </c>
      <c r="AP268" s="6">
        <f>[1]Results!AS1624</f>
        <v>3078.2871639999998</v>
      </c>
      <c r="AQ268" s="6">
        <f>[1]Results!AT1624</f>
        <v>3107.7020790000001</v>
      </c>
      <c r="AR268" s="6">
        <f>[1]Results!AU1624</f>
        <v>3137.4727379999999</v>
      </c>
      <c r="AS268" s="6">
        <f>[1]Results!AV1624</f>
        <v>3167.5903159999998</v>
      </c>
      <c r="AT268" s="6">
        <f>[1]Results!AW1624</f>
        <v>3198.055261</v>
      </c>
      <c r="AU268" s="6">
        <f>[1]Results!AX1624</f>
        <v>3228.871333</v>
      </c>
      <c r="AV268" s="6">
        <f>[1]Results!AY1624</f>
        <v>3260.041381</v>
      </c>
      <c r="AW268" s="6">
        <f>[1]Results!AZ1624</f>
        <v>3291.8148759999999</v>
      </c>
      <c r="AX268" s="6">
        <f>[1]Results!BA1624</f>
        <v>3324.095468</v>
      </c>
      <c r="AY268" s="6">
        <f>[1]Results!BB1624</f>
        <v>3356.841762</v>
      </c>
      <c r="AZ268" s="6">
        <f>[1]Results!BC1624</f>
        <v>3390.039835</v>
      </c>
      <c r="BA268" s="6">
        <f>[1]Results!BD1624</f>
        <v>3423.6818119999998</v>
      </c>
      <c r="BB268" s="6">
        <f>[1]Results!BE1624</f>
        <v>3457.871142</v>
      </c>
      <c r="BC268" s="6">
        <f>[1]Results!BF1624</f>
        <v>3492.5432580000002</v>
      </c>
      <c r="BD268" s="6">
        <f>[1]Results!BG1624</f>
        <v>3527.6618979999998</v>
      </c>
      <c r="BE268" s="6">
        <f>[1]Results!BH1624</f>
        <v>3563.2065069999999</v>
      </c>
      <c r="BF268" s="6">
        <f>[1]Results!BI1624</f>
        <v>3599.1624320000001</v>
      </c>
    </row>
    <row r="269" spans="1:58" x14ac:dyDescent="0.35">
      <c r="B269" t="s">
        <v>33</v>
      </c>
      <c r="C269" s="6">
        <f>[1]Results!F1629</f>
        <v>3610.8132439999999</v>
      </c>
      <c r="D269" s="6">
        <f>[1]Results!G1629</f>
        <v>3616.8952789999998</v>
      </c>
      <c r="E269" s="6">
        <f>[1]Results!H1629</f>
        <v>3624.4983809999999</v>
      </c>
      <c r="F269" s="6">
        <f>[1]Results!I1629</f>
        <v>3634.4954870000001</v>
      </c>
      <c r="G269" s="6">
        <f>[1]Results!J1629</f>
        <v>3647.909275</v>
      </c>
      <c r="H269" s="6">
        <f>[1]Results!K1629</f>
        <v>3665.063396</v>
      </c>
      <c r="I269" s="6">
        <f>[1]Results!L1629</f>
        <v>3684.2381599999999</v>
      </c>
      <c r="J269" s="6">
        <f>[1]Results!M1629</f>
        <v>3705.1818349999999</v>
      </c>
      <c r="K269" s="6">
        <f>[1]Results!N1629</f>
        <v>3727.828516</v>
      </c>
      <c r="L269" s="6">
        <f>[1]Results!O1629</f>
        <v>3752.0262910000001</v>
      </c>
      <c r="M269" s="6">
        <f>[1]Results!P1629</f>
        <v>3779.7619060000002</v>
      </c>
      <c r="N269" s="6">
        <f>[1]Results!Q1629</f>
        <v>3807.8064810000001</v>
      </c>
      <c r="O269" s="6">
        <f>[1]Results!R1629</f>
        <v>3835.9082880000001</v>
      </c>
      <c r="P269" s="6">
        <f>[1]Results!S1629</f>
        <v>3864.08527</v>
      </c>
      <c r="Q269" s="6">
        <f>[1]Results!T1629</f>
        <v>3892.317689</v>
      </c>
      <c r="R269" s="6">
        <f>[1]Results!U1629</f>
        <v>3920.5678469999998</v>
      </c>
      <c r="S269" s="6">
        <f>[1]Results!V1629</f>
        <v>3948.6500209999999</v>
      </c>
      <c r="T269" s="6">
        <f>[1]Results!W1629</f>
        <v>3976.6231210000001</v>
      </c>
      <c r="U269" s="6">
        <f>[1]Results!X1629</f>
        <v>4004.550561</v>
      </c>
      <c r="V269" s="6">
        <f>[1]Results!Y1629</f>
        <v>4032.49694</v>
      </c>
      <c r="W269" s="6">
        <f>[1]Results!Z1629</f>
        <v>4058.9370159999999</v>
      </c>
      <c r="X269" s="6">
        <f>[1]Results!AA1629</f>
        <v>4085.9273920000001</v>
      </c>
      <c r="Y269" s="6">
        <f>[1]Results!AB1629</f>
        <v>4113.5772260000003</v>
      </c>
      <c r="Z269" s="6">
        <f>[1]Results!AC1629</f>
        <v>4141.831604</v>
      </c>
      <c r="AA269" s="6">
        <f>[1]Results!AD1629</f>
        <v>4170.689351</v>
      </c>
      <c r="AB269" s="6">
        <f>[1]Results!AE1629</f>
        <v>4195.6919589999998</v>
      </c>
      <c r="AC269" s="6">
        <f>[1]Results!AF1629</f>
        <v>4220.3937820000001</v>
      </c>
      <c r="AD269" s="6">
        <f>[1]Results!AG1629</f>
        <v>4245.3763319999998</v>
      </c>
      <c r="AE269" s="6">
        <f>[1]Results!AH1629</f>
        <v>4270.7975919999999</v>
      </c>
      <c r="AF269" s="6">
        <f>[1]Results!AI1629</f>
        <v>4296.781105</v>
      </c>
      <c r="AG269" s="6">
        <f>[1]Results!AJ1629</f>
        <v>4323.4498869999998</v>
      </c>
      <c r="AH269" s="6">
        <f>[1]Results!AK1629</f>
        <v>4350.953673</v>
      </c>
      <c r="AI269" s="6">
        <f>[1]Results!AL1629</f>
        <v>4379.3803269999999</v>
      </c>
      <c r="AJ269" s="6">
        <f>[1]Results!AM1629</f>
        <v>4408.8051070000001</v>
      </c>
      <c r="AK269" s="6">
        <f>[1]Results!AN1629</f>
        <v>4439.2898400000004</v>
      </c>
      <c r="AL269" s="6">
        <f>[1]Results!AO1629</f>
        <v>4470.8812209999996</v>
      </c>
      <c r="AM269" s="6">
        <f>[1]Results!AP1629</f>
        <v>4502.875419</v>
      </c>
      <c r="AN269" s="6">
        <f>[1]Results!AQ1629</f>
        <v>4535.4099859999997</v>
      </c>
      <c r="AO269" s="6">
        <f>[1]Results!AR1629</f>
        <v>4568.6683499999999</v>
      </c>
      <c r="AP269" s="6">
        <f>[1]Results!AS1629</f>
        <v>4602.7720339999996</v>
      </c>
      <c r="AQ269" s="6">
        <f>[1]Results!AT1629</f>
        <v>4637.7930640000004</v>
      </c>
      <c r="AR269" s="6">
        <f>[1]Results!AU1629</f>
        <v>4673.8212780000003</v>
      </c>
      <c r="AS269" s="6">
        <f>[1]Results!AV1629</f>
        <v>4710.8634940000002</v>
      </c>
      <c r="AT269" s="6">
        <f>[1]Results!AW1629</f>
        <v>4748.9216759999999</v>
      </c>
      <c r="AU269" s="6">
        <f>[1]Results!AX1629</f>
        <v>4787.9956599999996</v>
      </c>
      <c r="AV269" s="6">
        <f>[1]Results!AY1629</f>
        <v>4828.0824130000001</v>
      </c>
      <c r="AW269" s="6">
        <f>[1]Results!AZ1629</f>
        <v>4869.4482829999997</v>
      </c>
      <c r="AX269" s="6">
        <f>[1]Results!BA1629</f>
        <v>4912.051504</v>
      </c>
      <c r="AY269" s="6">
        <f>[1]Results!BB1629</f>
        <v>4955.8788709999999</v>
      </c>
      <c r="AZ269" s="6">
        <f>[1]Results!BC1629</f>
        <v>5000.9368119999999</v>
      </c>
      <c r="BA269" s="6">
        <f>[1]Results!BD1629</f>
        <v>5047.2299460000004</v>
      </c>
      <c r="BB269" s="6">
        <f>[1]Results!BE1629</f>
        <v>5094.8561959999997</v>
      </c>
      <c r="BC269" s="6">
        <f>[1]Results!BF1629</f>
        <v>5143.7719500000003</v>
      </c>
      <c r="BD269" s="6">
        <f>[1]Results!BG1629</f>
        <v>5193.9468900000002</v>
      </c>
      <c r="BE269" s="6">
        <f>[1]Results!BH1629</f>
        <v>5245.3648210000001</v>
      </c>
      <c r="BF269" s="6">
        <f>[1]Results!BI1629</f>
        <v>5298.0177279999998</v>
      </c>
    </row>
    <row r="271" spans="1:58" x14ac:dyDescent="0.35">
      <c r="A271" s="12" t="s">
        <v>21</v>
      </c>
      <c r="B271" t="s">
        <v>26</v>
      </c>
      <c r="C271" s="6">
        <f>[1]Results!F1639</f>
        <v>473222.20449999999</v>
      </c>
      <c r="D271" s="6">
        <f>[1]Results!G1639</f>
        <v>479535.71799999999</v>
      </c>
      <c r="E271" s="6">
        <f>[1]Results!H1639</f>
        <v>486404.21620000002</v>
      </c>
      <c r="F271" s="6">
        <f>[1]Results!I1639</f>
        <v>493756.32160000002</v>
      </c>
      <c r="G271" s="6">
        <f>[1]Results!J1639</f>
        <v>501524.69660000002</v>
      </c>
      <c r="H271" s="6">
        <f>[1]Results!K1639</f>
        <v>509663.84749999997</v>
      </c>
      <c r="I271" s="6">
        <f>[1]Results!L1639</f>
        <v>517948.18280000001</v>
      </c>
      <c r="J271" s="6">
        <f>[1]Results!M1639</f>
        <v>526410.6568</v>
      </c>
      <c r="K271" s="6">
        <f>[1]Results!N1639</f>
        <v>535078.52870000002</v>
      </c>
      <c r="L271" s="6">
        <f>[1]Results!O1639</f>
        <v>543968.31110000005</v>
      </c>
      <c r="M271" s="6">
        <f>[1]Results!P1639</f>
        <v>553440.23600000003</v>
      </c>
      <c r="N271" s="6">
        <f>[1]Results!Q1639</f>
        <v>563065.29269999999</v>
      </c>
      <c r="O271" s="6">
        <f>[1]Results!R1639</f>
        <v>572866.74769999995</v>
      </c>
      <c r="P271" s="6">
        <f>[1]Results!S1639</f>
        <v>582865.13509999996</v>
      </c>
      <c r="Q271" s="6">
        <f>[1]Results!T1639</f>
        <v>593069.48030000005</v>
      </c>
      <c r="R271" s="6">
        <f>[1]Results!U1639</f>
        <v>603483.72739999997</v>
      </c>
      <c r="S271" s="6">
        <f>[1]Results!V1639</f>
        <v>614110.22349999996</v>
      </c>
      <c r="T271" s="6">
        <f>[1]Results!W1639</f>
        <v>624950.97439999995</v>
      </c>
      <c r="U271" s="6">
        <f>[1]Results!X1639</f>
        <v>636007.8284</v>
      </c>
      <c r="V271" s="6">
        <f>[1]Results!Y1639</f>
        <v>647282.27850000001</v>
      </c>
      <c r="W271" s="6">
        <f>[1]Results!Z1639</f>
        <v>658510.55290000001</v>
      </c>
      <c r="X271" s="6">
        <f>[1]Results!AA1639</f>
        <v>670018.11309999996</v>
      </c>
      <c r="Y271" s="6">
        <f>[1]Results!AB1639</f>
        <v>681788.45429999998</v>
      </c>
      <c r="Z271" s="6">
        <f>[1]Results!AC1639</f>
        <v>693804.71580000001</v>
      </c>
      <c r="AA271" s="6">
        <f>[1]Results!AD1639</f>
        <v>706056.90300000005</v>
      </c>
      <c r="AB271" s="6">
        <f>[1]Results!AE1639</f>
        <v>717765.83050000004</v>
      </c>
      <c r="AC271" s="6">
        <f>[1]Results!AF1639</f>
        <v>729504.46369999996</v>
      </c>
      <c r="AD271" s="6">
        <f>[1]Results!AG1639</f>
        <v>741298.69660000002</v>
      </c>
      <c r="AE271" s="6">
        <f>[1]Results!AH1639</f>
        <v>753155.01009999996</v>
      </c>
      <c r="AF271" s="6">
        <f>[1]Results!AI1639</f>
        <v>765081.6078</v>
      </c>
      <c r="AG271" s="6">
        <f>[1]Results!AJ1639</f>
        <v>777086.35900000005</v>
      </c>
      <c r="AH271" s="6">
        <f>[1]Results!AK1639</f>
        <v>789174.86990000005</v>
      </c>
      <c r="AI271" s="6">
        <f>[1]Results!AL1639</f>
        <v>801349.80099999998</v>
      </c>
      <c r="AJ271" s="6">
        <f>[1]Results!AM1639</f>
        <v>813611.05660000001</v>
      </c>
      <c r="AK271" s="6">
        <f>[1]Results!AN1639</f>
        <v>825956.42429999996</v>
      </c>
      <c r="AL271" s="6">
        <f>[1]Results!AO1639</f>
        <v>838382.36239999998</v>
      </c>
      <c r="AM271" s="6">
        <f>[1]Results!AP1639</f>
        <v>850694.96970000002</v>
      </c>
      <c r="AN271" s="6">
        <f>[1]Results!AQ1639</f>
        <v>862930.71730000002</v>
      </c>
      <c r="AO271" s="6">
        <f>[1]Results!AR1639</f>
        <v>875116.26699999999</v>
      </c>
      <c r="AP271" s="6">
        <f>[1]Results!AS1639</f>
        <v>887268.72750000004</v>
      </c>
      <c r="AQ271" s="6">
        <f>[1]Results!AT1639</f>
        <v>899400.95730000001</v>
      </c>
      <c r="AR271" s="6">
        <f>[1]Results!AU1639</f>
        <v>911523.86580000003</v>
      </c>
      <c r="AS271" s="6">
        <f>[1]Results!AV1639</f>
        <v>923647.12970000005</v>
      </c>
      <c r="AT271" s="6">
        <f>[1]Results!AW1639</f>
        <v>935779.36769999994</v>
      </c>
      <c r="AU271" s="6">
        <f>[1]Results!AX1639</f>
        <v>947928.24890000001</v>
      </c>
      <c r="AV271" s="6">
        <f>[1]Results!AY1639</f>
        <v>960100.68870000006</v>
      </c>
      <c r="AW271" s="6">
        <f>[1]Results!AZ1639</f>
        <v>972320.42850000004</v>
      </c>
      <c r="AX271" s="6">
        <f>[1]Results!BA1639</f>
        <v>984590.03749999998</v>
      </c>
      <c r="AY271" s="6">
        <f>[1]Results!BB1639</f>
        <v>996913.12540000002</v>
      </c>
      <c r="AZ271" s="6">
        <f>[1]Results!BC1639</f>
        <v>1009294.171</v>
      </c>
      <c r="BA271" s="6">
        <f>[1]Results!BD1639</f>
        <v>1021738.414</v>
      </c>
      <c r="BB271" s="6">
        <f>[1]Results!BE1639</f>
        <v>1034251.97</v>
      </c>
      <c r="BC271" s="6">
        <f>[1]Results!BF1639</f>
        <v>1046841.8590000001</v>
      </c>
      <c r="BD271" s="6">
        <f>[1]Results!BG1639</f>
        <v>1059515.932</v>
      </c>
      <c r="BE271" s="6">
        <f>[1]Results!BH1639</f>
        <v>1072282.7660000001</v>
      </c>
      <c r="BF271" s="6">
        <f>[1]Results!BI1639</f>
        <v>1085151.537</v>
      </c>
    </row>
    <row r="272" spans="1:58" x14ac:dyDescent="0.35">
      <c r="A272" t="s">
        <v>38</v>
      </c>
      <c r="B272" t="s">
        <v>7</v>
      </c>
      <c r="C272" s="6">
        <f>[1]Results!F1640</f>
        <v>4444.0176270000002</v>
      </c>
      <c r="D272" s="6">
        <f>[1]Results!G1640</f>
        <v>4488.0620580000004</v>
      </c>
      <c r="E272" s="6">
        <f>[1]Results!H1640</f>
        <v>4532.6467709999997</v>
      </c>
      <c r="F272" s="6">
        <f>[1]Results!I1640</f>
        <v>4582.237263</v>
      </c>
      <c r="G272" s="6">
        <f>[1]Results!J1640</f>
        <v>4637.9010760000001</v>
      </c>
      <c r="H272" s="6">
        <f>[1]Results!K1640</f>
        <v>4699.4452179999998</v>
      </c>
      <c r="I272" s="6">
        <f>[1]Results!L1640</f>
        <v>4764.3885289999998</v>
      </c>
      <c r="J272" s="6">
        <f>[1]Results!M1640</f>
        <v>4832.4695449999999</v>
      </c>
      <c r="K272" s="6">
        <f>[1]Results!N1640</f>
        <v>4903.4569190000002</v>
      </c>
      <c r="L272" s="6">
        <f>[1]Results!O1640</f>
        <v>4977.1101099999996</v>
      </c>
      <c r="M272" s="6">
        <f>[1]Results!P1640</f>
        <v>5056.5187210000004</v>
      </c>
      <c r="N272" s="6">
        <f>[1]Results!Q1640</f>
        <v>5137.5110070000001</v>
      </c>
      <c r="O272" s="6">
        <f>[1]Results!R1640</f>
        <v>5219.9802650000001</v>
      </c>
      <c r="P272" s="6">
        <f>[1]Results!S1640</f>
        <v>5303.9302559999996</v>
      </c>
      <c r="Q272" s="6">
        <f>[1]Results!T1640</f>
        <v>5389.3211099999999</v>
      </c>
      <c r="R272" s="6">
        <f>[1]Results!U1640</f>
        <v>5476.1104560000003</v>
      </c>
      <c r="S272" s="6">
        <f>[1]Results!V1640</f>
        <v>5564.274813</v>
      </c>
      <c r="T272" s="6">
        <f>[1]Results!W1640</f>
        <v>5653.8114839999998</v>
      </c>
      <c r="U272" s="6">
        <f>[1]Results!X1640</f>
        <v>5744.7326730000004</v>
      </c>
      <c r="V272" s="6">
        <f>[1]Results!Y1640</f>
        <v>5837.0585529999998</v>
      </c>
      <c r="W272" s="6">
        <f>[1]Results!Z1640</f>
        <v>5928.335583</v>
      </c>
      <c r="X272" s="6">
        <f>[1]Results!AA1640</f>
        <v>6021.5515079999996</v>
      </c>
      <c r="Y272" s="6">
        <f>[1]Results!AB1640</f>
        <v>6116.6896889999998</v>
      </c>
      <c r="Z272" s="6">
        <f>[1]Results!AC1640</f>
        <v>6213.6633659999998</v>
      </c>
      <c r="AA272" s="6">
        <f>[1]Results!AD1640</f>
        <v>6312.4292160000005</v>
      </c>
      <c r="AB272" s="6">
        <f>[1]Results!AE1640</f>
        <v>6405.7649430000001</v>
      </c>
      <c r="AC272" s="6">
        <f>[1]Results!AF1640</f>
        <v>6498.8306670000002</v>
      </c>
      <c r="AD272" s="6">
        <f>[1]Results!AG1640</f>
        <v>6592.1205030000001</v>
      </c>
      <c r="AE272" s="6">
        <f>[1]Results!AH1640</f>
        <v>6685.8917419999998</v>
      </c>
      <c r="AF272" s="6">
        <f>[1]Results!AI1640</f>
        <v>6780.4005040000002</v>
      </c>
      <c r="AG272" s="6">
        <f>[1]Results!AJ1640</f>
        <v>6875.8779500000001</v>
      </c>
      <c r="AH272" s="6">
        <f>[1]Results!AK1640</f>
        <v>6972.507834</v>
      </c>
      <c r="AI272" s="6">
        <f>[1]Results!AL1640</f>
        <v>7070.4217179999996</v>
      </c>
      <c r="AJ272" s="6">
        <f>[1]Results!AM1640</f>
        <v>7169.705242</v>
      </c>
      <c r="AK272" s="6">
        <f>[1]Results!AN1640</f>
        <v>7270.4089160000003</v>
      </c>
      <c r="AL272" s="6">
        <f>[1]Results!AO1640</f>
        <v>7372.5594629999996</v>
      </c>
      <c r="AM272" s="6">
        <f>[1]Results!AP1640</f>
        <v>7474.4116599999998</v>
      </c>
      <c r="AN272" s="6">
        <f>[1]Results!AQ1640</f>
        <v>7576.3010370000002</v>
      </c>
      <c r="AO272" s="6">
        <f>[1]Results!AR1640</f>
        <v>7678.5395319999998</v>
      </c>
      <c r="AP272" s="6">
        <f>[1]Results!AS1640</f>
        <v>7781.3699729999998</v>
      </c>
      <c r="AQ272" s="6">
        <f>[1]Results!AT1640</f>
        <v>7884.9984240000003</v>
      </c>
      <c r="AR272" s="6">
        <f>[1]Results!AU1640</f>
        <v>7989.6052239999999</v>
      </c>
      <c r="AS272" s="6">
        <f>[1]Results!AV1640</f>
        <v>8095.3451020000002</v>
      </c>
      <c r="AT272" s="6">
        <f>[1]Results!AW1640</f>
        <v>8202.3458269999992</v>
      </c>
      <c r="AU272" s="6">
        <f>[1]Results!AX1640</f>
        <v>8310.7088889999995</v>
      </c>
      <c r="AV272" s="6">
        <f>[1]Results!AY1640</f>
        <v>8420.5122200000005</v>
      </c>
      <c r="AW272" s="6">
        <f>[1]Results!AZ1640</f>
        <v>8531.9724729999998</v>
      </c>
      <c r="AX272" s="6">
        <f>[1]Results!BA1640</f>
        <v>8645.1093579999997</v>
      </c>
      <c r="AY272" s="6">
        <f>[1]Results!BB1640</f>
        <v>8759.9395179999992</v>
      </c>
      <c r="AZ272" s="6">
        <f>[1]Results!BC1640</f>
        <v>8876.4714600000007</v>
      </c>
      <c r="BA272" s="6">
        <f>[1]Results!BD1640</f>
        <v>8994.7104450000006</v>
      </c>
      <c r="BB272" s="6">
        <f>[1]Results!BE1640</f>
        <v>9114.6644689999994</v>
      </c>
      <c r="BC272" s="6">
        <f>[1]Results!BF1640</f>
        <v>9236.3463040000006</v>
      </c>
      <c r="BD272" s="6">
        <f>[1]Results!BG1640</f>
        <v>9359.7733740000003</v>
      </c>
      <c r="BE272" s="6">
        <f>[1]Results!BH1640</f>
        <v>9484.9669319999994</v>
      </c>
      <c r="BF272" s="6">
        <f>[1]Results!BI1640</f>
        <v>9611.9510869999995</v>
      </c>
    </row>
    <row r="273" spans="1:58" x14ac:dyDescent="0.35">
      <c r="B273" t="s">
        <v>30</v>
      </c>
      <c r="C273" s="6">
        <f>[1]Results!F1643</f>
        <v>235100.95420000001</v>
      </c>
      <c r="D273" s="6">
        <f>[1]Results!G1643</f>
        <v>238344.5226</v>
      </c>
      <c r="E273" s="6">
        <f>[1]Results!H1643</f>
        <v>241920.59419999999</v>
      </c>
      <c r="F273" s="6">
        <f>[1]Results!I1643</f>
        <v>245745.02059999999</v>
      </c>
      <c r="G273" s="6">
        <f>[1]Results!J1643</f>
        <v>249762.5914</v>
      </c>
      <c r="H273" s="6">
        <f>[1]Results!K1643</f>
        <v>253946.9258</v>
      </c>
      <c r="I273" s="6">
        <f>[1]Results!L1643</f>
        <v>258201.8113</v>
      </c>
      <c r="J273" s="6">
        <f>[1]Results!M1643</f>
        <v>262543.01449999999</v>
      </c>
      <c r="K273" s="6">
        <f>[1]Results!N1643</f>
        <v>266988.00459999999</v>
      </c>
      <c r="L273" s="6">
        <f>[1]Results!O1643</f>
        <v>271550.33130000002</v>
      </c>
      <c r="M273" s="6">
        <f>[1]Results!P1643</f>
        <v>276394.68890000001</v>
      </c>
      <c r="N273" s="6">
        <f>[1]Results!Q1643</f>
        <v>281345.98469999997</v>
      </c>
      <c r="O273" s="6">
        <f>[1]Results!R1643</f>
        <v>286411.80930000002</v>
      </c>
      <c r="P273" s="6">
        <f>[1]Results!S1643</f>
        <v>291601.40600000002</v>
      </c>
      <c r="Q273" s="6">
        <f>[1]Results!T1643</f>
        <v>296920.24180000002</v>
      </c>
      <c r="R273" s="6">
        <f>[1]Results!U1643</f>
        <v>302371.5024</v>
      </c>
      <c r="S273" s="6">
        <f>[1]Results!V1643</f>
        <v>307957.24550000002</v>
      </c>
      <c r="T273" s="6">
        <f>[1]Results!W1643</f>
        <v>313678.95939999999</v>
      </c>
      <c r="U273" s="6">
        <f>[1]Results!X1643</f>
        <v>319537.72519999999</v>
      </c>
      <c r="V273" s="6">
        <f>[1]Results!Y1643</f>
        <v>325534.18520000001</v>
      </c>
      <c r="W273" s="6">
        <f>[1]Results!Z1643</f>
        <v>331551.12560000003</v>
      </c>
      <c r="X273" s="6">
        <f>[1]Results!AA1643</f>
        <v>337724.21899999998</v>
      </c>
      <c r="Y273" s="6">
        <f>[1]Results!AB1643</f>
        <v>344050.01890000002</v>
      </c>
      <c r="Z273" s="6">
        <f>[1]Results!AC1643</f>
        <v>350521.8898</v>
      </c>
      <c r="AA273" s="6">
        <f>[1]Results!AD1643</f>
        <v>357134.49540000001</v>
      </c>
      <c r="AB273" s="6">
        <f>[1]Results!AE1643</f>
        <v>363540.1017</v>
      </c>
      <c r="AC273" s="6">
        <f>[1]Results!AF1643</f>
        <v>369966.99890000001</v>
      </c>
      <c r="AD273" s="6">
        <f>[1]Results!AG1643</f>
        <v>376427.0281</v>
      </c>
      <c r="AE273" s="6">
        <f>[1]Results!AH1643</f>
        <v>382921.5368</v>
      </c>
      <c r="AF273" s="6">
        <f>[1]Results!AI1643</f>
        <v>389450.804</v>
      </c>
      <c r="AG273" s="6">
        <f>[1]Results!AJ1643</f>
        <v>396014.40879999998</v>
      </c>
      <c r="AH273" s="6">
        <f>[1]Results!AK1643</f>
        <v>402610.96629999997</v>
      </c>
      <c r="AI273" s="6">
        <f>[1]Results!AL1643</f>
        <v>409237.97979999997</v>
      </c>
      <c r="AJ273" s="6">
        <f>[1]Results!AM1643</f>
        <v>415891.91729999997</v>
      </c>
      <c r="AK273" s="6">
        <f>[1]Results!AN1643</f>
        <v>422568.46039999998</v>
      </c>
      <c r="AL273" s="6">
        <f>[1]Results!AO1643</f>
        <v>429262.83840000001</v>
      </c>
      <c r="AM273" s="6">
        <f>[1]Results!AP1643</f>
        <v>435885.40120000002</v>
      </c>
      <c r="AN273" s="6">
        <f>[1]Results!AQ1643</f>
        <v>442443.24699999997</v>
      </c>
      <c r="AO273" s="6">
        <f>[1]Results!AR1643</f>
        <v>448942.93099999998</v>
      </c>
      <c r="AP273" s="6">
        <f>[1]Results!AS1643</f>
        <v>455388.5552</v>
      </c>
      <c r="AQ273" s="6">
        <f>[1]Results!AT1643</f>
        <v>461783.05959999998</v>
      </c>
      <c r="AR273" s="6">
        <f>[1]Results!AU1643</f>
        <v>468128.98599999998</v>
      </c>
      <c r="AS273" s="6">
        <f>[1]Results!AV1643</f>
        <v>474428.79379999998</v>
      </c>
      <c r="AT273" s="6">
        <f>[1]Results!AW1643</f>
        <v>480684.962</v>
      </c>
      <c r="AU273" s="6">
        <f>[1]Results!AX1643</f>
        <v>486900.03269999998</v>
      </c>
      <c r="AV273" s="6">
        <f>[1]Results!AY1643</f>
        <v>493076.67249999999</v>
      </c>
      <c r="AW273" s="6">
        <f>[1]Results!AZ1643</f>
        <v>499225.49550000002</v>
      </c>
      <c r="AX273" s="6">
        <f>[1]Results!BA1643</f>
        <v>505348.59850000002</v>
      </c>
      <c r="AY273" s="6">
        <f>[1]Results!BB1643</f>
        <v>511448.57020000002</v>
      </c>
      <c r="AZ273" s="6">
        <f>[1]Results!BC1643</f>
        <v>517528.63699999999</v>
      </c>
      <c r="BA273" s="6">
        <f>[1]Results!BD1643</f>
        <v>523592.6752</v>
      </c>
      <c r="BB273" s="6">
        <f>[1]Results!BE1643</f>
        <v>529645.24699999997</v>
      </c>
      <c r="BC273" s="6">
        <f>[1]Results!BF1643</f>
        <v>535691.58920000005</v>
      </c>
      <c r="BD273" s="6">
        <f>[1]Results!BG1643</f>
        <v>541737.56449999998</v>
      </c>
      <c r="BE273" s="6">
        <f>[1]Results!BH1643</f>
        <v>547789.59270000004</v>
      </c>
      <c r="BF273" s="6">
        <f>[1]Results!BI1643</f>
        <v>553854.57290000003</v>
      </c>
    </row>
    <row r="274" spans="1:58" x14ac:dyDescent="0.35">
      <c r="B274" t="s">
        <v>28</v>
      </c>
      <c r="C274" s="6">
        <f>[1]Results!F1655</f>
        <v>8024.1639029999997</v>
      </c>
      <c r="D274" s="6">
        <f>[1]Results!G1655</f>
        <v>8132.0422669999998</v>
      </c>
      <c r="E274" s="6">
        <f>[1]Results!H1655</f>
        <v>8248.5171609999998</v>
      </c>
      <c r="F274" s="6">
        <f>[1]Results!I1655</f>
        <v>8372.0966580000004</v>
      </c>
      <c r="G274" s="6">
        <f>[1]Results!J1655</f>
        <v>8501.6821060000002</v>
      </c>
      <c r="H274" s="6">
        <f>[1]Results!K1655</f>
        <v>8636.3994610000009</v>
      </c>
      <c r="I274" s="6">
        <f>[1]Results!L1655</f>
        <v>8771.2897589999993</v>
      </c>
      <c r="J274" s="6">
        <f>[1]Results!M1655</f>
        <v>8907.7087510000001</v>
      </c>
      <c r="K274" s="6">
        <f>[1]Results!N1655</f>
        <v>9046.177087</v>
      </c>
      <c r="L274" s="6">
        <f>[1]Results!O1655</f>
        <v>9186.8322250000001</v>
      </c>
      <c r="M274" s="6">
        <f>[1]Results!P1655</f>
        <v>9337.1962390000008</v>
      </c>
      <c r="N274" s="6">
        <f>[1]Results!Q1655</f>
        <v>9486.3876619999992</v>
      </c>
      <c r="O274" s="6">
        <f>[1]Results!R1655</f>
        <v>9636.1222080000007</v>
      </c>
      <c r="P274" s="6">
        <f>[1]Results!S1655</f>
        <v>9787.2138699999996</v>
      </c>
      <c r="Q274" s="6">
        <f>[1]Results!T1655</f>
        <v>9939.9767790000005</v>
      </c>
      <c r="R274" s="6">
        <f>[1]Results!U1655</f>
        <v>10094.566650000001</v>
      </c>
      <c r="S274" s="6">
        <f>[1]Results!V1655</f>
        <v>10251.10511</v>
      </c>
      <c r="T274" s="6">
        <f>[1]Results!W1655</f>
        <v>10409.7155</v>
      </c>
      <c r="U274" s="6">
        <f>[1]Results!X1655</f>
        <v>10570.527190000001</v>
      </c>
      <c r="V274" s="6">
        <f>[1]Results!Y1655</f>
        <v>10733.67078</v>
      </c>
      <c r="W274" s="6">
        <f>[1]Results!Z1655</f>
        <v>10893.636490000001</v>
      </c>
      <c r="X274" s="6">
        <f>[1]Results!AA1655</f>
        <v>11058.68102</v>
      </c>
      <c r="Y274" s="6">
        <f>[1]Results!AB1655</f>
        <v>11227.617469999999</v>
      </c>
      <c r="Z274" s="6">
        <f>[1]Results!AC1655</f>
        <v>11399.929690000001</v>
      </c>
      <c r="AA274" s="6">
        <f>[1]Results!AD1655</f>
        <v>11575.47306</v>
      </c>
      <c r="AB274" s="6">
        <f>[1]Results!AE1655</f>
        <v>11737.84527</v>
      </c>
      <c r="AC274" s="6">
        <f>[1]Results!AF1655</f>
        <v>11902.896059999999</v>
      </c>
      <c r="AD274" s="6">
        <f>[1]Results!AG1655</f>
        <v>12070.222540000001</v>
      </c>
      <c r="AE274" s="6">
        <f>[1]Results!AH1655</f>
        <v>12239.661</v>
      </c>
      <c r="AF274" s="6">
        <f>[1]Results!AI1655</f>
        <v>12411.33244</v>
      </c>
      <c r="AG274" s="6">
        <f>[1]Results!AJ1655</f>
        <v>12585.427439999999</v>
      </c>
      <c r="AH274" s="6">
        <f>[1]Results!AK1655</f>
        <v>12762.11657</v>
      </c>
      <c r="AI274" s="6">
        <f>[1]Results!AL1655</f>
        <v>12941.522800000001</v>
      </c>
      <c r="AJ274" s="6">
        <f>[1]Results!AM1655</f>
        <v>13123.72055</v>
      </c>
      <c r="AK274" s="6">
        <f>[1]Results!AN1655</f>
        <v>13308.745269999999</v>
      </c>
      <c r="AL274" s="6">
        <f>[1]Results!AO1655</f>
        <v>13496.605729999999</v>
      </c>
      <c r="AM274" s="6">
        <f>[1]Results!AP1655</f>
        <v>13683.2808</v>
      </c>
      <c r="AN274" s="6">
        <f>[1]Results!AQ1655</f>
        <v>13870.48345</v>
      </c>
      <c r="AO274" s="6">
        <f>[1]Results!AR1655</f>
        <v>14059.032999999999</v>
      </c>
      <c r="AP274" s="6">
        <f>[1]Results!AS1655</f>
        <v>14249.329400000001</v>
      </c>
      <c r="AQ274" s="6">
        <f>[1]Results!AT1655</f>
        <v>14441.620199999999</v>
      </c>
      <c r="AR274" s="6">
        <f>[1]Results!AU1655</f>
        <v>14636.091119999999</v>
      </c>
      <c r="AS274" s="6">
        <f>[1]Results!AV1655</f>
        <v>14832.89234</v>
      </c>
      <c r="AT274" s="6">
        <f>[1]Results!AW1655</f>
        <v>15032.145479999999</v>
      </c>
      <c r="AU274" s="6">
        <f>[1]Results!AX1655</f>
        <v>15233.94686</v>
      </c>
      <c r="AV274" s="6">
        <f>[1]Results!AY1655</f>
        <v>15438.37138</v>
      </c>
      <c r="AW274" s="6">
        <f>[1]Results!AZ1655</f>
        <v>15645.845020000001</v>
      </c>
      <c r="AX274" s="6">
        <f>[1]Results!BA1655</f>
        <v>15856.25864</v>
      </c>
      <c r="AY274" s="6">
        <f>[1]Results!BB1655</f>
        <v>16069.578310000001</v>
      </c>
      <c r="AZ274" s="6">
        <f>[1]Results!BC1655</f>
        <v>16285.801589999999</v>
      </c>
      <c r="BA274" s="6">
        <f>[1]Results!BD1655</f>
        <v>16504.938389999999</v>
      </c>
      <c r="BB274" s="6">
        <f>[1]Results!BE1655</f>
        <v>16727.007669999999</v>
      </c>
      <c r="BC274" s="6">
        <f>[1]Results!BF1655</f>
        <v>16952.03688</v>
      </c>
      <c r="BD274" s="6">
        <f>[1]Results!BG1655</f>
        <v>17180.061409999998</v>
      </c>
      <c r="BE274" s="6">
        <f>[1]Results!BH1655</f>
        <v>17411.123469999999</v>
      </c>
      <c r="BF274" s="6">
        <f>[1]Results!BI1655</f>
        <v>17645.270850000001</v>
      </c>
    </row>
    <row r="275" spans="1:58" x14ac:dyDescent="0.35">
      <c r="B275" t="s">
        <v>10</v>
      </c>
      <c r="C275" s="6">
        <f>[1]Results!F1660</f>
        <v>219751.9693</v>
      </c>
      <c r="D275" s="6">
        <f>[1]Results!G1660</f>
        <v>222616.73790000001</v>
      </c>
      <c r="E275" s="6">
        <f>[1]Results!H1660</f>
        <v>225704.5876</v>
      </c>
      <c r="F275" s="6">
        <f>[1]Results!I1660</f>
        <v>229017.53779999999</v>
      </c>
      <c r="G275" s="6">
        <f>[1]Results!J1660</f>
        <v>232539.38320000001</v>
      </c>
      <c r="H275" s="6">
        <f>[1]Results!K1660</f>
        <v>236250.1574</v>
      </c>
      <c r="I275" s="6">
        <f>[1]Results!L1660</f>
        <v>240029.6177</v>
      </c>
      <c r="J275" s="6">
        <f>[1]Results!M1660</f>
        <v>243893.4762</v>
      </c>
      <c r="K275" s="6">
        <f>[1]Results!N1660</f>
        <v>247851.3339</v>
      </c>
      <c r="L275" s="6">
        <f>[1]Results!O1660</f>
        <v>251906.64920000001</v>
      </c>
      <c r="M275" s="6">
        <f>[1]Results!P1660</f>
        <v>256240.8358</v>
      </c>
      <c r="N275" s="6">
        <f>[1]Results!Q1660</f>
        <v>260620.41329999999</v>
      </c>
      <c r="O275" s="6">
        <f>[1]Results!R1660</f>
        <v>265059.50229999999</v>
      </c>
      <c r="P275" s="6">
        <f>[1]Results!S1660</f>
        <v>269568.36969999998</v>
      </c>
      <c r="Q275" s="6">
        <f>[1]Results!T1660</f>
        <v>274150.20850000001</v>
      </c>
      <c r="R275" s="6">
        <f>[1]Results!U1660</f>
        <v>278805.63020000001</v>
      </c>
      <c r="S275" s="6">
        <f>[1]Results!V1660</f>
        <v>283534.80050000001</v>
      </c>
      <c r="T275" s="6">
        <f>[1]Results!W1660</f>
        <v>288338.07860000001</v>
      </c>
      <c r="U275" s="6">
        <f>[1]Results!X1660</f>
        <v>293216.03639999998</v>
      </c>
      <c r="V275" s="6">
        <f>[1]Results!Y1660</f>
        <v>298169.30589999998</v>
      </c>
      <c r="W275" s="6">
        <f>[1]Results!Z1660</f>
        <v>303062.0711</v>
      </c>
      <c r="X275" s="6">
        <f>[1]Results!AA1660</f>
        <v>308069.12109999999</v>
      </c>
      <c r="Y275" s="6">
        <f>[1]Results!AB1660</f>
        <v>313178.66509999998</v>
      </c>
      <c r="Z275" s="6">
        <f>[1]Results!AC1660</f>
        <v>318381.2634</v>
      </c>
      <c r="AA275" s="6">
        <f>[1]Results!AD1660</f>
        <v>323672.50170000002</v>
      </c>
      <c r="AB275" s="6">
        <f>[1]Results!AE1660</f>
        <v>328652.71100000001</v>
      </c>
      <c r="AC275" s="6">
        <f>[1]Results!AF1660</f>
        <v>333638.8848</v>
      </c>
      <c r="AD275" s="6">
        <f>[1]Results!AG1660</f>
        <v>338644.32659999997</v>
      </c>
      <c r="AE275" s="6">
        <f>[1]Results!AH1660</f>
        <v>343673.94630000001</v>
      </c>
      <c r="AF275" s="6">
        <f>[1]Results!AI1660</f>
        <v>348735.15130000003</v>
      </c>
      <c r="AG275" s="6">
        <f>[1]Results!AJ1660</f>
        <v>353835.6507</v>
      </c>
      <c r="AH275" s="6">
        <f>[1]Results!AK1660</f>
        <v>358981.92959999997</v>
      </c>
      <c r="AI275" s="6">
        <f>[1]Results!AL1660</f>
        <v>364178.7623</v>
      </c>
      <c r="AJ275" s="6">
        <f>[1]Results!AM1660</f>
        <v>369429.3247</v>
      </c>
      <c r="AK275" s="6">
        <f>[1]Results!AN1660</f>
        <v>374735.5637</v>
      </c>
      <c r="AL275" s="6">
        <f>[1]Results!AO1660</f>
        <v>380098.62229999999</v>
      </c>
      <c r="AM275" s="6">
        <f>[1]Results!AP1660</f>
        <v>385421.92340000003</v>
      </c>
      <c r="AN275" s="6">
        <f>[1]Results!AQ1660</f>
        <v>390732.23229999997</v>
      </c>
      <c r="AO275" s="6">
        <f>[1]Results!AR1660</f>
        <v>396048.0834</v>
      </c>
      <c r="AP275" s="6">
        <f>[1]Results!AS1660</f>
        <v>401381.58519999997</v>
      </c>
      <c r="AQ275" s="6">
        <f>[1]Results!AT1660</f>
        <v>406742.04139999999</v>
      </c>
      <c r="AR275" s="6">
        <f>[1]Results!AU1660</f>
        <v>412137.3371</v>
      </c>
      <c r="AS275" s="6">
        <f>[1]Results!AV1660</f>
        <v>417574.29229999997</v>
      </c>
      <c r="AT275" s="6">
        <f>[1]Results!AW1660</f>
        <v>423058.72220000002</v>
      </c>
      <c r="AU275" s="6">
        <f>[1]Results!AX1660</f>
        <v>428595.49560000002</v>
      </c>
      <c r="AV275" s="6">
        <f>[1]Results!AY1660</f>
        <v>434188.66700000002</v>
      </c>
      <c r="AW275" s="6">
        <f>[1]Results!AZ1660</f>
        <v>439850.54840000003</v>
      </c>
      <c r="AX275" s="6">
        <f>[1]Results!BA1660</f>
        <v>445581.87430000002</v>
      </c>
      <c r="AY275" s="6">
        <f>[1]Results!BB1660</f>
        <v>451383.82030000002</v>
      </c>
      <c r="AZ275" s="6">
        <f>[1]Results!BC1660</f>
        <v>457257.57049999997</v>
      </c>
      <c r="BA275" s="6">
        <f>[1]Results!BD1660</f>
        <v>463204.34379999997</v>
      </c>
      <c r="BB275" s="6">
        <f>[1]Results!BE1660</f>
        <v>469225.5808</v>
      </c>
      <c r="BC275" s="6">
        <f>[1]Results!BF1660</f>
        <v>475322.99050000001</v>
      </c>
      <c r="BD275" s="6">
        <f>[1]Results!BG1660</f>
        <v>481498.50959999999</v>
      </c>
      <c r="BE275" s="6">
        <f>[1]Results!BH1660</f>
        <v>487754.23979999998</v>
      </c>
      <c r="BF275" s="6">
        <f>[1]Results!BI1660</f>
        <v>494092.39010000002</v>
      </c>
    </row>
    <row r="276" spans="1:58" x14ac:dyDescent="0.35">
      <c r="B276" t="s">
        <v>31</v>
      </c>
      <c r="C276" s="6">
        <f>[1]Results!F1663</f>
        <v>2252.437441</v>
      </c>
      <c r="D276" s="6">
        <f>[1]Results!G1663</f>
        <v>2272.7715079999998</v>
      </c>
      <c r="E276" s="6">
        <f>[1]Results!H1663</f>
        <v>2289.9450120000001</v>
      </c>
      <c r="F276" s="6">
        <f>[1]Results!I1663</f>
        <v>2307.390758</v>
      </c>
      <c r="G276" s="6">
        <f>[1]Results!J1663</f>
        <v>2326.783179</v>
      </c>
      <c r="H276" s="6">
        <f>[1]Results!K1663</f>
        <v>2348.7159969999998</v>
      </c>
      <c r="I276" s="6">
        <f>[1]Results!L1663</f>
        <v>2372.272974</v>
      </c>
      <c r="J276" s="6">
        <f>[1]Results!M1663</f>
        <v>2397.497034</v>
      </c>
      <c r="K276" s="6">
        <f>[1]Results!N1663</f>
        <v>2424.2398410000001</v>
      </c>
      <c r="L276" s="6">
        <f>[1]Results!O1663</f>
        <v>2452.2855359999999</v>
      </c>
      <c r="M276" s="6">
        <f>[1]Results!P1663</f>
        <v>2483.0136830000001</v>
      </c>
      <c r="N276" s="6">
        <f>[1]Results!Q1663</f>
        <v>2514.1315129999998</v>
      </c>
      <c r="O276" s="6">
        <f>[1]Results!R1663</f>
        <v>2545.7482500000001</v>
      </c>
      <c r="P276" s="6">
        <f>[1]Results!S1663</f>
        <v>2577.9376160000002</v>
      </c>
      <c r="Q276" s="6">
        <f>[1]Results!T1663</f>
        <v>2610.6974580000001</v>
      </c>
      <c r="R276" s="6">
        <f>[1]Results!U1663</f>
        <v>2644.0019010000001</v>
      </c>
      <c r="S276" s="6">
        <f>[1]Results!V1663</f>
        <v>2677.82503</v>
      </c>
      <c r="T276" s="6">
        <f>[1]Results!W1663</f>
        <v>2712.1478350000002</v>
      </c>
      <c r="U276" s="6">
        <f>[1]Results!X1663</f>
        <v>2746.9588140000001</v>
      </c>
      <c r="V276" s="6">
        <f>[1]Results!Y1663</f>
        <v>2782.25272</v>
      </c>
      <c r="W276" s="6">
        <f>[1]Results!Z1663</f>
        <v>2816.8592469999999</v>
      </c>
      <c r="X276" s="6">
        <f>[1]Results!AA1663</f>
        <v>2852.3653450000002</v>
      </c>
      <c r="Y276" s="6">
        <f>[1]Results!AB1663</f>
        <v>2888.605689</v>
      </c>
      <c r="Z276" s="6">
        <f>[1]Results!AC1663</f>
        <v>2925.4671739999999</v>
      </c>
      <c r="AA276" s="6">
        <f>[1]Results!AD1663</f>
        <v>2962.9107389999999</v>
      </c>
      <c r="AB276" s="6">
        <f>[1]Results!AE1663</f>
        <v>2997.5465319999998</v>
      </c>
      <c r="AC276" s="6">
        <f>[1]Results!AF1663</f>
        <v>3032.352476</v>
      </c>
      <c r="AD276" s="6">
        <f>[1]Results!AG1663</f>
        <v>3067.3839039999998</v>
      </c>
      <c r="AE276" s="6">
        <f>[1]Results!AH1663</f>
        <v>3102.6169890000001</v>
      </c>
      <c r="AF276" s="6">
        <f>[1]Results!AI1663</f>
        <v>3138.0768349999998</v>
      </c>
      <c r="AG276" s="6">
        <f>[1]Results!AJ1663</f>
        <v>3173.8103420000002</v>
      </c>
      <c r="AH276" s="6">
        <f>[1]Results!AK1663</f>
        <v>3209.8672729999998</v>
      </c>
      <c r="AI276" s="6">
        <f>[1]Results!AL1663</f>
        <v>3246.2920399999998</v>
      </c>
      <c r="AJ276" s="6">
        <f>[1]Results!AM1663</f>
        <v>3283.1212190000001</v>
      </c>
      <c r="AK276" s="6">
        <f>[1]Results!AN1663</f>
        <v>3320.3836230000002</v>
      </c>
      <c r="AL276" s="6">
        <f>[1]Results!AO1663</f>
        <v>3358.1014150000001</v>
      </c>
      <c r="AM276" s="6">
        <f>[1]Results!AP1663</f>
        <v>3395.4739490000002</v>
      </c>
      <c r="AN276" s="6">
        <f>[1]Results!AQ1663</f>
        <v>3432.7992239999999</v>
      </c>
      <c r="AO276" s="6">
        <f>[1]Results!AR1663</f>
        <v>3470.2532339999998</v>
      </c>
      <c r="AP276" s="6">
        <f>[1]Results!AS1663</f>
        <v>3507.927079</v>
      </c>
      <c r="AQ276" s="6">
        <f>[1]Results!AT1663</f>
        <v>3545.8782569999998</v>
      </c>
      <c r="AR276" s="6">
        <f>[1]Results!AU1663</f>
        <v>3584.151374</v>
      </c>
      <c r="AS276" s="6">
        <f>[1]Results!AV1663</f>
        <v>3622.7845349999998</v>
      </c>
      <c r="AT276" s="6">
        <f>[1]Results!AW1663</f>
        <v>3661.8107829999999</v>
      </c>
      <c r="AU276" s="6">
        <f>[1]Results!AX1663</f>
        <v>3701.2580640000001</v>
      </c>
      <c r="AV276" s="6">
        <f>[1]Results!AY1663</f>
        <v>3741.1482470000001</v>
      </c>
      <c r="AW276" s="6">
        <f>[1]Results!AZ1663</f>
        <v>3781.5656920000001</v>
      </c>
      <c r="AX276" s="6">
        <f>[1]Results!BA1663</f>
        <v>3822.4931489999999</v>
      </c>
      <c r="AY276" s="6">
        <f>[1]Results!BB1663</f>
        <v>3863.9172440000002</v>
      </c>
      <c r="AZ276" s="6">
        <f>[1]Results!BC1663</f>
        <v>3905.8592859999999</v>
      </c>
      <c r="BA276" s="6">
        <f>[1]Results!BD1663</f>
        <v>3948.349134</v>
      </c>
      <c r="BB276" s="6">
        <f>[1]Results!BE1663</f>
        <v>3991.4074009999999</v>
      </c>
      <c r="BC276" s="6">
        <f>[1]Results!BF1663</f>
        <v>4035.0450980000001</v>
      </c>
      <c r="BD276" s="6">
        <f>[1]Results!BG1663</f>
        <v>4079.2683910000001</v>
      </c>
      <c r="BE276" s="6">
        <f>[1]Results!BH1663</f>
        <v>4124.0824540000003</v>
      </c>
      <c r="BF276" s="6">
        <f>[1]Results!BI1663</f>
        <v>4169.4933609999998</v>
      </c>
    </row>
    <row r="277" spans="1:58" x14ac:dyDescent="0.35">
      <c r="B277" t="s">
        <v>33</v>
      </c>
      <c r="C277" s="6">
        <f>[1]Results!F1668</f>
        <v>3648.662045</v>
      </c>
      <c r="D277" s="6">
        <f>[1]Results!G1668</f>
        <v>3681.5816500000001</v>
      </c>
      <c r="E277" s="6">
        <f>[1]Results!H1668</f>
        <v>3707.9254270000001</v>
      </c>
      <c r="F277" s="6">
        <f>[1]Results!I1668</f>
        <v>3732.0385390000001</v>
      </c>
      <c r="G277" s="6">
        <f>[1]Results!J1668</f>
        <v>3756.3557030000002</v>
      </c>
      <c r="H277" s="6">
        <f>[1]Results!K1668</f>
        <v>3782.2036290000001</v>
      </c>
      <c r="I277" s="6">
        <f>[1]Results!L1668</f>
        <v>3808.8024679999999</v>
      </c>
      <c r="J277" s="6">
        <f>[1]Results!M1668</f>
        <v>3836.4908030000001</v>
      </c>
      <c r="K277" s="6">
        <f>[1]Results!N1668</f>
        <v>3865.316268</v>
      </c>
      <c r="L277" s="6">
        <f>[1]Results!O1668</f>
        <v>3895.1027199999999</v>
      </c>
      <c r="M277" s="6">
        <f>[1]Results!P1668</f>
        <v>3927.982622</v>
      </c>
      <c r="N277" s="6">
        <f>[1]Results!Q1668</f>
        <v>3960.8645179999999</v>
      </c>
      <c r="O277" s="6">
        <f>[1]Results!R1668</f>
        <v>3993.5854810000001</v>
      </c>
      <c r="P277" s="6">
        <f>[1]Results!S1668</f>
        <v>4026.277685</v>
      </c>
      <c r="Q277" s="6">
        <f>[1]Results!T1668</f>
        <v>4059.0346359999999</v>
      </c>
      <c r="R277" s="6">
        <f>[1]Results!U1668</f>
        <v>4091.915782</v>
      </c>
      <c r="S277" s="6">
        <f>[1]Results!V1668</f>
        <v>4124.972589</v>
      </c>
      <c r="T277" s="6">
        <f>[1]Results!W1668</f>
        <v>4158.2615930000002</v>
      </c>
      <c r="U277" s="6">
        <f>[1]Results!X1668</f>
        <v>4191.8480790000003</v>
      </c>
      <c r="V277" s="6">
        <f>[1]Results!Y1668</f>
        <v>4225.8053680000003</v>
      </c>
      <c r="W277" s="6">
        <f>[1]Results!Z1668</f>
        <v>4258.5247920000002</v>
      </c>
      <c r="X277" s="6">
        <f>[1]Results!AA1668</f>
        <v>4292.1750730000003</v>
      </c>
      <c r="Y277" s="6">
        <f>[1]Results!AB1668</f>
        <v>4326.8575430000001</v>
      </c>
      <c r="Z277" s="6">
        <f>[1]Results!AC1668</f>
        <v>4362.502391</v>
      </c>
      <c r="AA277" s="6">
        <f>[1]Results!AD1668</f>
        <v>4399.092944</v>
      </c>
      <c r="AB277" s="6">
        <f>[1]Results!AE1668</f>
        <v>4431.8611010000004</v>
      </c>
      <c r="AC277" s="6">
        <f>[1]Results!AF1668</f>
        <v>4464.5008349999998</v>
      </c>
      <c r="AD277" s="6">
        <f>[1]Results!AG1668</f>
        <v>4497.6148380000004</v>
      </c>
      <c r="AE277" s="6">
        <f>[1]Results!AH1668</f>
        <v>4531.3573459999998</v>
      </c>
      <c r="AF277" s="6">
        <f>[1]Results!AI1668</f>
        <v>4565.8427570000003</v>
      </c>
      <c r="AG277" s="6">
        <f>[1]Results!AJ1668</f>
        <v>4601.1837569999998</v>
      </c>
      <c r="AH277" s="6">
        <f>[1]Results!AK1668</f>
        <v>4637.4823470000001</v>
      </c>
      <c r="AI277" s="6">
        <f>[1]Results!AL1668</f>
        <v>4674.8224209999998</v>
      </c>
      <c r="AJ277" s="6">
        <f>[1]Results!AM1668</f>
        <v>4713.2675939999999</v>
      </c>
      <c r="AK277" s="6">
        <f>[1]Results!AN1668</f>
        <v>4752.862392</v>
      </c>
      <c r="AL277" s="6">
        <f>[1]Results!AO1668</f>
        <v>4793.6350769999999</v>
      </c>
      <c r="AM277" s="6">
        <f>[1]Results!AP1668</f>
        <v>4834.4787310000002</v>
      </c>
      <c r="AN277" s="6">
        <f>[1]Results!AQ1668</f>
        <v>4875.6543119999997</v>
      </c>
      <c r="AO277" s="6">
        <f>[1]Results!AR1668</f>
        <v>4917.4268099999999</v>
      </c>
      <c r="AP277" s="6">
        <f>[1]Results!AS1668</f>
        <v>4959.9606709999998</v>
      </c>
      <c r="AQ277" s="6">
        <f>[1]Results!AT1668</f>
        <v>5003.3593979999996</v>
      </c>
      <c r="AR277" s="6">
        <f>[1]Results!AU1668</f>
        <v>5047.6949949999998</v>
      </c>
      <c r="AS277" s="6">
        <f>[1]Results!AV1668</f>
        <v>5093.0215779999999</v>
      </c>
      <c r="AT277" s="6">
        <f>[1]Results!AW1668</f>
        <v>5139.3814499999999</v>
      </c>
      <c r="AU277" s="6">
        <f>[1]Results!AX1668</f>
        <v>5186.806799</v>
      </c>
      <c r="AV277" s="6">
        <f>[1]Results!AY1668</f>
        <v>5235.3173909999996</v>
      </c>
      <c r="AW277" s="6">
        <f>[1]Results!AZ1668</f>
        <v>5285.0013900000004</v>
      </c>
      <c r="AX277" s="6">
        <f>[1]Results!BA1668</f>
        <v>5335.7035539999997</v>
      </c>
      <c r="AY277" s="6">
        <f>[1]Results!BB1668</f>
        <v>5387.2998159999997</v>
      </c>
      <c r="AZ277" s="6">
        <f>[1]Results!BC1668</f>
        <v>5439.8311519999997</v>
      </c>
      <c r="BA277" s="6">
        <f>[1]Results!BD1668</f>
        <v>5493.3967839999996</v>
      </c>
      <c r="BB277" s="6">
        <f>[1]Results!BE1668</f>
        <v>5548.0632059999998</v>
      </c>
      <c r="BC277" s="6">
        <f>[1]Results!BF1668</f>
        <v>5603.8512639999999</v>
      </c>
      <c r="BD277" s="6">
        <f>[1]Results!BG1668</f>
        <v>5660.7549870000003</v>
      </c>
      <c r="BE277" s="6">
        <f>[1]Results!BH1668</f>
        <v>5718.7607859999998</v>
      </c>
      <c r="BF277" s="6">
        <f>[1]Results!BI1668</f>
        <v>5777.8583090000002</v>
      </c>
    </row>
    <row r="279" spans="1:58" x14ac:dyDescent="0.35">
      <c r="A279" s="12" t="s">
        <v>21</v>
      </c>
      <c r="B279" t="s">
        <v>26</v>
      </c>
      <c r="C279" s="4">
        <f>C263/C271-1</f>
        <v>-1.1886443718217343E-2</v>
      </c>
      <c r="D279" s="4">
        <f t="shared" ref="D279:AK279" si="162">D263/D271-1</f>
        <v>-1.9563518936873026E-2</v>
      </c>
      <c r="E279" s="4">
        <f t="shared" si="162"/>
        <v>-2.4949899683867183E-2</v>
      </c>
      <c r="F279" s="4">
        <f t="shared" si="162"/>
        <v>-2.9231042254264983E-2</v>
      </c>
      <c r="G279" s="4">
        <f t="shared" si="162"/>
        <v>-3.2953129152045069E-2</v>
      </c>
      <c r="H279" s="4">
        <f t="shared" si="162"/>
        <v>-3.6360740301478844E-2</v>
      </c>
      <c r="I279" s="4">
        <f t="shared" si="162"/>
        <v>-3.9573917006896497E-2</v>
      </c>
      <c r="J279" s="4">
        <f t="shared" si="162"/>
        <v>-4.2638453667414367E-2</v>
      </c>
      <c r="K279" s="4">
        <f t="shared" si="162"/>
        <v>-4.5579477949252323E-2</v>
      </c>
      <c r="L279" s="4">
        <f t="shared" si="162"/>
        <v>-4.8415640144079064E-2</v>
      </c>
      <c r="M279" s="4">
        <f t="shared" si="162"/>
        <v>-5.1160829766630833E-2</v>
      </c>
      <c r="N279" s="4">
        <f t="shared" si="162"/>
        <v>-5.3872259564330172E-2</v>
      </c>
      <c r="O279" s="4">
        <f t="shared" si="162"/>
        <v>-5.653865306380379E-2</v>
      </c>
      <c r="P279" s="4">
        <f t="shared" si="162"/>
        <v>-5.9151681793567557E-2</v>
      </c>
      <c r="Q279" s="4">
        <f t="shared" si="162"/>
        <v>-6.1704959394451753E-2</v>
      </c>
      <c r="R279" s="4">
        <f t="shared" si="162"/>
        <v>-6.4192627806056723E-2</v>
      </c>
      <c r="S279" s="4">
        <f t="shared" si="162"/>
        <v>-6.6649159603186514E-2</v>
      </c>
      <c r="T279" s="4">
        <f t="shared" si="162"/>
        <v>-6.905164719749568E-2</v>
      </c>
      <c r="U279" s="4">
        <f t="shared" si="162"/>
        <v>-7.1385483908612879E-2</v>
      </c>
      <c r="V279" s="4">
        <f t="shared" si="162"/>
        <v>-7.3641765398649084E-2</v>
      </c>
      <c r="W279" s="4">
        <f t="shared" si="162"/>
        <v>-7.5817079134313792E-2</v>
      </c>
      <c r="X279" s="4">
        <f t="shared" si="162"/>
        <v>-7.7903700929066733E-2</v>
      </c>
      <c r="Y279" s="4">
        <f t="shared" si="162"/>
        <v>-7.9899765031852699E-2</v>
      </c>
      <c r="Z279" s="4">
        <f t="shared" si="162"/>
        <v>-8.1805020357285874E-2</v>
      </c>
      <c r="AA279" s="4">
        <f t="shared" si="162"/>
        <v>-8.3619645880014914E-2</v>
      </c>
      <c r="AB279" s="4">
        <f t="shared" si="162"/>
        <v>-8.5349989922653524E-2</v>
      </c>
      <c r="AC279" s="4">
        <f t="shared" si="162"/>
        <v>-8.6974949650332034E-2</v>
      </c>
      <c r="AD279" s="4">
        <f t="shared" si="162"/>
        <v>-8.8499944760323745E-2</v>
      </c>
      <c r="AE279" s="4">
        <f t="shared" si="162"/>
        <v>-8.9929814037892353E-2</v>
      </c>
      <c r="AF279" s="4">
        <f t="shared" si="162"/>
        <v>-9.1268286922737918E-2</v>
      </c>
      <c r="AG279" s="4">
        <f t="shared" si="162"/>
        <v>-9.2518279940621118E-2</v>
      </c>
      <c r="AH279" s="4">
        <f t="shared" si="162"/>
        <v>-9.3674925443796186E-2</v>
      </c>
      <c r="AI279" s="4">
        <f>AI263/AI271-1</f>
        <v>-9.4743319840170481E-2</v>
      </c>
      <c r="AJ279" s="4">
        <f t="shared" si="162"/>
        <v>-9.5727468509920977E-2</v>
      </c>
      <c r="AK279" s="4">
        <f t="shared" si="162"/>
        <v>-9.6630743283632081E-2</v>
      </c>
      <c r="AL279" s="4">
        <f>AL263/AL271-1</f>
        <v>-9.7456279096932441E-2</v>
      </c>
      <c r="AM279" s="4">
        <f t="shared" ref="AM279:BC279" si="163">AM263/AM271-1</f>
        <v>-9.8147701201811821E-2</v>
      </c>
      <c r="AN279" s="4">
        <f t="shared" si="163"/>
        <v>-9.8730964018262868E-2</v>
      </c>
      <c r="AO279" s="4">
        <f t="shared" si="163"/>
        <v>-9.9223436444245694E-2</v>
      </c>
      <c r="AP279" s="4">
        <f t="shared" si="163"/>
        <v>-9.9636850775854713E-2</v>
      </c>
      <c r="AQ279" s="4">
        <f t="shared" si="163"/>
        <v>-9.997980474686774E-2</v>
      </c>
      <c r="AR279" s="4">
        <f t="shared" si="163"/>
        <v>-0.1002497946883707</v>
      </c>
      <c r="AS279" s="4">
        <f t="shared" si="163"/>
        <v>-0.10045566658138882</v>
      </c>
      <c r="AT279" s="4">
        <f t="shared" si="163"/>
        <v>-0.10060452906905859</v>
      </c>
      <c r="AU279" s="4">
        <f t="shared" si="163"/>
        <v>-0.10070235464632749</v>
      </c>
      <c r="AV279" s="4">
        <f t="shared" si="163"/>
        <v>-0.10075450495820493</v>
      </c>
      <c r="AW279" s="4">
        <f t="shared" si="163"/>
        <v>-0.10073660238847904</v>
      </c>
      <c r="AX279" s="4">
        <f t="shared" si="163"/>
        <v>-0.10066412265521218</v>
      </c>
      <c r="AY279" s="4">
        <f t="shared" si="163"/>
        <v>-0.10054926838261891</v>
      </c>
      <c r="AZ279" s="4">
        <f t="shared" si="163"/>
        <v>-0.10040111298730559</v>
      </c>
      <c r="BA279" s="4">
        <f t="shared" si="163"/>
        <v>-0.10022666995468377</v>
      </c>
      <c r="BB279" s="4">
        <f t="shared" si="163"/>
        <v>-0.10001408805631762</v>
      </c>
      <c r="BC279" s="4">
        <f t="shared" si="163"/>
        <v>-9.9774306311914529E-2</v>
      </c>
      <c r="BD279" s="4">
        <f t="shared" ref="BD279:BF279" si="164">BD263/BD271-1</f>
        <v>-9.9516043804049215E-2</v>
      </c>
      <c r="BE279" s="4">
        <f t="shared" si="164"/>
        <v>-9.9246223826747637E-2</v>
      </c>
      <c r="BF279" s="4">
        <f t="shared" si="164"/>
        <v>-9.89705235057875E-2</v>
      </c>
    </row>
    <row r="280" spans="1:58" x14ac:dyDescent="0.35">
      <c r="A280" t="s">
        <v>88</v>
      </c>
      <c r="B280" t="s">
        <v>7</v>
      </c>
      <c r="C280" s="4">
        <f>(C264-C272)/C$271</f>
        <v>-1.4117431592329291E-4</v>
      </c>
      <c r="D280" s="4">
        <f t="shared" ref="D280:AL280" si="165">(D264-D272)/D$271</f>
        <v>-2.270645249411867E-4</v>
      </c>
      <c r="E280" s="4">
        <f t="shared" si="165"/>
        <v>-2.8426586447011118E-4</v>
      </c>
      <c r="F280" s="4">
        <f t="shared" si="165"/>
        <v>-3.2784588048502723E-4</v>
      </c>
      <c r="G280" s="4">
        <f t="shared" si="165"/>
        <v>-3.6380224191735256E-4</v>
      </c>
      <c r="H280" s="4">
        <f t="shared" si="165"/>
        <v>-3.9460889758322542E-4</v>
      </c>
      <c r="I280" s="4">
        <f t="shared" si="165"/>
        <v>-4.2153685494115826E-4</v>
      </c>
      <c r="J280" s="4">
        <f t="shared" si="165"/>
        <v>-4.4519590736370577E-4</v>
      </c>
      <c r="K280" s="4">
        <f t="shared" si="165"/>
        <v>-4.6605275417398699E-4</v>
      </c>
      <c r="L280" s="4">
        <f t="shared" si="165"/>
        <v>-4.8456041578411589E-4</v>
      </c>
      <c r="M280" s="4">
        <f t="shared" si="165"/>
        <v>-5.011839941467508E-4</v>
      </c>
      <c r="N280" s="4">
        <f t="shared" si="165"/>
        <v>-5.1677466143350509E-4</v>
      </c>
      <c r="O280" s="4">
        <f t="shared" si="165"/>
        <v>-5.314061118440452E-4</v>
      </c>
      <c r="P280" s="4">
        <f t="shared" si="165"/>
        <v>-5.4517778618802071E-4</v>
      </c>
      <c r="Q280" s="4">
        <f t="shared" si="165"/>
        <v>-5.5818632048397368E-4</v>
      </c>
      <c r="R280" s="4">
        <f t="shared" si="165"/>
        <v>-5.7050935322369711E-4</v>
      </c>
      <c r="S280" s="4">
        <f t="shared" si="165"/>
        <v>-5.8267709493685046E-4</v>
      </c>
      <c r="T280" s="4">
        <f t="shared" si="165"/>
        <v>-5.9451051397544643E-4</v>
      </c>
      <c r="U280" s="4">
        <f t="shared" si="165"/>
        <v>-6.0593581366678764E-4</v>
      </c>
      <c r="V280" s="4">
        <f t="shared" si="165"/>
        <v>-6.1693719149148556E-4</v>
      </c>
      <c r="W280" s="4">
        <f t="shared" si="165"/>
        <v>-6.2749254538180439E-4</v>
      </c>
      <c r="X280" s="4">
        <f t="shared" si="165"/>
        <v>-6.3766555208968326E-4</v>
      </c>
      <c r="Y280" s="4">
        <f t="shared" si="165"/>
        <v>-6.4747274644483548E-4</v>
      </c>
      <c r="Z280" s="4">
        <f t="shared" si="165"/>
        <v>-6.5694549146216646E-4</v>
      </c>
      <c r="AA280" s="4">
        <f t="shared" si="165"/>
        <v>-6.6611639515406042E-4</v>
      </c>
      <c r="AB280" s="4">
        <f t="shared" si="165"/>
        <v>-6.7490002507161696E-4</v>
      </c>
      <c r="AC280" s="4">
        <f t="shared" si="165"/>
        <v>-6.8328270874704999E-4</v>
      </c>
      <c r="AD280" s="4">
        <f t="shared" si="165"/>
        <v>-6.9135803738846037E-4</v>
      </c>
      <c r="AE280" s="4">
        <f t="shared" si="165"/>
        <v>-6.9919850487362429E-4</v>
      </c>
      <c r="AF280" s="4">
        <f t="shared" si="165"/>
        <v>-7.0686082698431926E-4</v>
      </c>
      <c r="AG280" s="4">
        <f t="shared" si="165"/>
        <v>-7.1438759742789451E-4</v>
      </c>
      <c r="AH280" s="4">
        <f t="shared" si="165"/>
        <v>-7.2172422326647581E-4</v>
      </c>
      <c r="AI280" s="4">
        <f t="shared" si="165"/>
        <v>-7.2893248026151226E-4</v>
      </c>
      <c r="AJ280" s="4">
        <f t="shared" si="165"/>
        <v>-7.3605198226112719E-4</v>
      </c>
      <c r="AK280" s="4">
        <f t="shared" si="165"/>
        <v>-7.4310938439661289E-4</v>
      </c>
      <c r="AL280" s="4">
        <f t="shared" si="165"/>
        <v>-7.5012506012137384E-4</v>
      </c>
      <c r="AM280" s="4">
        <f t="shared" ref="AM280:BC280" si="166">(AM264-AM272)/AM$271</f>
        <v>-7.5636939316440371E-4</v>
      </c>
      <c r="AN280" s="4">
        <f t="shared" si="166"/>
        <v>-7.6219883220513592E-4</v>
      </c>
      <c r="AO280" s="4">
        <f t="shared" si="166"/>
        <v>-7.678159352510355E-4</v>
      </c>
      <c r="AP280" s="4">
        <f t="shared" si="166"/>
        <v>-7.7333681638182099E-4</v>
      </c>
      <c r="AQ280" s="4">
        <f t="shared" si="166"/>
        <v>-7.7883683724649293E-4</v>
      </c>
      <c r="AR280" s="4">
        <f t="shared" si="166"/>
        <v>-7.8426007241466113E-4</v>
      </c>
      <c r="AS280" s="4">
        <f t="shared" si="166"/>
        <v>-7.896900911031978E-4</v>
      </c>
      <c r="AT280" s="4">
        <f t="shared" si="166"/>
        <v>-7.95181810675007E-4</v>
      </c>
      <c r="AU280" s="4">
        <f t="shared" si="166"/>
        <v>-8.007714010853117E-4</v>
      </c>
      <c r="AV280" s="4">
        <f t="shared" si="166"/>
        <v>-8.0648315652020726E-4</v>
      </c>
      <c r="AW280" s="4">
        <f t="shared" si="166"/>
        <v>-8.1198162648703372E-4</v>
      </c>
      <c r="AX280" s="4">
        <f t="shared" si="166"/>
        <v>-8.1741827191705667E-4</v>
      </c>
      <c r="AY280" s="4">
        <f t="shared" si="166"/>
        <v>-8.228883852550783E-4</v>
      </c>
      <c r="AZ280" s="4">
        <f t="shared" si="166"/>
        <v>-8.284392905703211E-4</v>
      </c>
      <c r="BA280" s="4">
        <f t="shared" si="166"/>
        <v>-8.340933289016976E-4</v>
      </c>
      <c r="BB280" s="4">
        <f t="shared" si="166"/>
        <v>-8.3965315144625646E-4</v>
      </c>
      <c r="BC280" s="4">
        <f t="shared" si="166"/>
        <v>-8.4520806212813224E-4</v>
      </c>
      <c r="BD280" s="4">
        <f t="shared" ref="BD280:BF280" si="167">(BD264-BD272)/BD$271</f>
        <v>-8.5081176013878117E-4</v>
      </c>
      <c r="BE280" s="4">
        <f t="shared" si="167"/>
        <v>-8.5649364246146874E-4</v>
      </c>
      <c r="BF280" s="4">
        <f t="shared" si="167"/>
        <v>-8.6226876163932509E-4</v>
      </c>
    </row>
    <row r="281" spans="1:58" x14ac:dyDescent="0.35">
      <c r="B281" t="s">
        <v>30</v>
      </c>
      <c r="C281" s="4">
        <f t="shared" ref="C281:AL281" si="168">(C265-C273)/C$271</f>
        <v>-6.4878631450608444E-3</v>
      </c>
      <c r="D281" s="4">
        <f t="shared" si="168"/>
        <v>-1.0576947471512456E-2</v>
      </c>
      <c r="E281" s="4">
        <f t="shared" si="168"/>
        <v>-1.3470321148092011E-2</v>
      </c>
      <c r="F281" s="4">
        <f t="shared" si="168"/>
        <v>-1.5802457120378869E-2</v>
      </c>
      <c r="G281" s="4">
        <f t="shared" si="168"/>
        <v>-1.7868111302896113E-2</v>
      </c>
      <c r="H281" s="4">
        <f t="shared" si="168"/>
        <v>-1.9807558549657558E-2</v>
      </c>
      <c r="I281" s="4">
        <f t="shared" si="168"/>
        <v>-2.169173051107768E-2</v>
      </c>
      <c r="J281" s="4">
        <f t="shared" si="168"/>
        <v>-2.3545749007716495E-2</v>
      </c>
      <c r="K281" s="4">
        <f t="shared" si="168"/>
        <v>-2.5378530760694264E-2</v>
      </c>
      <c r="L281" s="4">
        <f t="shared" si="168"/>
        <v>-2.7193017494139896E-2</v>
      </c>
      <c r="M281" s="4">
        <f t="shared" si="168"/>
        <v>-2.8988429565500538E-2</v>
      </c>
      <c r="N281" s="4">
        <f t="shared" si="168"/>
        <v>-3.0789684117924997E-2</v>
      </c>
      <c r="O281" s="4">
        <f t="shared" si="168"/>
        <v>-3.2585200441369679E-2</v>
      </c>
      <c r="P281" s="4">
        <f t="shared" si="168"/>
        <v>-3.4365957223643877E-2</v>
      </c>
      <c r="Q281" s="4">
        <f t="shared" si="168"/>
        <v>-3.6124612227833142E-2</v>
      </c>
      <c r="R281" s="4">
        <f t="shared" si="168"/>
        <v>-3.7854559556099177E-2</v>
      </c>
      <c r="S281" s="4">
        <f t="shared" si="168"/>
        <v>-3.9571582543439038E-2</v>
      </c>
      <c r="T281" s="4">
        <f t="shared" si="168"/>
        <v>-4.1259914707319156E-2</v>
      </c>
      <c r="U281" s="4">
        <f t="shared" si="168"/>
        <v>-4.2908956904908431E-2</v>
      </c>
      <c r="V281" s="4">
        <f t="shared" si="168"/>
        <v>-4.4511309295794395E-2</v>
      </c>
      <c r="W281" s="4">
        <f t="shared" si="168"/>
        <v>-4.6064130128840045E-2</v>
      </c>
      <c r="X281" s="4">
        <f t="shared" si="168"/>
        <v>-4.7558951582021045E-2</v>
      </c>
      <c r="Y281" s="4">
        <f t="shared" si="168"/>
        <v>-4.8992510637767772E-2</v>
      </c>
      <c r="Z281" s="4">
        <f t="shared" si="168"/>
        <v>-5.0362891609506744E-2</v>
      </c>
      <c r="AA281" s="4">
        <f t="shared" si="168"/>
        <v>-5.1668562753220508E-2</v>
      </c>
      <c r="AB281" s="4">
        <f t="shared" si="168"/>
        <v>-5.2916511605939402E-2</v>
      </c>
      <c r="AC281" s="4">
        <f t="shared" si="168"/>
        <v>-5.4089215986246185E-2</v>
      </c>
      <c r="AD281" s="4">
        <f t="shared" si="168"/>
        <v>-5.5187554743638026E-2</v>
      </c>
      <c r="AE281" s="4">
        <f t="shared" si="168"/>
        <v>-5.6212661048857339E-2</v>
      </c>
      <c r="AF281" s="4">
        <f t="shared" si="168"/>
        <v>-5.7165288191626577E-2</v>
      </c>
      <c r="AG281" s="4">
        <f t="shared" si="168"/>
        <v>-5.8045998462829783E-2</v>
      </c>
      <c r="AH281" s="4">
        <f t="shared" si="168"/>
        <v>-5.8851367258925896E-2</v>
      </c>
      <c r="AI281" s="4">
        <f t="shared" si="168"/>
        <v>-5.9583669129781185E-2</v>
      </c>
      <c r="AJ281" s="4">
        <f t="shared" si="168"/>
        <v>-6.0244699604786497E-2</v>
      </c>
      <c r="AK281" s="4">
        <f t="shared" si="168"/>
        <v>-6.0836111351255891E-2</v>
      </c>
      <c r="AL281" s="4">
        <f t="shared" si="168"/>
        <v>-6.1359611803780009E-2</v>
      </c>
      <c r="AM281" s="4">
        <f t="shared" ref="AM281:BC281" si="169">(AM265-AM273)/AM$271</f>
        <v>-6.1785960035164907E-2</v>
      </c>
      <c r="AN281" s="4">
        <f t="shared" si="169"/>
        <v>-6.2129228946385048E-2</v>
      </c>
      <c r="AO281" s="4">
        <f t="shared" si="169"/>
        <v>-6.2398273531350044E-2</v>
      </c>
      <c r="AP281" s="4">
        <f t="shared" si="169"/>
        <v>-6.2599383567251893E-2</v>
      </c>
      <c r="AQ281" s="4">
        <f t="shared" si="169"/>
        <v>-6.2737540406218067E-2</v>
      </c>
      <c r="AR281" s="4">
        <f t="shared" si="169"/>
        <v>-6.2811939048628654E-2</v>
      </c>
      <c r="AS281" s="4">
        <f t="shared" si="169"/>
        <v>-6.2828154426083041E-2</v>
      </c>
      <c r="AT281" s="4">
        <f t="shared" si="169"/>
        <v>-6.2790851805612002E-2</v>
      </c>
      <c r="AU281" s="4">
        <f t="shared" si="169"/>
        <v>-6.270424504067125E-2</v>
      </c>
      <c r="AV281" s="4">
        <f t="shared" si="169"/>
        <v>-6.2572369447358736E-2</v>
      </c>
      <c r="AW281" s="4">
        <f t="shared" si="169"/>
        <v>-6.2383099461948636E-2</v>
      </c>
      <c r="AX281" s="4">
        <f t="shared" si="169"/>
        <v>-6.2146258005378242E-2</v>
      </c>
      <c r="AY281" s="4">
        <f t="shared" si="169"/>
        <v>-6.1869612936686108E-2</v>
      </c>
      <c r="AZ281" s="4">
        <f t="shared" si="169"/>
        <v>-6.1559505925255158E-2</v>
      </c>
      <c r="BA281" s="4">
        <f t="shared" si="169"/>
        <v>-6.1221364238537877E-2</v>
      </c>
      <c r="BB281" s="4">
        <f t="shared" si="169"/>
        <v>-6.0850446627623997E-2</v>
      </c>
      <c r="BC281" s="4">
        <f t="shared" si="169"/>
        <v>-6.0454425905794834E-2</v>
      </c>
      <c r="BD281" s="4">
        <f t="shared" ref="BD281:BF281" si="170">(BD265-BD273)/BD$271</f>
        <v>-6.0039538886329832E-2</v>
      </c>
      <c r="BE281" s="4">
        <f t="shared" si="170"/>
        <v>-5.9611103457760904E-2</v>
      </c>
      <c r="BF281" s="4">
        <f t="shared" si="170"/>
        <v>-5.9173812975026004E-2</v>
      </c>
    </row>
    <row r="282" spans="1:58" x14ac:dyDescent="0.35">
      <c r="B282" t="s">
        <v>28</v>
      </c>
      <c r="C282" s="4">
        <f t="shared" ref="C282:AL282" si="171">(C266-C274)/C$271</f>
        <v>-3.8628260310215334E-4</v>
      </c>
      <c r="D282" s="4">
        <f t="shared" si="171"/>
        <v>-5.6339406400588527E-4</v>
      </c>
      <c r="E282" s="4">
        <f t="shared" si="171"/>
        <v>-6.6073330430970855E-4</v>
      </c>
      <c r="F282" s="4">
        <f t="shared" si="171"/>
        <v>-7.2864912358825546E-4</v>
      </c>
      <c r="G282" s="4">
        <f t="shared" si="171"/>
        <v>-7.8404363267800797E-4</v>
      </c>
      <c r="H282" s="4">
        <f t="shared" si="171"/>
        <v>-8.3275087115140432E-4</v>
      </c>
      <c r="I282" s="4">
        <f t="shared" si="171"/>
        <v>-8.7720569950419409E-4</v>
      </c>
      <c r="J282" s="4">
        <f t="shared" si="171"/>
        <v>-9.1835500432065141E-4</v>
      </c>
      <c r="K282" s="4">
        <f t="shared" si="171"/>
        <v>-9.5684350901520312E-4</v>
      </c>
      <c r="L282" s="4">
        <f t="shared" si="171"/>
        <v>-9.9323661686733108E-4</v>
      </c>
      <c r="M282" s="4">
        <f t="shared" si="171"/>
        <v>-1.0283113062274734E-3</v>
      </c>
      <c r="N282" s="4">
        <f t="shared" si="171"/>
        <v>-1.0633347939614534E-3</v>
      </c>
      <c r="O282" s="4">
        <f t="shared" si="171"/>
        <v>-1.0979277930255769E-3</v>
      </c>
      <c r="P282" s="4">
        <f t="shared" si="171"/>
        <v>-1.1319928458009424E-3</v>
      </c>
      <c r="Q282" s="4">
        <f t="shared" si="171"/>
        <v>-1.1655223543965609E-3</v>
      </c>
      <c r="R282" s="4">
        <f t="shared" si="171"/>
        <v>-1.1985153934740568E-3</v>
      </c>
      <c r="S282" s="4">
        <f t="shared" si="171"/>
        <v>-1.232281816913931E-3</v>
      </c>
      <c r="T282" s="4">
        <f t="shared" si="171"/>
        <v>-1.265968353372968E-3</v>
      </c>
      <c r="U282" s="4">
        <f t="shared" si="171"/>
        <v>-1.2992128117019265E-3</v>
      </c>
      <c r="V282" s="4">
        <f t="shared" si="171"/>
        <v>-1.3318585347304554E-3</v>
      </c>
      <c r="W282" s="4">
        <f t="shared" si="171"/>
        <v>-1.3635838986112035E-3</v>
      </c>
      <c r="X282" s="4">
        <f t="shared" si="171"/>
        <v>-1.3948137695503141E-3</v>
      </c>
      <c r="Y282" s="4">
        <f t="shared" si="171"/>
        <v>-1.4253531779116831E-3</v>
      </c>
      <c r="Z282" s="4">
        <f t="shared" si="171"/>
        <v>-1.4551395183814632E-3</v>
      </c>
      <c r="AA282" s="4">
        <f t="shared" si="171"/>
        <v>-1.4841564122488305E-3</v>
      </c>
      <c r="AB282" s="4">
        <f t="shared" si="171"/>
        <v>-1.5116502261526919E-3</v>
      </c>
      <c r="AC282" s="4">
        <f t="shared" si="171"/>
        <v>-1.5383166325100021E-3</v>
      </c>
      <c r="AD282" s="4">
        <f t="shared" si="171"/>
        <v>-1.5642864682193218E-3</v>
      </c>
      <c r="AE282" s="4">
        <f t="shared" si="171"/>
        <v>-1.5896368927308033E-3</v>
      </c>
      <c r="AF282" s="4">
        <f t="shared" si="171"/>
        <v>-1.6144215040689927E-3</v>
      </c>
      <c r="AG282" s="4">
        <f t="shared" si="171"/>
        <v>-1.6386799681295124E-3</v>
      </c>
      <c r="AH282" s="4">
        <f t="shared" si="171"/>
        <v>-1.662208453452427E-3</v>
      </c>
      <c r="AI282" s="4">
        <f t="shared" si="171"/>
        <v>-1.6851749364819523E-3</v>
      </c>
      <c r="AJ282" s="4">
        <f t="shared" si="171"/>
        <v>-1.7076651905470186E-3</v>
      </c>
      <c r="AK282" s="4">
        <f t="shared" si="171"/>
        <v>-1.7297314942623172E-3</v>
      </c>
      <c r="AL282" s="4">
        <f t="shared" si="171"/>
        <v>-1.7514143138658176E-3</v>
      </c>
      <c r="AM282" s="4">
        <f t="shared" ref="AM282:BC282" si="172">(AM266-AM274)/AM$271</f>
        <v>-1.7706190745799125E-3</v>
      </c>
      <c r="AN282" s="4">
        <f t="shared" si="172"/>
        <v>-1.78871931321386E-3</v>
      </c>
      <c r="AO282" s="4">
        <f t="shared" si="172"/>
        <v>-1.8062817589014136E-3</v>
      </c>
      <c r="AP282" s="4">
        <f t="shared" si="172"/>
        <v>-1.8235495175840063E-3</v>
      </c>
      <c r="AQ282" s="4">
        <f t="shared" si="172"/>
        <v>-1.840646328607148E-3</v>
      </c>
      <c r="AR282" s="4">
        <f t="shared" si="172"/>
        <v>-1.8573517968332267E-3</v>
      </c>
      <c r="AS282" s="4">
        <f t="shared" si="172"/>
        <v>-1.8738782423999561E-3</v>
      </c>
      <c r="AT282" s="4">
        <f t="shared" si="172"/>
        <v>-1.8903287260412199E-3</v>
      </c>
      <c r="AU282" s="4">
        <f t="shared" si="172"/>
        <v>-1.9067572594206705E-3</v>
      </c>
      <c r="AV282" s="4">
        <f t="shared" si="172"/>
        <v>-1.9231961207112085E-3</v>
      </c>
      <c r="AW282" s="4">
        <f t="shared" si="172"/>
        <v>-1.9387461013321702E-3</v>
      </c>
      <c r="AX282" s="4">
        <f t="shared" si="172"/>
        <v>-1.9539284034244568E-3</v>
      </c>
      <c r="AY282" s="4">
        <f t="shared" si="172"/>
        <v>-1.9689776872106172E-3</v>
      </c>
      <c r="AZ282" s="4">
        <f t="shared" si="172"/>
        <v>-1.9839976961483902E-3</v>
      </c>
      <c r="BA282" s="4">
        <f t="shared" si="172"/>
        <v>-1.9990358608558685E-3</v>
      </c>
      <c r="BB282" s="4">
        <f t="shared" si="172"/>
        <v>-2.0135564547196358E-3</v>
      </c>
      <c r="BC282" s="4">
        <f t="shared" si="172"/>
        <v>-2.0278717570845622E-3</v>
      </c>
      <c r="BD282" s="4">
        <f t="shared" ref="BD282:BF282" si="173">(BD266-BD274)/BD$271</f>
        <v>-2.0421162199191906E-3</v>
      </c>
      <c r="BE282" s="4">
        <f t="shared" si="173"/>
        <v>-2.0563464506898532E-3</v>
      </c>
      <c r="BF282" s="4">
        <f t="shared" si="173"/>
        <v>-2.0705861378695176E-3</v>
      </c>
    </row>
    <row r="283" spans="1:58" x14ac:dyDescent="0.35">
      <c r="B283" t="s">
        <v>10</v>
      </c>
      <c r="C283" s="4">
        <f t="shared" ref="C283:AL283" si="174">(C267-C275)/C$271</f>
        <v>-4.7048143109691947E-3</v>
      </c>
      <c r="D283" s="4">
        <f t="shared" si="174"/>
        <v>-7.9265597062365099E-3</v>
      </c>
      <c r="E283" s="4">
        <f t="shared" si="174"/>
        <v>-1.019777467956905E-2</v>
      </c>
      <c r="F283" s="4">
        <f t="shared" si="174"/>
        <v>-1.1985539913338481E-2</v>
      </c>
      <c r="G283" s="4">
        <f t="shared" si="174"/>
        <v>-1.3511530430982206E-2</v>
      </c>
      <c r="H283" s="4">
        <f t="shared" si="174"/>
        <v>-1.4868115988941102E-2</v>
      </c>
      <c r="I283" s="4">
        <f t="shared" si="174"/>
        <v>-1.6097940058261741E-2</v>
      </c>
      <c r="J283" s="4">
        <f t="shared" si="174"/>
        <v>-1.7218756844893709E-2</v>
      </c>
      <c r="K283" s="4">
        <f t="shared" si="174"/>
        <v>-1.8245409180815068E-2</v>
      </c>
      <c r="L283" s="4">
        <f t="shared" si="174"/>
        <v>-1.9192576455213311E-2</v>
      </c>
      <c r="M283" s="4">
        <f t="shared" si="174"/>
        <v>-2.0073427223675864E-2</v>
      </c>
      <c r="N283" s="4">
        <f t="shared" si="174"/>
        <v>-2.0917337389991072E-2</v>
      </c>
      <c r="O283" s="4">
        <f t="shared" si="174"/>
        <v>-2.1724743755798182E-2</v>
      </c>
      <c r="P283" s="4">
        <f t="shared" si="174"/>
        <v>-2.2496066774950221E-2</v>
      </c>
      <c r="Q283" s="4">
        <f t="shared" si="174"/>
        <v>-2.3231888602715568E-2</v>
      </c>
      <c r="R283" s="4">
        <f t="shared" si="174"/>
        <v>-2.3932635867788637E-2</v>
      </c>
      <c r="S283" s="4">
        <f t="shared" si="174"/>
        <v>-2.4614430637304025E-2</v>
      </c>
      <c r="T283" s="4">
        <f t="shared" si="174"/>
        <v>-2.5271285823920447E-2</v>
      </c>
      <c r="U283" s="4">
        <f t="shared" si="174"/>
        <v>-2.5899673501565922E-2</v>
      </c>
      <c r="V283" s="4">
        <f t="shared" si="174"/>
        <v>-2.649825689612165E-2</v>
      </c>
      <c r="W283" s="4">
        <f t="shared" si="174"/>
        <v>-2.7066853555354761E-2</v>
      </c>
      <c r="X283" s="4">
        <f t="shared" si="174"/>
        <v>-2.760560862216482E-2</v>
      </c>
      <c r="Y283" s="4">
        <f t="shared" si="174"/>
        <v>-2.8116130420074749E-2</v>
      </c>
      <c r="Z283" s="4">
        <f t="shared" si="174"/>
        <v>-2.8600139849323299E-2</v>
      </c>
      <c r="AA283" s="4">
        <f t="shared" si="174"/>
        <v>-2.905935146703045E-2</v>
      </c>
      <c r="AB283" s="4">
        <f t="shared" si="174"/>
        <v>-2.9494168432694749E-2</v>
      </c>
      <c r="AC283" s="4">
        <f t="shared" si="174"/>
        <v>-2.990026707906487E-2</v>
      </c>
      <c r="AD283" s="4">
        <f t="shared" si="174"/>
        <v>-3.0281909307217844E-2</v>
      </c>
      <c r="AE283" s="4">
        <f t="shared" si="174"/>
        <v>-3.0642645259620245E-2</v>
      </c>
      <c r="AF283" s="4">
        <f t="shared" si="174"/>
        <v>-3.0985348567151925E-2</v>
      </c>
      <c r="AG283" s="4">
        <f t="shared" si="174"/>
        <v>-3.1312300258766981E-2</v>
      </c>
      <c r="AH283" s="4">
        <f t="shared" si="174"/>
        <v>-3.1622418112682987E-2</v>
      </c>
      <c r="AI283" s="4">
        <f t="shared" si="174"/>
        <v>-3.1918264368546334E-2</v>
      </c>
      <c r="AJ283" s="4">
        <f t="shared" si="174"/>
        <v>-3.2201915629670168E-2</v>
      </c>
      <c r="AK283" s="4">
        <f t="shared" si="174"/>
        <v>-3.2475017459586308E-2</v>
      </c>
      <c r="AL283" s="4">
        <f t="shared" si="174"/>
        <v>-3.2738943387867259E-2</v>
      </c>
      <c r="AM283" s="4">
        <f t="shared" ref="AM283:BC283" si="175">(AM267-AM275)/AM$271</f>
        <v>-3.297017861747914E-2</v>
      </c>
      <c r="AN283" s="4">
        <f t="shared" si="175"/>
        <v>-3.3178468822597756E-2</v>
      </c>
      <c r="AO283" s="4">
        <f t="shared" si="175"/>
        <v>-3.3371342873232172E-2</v>
      </c>
      <c r="AP283" s="4">
        <f t="shared" si="175"/>
        <v>-3.3553782385506201E-2</v>
      </c>
      <c r="AQ283" s="4">
        <f t="shared" si="175"/>
        <v>-3.3729139216249718E-2</v>
      </c>
      <c r="AR283" s="4">
        <f t="shared" si="175"/>
        <v>-3.3896045357938248E-2</v>
      </c>
      <c r="AS283" s="4">
        <f t="shared" si="175"/>
        <v>-3.4057372115926091E-2</v>
      </c>
      <c r="AT283" s="4">
        <f t="shared" si="175"/>
        <v>-3.4215328425861002E-2</v>
      </c>
      <c r="AU283" s="4">
        <f t="shared" si="175"/>
        <v>-3.4371526260356416E-2</v>
      </c>
      <c r="AV283" s="4">
        <f t="shared" si="175"/>
        <v>-3.4527197293114494E-2</v>
      </c>
      <c r="AW283" s="4">
        <f t="shared" si="175"/>
        <v>-3.4671699484919362E-2</v>
      </c>
      <c r="AX283" s="4">
        <f t="shared" si="175"/>
        <v>-3.4810037065807729E-2</v>
      </c>
      <c r="AY283" s="4">
        <f t="shared" si="175"/>
        <v>-3.4946387014436676E-2</v>
      </c>
      <c r="AZ283" s="4">
        <f t="shared" si="175"/>
        <v>-3.5083247894830014E-2</v>
      </c>
      <c r="BA283" s="4">
        <f t="shared" si="175"/>
        <v>-3.5221997535662783E-2</v>
      </c>
      <c r="BB283" s="4">
        <f t="shared" si="175"/>
        <v>-3.535636765574638E-2</v>
      </c>
      <c r="BC283" s="4">
        <f t="shared" si="175"/>
        <v>-3.5489080973022148E-2</v>
      </c>
      <c r="BD283" s="4">
        <f t="shared" ref="BD283:BF283" si="176">(BD267-BD275)/BD$271</f>
        <v>-3.5622369763477997E-2</v>
      </c>
      <c r="BE283" s="4">
        <f t="shared" si="176"/>
        <v>-3.5757728945911241E-2</v>
      </c>
      <c r="BF283" s="4">
        <f t="shared" si="176"/>
        <v>-3.5896090427783287E-2</v>
      </c>
    </row>
    <row r="284" spans="1:58" x14ac:dyDescent="0.35">
      <c r="B284" t="s">
        <v>31</v>
      </c>
      <c r="C284" s="4">
        <f t="shared" ref="C284:AL284" si="177">(C268-C276)/C$271</f>
        <v>-8.6328523073350426E-5</v>
      </c>
      <c r="D284" s="4">
        <f t="shared" si="177"/>
        <v>-1.3465938318279693E-4</v>
      </c>
      <c r="E284" s="4">
        <f t="shared" si="177"/>
        <v>-1.652866038622966E-4</v>
      </c>
      <c r="F284" s="4">
        <f t="shared" si="177"/>
        <v>-1.8899727439965636E-4</v>
      </c>
      <c r="G284" s="4">
        <f t="shared" si="177"/>
        <v>-2.094082598763098E-4</v>
      </c>
      <c r="H284" s="4">
        <f t="shared" si="177"/>
        <v>-2.2786776729342124E-4</v>
      </c>
      <c r="I284" s="4">
        <f t="shared" si="177"/>
        <v>-2.450080880947927E-4</v>
      </c>
      <c r="J284" s="4">
        <f t="shared" si="177"/>
        <v>-2.6095474175058541E-4</v>
      </c>
      <c r="K284" s="4">
        <f t="shared" si="177"/>
        <v>-2.7569285457669312E-4</v>
      </c>
      <c r="L284" s="4">
        <f t="shared" si="177"/>
        <v>-2.8922563463642186E-4</v>
      </c>
      <c r="M284" s="4">
        <f t="shared" si="177"/>
        <v>-3.0166053557407064E-4</v>
      </c>
      <c r="N284" s="4">
        <f t="shared" si="177"/>
        <v>-3.1329861791710436E-4</v>
      </c>
      <c r="O284" s="4">
        <f t="shared" si="177"/>
        <v>-3.2413289258890609E-4</v>
      </c>
      <c r="P284" s="4">
        <f t="shared" si="177"/>
        <v>-3.3421981221535603E-4</v>
      </c>
      <c r="Q284" s="4">
        <f t="shared" si="177"/>
        <v>-3.4364124739129657E-4</v>
      </c>
      <c r="R284" s="4">
        <f t="shared" si="177"/>
        <v>-3.5247621823448046E-4</v>
      </c>
      <c r="S284" s="4">
        <f t="shared" si="177"/>
        <v>-3.6106893113789664E-4</v>
      </c>
      <c r="T284" s="4">
        <f t="shared" si="177"/>
        <v>-3.6932340848271208E-4</v>
      </c>
      <c r="U284" s="4">
        <f t="shared" si="177"/>
        <v>-3.7721552202202438E-4</v>
      </c>
      <c r="V284" s="4">
        <f t="shared" si="177"/>
        <v>-3.8475722149714306E-4</v>
      </c>
      <c r="W284" s="4">
        <f t="shared" si="177"/>
        <v>-3.9192923919503667E-4</v>
      </c>
      <c r="X284" s="4">
        <f t="shared" si="177"/>
        <v>-3.9883736390887149E-4</v>
      </c>
      <c r="Y284" s="4">
        <f t="shared" si="177"/>
        <v>-4.0547348412321124E-4</v>
      </c>
      <c r="Z284" s="4">
        <f t="shared" si="177"/>
        <v>-4.1184506171959909E-4</v>
      </c>
      <c r="AA284" s="4">
        <f t="shared" si="177"/>
        <v>-4.1796719605190224E-4</v>
      </c>
      <c r="AB284" s="4">
        <f t="shared" si="177"/>
        <v>-4.2372606228431993E-4</v>
      </c>
      <c r="AC284" s="4">
        <f t="shared" si="177"/>
        <v>-4.2924682244134191E-4</v>
      </c>
      <c r="AD284" s="4">
        <f t="shared" si="177"/>
        <v>-4.3457045921912378E-4</v>
      </c>
      <c r="AE284" s="4">
        <f t="shared" si="177"/>
        <v>-4.3971476861851932E-4</v>
      </c>
      <c r="AF284" s="4">
        <f t="shared" si="177"/>
        <v>-4.4469074740708953E-4</v>
      </c>
      <c r="AG284" s="4">
        <f t="shared" si="177"/>
        <v>-4.4950954543779374E-4</v>
      </c>
      <c r="AH284" s="4">
        <f t="shared" si="177"/>
        <v>-4.5413373470117372E-4</v>
      </c>
      <c r="AI284" s="4">
        <f t="shared" si="177"/>
        <v>-4.5859856275174896E-4</v>
      </c>
      <c r="AJ284" s="4">
        <f t="shared" si="177"/>
        <v>-4.6292482500661264E-4</v>
      </c>
      <c r="AK284" s="4">
        <f t="shared" si="177"/>
        <v>-4.671257764318358E-4</v>
      </c>
      <c r="AL284" s="4">
        <f t="shared" si="177"/>
        <v>-4.7121226747792104E-4</v>
      </c>
      <c r="AM284" s="4">
        <f t="shared" ref="AM284:BC284" si="178">(AM268-AM276)/AM$271</f>
        <v>-4.7477131802299419E-4</v>
      </c>
      <c r="AN284" s="4">
        <f t="shared" si="178"/>
        <v>-4.7805883917397083E-4</v>
      </c>
      <c r="AO284" s="4">
        <f t="shared" si="178"/>
        <v>-4.8119414857134609E-4</v>
      </c>
      <c r="AP284" s="4">
        <f t="shared" si="178"/>
        <v>-4.842274969056657E-4</v>
      </c>
      <c r="AQ284" s="4">
        <f t="shared" si="178"/>
        <v>-4.8718669292437019E-4</v>
      </c>
      <c r="AR284" s="4">
        <f t="shared" si="178"/>
        <v>-4.9003504215215698E-4</v>
      </c>
      <c r="AS284" s="4">
        <f t="shared" si="178"/>
        <v>-4.9282264228747914E-4</v>
      </c>
      <c r="AT284" s="4">
        <f t="shared" si="178"/>
        <v>-4.9558211904141339E-4</v>
      </c>
      <c r="AU284" s="4">
        <f t="shared" si="178"/>
        <v>-4.9833595691252961E-4</v>
      </c>
      <c r="AV284" s="4">
        <f t="shared" si="178"/>
        <v>-5.0110042796806093E-4</v>
      </c>
      <c r="AW284" s="4">
        <f t="shared" si="178"/>
        <v>-5.0369281735192933E-4</v>
      </c>
      <c r="AX284" s="4">
        <f t="shared" si="178"/>
        <v>-5.061981759083155E-4</v>
      </c>
      <c r="AY284" s="4">
        <f t="shared" si="178"/>
        <v>-5.0864560720528373E-4</v>
      </c>
      <c r="AZ284" s="4">
        <f t="shared" si="178"/>
        <v>-5.1106948382445365E-4</v>
      </c>
      <c r="BA284" s="4">
        <f t="shared" si="178"/>
        <v>-5.1350454755438044E-4</v>
      </c>
      <c r="BB284" s="4">
        <f t="shared" si="178"/>
        <v>-5.1586680468203511E-4</v>
      </c>
      <c r="BC284" s="4">
        <f t="shared" si="178"/>
        <v>-5.1822711839038128E-4</v>
      </c>
      <c r="BD284" s="4">
        <f t="shared" ref="BD284:BF284" si="179">(BD268-BD276)/BD$271</f>
        <v>-5.2062123498110855E-4</v>
      </c>
      <c r="BE284" s="4">
        <f t="shared" si="179"/>
        <v>-5.2306720277923448E-4</v>
      </c>
      <c r="BF284" s="4">
        <f t="shared" si="179"/>
        <v>-5.2557722083381223E-4</v>
      </c>
    </row>
    <row r="285" spans="1:58" x14ac:dyDescent="0.35">
      <c r="B285" t="s">
        <v>33</v>
      </c>
      <c r="C285" s="4">
        <f t="shared" ref="C285:AL285" si="180">(C269-C277)/C$271</f>
        <v>-7.9981033518895442E-5</v>
      </c>
      <c r="D285" s="4">
        <f t="shared" si="180"/>
        <v>-1.3489374945788759E-4</v>
      </c>
      <c r="E285" s="4">
        <f t="shared" si="180"/>
        <v>-1.7151793348291344E-4</v>
      </c>
      <c r="F285" s="4">
        <f t="shared" si="180"/>
        <v>-1.9755301903561488E-4</v>
      </c>
      <c r="G285" s="4">
        <f t="shared" si="180"/>
        <v>-2.1623347511138337E-4</v>
      </c>
      <c r="H285" s="4">
        <f t="shared" si="180"/>
        <v>-2.2983822292790756E-4</v>
      </c>
      <c r="I285" s="4">
        <f t="shared" si="180"/>
        <v>-2.4049569462067041E-4</v>
      </c>
      <c r="J285" s="4">
        <f t="shared" si="180"/>
        <v>-2.4944207778431941E-4</v>
      </c>
      <c r="K285" s="4">
        <f t="shared" si="180"/>
        <v>-2.5694873672848237E-4</v>
      </c>
      <c r="L285" s="4">
        <f t="shared" si="180"/>
        <v>-2.630234630959916E-4</v>
      </c>
      <c r="M285" s="4">
        <f t="shared" si="180"/>
        <v>-2.6781702225206445E-4</v>
      </c>
      <c r="N285" s="4">
        <f t="shared" si="180"/>
        <v>-2.7182999731000787E-4</v>
      </c>
      <c r="O285" s="4">
        <f t="shared" si="180"/>
        <v>-2.752423554571066E-4</v>
      </c>
      <c r="P285" s="4">
        <f t="shared" si="180"/>
        <v>-2.7826748459087926E-4</v>
      </c>
      <c r="Q285" s="4">
        <f t="shared" si="180"/>
        <v>-2.811086264558198E-4</v>
      </c>
      <c r="R285" s="4">
        <f t="shared" si="180"/>
        <v>-2.8393132609924994E-4</v>
      </c>
      <c r="S285" s="4">
        <f t="shared" si="180"/>
        <v>-2.8711876346087254E-4</v>
      </c>
      <c r="T285" s="4">
        <f t="shared" si="180"/>
        <v>-2.9064435362211689E-4</v>
      </c>
      <c r="U285" s="4">
        <f t="shared" si="180"/>
        <v>-2.9448932801846676E-4</v>
      </c>
      <c r="V285" s="4">
        <f t="shared" si="180"/>
        <v>-2.9864625437910899E-4</v>
      </c>
      <c r="W285" s="4">
        <f t="shared" si="180"/>
        <v>-3.0308971529923118E-4</v>
      </c>
      <c r="X285" s="4">
        <f t="shared" si="180"/>
        <v>-3.0782403783943357E-4</v>
      </c>
      <c r="Y285" s="4">
        <f t="shared" si="180"/>
        <v>-3.1282477087262659E-4</v>
      </c>
      <c r="Z285" s="4">
        <f t="shared" si="180"/>
        <v>-3.1805893210966844E-4</v>
      </c>
      <c r="AA285" s="4">
        <f t="shared" si="180"/>
        <v>-3.2349176394922942E-4</v>
      </c>
      <c r="AB285" s="4">
        <f t="shared" si="180"/>
        <v>-3.2903369311337069E-4</v>
      </c>
      <c r="AC285" s="4">
        <f t="shared" si="180"/>
        <v>-3.3462036923242989E-4</v>
      </c>
      <c r="AD285" s="4">
        <f t="shared" si="180"/>
        <v>-3.4026568123875559E-4</v>
      </c>
      <c r="AE285" s="4">
        <f t="shared" si="180"/>
        <v>-3.4595767206727356E-4</v>
      </c>
      <c r="AF285" s="4">
        <f t="shared" si="180"/>
        <v>-3.5167706197210762E-4</v>
      </c>
      <c r="AG285" s="4">
        <f t="shared" si="180"/>
        <v>-3.574041247582883E-4</v>
      </c>
      <c r="AH285" s="4">
        <f t="shared" si="180"/>
        <v>-3.6307374313161733E-4</v>
      </c>
      <c r="AI285" s="4">
        <f t="shared" si="180"/>
        <v>-3.6868056076300192E-4</v>
      </c>
      <c r="AJ285" s="4">
        <f t="shared" si="180"/>
        <v>-3.7421134402022306E-4</v>
      </c>
      <c r="AK285" s="4">
        <f t="shared" si="180"/>
        <v>-3.7964781527760757E-4</v>
      </c>
      <c r="AL285" s="4">
        <f t="shared" si="180"/>
        <v>-3.8497214454281589E-4</v>
      </c>
      <c r="AM285" s="4">
        <f t="shared" ref="AM285:BC285" si="181">(AM269-AM277)/AM$271</f>
        <v>-3.8980283628212945E-4</v>
      </c>
      <c r="AN285" s="4">
        <f t="shared" si="181"/>
        <v>-3.9428927395768345E-4</v>
      </c>
      <c r="AO285" s="4">
        <f t="shared" si="181"/>
        <v>-3.9852814208971851E-4</v>
      </c>
      <c r="AP285" s="4">
        <f t="shared" si="181"/>
        <v>-4.0257097531931234E-4</v>
      </c>
      <c r="AQ285" s="4">
        <f t="shared" si="181"/>
        <v>-4.0645535345818249E-4</v>
      </c>
      <c r="AR285" s="4">
        <f t="shared" si="181"/>
        <v>-4.1016338795679121E-4</v>
      </c>
      <c r="AS285" s="4">
        <f t="shared" si="181"/>
        <v>-4.1374900837306167E-4</v>
      </c>
      <c r="AT285" s="4">
        <f t="shared" si="181"/>
        <v>-4.1725623312222548E-4</v>
      </c>
      <c r="AU285" s="4">
        <f t="shared" si="181"/>
        <v>-4.2071869834324585E-4</v>
      </c>
      <c r="AV285" s="4">
        <f t="shared" si="181"/>
        <v>-4.241586146046887E-4</v>
      </c>
      <c r="AW285" s="4">
        <f t="shared" si="181"/>
        <v>-4.2738288204133995E-4</v>
      </c>
      <c r="AX285" s="4">
        <f t="shared" si="181"/>
        <v>-4.3028269011913467E-4</v>
      </c>
      <c r="AY285" s="4">
        <f t="shared" si="181"/>
        <v>-4.3275681100787708E-4</v>
      </c>
      <c r="AZ285" s="4">
        <f t="shared" si="181"/>
        <v>-4.3485274423525811E-4</v>
      </c>
      <c r="BA285" s="4">
        <f t="shared" si="181"/>
        <v>-4.366742327454463E-4</v>
      </c>
      <c r="BB285" s="4">
        <f t="shared" si="181"/>
        <v>-4.381978697125422E-4</v>
      </c>
      <c r="BC285" s="4">
        <f t="shared" si="181"/>
        <v>-4.3949266075345156E-4</v>
      </c>
      <c r="BD285" s="4">
        <f t="shared" ref="BD285:BF285" si="182">(BD269-BD277)/BD$271</f>
        <v>-4.4058619875477254E-4</v>
      </c>
      <c r="BE285" s="4">
        <f t="shared" si="182"/>
        <v>-4.4148426143780778E-4</v>
      </c>
      <c r="BF285" s="4">
        <f t="shared" si="182"/>
        <v>-4.4218762508189708E-4</v>
      </c>
    </row>
    <row r="287" spans="1:58" x14ac:dyDescent="0.35">
      <c r="A287" s="12" t="s">
        <v>21</v>
      </c>
      <c r="C287" s="7" t="s">
        <v>15</v>
      </c>
      <c r="D287" s="7" t="s">
        <v>16</v>
      </c>
      <c r="E287" s="7" t="s">
        <v>17</v>
      </c>
    </row>
    <row r="288" spans="1:58" x14ac:dyDescent="0.35">
      <c r="A288" t="s">
        <v>88</v>
      </c>
      <c r="B288" t="s">
        <v>26</v>
      </c>
      <c r="C288" s="4">
        <f>R279</f>
        <v>-6.4192627806056723E-2</v>
      </c>
      <c r="D288" s="4">
        <f>AB279</f>
        <v>-8.5349989922653524E-2</v>
      </c>
      <c r="E288" s="4">
        <f>AL279</f>
        <v>-9.7456279096932441E-2</v>
      </c>
    </row>
    <row r="289" spans="1:58" x14ac:dyDescent="0.35">
      <c r="B289" t="s">
        <v>7</v>
      </c>
      <c r="C289" s="4">
        <f t="shared" ref="C289:C294" si="183">R280</f>
        <v>-5.7050935322369711E-4</v>
      </c>
      <c r="D289" s="4">
        <f t="shared" ref="D289:D294" si="184">AB280</f>
        <v>-6.7490002507161696E-4</v>
      </c>
      <c r="E289" s="4">
        <f t="shared" ref="E289:E294" si="185">AL280</f>
        <v>-7.5012506012137384E-4</v>
      </c>
    </row>
    <row r="290" spans="1:58" x14ac:dyDescent="0.35">
      <c r="B290" t="s">
        <v>30</v>
      </c>
      <c r="C290" s="4">
        <f t="shared" si="183"/>
        <v>-3.7854559556099177E-2</v>
      </c>
      <c r="D290" s="4">
        <f t="shared" si="184"/>
        <v>-5.2916511605939402E-2</v>
      </c>
      <c r="E290" s="4">
        <f t="shared" si="185"/>
        <v>-6.1359611803780009E-2</v>
      </c>
    </row>
    <row r="291" spans="1:58" x14ac:dyDescent="0.35">
      <c r="B291" t="s">
        <v>28</v>
      </c>
      <c r="C291" s="4">
        <f t="shared" si="183"/>
        <v>-1.1985153934740568E-3</v>
      </c>
      <c r="D291" s="4">
        <f t="shared" si="184"/>
        <v>-1.5116502261526919E-3</v>
      </c>
      <c r="E291" s="4">
        <f t="shared" si="185"/>
        <v>-1.7514143138658176E-3</v>
      </c>
    </row>
    <row r="292" spans="1:58" x14ac:dyDescent="0.35">
      <c r="B292" t="s">
        <v>10</v>
      </c>
      <c r="C292" s="4">
        <f t="shared" si="183"/>
        <v>-2.3932635867788637E-2</v>
      </c>
      <c r="D292" s="4">
        <f t="shared" si="184"/>
        <v>-2.9494168432694749E-2</v>
      </c>
      <c r="E292" s="4">
        <f t="shared" si="185"/>
        <v>-3.2738943387867259E-2</v>
      </c>
    </row>
    <row r="293" spans="1:58" x14ac:dyDescent="0.35">
      <c r="B293" t="s">
        <v>31</v>
      </c>
      <c r="C293" s="4">
        <f t="shared" si="183"/>
        <v>-3.5247621823448046E-4</v>
      </c>
      <c r="D293" s="4">
        <f t="shared" si="184"/>
        <v>-4.2372606228431993E-4</v>
      </c>
      <c r="E293" s="4">
        <f t="shared" si="185"/>
        <v>-4.7121226747792104E-4</v>
      </c>
    </row>
    <row r="294" spans="1:58" x14ac:dyDescent="0.35">
      <c r="B294" t="s">
        <v>33</v>
      </c>
      <c r="C294" s="4">
        <f t="shared" si="183"/>
        <v>-2.8393132609924994E-4</v>
      </c>
      <c r="D294" s="4">
        <f t="shared" si="184"/>
        <v>-3.2903369311337069E-4</v>
      </c>
      <c r="E294" s="4">
        <f t="shared" si="185"/>
        <v>-3.8497214454281589E-4</v>
      </c>
    </row>
    <row r="295" spans="1:58" x14ac:dyDescent="0.35">
      <c r="C295" s="4"/>
      <c r="D295" s="4"/>
      <c r="E295" s="4"/>
    </row>
    <row r="296" spans="1:58" x14ac:dyDescent="0.35">
      <c r="A296" s="12" t="s">
        <v>89</v>
      </c>
      <c r="C296" s="2">
        <v>42005</v>
      </c>
      <c r="D296" s="2">
        <v>42370</v>
      </c>
      <c r="E296" s="2">
        <v>42736</v>
      </c>
      <c r="F296" s="2">
        <v>43101</v>
      </c>
      <c r="G296" s="2">
        <v>43466</v>
      </c>
      <c r="H296" s="2">
        <v>43831</v>
      </c>
      <c r="I296" s="2">
        <v>44197</v>
      </c>
      <c r="J296" s="2">
        <v>44562</v>
      </c>
      <c r="K296" s="2">
        <v>44927</v>
      </c>
      <c r="L296" s="2">
        <v>45292</v>
      </c>
      <c r="M296" s="2">
        <v>45658</v>
      </c>
      <c r="N296" s="2">
        <v>46023</v>
      </c>
      <c r="O296" s="2">
        <v>46388</v>
      </c>
      <c r="P296" s="2">
        <v>46753</v>
      </c>
      <c r="Q296" s="2">
        <v>47119</v>
      </c>
      <c r="R296" s="2">
        <v>47484</v>
      </c>
      <c r="S296" s="2">
        <v>47849</v>
      </c>
      <c r="T296" s="2">
        <v>48214</v>
      </c>
      <c r="U296" s="2">
        <v>48580</v>
      </c>
      <c r="V296" s="2">
        <v>48945</v>
      </c>
      <c r="W296" s="2">
        <v>49310</v>
      </c>
      <c r="X296" s="2">
        <v>49675</v>
      </c>
      <c r="Y296" s="2">
        <v>50041</v>
      </c>
      <c r="Z296" s="2">
        <v>50406</v>
      </c>
      <c r="AA296" s="2">
        <v>50771</v>
      </c>
      <c r="AB296" s="2">
        <v>51136</v>
      </c>
      <c r="AC296" s="2">
        <v>51502</v>
      </c>
      <c r="AD296" s="2">
        <v>51867</v>
      </c>
      <c r="AE296" s="2">
        <v>52232</v>
      </c>
      <c r="AF296" s="2">
        <v>52597</v>
      </c>
      <c r="AG296" s="2">
        <v>52963</v>
      </c>
      <c r="AH296" s="2">
        <v>53328</v>
      </c>
      <c r="AI296" s="2">
        <v>53693</v>
      </c>
      <c r="AJ296" s="2">
        <v>54058</v>
      </c>
      <c r="AK296" s="2">
        <v>54424</v>
      </c>
      <c r="AL296" s="2">
        <v>54789</v>
      </c>
      <c r="AM296" s="2">
        <v>54790</v>
      </c>
      <c r="AN296" s="2">
        <v>54791</v>
      </c>
      <c r="AO296" s="2">
        <v>54792</v>
      </c>
      <c r="AP296" s="2">
        <v>54793</v>
      </c>
      <c r="AQ296" s="2">
        <v>54794</v>
      </c>
      <c r="AR296" s="2">
        <v>54795</v>
      </c>
      <c r="AS296" s="2">
        <v>54796</v>
      </c>
      <c r="AT296" s="2">
        <v>54797</v>
      </c>
      <c r="AU296" s="2">
        <v>54798</v>
      </c>
      <c r="AV296" s="2">
        <v>54799</v>
      </c>
      <c r="AW296" s="2">
        <v>54800</v>
      </c>
      <c r="AX296" s="2">
        <v>54801</v>
      </c>
      <c r="AY296" s="2">
        <v>54802</v>
      </c>
      <c r="AZ296" s="2">
        <v>54803</v>
      </c>
      <c r="BA296" s="2">
        <v>54804</v>
      </c>
      <c r="BB296" s="2">
        <v>54805</v>
      </c>
      <c r="BC296" s="2">
        <v>54806</v>
      </c>
      <c r="BD296" s="2">
        <v>54807</v>
      </c>
      <c r="BE296" s="2">
        <v>54808</v>
      </c>
      <c r="BF296" s="2">
        <v>54809</v>
      </c>
    </row>
    <row r="297" spans="1:58" x14ac:dyDescent="0.35">
      <c r="A297" t="s">
        <v>39</v>
      </c>
      <c r="B297" t="s">
        <v>56</v>
      </c>
      <c r="C297" s="6">
        <f>[1]Results!F3</f>
        <v>32317.940999999999</v>
      </c>
      <c r="D297" s="6">
        <f>[1]Results!G3</f>
        <v>31906.398669999999</v>
      </c>
      <c r="E297" s="6">
        <f>[1]Results!H3</f>
        <v>31678.11522</v>
      </c>
      <c r="F297" s="6">
        <f>[1]Results!I3</f>
        <v>31577.695739999999</v>
      </c>
      <c r="G297" s="6">
        <f>[1]Results!J3</f>
        <v>31568.836940000001</v>
      </c>
      <c r="H297" s="6">
        <f>[1]Results!K3</f>
        <v>31628.129099999998</v>
      </c>
      <c r="I297" s="6">
        <f>[1]Results!L3</f>
        <v>31736.346099999999</v>
      </c>
      <c r="J297" s="6">
        <f>[1]Results!M3</f>
        <v>31883.118579999998</v>
      </c>
      <c r="K297" s="6">
        <f>[1]Results!N3</f>
        <v>32061.032930000001</v>
      </c>
      <c r="L297" s="6">
        <f>[1]Results!O3</f>
        <v>32264.507989999998</v>
      </c>
      <c r="M297" s="6">
        <f>[1]Results!P3</f>
        <v>32495.81957</v>
      </c>
      <c r="N297" s="6">
        <f>[1]Results!Q3</f>
        <v>32744.083719999999</v>
      </c>
      <c r="O297" s="6">
        <f>[1]Results!R3</f>
        <v>33006.09362</v>
      </c>
      <c r="P297" s="6">
        <f>[1]Results!S3</f>
        <v>33279.078249999999</v>
      </c>
      <c r="Q297" s="6">
        <f>[1]Results!T3</f>
        <v>33560.714829999997</v>
      </c>
      <c r="R297" s="6">
        <f>[1]Results!U3</f>
        <v>33849.070820000001</v>
      </c>
      <c r="S297" s="6">
        <f>[1]Results!V3</f>
        <v>34142.34663</v>
      </c>
      <c r="T297" s="6">
        <f>[1]Results!W3</f>
        <v>34439.112419999998</v>
      </c>
      <c r="U297" s="6">
        <f>[1]Results!X3</f>
        <v>34738.193809999997</v>
      </c>
      <c r="V297" s="6">
        <f>[1]Results!Y3</f>
        <v>35038.600189999997</v>
      </c>
      <c r="W297" s="6">
        <f>[1]Results!Z3</f>
        <v>35334.676149999999</v>
      </c>
      <c r="X297" s="6">
        <f>[1]Results!AA3</f>
        <v>35630.902679999999</v>
      </c>
      <c r="Y297" s="6">
        <f>[1]Results!AB3</f>
        <v>35926.769390000001</v>
      </c>
      <c r="Z297" s="6">
        <f>[1]Results!AC3</f>
        <v>36221.92254</v>
      </c>
      <c r="AA297" s="6">
        <f>[1]Results!AD3</f>
        <v>36516.062539999999</v>
      </c>
      <c r="AB297" s="6">
        <f>[1]Results!AE3</f>
        <v>36795.376300000004</v>
      </c>
      <c r="AC297" s="6">
        <f>[1]Results!AF3</f>
        <v>37067.9781</v>
      </c>
      <c r="AD297" s="6">
        <f>[1]Results!AG3</f>
        <v>37334.415670000002</v>
      </c>
      <c r="AE297" s="6">
        <f>[1]Results!AH3</f>
        <v>37595.488579999997</v>
      </c>
      <c r="AF297" s="6">
        <f>[1]Results!AI3</f>
        <v>37852.052340000002</v>
      </c>
      <c r="AG297" s="6">
        <f>[1]Results!AJ3</f>
        <v>38104.91835</v>
      </c>
      <c r="AH297" s="6">
        <f>[1]Results!AK3</f>
        <v>38354.845580000001</v>
      </c>
      <c r="AI297" s="6">
        <f>[1]Results!AL3</f>
        <v>38602.464829999997</v>
      </c>
      <c r="AJ297" s="6">
        <f>[1]Results!AM3</f>
        <v>38848.29823</v>
      </c>
      <c r="AK297" s="6">
        <f>[1]Results!AN3</f>
        <v>39092.785309999999</v>
      </c>
      <c r="AL297" s="6">
        <f>[1]Results!AO3</f>
        <v>39336.303879999999</v>
      </c>
      <c r="AM297" s="6">
        <f>[1]Results!AP3</f>
        <v>39576.44902</v>
      </c>
      <c r="AN297" s="6">
        <f>[1]Results!AQ3</f>
        <v>39813.869559999999</v>
      </c>
      <c r="AO297" s="6">
        <f>[1]Results!AR3</f>
        <v>40049.110059999999</v>
      </c>
      <c r="AP297" s="6">
        <f>[1]Results!AS3</f>
        <v>40282.730130000004</v>
      </c>
      <c r="AQ297" s="6">
        <f>[1]Results!AT3</f>
        <v>40515.299749999998</v>
      </c>
      <c r="AR297" s="6">
        <f>[1]Results!AU3</f>
        <v>40747.412219999998</v>
      </c>
      <c r="AS297" s="6">
        <f>[1]Results!AV3</f>
        <v>40979.569040000002</v>
      </c>
      <c r="AT297" s="6">
        <f>[1]Results!AW3</f>
        <v>41212.176330000002</v>
      </c>
      <c r="AU297" s="6">
        <f>[1]Results!AX3</f>
        <v>41445.556519999998</v>
      </c>
      <c r="AV297" s="6">
        <f>[1]Results!AY3</f>
        <v>41679.959150000002</v>
      </c>
      <c r="AW297" s="6">
        <f>[1]Results!AZ3</f>
        <v>41915.991470000001</v>
      </c>
      <c r="AX297" s="6">
        <f>[1]Results!BA3</f>
        <v>42153.822690000001</v>
      </c>
      <c r="AY297" s="6">
        <f>[1]Results!BB3</f>
        <v>42393.51382</v>
      </c>
      <c r="AZ297" s="6">
        <f>[1]Results!BC3</f>
        <v>42635.078690000002</v>
      </c>
      <c r="BA297" s="6">
        <f>[1]Results!BD3</f>
        <v>42878.511149999998</v>
      </c>
      <c r="BB297" s="6">
        <f>[1]Results!BE3</f>
        <v>43123.892870000003</v>
      </c>
      <c r="BC297" s="6">
        <f>[1]Results!BF3</f>
        <v>43371.234340000003</v>
      </c>
      <c r="BD297" s="6">
        <f>[1]Results!BG3</f>
        <v>43620.500899999999</v>
      </c>
      <c r="BE297" s="6">
        <f>[1]Results!BH3</f>
        <v>43871.648419999998</v>
      </c>
      <c r="BF297" s="6">
        <f>[1]Results!BI3</f>
        <v>44124.635000000002</v>
      </c>
    </row>
    <row r="298" spans="1:58" x14ac:dyDescent="0.35">
      <c r="B298" t="s">
        <v>53</v>
      </c>
      <c r="C298" s="6">
        <f>[1]Results!F4</f>
        <v>32271.24</v>
      </c>
      <c r="D298" s="6">
        <f>[1]Results!G4</f>
        <v>31842.17467</v>
      </c>
      <c r="E298" s="6">
        <f>[1]Results!H4</f>
        <v>31595.630379999999</v>
      </c>
      <c r="F298" s="6">
        <f>[1]Results!I4</f>
        <v>31476.583119999999</v>
      </c>
      <c r="G298" s="6">
        <f>[1]Results!J4</f>
        <v>31448.948619999999</v>
      </c>
      <c r="H298" s="6">
        <f>[1]Results!K4</f>
        <v>31489.437539999999</v>
      </c>
      <c r="I298" s="6">
        <f>[1]Results!L4</f>
        <v>31578.92266</v>
      </c>
      <c r="J298" s="6">
        <f>[1]Results!M4</f>
        <v>31707.065040000001</v>
      </c>
      <c r="K298" s="6">
        <f>[1]Results!N4</f>
        <v>31866.463390000001</v>
      </c>
      <c r="L298" s="6">
        <f>[1]Results!O4</f>
        <v>32051.53875</v>
      </c>
      <c r="M298" s="6">
        <f>[1]Results!P4</f>
        <v>32264.497609999999</v>
      </c>
      <c r="N298" s="6">
        <f>[1]Results!Q4</f>
        <v>32494.51786</v>
      </c>
      <c r="O298" s="6">
        <f>[1]Results!R4</f>
        <v>32738.38582</v>
      </c>
      <c r="P298" s="6">
        <f>[1]Results!S4</f>
        <v>32993.321649999998</v>
      </c>
      <c r="Q298" s="6">
        <f>[1]Results!T4</f>
        <v>33256.990879999998</v>
      </c>
      <c r="R298" s="6">
        <f>[1]Results!U4</f>
        <v>33527.446109999997</v>
      </c>
      <c r="S298" s="6">
        <f>[1]Results!V4</f>
        <v>33802.871829999996</v>
      </c>
      <c r="T298" s="6">
        <f>[1]Results!W4</f>
        <v>34081.818299999999</v>
      </c>
      <c r="U298" s="6">
        <f>[1]Results!X4</f>
        <v>34363.087800000001</v>
      </c>
      <c r="V298" s="6">
        <f>[1]Results!Y4</f>
        <v>34645.663249999998</v>
      </c>
      <c r="W298" s="6">
        <f>[1]Results!Z4</f>
        <v>34923.91347</v>
      </c>
      <c r="X298" s="6">
        <f>[1]Results!AA4</f>
        <v>35202.23128</v>
      </c>
      <c r="Y298" s="6">
        <f>[1]Results!AB4</f>
        <v>35480.068440000003</v>
      </c>
      <c r="Z298" s="6">
        <f>[1]Results!AC4</f>
        <v>35757.029090000004</v>
      </c>
      <c r="AA298" s="6">
        <f>[1]Results!AD4</f>
        <v>36032.768129999997</v>
      </c>
      <c r="AB298" s="6">
        <f>[1]Results!AE4</f>
        <v>36293.589139999996</v>
      </c>
      <c r="AC298" s="6">
        <f>[1]Results!AF4</f>
        <v>36547.462650000001</v>
      </c>
      <c r="AD298" s="6">
        <f>[1]Results!AG4</f>
        <v>36794.875079999998</v>
      </c>
      <c r="AE298" s="6">
        <f>[1]Results!AH4</f>
        <v>37036.556620000003</v>
      </c>
      <c r="AF298" s="6">
        <f>[1]Results!AI4</f>
        <v>37273.287369999998</v>
      </c>
      <c r="AG298" s="6">
        <f>[1]Results!AJ4</f>
        <v>37505.79823</v>
      </c>
      <c r="AH298" s="6">
        <f>[1]Results!AK4</f>
        <v>37734.7624</v>
      </c>
      <c r="AI298" s="6">
        <f>[1]Results!AL4</f>
        <v>37960.720410000002</v>
      </c>
      <c r="AJ298" s="6">
        <f>[1]Results!AM4</f>
        <v>38184.099240000003</v>
      </c>
      <c r="AK298" s="6">
        <f>[1]Results!AN4</f>
        <v>38405.237730000001</v>
      </c>
      <c r="AL298" s="6">
        <f>[1]Results!AO4</f>
        <v>38624.406799999997</v>
      </c>
      <c r="AM298" s="6">
        <f>[1]Results!AP4</f>
        <v>38839.132960000003</v>
      </c>
      <c r="AN298" s="6">
        <f>[1]Results!AQ4</f>
        <v>39049.942640000001</v>
      </c>
      <c r="AO298" s="6">
        <f>[1]Results!AR4</f>
        <v>39257.250659999998</v>
      </c>
      <c r="AP298" s="6">
        <f>[1]Results!AS4</f>
        <v>39461.47694</v>
      </c>
      <c r="AQ298" s="6">
        <f>[1]Results!AT4</f>
        <v>39663.040999999997</v>
      </c>
      <c r="AR298" s="6">
        <f>[1]Results!AU4</f>
        <v>39862.373720000003</v>
      </c>
      <c r="AS298" s="6">
        <f>[1]Results!AV4</f>
        <v>40059.803460000003</v>
      </c>
      <c r="AT298" s="6">
        <f>[1]Results!AW4</f>
        <v>40255.551919999998</v>
      </c>
      <c r="AU298" s="6">
        <f>[1]Results!AX4</f>
        <v>40449.744930000001</v>
      </c>
      <c r="AV298" s="6">
        <f>[1]Results!AY4</f>
        <v>40642.422189999997</v>
      </c>
      <c r="AW298" s="6">
        <f>[1]Results!AZ4</f>
        <v>40833.956400000003</v>
      </c>
      <c r="AX298" s="6">
        <f>[1]Results!BA4</f>
        <v>41024.274989999998</v>
      </c>
      <c r="AY298" s="6">
        <f>[1]Results!BB4</f>
        <v>41213.182240000002</v>
      </c>
      <c r="AZ298" s="6">
        <f>[1]Results!BC4</f>
        <v>41400.418010000001</v>
      </c>
      <c r="BA298" s="6">
        <f>[1]Results!BD4</f>
        <v>41585.683199999999</v>
      </c>
      <c r="BB298" s="6">
        <f>[1]Results!BE4</f>
        <v>41768.74293</v>
      </c>
      <c r="BC298" s="6">
        <f>[1]Results!BF4</f>
        <v>41949.270759999999</v>
      </c>
      <c r="BD298" s="6">
        <f>[1]Results!BG4</f>
        <v>42126.873059999998</v>
      </c>
      <c r="BE298" s="6">
        <f>[1]Results!BH4</f>
        <v>42301.122280000003</v>
      </c>
      <c r="BF298" s="6">
        <f>[1]Results!BI4</f>
        <v>42471.566980000003</v>
      </c>
    </row>
    <row r="299" spans="1:58" x14ac:dyDescent="0.35">
      <c r="B299" t="s">
        <v>54</v>
      </c>
      <c r="C299" s="6">
        <f>[1]Results!F20</f>
        <v>1.9359999999999999</v>
      </c>
      <c r="D299" s="6">
        <f>[1]Results!G20</f>
        <v>1.9899373739999999</v>
      </c>
      <c r="E299" s="6">
        <f>[1]Results!H20</f>
        <v>2.0530322829999998</v>
      </c>
      <c r="F299" s="6">
        <f>[1]Results!I20</f>
        <v>2.1212830509999998</v>
      </c>
      <c r="G299" s="6">
        <f>[1]Results!J20</f>
        <v>2.1921695140000002</v>
      </c>
      <c r="H299" s="6">
        <f>[1]Results!K20</f>
        <v>2.264168019</v>
      </c>
      <c r="I299" s="6">
        <f>[1]Results!L20</f>
        <v>2.3360475470000002</v>
      </c>
      <c r="J299" s="6">
        <f>[1]Results!M20</f>
        <v>2.4072672769999999</v>
      </c>
      <c r="K299" s="6">
        <f>[1]Results!N20</f>
        <v>2.4774993900000002</v>
      </c>
      <c r="L299" s="6">
        <f>[1]Results!O20</f>
        <v>2.5465412650000001</v>
      </c>
      <c r="M299" s="6">
        <f>[1]Results!P20</f>
        <v>2.6148205340000001</v>
      </c>
      <c r="N299" s="6">
        <f>[1]Results!Q20</f>
        <v>2.6816579790000001</v>
      </c>
      <c r="O299" s="6">
        <f>[1]Results!R20</f>
        <v>2.7469852750000001</v>
      </c>
      <c r="P299" s="6">
        <f>[1]Results!S20</f>
        <v>2.8107538029999999</v>
      </c>
      <c r="Q299" s="6">
        <f>[1]Results!T20</f>
        <v>2.8729372249999998</v>
      </c>
      <c r="R299" s="6">
        <f>[1]Results!U20</f>
        <v>2.9335281019999999</v>
      </c>
      <c r="S299" s="6">
        <f>[1]Results!V20</f>
        <v>2.9925178140000002</v>
      </c>
      <c r="T299" s="6">
        <f>[1]Results!W20</f>
        <v>3.0499171349999998</v>
      </c>
      <c r="U299" s="6">
        <f>[1]Results!X20</f>
        <v>3.1057478600000001</v>
      </c>
      <c r="V299" s="6">
        <f>[1]Results!Y20</f>
        <v>3.160037768</v>
      </c>
      <c r="W299" s="6">
        <f>[1]Results!Z20</f>
        <v>3.2124186180000001</v>
      </c>
      <c r="X299" s="6">
        <f>[1]Results!AA20</f>
        <v>3.2633504929999999</v>
      </c>
      <c r="Y299" s="6">
        <f>[1]Results!AB20</f>
        <v>3.3128783369999999</v>
      </c>
      <c r="Z299" s="6">
        <f>[1]Results!AC20</f>
        <v>3.3610535060000002</v>
      </c>
      <c r="AA299" s="6">
        <f>[1]Results!AD20</f>
        <v>3.4079258160000001</v>
      </c>
      <c r="AB299" s="6">
        <f>[1]Results!AE20</f>
        <v>3.4524180599999998</v>
      </c>
      <c r="AC299" s="6">
        <f>[1]Results!AF20</f>
        <v>3.495251074</v>
      </c>
      <c r="AD299" s="6">
        <f>[1]Results!AG20</f>
        <v>3.5365240020000002</v>
      </c>
      <c r="AE299" s="6">
        <f>[1]Results!AH20</f>
        <v>3.5763534520000002</v>
      </c>
      <c r="AF299" s="6">
        <f>[1]Results!AI20</f>
        <v>3.6148577120000001</v>
      </c>
      <c r="AG299" s="6">
        <f>[1]Results!AJ20</f>
        <v>3.6521486419999998</v>
      </c>
      <c r="AH299" s="6">
        <f>[1]Results!AK20</f>
        <v>3.6883310410000001</v>
      </c>
      <c r="AI299" s="6">
        <f>[1]Results!AL20</f>
        <v>3.7234964169999998</v>
      </c>
      <c r="AJ299" s="6">
        <f>[1]Results!AM20</f>
        <v>3.7577245499999998</v>
      </c>
      <c r="AK299" s="6">
        <f>[1]Results!AN20</f>
        <v>3.7910856220000002</v>
      </c>
      <c r="AL299" s="6">
        <f>[1]Results!AO20</f>
        <v>3.8236419389999998</v>
      </c>
      <c r="AM299" s="6">
        <f>[1]Results!AP20</f>
        <v>3.8552231199999998</v>
      </c>
      <c r="AN299" s="6">
        <f>[1]Results!AQ20</f>
        <v>3.8859052919999999</v>
      </c>
      <c r="AO299" s="6">
        <f>[1]Results!AR20</f>
        <v>3.9157538860000001</v>
      </c>
      <c r="AP299" s="6">
        <f>[1]Results!AS20</f>
        <v>3.9448333839999998</v>
      </c>
      <c r="AQ299" s="6">
        <f>[1]Results!AT20</f>
        <v>3.9732069540000001</v>
      </c>
      <c r="AR299" s="6">
        <f>[1]Results!AU20</f>
        <v>4.0009375079999998</v>
      </c>
      <c r="AS299" s="6">
        <f>[1]Results!AV20</f>
        <v>4.0280782320000004</v>
      </c>
      <c r="AT299" s="6">
        <f>[1]Results!AW20</f>
        <v>4.0546721750000003</v>
      </c>
      <c r="AU299" s="6">
        <f>[1]Results!AX20</f>
        <v>4.0807530910000001</v>
      </c>
      <c r="AV299" s="6">
        <f>[1]Results!AY20</f>
        <v>4.1063462079999997</v>
      </c>
      <c r="AW299" s="6">
        <f>[1]Results!AZ20</f>
        <v>4.1315034170000002</v>
      </c>
      <c r="AX299" s="6">
        <f>[1]Results!BA20</f>
        <v>4.1562383909999996</v>
      </c>
      <c r="AY299" s="6">
        <f>[1]Results!BB20</f>
        <v>4.1805531289999998</v>
      </c>
      <c r="AZ299" s="6">
        <f>[1]Results!BC20</f>
        <v>4.2044428160000002</v>
      </c>
      <c r="BA299" s="6">
        <f>[1]Results!BD20</f>
        <v>4.227897961</v>
      </c>
      <c r="BB299" s="6">
        <f>[1]Results!BE20</f>
        <v>4.2509131059999996</v>
      </c>
      <c r="BC299" s="6">
        <f>[1]Results!BF20</f>
        <v>4.2734739089999998</v>
      </c>
      <c r="BD299" s="6">
        <f>[1]Results!BG20</f>
        <v>4.2955591440000003</v>
      </c>
      <c r="BE299" s="6">
        <f>[1]Results!BH20</f>
        <v>4.3171434890000002</v>
      </c>
      <c r="BF299" s="6">
        <f>[1]Results!BI20</f>
        <v>4.3381983999999996</v>
      </c>
    </row>
    <row r="300" spans="1:58" x14ac:dyDescent="0.35">
      <c r="B300" t="s">
        <v>55</v>
      </c>
      <c r="C300" s="6">
        <f>[1]Results!F12</f>
        <v>44.765000000000001</v>
      </c>
      <c r="D300" s="6">
        <f>[1]Results!G12</f>
        <v>62.234058670000003</v>
      </c>
      <c r="E300" s="6">
        <f>[1]Results!H12</f>
        <v>80.431810150000004</v>
      </c>
      <c r="F300" s="6">
        <f>[1]Results!I12</f>
        <v>98.991343069999999</v>
      </c>
      <c r="G300" s="6">
        <f>[1]Results!J12</f>
        <v>117.6961518</v>
      </c>
      <c r="H300" s="6">
        <f>[1]Results!K12</f>
        <v>136.42739950000001</v>
      </c>
      <c r="I300" s="6">
        <f>[1]Results!L12</f>
        <v>155.08739750000001</v>
      </c>
      <c r="J300" s="6">
        <f>[1]Results!M12</f>
        <v>173.6462659</v>
      </c>
      <c r="K300" s="6">
        <f>[1]Results!N12</f>
        <v>192.0920447</v>
      </c>
      <c r="L300" s="6">
        <f>[1]Results!O12</f>
        <v>210.42270429999999</v>
      </c>
      <c r="M300" s="6">
        <f>[1]Results!P12</f>
        <v>228.70713860000001</v>
      </c>
      <c r="N300" s="6">
        <f>[1]Results!Q12</f>
        <v>246.8842028</v>
      </c>
      <c r="O300" s="6">
        <f>[1]Results!R12</f>
        <v>264.96082699999999</v>
      </c>
      <c r="P300" s="6">
        <f>[1]Results!S12</f>
        <v>282.94584550000002</v>
      </c>
      <c r="Q300" s="6">
        <f>[1]Results!T12</f>
        <v>300.85101520000001</v>
      </c>
      <c r="R300" s="6">
        <f>[1]Results!U12</f>
        <v>318.69119139999998</v>
      </c>
      <c r="S300" s="6">
        <f>[1]Results!V12</f>
        <v>336.48228549999999</v>
      </c>
      <c r="T300" s="6">
        <f>[1]Results!W12</f>
        <v>354.24420329999998</v>
      </c>
      <c r="U300" s="6">
        <f>[1]Results!X12</f>
        <v>372.00026350000002</v>
      </c>
      <c r="V300" s="6">
        <f>[1]Results!Y12</f>
        <v>389.77690619999998</v>
      </c>
      <c r="W300" s="6">
        <f>[1]Results!Z12</f>
        <v>407.55026090000001</v>
      </c>
      <c r="X300" s="6">
        <f>[1]Results!AA12</f>
        <v>425.40805999999998</v>
      </c>
      <c r="Y300" s="6">
        <f>[1]Results!AB12</f>
        <v>443.38807939999998</v>
      </c>
      <c r="Z300" s="6">
        <f>[1]Results!AC12</f>
        <v>461.53239639999998</v>
      </c>
      <c r="AA300" s="6">
        <f>[1]Results!AD12</f>
        <v>479.88648569999998</v>
      </c>
      <c r="AB300" s="6">
        <f>[1]Results!AE12</f>
        <v>498.33474849999999</v>
      </c>
      <c r="AC300" s="6">
        <f>[1]Results!AF12</f>
        <v>517.02020530000004</v>
      </c>
      <c r="AD300" s="6">
        <f>[1]Results!AG12</f>
        <v>536.00407689999997</v>
      </c>
      <c r="AE300" s="6">
        <f>[1]Results!AH12</f>
        <v>555.35561259999997</v>
      </c>
      <c r="AF300" s="6">
        <f>[1]Results!AI12</f>
        <v>575.15011070000003</v>
      </c>
      <c r="AG300" s="6">
        <f>[1]Results!AJ12</f>
        <v>595.46796700000004</v>
      </c>
      <c r="AH300" s="6">
        <f>[1]Results!AK12</f>
        <v>616.39485179999997</v>
      </c>
      <c r="AI300" s="6">
        <f>[1]Results!AL12</f>
        <v>638.0209241</v>
      </c>
      <c r="AJ300" s="6">
        <f>[1]Results!AM12</f>
        <v>660.44126789999996</v>
      </c>
      <c r="AK300" s="6">
        <f>[1]Results!AN12</f>
        <v>683.75650629999996</v>
      </c>
      <c r="AL300" s="6">
        <f>[1]Results!AO12</f>
        <v>708.0734387</v>
      </c>
      <c r="AM300" s="6">
        <f>[1]Results!AP12</f>
        <v>733.46084189999999</v>
      </c>
      <c r="AN300" s="6">
        <f>[1]Results!AQ12</f>
        <v>760.04102130000001</v>
      </c>
      <c r="AO300" s="6">
        <f>[1]Results!AR12</f>
        <v>787.94364929999995</v>
      </c>
      <c r="AP300" s="6">
        <f>[1]Results!AS12</f>
        <v>817.30836179999994</v>
      </c>
      <c r="AQ300" s="6">
        <f>[1]Results!AT12</f>
        <v>848.28554550000001</v>
      </c>
      <c r="AR300" s="6">
        <f>[1]Results!AU12</f>
        <v>881.03756880000003</v>
      </c>
      <c r="AS300" s="6">
        <f>[1]Results!AV12</f>
        <v>915.73750970000003</v>
      </c>
      <c r="AT300" s="6">
        <f>[1]Results!AW12</f>
        <v>952.56974100000002</v>
      </c>
      <c r="AU300" s="6">
        <f>[1]Results!AX12</f>
        <v>991.73085270000001</v>
      </c>
      <c r="AV300" s="6">
        <f>[1]Results!AY12</f>
        <v>1033.4306240000001</v>
      </c>
      <c r="AW300" s="6">
        <f>[1]Results!AZ12</f>
        <v>1077.9035699999999</v>
      </c>
      <c r="AX300" s="6">
        <f>[1]Results!BA12</f>
        <v>1125.3914609999999</v>
      </c>
      <c r="AY300" s="6">
        <f>[1]Results!BB12</f>
        <v>1176.151032</v>
      </c>
      <c r="AZ300" s="6">
        <f>[1]Results!BC12</f>
        <v>1230.4562470000001</v>
      </c>
      <c r="BA300" s="6">
        <f>[1]Results!BD12</f>
        <v>1288.6000529999999</v>
      </c>
      <c r="BB300" s="6">
        <f>[1]Results!BE12</f>
        <v>1350.8990289999999</v>
      </c>
      <c r="BC300" s="6">
        <f>[1]Results!BF12</f>
        <v>1417.690106</v>
      </c>
      <c r="BD300" s="6">
        <f>[1]Results!BG12</f>
        <v>1489.3322889999999</v>
      </c>
      <c r="BE300" s="6">
        <f>[1]Results!BH12</f>
        <v>1566.2089960000001</v>
      </c>
      <c r="BF300" s="6">
        <f>[1]Results!BI12</f>
        <v>1648.729832</v>
      </c>
    </row>
    <row r="302" spans="1:58" x14ac:dyDescent="0.35">
      <c r="A302" s="12" t="s">
        <v>89</v>
      </c>
      <c r="C302" s="2">
        <v>42005</v>
      </c>
      <c r="D302" s="2">
        <v>42370</v>
      </c>
      <c r="E302" s="2">
        <v>42736</v>
      </c>
      <c r="F302" s="2">
        <v>43101</v>
      </c>
      <c r="G302" s="2">
        <v>43466</v>
      </c>
      <c r="H302" s="2">
        <v>43831</v>
      </c>
      <c r="I302" s="2">
        <v>44197</v>
      </c>
      <c r="J302" s="2">
        <v>44562</v>
      </c>
      <c r="K302" s="2">
        <v>44927</v>
      </c>
      <c r="L302" s="2">
        <v>45292</v>
      </c>
      <c r="M302" s="2">
        <v>45658</v>
      </c>
      <c r="N302" s="2">
        <v>46023</v>
      </c>
      <c r="O302" s="2">
        <v>46388</v>
      </c>
      <c r="P302" s="2">
        <v>46753</v>
      </c>
      <c r="Q302" s="2">
        <v>47119</v>
      </c>
      <c r="R302" s="2">
        <v>47484</v>
      </c>
      <c r="S302" s="2">
        <v>47849</v>
      </c>
      <c r="T302" s="2">
        <v>48214</v>
      </c>
      <c r="U302" s="2">
        <v>48580</v>
      </c>
      <c r="V302" s="2">
        <v>48945</v>
      </c>
      <c r="W302" s="2">
        <v>49310</v>
      </c>
      <c r="X302" s="2">
        <v>49675</v>
      </c>
      <c r="Y302" s="2">
        <v>50041</v>
      </c>
      <c r="Z302" s="2">
        <v>50406</v>
      </c>
      <c r="AA302" s="2">
        <v>50771</v>
      </c>
      <c r="AB302" s="2">
        <v>51136</v>
      </c>
      <c r="AC302" s="2">
        <v>51502</v>
      </c>
      <c r="AD302" s="2">
        <v>51867</v>
      </c>
      <c r="AE302" s="2">
        <v>52232</v>
      </c>
      <c r="AF302" s="2">
        <v>52597</v>
      </c>
      <c r="AG302" s="2">
        <v>52963</v>
      </c>
      <c r="AH302" s="2">
        <v>53328</v>
      </c>
      <c r="AI302" s="2">
        <v>53693</v>
      </c>
      <c r="AJ302" s="2">
        <v>54058</v>
      </c>
      <c r="AK302" s="2">
        <v>54424</v>
      </c>
      <c r="AL302" s="2">
        <v>54789</v>
      </c>
      <c r="AM302" s="2">
        <v>54790</v>
      </c>
      <c r="AN302" s="2">
        <v>54791</v>
      </c>
      <c r="AO302" s="2">
        <v>54792</v>
      </c>
      <c r="AP302" s="2">
        <v>54793</v>
      </c>
      <c r="AQ302" s="2">
        <v>54794</v>
      </c>
      <c r="AR302" s="2">
        <v>54795</v>
      </c>
      <c r="AS302" s="2">
        <v>54796</v>
      </c>
      <c r="AT302" s="2">
        <v>54797</v>
      </c>
      <c r="AU302" s="2">
        <v>54798</v>
      </c>
      <c r="AV302" s="2">
        <v>54799</v>
      </c>
      <c r="AW302" s="2">
        <v>54800</v>
      </c>
      <c r="AX302" s="2">
        <v>54801</v>
      </c>
      <c r="AY302" s="2">
        <v>54802</v>
      </c>
      <c r="AZ302" s="2">
        <v>54803</v>
      </c>
      <c r="BA302" s="2">
        <v>54804</v>
      </c>
      <c r="BB302" s="2">
        <v>54805</v>
      </c>
      <c r="BC302" s="2">
        <v>54806</v>
      </c>
      <c r="BD302" s="2">
        <v>54807</v>
      </c>
      <c r="BE302" s="2">
        <v>54808</v>
      </c>
      <c r="BF302" s="2">
        <v>54809</v>
      </c>
    </row>
    <row r="303" spans="1:58" x14ac:dyDescent="0.35">
      <c r="A303" t="s">
        <v>38</v>
      </c>
      <c r="B303" t="s">
        <v>56</v>
      </c>
      <c r="C303" s="6">
        <f>[1]Results!F28</f>
        <v>32317.940999999999</v>
      </c>
      <c r="D303" s="6">
        <f>[1]Results!G28</f>
        <v>31939.281360000001</v>
      </c>
      <c r="E303" s="6">
        <f>[1]Results!H28</f>
        <v>31767.455880000001</v>
      </c>
      <c r="F303" s="6">
        <f>[1]Results!I28</f>
        <v>31736.000940000002</v>
      </c>
      <c r="G303" s="6">
        <f>[1]Results!J28</f>
        <v>31800.974979999999</v>
      </c>
      <c r="H303" s="6">
        <f>[1]Results!K28</f>
        <v>31933.82127</v>
      </c>
      <c r="I303" s="6">
        <f>[1]Results!L28</f>
        <v>32112.09174</v>
      </c>
      <c r="J303" s="6">
        <f>[1]Results!M28</f>
        <v>32323.60598</v>
      </c>
      <c r="K303" s="6">
        <f>[1]Results!N28</f>
        <v>32560.151460000001</v>
      </c>
      <c r="L303" s="6">
        <f>[1]Results!O28</f>
        <v>32815.996449999999</v>
      </c>
      <c r="M303" s="6">
        <f>[1]Results!P28</f>
        <v>33093.725680000003</v>
      </c>
      <c r="N303" s="6">
        <f>[1]Results!Q28</f>
        <v>33382.97322</v>
      </c>
      <c r="O303" s="6">
        <f>[1]Results!R28</f>
        <v>33680.99985</v>
      </c>
      <c r="P303" s="6">
        <f>[1]Results!S28</f>
        <v>33985.469579999997</v>
      </c>
      <c r="Q303" s="6">
        <f>[1]Results!T28</f>
        <v>34294.477460000002</v>
      </c>
      <c r="R303" s="6">
        <f>[1]Results!U28</f>
        <v>34606.498899999999</v>
      </c>
      <c r="S303" s="6">
        <f>[1]Results!V28</f>
        <v>34920.321960000001</v>
      </c>
      <c r="T303" s="6">
        <f>[1]Results!W28</f>
        <v>35234.983769999999</v>
      </c>
      <c r="U303" s="6">
        <f>[1]Results!X28</f>
        <v>35549.7186</v>
      </c>
      <c r="V303" s="6">
        <f>[1]Results!Y28</f>
        <v>35863.918850000002</v>
      </c>
      <c r="W303" s="6">
        <f>[1]Results!Z28</f>
        <v>36172.233489999999</v>
      </c>
      <c r="X303" s="6">
        <f>[1]Results!AA28</f>
        <v>36479.502670000002</v>
      </c>
      <c r="Y303" s="6">
        <f>[1]Results!AB28</f>
        <v>36785.560689999998</v>
      </c>
      <c r="Z303" s="6">
        <f>[1]Results!AC28</f>
        <v>37090.359049999999</v>
      </c>
      <c r="AA303" s="6">
        <f>[1]Results!AD28</f>
        <v>37393.860979999998</v>
      </c>
      <c r="AB303" s="6">
        <f>[1]Results!AE28</f>
        <v>37682.300219999997</v>
      </c>
      <c r="AC303" s="6">
        <f>[1]Results!AF28</f>
        <v>37963.857770000002</v>
      </c>
      <c r="AD303" s="6">
        <f>[1]Results!AG28</f>
        <v>38239.223680000003</v>
      </c>
      <c r="AE303" s="6">
        <f>[1]Results!AH28</f>
        <v>38509.344530000002</v>
      </c>
      <c r="AF303" s="6">
        <f>[1]Results!AI28</f>
        <v>38775.198510000002</v>
      </c>
      <c r="AG303" s="6">
        <f>[1]Results!AJ28</f>
        <v>39037.68907</v>
      </c>
      <c r="AH303" s="6">
        <f>[1]Results!AK28</f>
        <v>39297.601430000002</v>
      </c>
      <c r="AI303" s="6">
        <f>[1]Results!AL28</f>
        <v>39555.595670000002</v>
      </c>
      <c r="AJ303" s="6">
        <f>[1]Results!AM28</f>
        <v>39812.219279999998</v>
      </c>
      <c r="AK303" s="6">
        <f>[1]Results!AN28</f>
        <v>40067.927490000002</v>
      </c>
      <c r="AL303" s="6">
        <f>[1]Results!AO28</f>
        <v>40323.10426</v>
      </c>
      <c r="AM303" s="6">
        <f>[1]Results!AP28</f>
        <v>40574.969599999997</v>
      </c>
      <c r="AN303" s="6">
        <f>[1]Results!AQ28</f>
        <v>40824.026850000002</v>
      </c>
      <c r="AO303" s="6">
        <f>[1]Results!AR28</f>
        <v>41070.81364</v>
      </c>
      <c r="AP303" s="6">
        <f>[1]Results!AS28</f>
        <v>41315.925159999999</v>
      </c>
      <c r="AQ303" s="6">
        <f>[1]Results!AT28</f>
        <v>41559.975129999999</v>
      </c>
      <c r="AR303" s="6">
        <f>[1]Results!AU28</f>
        <v>41803.551740000003</v>
      </c>
      <c r="AS303" s="6">
        <f>[1]Results!AV28</f>
        <v>42047.185920000004</v>
      </c>
      <c r="AT303" s="6">
        <f>[1]Results!AW28</f>
        <v>42291.335140000003</v>
      </c>
      <c r="AU303" s="6">
        <f>[1]Results!AX28</f>
        <v>42536.379780000003</v>
      </c>
      <c r="AV303" s="6">
        <f>[1]Results!AY28</f>
        <v>42782.628299999997</v>
      </c>
      <c r="AW303" s="6">
        <f>[1]Results!AZ28</f>
        <v>43030.591139999997</v>
      </c>
      <c r="AX303" s="6">
        <f>[1]Results!BA28</f>
        <v>43280.446040000003</v>
      </c>
      <c r="AY303" s="6">
        <f>[1]Results!BB28</f>
        <v>43532.325499999999</v>
      </c>
      <c r="AZ303" s="6">
        <f>[1]Results!BC28</f>
        <v>43786.321000000004</v>
      </c>
      <c r="BA303" s="6">
        <f>[1]Results!BD28</f>
        <v>44042.493369999997</v>
      </c>
      <c r="BB303" s="6">
        <f>[1]Results!BE28</f>
        <v>44300.883629999997</v>
      </c>
      <c r="BC303" s="6">
        <f>[1]Results!BF28</f>
        <v>44561.521180000003</v>
      </c>
      <c r="BD303" s="6">
        <f>[1]Results!BG28</f>
        <v>44824.428619999999</v>
      </c>
      <c r="BE303" s="6">
        <f>[1]Results!BH28</f>
        <v>45089.62414</v>
      </c>
      <c r="BF303" s="6">
        <f>[1]Results!BI28</f>
        <v>45357.122199999998</v>
      </c>
    </row>
    <row r="304" spans="1:58" x14ac:dyDescent="0.35">
      <c r="B304" t="s">
        <v>53</v>
      </c>
      <c r="C304" s="6">
        <f>[1]Results!F29</f>
        <v>32271.24</v>
      </c>
      <c r="D304" s="6">
        <f>[1]Results!G29</f>
        <v>31874.761320000001</v>
      </c>
      <c r="E304" s="6">
        <f>[1]Results!H29</f>
        <v>31684.176350000002</v>
      </c>
      <c r="F304" s="6">
        <f>[1]Results!I29</f>
        <v>31633.507610000001</v>
      </c>
      <c r="G304" s="6">
        <f>[1]Results!J29</f>
        <v>31679.119449999998</v>
      </c>
      <c r="H304" s="6">
        <f>[1]Results!K29</f>
        <v>31792.640329999998</v>
      </c>
      <c r="I304" s="6">
        <f>[1]Results!L29</f>
        <v>31951.767909999999</v>
      </c>
      <c r="J304" s="6">
        <f>[1]Results!M29</f>
        <v>32144.38623</v>
      </c>
      <c r="K304" s="6">
        <f>[1]Results!N29</f>
        <v>32362.319530000001</v>
      </c>
      <c r="L304" s="6">
        <f>[1]Results!O29</f>
        <v>32599.85628</v>
      </c>
      <c r="M304" s="6">
        <f>[1]Results!P29</f>
        <v>32859.527329999997</v>
      </c>
      <c r="N304" s="6">
        <f>[1]Results!Q29</f>
        <v>33131.036699999997</v>
      </c>
      <c r="O304" s="6">
        <f>[1]Results!R29</f>
        <v>33411.648309999997</v>
      </c>
      <c r="P304" s="6">
        <f>[1]Results!S29</f>
        <v>33699.027450000001</v>
      </c>
      <c r="Q304" s="6">
        <f>[1]Results!T29</f>
        <v>33991.267720000003</v>
      </c>
      <c r="R304" s="6">
        <f>[1]Results!U29</f>
        <v>34286.840490000002</v>
      </c>
      <c r="S304" s="6">
        <f>[1]Results!V29</f>
        <v>34584.527499999997</v>
      </c>
      <c r="T304" s="6">
        <f>[1]Results!W29</f>
        <v>34883.357629999999</v>
      </c>
      <c r="U304" s="6">
        <f>[1]Results!X29</f>
        <v>35182.555249999998</v>
      </c>
      <c r="V304" s="6">
        <f>[1]Results!Y29</f>
        <v>35481.501320000003</v>
      </c>
      <c r="W304" s="6">
        <f>[1]Results!Z29</f>
        <v>35774.879970000002</v>
      </c>
      <c r="X304" s="6">
        <f>[1]Results!AA29</f>
        <v>36067.467900000003</v>
      </c>
      <c r="Y304" s="6">
        <f>[1]Results!AB29</f>
        <v>36359.082439999998</v>
      </c>
      <c r="Z304" s="6">
        <f>[1]Results!AC29</f>
        <v>36649.656459999998</v>
      </c>
      <c r="AA304" s="6">
        <f>[1]Results!AD29</f>
        <v>36939.133889999997</v>
      </c>
      <c r="AB304" s="6">
        <f>[1]Results!AE29</f>
        <v>37213.86666</v>
      </c>
      <c r="AC304" s="6">
        <f>[1]Results!AF29</f>
        <v>37481.938450000001</v>
      </c>
      <c r="AD304" s="6">
        <f>[1]Results!AG29</f>
        <v>37744.012260000003</v>
      </c>
      <c r="AE304" s="6">
        <f>[1]Results!AH29</f>
        <v>38001.003349999999</v>
      </c>
      <c r="AF304" s="6">
        <f>[1]Results!AI29</f>
        <v>38253.85658</v>
      </c>
      <c r="AG304" s="6">
        <f>[1]Results!AJ29</f>
        <v>38503.441059999997</v>
      </c>
      <c r="AH304" s="6">
        <f>[1]Results!AK29</f>
        <v>38750.507210000003</v>
      </c>
      <c r="AI304" s="6">
        <f>[1]Results!AL29</f>
        <v>38995.679940000002</v>
      </c>
      <c r="AJ304" s="6">
        <f>[1]Results!AM29</f>
        <v>39239.471120000002</v>
      </c>
      <c r="AK304" s="6">
        <f>[1]Results!AN29</f>
        <v>39482.299709999999</v>
      </c>
      <c r="AL304" s="6">
        <f>[1]Results!AO29</f>
        <v>39724.51251</v>
      </c>
      <c r="AM304" s="6">
        <f>[1]Results!AP29</f>
        <v>39963.32548</v>
      </c>
      <c r="AN304" s="6">
        <f>[1]Results!AQ29</f>
        <v>40199.201959999999</v>
      </c>
      <c r="AO304" s="6">
        <f>[1]Results!AR29</f>
        <v>40432.636850000003</v>
      </c>
      <c r="AP304" s="6">
        <f>[1]Results!AS29</f>
        <v>40664.179429999997</v>
      </c>
      <c r="AQ304" s="6">
        <f>[1]Results!AT29</f>
        <v>40894.39445</v>
      </c>
      <c r="AR304" s="6">
        <f>[1]Results!AU29</f>
        <v>41123.818299999999</v>
      </c>
      <c r="AS304" s="6">
        <f>[1]Results!AV29</f>
        <v>41352.927530000001</v>
      </c>
      <c r="AT304" s="6">
        <f>[1]Results!AW29</f>
        <v>41582.122450000003</v>
      </c>
      <c r="AU304" s="6">
        <f>[1]Results!AX29</f>
        <v>41811.723489999997</v>
      </c>
      <c r="AV304" s="6">
        <f>[1]Results!AY29</f>
        <v>42041.976020000002</v>
      </c>
      <c r="AW304" s="6">
        <f>[1]Results!AZ29</f>
        <v>42273.320399999997</v>
      </c>
      <c r="AX304" s="6">
        <f>[1]Results!BA29</f>
        <v>42505.863749999997</v>
      </c>
      <c r="AY304" s="6">
        <f>[1]Results!BB29</f>
        <v>42739.663569999997</v>
      </c>
      <c r="AZ304" s="6">
        <f>[1]Results!BC29</f>
        <v>42974.73158</v>
      </c>
      <c r="BA304" s="6">
        <f>[1]Results!BD29</f>
        <v>43211.043559999998</v>
      </c>
      <c r="BB304" s="6">
        <f>[1]Results!BE29</f>
        <v>43448.549679999996</v>
      </c>
      <c r="BC304" s="6">
        <f>[1]Results!BF29</f>
        <v>43687.182070000003</v>
      </c>
      <c r="BD304" s="6">
        <f>[1]Results!BG29</f>
        <v>43926.859049999999</v>
      </c>
      <c r="BE304" s="6">
        <f>[1]Results!BH29</f>
        <v>44167.486830000002</v>
      </c>
      <c r="BF304" s="6">
        <f>[1]Results!BI29</f>
        <v>44408.959620000001</v>
      </c>
    </row>
    <row r="305" spans="1:58" x14ac:dyDescent="0.35">
      <c r="B305" t="s">
        <v>54</v>
      </c>
      <c r="C305" s="6">
        <f>[1]Results!F45</f>
        <v>1.9359999999999999</v>
      </c>
      <c r="D305" s="6">
        <f>[1]Results!G45</f>
        <v>1.992675011</v>
      </c>
      <c r="E305" s="6">
        <f>[1]Results!H45</f>
        <v>2.0605130620000001</v>
      </c>
      <c r="F305" s="6">
        <f>[1]Results!I45</f>
        <v>2.134619727</v>
      </c>
      <c r="G305" s="6">
        <f>[1]Results!J45</f>
        <v>2.2118520890000002</v>
      </c>
      <c r="H305" s="6">
        <f>[1]Results!K45</f>
        <v>2.2902607370000001</v>
      </c>
      <c r="I305" s="6">
        <f>[1]Results!L45</f>
        <v>2.3683424870000001</v>
      </c>
      <c r="J305" s="6">
        <f>[1]Results!M45</f>
        <v>2.4453980660000001</v>
      </c>
      <c r="K305" s="6">
        <f>[1]Results!N45</f>
        <v>2.5210237119999999</v>
      </c>
      <c r="L305" s="6">
        <f>[1]Results!O45</f>
        <v>2.5949944700000001</v>
      </c>
      <c r="M305" s="6">
        <f>[1]Results!P45</f>
        <v>2.6677545519999999</v>
      </c>
      <c r="N305" s="6">
        <f>[1]Results!Q45</f>
        <v>2.7386593609999998</v>
      </c>
      <c r="O305" s="6">
        <f>[1]Results!R45</f>
        <v>2.8076723879999999</v>
      </c>
      <c r="P305" s="6">
        <f>[1]Results!S45</f>
        <v>2.874775235</v>
      </c>
      <c r="Q305" s="6">
        <f>[1]Results!T45</f>
        <v>2.9399713759999999</v>
      </c>
      <c r="R305" s="6">
        <f>[1]Results!U45</f>
        <v>3.0032833390000002</v>
      </c>
      <c r="S305" s="6">
        <f>[1]Results!V45</f>
        <v>3.0647483260000001</v>
      </c>
      <c r="T305" s="6">
        <f>[1]Results!W45</f>
        <v>3.1244140109999998</v>
      </c>
      <c r="U305" s="6">
        <f>[1]Results!X45</f>
        <v>3.1823351600000001</v>
      </c>
      <c r="V305" s="6">
        <f>[1]Results!Y45</f>
        <v>3.238571205</v>
      </c>
      <c r="W305" s="6">
        <f>[1]Results!Z45</f>
        <v>3.2927792290000002</v>
      </c>
      <c r="X305" s="6">
        <f>[1]Results!AA45</f>
        <v>3.34545088</v>
      </c>
      <c r="Y305" s="6">
        <f>[1]Results!AB45</f>
        <v>3.3966616630000002</v>
      </c>
      <c r="Z305" s="6">
        <f>[1]Results!AC45</f>
        <v>3.446490882</v>
      </c>
      <c r="AA305" s="6">
        <f>[1]Results!AD45</f>
        <v>3.495013369</v>
      </c>
      <c r="AB305" s="6">
        <f>[1]Results!AE45</f>
        <v>3.5411570389999998</v>
      </c>
      <c r="AC305" s="6">
        <f>[1]Results!AF45</f>
        <v>3.585653288</v>
      </c>
      <c r="AD305" s="6">
        <f>[1]Results!AG45</f>
        <v>3.6286172300000001</v>
      </c>
      <c r="AE305" s="6">
        <f>[1]Results!AH45</f>
        <v>3.6701823130000002</v>
      </c>
      <c r="AF305" s="6">
        <f>[1]Results!AI45</f>
        <v>3.7104821139999999</v>
      </c>
      <c r="AG305" s="6">
        <f>[1]Results!AJ45</f>
        <v>3.749641676</v>
      </c>
      <c r="AH305" s="6">
        <f>[1]Results!AK45</f>
        <v>3.7877739359999998</v>
      </c>
      <c r="AI305" s="6">
        <f>[1]Results!AL45</f>
        <v>3.8249791360000001</v>
      </c>
      <c r="AJ305" s="6">
        <f>[1]Results!AM45</f>
        <v>3.8613458409999999</v>
      </c>
      <c r="AK305" s="6">
        <f>[1]Results!AN45</f>
        <v>3.8969526220000001</v>
      </c>
      <c r="AL305" s="6">
        <f>[1]Results!AO45</f>
        <v>3.9318698150000002</v>
      </c>
      <c r="AM305" s="6">
        <f>[1]Results!AP45</f>
        <v>3.9659026060000002</v>
      </c>
      <c r="AN305" s="6">
        <f>[1]Results!AQ45</f>
        <v>3.9991229650000002</v>
      </c>
      <c r="AO305" s="6">
        <f>[1]Results!AR45</f>
        <v>4.0316040490000002</v>
      </c>
      <c r="AP305" s="6">
        <f>[1]Results!AS45</f>
        <v>4.063422246</v>
      </c>
      <c r="AQ305" s="6">
        <f>[1]Results!AT45</f>
        <v>4.094654061</v>
      </c>
      <c r="AR305" s="6">
        <f>[1]Results!AU45</f>
        <v>4.1253725250000004</v>
      </c>
      <c r="AS305" s="6">
        <f>[1]Results!AV45</f>
        <v>4.155644584</v>
      </c>
      <c r="AT305" s="6">
        <f>[1]Results!AW45</f>
        <v>4.1855297140000003</v>
      </c>
      <c r="AU305" s="6">
        <f>[1]Results!AX45</f>
        <v>4.2150795780000001</v>
      </c>
      <c r="AV305" s="6">
        <f>[1]Results!AY45</f>
        <v>4.2443383969999999</v>
      </c>
      <c r="AW305" s="6">
        <f>[1]Results!AZ45</f>
        <v>4.2733656179999997</v>
      </c>
      <c r="AX305" s="6">
        <f>[1]Results!BA45</f>
        <v>4.302191852</v>
      </c>
      <c r="AY305" s="6">
        <f>[1]Results!BB45</f>
        <v>4.3308423300000003</v>
      </c>
      <c r="AZ305" s="6">
        <f>[1]Results!BC45</f>
        <v>4.3593372370000001</v>
      </c>
      <c r="BA305" s="6">
        <f>[1]Results!BD45</f>
        <v>4.3876925509999998</v>
      </c>
      <c r="BB305" s="6">
        <f>[1]Results!BE45</f>
        <v>4.4159209449999999</v>
      </c>
      <c r="BC305" s="6">
        <f>[1]Results!BF45</f>
        <v>4.4440324560000004</v>
      </c>
      <c r="BD305" s="6">
        <f>[1]Results!BG45</f>
        <v>4.4720348899999998</v>
      </c>
      <c r="BE305" s="6">
        <f>[1]Results!BH45</f>
        <v>4.4999340139999999</v>
      </c>
      <c r="BF305" s="6">
        <f>[1]Results!BI45</f>
        <v>4.5277336149999998</v>
      </c>
    </row>
    <row r="306" spans="1:58" x14ac:dyDescent="0.35">
      <c r="B306" t="s">
        <v>55</v>
      </c>
      <c r="C306" s="6">
        <f>[1]Results!F37</f>
        <v>44.765000000000001</v>
      </c>
      <c r="D306" s="6">
        <f>[1]Results!G37</f>
        <v>62.527370990000001</v>
      </c>
      <c r="E306" s="6">
        <f>[1]Results!H37</f>
        <v>81.219025740000006</v>
      </c>
      <c r="F306" s="6">
        <f>[1]Results!I37</f>
        <v>100.35870559999999</v>
      </c>
      <c r="G306" s="6">
        <f>[1]Results!J37</f>
        <v>119.6436751</v>
      </c>
      <c r="H306" s="6">
        <f>[1]Results!K37</f>
        <v>138.89068019999999</v>
      </c>
      <c r="I306" s="6">
        <f>[1]Results!L37</f>
        <v>157.95549159999999</v>
      </c>
      <c r="J306" s="6">
        <f>[1]Results!M37</f>
        <v>176.77435180000001</v>
      </c>
      <c r="K306" s="6">
        <f>[1]Results!N37</f>
        <v>195.31090470000001</v>
      </c>
      <c r="L306" s="6">
        <f>[1]Results!O37</f>
        <v>213.54517670000001</v>
      </c>
      <c r="M306" s="6">
        <f>[1]Results!P37</f>
        <v>231.5305913</v>
      </c>
      <c r="N306" s="6">
        <f>[1]Results!Q37</f>
        <v>249.19786329999999</v>
      </c>
      <c r="O306" s="6">
        <f>[1]Results!R37</f>
        <v>266.5438638</v>
      </c>
      <c r="P306" s="6">
        <f>[1]Results!S37</f>
        <v>283.5673577</v>
      </c>
      <c r="Q306" s="6">
        <f>[1]Results!T37</f>
        <v>300.26977640000001</v>
      </c>
      <c r="R306" s="6">
        <f>[1]Results!U37</f>
        <v>316.65513579999998</v>
      </c>
      <c r="S306" s="6">
        <f>[1]Results!V37</f>
        <v>332.72971469999999</v>
      </c>
      <c r="T306" s="6">
        <f>[1]Results!W37</f>
        <v>348.50172029999999</v>
      </c>
      <c r="U306" s="6">
        <f>[1]Results!X37</f>
        <v>363.98101969999999</v>
      </c>
      <c r="V306" s="6">
        <f>[1]Results!Y37</f>
        <v>379.17895759999999</v>
      </c>
      <c r="W306" s="6">
        <f>[1]Results!Z37</f>
        <v>394.06073989999999</v>
      </c>
      <c r="X306" s="6">
        <f>[1]Results!AA37</f>
        <v>408.68932150000001</v>
      </c>
      <c r="Y306" s="6">
        <f>[1]Results!AB37</f>
        <v>423.08158839999999</v>
      </c>
      <c r="Z306" s="6">
        <f>[1]Results!AC37</f>
        <v>437.25609789999999</v>
      </c>
      <c r="AA306" s="6">
        <f>[1]Results!AD37</f>
        <v>451.23207839999998</v>
      </c>
      <c r="AB306" s="6">
        <f>[1]Results!AE37</f>
        <v>464.89240810000001</v>
      </c>
      <c r="AC306" s="6">
        <f>[1]Results!AF37</f>
        <v>478.33367120000003</v>
      </c>
      <c r="AD306" s="6">
        <f>[1]Results!AG37</f>
        <v>491.58281099999999</v>
      </c>
      <c r="AE306" s="6">
        <f>[1]Results!AH37</f>
        <v>504.67099969999998</v>
      </c>
      <c r="AF306" s="6">
        <f>[1]Results!AI37</f>
        <v>517.63145610000004</v>
      </c>
      <c r="AG306" s="6">
        <f>[1]Results!AJ37</f>
        <v>530.49837490000004</v>
      </c>
      <c r="AH306" s="6">
        <f>[1]Results!AK37</f>
        <v>543.30645010000001</v>
      </c>
      <c r="AI306" s="6">
        <f>[1]Results!AL37</f>
        <v>556.09075259999997</v>
      </c>
      <c r="AJ306" s="6">
        <f>[1]Results!AM37</f>
        <v>568.8868152</v>
      </c>
      <c r="AK306" s="6">
        <f>[1]Results!AN37</f>
        <v>581.73082839999995</v>
      </c>
      <c r="AL306" s="6">
        <f>[1]Results!AO37</f>
        <v>594.65988319999997</v>
      </c>
      <c r="AM306" s="6">
        <f>[1]Results!AP37</f>
        <v>607.67821249999997</v>
      </c>
      <c r="AN306" s="6">
        <f>[1]Results!AQ37</f>
        <v>620.82576930000005</v>
      </c>
      <c r="AO306" s="6">
        <f>[1]Results!AR37</f>
        <v>634.14518699999996</v>
      </c>
      <c r="AP306" s="6">
        <f>[1]Results!AS37</f>
        <v>647.68231049999997</v>
      </c>
      <c r="AQ306" s="6">
        <f>[1]Results!AT37</f>
        <v>661.48603539999999</v>
      </c>
      <c r="AR306" s="6">
        <f>[1]Results!AU37</f>
        <v>675.60806060000004</v>
      </c>
      <c r="AS306" s="6">
        <f>[1]Results!AV37</f>
        <v>690.10275220000005</v>
      </c>
      <c r="AT306" s="6">
        <f>[1]Results!AW37</f>
        <v>705.0271649</v>
      </c>
      <c r="AU306" s="6">
        <f>[1]Results!AX37</f>
        <v>720.44121050000001</v>
      </c>
      <c r="AV306" s="6">
        <f>[1]Results!AY37</f>
        <v>736.40794530000005</v>
      </c>
      <c r="AW306" s="6">
        <f>[1]Results!AZ37</f>
        <v>752.99737560000005</v>
      </c>
      <c r="AX306" s="6">
        <f>[1]Results!BA37</f>
        <v>770.28009999999995</v>
      </c>
      <c r="AY306" s="6">
        <f>[1]Results!BB37</f>
        <v>788.33108790000006</v>
      </c>
      <c r="AZ306" s="6">
        <f>[1]Results!BC37</f>
        <v>807.2300874</v>
      </c>
      <c r="BA306" s="6">
        <f>[1]Results!BD37</f>
        <v>827.06212089999997</v>
      </c>
      <c r="BB306" s="6">
        <f>[1]Results!BE37</f>
        <v>847.91803319999997</v>
      </c>
      <c r="BC306" s="6">
        <f>[1]Results!BF37</f>
        <v>869.89507930000002</v>
      </c>
      <c r="BD306" s="6">
        <f>[1]Results!BG37</f>
        <v>893.09754210000006</v>
      </c>
      <c r="BE306" s="6">
        <f>[1]Results!BH37</f>
        <v>917.6373734</v>
      </c>
      <c r="BF306" s="6">
        <f>[1]Results!BI37</f>
        <v>943.63485630000002</v>
      </c>
    </row>
    <row r="308" spans="1:58" x14ac:dyDescent="0.35">
      <c r="A308" s="12" t="s">
        <v>90</v>
      </c>
      <c r="B308" s="5" t="str">
        <f>[1]Hybrid!A18</f>
        <v>auto_ca_cfut_2</v>
      </c>
      <c r="C308" s="5">
        <f>[1]Hybrid!B18</f>
        <v>7095.7005250000002</v>
      </c>
      <c r="D308" s="5">
        <f>[1]Hybrid!C18</f>
        <v>7135.3667249999999</v>
      </c>
      <c r="E308" s="5">
        <f>[1]Hybrid!D18</f>
        <v>7218.7807169999996</v>
      </c>
      <c r="F308" s="5">
        <f>[1]Hybrid!E18</f>
        <v>7332.2624589999996</v>
      </c>
      <c r="G308" s="5">
        <f>[1]Hybrid!F18</f>
        <v>7466.9777160000003</v>
      </c>
      <c r="H308" s="5">
        <f>[1]Hybrid!G18</f>
        <v>7617.3726589999997</v>
      </c>
      <c r="I308" s="5">
        <f>[1]Hybrid!H18</f>
        <v>7778.771522</v>
      </c>
      <c r="J308" s="5">
        <f>[1]Hybrid!I18</f>
        <v>7948.8347240000003</v>
      </c>
      <c r="K308" s="5">
        <f>[1]Hybrid!J18</f>
        <v>8125.9212509999998</v>
      </c>
      <c r="L308" s="5">
        <f>[1]Hybrid!K18</f>
        <v>8308.8100040000008</v>
      </c>
      <c r="M308" s="5">
        <f>[1]Hybrid!L18</f>
        <v>8498.5928469999999</v>
      </c>
      <c r="N308" s="5">
        <f>[1]Hybrid!M18</f>
        <v>8692.2801199999994</v>
      </c>
      <c r="O308" s="5">
        <f>[1]Hybrid!N18</f>
        <v>8889.1433620000007</v>
      </c>
      <c r="P308" s="5">
        <f>[1]Hybrid!O18</f>
        <v>9088.5337340000005</v>
      </c>
      <c r="Q308" s="5">
        <f>[1]Hybrid!P18</f>
        <v>9289.8981729999996</v>
      </c>
      <c r="R308" s="5">
        <f>[1]Hybrid!Q18</f>
        <v>9492.7709570000006</v>
      </c>
      <c r="S308" s="5">
        <f>[1]Hybrid!R18</f>
        <v>9696.6975569999995</v>
      </c>
      <c r="T308" s="5">
        <f>[1]Hybrid!S18</f>
        <v>9901.3160630000002</v>
      </c>
      <c r="U308" s="5">
        <f>[1]Hybrid!T18</f>
        <v>10106.326440000001</v>
      </c>
      <c r="V308" s="5">
        <f>[1]Hybrid!U18</f>
        <v>10311.472400000001</v>
      </c>
      <c r="W308" s="5">
        <f>[1]Hybrid!V18</f>
        <v>10514.91879</v>
      </c>
      <c r="X308" s="5">
        <f>[1]Hybrid!W18</f>
        <v>10718.19794</v>
      </c>
      <c r="Y308" s="5">
        <f>[1]Hybrid!X18</f>
        <v>10921.18376</v>
      </c>
      <c r="Z308" s="5">
        <f>[1]Hybrid!Y18</f>
        <v>11123.801359999999</v>
      </c>
      <c r="AA308" s="5">
        <f>[1]Hybrid!Z18</f>
        <v>11325.992319999999</v>
      </c>
      <c r="AB308" s="5">
        <f>[1]Hybrid!AA18</f>
        <v>11522.984200000001</v>
      </c>
      <c r="AC308" s="5">
        <f>[1]Hybrid!AB18</f>
        <v>11717.5681</v>
      </c>
      <c r="AD308" s="5">
        <f>[1]Hybrid!AC18</f>
        <v>11909.931269999999</v>
      </c>
      <c r="AE308" s="5">
        <f>[1]Hybrid!AD18</f>
        <v>12100.359990000001</v>
      </c>
      <c r="AF308" s="5">
        <f>[1]Hybrid!AE18</f>
        <v>12289.17087</v>
      </c>
      <c r="AG308" s="5">
        <f>[1]Hybrid!AF18</f>
        <v>12476.673769999999</v>
      </c>
      <c r="AH308" s="5">
        <f>[1]Hybrid!AG18</f>
        <v>12663.1672</v>
      </c>
      <c r="AI308" s="5">
        <f>[1]Hybrid!AH18</f>
        <v>12848.90935</v>
      </c>
      <c r="AJ308" s="5">
        <f>[1]Hybrid!AI18</f>
        <v>13034.123449999999</v>
      </c>
      <c r="AK308" s="5">
        <f>[1]Hybrid!AJ18</f>
        <v>13219.005660000001</v>
      </c>
      <c r="AL308" s="5">
        <f>[1]Hybrid!AK18</f>
        <v>13403.731180000001</v>
      </c>
      <c r="AM308" s="5">
        <f>[1]Hybrid!AL18</f>
        <v>13587.43024</v>
      </c>
      <c r="AN308" s="5">
        <f>[1]Hybrid!AM18</f>
        <v>13770.361370000001</v>
      </c>
      <c r="AO308" s="5">
        <f>[1]Hybrid!AN18</f>
        <v>13952.74487</v>
      </c>
      <c r="AP308" s="5">
        <f>[1]Hybrid!AO18</f>
        <v>14134.80773</v>
      </c>
      <c r="AQ308" s="5">
        <f>[1]Hybrid!AP18</f>
        <v>14316.780940000001</v>
      </c>
      <c r="AR308" s="5">
        <f>[1]Hybrid!AQ18</f>
        <v>14498.90343</v>
      </c>
      <c r="AS308" s="5">
        <f>[1]Hybrid!AR18</f>
        <v>14681.376459999999</v>
      </c>
      <c r="AT308" s="5">
        <f>[1]Hybrid!AS18</f>
        <v>14864.36097</v>
      </c>
      <c r="AU308" s="5">
        <f>[1]Hybrid!AT18</f>
        <v>15047.98064</v>
      </c>
      <c r="AV308" s="5">
        <f>[1]Hybrid!AU18</f>
        <v>15232.32458</v>
      </c>
      <c r="AW308" s="5">
        <f>[1]Hybrid!AV18</f>
        <v>15417.617679999999</v>
      </c>
      <c r="AX308" s="5">
        <f>[1]Hybrid!AW18</f>
        <v>15603.90432</v>
      </c>
      <c r="AY308" s="5">
        <f>[1]Hybrid!AX18</f>
        <v>15791.17785</v>
      </c>
      <c r="AZ308" s="5">
        <f>[1]Hybrid!AY18</f>
        <v>15979.40316</v>
      </c>
      <c r="BA308" s="5">
        <f>[1]Hybrid!AZ18</f>
        <v>16168.525799999999</v>
      </c>
      <c r="BB308" s="5">
        <f>[1]Hybrid!BA18</f>
        <v>16358.51449</v>
      </c>
      <c r="BC308" s="5">
        <f>[1]Hybrid!BB18</f>
        <v>16549.295249999999</v>
      </c>
      <c r="BD308" s="5">
        <f>[1]Hybrid!BC18</f>
        <v>16740.761829999999</v>
      </c>
      <c r="BE308" s="5">
        <f>[1]Hybrid!BD18</f>
        <v>16932.78916</v>
      </c>
      <c r="BF308" s="5">
        <f>[1]Hybrid!BE18</f>
        <v>17125.23702</v>
      </c>
    </row>
    <row r="309" spans="1:58" x14ac:dyDescent="0.35">
      <c r="A309" t="s">
        <v>39</v>
      </c>
      <c r="B309" s="5" t="str">
        <f>[1]Hybrid!A20</f>
        <v>auto_cb_cfut_2</v>
      </c>
      <c r="C309" s="5">
        <f>[1]Hybrid!B20</f>
        <v>8251.256421</v>
      </c>
      <c r="D309" s="5">
        <f>[1]Hybrid!C20</f>
        <v>8176.8252519999996</v>
      </c>
      <c r="E309" s="5">
        <f>[1]Hybrid!D20</f>
        <v>8152.2372480000004</v>
      </c>
      <c r="F309" s="5">
        <f>[1]Hybrid!E20</f>
        <v>8163.4571089999999</v>
      </c>
      <c r="G309" s="5">
        <f>[1]Hybrid!F20</f>
        <v>8201.2222029999994</v>
      </c>
      <c r="H309" s="5">
        <f>[1]Hybrid!G20</f>
        <v>8259.5080610000005</v>
      </c>
      <c r="I309" s="5">
        <f>[1]Hybrid!H20</f>
        <v>8333.2172929999997</v>
      </c>
      <c r="J309" s="5">
        <f>[1]Hybrid!I20</f>
        <v>8419.5508759999993</v>
      </c>
      <c r="K309" s="5">
        <f>[1]Hybrid!J20</f>
        <v>8516.4329949999992</v>
      </c>
      <c r="L309" s="5">
        <f>[1]Hybrid!K20</f>
        <v>8622.2356440000003</v>
      </c>
      <c r="M309" s="5">
        <f>[1]Hybrid!L20</f>
        <v>8737.5466789999991</v>
      </c>
      <c r="N309" s="5">
        <f>[1]Hybrid!M20</f>
        <v>8859.1490090000007</v>
      </c>
      <c r="O309" s="5">
        <f>[1]Hybrid!N20</f>
        <v>8985.9928999999993</v>
      </c>
      <c r="P309" s="5">
        <f>[1]Hybrid!O20</f>
        <v>9117.1358110000001</v>
      </c>
      <c r="Q309" s="5">
        <f>[1]Hybrid!P20</f>
        <v>9251.7539130000005</v>
      </c>
      <c r="R309" s="5">
        <f>[1]Hybrid!Q20</f>
        <v>9389.1310969999995</v>
      </c>
      <c r="S309" s="5">
        <f>[1]Hybrid!R20</f>
        <v>9528.5863040000004</v>
      </c>
      <c r="T309" s="5">
        <f>[1]Hybrid!S20</f>
        <v>9669.5468889999993</v>
      </c>
      <c r="U309" s="5">
        <f>[1]Hybrid!T20</f>
        <v>9811.5178059999998</v>
      </c>
      <c r="V309" s="5">
        <f>[1]Hybrid!U20</f>
        <v>9954.0626609999999</v>
      </c>
      <c r="W309" s="5">
        <f>[1]Hybrid!V20</f>
        <v>10095.32648</v>
      </c>
      <c r="X309" s="5">
        <f>[1]Hybrid!W20</f>
        <v>10236.540859999999</v>
      </c>
      <c r="Y309" s="5">
        <f>[1]Hybrid!X20</f>
        <v>10377.43325</v>
      </c>
      <c r="Z309" s="5">
        <f>[1]Hybrid!Y20</f>
        <v>10517.787689999999</v>
      </c>
      <c r="AA309" s="5">
        <f>[1]Hybrid!Z20</f>
        <v>10657.412549999999</v>
      </c>
      <c r="AB309" s="5">
        <f>[1]Hybrid!AA20</f>
        <v>10791.91858</v>
      </c>
      <c r="AC309" s="5">
        <f>[1]Hybrid!AB20</f>
        <v>10923.712810000001</v>
      </c>
      <c r="AD309" s="5">
        <f>[1]Hybrid!AC20</f>
        <v>11052.8699</v>
      </c>
      <c r="AE309" s="5">
        <f>[1]Hybrid!AD20</f>
        <v>11179.554099999999</v>
      </c>
      <c r="AF309" s="5">
        <f>[1]Hybrid!AE20</f>
        <v>11303.95687</v>
      </c>
      <c r="AG309" s="5">
        <f>[1]Hybrid!AF20</f>
        <v>11426.263730000001</v>
      </c>
      <c r="AH309" s="5">
        <f>[1]Hybrid!AG20</f>
        <v>11546.650009999999</v>
      </c>
      <c r="AI309" s="5">
        <f>[1]Hybrid!AH20</f>
        <v>11665.25532</v>
      </c>
      <c r="AJ309" s="5">
        <f>[1]Hybrid!AI20</f>
        <v>11782.18829</v>
      </c>
      <c r="AK309" s="5">
        <f>[1]Hybrid!AJ20</f>
        <v>11897.53348</v>
      </c>
      <c r="AL309" s="5">
        <f>[1]Hybrid!AK20</f>
        <v>12011.356750000001</v>
      </c>
      <c r="AM309" s="5">
        <f>[1]Hybrid!AL20</f>
        <v>12122.83396</v>
      </c>
      <c r="AN309" s="5">
        <f>[1]Hybrid!AM20</f>
        <v>12232.11263</v>
      </c>
      <c r="AO309" s="5">
        <f>[1]Hybrid!AN20</f>
        <v>12339.3061</v>
      </c>
      <c r="AP309" s="5">
        <f>[1]Hybrid!AO20</f>
        <v>12444.53103</v>
      </c>
      <c r="AQ309" s="5">
        <f>[1]Hybrid!AP20</f>
        <v>12547.90494</v>
      </c>
      <c r="AR309" s="5">
        <f>[1]Hybrid!AQ20</f>
        <v>12649.549499999999</v>
      </c>
      <c r="AS309" s="5">
        <f>[1]Hybrid!AR20</f>
        <v>12749.552659999999</v>
      </c>
      <c r="AT309" s="5">
        <f>[1]Hybrid!AS20</f>
        <v>12847.966700000001</v>
      </c>
      <c r="AU309" s="5">
        <f>[1]Hybrid!AT20</f>
        <v>12944.811299999999</v>
      </c>
      <c r="AV309" s="5">
        <f>[1]Hybrid!AU20</f>
        <v>13040.076290000001</v>
      </c>
      <c r="AW309" s="5">
        <f>[1]Hybrid!AV20</f>
        <v>13133.859829999999</v>
      </c>
      <c r="AX309" s="5">
        <f>[1]Hybrid!AW20</f>
        <v>13226.111290000001</v>
      </c>
      <c r="AY309" s="5">
        <f>[1]Hybrid!AX20</f>
        <v>13316.737209999999</v>
      </c>
      <c r="AZ309" s="5">
        <f>[1]Hybrid!AY20</f>
        <v>13405.62047</v>
      </c>
      <c r="BA309" s="5">
        <f>[1]Hybrid!AZ20</f>
        <v>13492.62847</v>
      </c>
      <c r="BB309" s="5">
        <f>[1]Hybrid!BA20</f>
        <v>13577.64734</v>
      </c>
      <c r="BC309" s="5">
        <f>[1]Hybrid!BB20</f>
        <v>13660.53024</v>
      </c>
      <c r="BD309" s="5">
        <f>[1]Hybrid!BC20</f>
        <v>13741.105579999999</v>
      </c>
      <c r="BE309" s="5">
        <f>[1]Hybrid!BD20</f>
        <v>13819.188099999999</v>
      </c>
      <c r="BF309" s="5">
        <f>[1]Hybrid!BE20</f>
        <v>13894.582270000001</v>
      </c>
    </row>
    <row r="310" spans="1:58" x14ac:dyDescent="0.35">
      <c r="B310" s="5" t="str">
        <f>[1]Hybrid!A22</f>
        <v>auto_cc_cfut_2</v>
      </c>
      <c r="C310" s="5">
        <f>[1]Hybrid!B22</f>
        <v>6777.6024520000001</v>
      </c>
      <c r="D310" s="5">
        <f>[1]Hybrid!C22</f>
        <v>6642.7495650000001</v>
      </c>
      <c r="E310" s="5">
        <f>[1]Hybrid!D22</f>
        <v>6548.2566059999999</v>
      </c>
      <c r="F310" s="5">
        <f>[1]Hybrid!E22</f>
        <v>6483.7563849999997</v>
      </c>
      <c r="G310" s="5">
        <f>[1]Hybrid!F22</f>
        <v>6442.2723370000003</v>
      </c>
      <c r="H310" s="5">
        <f>[1]Hybrid!G22</f>
        <v>6419.1339500000004</v>
      </c>
      <c r="I310" s="5">
        <f>[1]Hybrid!H22</f>
        <v>6410.3731790000002</v>
      </c>
      <c r="J310" s="5">
        <f>[1]Hybrid!I22</f>
        <v>6413.6537259999996</v>
      </c>
      <c r="K310" s="5">
        <f>[1]Hybrid!J22</f>
        <v>6427.1783999999998</v>
      </c>
      <c r="L310" s="5">
        <f>[1]Hybrid!K22</f>
        <v>6449.4929069999998</v>
      </c>
      <c r="M310" s="5">
        <f>[1]Hybrid!L22</f>
        <v>6480.6764030000004</v>
      </c>
      <c r="N310" s="5">
        <f>[1]Hybrid!M22</f>
        <v>6518.2531280000003</v>
      </c>
      <c r="O310" s="5">
        <f>[1]Hybrid!N22</f>
        <v>6561.2474949999996</v>
      </c>
      <c r="P310" s="5">
        <f>[1]Hybrid!O22</f>
        <v>6608.7809500000003</v>
      </c>
      <c r="Q310" s="5">
        <f>[1]Hybrid!P22</f>
        <v>6660.0771359999999</v>
      </c>
      <c r="R310" s="5">
        <f>[1]Hybrid!Q22</f>
        <v>6714.4522189999998</v>
      </c>
      <c r="S310" s="5">
        <f>[1]Hybrid!R22</f>
        <v>6771.2647129999996</v>
      </c>
      <c r="T310" s="5">
        <f>[1]Hybrid!S22</f>
        <v>6829.9629409999998</v>
      </c>
      <c r="U310" s="5">
        <f>[1]Hybrid!T22</f>
        <v>6890.0627240000003</v>
      </c>
      <c r="V310" s="5">
        <f>[1]Hybrid!U22</f>
        <v>6951.1331389999996</v>
      </c>
      <c r="W310" s="5">
        <f>[1]Hybrid!V22</f>
        <v>7011.8260890000001</v>
      </c>
      <c r="X310" s="5">
        <f>[1]Hybrid!W22</f>
        <v>7072.8363410000002</v>
      </c>
      <c r="Y310" s="5">
        <f>[1]Hybrid!X22</f>
        <v>7133.8764440000004</v>
      </c>
      <c r="Z310" s="5">
        <f>[1]Hybrid!Y22</f>
        <v>7194.7045150000004</v>
      </c>
      <c r="AA310" s="5">
        <f>[1]Hybrid!Z22</f>
        <v>7255.1025250000002</v>
      </c>
      <c r="AB310" s="5">
        <f>[1]Hybrid!AA22</f>
        <v>7312.1571800000002</v>
      </c>
      <c r="AC310" s="5">
        <f>[1]Hybrid!AB22</f>
        <v>7367.3630249999997</v>
      </c>
      <c r="AD310" s="5">
        <f>[1]Hybrid!AC22</f>
        <v>7420.7086920000002</v>
      </c>
      <c r="AE310" s="5">
        <f>[1]Hybrid!AD22</f>
        <v>7472.2427429999998</v>
      </c>
      <c r="AF310" s="5">
        <f>[1]Hybrid!AE22</f>
        <v>7522.0328950000003</v>
      </c>
      <c r="AG310" s="5">
        <f>[1]Hybrid!AF22</f>
        <v>7570.1446539999997</v>
      </c>
      <c r="AH310" s="5">
        <f>[1]Hybrid!AG22</f>
        <v>7616.6384310000003</v>
      </c>
      <c r="AI310" s="5">
        <f>[1]Hybrid!AH22</f>
        <v>7661.5534010000001</v>
      </c>
      <c r="AJ310" s="5">
        <f>[1]Hybrid!AI22</f>
        <v>7704.9105030000001</v>
      </c>
      <c r="AK310" s="5">
        <f>[1]Hybrid!AJ22</f>
        <v>7746.7168519999996</v>
      </c>
      <c r="AL310" s="5">
        <f>[1]Hybrid!AK22</f>
        <v>7786.9691979999998</v>
      </c>
      <c r="AM310" s="5">
        <f>[1]Hybrid!AL22</f>
        <v>7825.1186619999999</v>
      </c>
      <c r="AN310" s="5">
        <f>[1]Hybrid!AM22</f>
        <v>7861.2220399999997</v>
      </c>
      <c r="AO310" s="5">
        <f>[1]Hybrid!AN22</f>
        <v>7895.3156980000003</v>
      </c>
      <c r="AP310" s="5">
        <f>[1]Hybrid!AO22</f>
        <v>7927.4382670000005</v>
      </c>
      <c r="AQ310" s="5">
        <f>[1]Hybrid!AP22</f>
        <v>7957.6291289999999</v>
      </c>
      <c r="AR310" s="5">
        <f>[1]Hybrid!AQ22</f>
        <v>7985.9304400000001</v>
      </c>
      <c r="AS310" s="5">
        <f>[1]Hybrid!AR22</f>
        <v>8012.3644469999999</v>
      </c>
      <c r="AT310" s="5">
        <f>[1]Hybrid!AS22</f>
        <v>8036.9326199999996</v>
      </c>
      <c r="AU310" s="5">
        <f>[1]Hybrid!AT22</f>
        <v>8059.6178209999998</v>
      </c>
      <c r="AV310" s="5">
        <f>[1]Hybrid!AU22</f>
        <v>8080.3863369999999</v>
      </c>
      <c r="AW310" s="5">
        <f>[1]Hybrid!AV22</f>
        <v>8099.2689469999996</v>
      </c>
      <c r="AX310" s="5">
        <f>[1]Hybrid!AW22</f>
        <v>8116.2099559999997</v>
      </c>
      <c r="AY310" s="5">
        <f>[1]Hybrid!AX22</f>
        <v>8131.1299950000002</v>
      </c>
      <c r="AZ310" s="5">
        <f>[1]Hybrid!AY22</f>
        <v>8143.9377679999998</v>
      </c>
      <c r="BA310" s="5">
        <f>[1]Hybrid!AZ22</f>
        <v>8154.5354010000001</v>
      </c>
      <c r="BB310" s="5">
        <f>[1]Hybrid!BA22</f>
        <v>8162.8383530000001</v>
      </c>
      <c r="BC310" s="5">
        <f>[1]Hybrid!BB22</f>
        <v>8168.7461929999999</v>
      </c>
      <c r="BD310" s="5">
        <f>[1]Hybrid!BC22</f>
        <v>8172.1473180000003</v>
      </c>
      <c r="BE310" s="5">
        <f>[1]Hybrid!BD22</f>
        <v>8172.9256029999997</v>
      </c>
      <c r="BF310" s="5">
        <f>[1]Hybrid!BE22</f>
        <v>8170.9626920000001</v>
      </c>
    </row>
    <row r="311" spans="1:58" x14ac:dyDescent="0.35">
      <c r="B311" s="5" t="str">
        <f>[1]Hybrid!A24</f>
        <v>auto_cd_cfut_2</v>
      </c>
      <c r="C311" s="5">
        <f>[1]Hybrid!B24</f>
        <v>4159.6639080000004</v>
      </c>
      <c r="D311" s="5">
        <f>[1]Hybrid!C24</f>
        <v>4052.6096280000002</v>
      </c>
      <c r="E311" s="5">
        <f>[1]Hybrid!D24</f>
        <v>3968.839453</v>
      </c>
      <c r="F311" s="5">
        <f>[1]Hybrid!E24</f>
        <v>3902.0569049999999</v>
      </c>
      <c r="G311" s="5">
        <f>[1]Hybrid!F24</f>
        <v>3847.9946300000001</v>
      </c>
      <c r="H311" s="5">
        <f>[1]Hybrid!G24</f>
        <v>3803.7599260000002</v>
      </c>
      <c r="I311" s="5">
        <f>[1]Hybrid!H24</f>
        <v>3766.9387040000001</v>
      </c>
      <c r="J311" s="5">
        <f>[1]Hybrid!I24</f>
        <v>3736.063087</v>
      </c>
      <c r="K311" s="5">
        <f>[1]Hybrid!J24</f>
        <v>3710.0034129999999</v>
      </c>
      <c r="L311" s="5">
        <f>[1]Hybrid!K24</f>
        <v>3687.84917</v>
      </c>
      <c r="M311" s="5">
        <f>[1]Hybrid!L24</f>
        <v>3669.4925880000001</v>
      </c>
      <c r="N311" s="5">
        <f>[1]Hybrid!M24</f>
        <v>3653.5566819999999</v>
      </c>
      <c r="O311" s="5">
        <f>[1]Hybrid!N24</f>
        <v>3639.4548730000001</v>
      </c>
      <c r="P311" s="5">
        <f>[1]Hybrid!O24</f>
        <v>3626.6717410000001</v>
      </c>
      <c r="Q311" s="5">
        <f>[1]Hybrid!P24</f>
        <v>3614.761962</v>
      </c>
      <c r="R311" s="5">
        <f>[1]Hybrid!Q24</f>
        <v>3603.3426089999998</v>
      </c>
      <c r="S311" s="5">
        <f>[1]Hybrid!R24</f>
        <v>3592.0677559999999</v>
      </c>
      <c r="T311" s="5">
        <f>[1]Hybrid!S24</f>
        <v>3580.6491489999999</v>
      </c>
      <c r="U311" s="5">
        <f>[1]Hybrid!T24</f>
        <v>3568.8435319999999</v>
      </c>
      <c r="V311" s="5">
        <f>[1]Hybrid!U24</f>
        <v>3556.4440119999999</v>
      </c>
      <c r="W311" s="5">
        <f>[1]Hybrid!V24</f>
        <v>3542.856448</v>
      </c>
      <c r="X311" s="5">
        <f>[1]Hybrid!W24</f>
        <v>3528.396452</v>
      </c>
      <c r="Y311" s="5">
        <f>[1]Hybrid!X24</f>
        <v>3512.9486630000001</v>
      </c>
      <c r="Z311" s="5">
        <f>[1]Hybrid!Y24</f>
        <v>3496.4224469999999</v>
      </c>
      <c r="AA311" s="5">
        <f>[1]Hybrid!Z24</f>
        <v>3478.7423739999999</v>
      </c>
      <c r="AB311" s="5">
        <f>[1]Hybrid!AA24</f>
        <v>3458.7590479999999</v>
      </c>
      <c r="AC311" s="5">
        <f>[1]Hybrid!AB24</f>
        <v>3437.1362549999999</v>
      </c>
      <c r="AD311" s="5">
        <f>[1]Hybrid!AC24</f>
        <v>3413.9193439999999</v>
      </c>
      <c r="AE311" s="5">
        <f>[1]Hybrid!AD24</f>
        <v>3389.174559</v>
      </c>
      <c r="AF311" s="5">
        <f>[1]Hybrid!AE24</f>
        <v>3362.9724700000002</v>
      </c>
      <c r="AG311" s="5">
        <f>[1]Hybrid!AF24</f>
        <v>3335.3801819999999</v>
      </c>
      <c r="AH311" s="5">
        <f>[1]Hybrid!AG24</f>
        <v>3306.4607489999999</v>
      </c>
      <c r="AI311" s="5">
        <f>[1]Hybrid!AH24</f>
        <v>3276.2678059999998</v>
      </c>
      <c r="AJ311" s="5">
        <f>[1]Hybrid!AI24</f>
        <v>3244.8473049999998</v>
      </c>
      <c r="AK311" s="5">
        <f>[1]Hybrid!AJ24</f>
        <v>3212.2397449999999</v>
      </c>
      <c r="AL311" s="5">
        <f>[1]Hybrid!AK24</f>
        <v>3178.4819680000001</v>
      </c>
      <c r="AM311" s="5">
        <f>[1]Hybrid!AL24</f>
        <v>3143.432871</v>
      </c>
      <c r="AN311" s="5">
        <f>[1]Hybrid!AM24</f>
        <v>3107.1600939999998</v>
      </c>
      <c r="AO311" s="5">
        <f>[1]Hybrid!AN24</f>
        <v>3069.7240929999998</v>
      </c>
      <c r="AP311" s="5">
        <f>[1]Hybrid!AO24</f>
        <v>3031.1853820000001</v>
      </c>
      <c r="AQ311" s="5">
        <f>[1]Hybrid!AP24</f>
        <v>2991.6043129999998</v>
      </c>
      <c r="AR311" s="5">
        <f>[1]Hybrid!AQ24</f>
        <v>2951.042042</v>
      </c>
      <c r="AS311" s="5">
        <f>[1]Hybrid!AR24</f>
        <v>2909.554099</v>
      </c>
      <c r="AT311" s="5">
        <f>[1]Hybrid!AS24</f>
        <v>2867.1906009999998</v>
      </c>
      <c r="AU311" s="5">
        <f>[1]Hybrid!AT24</f>
        <v>2823.9974459999999</v>
      </c>
      <c r="AV311" s="5">
        <f>[1]Hybrid!AU24</f>
        <v>2780.0173850000001</v>
      </c>
      <c r="AW311" s="5">
        <f>[1]Hybrid!AV24</f>
        <v>2735.311909</v>
      </c>
      <c r="AX311" s="5">
        <f>[1]Hybrid!AW24</f>
        <v>2689.9204549999999</v>
      </c>
      <c r="AY311" s="5">
        <f>[1]Hybrid!AX24</f>
        <v>2643.8779239999999</v>
      </c>
      <c r="AZ311" s="5">
        <f>[1]Hybrid!AY24</f>
        <v>2597.2183380000001</v>
      </c>
      <c r="BA311" s="5">
        <f>[1]Hybrid!AZ24</f>
        <v>2549.9766639999998</v>
      </c>
      <c r="BB311" s="5">
        <f>[1]Hybrid!BA24</f>
        <v>2502.1938599999999</v>
      </c>
      <c r="BC311" s="5">
        <f>[1]Hybrid!BB24</f>
        <v>2453.909764</v>
      </c>
      <c r="BD311" s="5">
        <f>[1]Hybrid!BC24</f>
        <v>2405.1639749999999</v>
      </c>
      <c r="BE311" s="5">
        <f>[1]Hybrid!BD24</f>
        <v>2355.9974099999999</v>
      </c>
      <c r="BF311" s="5">
        <f>[1]Hybrid!BE24</f>
        <v>2306.4528289999998</v>
      </c>
    </row>
    <row r="312" spans="1:58" x14ac:dyDescent="0.35">
      <c r="B312" s="5" t="str">
        <f>[1]Hybrid!A26</f>
        <v>auto_ce_cfut_2</v>
      </c>
      <c r="C312" s="5">
        <f>[1]Hybrid!B26</f>
        <v>2503.7292430000002</v>
      </c>
      <c r="D312" s="5">
        <f>[1]Hybrid!C26</f>
        <v>2441.6460849999999</v>
      </c>
      <c r="E312" s="5">
        <f>[1]Hybrid!D26</f>
        <v>2392.7183620000001</v>
      </c>
      <c r="F312" s="5">
        <f>[1]Hybrid!E26</f>
        <v>2352.9157329999998</v>
      </c>
      <c r="G312" s="5">
        <f>[1]Hybrid!F26</f>
        <v>2319.5341990000002</v>
      </c>
      <c r="H312" s="5">
        <f>[1]Hybrid!G26</f>
        <v>2290.7639250000002</v>
      </c>
      <c r="I312" s="5">
        <f>[1]Hybrid!H26</f>
        <v>2265.1332499999999</v>
      </c>
      <c r="J312" s="5">
        <f>[1]Hybrid!I26</f>
        <v>2241.7701969999998</v>
      </c>
      <c r="K312" s="5">
        <f>[1]Hybrid!J26</f>
        <v>2220.0268380000002</v>
      </c>
      <c r="L312" s="5">
        <f>[1]Hybrid!K26</f>
        <v>2199.4004249999998</v>
      </c>
      <c r="M312" s="5">
        <f>[1]Hybrid!L26</f>
        <v>2179.8537019999999</v>
      </c>
      <c r="N312" s="5">
        <f>[1]Hybrid!M26</f>
        <v>2160.6392799999999</v>
      </c>
      <c r="O312" s="5">
        <f>[1]Hybrid!N26</f>
        <v>2141.4700600000001</v>
      </c>
      <c r="P312" s="5">
        <f>[1]Hybrid!O26</f>
        <v>2122.1067939999998</v>
      </c>
      <c r="Q312" s="5">
        <f>[1]Hybrid!P26</f>
        <v>2102.3554669999999</v>
      </c>
      <c r="R312" s="5">
        <f>[1]Hybrid!Q26</f>
        <v>2082.0614460000002</v>
      </c>
      <c r="S312" s="5">
        <f>[1]Hybrid!R26</f>
        <v>2061.0949420000002</v>
      </c>
      <c r="T312" s="5">
        <f>[1]Hybrid!S26</f>
        <v>2039.3610020000001</v>
      </c>
      <c r="U312" s="5">
        <f>[1]Hybrid!T26</f>
        <v>2016.791588</v>
      </c>
      <c r="V312" s="5">
        <f>[1]Hybrid!U26</f>
        <v>1993.339984</v>
      </c>
      <c r="W312" s="5">
        <f>[1]Hybrid!V26</f>
        <v>1968.7708769999999</v>
      </c>
      <c r="X312" s="5">
        <f>[1]Hybrid!W26</f>
        <v>1943.3045179999999</v>
      </c>
      <c r="Y312" s="5">
        <f>[1]Hybrid!X26</f>
        <v>1916.94373</v>
      </c>
      <c r="Z312" s="5">
        <f>[1]Hybrid!Y26</f>
        <v>1889.702839</v>
      </c>
      <c r="AA312" s="5">
        <f>[1]Hybrid!Z26</f>
        <v>1861.602979</v>
      </c>
      <c r="AB312" s="5">
        <f>[1]Hybrid!AA26</f>
        <v>1832.1737390000001</v>
      </c>
      <c r="AC312" s="5">
        <f>[1]Hybrid!AB26</f>
        <v>1801.7913840000001</v>
      </c>
      <c r="AD312" s="5">
        <f>[1]Hybrid!AC26</f>
        <v>1770.539475</v>
      </c>
      <c r="AE312" s="5">
        <f>[1]Hybrid!AD26</f>
        <v>1738.5068309999999</v>
      </c>
      <c r="AF312" s="5">
        <f>[1]Hybrid!AE26</f>
        <v>1705.7800850000001</v>
      </c>
      <c r="AG312" s="5">
        <f>[1]Hybrid!AF26</f>
        <v>1672.440634</v>
      </c>
      <c r="AH312" s="5">
        <f>[1]Hybrid!AG26</f>
        <v>1638.5647859999999</v>
      </c>
      <c r="AI312" s="5">
        <f>[1]Hybrid!AH26</f>
        <v>1604.2218769999999</v>
      </c>
      <c r="AJ312" s="5">
        <f>[1]Hybrid!AI26</f>
        <v>1569.475406</v>
      </c>
      <c r="AK312" s="5">
        <f>[1]Hybrid!AJ26</f>
        <v>1534.384319</v>
      </c>
      <c r="AL312" s="5">
        <f>[1]Hybrid!AK26</f>
        <v>1499.004046</v>
      </c>
      <c r="AM312" s="5">
        <f>[1]Hybrid!AL26</f>
        <v>1463.3208500000001</v>
      </c>
      <c r="AN312" s="5">
        <f>[1]Hybrid!AM26</f>
        <v>1427.401828</v>
      </c>
      <c r="AO312" s="5">
        <f>[1]Hybrid!AN26</f>
        <v>1391.309072</v>
      </c>
      <c r="AP312" s="5">
        <f>[1]Hybrid!AO26</f>
        <v>1355.1024150000001</v>
      </c>
      <c r="AQ312" s="5">
        <f>[1]Hybrid!AP26</f>
        <v>1318.839483</v>
      </c>
      <c r="AR312" s="5">
        <f>[1]Hybrid!AQ26</f>
        <v>1282.576188</v>
      </c>
      <c r="AS312" s="5">
        <f>[1]Hybrid!AR26</f>
        <v>1246.3646209999999</v>
      </c>
      <c r="AT312" s="5">
        <f>[1]Hybrid!AS26</f>
        <v>1210.2532859999999</v>
      </c>
      <c r="AU312" s="5">
        <f>[1]Hybrid!AT26</f>
        <v>1174.2876779999999</v>
      </c>
      <c r="AV312" s="5">
        <f>[1]Hybrid!AU26</f>
        <v>1138.5107599999999</v>
      </c>
      <c r="AW312" s="5">
        <f>[1]Hybrid!AV26</f>
        <v>1102.969828</v>
      </c>
      <c r="AX312" s="5">
        <f>[1]Hybrid!AW26</f>
        <v>1067.703622</v>
      </c>
      <c r="AY312" s="5">
        <f>[1]Hybrid!AX26</f>
        <v>1032.7480009999999</v>
      </c>
      <c r="AZ312" s="5">
        <f>[1]Hybrid!AY26</f>
        <v>998.13718749999998</v>
      </c>
      <c r="BA312" s="5">
        <f>[1]Hybrid!AZ26</f>
        <v>963.90437629999997</v>
      </c>
      <c r="BB312" s="5">
        <f>[1]Hybrid!BA26</f>
        <v>930.08314359999997</v>
      </c>
      <c r="BC312" s="5">
        <f>[1]Hybrid!BB26</f>
        <v>896.70536179999999</v>
      </c>
      <c r="BD312" s="5">
        <f>[1]Hybrid!BC26</f>
        <v>863.80133090000004</v>
      </c>
      <c r="BE312" s="5">
        <f>[1]Hybrid!BD26</f>
        <v>831.40015789999995</v>
      </c>
      <c r="BF312" s="5">
        <f>[1]Hybrid!BE26</f>
        <v>799.52984590000005</v>
      </c>
    </row>
    <row r="313" spans="1:58" x14ac:dyDescent="0.35">
      <c r="B313" s="5" t="str">
        <f>[1]Hybrid!A28</f>
        <v>auto_cf_cfut_2</v>
      </c>
      <c r="C313" s="5">
        <f>[1]Hybrid!B28</f>
        <v>1243.6668460000001</v>
      </c>
      <c r="D313" s="5">
        <f>[1]Hybrid!C28</f>
        <v>1210.2042080000001</v>
      </c>
      <c r="E313" s="5">
        <f>[1]Hybrid!D28</f>
        <v>1181.9138829999999</v>
      </c>
      <c r="F313" s="5">
        <f>[1]Hybrid!E28</f>
        <v>1156.577972</v>
      </c>
      <c r="G313" s="5">
        <f>[1]Hybrid!F28</f>
        <v>1132.776292</v>
      </c>
      <c r="H313" s="5">
        <f>[1]Hybrid!G28</f>
        <v>1109.620692</v>
      </c>
      <c r="I313" s="5">
        <f>[1]Hybrid!H28</f>
        <v>1086.4703039999999</v>
      </c>
      <c r="J313" s="5">
        <f>[1]Hybrid!I28</f>
        <v>1063.009671</v>
      </c>
      <c r="K313" s="5">
        <f>[1]Hybrid!J28</f>
        <v>1039.0602269999999</v>
      </c>
      <c r="L313" s="5">
        <f>[1]Hybrid!K28</f>
        <v>1014.530186</v>
      </c>
      <c r="M313" s="5">
        <f>[1]Hybrid!L28</f>
        <v>989.51238439999997</v>
      </c>
      <c r="N313" s="5">
        <f>[1]Hybrid!M28</f>
        <v>963.85529559999998</v>
      </c>
      <c r="O313" s="5">
        <f>[1]Hybrid!N28</f>
        <v>937.58694609999998</v>
      </c>
      <c r="P313" s="5">
        <f>[1]Hybrid!O28</f>
        <v>910.757744</v>
      </c>
      <c r="Q313" s="5">
        <f>[1]Hybrid!P28</f>
        <v>883.43552969999996</v>
      </c>
      <c r="R313" s="5">
        <f>[1]Hybrid!Q28</f>
        <v>855.70049429999995</v>
      </c>
      <c r="S313" s="5">
        <f>[1]Hybrid!R28</f>
        <v>827.63874499999997</v>
      </c>
      <c r="T313" s="5">
        <f>[1]Hybrid!S28</f>
        <v>799.34322599999996</v>
      </c>
      <c r="U313" s="5">
        <f>[1]Hybrid!T28</f>
        <v>770.90961279999999</v>
      </c>
      <c r="V313" s="5">
        <f>[1]Hybrid!U28</f>
        <v>742.43332940000005</v>
      </c>
      <c r="W313" s="5">
        <f>[1]Hybrid!V28</f>
        <v>713.96214810000004</v>
      </c>
      <c r="X313" s="5">
        <f>[1]Hybrid!W28</f>
        <v>685.64106460000005</v>
      </c>
      <c r="Y313" s="5">
        <f>[1]Hybrid!X28</f>
        <v>657.55508469999995</v>
      </c>
      <c r="Z313" s="5">
        <f>[1]Hybrid!Y28</f>
        <v>629.7832664</v>
      </c>
      <c r="AA313" s="5">
        <f>[1]Hybrid!Z28</f>
        <v>602.39797650000003</v>
      </c>
      <c r="AB313" s="5">
        <f>[1]Hybrid!AA28</f>
        <v>575.38120700000002</v>
      </c>
      <c r="AC313" s="5">
        <f>[1]Hybrid!AB28</f>
        <v>548.86007619999998</v>
      </c>
      <c r="AD313" s="5">
        <f>[1]Hybrid!AC28</f>
        <v>522.89888229999997</v>
      </c>
      <c r="AE313" s="5">
        <f>[1]Hybrid!AD28</f>
        <v>497.55344009999999</v>
      </c>
      <c r="AF313" s="5">
        <f>[1]Hybrid!AE28</f>
        <v>472.87063380000001</v>
      </c>
      <c r="AG313" s="5">
        <f>[1]Hybrid!AF28</f>
        <v>448.88885920000001</v>
      </c>
      <c r="AH313" s="5">
        <f>[1]Hybrid!AG28</f>
        <v>425.63887499999998</v>
      </c>
      <c r="AI313" s="5">
        <f>[1]Hybrid!AH28</f>
        <v>403.14433209999999</v>
      </c>
      <c r="AJ313" s="5">
        <f>[1]Hybrid!AI28</f>
        <v>381.42261780000001</v>
      </c>
      <c r="AK313" s="5">
        <f>[1]Hybrid!AJ28</f>
        <v>360.48563719999999</v>
      </c>
      <c r="AL313" s="5">
        <f>[1]Hybrid!AK28</f>
        <v>340.34048239999998</v>
      </c>
      <c r="AM313" s="5">
        <f>[1]Hybrid!AL28</f>
        <v>320.98430480000002</v>
      </c>
      <c r="AN313" s="5">
        <f>[1]Hybrid!AM28</f>
        <v>302.41860439999999</v>
      </c>
      <c r="AO313" s="5">
        <f>[1]Hybrid!AN28</f>
        <v>284.64088290000001</v>
      </c>
      <c r="AP313" s="5">
        <f>[1]Hybrid!AO28</f>
        <v>267.64525220000002</v>
      </c>
      <c r="AQ313" s="5">
        <f>[1]Hybrid!AP28</f>
        <v>251.42282309999999</v>
      </c>
      <c r="AR313" s="5">
        <f>[1]Hybrid!AQ28</f>
        <v>235.96209719999999</v>
      </c>
      <c r="AS313" s="5">
        <f>[1]Hybrid!AR28</f>
        <v>221.24916139999999</v>
      </c>
      <c r="AT313" s="5">
        <f>[1]Hybrid!AS28</f>
        <v>207.26801520000001</v>
      </c>
      <c r="AU313" s="5">
        <f>[1]Hybrid!AT28</f>
        <v>194.0008928</v>
      </c>
      <c r="AV313" s="5">
        <f>[1]Hybrid!AU28</f>
        <v>181.4285505</v>
      </c>
      <c r="AW313" s="5">
        <f>[1]Hybrid!AV28</f>
        <v>169.53079020000001</v>
      </c>
      <c r="AX313" s="5">
        <f>[1]Hybrid!AW28</f>
        <v>158.28608929999999</v>
      </c>
      <c r="AY313" s="5">
        <f>[1]Hybrid!AX28</f>
        <v>147.6720784</v>
      </c>
      <c r="AZ313" s="5">
        <f>[1]Hybrid!AY28</f>
        <v>137.66578870000001</v>
      </c>
      <c r="BA313" s="5">
        <f>[1]Hybrid!AZ28</f>
        <v>128.2438478</v>
      </c>
      <c r="BB313" s="5">
        <f>[1]Hybrid!BA28</f>
        <v>119.3826711</v>
      </c>
      <c r="BC313" s="5">
        <f>[1]Hybrid!BB28</f>
        <v>111.058531</v>
      </c>
      <c r="BD313" s="5">
        <f>[1]Hybrid!BC28</f>
        <v>103.24768349999999</v>
      </c>
      <c r="BE313" s="5">
        <f>[1]Hybrid!BD28</f>
        <v>95.926496950000001</v>
      </c>
      <c r="BF313" s="5">
        <f>[1]Hybrid!BE28</f>
        <v>89.071562200000002</v>
      </c>
    </row>
    <row r="314" spans="1:58" x14ac:dyDescent="0.35">
      <c r="B314" s="5" t="str">
        <f>[1]Hybrid!A30</f>
        <v>auto_cg_cfut_2</v>
      </c>
      <c r="C314" s="5">
        <f>[1]Hybrid!B30</f>
        <v>2239.620606</v>
      </c>
      <c r="D314" s="5">
        <f>[1]Hybrid!C30</f>
        <v>2182.7732070000002</v>
      </c>
      <c r="E314" s="5">
        <f>[1]Hybrid!D30</f>
        <v>2132.8841090000001</v>
      </c>
      <c r="F314" s="5">
        <f>[1]Hybrid!E30</f>
        <v>2085.556552</v>
      </c>
      <c r="G314" s="5">
        <f>[1]Hybrid!F30</f>
        <v>2038.1712419999999</v>
      </c>
      <c r="H314" s="5">
        <f>[1]Hybrid!G30</f>
        <v>1989.278323</v>
      </c>
      <c r="I314" s="5">
        <f>[1]Hybrid!H30</f>
        <v>1938.018409</v>
      </c>
      <c r="J314" s="5">
        <f>[1]Hybrid!I30</f>
        <v>1884.1827639999999</v>
      </c>
      <c r="K314" s="5">
        <f>[1]Hybrid!J30</f>
        <v>1827.8402679999999</v>
      </c>
      <c r="L314" s="5">
        <f>[1]Hybrid!K30</f>
        <v>1769.2204099999999</v>
      </c>
      <c r="M314" s="5">
        <f>[1]Hybrid!L30</f>
        <v>1708.823007</v>
      </c>
      <c r="N314" s="5">
        <f>[1]Hybrid!M30</f>
        <v>1646.784345</v>
      </c>
      <c r="O314" s="5">
        <f>[1]Hybrid!N30</f>
        <v>1583.4901789999999</v>
      </c>
      <c r="P314" s="5">
        <f>[1]Hybrid!O30</f>
        <v>1519.334879</v>
      </c>
      <c r="Q314" s="5">
        <f>[1]Hybrid!P30</f>
        <v>1454.7087039999999</v>
      </c>
      <c r="R314" s="5">
        <f>[1]Hybrid!Q30</f>
        <v>1389.987286</v>
      </c>
      <c r="S314" s="5">
        <f>[1]Hybrid!R30</f>
        <v>1325.521812</v>
      </c>
      <c r="T314" s="5">
        <f>[1]Hybrid!S30</f>
        <v>1261.639032</v>
      </c>
      <c r="U314" s="5">
        <f>[1]Hybrid!T30</f>
        <v>1198.6360990000001</v>
      </c>
      <c r="V314" s="5">
        <f>[1]Hybrid!U30</f>
        <v>1136.7777229999999</v>
      </c>
      <c r="W314" s="5">
        <f>[1]Hybrid!V30</f>
        <v>1076.2526350000001</v>
      </c>
      <c r="X314" s="5">
        <f>[1]Hybrid!W30</f>
        <v>1017.314093</v>
      </c>
      <c r="Y314" s="5">
        <f>[1]Hybrid!X30</f>
        <v>960.12750540000002</v>
      </c>
      <c r="Z314" s="5">
        <f>[1]Hybrid!Y30</f>
        <v>904.82697940000003</v>
      </c>
      <c r="AA314" s="5">
        <f>[1]Hybrid!Z30</f>
        <v>851.51741560000005</v>
      </c>
      <c r="AB314" s="5">
        <f>[1]Hybrid!AA30</f>
        <v>800.21519109999997</v>
      </c>
      <c r="AC314" s="5">
        <f>[1]Hybrid!AB30</f>
        <v>751.03100300000006</v>
      </c>
      <c r="AD314" s="5">
        <f>[1]Hybrid!AC30</f>
        <v>704.00751649999995</v>
      </c>
      <c r="AE314" s="5">
        <f>[1]Hybrid!AD30</f>
        <v>659.16495759999998</v>
      </c>
      <c r="AF314" s="5">
        <f>[1]Hybrid!AE30</f>
        <v>616.50354919999995</v>
      </c>
      <c r="AG314" s="5">
        <f>[1]Hybrid!AF30</f>
        <v>576.00639960000001</v>
      </c>
      <c r="AH314" s="5">
        <f>[1]Hybrid!AG30</f>
        <v>537.64234899999997</v>
      </c>
      <c r="AI314" s="5">
        <f>[1]Hybrid!AH30</f>
        <v>501.36833419999999</v>
      </c>
      <c r="AJ314" s="5">
        <f>[1]Hybrid!AI30</f>
        <v>467.13166799999999</v>
      </c>
      <c r="AK314" s="5">
        <f>[1]Hybrid!AJ30</f>
        <v>434.87203099999999</v>
      </c>
      <c r="AL314" s="5">
        <f>[1]Hybrid!AK30</f>
        <v>404.5231776</v>
      </c>
      <c r="AM314" s="5">
        <f>[1]Hybrid!AL30</f>
        <v>376.01206930000001</v>
      </c>
      <c r="AN314" s="5">
        <f>[1]Hybrid!AM30</f>
        <v>349.26607339999998</v>
      </c>
      <c r="AO314" s="5">
        <f>[1]Hybrid!AN30</f>
        <v>324.2099407</v>
      </c>
      <c r="AP314" s="5">
        <f>[1]Hybrid!AO30</f>
        <v>300.76687090000001</v>
      </c>
      <c r="AQ314" s="5">
        <f>[1]Hybrid!AP30</f>
        <v>278.85937339999998</v>
      </c>
      <c r="AR314" s="5">
        <f>[1]Hybrid!AQ30</f>
        <v>258.4100158</v>
      </c>
      <c r="AS314" s="5">
        <f>[1]Hybrid!AR30</f>
        <v>239.34200440000001</v>
      </c>
      <c r="AT314" s="5">
        <f>[1]Hybrid!AS30</f>
        <v>221.5797168</v>
      </c>
      <c r="AU314" s="5">
        <f>[1]Hybrid!AT30</f>
        <v>205.04914980000001</v>
      </c>
      <c r="AV314" s="5">
        <f>[1]Hybrid!AU30</f>
        <v>189.67828080000001</v>
      </c>
      <c r="AW314" s="5">
        <f>[1]Hybrid!AV30</f>
        <v>175.39741280000001</v>
      </c>
      <c r="AX314" s="5">
        <f>[1]Hybrid!AW30</f>
        <v>162.13925839999999</v>
      </c>
      <c r="AY314" s="5">
        <f>[1]Hybrid!AX30</f>
        <v>149.83917640000001</v>
      </c>
      <c r="AZ314" s="5">
        <f>[1]Hybrid!AY30</f>
        <v>138.4353041</v>
      </c>
      <c r="BA314" s="5">
        <f>[1]Hybrid!AZ30</f>
        <v>127.86863820000001</v>
      </c>
      <c r="BB314" s="5">
        <f>[1]Hybrid!BA30</f>
        <v>118.0830782</v>
      </c>
      <c r="BC314" s="5">
        <f>[1]Hybrid!BB30</f>
        <v>109.02542099999999</v>
      </c>
      <c r="BD314" s="5">
        <f>[1]Hybrid!BC30</f>
        <v>100.6453417</v>
      </c>
      <c r="BE314" s="5">
        <f>[1]Hybrid!BD30</f>
        <v>92.895354080000004</v>
      </c>
      <c r="BF314" s="5">
        <f>[1]Hybrid!BE30</f>
        <v>85.730751850000004</v>
      </c>
    </row>
    <row r="315" spans="1:58" x14ac:dyDescent="0.35">
      <c r="B315" s="5" t="str">
        <f>[1]Hybrid!A32</f>
        <v>auto_ca_cele_2</v>
      </c>
      <c r="C315" s="5">
        <f>[1]Hybrid!B32</f>
        <v>9.8427898650000003</v>
      </c>
      <c r="D315" s="5">
        <f>[1]Hybrid!C32</f>
        <v>14.923896620000001</v>
      </c>
      <c r="E315" s="5">
        <f>[1]Hybrid!D32</f>
        <v>20.24984572</v>
      </c>
      <c r="F315" s="5">
        <f>[1]Hybrid!E32</f>
        <v>25.728123369999999</v>
      </c>
      <c r="G315" s="5">
        <f>[1]Hybrid!F32</f>
        <v>31.30512951</v>
      </c>
      <c r="H315" s="5">
        <f>[1]Hybrid!G32</f>
        <v>36.952570119999997</v>
      </c>
      <c r="I315" s="5">
        <f>[1]Hybrid!H32</f>
        <v>42.645956820000002</v>
      </c>
      <c r="J315" s="5">
        <f>[1]Hybrid!I32</f>
        <v>48.379077690000003</v>
      </c>
      <c r="K315" s="5">
        <f>[1]Hybrid!J32</f>
        <v>54.149959639999999</v>
      </c>
      <c r="L315" s="5">
        <f>[1]Hybrid!K32</f>
        <v>59.958891610000002</v>
      </c>
      <c r="M315" s="5">
        <f>[1]Hybrid!L32</f>
        <v>65.827702130000006</v>
      </c>
      <c r="N315" s="5">
        <f>[1]Hybrid!M32</f>
        <v>71.737829579999996</v>
      </c>
      <c r="O315" s="5">
        <f>[1]Hybrid!N32</f>
        <v>77.69129212</v>
      </c>
      <c r="P315" s="5">
        <f>[1]Hybrid!O32</f>
        <v>83.690499529999997</v>
      </c>
      <c r="Q315" s="5">
        <f>[1]Hybrid!P32</f>
        <v>89.738668399999995</v>
      </c>
      <c r="R315" s="5">
        <f>[1]Hybrid!Q32</f>
        <v>95.839957339999998</v>
      </c>
      <c r="S315" s="5">
        <f>[1]Hybrid!R32</f>
        <v>101.99885380000001</v>
      </c>
      <c r="T315" s="5">
        <f>[1]Hybrid!S32</f>
        <v>108.2211757</v>
      </c>
      <c r="U315" s="5">
        <f>[1]Hybrid!T32</f>
        <v>114.5139425</v>
      </c>
      <c r="V315" s="5">
        <f>[1]Hybrid!U32</f>
        <v>120.8853359</v>
      </c>
      <c r="W315" s="5">
        <f>[1]Hybrid!V32</f>
        <v>127.3266325</v>
      </c>
      <c r="X315" s="5">
        <f>[1]Hybrid!W32</f>
        <v>133.8668906</v>
      </c>
      <c r="Y315" s="5">
        <f>[1]Hybrid!X32</f>
        <v>140.51872259999999</v>
      </c>
      <c r="Z315" s="5">
        <f>[1]Hybrid!Y32</f>
        <v>147.29653060000001</v>
      </c>
      <c r="AA315" s="5">
        <f>[1]Hybrid!Z32</f>
        <v>154.21622289999999</v>
      </c>
      <c r="AB315" s="5">
        <f>[1]Hybrid!AA32</f>
        <v>161.23744139999999</v>
      </c>
      <c r="AC315" s="5">
        <f>[1]Hybrid!AB32</f>
        <v>168.41014920000001</v>
      </c>
      <c r="AD315" s="5">
        <f>[1]Hybrid!AC32</f>
        <v>175.75632419999999</v>
      </c>
      <c r="AE315" s="5">
        <f>[1]Hybrid!AD32</f>
        <v>183.30132090000001</v>
      </c>
      <c r="AF315" s="5">
        <f>[1]Hybrid!AE32</f>
        <v>191.07322529999999</v>
      </c>
      <c r="AG315" s="5">
        <f>[1]Hybrid!AF32</f>
        <v>199.10255599999999</v>
      </c>
      <c r="AH315" s="5">
        <f>[1]Hybrid!AG32</f>
        <v>207.4223705</v>
      </c>
      <c r="AI315" s="5">
        <f>[1]Hybrid!AH32</f>
        <v>216.06802640000001</v>
      </c>
      <c r="AJ315" s="5">
        <f>[1]Hybrid!AI32</f>
        <v>225.07739090000001</v>
      </c>
      <c r="AK315" s="5">
        <f>[1]Hybrid!AJ32</f>
        <v>234.49111869999999</v>
      </c>
      <c r="AL315" s="5">
        <f>[1]Hybrid!AK32</f>
        <v>244.3529498</v>
      </c>
      <c r="AM315" s="5">
        <f>[1]Hybrid!AL32</f>
        <v>254.69317609999999</v>
      </c>
      <c r="AN315" s="5">
        <f>[1]Hybrid!AM32</f>
        <v>265.56281059999998</v>
      </c>
      <c r="AO315" s="5">
        <f>[1]Hybrid!AN32</f>
        <v>277.01662770000002</v>
      </c>
      <c r="AP315" s="5">
        <f>[1]Hybrid!AO32</f>
        <v>289.11425759999997</v>
      </c>
      <c r="AQ315" s="5">
        <f>[1]Hybrid!AP32</f>
        <v>301.9206016</v>
      </c>
      <c r="AR315" s="5">
        <f>[1]Hybrid!AQ32</f>
        <v>315.50642749999997</v>
      </c>
      <c r="AS315" s="5">
        <f>[1]Hybrid!AR32</f>
        <v>329.94801869999998</v>
      </c>
      <c r="AT315" s="5">
        <f>[1]Hybrid!AS32</f>
        <v>345.32755049999997</v>
      </c>
      <c r="AU315" s="5">
        <f>[1]Hybrid!AT32</f>
        <v>361.73360830000001</v>
      </c>
      <c r="AV315" s="5">
        <f>[1]Hybrid!AU32</f>
        <v>379.2617444</v>
      </c>
      <c r="AW315" s="5">
        <f>[1]Hybrid!AV32</f>
        <v>398.0192394</v>
      </c>
      <c r="AX315" s="5">
        <f>[1]Hybrid!AW32</f>
        <v>418.11846480000003</v>
      </c>
      <c r="AY315" s="5">
        <f>[1]Hybrid!AX32</f>
        <v>439.68016139999997</v>
      </c>
      <c r="AZ315" s="5">
        <f>[1]Hybrid!AY32</f>
        <v>462.83459929999998</v>
      </c>
      <c r="BA315" s="5">
        <f>[1]Hybrid!AZ32</f>
        <v>487.72255990000002</v>
      </c>
      <c r="BB315" s="5">
        <f>[1]Hybrid!BA32</f>
        <v>514.49752869999998</v>
      </c>
      <c r="BC315" s="5">
        <f>[1]Hybrid!BB32</f>
        <v>543.32473149999998</v>
      </c>
      <c r="BD315" s="5">
        <f>[1]Hybrid!BC32</f>
        <v>574.382251</v>
      </c>
      <c r="BE315" s="5">
        <f>[1]Hybrid!BD32</f>
        <v>607.8624135</v>
      </c>
      <c r="BF315" s="5">
        <f>[1]Hybrid!BE32</f>
        <v>643.97298799999999</v>
      </c>
    </row>
    <row r="316" spans="1:58" x14ac:dyDescent="0.35">
      <c r="B316" s="5" t="str">
        <f>[1]Hybrid!A34</f>
        <v>auto_cb_cele_2</v>
      </c>
      <c r="C316" s="5">
        <f>[1]Hybrid!B34</f>
        <v>11.44571741</v>
      </c>
      <c r="D316" s="5">
        <f>[1]Hybrid!C34</f>
        <v>16.239981090000001</v>
      </c>
      <c r="E316" s="5">
        <f>[1]Hybrid!D34</f>
        <v>21.266033069999999</v>
      </c>
      <c r="F316" s="5">
        <f>[1]Hybrid!E34</f>
        <v>26.433737140000002</v>
      </c>
      <c r="G316" s="5">
        <f>[1]Hybrid!F34</f>
        <v>31.690788040000001</v>
      </c>
      <c r="H316" s="5">
        <f>[1]Hybrid!G34</f>
        <v>37.009310159999998</v>
      </c>
      <c r="I316" s="5">
        <f>[1]Hybrid!H34</f>
        <v>42.365166780000003</v>
      </c>
      <c r="J316" s="5">
        <f>[1]Hybrid!I34</f>
        <v>47.751704169999996</v>
      </c>
      <c r="K316" s="5">
        <f>[1]Hybrid!J34</f>
        <v>53.166303390000003</v>
      </c>
      <c r="L316" s="5">
        <f>[1]Hybrid!K34</f>
        <v>58.608474299999997</v>
      </c>
      <c r="M316" s="5">
        <f>[1]Hybrid!L34</f>
        <v>64.098082840000004</v>
      </c>
      <c r="N316" s="5">
        <f>[1]Hybrid!M34</f>
        <v>69.616650230000005</v>
      </c>
      <c r="O316" s="5">
        <f>[1]Hybrid!N34</f>
        <v>75.165222999999997</v>
      </c>
      <c r="P316" s="5">
        <f>[1]Hybrid!O34</f>
        <v>80.745224660000005</v>
      </c>
      <c r="Q316" s="5">
        <f>[1]Hybrid!P34</f>
        <v>86.358850230000002</v>
      </c>
      <c r="R316" s="5">
        <f>[1]Hybrid!Q34</f>
        <v>92.009193120000006</v>
      </c>
      <c r="S316" s="5">
        <f>[1]Hybrid!R34</f>
        <v>97.699672239999998</v>
      </c>
      <c r="T316" s="5">
        <f>[1]Hybrid!S34</f>
        <v>103.43497290000001</v>
      </c>
      <c r="U316" s="5">
        <f>[1]Hybrid!T34</f>
        <v>109.22091930000001</v>
      </c>
      <c r="V316" s="5">
        <f>[1]Hybrid!U34</f>
        <v>115.0644262</v>
      </c>
      <c r="W316" s="5">
        <f>[1]Hybrid!V34</f>
        <v>120.956698</v>
      </c>
      <c r="X316" s="5">
        <f>[1]Hybrid!W34</f>
        <v>126.92412299999999</v>
      </c>
      <c r="Y316" s="5">
        <f>[1]Hybrid!X34</f>
        <v>132.9776966</v>
      </c>
      <c r="Z316" s="5">
        <f>[1]Hybrid!Y34</f>
        <v>139.1300013</v>
      </c>
      <c r="AA316" s="5">
        <f>[1]Hybrid!Z34</f>
        <v>145.3949259</v>
      </c>
      <c r="AB316" s="5">
        <f>[1]Hybrid!AA34</f>
        <v>151.73449539999999</v>
      </c>
      <c r="AC316" s="5">
        <f>[1]Hybrid!AB34</f>
        <v>158.1940768</v>
      </c>
      <c r="AD316" s="5">
        <f>[1]Hybrid!AC34</f>
        <v>164.79304450000001</v>
      </c>
      <c r="AE316" s="5">
        <f>[1]Hybrid!AD34</f>
        <v>171.5536755</v>
      </c>
      <c r="AF316" s="5">
        <f>[1]Hybrid!AE34</f>
        <v>178.5005128</v>
      </c>
      <c r="AG316" s="5">
        <f>[1]Hybrid!AF34</f>
        <v>185.6600516</v>
      </c>
      <c r="AH316" s="5">
        <f>[1]Hybrid!AG34</f>
        <v>193.06079209999999</v>
      </c>
      <c r="AI316" s="5">
        <f>[1]Hybrid!AH34</f>
        <v>200.73297360000001</v>
      </c>
      <c r="AJ316" s="5">
        <f>[1]Hybrid!AI34</f>
        <v>208.70871030000001</v>
      </c>
      <c r="AK316" s="5">
        <f>[1]Hybrid!AJ34</f>
        <v>217.02218629999999</v>
      </c>
      <c r="AL316" s="5">
        <f>[1]Hybrid!AK34</f>
        <v>225.70986060000001</v>
      </c>
      <c r="AM316" s="5">
        <f>[1]Hybrid!AL34</f>
        <v>234.7955426</v>
      </c>
      <c r="AN316" s="5">
        <f>[1]Hybrid!AM34</f>
        <v>244.321168</v>
      </c>
      <c r="AO316" s="5">
        <f>[1]Hybrid!AN34</f>
        <v>254.33133470000001</v>
      </c>
      <c r="AP316" s="5">
        <f>[1]Hybrid!AO34</f>
        <v>264.87417499999998</v>
      </c>
      <c r="AQ316" s="5">
        <f>[1]Hybrid!AP34</f>
        <v>276.00161400000002</v>
      </c>
      <c r="AR316" s="5">
        <f>[1]Hybrid!AQ34</f>
        <v>287.76977840000001</v>
      </c>
      <c r="AS316" s="5">
        <f>[1]Hybrid!AR34</f>
        <v>300.23854649999998</v>
      </c>
      <c r="AT316" s="5">
        <f>[1]Hybrid!AS34</f>
        <v>313.47172599999999</v>
      </c>
      <c r="AU316" s="5">
        <f>[1]Hybrid!AT34</f>
        <v>327.53734370000001</v>
      </c>
      <c r="AV316" s="5">
        <f>[1]Hybrid!AU34</f>
        <v>342.50794810000002</v>
      </c>
      <c r="AW316" s="5">
        <f>[1]Hybrid!AV34</f>
        <v>358.46456269999999</v>
      </c>
      <c r="AX316" s="5">
        <f>[1]Hybrid!AW34</f>
        <v>375.4906163</v>
      </c>
      <c r="AY316" s="5">
        <f>[1]Hybrid!AX34</f>
        <v>393.67454479999998</v>
      </c>
      <c r="AZ316" s="5">
        <f>[1]Hybrid!AY34</f>
        <v>413.11051709999998</v>
      </c>
      <c r="BA316" s="5">
        <f>[1]Hybrid!AZ34</f>
        <v>433.89897409999998</v>
      </c>
      <c r="BB316" s="5">
        <f>[1]Hybrid!BA34</f>
        <v>456.14817110000001</v>
      </c>
      <c r="BC316" s="5">
        <f>[1]Hybrid!BB34</f>
        <v>479.97295050000002</v>
      </c>
      <c r="BD316" s="5">
        <f>[1]Hybrid!BC34</f>
        <v>505.49524220000001</v>
      </c>
      <c r="BE316" s="5">
        <f>[1]Hybrid!BD34</f>
        <v>532.84476059999997</v>
      </c>
      <c r="BF316" s="5">
        <f>[1]Hybrid!BE34</f>
        <v>562.15949209999997</v>
      </c>
    </row>
    <row r="317" spans="1:58" x14ac:dyDescent="0.35">
      <c r="B317" s="5" t="str">
        <f>[1]Hybrid!A36</f>
        <v>auto_cc_cele_2</v>
      </c>
      <c r="C317" s="5">
        <f>[1]Hybrid!B36</f>
        <v>9.4015406210000005</v>
      </c>
      <c r="D317" s="5">
        <f>[1]Hybrid!C36</f>
        <v>12.65816298</v>
      </c>
      <c r="E317" s="5">
        <f>[1]Hybrid!D36</f>
        <v>16.073128369999999</v>
      </c>
      <c r="F317" s="5">
        <f>[1]Hybrid!E36</f>
        <v>19.583128120000001</v>
      </c>
      <c r="G317" s="5">
        <f>[1]Hybrid!F36</f>
        <v>23.151368040000001</v>
      </c>
      <c r="H317" s="5">
        <f>[1]Hybrid!G36</f>
        <v>26.758059830000001</v>
      </c>
      <c r="I317" s="5">
        <f>[1]Hybrid!H36</f>
        <v>30.386065129999999</v>
      </c>
      <c r="J317" s="5">
        <f>[1]Hybrid!I36</f>
        <v>34.030305910000003</v>
      </c>
      <c r="K317" s="5">
        <f>[1]Hybrid!J36</f>
        <v>37.688475240000002</v>
      </c>
      <c r="L317" s="5">
        <f>[1]Hybrid!K36</f>
        <v>41.359712440000003</v>
      </c>
      <c r="M317" s="5">
        <f>[1]Hybrid!L36</f>
        <v>45.057027490000003</v>
      </c>
      <c r="N317" s="5">
        <f>[1]Hybrid!M36</f>
        <v>48.767188939999997</v>
      </c>
      <c r="O317" s="5">
        <f>[1]Hybrid!N36</f>
        <v>52.490322740000003</v>
      </c>
      <c r="P317" s="5">
        <f>[1]Hybrid!O36</f>
        <v>56.226818000000002</v>
      </c>
      <c r="Q317" s="5">
        <f>[1]Hybrid!P36</f>
        <v>59.977596769999998</v>
      </c>
      <c r="R317" s="5">
        <f>[1]Hybrid!Q36</f>
        <v>63.744199369999997</v>
      </c>
      <c r="S317" s="5">
        <f>[1]Hybrid!R36</f>
        <v>67.528397979999994</v>
      </c>
      <c r="T317" s="5">
        <f>[1]Hybrid!S36</f>
        <v>71.33283299</v>
      </c>
      <c r="U317" s="5">
        <f>[1]Hybrid!T36</f>
        <v>75.160921459999997</v>
      </c>
      <c r="V317" s="5">
        <f>[1]Hybrid!U36</f>
        <v>79.016815870000002</v>
      </c>
      <c r="W317" s="5">
        <f>[1]Hybrid!V36</f>
        <v>82.894144909999994</v>
      </c>
      <c r="X317" s="5">
        <f>[1]Hybrid!W36</f>
        <v>86.810143949999997</v>
      </c>
      <c r="Y317" s="5">
        <f>[1]Hybrid!X36</f>
        <v>90.771661140000006</v>
      </c>
      <c r="Z317" s="5">
        <f>[1]Hybrid!Y36</f>
        <v>94.786551680000002</v>
      </c>
      <c r="AA317" s="5">
        <f>[1]Hybrid!Z36</f>
        <v>98.863476919999997</v>
      </c>
      <c r="AB317" s="5">
        <f>[1]Hybrid!AA36</f>
        <v>102.9766616</v>
      </c>
      <c r="AC317" s="5">
        <f>[1]Hybrid!AB36</f>
        <v>107.1557131</v>
      </c>
      <c r="AD317" s="5">
        <f>[1]Hybrid!AC36</f>
        <v>111.41284109999999</v>
      </c>
      <c r="AE317" s="5">
        <f>[1]Hybrid!AD36</f>
        <v>115.762035</v>
      </c>
      <c r="AF317" s="5">
        <f>[1]Hybrid!AE36</f>
        <v>120.2186128</v>
      </c>
      <c r="AG317" s="5">
        <f>[1]Hybrid!AF36</f>
        <v>124.7989891</v>
      </c>
      <c r="AH317" s="5">
        <f>[1]Hybrid!AG36</f>
        <v>129.52068199999999</v>
      </c>
      <c r="AI317" s="5">
        <f>[1]Hybrid!AH36</f>
        <v>134.40210859999999</v>
      </c>
      <c r="AJ317" s="5">
        <f>[1]Hybrid!AI36</f>
        <v>139.46264049999999</v>
      </c>
      <c r="AK317" s="5">
        <f>[1]Hybrid!AJ36</f>
        <v>144.72269689999999</v>
      </c>
      <c r="AL317" s="5">
        <f>[1]Hybrid!AK36</f>
        <v>150.20384010000001</v>
      </c>
      <c r="AM317" s="5">
        <f>[1]Hybrid!AL36</f>
        <v>155.9190969</v>
      </c>
      <c r="AN317" s="5">
        <f>[1]Hybrid!AM36</f>
        <v>161.89288980000001</v>
      </c>
      <c r="AO317" s="5">
        <f>[1]Hybrid!AN36</f>
        <v>168.15090710000001</v>
      </c>
      <c r="AP317" s="5">
        <f>[1]Hybrid!AO36</f>
        <v>174.7206022</v>
      </c>
      <c r="AQ317" s="5">
        <f>[1]Hybrid!AP36</f>
        <v>181.63129660000001</v>
      </c>
      <c r="AR317" s="5">
        <f>[1]Hybrid!AQ36</f>
        <v>188.9143737</v>
      </c>
      <c r="AS317" s="5">
        <f>[1]Hybrid!AR36</f>
        <v>196.6029168</v>
      </c>
      <c r="AT317" s="5">
        <f>[1]Hybrid!AS36</f>
        <v>204.7317396</v>
      </c>
      <c r="AU317" s="5">
        <f>[1]Hybrid!AT36</f>
        <v>213.33748199999999</v>
      </c>
      <c r="AV317" s="5">
        <f>[1]Hybrid!AU36</f>
        <v>222.4587046</v>
      </c>
      <c r="AW317" s="5">
        <f>[1]Hybrid!AV36</f>
        <v>232.1382601</v>
      </c>
      <c r="AX317" s="5">
        <f>[1]Hybrid!AW36</f>
        <v>242.41935140000001</v>
      </c>
      <c r="AY317" s="5">
        <f>[1]Hybrid!AX36</f>
        <v>253.34703579999999</v>
      </c>
      <c r="AZ317" s="5">
        <f>[1]Hybrid!AY36</f>
        <v>264.96854250000001</v>
      </c>
      <c r="BA317" s="5">
        <f>[1]Hybrid!AZ36</f>
        <v>277.33346360000002</v>
      </c>
      <c r="BB317" s="5">
        <f>[1]Hybrid!BA36</f>
        <v>290.49454600000001</v>
      </c>
      <c r="BC317" s="5">
        <f>[1]Hybrid!BB36</f>
        <v>304.50675630000001</v>
      </c>
      <c r="BD317" s="5">
        <f>[1]Hybrid!BC36</f>
        <v>319.42738359999998</v>
      </c>
      <c r="BE317" s="5">
        <f>[1]Hybrid!BD36</f>
        <v>335.31625600000001</v>
      </c>
      <c r="BF317" s="5">
        <f>[1]Hybrid!BE36</f>
        <v>352.23581410000003</v>
      </c>
    </row>
    <row r="318" spans="1:58" x14ac:dyDescent="0.35">
      <c r="B318" s="5" t="str">
        <f>[1]Hybrid!A38</f>
        <v>auto_cd_cele_2</v>
      </c>
      <c r="C318" s="5">
        <f>[1]Hybrid!B38</f>
        <v>5.770071272</v>
      </c>
      <c r="D318" s="5">
        <f>[1]Hybrid!C38</f>
        <v>7.5418446289999999</v>
      </c>
      <c r="E318" s="5">
        <f>[1]Hybrid!D38</f>
        <v>9.3831606260000004</v>
      </c>
      <c r="F318" s="5">
        <f>[1]Hybrid!E38</f>
        <v>11.2517532</v>
      </c>
      <c r="G318" s="5">
        <f>[1]Hybrid!F38</f>
        <v>13.121226890000001</v>
      </c>
      <c r="H318" s="5">
        <f>[1]Hybrid!G38</f>
        <v>14.975629850000001</v>
      </c>
      <c r="I318" s="5">
        <f>[1]Hybrid!H38</f>
        <v>16.801639959999999</v>
      </c>
      <c r="J318" s="5">
        <f>[1]Hybrid!I38</f>
        <v>18.593216429999998</v>
      </c>
      <c r="K318" s="5">
        <f>[1]Hybrid!J38</f>
        <v>20.346411069999998</v>
      </c>
      <c r="L318" s="5">
        <f>[1]Hybrid!K38</f>
        <v>22.05848177</v>
      </c>
      <c r="M318" s="5">
        <f>[1]Hybrid!L38</f>
        <v>23.733629879999999</v>
      </c>
      <c r="N318" s="5">
        <f>[1]Hybrid!M38</f>
        <v>25.363643209999999</v>
      </c>
      <c r="O318" s="5">
        <f>[1]Hybrid!N38</f>
        <v>26.94703887</v>
      </c>
      <c r="P318" s="5">
        <f>[1]Hybrid!O38</f>
        <v>28.48260183</v>
      </c>
      <c r="Q318" s="5">
        <f>[1]Hybrid!P38</f>
        <v>29.969445799999999</v>
      </c>
      <c r="R318" s="5">
        <f>[1]Hybrid!Q38</f>
        <v>31.406999580000001</v>
      </c>
      <c r="S318" s="5">
        <f>[1]Hybrid!R38</f>
        <v>32.794807830000003</v>
      </c>
      <c r="T318" s="5">
        <f>[1]Hybrid!S38</f>
        <v>34.132769539999998</v>
      </c>
      <c r="U318" s="5">
        <f>[1]Hybrid!T38</f>
        <v>35.421057009999998</v>
      </c>
      <c r="V318" s="5">
        <f>[1]Hybrid!U38</f>
        <v>36.660062750000002</v>
      </c>
      <c r="W318" s="5">
        <f>[1]Hybrid!V38</f>
        <v>37.846151020000001</v>
      </c>
      <c r="X318" s="5">
        <f>[1]Hybrid!W38</f>
        <v>38.984574799999997</v>
      </c>
      <c r="Y318" s="5">
        <f>[1]Hybrid!X38</f>
        <v>40.076381699999999</v>
      </c>
      <c r="Z318" s="5">
        <f>[1]Hybrid!Y38</f>
        <v>41.122803300000001</v>
      </c>
      <c r="AA318" s="5">
        <f>[1]Hybrid!Z38</f>
        <v>42.1251678</v>
      </c>
      <c r="AB318" s="5">
        <f>[1]Hybrid!AA38</f>
        <v>43.073458049999999</v>
      </c>
      <c r="AC318" s="5">
        <f>[1]Hybrid!AB38</f>
        <v>43.976078430000001</v>
      </c>
      <c r="AD318" s="5">
        <f>[1]Hybrid!AC38</f>
        <v>44.835288310000003</v>
      </c>
      <c r="AE318" s="5">
        <f>[1]Hybrid!AD38</f>
        <v>45.653597570000002</v>
      </c>
      <c r="AF318" s="5">
        <f>[1]Hybrid!AE38</f>
        <v>46.43359555</v>
      </c>
      <c r="AG318" s="5">
        <f>[1]Hybrid!AF38</f>
        <v>47.177864079999999</v>
      </c>
      <c r="AH318" s="5">
        <f>[1]Hybrid!AG38</f>
        <v>47.88896458</v>
      </c>
      <c r="AI318" s="5">
        <f>[1]Hybrid!AH38</f>
        <v>48.569369780000002</v>
      </c>
      <c r="AJ318" s="5">
        <f>[1]Hybrid!AI38</f>
        <v>49.221470250000003</v>
      </c>
      <c r="AK318" s="5">
        <f>[1]Hybrid!AJ38</f>
        <v>49.847589020000001</v>
      </c>
      <c r="AL318" s="5">
        <f>[1]Hybrid!AK38</f>
        <v>50.44999413</v>
      </c>
      <c r="AM318" s="5">
        <f>[1]Hybrid!AL38</f>
        <v>51.028760499999997</v>
      </c>
      <c r="AN318" s="5">
        <f>[1]Hybrid!AM38</f>
        <v>51.586340010000001</v>
      </c>
      <c r="AO318" s="5">
        <f>[1]Hybrid!AN38</f>
        <v>52.125102920000003</v>
      </c>
      <c r="AP318" s="5">
        <f>[1]Hybrid!AO38</f>
        <v>52.647420570000001</v>
      </c>
      <c r="AQ318" s="5">
        <f>[1]Hybrid!AP38</f>
        <v>53.155662509999999</v>
      </c>
      <c r="AR318" s="5">
        <f>[1]Hybrid!AQ38</f>
        <v>53.652210459999999</v>
      </c>
      <c r="AS318" s="5">
        <f>[1]Hybrid!AR38</f>
        <v>54.139371070000003</v>
      </c>
      <c r="AT318" s="5">
        <f>[1]Hybrid!AS38</f>
        <v>54.619367529999998</v>
      </c>
      <c r="AU318" s="5">
        <f>[1]Hybrid!AT38</f>
        <v>55.094344640000003</v>
      </c>
      <c r="AV318" s="5">
        <f>[1]Hybrid!AU38</f>
        <v>55.566373110000001</v>
      </c>
      <c r="AW318" s="5">
        <f>[1]Hybrid!AV38</f>
        <v>56.037782710000002</v>
      </c>
      <c r="AX318" s="5">
        <f>[1]Hybrid!AW38</f>
        <v>56.510546580000003</v>
      </c>
      <c r="AY318" s="5">
        <f>[1]Hybrid!AX38</f>
        <v>56.986509169999998</v>
      </c>
      <c r="AZ318" s="5">
        <f>[1]Hybrid!AY38</f>
        <v>57.467427919999999</v>
      </c>
      <c r="BA318" s="5">
        <f>[1]Hybrid!AZ38</f>
        <v>57.95499418</v>
      </c>
      <c r="BB318" s="5">
        <f>[1]Hybrid!BA38</f>
        <v>58.450921389999998</v>
      </c>
      <c r="BC318" s="5">
        <f>[1]Hybrid!BB38</f>
        <v>58.95681956</v>
      </c>
      <c r="BD318" s="5">
        <f>[1]Hybrid!BC38</f>
        <v>59.474198280000003</v>
      </c>
      <c r="BE318" s="5">
        <f>[1]Hybrid!BD38</f>
        <v>60.00448729</v>
      </c>
      <c r="BF318" s="5">
        <f>[1]Hybrid!BE38</f>
        <v>60.549041950000003</v>
      </c>
    </row>
    <row r="319" spans="1:58" x14ac:dyDescent="0.35">
      <c r="B319" s="5" t="str">
        <f>[1]Hybrid!A40</f>
        <v>auto_ce_cele_2</v>
      </c>
      <c r="C319" s="5">
        <f>[1]Hybrid!B40</f>
        <v>3.4730440960000002</v>
      </c>
      <c r="D319" s="5">
        <f>[1]Hybrid!C40</f>
        <v>4.5613534329999998</v>
      </c>
      <c r="E319" s="5">
        <f>[1]Hybrid!D40</f>
        <v>5.6847459750000002</v>
      </c>
      <c r="F319" s="5">
        <f>[1]Hybrid!E40</f>
        <v>6.8154630210000002</v>
      </c>
      <c r="G319" s="5">
        <f>[1]Hybrid!F40</f>
        <v>7.936146108</v>
      </c>
      <c r="H319" s="5">
        <f>[1]Hybrid!G40</f>
        <v>9.0362301869999992</v>
      </c>
      <c r="I319" s="5">
        <f>[1]Hybrid!H40</f>
        <v>10.10710523</v>
      </c>
      <c r="J319" s="5">
        <f>[1]Hybrid!I40</f>
        <v>11.14477162</v>
      </c>
      <c r="K319" s="5">
        <f>[1]Hybrid!J40</f>
        <v>12.14665055</v>
      </c>
      <c r="L319" s="5">
        <f>[1]Hybrid!K40</f>
        <v>13.111003070000001</v>
      </c>
      <c r="M319" s="5">
        <f>[1]Hybrid!L40</f>
        <v>14.040128320000001</v>
      </c>
      <c r="N319" s="5">
        <f>[1]Hybrid!M40</f>
        <v>14.92931842</v>
      </c>
      <c r="O319" s="5">
        <f>[1]Hybrid!N40</f>
        <v>15.77781796</v>
      </c>
      <c r="P319" s="5">
        <f>[1]Hybrid!O40</f>
        <v>16.585105179999999</v>
      </c>
      <c r="Q319" s="5">
        <f>[1]Hybrid!P40</f>
        <v>17.350914060000001</v>
      </c>
      <c r="R319" s="5">
        <f>[1]Hybrid!Q40</f>
        <v>18.075215780000001</v>
      </c>
      <c r="S319" s="5">
        <f>[1]Hybrid!R40</f>
        <v>18.758105109999999</v>
      </c>
      <c r="T319" s="5">
        <f>[1]Hybrid!S40</f>
        <v>19.399921519999999</v>
      </c>
      <c r="U319" s="5">
        <f>[1]Hybrid!T40</f>
        <v>20.001195460000002</v>
      </c>
      <c r="V319" s="5">
        <f>[1]Hybrid!U40</f>
        <v>20.562609739999999</v>
      </c>
      <c r="W319" s="5">
        <f>[1]Hybrid!V40</f>
        <v>21.08285137</v>
      </c>
      <c r="X319" s="5">
        <f>[1]Hybrid!W40</f>
        <v>21.565156290000001</v>
      </c>
      <c r="Y319" s="5">
        <f>[1]Hybrid!X40</f>
        <v>22.010605829999999</v>
      </c>
      <c r="Z319" s="5">
        <f>[1]Hybrid!Y40</f>
        <v>22.420370040000002</v>
      </c>
      <c r="AA319" s="5">
        <f>[1]Hybrid!Z40</f>
        <v>22.795660789999999</v>
      </c>
      <c r="AB319" s="5">
        <f>[1]Hybrid!AA40</f>
        <v>23.132338050000001</v>
      </c>
      <c r="AC319" s="5">
        <f>[1]Hybrid!AB40</f>
        <v>23.435107779999999</v>
      </c>
      <c r="AD319" s="5">
        <f>[1]Hybrid!AC40</f>
        <v>23.705687780000002</v>
      </c>
      <c r="AE319" s="5">
        <f>[1]Hybrid!AD40</f>
        <v>23.945865600000001</v>
      </c>
      <c r="AF319" s="5">
        <f>[1]Hybrid!AE40</f>
        <v>24.157414190000001</v>
      </c>
      <c r="AG319" s="5">
        <f>[1]Hybrid!AF40</f>
        <v>24.342051730000001</v>
      </c>
      <c r="AH319" s="5">
        <f>[1]Hybrid!AG40</f>
        <v>24.501435829999998</v>
      </c>
      <c r="AI319" s="5">
        <f>[1]Hybrid!AH40</f>
        <v>24.63713383</v>
      </c>
      <c r="AJ319" s="5">
        <f>[1]Hybrid!AI40</f>
        <v>24.75062655</v>
      </c>
      <c r="AK319" s="5">
        <f>[1]Hybrid!AJ40</f>
        <v>24.843315799999999</v>
      </c>
      <c r="AL319" s="5">
        <f>[1]Hybrid!AK40</f>
        <v>24.916530940000001</v>
      </c>
      <c r="AM319" s="5">
        <f>[1]Hybrid!AL40</f>
        <v>24.970672019999999</v>
      </c>
      <c r="AN319" s="5">
        <f>[1]Hybrid!AM40</f>
        <v>25.007086300000001</v>
      </c>
      <c r="AO319" s="5">
        <f>[1]Hybrid!AN40</f>
        <v>25.027036079999998</v>
      </c>
      <c r="AP319" s="5">
        <f>[1]Hybrid!AO40</f>
        <v>25.031730230000001</v>
      </c>
      <c r="AQ319" s="5">
        <f>[1]Hybrid!AP40</f>
        <v>25.022323480000001</v>
      </c>
      <c r="AR319" s="5">
        <f>[1]Hybrid!AQ40</f>
        <v>24.999922689999998</v>
      </c>
      <c r="AS319" s="5">
        <f>[1]Hybrid!AR40</f>
        <v>24.96555515</v>
      </c>
      <c r="AT319" s="5">
        <f>[1]Hybrid!AS40</f>
        <v>24.92016697</v>
      </c>
      <c r="AU319" s="5">
        <f>[1]Hybrid!AT40</f>
        <v>24.864627070000001</v>
      </c>
      <c r="AV319" s="5">
        <f>[1]Hybrid!AU40</f>
        <v>24.799730879999998</v>
      </c>
      <c r="AW319" s="5">
        <f>[1]Hybrid!AV40</f>
        <v>24.726315960000001</v>
      </c>
      <c r="AX319" s="5">
        <f>[1]Hybrid!AW40</f>
        <v>24.645049199999999</v>
      </c>
      <c r="AY319" s="5">
        <f>[1]Hybrid!AX40</f>
        <v>24.556508820000001</v>
      </c>
      <c r="AZ319" s="5">
        <f>[1]Hybrid!AY40</f>
        <v>24.461202419999999</v>
      </c>
      <c r="BA319" s="5">
        <f>[1]Hybrid!AZ40</f>
        <v>24.359578020000001</v>
      </c>
      <c r="BB319" s="5">
        <f>[1]Hybrid!BA40</f>
        <v>24.252055240000001</v>
      </c>
      <c r="BC319" s="5">
        <f>[1]Hybrid!BB40</f>
        <v>24.138988149999999</v>
      </c>
      <c r="BD319" s="5">
        <f>[1]Hybrid!BC40</f>
        <v>24.020667889999999</v>
      </c>
      <c r="BE319" s="5">
        <f>[1]Hybrid!BD40</f>
        <v>23.89733245</v>
      </c>
      <c r="BF319" s="5">
        <f>[1]Hybrid!BE40</f>
        <v>23.769172080000001</v>
      </c>
    </row>
    <row r="320" spans="1:58" x14ac:dyDescent="0.35">
      <c r="B320" s="5" t="str">
        <f>[1]Hybrid!A42</f>
        <v>auto_cf_cele_2</v>
      </c>
      <c r="C320" s="5">
        <f>[1]Hybrid!B42</f>
        <v>1.7251505170000001</v>
      </c>
      <c r="D320" s="5">
        <f>[1]Hybrid!C42</f>
        <v>2.2412221990000001</v>
      </c>
      <c r="E320" s="5">
        <f>[1]Hybrid!D42</f>
        <v>2.7606881080000001</v>
      </c>
      <c r="F320" s="5">
        <f>[1]Hybrid!E42</f>
        <v>3.266971619</v>
      </c>
      <c r="G320" s="5">
        <f>[1]Hybrid!F42</f>
        <v>3.749890492</v>
      </c>
      <c r="H320" s="5">
        <f>[1]Hybrid!G42</f>
        <v>4.2034756880000002</v>
      </c>
      <c r="I320" s="5">
        <f>[1]Hybrid!H42</f>
        <v>4.6235422870000003</v>
      </c>
      <c r="J320" s="5">
        <f>[1]Hybrid!I42</f>
        <v>5.0085438509999998</v>
      </c>
      <c r="K320" s="5">
        <f>[1]Hybrid!J42</f>
        <v>5.3579779439999999</v>
      </c>
      <c r="L320" s="5">
        <f>[1]Hybrid!K42</f>
        <v>5.6719979739999999</v>
      </c>
      <c r="M320" s="5">
        <f>[1]Hybrid!L42</f>
        <v>5.9523907989999998</v>
      </c>
      <c r="N320" s="5">
        <f>[1]Hybrid!M42</f>
        <v>6.1986228619999997</v>
      </c>
      <c r="O320" s="5">
        <f>[1]Hybrid!N42</f>
        <v>6.4117441680000002</v>
      </c>
      <c r="P320" s="5">
        <f>[1]Hybrid!O42</f>
        <v>6.5929904119999998</v>
      </c>
      <c r="Q320" s="5">
        <f>[1]Hybrid!P42</f>
        <v>6.743750704</v>
      </c>
      <c r="R320" s="5">
        <f>[1]Hybrid!Q42</f>
        <v>6.8655294290000004</v>
      </c>
      <c r="S320" s="5">
        <f>[1]Hybrid!R42</f>
        <v>6.9598912259999999</v>
      </c>
      <c r="T320" s="5">
        <f>[1]Hybrid!S42</f>
        <v>7.0284730460000002</v>
      </c>
      <c r="U320" s="5">
        <f>[1]Hybrid!T42</f>
        <v>7.0729480330000003</v>
      </c>
      <c r="V320" s="5">
        <f>[1]Hybrid!U42</f>
        <v>7.0949976919999997</v>
      </c>
      <c r="W320" s="5">
        <f>[1]Hybrid!V42</f>
        <v>7.0958502540000001</v>
      </c>
      <c r="X320" s="5">
        <f>[1]Hybrid!W42</f>
        <v>7.0776697730000002</v>
      </c>
      <c r="Y320" s="5">
        <f>[1]Hybrid!X42</f>
        <v>7.0420679310000001</v>
      </c>
      <c r="Z320" s="5">
        <f>[1]Hybrid!Y42</f>
        <v>6.9906027130000004</v>
      </c>
      <c r="AA320" s="5">
        <f>[1]Hybrid!Z42</f>
        <v>6.9247680809999999</v>
      </c>
      <c r="AB320" s="5">
        <f>[1]Hybrid!AA42</f>
        <v>6.8451582030000004</v>
      </c>
      <c r="AC320" s="5">
        <f>[1]Hybrid!AB42</f>
        <v>6.7537702150000003</v>
      </c>
      <c r="AD320" s="5">
        <f>[1]Hybrid!AC42</f>
        <v>6.6520036950000003</v>
      </c>
      <c r="AE320" s="5">
        <f>[1]Hybrid!AD42</f>
        <v>6.5411724979999999</v>
      </c>
      <c r="AF320" s="5">
        <f>[1]Hybrid!AE42</f>
        <v>6.4224964350000002</v>
      </c>
      <c r="AG320" s="5">
        <f>[1]Hybrid!AF42</f>
        <v>6.2971019779999997</v>
      </c>
      <c r="AH320" s="5">
        <f>[1]Hybrid!AG42</f>
        <v>6.1660275650000003</v>
      </c>
      <c r="AI320" s="5">
        <f>[1]Hybrid!AH42</f>
        <v>6.0302261399999999</v>
      </c>
      <c r="AJ320" s="5">
        <f>[1]Hybrid!AI42</f>
        <v>5.8905713110000004</v>
      </c>
      <c r="AK320" s="5">
        <f>[1]Hybrid!AJ42</f>
        <v>5.7478634470000003</v>
      </c>
      <c r="AL320" s="5">
        <f>[1]Hybrid!AK42</f>
        <v>5.6028351240000003</v>
      </c>
      <c r="AM320" s="5">
        <f>[1]Hybrid!AL42</f>
        <v>5.4560940899999997</v>
      </c>
      <c r="AN320" s="5">
        <f>[1]Hybrid!AM42</f>
        <v>5.3082739549999998</v>
      </c>
      <c r="AO320" s="5">
        <f>[1]Hybrid!AN42</f>
        <v>5.1599479810000002</v>
      </c>
      <c r="AP320" s="5">
        <f>[1]Hybrid!AO42</f>
        <v>5.0116346749999998</v>
      </c>
      <c r="AQ320" s="5">
        <f>[1]Hybrid!AP42</f>
        <v>4.863801306</v>
      </c>
      <c r="AR320" s="5">
        <f>[1]Hybrid!AQ42</f>
        <v>4.7168676759999997</v>
      </c>
      <c r="AS320" s="5">
        <f>[1]Hybrid!AR42</f>
        <v>4.5712077799999999</v>
      </c>
      <c r="AT320" s="5">
        <f>[1]Hybrid!AS42</f>
        <v>4.4271529899999997</v>
      </c>
      <c r="AU320" s="5">
        <f>[1]Hybrid!AT42</f>
        <v>4.2849953689999998</v>
      </c>
      <c r="AV320" s="5">
        <f>[1]Hybrid!AU42</f>
        <v>4.1449907189999999</v>
      </c>
      <c r="AW320" s="5">
        <f>[1]Hybrid!AV42</f>
        <v>4.007364806</v>
      </c>
      <c r="AX320" s="5">
        <f>[1]Hybrid!AW42</f>
        <v>3.8723086389999999</v>
      </c>
      <c r="AY320" s="5">
        <f>[1]Hybrid!AX42</f>
        <v>3.7399839519999998</v>
      </c>
      <c r="AZ320" s="5">
        <f>[1]Hybrid!AY42</f>
        <v>3.6105261909999999</v>
      </c>
      <c r="BA320" s="5">
        <f>[1]Hybrid!AZ42</f>
        <v>3.4840470020000001</v>
      </c>
      <c r="BB320" s="5">
        <f>[1]Hybrid!BA42</f>
        <v>3.3606368180000001</v>
      </c>
      <c r="BC320" s="5">
        <f>[1]Hybrid!BB42</f>
        <v>3.2403658219999998</v>
      </c>
      <c r="BD320" s="5">
        <f>[1]Hybrid!BC42</f>
        <v>3.1232856739999999</v>
      </c>
      <c r="BE320" s="5">
        <f>[1]Hybrid!BD42</f>
        <v>3.0094313430000001</v>
      </c>
      <c r="BF320" s="5">
        <f>[1]Hybrid!BE42</f>
        <v>2.8988227389999999</v>
      </c>
    </row>
    <row r="321" spans="1:58" x14ac:dyDescent="0.35">
      <c r="B321" s="5" t="str">
        <f>[1]Hybrid!A44</f>
        <v>auto_cg_cele_2</v>
      </c>
      <c r="C321" s="5">
        <f>[1]Hybrid!B44</f>
        <v>3.1066862139999998</v>
      </c>
      <c r="D321" s="5">
        <f>[1]Hybrid!C44</f>
        <v>4.0675977149999998</v>
      </c>
      <c r="E321" s="5">
        <f>[1]Hybrid!D44</f>
        <v>5.0142082889999999</v>
      </c>
      <c r="F321" s="5">
        <f>[1]Hybrid!E44</f>
        <v>5.9121665879999998</v>
      </c>
      <c r="G321" s="5">
        <f>[1]Hybrid!F44</f>
        <v>6.7416027290000002</v>
      </c>
      <c r="H321" s="5">
        <f>[1]Hybrid!G44</f>
        <v>7.4921236709999999</v>
      </c>
      <c r="I321" s="5">
        <f>[1]Hybrid!H44</f>
        <v>8.1579212470000009</v>
      </c>
      <c r="J321" s="5">
        <f>[1]Hybrid!I44</f>
        <v>8.7386462310000006</v>
      </c>
      <c r="K321" s="5">
        <f>[1]Hybrid!J44</f>
        <v>9.2362668330000002</v>
      </c>
      <c r="L321" s="5">
        <f>[1]Hybrid!K44</f>
        <v>9.6541431610000004</v>
      </c>
      <c r="M321" s="5">
        <f>[1]Hybrid!L44</f>
        <v>9.9981770979999993</v>
      </c>
      <c r="N321" s="5">
        <f>[1]Hybrid!M44</f>
        <v>10.270949509999999</v>
      </c>
      <c r="O321" s="5">
        <f>[1]Hybrid!N44</f>
        <v>10.477388120000001</v>
      </c>
      <c r="P321" s="5">
        <f>[1]Hybrid!O44</f>
        <v>10.622605910000001</v>
      </c>
      <c r="Q321" s="5">
        <f>[1]Hybrid!P44</f>
        <v>10.711789230000001</v>
      </c>
      <c r="R321" s="5">
        <f>[1]Hybrid!Q44</f>
        <v>10.750096750000001</v>
      </c>
      <c r="S321" s="5">
        <f>[1]Hybrid!R44</f>
        <v>10.742557290000001</v>
      </c>
      <c r="T321" s="5">
        <f>[1]Hybrid!S44</f>
        <v>10.69405764</v>
      </c>
      <c r="U321" s="5">
        <f>[1]Hybrid!T44</f>
        <v>10.60927983</v>
      </c>
      <c r="V321" s="5">
        <f>[1]Hybrid!U44</f>
        <v>10.492658029999999</v>
      </c>
      <c r="W321" s="5">
        <f>[1]Hybrid!V44</f>
        <v>10.34793283</v>
      </c>
      <c r="X321" s="5">
        <f>[1]Hybrid!W44</f>
        <v>10.179501610000001</v>
      </c>
      <c r="Y321" s="5">
        <f>[1]Hybrid!X44</f>
        <v>9.9909436760000006</v>
      </c>
      <c r="Z321" s="5">
        <f>[1]Hybrid!Y44</f>
        <v>9.7855367540000007</v>
      </c>
      <c r="AA321" s="5">
        <f>[1]Hybrid!Z44</f>
        <v>9.5662633590000006</v>
      </c>
      <c r="AB321" s="5">
        <f>[1]Hybrid!AA44</f>
        <v>9.3351956880000007</v>
      </c>
      <c r="AC321" s="5">
        <f>[1]Hybrid!AB44</f>
        <v>9.0953098430000008</v>
      </c>
      <c r="AD321" s="5">
        <f>[1]Hybrid!AC44</f>
        <v>8.8488873189999993</v>
      </c>
      <c r="AE321" s="5">
        <f>[1]Hybrid!AD44</f>
        <v>8.5979456509999999</v>
      </c>
      <c r="AF321" s="5">
        <f>[1]Hybrid!AE44</f>
        <v>8.3442535749999998</v>
      </c>
      <c r="AG321" s="5">
        <f>[1]Hybrid!AF44</f>
        <v>8.0893524960000001</v>
      </c>
      <c r="AH321" s="5">
        <f>[1]Hybrid!AG44</f>
        <v>7.8345792860000003</v>
      </c>
      <c r="AI321" s="5">
        <f>[1]Hybrid!AH44</f>
        <v>7.5810856910000002</v>
      </c>
      <c r="AJ321" s="5">
        <f>[1]Hybrid!AI44</f>
        <v>7.3298581939999998</v>
      </c>
      <c r="AK321" s="5">
        <f>[1]Hybrid!AJ44</f>
        <v>7.0817361620000003</v>
      </c>
      <c r="AL321" s="5">
        <f>[1]Hybrid!AK44</f>
        <v>6.8374280619999999</v>
      </c>
      <c r="AM321" s="5">
        <f>[1]Hybrid!AL44</f>
        <v>6.5974996350000001</v>
      </c>
      <c r="AN321" s="5">
        <f>[1]Hybrid!AM44</f>
        <v>6.3624526469999996</v>
      </c>
      <c r="AO321" s="5">
        <f>[1]Hybrid!AN44</f>
        <v>6.1326927979999999</v>
      </c>
      <c r="AP321" s="5">
        <f>[1]Hybrid!AO44</f>
        <v>5.9085414949999997</v>
      </c>
      <c r="AQ321" s="5">
        <f>[1]Hybrid!AP44</f>
        <v>5.6902459240000001</v>
      </c>
      <c r="AR321" s="5">
        <f>[1]Hybrid!AQ44</f>
        <v>5.477988324</v>
      </c>
      <c r="AS321" s="5">
        <f>[1]Hybrid!AR44</f>
        <v>5.2718937080000003</v>
      </c>
      <c r="AT321" s="5">
        <f>[1]Hybrid!AS44</f>
        <v>5.0720373629999997</v>
      </c>
      <c r="AU321" s="5">
        <f>[1]Hybrid!AT44</f>
        <v>4.8784516839999998</v>
      </c>
      <c r="AV321" s="5">
        <f>[1]Hybrid!AU44</f>
        <v>4.6911322469999996</v>
      </c>
      <c r="AW321" s="5">
        <f>[1]Hybrid!AV44</f>
        <v>4.5100440160000002</v>
      </c>
      <c r="AX321" s="5">
        <f>[1]Hybrid!AW44</f>
        <v>4.3351243339999996</v>
      </c>
      <c r="AY321" s="5">
        <f>[1]Hybrid!AX44</f>
        <v>4.1662880370000002</v>
      </c>
      <c r="AZ321" s="5">
        <f>[1]Hybrid!AY44</f>
        <v>4.0034314440000003</v>
      </c>
      <c r="BA321" s="5">
        <f>[1]Hybrid!AZ44</f>
        <v>3.8464357819999999</v>
      </c>
      <c r="BB321" s="5">
        <f>[1]Hybrid!BA44</f>
        <v>3.6951702320000002</v>
      </c>
      <c r="BC321" s="5">
        <f>[1]Hybrid!BB44</f>
        <v>3.549494325</v>
      </c>
      <c r="BD321" s="5">
        <f>[1]Hybrid!BC44</f>
        <v>3.4092602049999998</v>
      </c>
      <c r="BE321" s="5">
        <f>[1]Hybrid!BD44</f>
        <v>3.2743146200000002</v>
      </c>
      <c r="BF321" s="5">
        <f>[1]Hybrid!BE44</f>
        <v>3.1445006489999998</v>
      </c>
    </row>
    <row r="322" spans="1:58" x14ac:dyDescent="0.35">
      <c r="B322" s="5" t="str">
        <f>[1]Hybrid!A46</f>
        <v>auto_ca_cgas_2</v>
      </c>
      <c r="C322" s="5">
        <f>[1]Hybrid!B46</f>
        <v>0.42568169729999999</v>
      </c>
      <c r="D322" s="5">
        <f>[1]Hybrid!C46</f>
        <v>0.44879940550000003</v>
      </c>
      <c r="E322" s="5">
        <f>[1]Hybrid!D46</f>
        <v>0.47440688310000001</v>
      </c>
      <c r="F322" s="5">
        <f>[1]Hybrid!E46</f>
        <v>0.50148526049999997</v>
      </c>
      <c r="G322" s="5">
        <f>[1]Hybrid!F46</f>
        <v>0.52939701139999995</v>
      </c>
      <c r="H322" s="5">
        <f>[1]Hybrid!G46</f>
        <v>0.55776228809999995</v>
      </c>
      <c r="I322" s="5">
        <f>[1]Hybrid!H46</f>
        <v>0.58626244049999998</v>
      </c>
      <c r="J322" s="5">
        <f>[1]Hybrid!I46</f>
        <v>0.61476442980000001</v>
      </c>
      <c r="K322" s="5">
        <f>[1]Hybrid!J46</f>
        <v>0.6431869241</v>
      </c>
      <c r="L322" s="5">
        <f>[1]Hybrid!K46</f>
        <v>0.67147822319999995</v>
      </c>
      <c r="M322" s="5">
        <f>[1]Hybrid!L46</f>
        <v>0.69977618939999997</v>
      </c>
      <c r="N322" s="5">
        <f>[1]Hybrid!M46</f>
        <v>0.72787431390000001</v>
      </c>
      <c r="O322" s="5">
        <f>[1]Hybrid!N46</f>
        <v>0.7557494146</v>
      </c>
      <c r="P322" s="5">
        <f>[1]Hybrid!O46</f>
        <v>0.78338168470000002</v>
      </c>
      <c r="Q322" s="5">
        <f>[1]Hybrid!P46</f>
        <v>0.81075635980000005</v>
      </c>
      <c r="R322" s="5">
        <f>[1]Hybrid!Q46</f>
        <v>0.83786331989999996</v>
      </c>
      <c r="S322" s="5">
        <f>[1]Hybrid!R46</f>
        <v>0.86469097289999997</v>
      </c>
      <c r="T322" s="5">
        <f>[1]Hybrid!S46</f>
        <v>0.89123326089999999</v>
      </c>
      <c r="U322" s="5">
        <f>[1]Hybrid!T46</f>
        <v>0.91748733660000004</v>
      </c>
      <c r="V322" s="5">
        <f>[1]Hybrid!U46</f>
        <v>0.94345224360000002</v>
      </c>
      <c r="W322" s="5">
        <f>[1]Hybrid!V46</f>
        <v>0.96899276970000003</v>
      </c>
      <c r="X322" s="5">
        <f>[1]Hybrid!W46</f>
        <v>0.99425305860000002</v>
      </c>
      <c r="Y322" s="5">
        <f>[1]Hybrid!X46</f>
        <v>1.0192389390000001</v>
      </c>
      <c r="Z322" s="5">
        <f>[1]Hybrid!Y46</f>
        <v>1.0439593519999999</v>
      </c>
      <c r="AA322" s="5">
        <f>[1]Hybrid!Z46</f>
        <v>1.0684235740000001</v>
      </c>
      <c r="AB322" s="5">
        <f>[1]Hybrid!AA46</f>
        <v>1.0922438910000001</v>
      </c>
      <c r="AC322" s="5">
        <f>[1]Hybrid!AB46</f>
        <v>1.1156610389999999</v>
      </c>
      <c r="AD322" s="5">
        <f>[1]Hybrid!AC46</f>
        <v>1.138700204</v>
      </c>
      <c r="AE322" s="5">
        <f>[1]Hybrid!AD46</f>
        <v>1.161394542</v>
      </c>
      <c r="AF322" s="5">
        <f>[1]Hybrid!AE46</f>
        <v>1.183779557</v>
      </c>
      <c r="AG322" s="5">
        <f>[1]Hybrid!AF46</f>
        <v>1.2058900349999999</v>
      </c>
      <c r="AH322" s="5">
        <f>[1]Hybrid!AG46</f>
        <v>1.227759662</v>
      </c>
      <c r="AI322" s="5">
        <f>[1]Hybrid!AH46</f>
        <v>1.249418581</v>
      </c>
      <c r="AJ322" s="5">
        <f>[1]Hybrid!AI46</f>
        <v>1.2708938059999999</v>
      </c>
      <c r="AK322" s="5">
        <f>[1]Hybrid!AJ46</f>
        <v>1.292209843</v>
      </c>
      <c r="AL322" s="5">
        <f>[1]Hybrid!AK46</f>
        <v>1.3133891900000001</v>
      </c>
      <c r="AM322" s="5">
        <f>[1]Hybrid!AL46</f>
        <v>1.334366298</v>
      </c>
      <c r="AN322" s="5">
        <f>[1]Hybrid!AM46</f>
        <v>1.3551688120000001</v>
      </c>
      <c r="AO322" s="5">
        <f>[1]Hybrid!AN46</f>
        <v>1.3758211339999999</v>
      </c>
      <c r="AP322" s="5">
        <f>[1]Hybrid!AO46</f>
        <v>1.396348138</v>
      </c>
      <c r="AQ322" s="5">
        <f>[1]Hybrid!AP46</f>
        <v>1.4167749679999999</v>
      </c>
      <c r="AR322" s="5">
        <f>[1]Hybrid!AQ46</f>
        <v>1.43712737</v>
      </c>
      <c r="AS322" s="5">
        <f>[1]Hybrid!AR46</f>
        <v>1.45742788</v>
      </c>
      <c r="AT322" s="5">
        <f>[1]Hybrid!AS46</f>
        <v>1.4776955549999999</v>
      </c>
      <c r="AU322" s="5">
        <f>[1]Hybrid!AT46</f>
        <v>1.4979461789999999</v>
      </c>
      <c r="AV322" s="5">
        <f>[1]Hybrid!AU46</f>
        <v>1.5181924600000001</v>
      </c>
      <c r="AW322" s="5">
        <f>[1]Hybrid!AV46</f>
        <v>1.5384582950000001</v>
      </c>
      <c r="AX322" s="5">
        <f>[1]Hybrid!AW46</f>
        <v>1.5587523969999999</v>
      </c>
      <c r="AY322" s="5">
        <f>[1]Hybrid!AX46</f>
        <v>1.5790789359999999</v>
      </c>
      <c r="AZ322" s="5">
        <f>[1]Hybrid!AY46</f>
        <v>1.599439386</v>
      </c>
      <c r="BA322" s="5">
        <f>[1]Hybrid!AZ46</f>
        <v>1.619833278</v>
      </c>
      <c r="BB322" s="5">
        <f>[1]Hybrid!BA46</f>
        <v>1.6402617580000001</v>
      </c>
      <c r="BC322" s="5">
        <f>[1]Hybrid!BB46</f>
        <v>1.6607221139999999</v>
      </c>
      <c r="BD322" s="5">
        <f>[1]Hybrid!BC46</f>
        <v>1.681208603</v>
      </c>
      <c r="BE322" s="5">
        <f>[1]Hybrid!BD46</f>
        <v>1.701713571</v>
      </c>
      <c r="BF322" s="5">
        <f>[1]Hybrid!BE46</f>
        <v>1.7222277479999999</v>
      </c>
    </row>
    <row r="323" spans="1:58" x14ac:dyDescent="0.35">
      <c r="B323" s="5" t="str">
        <f>[1]Hybrid!A48</f>
        <v>auto_cb_cgas_2</v>
      </c>
      <c r="C323" s="5">
        <f>[1]Hybrid!B48</f>
        <v>0.49500522540000003</v>
      </c>
      <c r="D323" s="5">
        <f>[1]Hybrid!C48</f>
        <v>0.51175959689999995</v>
      </c>
      <c r="E323" s="5">
        <f>[1]Hybrid!D48</f>
        <v>0.5311675763</v>
      </c>
      <c r="F323" s="5">
        <f>[1]Hybrid!E48</f>
        <v>0.55221005940000001</v>
      </c>
      <c r="G323" s="5">
        <f>[1]Hybrid!F48</f>
        <v>0.5742408322</v>
      </c>
      <c r="H323" s="5">
        <f>[1]Hybrid!G48</f>
        <v>0.59686555299999999</v>
      </c>
      <c r="I323" s="5">
        <f>[1]Hybrid!H48</f>
        <v>0.6197530242</v>
      </c>
      <c r="J323" s="5">
        <f>[1]Hybrid!I48</f>
        <v>0.64275251040000003</v>
      </c>
      <c r="K323" s="5">
        <f>[1]Hybrid!J48</f>
        <v>0.66576515530000002</v>
      </c>
      <c r="L323" s="5">
        <f>[1]Hybrid!K48</f>
        <v>0.68872233039999997</v>
      </c>
      <c r="M323" s="5">
        <f>[1]Hybrid!L48</f>
        <v>0.71173520980000005</v>
      </c>
      <c r="N323" s="5">
        <f>[1]Hybrid!M48</f>
        <v>0.734592205</v>
      </c>
      <c r="O323" s="5">
        <f>[1]Hybrid!N48</f>
        <v>0.7572560009</v>
      </c>
      <c r="P323" s="5">
        <f>[1]Hybrid!O48</f>
        <v>0.77969375730000001</v>
      </c>
      <c r="Q323" s="5">
        <f>[1]Hybrid!P48</f>
        <v>0.80187849690000002</v>
      </c>
      <c r="R323" s="5">
        <f>[1]Hybrid!Q48</f>
        <v>0.82378859250000003</v>
      </c>
      <c r="S323" s="5">
        <f>[1]Hybrid!R48</f>
        <v>0.84540203130000002</v>
      </c>
      <c r="T323" s="5">
        <f>[1]Hybrid!S48</f>
        <v>0.86670283169999995</v>
      </c>
      <c r="U323" s="5">
        <f>[1]Hybrid!T48</f>
        <v>0.88767878600000005</v>
      </c>
      <c r="V323" s="5">
        <f>[1]Hybrid!U48</f>
        <v>0.9083201407</v>
      </c>
      <c r="W323" s="5">
        <f>[1]Hybrid!V48</f>
        <v>0.92849572260000002</v>
      </c>
      <c r="X323" s="5">
        <f>[1]Hybrid!W48</f>
        <v>0.94832973450000002</v>
      </c>
      <c r="Y323" s="5">
        <f>[1]Hybrid!X48</f>
        <v>0.96782030370000005</v>
      </c>
      <c r="Z323" s="5">
        <f>[1]Hybrid!Y48</f>
        <v>0.98696864809999996</v>
      </c>
      <c r="AA323" s="5">
        <f>[1]Hybrid!Z48</f>
        <v>1.0057765409999999</v>
      </c>
      <c r="AB323" s="5">
        <f>[1]Hybrid!AA48</f>
        <v>1.0238917439999999</v>
      </c>
      <c r="AC323" s="5">
        <f>[1]Hybrid!AB48</f>
        <v>1.0415263020000001</v>
      </c>
      <c r="AD323" s="5">
        <f>[1]Hybrid!AC48</f>
        <v>1.0586987999999999</v>
      </c>
      <c r="AE323" s="5">
        <f>[1]Hybrid!AD48</f>
        <v>1.075434671</v>
      </c>
      <c r="AF323" s="5">
        <f>[1]Hybrid!AE48</f>
        <v>1.091761124</v>
      </c>
      <c r="AG323" s="5">
        <f>[1]Hybrid!AF48</f>
        <v>1.107704418</v>
      </c>
      <c r="AH323" s="5">
        <f>[1]Hybrid!AG48</f>
        <v>1.1232895249999999</v>
      </c>
      <c r="AI323" s="5">
        <f>[1]Hybrid!AH48</f>
        <v>1.138538007</v>
      </c>
      <c r="AJ323" s="5">
        <f>[1]Hybrid!AI48</f>
        <v>1.153468384</v>
      </c>
      <c r="AK323" s="5">
        <f>[1]Hybrid!AJ48</f>
        <v>1.168096708</v>
      </c>
      <c r="AL323" s="5">
        <f>[1]Hybrid!AK48</f>
        <v>1.1824370099999999</v>
      </c>
      <c r="AM323" s="5">
        <f>[1]Hybrid!AL48</f>
        <v>1.196428104</v>
      </c>
      <c r="AN323" s="5">
        <f>[1]Hybrid!AM48</f>
        <v>1.210088872</v>
      </c>
      <c r="AO323" s="5">
        <f>[1]Hybrid!AN48</f>
        <v>1.2234351059999999</v>
      </c>
      <c r="AP323" s="5">
        <f>[1]Hybrid!AO48</f>
        <v>1.2364826330000001</v>
      </c>
      <c r="AQ323" s="5">
        <f>[1]Hybrid!AP48</f>
        <v>1.2492471249999999</v>
      </c>
      <c r="AR323" s="5">
        <f>[1]Hybrid!AQ48</f>
        <v>1.2617443930000001</v>
      </c>
      <c r="AS323" s="5">
        <f>[1]Hybrid!AR48</f>
        <v>1.2739872189999999</v>
      </c>
      <c r="AT323" s="5">
        <f>[1]Hybrid!AS48</f>
        <v>1.2859851680000001</v>
      </c>
      <c r="AU323" s="5">
        <f>[1]Hybrid!AT48</f>
        <v>1.297744808</v>
      </c>
      <c r="AV323" s="5">
        <f>[1]Hybrid!AU48</f>
        <v>1.3092699189999999</v>
      </c>
      <c r="AW323" s="5">
        <f>[1]Hybrid!AV48</f>
        <v>1.320573078</v>
      </c>
      <c r="AX323" s="5">
        <f>[1]Hybrid!AW48</f>
        <v>1.3316542170000001</v>
      </c>
      <c r="AY323" s="5">
        <f>[1]Hybrid!AX48</f>
        <v>1.3425093450000001</v>
      </c>
      <c r="AZ323" s="5">
        <f>[1]Hybrid!AY48</f>
        <v>1.3531321220000001</v>
      </c>
      <c r="BA323" s="5">
        <f>[1]Hybrid!AZ48</f>
        <v>1.3635145360000001</v>
      </c>
      <c r="BB323" s="5">
        <f>[1]Hybrid!BA48</f>
        <v>1.373649782</v>
      </c>
      <c r="BC323" s="5">
        <f>[1]Hybrid!BB48</f>
        <v>1.3835279680000001</v>
      </c>
      <c r="BD323" s="5">
        <f>[1]Hybrid!BC48</f>
        <v>1.393136782</v>
      </c>
      <c r="BE323" s="5">
        <f>[1]Hybrid!BD48</f>
        <v>1.402462407</v>
      </c>
      <c r="BF323" s="5">
        <f>[1]Hybrid!BE48</f>
        <v>1.411489819</v>
      </c>
    </row>
    <row r="324" spans="1:58" x14ac:dyDescent="0.35">
      <c r="B324" s="5" t="str">
        <f>[1]Hybrid!A50</f>
        <v>auto_cc_cgas_2</v>
      </c>
      <c r="C324" s="5">
        <f>[1]Hybrid!B50</f>
        <v>0.40659851759999999</v>
      </c>
      <c r="D324" s="5">
        <f>[1]Hybrid!C50</f>
        <v>0.41416773429999998</v>
      </c>
      <c r="E324" s="5">
        <f>[1]Hybrid!D50</f>
        <v>0.4237729086</v>
      </c>
      <c r="F324" s="5">
        <f>[1]Hybrid!E50</f>
        <v>0.4346797013</v>
      </c>
      <c r="G324" s="5">
        <f>[1]Hybrid!F50</f>
        <v>0.4464167402</v>
      </c>
      <c r="H324" s="5">
        <f>[1]Hybrid!G50</f>
        <v>0.45869023599999997</v>
      </c>
      <c r="I324" s="5">
        <f>[1]Hybrid!H50</f>
        <v>0.47125324159999998</v>
      </c>
      <c r="J324" s="5">
        <f>[1]Hybrid!I50</f>
        <v>0.48398538619999998</v>
      </c>
      <c r="K324" s="5">
        <f>[1]Hybrid!J50</f>
        <v>0.49680383849999998</v>
      </c>
      <c r="L324" s="5">
        <f>[1]Hybrid!K50</f>
        <v>0.50964800219999995</v>
      </c>
      <c r="M324" s="5">
        <f>[1]Hybrid!L50</f>
        <v>0.52258038650000005</v>
      </c>
      <c r="N324" s="5">
        <f>[1]Hybrid!M50</f>
        <v>0.53544547040000001</v>
      </c>
      <c r="O324" s="5">
        <f>[1]Hybrid!N50</f>
        <v>0.5482072979</v>
      </c>
      <c r="P324" s="5">
        <f>[1]Hybrid!O50</f>
        <v>0.56083393400000003</v>
      </c>
      <c r="Q324" s="5">
        <f>[1]Hybrid!P50</f>
        <v>0.57329828120000004</v>
      </c>
      <c r="R324" s="5">
        <f>[1]Hybrid!Q50</f>
        <v>0.58557763330000001</v>
      </c>
      <c r="S324" s="5">
        <f>[1]Hybrid!R50</f>
        <v>0.59764978970000004</v>
      </c>
      <c r="T324" s="5">
        <f>[1]Hybrid!S50</f>
        <v>0.60949728869999997</v>
      </c>
      <c r="U324" s="5">
        <f>[1]Hybrid!T50</f>
        <v>0.62110582339999998</v>
      </c>
      <c r="V324" s="5">
        <f>[1]Hybrid!U50</f>
        <v>0.63246329010000002</v>
      </c>
      <c r="W324" s="5">
        <f>[1]Hybrid!V50</f>
        <v>0.64347847130000002</v>
      </c>
      <c r="X324" s="5">
        <f>[1]Hybrid!W50</f>
        <v>0.65422866030000004</v>
      </c>
      <c r="Y324" s="5">
        <f>[1]Hybrid!X50</f>
        <v>0.66470834420000002</v>
      </c>
      <c r="Z324" s="5">
        <f>[1]Hybrid!Y50</f>
        <v>0.67491430409999997</v>
      </c>
      <c r="AA324" s="5">
        <f>[1]Hybrid!Z50</f>
        <v>0.68484394479999999</v>
      </c>
      <c r="AB324" s="5">
        <f>[1]Hybrid!AA50</f>
        <v>0.69426697559999995</v>
      </c>
      <c r="AC324" s="5">
        <f>[1]Hybrid!AB50</f>
        <v>0.70331875980000003</v>
      </c>
      <c r="AD324" s="5">
        <f>[1]Hybrid!AC50</f>
        <v>0.71200945800000004</v>
      </c>
      <c r="AE324" s="5">
        <f>[1]Hybrid!AD50</f>
        <v>0.72035355619999997</v>
      </c>
      <c r="AF324" s="5">
        <f>[1]Hybrid!AE50</f>
        <v>0.72836656209999995</v>
      </c>
      <c r="AG324" s="5">
        <f>[1]Hybrid!AF50</f>
        <v>0.73606327059999999</v>
      </c>
      <c r="AH324" s="5">
        <f>[1]Hybrid!AG50</f>
        <v>0.74345755270000002</v>
      </c>
      <c r="AI324" s="5">
        <f>[1]Hybrid!AH50</f>
        <v>0.75056102300000005</v>
      </c>
      <c r="AJ324" s="5">
        <f>[1]Hybrid!AI50</f>
        <v>0.75738329439999996</v>
      </c>
      <c r="AK324" s="5">
        <f>[1]Hybrid!AJ50</f>
        <v>0.76393235439999996</v>
      </c>
      <c r="AL324" s="5">
        <f>[1]Hybrid!AK50</f>
        <v>0.77021486719999999</v>
      </c>
      <c r="AM324" s="5">
        <f>[1]Hybrid!AL50</f>
        <v>0.77619122039999999</v>
      </c>
      <c r="AN324" s="5">
        <f>[1]Hybrid!AM50</f>
        <v>0.78187157220000003</v>
      </c>
      <c r="AO324" s="5">
        <f>[1]Hybrid!AN50</f>
        <v>0.78726410079999998</v>
      </c>
      <c r="AP324" s="5">
        <f>[1]Hybrid!AO50</f>
        <v>0.79237690149999995</v>
      </c>
      <c r="AQ324" s="5">
        <f>[1]Hybrid!AP50</f>
        <v>0.79721787899999996</v>
      </c>
      <c r="AR324" s="5">
        <f>[1]Hybrid!AQ50</f>
        <v>0.80179493489999998</v>
      </c>
      <c r="AS324" s="5">
        <f>[1]Hybrid!AR50</f>
        <v>0.80611407960000003</v>
      </c>
      <c r="AT324" s="5">
        <f>[1]Hybrid!AS50</f>
        <v>0.81017934800000002</v>
      </c>
      <c r="AU324" s="5">
        <f>[1]Hybrid!AT50</f>
        <v>0.81399296899999996</v>
      </c>
      <c r="AV324" s="5">
        <f>[1]Hybrid!AU50</f>
        <v>0.81755552789999997</v>
      </c>
      <c r="AW324" s="5">
        <f>[1]Hybrid!AV50</f>
        <v>0.82087277089999999</v>
      </c>
      <c r="AX324" s="5">
        <f>[1]Hybrid!AW50</f>
        <v>0.82394302149999998</v>
      </c>
      <c r="AY324" s="5">
        <f>[1]Hybrid!AX50</f>
        <v>0.82676235490000005</v>
      </c>
      <c r="AZ324" s="5">
        <f>[1]Hybrid!AY50</f>
        <v>0.82932557110000005</v>
      </c>
      <c r="BA324" s="5">
        <f>[1]Hybrid!AZ50</f>
        <v>0.83162664500000005</v>
      </c>
      <c r="BB324" s="5">
        <f>[1]Hybrid!BA50</f>
        <v>0.83366040890000004</v>
      </c>
      <c r="BC324" s="5">
        <f>[1]Hybrid!BB50</f>
        <v>0.83542012990000003</v>
      </c>
      <c r="BD324" s="5">
        <f>[1]Hybrid!BC50</f>
        <v>0.83689790119999996</v>
      </c>
      <c r="BE324" s="5">
        <f>[1]Hybrid!BD50</f>
        <v>0.8380852003</v>
      </c>
      <c r="BF324" s="5">
        <f>[1]Hybrid!BE50</f>
        <v>0.83897309090000005</v>
      </c>
    </row>
    <row r="325" spans="1:58" x14ac:dyDescent="0.35">
      <c r="B325" s="5" t="str">
        <f>[1]Hybrid!A52</f>
        <v>auto_cd_cgas_2</v>
      </c>
      <c r="C325" s="5">
        <f>[1]Hybrid!B52</f>
        <v>0.2495444651</v>
      </c>
      <c r="D325" s="5">
        <f>[1]Hybrid!C52</f>
        <v>0.25214933610000001</v>
      </c>
      <c r="E325" s="5">
        <f>[1]Hybrid!D52</f>
        <v>0.25584762170000003</v>
      </c>
      <c r="F325" s="5">
        <f>[1]Hybrid!E52</f>
        <v>0.26019423749999998</v>
      </c>
      <c r="G325" s="5">
        <f>[1]Hybrid!F52</f>
        <v>0.26490122030000002</v>
      </c>
      <c r="H325" s="5">
        <f>[1]Hybrid!G52</f>
        <v>0.26978619129999998</v>
      </c>
      <c r="I325" s="5">
        <f>[1]Hybrid!H52</f>
        <v>0.27469946699999997</v>
      </c>
      <c r="J325" s="5">
        <f>[1]Hybrid!I52</f>
        <v>0.27956442860000003</v>
      </c>
      <c r="K325" s="5">
        <f>[1]Hybrid!J52</f>
        <v>0.28432806300000002</v>
      </c>
      <c r="L325" s="5">
        <f>[1]Hybrid!K52</f>
        <v>0.28895169599999998</v>
      </c>
      <c r="M325" s="5">
        <f>[1]Hybrid!L52</f>
        <v>0.29346055669999999</v>
      </c>
      <c r="N325" s="5">
        <f>[1]Hybrid!M52</f>
        <v>0.297770965</v>
      </c>
      <c r="O325" s="5">
        <f>[1]Hybrid!N52</f>
        <v>0.3018618709</v>
      </c>
      <c r="P325" s="5">
        <f>[1]Hybrid!O52</f>
        <v>0.30571568360000001</v>
      </c>
      <c r="Q325" s="5">
        <f>[1]Hybrid!P52</f>
        <v>0.3093184303</v>
      </c>
      <c r="R325" s="5">
        <f>[1]Hybrid!Q52</f>
        <v>0.3126593426</v>
      </c>
      <c r="S325" s="5">
        <f>[1]Hybrid!R52</f>
        <v>0.31572892969999999</v>
      </c>
      <c r="T325" s="5">
        <f>[1]Hybrid!S52</f>
        <v>0.3185208779</v>
      </c>
      <c r="U325" s="5">
        <f>[1]Hybrid!T52</f>
        <v>0.32103116329999998</v>
      </c>
      <c r="V325" s="5">
        <f>[1]Hybrid!U52</f>
        <v>0.32325747849999997</v>
      </c>
      <c r="W325" s="5">
        <f>[1]Hybrid!V52</f>
        <v>0.32516377439999999</v>
      </c>
      <c r="X325" s="5">
        <f>[1]Hybrid!W52</f>
        <v>0.32678879979999997</v>
      </c>
      <c r="Y325" s="5">
        <f>[1]Hybrid!X52</f>
        <v>0.3281347389</v>
      </c>
      <c r="Z325" s="5">
        <f>[1]Hybrid!Y52</f>
        <v>0.3292049621</v>
      </c>
      <c r="AA325" s="5">
        <f>[1]Hybrid!Z52</f>
        <v>0.33000331430000002</v>
      </c>
      <c r="AB325" s="5">
        <f>[1]Hybrid!AA52</f>
        <v>0.33044268180000003</v>
      </c>
      <c r="AC325" s="5">
        <f>[1]Hybrid!AB52</f>
        <v>0.33058620820000001</v>
      </c>
      <c r="AD325" s="5">
        <f>[1]Hybrid!AC52</f>
        <v>0.33044547470000002</v>
      </c>
      <c r="AE325" s="5">
        <f>[1]Hybrid!AD52</f>
        <v>0.33003339079999999</v>
      </c>
      <c r="AF325" s="5">
        <f>[1]Hybrid!AE52</f>
        <v>0.32936285580000002</v>
      </c>
      <c r="AG325" s="5">
        <f>[1]Hybrid!AF52</f>
        <v>0.32844613249999999</v>
      </c>
      <c r="AH325" s="5">
        <f>[1]Hybrid!AG52</f>
        <v>0.32729481630000001</v>
      </c>
      <c r="AI325" s="5">
        <f>[1]Hybrid!AH52</f>
        <v>0.3259193984</v>
      </c>
      <c r="AJ325" s="5">
        <f>[1]Hybrid!AI52</f>
        <v>0.32432941980000002</v>
      </c>
      <c r="AK325" s="5">
        <f>[1]Hybrid!AJ52</f>
        <v>0.32253366709999998</v>
      </c>
      <c r="AL325" s="5">
        <f>[1]Hybrid!AK52</f>
        <v>0.32054033580000002</v>
      </c>
      <c r="AM325" s="5">
        <f>[1]Hybrid!AL52</f>
        <v>0.3183424004</v>
      </c>
      <c r="AN325" s="5">
        <f>[1]Hybrid!AM52</f>
        <v>0.31594988860000001</v>
      </c>
      <c r="AO325" s="5">
        <f>[1]Hybrid!AN52</f>
        <v>0.31337204019999998</v>
      </c>
      <c r="AP325" s="5">
        <f>[1]Hybrid!AO52</f>
        <v>0.31061791779999998</v>
      </c>
      <c r="AQ325" s="5">
        <f>[1]Hybrid!AP52</f>
        <v>0.30769639929999998</v>
      </c>
      <c r="AR325" s="5">
        <f>[1]Hybrid!AQ52</f>
        <v>0.30461627009999998</v>
      </c>
      <c r="AS325" s="5">
        <f>[1]Hybrid!AR52</f>
        <v>0.30138569339999999</v>
      </c>
      <c r="AT325" s="5">
        <f>[1]Hybrid!AS52</f>
        <v>0.2980122308</v>
      </c>
      <c r="AU325" s="5">
        <f>[1]Hybrid!AT52</f>
        <v>0.29450294430000001</v>
      </c>
      <c r="AV325" s="5">
        <f>[1]Hybrid!AU52</f>
        <v>0.29086449040000001</v>
      </c>
      <c r="AW325" s="5">
        <f>[1]Hybrid!AV52</f>
        <v>0.28710496320000001</v>
      </c>
      <c r="AX325" s="5">
        <f>[1]Hybrid!AW52</f>
        <v>0.28323050049999998</v>
      </c>
      <c r="AY325" s="5">
        <f>[1]Hybrid!AX52</f>
        <v>0.27924673280000001</v>
      </c>
      <c r="AZ325" s="5">
        <f>[1]Hybrid!AY52</f>
        <v>0.2751590934</v>
      </c>
      <c r="BA325" s="5">
        <f>[1]Hybrid!AZ52</f>
        <v>0.27097297770000001</v>
      </c>
      <c r="BB325" s="5">
        <f>[1]Hybrid!BA52</f>
        <v>0.26669417569999998</v>
      </c>
      <c r="BC325" s="5">
        <f>[1]Hybrid!BB52</f>
        <v>0.26232828940000003</v>
      </c>
      <c r="BD325" s="5">
        <f>[1]Hybrid!BC52</f>
        <v>0.25788081099999999</v>
      </c>
      <c r="BE325" s="5">
        <f>[1]Hybrid!BD52</f>
        <v>0.253357259</v>
      </c>
      <c r="BF325" s="5">
        <f>[1]Hybrid!BE52</f>
        <v>0.24876322919999999</v>
      </c>
    </row>
    <row r="326" spans="1:58" x14ac:dyDescent="0.35">
      <c r="B326" s="5" t="str">
        <f>[1]Hybrid!A54</f>
        <v>auto_ce_cgas_2</v>
      </c>
      <c r="C326" s="5">
        <f>[1]Hybrid!B54</f>
        <v>0.15020246549999999</v>
      </c>
      <c r="D326" s="5">
        <f>[1]Hybrid!C54</f>
        <v>0.1519680763</v>
      </c>
      <c r="E326" s="5">
        <f>[1]Hybrid!D54</f>
        <v>0.15432264900000001</v>
      </c>
      <c r="F326" s="5">
        <f>[1]Hybrid!E54</f>
        <v>0.15697678840000001</v>
      </c>
      <c r="G326" s="5">
        <f>[1]Hybrid!F54</f>
        <v>0.15974426429999999</v>
      </c>
      <c r="H326" s="5">
        <f>[1]Hybrid!G54</f>
        <v>0.162507927</v>
      </c>
      <c r="I326" s="5">
        <f>[1]Hybrid!H54</f>
        <v>0.1651745268</v>
      </c>
      <c r="J326" s="5">
        <f>[1]Hybrid!I54</f>
        <v>0.1676974004</v>
      </c>
      <c r="K326" s="5">
        <f>[1]Hybrid!J54</f>
        <v>0.1700459232</v>
      </c>
      <c r="L326" s="5">
        <f>[1]Hybrid!K54</f>
        <v>0.17219934479999999</v>
      </c>
      <c r="M326" s="5">
        <f>[1]Hybrid!L54</f>
        <v>0.1741740316</v>
      </c>
      <c r="N326" s="5">
        <f>[1]Hybrid!M54</f>
        <v>0.1759254244</v>
      </c>
      <c r="O326" s="5">
        <f>[1]Hybrid!N54</f>
        <v>0.17744553220000001</v>
      </c>
      <c r="P326" s="5">
        <f>[1]Hybrid!O54</f>
        <v>0.1787290064</v>
      </c>
      <c r="Q326" s="5">
        <f>[1]Hybrid!P54</f>
        <v>0.17977306840000001</v>
      </c>
      <c r="R326" s="5">
        <f>[1]Hybrid!Q54</f>
        <v>0.18057715369999999</v>
      </c>
      <c r="S326" s="5">
        <f>[1]Hybrid!R54</f>
        <v>0.1811418091</v>
      </c>
      <c r="T326" s="5">
        <f>[1]Hybrid!S54</f>
        <v>0.18146962520000001</v>
      </c>
      <c r="U326" s="5">
        <f>[1]Hybrid!T54</f>
        <v>0.18156467109999999</v>
      </c>
      <c r="V326" s="5">
        <f>[1]Hybrid!U54</f>
        <v>0.1814321082</v>
      </c>
      <c r="W326" s="5">
        <f>[1]Hybrid!V54</f>
        <v>0.18106062570000001</v>
      </c>
      <c r="X326" s="5">
        <f>[1]Hybrid!W54</f>
        <v>0.18047635319999999</v>
      </c>
      <c r="Y326" s="5">
        <f>[1]Hybrid!X54</f>
        <v>0.17968696149999999</v>
      </c>
      <c r="Z326" s="5">
        <f>[1]Hybrid!Y54</f>
        <v>0.1787006263</v>
      </c>
      <c r="AA326" s="5">
        <f>[1]Hybrid!Z54</f>
        <v>0.17752567820000001</v>
      </c>
      <c r="AB326" s="5">
        <f>[1]Hybrid!AA54</f>
        <v>0.17612876999999999</v>
      </c>
      <c r="AC326" s="5">
        <f>[1]Hybrid!AB54</f>
        <v>0.1745466933</v>
      </c>
      <c r="AD326" s="5">
        <f>[1]Hybrid!AC54</f>
        <v>0.17279180990000001</v>
      </c>
      <c r="AE326" s="5">
        <f>[1]Hybrid!AD54</f>
        <v>0.17087669699999999</v>
      </c>
      <c r="AF326" s="5">
        <f>[1]Hybrid!AE54</f>
        <v>0.16881354270000001</v>
      </c>
      <c r="AG326" s="5">
        <f>[1]Hybrid!AF54</f>
        <v>0.1666139002</v>
      </c>
      <c r="AH326" s="5">
        <f>[1]Hybrid!AG54</f>
        <v>0.1642887046</v>
      </c>
      <c r="AI326" s="5">
        <f>[1]Hybrid!AH54</f>
        <v>0.16184812130000001</v>
      </c>
      <c r="AJ326" s="5">
        <f>[1]Hybrid!AI54</f>
        <v>0.15930164299999999</v>
      </c>
      <c r="AK326" s="5">
        <f>[1]Hybrid!AJ54</f>
        <v>0.15665820189999999</v>
      </c>
      <c r="AL326" s="5">
        <f>[1]Hybrid!AK54</f>
        <v>0.15392626179999999</v>
      </c>
      <c r="AM326" s="5">
        <f>[1]Hybrid!AL54</f>
        <v>0.15110830920000001</v>
      </c>
      <c r="AN326" s="5">
        <f>[1]Hybrid!AM54</f>
        <v>0.1482133763</v>
      </c>
      <c r="AO326" s="5">
        <f>[1]Hybrid!AN54</f>
        <v>0.1452499491</v>
      </c>
      <c r="AP326" s="5">
        <f>[1]Hybrid!AO54</f>
        <v>0.14222619910000001</v>
      </c>
      <c r="AQ326" s="5">
        <f>[1]Hybrid!AP54</f>
        <v>0.13914999319999999</v>
      </c>
      <c r="AR326" s="5">
        <f>[1]Hybrid!AQ54</f>
        <v>0.1360289392</v>
      </c>
      <c r="AS326" s="5">
        <f>[1]Hybrid!AR54</f>
        <v>0.13287021369999999</v>
      </c>
      <c r="AT326" s="5">
        <f>[1]Hybrid!AS54</f>
        <v>0.12968058460000001</v>
      </c>
      <c r="AU326" s="5">
        <f>[1]Hybrid!AT54</f>
        <v>0.12646646040000001</v>
      </c>
      <c r="AV326" s="5">
        <f>[1]Hybrid!AU54</f>
        <v>0.12323393439999999</v>
      </c>
      <c r="AW326" s="5">
        <f>[1]Hybrid!AV54</f>
        <v>0.1199893635</v>
      </c>
      <c r="AX326" s="5">
        <f>[1]Hybrid!AW54</f>
        <v>0.1167382981</v>
      </c>
      <c r="AY326" s="5">
        <f>[1]Hybrid!AX54</f>
        <v>0.1134859528</v>
      </c>
      <c r="AZ326" s="5">
        <f>[1]Hybrid!AY54</f>
        <v>0.1102373131</v>
      </c>
      <c r="BA326" s="5">
        <f>[1]Hybrid!AZ54</f>
        <v>0.1069971904</v>
      </c>
      <c r="BB326" s="5">
        <f>[1]Hybrid!BA54</f>
        <v>0.1037703445</v>
      </c>
      <c r="BC326" s="5">
        <f>[1]Hybrid!BB54</f>
        <v>0.10056131409999999</v>
      </c>
      <c r="BD326" s="5">
        <f>[1]Hybrid!BC54</f>
        <v>9.7374430400000003E-2</v>
      </c>
      <c r="BE326" s="5">
        <f>[1]Hybrid!BD54</f>
        <v>9.4213851900000006E-2</v>
      </c>
      <c r="BF326" s="5">
        <f>[1]Hybrid!BE54</f>
        <v>9.1083574599999995E-2</v>
      </c>
    </row>
    <row r="327" spans="1:58" x14ac:dyDescent="0.35">
      <c r="B327" s="5" t="str">
        <f>[1]Hybrid!A56</f>
        <v>auto_cf_cgas_2</v>
      </c>
      <c r="C327" s="5">
        <f>[1]Hybrid!B56</f>
        <v>7.4609436000000001E-2</v>
      </c>
      <c r="D327" s="5">
        <f>[1]Hybrid!C56</f>
        <v>7.5265987399999998E-2</v>
      </c>
      <c r="E327" s="5">
        <f>[1]Hybrid!D56</f>
        <v>7.6097262900000004E-2</v>
      </c>
      <c r="F327" s="5">
        <f>[1]Hybrid!E56</f>
        <v>7.6939829900000006E-2</v>
      </c>
      <c r="G327" s="5">
        <f>[1]Hybrid!F56</f>
        <v>7.7692987000000005E-2</v>
      </c>
      <c r="H327" s="5">
        <f>[1]Hybrid!G56</f>
        <v>7.82977386E-2</v>
      </c>
      <c r="I327" s="5">
        <f>[1]Hybrid!H56</f>
        <v>7.8713743899999994E-2</v>
      </c>
      <c r="J327" s="5">
        <f>[1]Hybrid!I56</f>
        <v>7.8926331700000005E-2</v>
      </c>
      <c r="K327" s="5">
        <f>[1]Hybrid!J56</f>
        <v>7.8931185900000006E-2</v>
      </c>
      <c r="L327" s="5">
        <f>[1]Hybrid!K56</f>
        <v>7.8730383099999995E-2</v>
      </c>
      <c r="M327" s="5">
        <f>[1]Hybrid!L56</f>
        <v>7.8340780099999993E-2</v>
      </c>
      <c r="N327" s="5">
        <f>[1]Hybrid!M56</f>
        <v>7.7758258299999994E-2</v>
      </c>
      <c r="O327" s="5">
        <f>[1]Hybrid!N56</f>
        <v>7.6993049999999993E-2</v>
      </c>
      <c r="P327" s="5">
        <f>[1]Hybrid!O56</f>
        <v>7.6056811700000004E-2</v>
      </c>
      <c r="Q327" s="5">
        <f>[1]Hybrid!P56</f>
        <v>7.4962265299999997E-2</v>
      </c>
      <c r="R327" s="5">
        <f>[1]Hybrid!Q56</f>
        <v>7.3722818800000006E-2</v>
      </c>
      <c r="S327" s="5">
        <f>[1]Hybrid!R56</f>
        <v>7.2352063499999994E-2</v>
      </c>
      <c r="T327" s="5">
        <f>[1]Hybrid!S56</f>
        <v>7.0863878500000005E-2</v>
      </c>
      <c r="U327" s="5">
        <f>[1]Hybrid!T56</f>
        <v>6.9272112600000005E-2</v>
      </c>
      <c r="V327" s="5">
        <f>[1]Hybrid!U56</f>
        <v>6.7590353399999997E-2</v>
      </c>
      <c r="W327" s="5">
        <f>[1]Hybrid!V56</f>
        <v>6.5827960000000005E-2</v>
      </c>
      <c r="X327" s="5">
        <f>[1]Hybrid!W56</f>
        <v>6.4002186599999997E-2</v>
      </c>
      <c r="Y327" s="5">
        <f>[1]Hybrid!X56</f>
        <v>6.2125117100000002E-2</v>
      </c>
      <c r="Z327" s="5">
        <f>[1]Hybrid!Y56</f>
        <v>6.0208136400000001E-2</v>
      </c>
      <c r="AA327" s="5">
        <f>[1]Hybrid!Z56</f>
        <v>5.8261872399999998E-2</v>
      </c>
      <c r="AB327" s="5">
        <f>[1]Hybrid!AA56</f>
        <v>5.6289169700000002E-2</v>
      </c>
      <c r="AC327" s="5">
        <f>[1]Hybrid!AB56</f>
        <v>5.4304769099999997E-2</v>
      </c>
      <c r="AD327" s="5">
        <f>[1]Hybrid!AC56</f>
        <v>5.2318044000000001E-2</v>
      </c>
      <c r="AE327" s="5">
        <f>[1]Hybrid!AD56</f>
        <v>5.03374896E-2</v>
      </c>
      <c r="AF327" s="5">
        <f>[1]Hybrid!AE56</f>
        <v>4.8370684499999997E-2</v>
      </c>
      <c r="AG327" s="5">
        <f>[1]Hybrid!AF56</f>
        <v>4.6424327299999998E-2</v>
      </c>
      <c r="AH327" s="5">
        <f>[1]Hybrid!AG56</f>
        <v>4.4504307399999998E-2</v>
      </c>
      <c r="AI327" s="5">
        <f>[1]Hybrid!AH56</f>
        <v>4.26157499E-2</v>
      </c>
      <c r="AJ327" s="5">
        <f>[1]Hybrid!AI56</f>
        <v>4.0763088000000003E-2</v>
      </c>
      <c r="AK327" s="5">
        <f>[1]Hybrid!AJ56</f>
        <v>3.89501311E-2</v>
      </c>
      <c r="AL327" s="5">
        <f>[1]Hybrid!AK56</f>
        <v>3.7180123900000001E-2</v>
      </c>
      <c r="AM327" s="5">
        <f>[1]Hybrid!AL56</f>
        <v>3.5455319399999997E-2</v>
      </c>
      <c r="AN327" s="5">
        <f>[1]Hybrid!AM56</f>
        <v>3.3778176799999997E-2</v>
      </c>
      <c r="AO327" s="5">
        <f>[1]Hybrid!AN56</f>
        <v>3.2150675199999999E-2</v>
      </c>
      <c r="AP327" s="5">
        <f>[1]Hybrid!AO56</f>
        <v>3.05743692E-2</v>
      </c>
      <c r="AQ327" s="5">
        <f>[1]Hybrid!AP56</f>
        <v>2.90504254E-2</v>
      </c>
      <c r="AR327" s="5">
        <f>[1]Hybrid!AQ56</f>
        <v>2.7579660200000002E-2</v>
      </c>
      <c r="AS327" s="5">
        <f>[1]Hybrid!AR56</f>
        <v>2.61625609E-2</v>
      </c>
      <c r="AT327" s="5">
        <f>[1]Hybrid!AS56</f>
        <v>2.47993182E-2</v>
      </c>
      <c r="AU327" s="5">
        <f>[1]Hybrid!AT56</f>
        <v>2.3489857699999998E-2</v>
      </c>
      <c r="AV327" s="5">
        <f>[1]Hybrid!AU56</f>
        <v>2.2233869699999999E-2</v>
      </c>
      <c r="AW327" s="5">
        <f>[1]Hybrid!AV56</f>
        <v>2.10308575E-2</v>
      </c>
      <c r="AX327" s="5">
        <f>[1]Hybrid!AW56</f>
        <v>1.9880112299999999E-2</v>
      </c>
      <c r="AY327" s="5">
        <f>[1]Hybrid!AX56</f>
        <v>1.8780757700000001E-2</v>
      </c>
      <c r="AZ327" s="5">
        <f>[1]Hybrid!AY56</f>
        <v>1.7731775500000001E-2</v>
      </c>
      <c r="BA327" s="5">
        <f>[1]Hybrid!AZ56</f>
        <v>1.6732027199999999E-2</v>
      </c>
      <c r="BB327" s="5">
        <f>[1]Hybrid!BA56</f>
        <v>1.57802745E-2</v>
      </c>
      <c r="BC327" s="5">
        <f>[1]Hybrid!BB56</f>
        <v>1.48751905E-2</v>
      </c>
      <c r="BD327" s="5">
        <f>[1]Hybrid!BC56</f>
        <v>1.4015374800000001E-2</v>
      </c>
      <c r="BE327" s="5">
        <f>[1]Hybrid!BD56</f>
        <v>1.3199368499999999E-2</v>
      </c>
      <c r="BF327" s="5">
        <f>[1]Hybrid!BE56</f>
        <v>1.24256683E-2</v>
      </c>
    </row>
    <row r="328" spans="1:58" x14ac:dyDescent="0.35">
      <c r="B328" s="5" t="str">
        <f>[1]Hybrid!A58</f>
        <v>auto_cg_cgas_2</v>
      </c>
      <c r="C328" s="5">
        <f>[1]Hybrid!B58</f>
        <v>0.13435819299999999</v>
      </c>
      <c r="D328" s="5">
        <f>[1]Hybrid!C58</f>
        <v>0.13582723729999999</v>
      </c>
      <c r="E328" s="5">
        <f>[1]Hybrid!D58</f>
        <v>0.13741738179999999</v>
      </c>
      <c r="F328" s="5">
        <f>[1]Hybrid!E58</f>
        <v>0.1387971741</v>
      </c>
      <c r="G328" s="5">
        <f>[1]Hybrid!F58</f>
        <v>0.1397764584</v>
      </c>
      <c r="H328" s="5">
        <f>[1]Hybrid!G58</f>
        <v>0.1402580849</v>
      </c>
      <c r="I328" s="5">
        <f>[1]Hybrid!H58</f>
        <v>0.14019110309999999</v>
      </c>
      <c r="J328" s="5">
        <f>[1]Hybrid!I58</f>
        <v>0.13957678979999999</v>
      </c>
      <c r="K328" s="5">
        <f>[1]Hybrid!J58</f>
        <v>0.13843830030000001</v>
      </c>
      <c r="L328" s="5">
        <f>[1]Hybrid!K58</f>
        <v>0.13681128570000001</v>
      </c>
      <c r="M328" s="5">
        <f>[1]Hybrid!L58</f>
        <v>0.13475338009999999</v>
      </c>
      <c r="N328" s="5">
        <f>[1]Hybrid!M58</f>
        <v>0.13229134249999999</v>
      </c>
      <c r="O328" s="5">
        <f>[1]Hybrid!N58</f>
        <v>0.12947210840000001</v>
      </c>
      <c r="P328" s="5">
        <f>[1]Hybrid!O58</f>
        <v>0.12634292580000001</v>
      </c>
      <c r="Q328" s="5">
        <f>[1]Hybrid!P58</f>
        <v>0.1229503225</v>
      </c>
      <c r="R328" s="5">
        <f>[1]Hybrid!Q58</f>
        <v>0.1193392412</v>
      </c>
      <c r="S328" s="5">
        <f>[1]Hybrid!R58</f>
        <v>0.11555221760000001</v>
      </c>
      <c r="T328" s="5">
        <f>[1]Hybrid!S58</f>
        <v>0.111629372</v>
      </c>
      <c r="U328" s="5">
        <f>[1]Hybrid!T58</f>
        <v>0.1076079668</v>
      </c>
      <c r="V328" s="5">
        <f>[1]Hybrid!U58</f>
        <v>0.10352215300000001</v>
      </c>
      <c r="W328" s="5">
        <f>[1]Hybrid!V58</f>
        <v>9.9399294400000004E-2</v>
      </c>
      <c r="X328" s="5">
        <f>[1]Hybrid!W58</f>
        <v>9.5271699700000004E-2</v>
      </c>
      <c r="Y328" s="5">
        <f>[1]Hybrid!X58</f>
        <v>9.11639333E-2</v>
      </c>
      <c r="Z328" s="5">
        <f>[1]Hybrid!Y58</f>
        <v>8.7097476699999996E-2</v>
      </c>
      <c r="AA328" s="5">
        <f>[1]Hybrid!Z58</f>
        <v>8.3090891400000005E-2</v>
      </c>
      <c r="AB328" s="5">
        <f>[1]Hybrid!AA58</f>
        <v>7.9154827900000002E-2</v>
      </c>
      <c r="AC328" s="5">
        <f>[1]Hybrid!AB58</f>
        <v>7.5307301899999998E-2</v>
      </c>
      <c r="AD328" s="5">
        <f>[1]Hybrid!AC58</f>
        <v>7.1560211700000001E-2</v>
      </c>
      <c r="AE328" s="5">
        <f>[1]Hybrid!AD58</f>
        <v>6.7923105299999995E-2</v>
      </c>
      <c r="AF328" s="5">
        <f>[1]Hybrid!AE58</f>
        <v>6.4403386100000001E-2</v>
      </c>
      <c r="AG328" s="5">
        <f>[1]Hybrid!AF58</f>
        <v>6.1006558299999999E-2</v>
      </c>
      <c r="AH328" s="5">
        <f>[1]Hybrid!AG58</f>
        <v>5.7736472800000001E-2</v>
      </c>
      <c r="AI328" s="5">
        <f>[1]Hybrid!AH58</f>
        <v>5.4595536399999998E-2</v>
      </c>
      <c r="AJ328" s="5">
        <f>[1]Hybrid!AI58</f>
        <v>5.1584915299999999E-2</v>
      </c>
      <c r="AK328" s="5">
        <f>[1]Hybrid!AJ58</f>
        <v>4.87047169E-2</v>
      </c>
      <c r="AL328" s="5">
        <f>[1]Hybrid!AK58</f>
        <v>4.5954150100000001E-2</v>
      </c>
      <c r="AM328" s="5">
        <f>[1]Hybrid!AL58</f>
        <v>4.3331469099999999E-2</v>
      </c>
      <c r="AN328" s="5">
        <f>[1]Hybrid!AM58</f>
        <v>4.0834594000000002E-2</v>
      </c>
      <c r="AO328" s="5">
        <f>[1]Hybrid!AN58</f>
        <v>3.8460880199999999E-2</v>
      </c>
      <c r="AP328" s="5">
        <f>[1]Hybrid!AO58</f>
        <v>3.6207226000000002E-2</v>
      </c>
      <c r="AQ328" s="5">
        <f>[1]Hybrid!AP58</f>
        <v>3.40701635E-2</v>
      </c>
      <c r="AR328" s="5">
        <f>[1]Hybrid!AQ58</f>
        <v>3.2045940000000002E-2</v>
      </c>
      <c r="AS328" s="5">
        <f>[1]Hybrid!AR58</f>
        <v>3.0130584500000002E-2</v>
      </c>
      <c r="AT328" s="5">
        <f>[1]Hybrid!AS58</f>
        <v>2.8319970600000001E-2</v>
      </c>
      <c r="AU328" s="5">
        <f>[1]Hybrid!AT58</f>
        <v>2.66098715E-2</v>
      </c>
      <c r="AV328" s="5">
        <f>[1]Hybrid!AU58</f>
        <v>2.4996007099999999E-2</v>
      </c>
      <c r="AW328" s="5">
        <f>[1]Hybrid!AV58</f>
        <v>2.3474089300000001E-2</v>
      </c>
      <c r="AX328" s="5">
        <f>[1]Hybrid!AW58</f>
        <v>2.20398448E-2</v>
      </c>
      <c r="AY328" s="5">
        <f>[1]Hybrid!AX58</f>
        <v>2.06890497E-2</v>
      </c>
      <c r="AZ328" s="5">
        <f>[1]Hybrid!AY58</f>
        <v>1.9417555100000001E-2</v>
      </c>
      <c r="BA328" s="5">
        <f>[1]Hybrid!AZ58</f>
        <v>1.8221306999999999E-2</v>
      </c>
      <c r="BB328" s="5">
        <f>[1]Hybrid!BA58</f>
        <v>1.7096362899999999E-2</v>
      </c>
      <c r="BC328" s="5">
        <f>[1]Hybrid!BB58</f>
        <v>1.6038903399999999E-2</v>
      </c>
      <c r="BD328" s="5">
        <f>[1]Hybrid!BC58</f>
        <v>1.5045241799999999E-2</v>
      </c>
      <c r="BE328" s="5">
        <f>[1]Hybrid!BD58</f>
        <v>1.4111831199999999E-2</v>
      </c>
      <c r="BF328" s="5">
        <f>[1]Hybrid!BE58</f>
        <v>1.32352696E-2</v>
      </c>
    </row>
    <row r="330" spans="1:58" x14ac:dyDescent="0.35">
      <c r="A330" s="12" t="s">
        <v>90</v>
      </c>
      <c r="B330" t="s">
        <v>56</v>
      </c>
      <c r="C330" s="2">
        <v>42005</v>
      </c>
      <c r="D330" s="2">
        <v>42370</v>
      </c>
      <c r="E330" s="2">
        <v>42736</v>
      </c>
      <c r="F330" s="2">
        <v>43101</v>
      </c>
      <c r="G330" s="2">
        <v>43466</v>
      </c>
      <c r="H330" s="2">
        <v>43831</v>
      </c>
      <c r="I330" s="2">
        <v>44197</v>
      </c>
      <c r="J330" s="2">
        <v>44562</v>
      </c>
      <c r="K330" s="2">
        <v>44927</v>
      </c>
      <c r="L330" s="2">
        <v>45292</v>
      </c>
      <c r="M330" s="2">
        <v>45658</v>
      </c>
      <c r="N330" s="2">
        <v>46023</v>
      </c>
      <c r="O330" s="2">
        <v>46388</v>
      </c>
      <c r="P330" s="2">
        <v>46753</v>
      </c>
      <c r="Q330" s="2">
        <v>47119</v>
      </c>
      <c r="R330" s="2">
        <v>47484</v>
      </c>
      <c r="S330" s="2">
        <v>47849</v>
      </c>
      <c r="T330" s="2">
        <v>48214</v>
      </c>
      <c r="U330" s="2">
        <v>48580</v>
      </c>
      <c r="V330" s="2">
        <v>48945</v>
      </c>
      <c r="W330" s="2">
        <v>49310</v>
      </c>
      <c r="X330" s="2">
        <v>49675</v>
      </c>
      <c r="Y330" s="2">
        <v>50041</v>
      </c>
      <c r="Z330" s="2">
        <v>50406</v>
      </c>
      <c r="AA330" s="2">
        <v>50771</v>
      </c>
      <c r="AB330" s="2">
        <v>51136</v>
      </c>
      <c r="AC330" s="2">
        <v>51502</v>
      </c>
      <c r="AD330" s="2">
        <v>51867</v>
      </c>
      <c r="AE330" s="2">
        <v>52232</v>
      </c>
      <c r="AF330" s="2">
        <v>52597</v>
      </c>
      <c r="AG330" s="2">
        <v>52963</v>
      </c>
      <c r="AH330" s="2">
        <v>53328</v>
      </c>
      <c r="AI330" s="2">
        <v>53693</v>
      </c>
      <c r="AJ330" s="2">
        <v>54058</v>
      </c>
      <c r="AK330" s="2">
        <v>54424</v>
      </c>
      <c r="AL330" s="2">
        <v>54789</v>
      </c>
      <c r="AM330" s="2">
        <v>54790</v>
      </c>
      <c r="AN330" s="2">
        <v>54791</v>
      </c>
      <c r="AO330" s="2">
        <v>54792</v>
      </c>
      <c r="AP330" s="2">
        <v>54793</v>
      </c>
      <c r="AQ330" s="2">
        <v>54794</v>
      </c>
      <c r="AR330" s="2">
        <v>54795</v>
      </c>
      <c r="AS330" s="2">
        <v>54796</v>
      </c>
      <c r="AT330" s="2">
        <v>54797</v>
      </c>
      <c r="AU330" s="2">
        <v>54798</v>
      </c>
      <c r="AV330" s="2">
        <v>54799</v>
      </c>
      <c r="AW330" s="2">
        <v>54800</v>
      </c>
      <c r="AX330" s="2">
        <v>54801</v>
      </c>
      <c r="AY330" s="2">
        <v>54802</v>
      </c>
      <c r="AZ330" s="2">
        <v>54803</v>
      </c>
      <c r="BA330" s="2">
        <v>54804</v>
      </c>
      <c r="BB330" s="2">
        <v>54805</v>
      </c>
      <c r="BC330" s="2">
        <v>54806</v>
      </c>
      <c r="BD330" s="2">
        <v>54807</v>
      </c>
      <c r="BE330" s="2">
        <v>54808</v>
      </c>
      <c r="BF330" s="2">
        <v>54809</v>
      </c>
    </row>
    <row r="331" spans="1:58" x14ac:dyDescent="0.35">
      <c r="A331" t="s">
        <v>39</v>
      </c>
      <c r="B331" t="s">
        <v>96</v>
      </c>
      <c r="C331" s="6">
        <f t="shared" ref="C331:AL331" si="186">C308+C322+C315</f>
        <v>7105.9689965623002</v>
      </c>
      <c r="D331" s="6">
        <f t="shared" si="186"/>
        <v>7150.7394210254997</v>
      </c>
      <c r="E331" s="6">
        <f t="shared" si="186"/>
        <v>7239.5049696030992</v>
      </c>
      <c r="F331" s="6">
        <f t="shared" si="186"/>
        <v>7358.4920676304992</v>
      </c>
      <c r="G331" s="6">
        <f t="shared" si="186"/>
        <v>7498.8122425214005</v>
      </c>
      <c r="H331" s="6">
        <f t="shared" si="186"/>
        <v>7654.8829914080998</v>
      </c>
      <c r="I331" s="6">
        <f t="shared" si="186"/>
        <v>7822.0037412604997</v>
      </c>
      <c r="J331" s="6">
        <f t="shared" si="186"/>
        <v>7997.8285661197997</v>
      </c>
      <c r="K331" s="6">
        <f t="shared" si="186"/>
        <v>8180.7143975640993</v>
      </c>
      <c r="L331" s="6">
        <f t="shared" si="186"/>
        <v>8369.4403738332003</v>
      </c>
      <c r="M331" s="6">
        <f t="shared" si="186"/>
        <v>8565.1203253193999</v>
      </c>
      <c r="N331" s="6">
        <f t="shared" si="186"/>
        <v>8764.7458238938998</v>
      </c>
      <c r="O331" s="6">
        <f t="shared" si="186"/>
        <v>8967.5904035346011</v>
      </c>
      <c r="P331" s="6">
        <f t="shared" si="186"/>
        <v>9173.0076152146994</v>
      </c>
      <c r="Q331" s="6">
        <f t="shared" si="186"/>
        <v>9380.4475977597995</v>
      </c>
      <c r="R331" s="6">
        <f t="shared" si="186"/>
        <v>9589.4487776599017</v>
      </c>
      <c r="S331" s="6">
        <f t="shared" si="186"/>
        <v>9799.5611017728988</v>
      </c>
      <c r="T331" s="6">
        <f t="shared" si="186"/>
        <v>10010.4284719609</v>
      </c>
      <c r="U331" s="6">
        <f t="shared" si="186"/>
        <v>10221.7578698366</v>
      </c>
      <c r="V331" s="6">
        <f t="shared" si="186"/>
        <v>10433.301188143601</v>
      </c>
      <c r="W331" s="6">
        <f t="shared" si="186"/>
        <v>10643.2144152697</v>
      </c>
      <c r="X331" s="6">
        <f t="shared" si="186"/>
        <v>10853.0590836586</v>
      </c>
      <c r="Y331" s="6">
        <f t="shared" si="186"/>
        <v>11062.721721538999</v>
      </c>
      <c r="Z331" s="6">
        <f t="shared" si="186"/>
        <v>11272.141849952</v>
      </c>
      <c r="AA331" s="6">
        <f t="shared" si="186"/>
        <v>11481.276966473999</v>
      </c>
      <c r="AB331" s="6">
        <f t="shared" si="186"/>
        <v>11685.313885291001</v>
      </c>
      <c r="AC331" s="6">
        <f t="shared" si="186"/>
        <v>11887.093910239002</v>
      </c>
      <c r="AD331" s="6">
        <f t="shared" si="186"/>
        <v>12086.826294403998</v>
      </c>
      <c r="AE331" s="6">
        <f t="shared" si="186"/>
        <v>12284.822705442</v>
      </c>
      <c r="AF331" s="6">
        <f t="shared" si="186"/>
        <v>12481.427874857001</v>
      </c>
      <c r="AG331" s="6">
        <f t="shared" si="186"/>
        <v>12676.982216035</v>
      </c>
      <c r="AH331" s="6">
        <f t="shared" si="186"/>
        <v>12871.817330162001</v>
      </c>
      <c r="AI331" s="6">
        <f t="shared" si="186"/>
        <v>13066.226794980999</v>
      </c>
      <c r="AJ331" s="6">
        <f t="shared" si="186"/>
        <v>13260.471734706</v>
      </c>
      <c r="AK331" s="6">
        <f t="shared" si="186"/>
        <v>13454.788988543001</v>
      </c>
      <c r="AL331" s="6">
        <f t="shared" si="186"/>
        <v>13649.397518990001</v>
      </c>
      <c r="AM331" s="6">
        <f t="shared" ref="AM331:BC331" si="187">AM308+AM322+AM315</f>
        <v>13843.457782398</v>
      </c>
      <c r="AN331" s="6">
        <f t="shared" si="187"/>
        <v>14037.279349412001</v>
      </c>
      <c r="AO331" s="6">
        <f t="shared" si="187"/>
        <v>14231.137318834</v>
      </c>
      <c r="AP331" s="6">
        <f t="shared" si="187"/>
        <v>14425.318335738</v>
      </c>
      <c r="AQ331" s="6">
        <f t="shared" si="187"/>
        <v>14620.118316568001</v>
      </c>
      <c r="AR331" s="6">
        <f t="shared" si="187"/>
        <v>14815.846984870001</v>
      </c>
      <c r="AS331" s="6">
        <f t="shared" si="187"/>
        <v>15012.781906579999</v>
      </c>
      <c r="AT331" s="6">
        <f t="shared" si="187"/>
        <v>15211.166216055</v>
      </c>
      <c r="AU331" s="6">
        <f t="shared" si="187"/>
        <v>15411.212194479001</v>
      </c>
      <c r="AV331" s="6">
        <f t="shared" si="187"/>
        <v>15613.104516860001</v>
      </c>
      <c r="AW331" s="6">
        <f t="shared" si="187"/>
        <v>15817.175377694999</v>
      </c>
      <c r="AX331" s="6">
        <f t="shared" si="187"/>
        <v>16023.581537197</v>
      </c>
      <c r="AY331" s="6">
        <f t="shared" si="187"/>
        <v>16232.437090336</v>
      </c>
      <c r="AZ331" s="6">
        <f t="shared" si="187"/>
        <v>16443.837198686</v>
      </c>
      <c r="BA331" s="6">
        <f t="shared" si="187"/>
        <v>16657.868193178001</v>
      </c>
      <c r="BB331" s="6">
        <f t="shared" si="187"/>
        <v>16874.652280458002</v>
      </c>
      <c r="BC331" s="6">
        <f t="shared" si="187"/>
        <v>17094.280703614</v>
      </c>
      <c r="BD331" s="6">
        <f t="shared" ref="BD331:BF331" si="188">BD308+BD322+BD315</f>
        <v>17316.825289602999</v>
      </c>
      <c r="BE331" s="6">
        <f t="shared" si="188"/>
        <v>17542.353287071001</v>
      </c>
      <c r="BF331" s="6">
        <f t="shared" si="188"/>
        <v>17770.932235748001</v>
      </c>
    </row>
    <row r="332" spans="1:58" x14ac:dyDescent="0.35">
      <c r="B332" t="s">
        <v>97</v>
      </c>
      <c r="C332" s="6">
        <f t="shared" ref="C332:AL332" si="189">C309+C323+C316</f>
        <v>8263.1971436354015</v>
      </c>
      <c r="D332" s="6">
        <f t="shared" si="189"/>
        <v>8193.5769926868998</v>
      </c>
      <c r="E332" s="6">
        <f t="shared" si="189"/>
        <v>8174.0344486463</v>
      </c>
      <c r="F332" s="6">
        <f t="shared" si="189"/>
        <v>8190.4430561993995</v>
      </c>
      <c r="G332" s="6">
        <f t="shared" si="189"/>
        <v>8233.4872318721991</v>
      </c>
      <c r="H332" s="6">
        <f t="shared" si="189"/>
        <v>8297.1142367129996</v>
      </c>
      <c r="I332" s="6">
        <f t="shared" si="189"/>
        <v>8376.2022128042008</v>
      </c>
      <c r="J332" s="6">
        <f t="shared" si="189"/>
        <v>8467.9453326803996</v>
      </c>
      <c r="K332" s="6">
        <f t="shared" si="189"/>
        <v>8570.2650635452992</v>
      </c>
      <c r="L332" s="6">
        <f t="shared" si="189"/>
        <v>8681.5328406303997</v>
      </c>
      <c r="M332" s="6">
        <f t="shared" si="189"/>
        <v>8802.3564970497991</v>
      </c>
      <c r="N332" s="6">
        <f t="shared" si="189"/>
        <v>8929.5002514350017</v>
      </c>
      <c r="O332" s="6">
        <f t="shared" si="189"/>
        <v>9061.9153790008986</v>
      </c>
      <c r="P332" s="6">
        <f t="shared" si="189"/>
        <v>9198.6607294173009</v>
      </c>
      <c r="Q332" s="6">
        <f t="shared" si="189"/>
        <v>9338.9146417269021</v>
      </c>
      <c r="R332" s="6">
        <f t="shared" si="189"/>
        <v>9481.964078712499</v>
      </c>
      <c r="S332" s="6">
        <f t="shared" si="189"/>
        <v>9627.1313782713005</v>
      </c>
      <c r="T332" s="6">
        <f t="shared" si="189"/>
        <v>9773.8485647316993</v>
      </c>
      <c r="U332" s="6">
        <f t="shared" si="189"/>
        <v>9921.6264040860005</v>
      </c>
      <c r="V332" s="6">
        <f t="shared" si="189"/>
        <v>10070.0354073407</v>
      </c>
      <c r="W332" s="6">
        <f t="shared" si="189"/>
        <v>10217.211673722599</v>
      </c>
      <c r="X332" s="6">
        <f t="shared" si="189"/>
        <v>10364.413312734499</v>
      </c>
      <c r="Y332" s="6">
        <f t="shared" si="189"/>
        <v>10511.378766903701</v>
      </c>
      <c r="Z332" s="6">
        <f t="shared" si="189"/>
        <v>10657.904659948099</v>
      </c>
      <c r="AA332" s="6">
        <f t="shared" si="189"/>
        <v>10803.813252440999</v>
      </c>
      <c r="AB332" s="6">
        <f t="shared" si="189"/>
        <v>10944.676967144</v>
      </c>
      <c r="AC332" s="6">
        <f t="shared" si="189"/>
        <v>11082.948413102002</v>
      </c>
      <c r="AD332" s="6">
        <f t="shared" si="189"/>
        <v>11218.721643299999</v>
      </c>
      <c r="AE332" s="6">
        <f t="shared" si="189"/>
        <v>11352.183210170999</v>
      </c>
      <c r="AF332" s="6">
        <f t="shared" si="189"/>
        <v>11483.549143924</v>
      </c>
      <c r="AG332" s="6">
        <f t="shared" si="189"/>
        <v>11613.031486018001</v>
      </c>
      <c r="AH332" s="6">
        <f t="shared" si="189"/>
        <v>11740.834091624998</v>
      </c>
      <c r="AI332" s="6">
        <f t="shared" si="189"/>
        <v>11867.126831607</v>
      </c>
      <c r="AJ332" s="6">
        <f t="shared" si="189"/>
        <v>11992.050468683999</v>
      </c>
      <c r="AK332" s="6">
        <f t="shared" si="189"/>
        <v>12115.723763008</v>
      </c>
      <c r="AL332" s="6">
        <f t="shared" si="189"/>
        <v>12238.249047610001</v>
      </c>
      <c r="AM332" s="6">
        <f t="shared" ref="AM332:BC332" si="190">AM309+AM323+AM316</f>
        <v>12358.825930704001</v>
      </c>
      <c r="AN332" s="6">
        <f t="shared" si="190"/>
        <v>12477.643886872</v>
      </c>
      <c r="AO332" s="6">
        <f t="shared" si="190"/>
        <v>12594.860869806</v>
      </c>
      <c r="AP332" s="6">
        <f t="shared" si="190"/>
        <v>12710.641687633</v>
      </c>
      <c r="AQ332" s="6">
        <f t="shared" si="190"/>
        <v>12825.155801125002</v>
      </c>
      <c r="AR332" s="6">
        <f t="shared" si="190"/>
        <v>12938.581022792998</v>
      </c>
      <c r="AS332" s="6">
        <f t="shared" si="190"/>
        <v>13051.065193719</v>
      </c>
      <c r="AT332" s="6">
        <f t="shared" si="190"/>
        <v>13162.724411168001</v>
      </c>
      <c r="AU332" s="6">
        <f t="shared" si="190"/>
        <v>13273.646388507999</v>
      </c>
      <c r="AV332" s="6">
        <f t="shared" si="190"/>
        <v>13383.893508019</v>
      </c>
      <c r="AW332" s="6">
        <f t="shared" si="190"/>
        <v>13493.644965777999</v>
      </c>
      <c r="AX332" s="6">
        <f t="shared" si="190"/>
        <v>13602.933560517</v>
      </c>
      <c r="AY332" s="6">
        <f t="shared" si="190"/>
        <v>13711.754264145</v>
      </c>
      <c r="AZ332" s="6">
        <f t="shared" si="190"/>
        <v>13820.084119222</v>
      </c>
      <c r="BA332" s="6">
        <f t="shared" si="190"/>
        <v>13927.890958636001</v>
      </c>
      <c r="BB332" s="6">
        <f t="shared" si="190"/>
        <v>14035.169160881998</v>
      </c>
      <c r="BC332" s="6">
        <f t="shared" si="190"/>
        <v>14141.886718468</v>
      </c>
      <c r="BD332" s="6">
        <f t="shared" ref="BD332:BF332" si="191">BD309+BD323+BD316</f>
        <v>14247.993958982001</v>
      </c>
      <c r="BE332" s="6">
        <f t="shared" si="191"/>
        <v>14353.435323007001</v>
      </c>
      <c r="BF332" s="6">
        <f t="shared" si="191"/>
        <v>14458.153251919</v>
      </c>
    </row>
    <row r="333" spans="1:58" x14ac:dyDescent="0.35">
      <c r="B333" t="s">
        <v>98</v>
      </c>
      <c r="C333" s="6">
        <f t="shared" ref="C333:AL333" si="192">C310+C324+C317</f>
        <v>6787.4105911386005</v>
      </c>
      <c r="D333" s="6">
        <f t="shared" si="192"/>
        <v>6655.8218957142999</v>
      </c>
      <c r="E333" s="6">
        <f t="shared" si="192"/>
        <v>6564.7535072785995</v>
      </c>
      <c r="F333" s="6">
        <f t="shared" si="192"/>
        <v>6503.7741928212999</v>
      </c>
      <c r="G333" s="6">
        <f t="shared" si="192"/>
        <v>6465.8701217802009</v>
      </c>
      <c r="H333" s="6">
        <f t="shared" si="192"/>
        <v>6446.3507000660002</v>
      </c>
      <c r="I333" s="6">
        <f t="shared" si="192"/>
        <v>6441.2304973716</v>
      </c>
      <c r="J333" s="6">
        <f t="shared" si="192"/>
        <v>6448.1680172961997</v>
      </c>
      <c r="K333" s="6">
        <f t="shared" si="192"/>
        <v>6465.3636790785004</v>
      </c>
      <c r="L333" s="6">
        <f t="shared" si="192"/>
        <v>6491.3622674422004</v>
      </c>
      <c r="M333" s="6">
        <f t="shared" si="192"/>
        <v>6526.2560108765001</v>
      </c>
      <c r="N333" s="6">
        <f t="shared" si="192"/>
        <v>6567.5557624104003</v>
      </c>
      <c r="O333" s="6">
        <f t="shared" si="192"/>
        <v>6614.2860250378999</v>
      </c>
      <c r="P333" s="6">
        <f t="shared" si="192"/>
        <v>6665.5686019340001</v>
      </c>
      <c r="Q333" s="6">
        <f t="shared" si="192"/>
        <v>6720.6280310511993</v>
      </c>
      <c r="R333" s="6">
        <f t="shared" si="192"/>
        <v>6778.7819960033003</v>
      </c>
      <c r="S333" s="6">
        <f t="shared" si="192"/>
        <v>6839.3907607696992</v>
      </c>
      <c r="T333" s="6">
        <f t="shared" si="192"/>
        <v>6901.9052712786997</v>
      </c>
      <c r="U333" s="6">
        <f t="shared" si="192"/>
        <v>6965.8447512834009</v>
      </c>
      <c r="V333" s="6">
        <f t="shared" si="192"/>
        <v>7030.782418160099</v>
      </c>
      <c r="W333" s="6">
        <f t="shared" si="192"/>
        <v>7095.3637123813005</v>
      </c>
      <c r="X333" s="6">
        <f t="shared" si="192"/>
        <v>7160.3007136102997</v>
      </c>
      <c r="Y333" s="6">
        <f t="shared" si="192"/>
        <v>7225.3128134842009</v>
      </c>
      <c r="Z333" s="6">
        <f t="shared" si="192"/>
        <v>7290.1659809841003</v>
      </c>
      <c r="AA333" s="6">
        <f t="shared" si="192"/>
        <v>7354.6508458648004</v>
      </c>
      <c r="AB333" s="6">
        <f t="shared" si="192"/>
        <v>7415.8281085755998</v>
      </c>
      <c r="AC333" s="6">
        <f t="shared" si="192"/>
        <v>7475.2220568597995</v>
      </c>
      <c r="AD333" s="6">
        <f t="shared" si="192"/>
        <v>7532.8335425579999</v>
      </c>
      <c r="AE333" s="6">
        <f t="shared" si="192"/>
        <v>7588.7251315561998</v>
      </c>
      <c r="AF333" s="6">
        <f t="shared" si="192"/>
        <v>7642.9798743621004</v>
      </c>
      <c r="AG333" s="6">
        <f t="shared" si="192"/>
        <v>7695.6797063705999</v>
      </c>
      <c r="AH333" s="6">
        <f t="shared" si="192"/>
        <v>7746.902570552701</v>
      </c>
      <c r="AI333" s="6">
        <f t="shared" si="192"/>
        <v>7796.7060706230004</v>
      </c>
      <c r="AJ333" s="6">
        <f t="shared" si="192"/>
        <v>7845.1305267943999</v>
      </c>
      <c r="AK333" s="6">
        <f t="shared" si="192"/>
        <v>7892.2034812543998</v>
      </c>
      <c r="AL333" s="6">
        <f t="shared" si="192"/>
        <v>7937.9432529671994</v>
      </c>
      <c r="AM333" s="6">
        <f t="shared" ref="AM333:BC333" si="193">AM310+AM324+AM317</f>
        <v>7981.8139501203996</v>
      </c>
      <c r="AN333" s="6">
        <f t="shared" si="193"/>
        <v>8023.8968013721997</v>
      </c>
      <c r="AO333" s="6">
        <f t="shared" si="193"/>
        <v>8064.2538692008002</v>
      </c>
      <c r="AP333" s="6">
        <f t="shared" si="193"/>
        <v>8102.9512461015001</v>
      </c>
      <c r="AQ333" s="6">
        <f t="shared" si="193"/>
        <v>8140.0576434789991</v>
      </c>
      <c r="AR333" s="6">
        <f t="shared" si="193"/>
        <v>8175.6466086349001</v>
      </c>
      <c r="AS333" s="6">
        <f t="shared" si="193"/>
        <v>8209.7734778796003</v>
      </c>
      <c r="AT333" s="6">
        <f t="shared" si="193"/>
        <v>8242.4745389479995</v>
      </c>
      <c r="AU333" s="6">
        <f t="shared" si="193"/>
        <v>8273.7692959689994</v>
      </c>
      <c r="AV333" s="6">
        <f t="shared" si="193"/>
        <v>8303.6625971279009</v>
      </c>
      <c r="AW333" s="6">
        <f t="shared" si="193"/>
        <v>8332.2280798708998</v>
      </c>
      <c r="AX333" s="6">
        <f t="shared" si="193"/>
        <v>8359.4532504215003</v>
      </c>
      <c r="AY333" s="6">
        <f t="shared" si="193"/>
        <v>8385.3037931549006</v>
      </c>
      <c r="AZ333" s="6">
        <f t="shared" si="193"/>
        <v>8409.7356360711001</v>
      </c>
      <c r="BA333" s="6">
        <f t="shared" si="193"/>
        <v>8432.7004912450011</v>
      </c>
      <c r="BB333" s="6">
        <f t="shared" si="193"/>
        <v>8454.1665594089009</v>
      </c>
      <c r="BC333" s="6">
        <f t="shared" si="193"/>
        <v>8474.0883694298991</v>
      </c>
      <c r="BD333" s="6">
        <f t="shared" ref="BD333:BF333" si="194">BD310+BD324+BD317</f>
        <v>8492.4115995011998</v>
      </c>
      <c r="BE333" s="6">
        <f t="shared" si="194"/>
        <v>8509.079944200299</v>
      </c>
      <c r="BF333" s="6">
        <f t="shared" si="194"/>
        <v>8524.0374791908998</v>
      </c>
    </row>
    <row r="334" spans="1:58" x14ac:dyDescent="0.35">
      <c r="B334" t="s">
        <v>99</v>
      </c>
      <c r="C334" s="6">
        <f t="shared" ref="C334:AL334" si="195">C311+C325+C318</f>
        <v>4165.6835237371006</v>
      </c>
      <c r="D334" s="6">
        <f t="shared" si="195"/>
        <v>4060.4036219651002</v>
      </c>
      <c r="E334" s="6">
        <f t="shared" si="195"/>
        <v>3978.4784612477001</v>
      </c>
      <c r="F334" s="6">
        <f t="shared" si="195"/>
        <v>3913.5688524375</v>
      </c>
      <c r="G334" s="6">
        <f t="shared" si="195"/>
        <v>3861.3807581103001</v>
      </c>
      <c r="H334" s="6">
        <f t="shared" si="195"/>
        <v>3819.0053420413005</v>
      </c>
      <c r="I334" s="6">
        <f t="shared" si="195"/>
        <v>3784.0150434270004</v>
      </c>
      <c r="J334" s="6">
        <f t="shared" si="195"/>
        <v>3754.9358678586004</v>
      </c>
      <c r="K334" s="6">
        <f t="shared" si="195"/>
        <v>3730.634152133</v>
      </c>
      <c r="L334" s="6">
        <f t="shared" si="195"/>
        <v>3710.1966034659999</v>
      </c>
      <c r="M334" s="6">
        <f t="shared" si="195"/>
        <v>3693.5196784367004</v>
      </c>
      <c r="N334" s="6">
        <f t="shared" si="195"/>
        <v>3679.218096175</v>
      </c>
      <c r="O334" s="6">
        <f t="shared" si="195"/>
        <v>3666.7037737409005</v>
      </c>
      <c r="P334" s="6">
        <f t="shared" si="195"/>
        <v>3655.4600585136</v>
      </c>
      <c r="Q334" s="6">
        <f t="shared" si="195"/>
        <v>3645.0407262303002</v>
      </c>
      <c r="R334" s="6">
        <f t="shared" si="195"/>
        <v>3635.0622679225999</v>
      </c>
      <c r="S334" s="6">
        <f t="shared" si="195"/>
        <v>3625.1782927597001</v>
      </c>
      <c r="T334" s="6">
        <f t="shared" si="195"/>
        <v>3615.1004394178999</v>
      </c>
      <c r="U334" s="6">
        <f t="shared" si="195"/>
        <v>3604.5856201733</v>
      </c>
      <c r="V334" s="6">
        <f t="shared" si="195"/>
        <v>3593.4273322285003</v>
      </c>
      <c r="W334" s="6">
        <f t="shared" si="195"/>
        <v>3581.0277627944001</v>
      </c>
      <c r="X334" s="6">
        <f t="shared" si="195"/>
        <v>3567.7078155997997</v>
      </c>
      <c r="Y334" s="6">
        <f t="shared" si="195"/>
        <v>3553.3531794389005</v>
      </c>
      <c r="Z334" s="6">
        <f t="shared" si="195"/>
        <v>3537.8744552621001</v>
      </c>
      <c r="AA334" s="6">
        <f t="shared" si="195"/>
        <v>3521.1975451142998</v>
      </c>
      <c r="AB334" s="6">
        <f t="shared" si="195"/>
        <v>3502.1629487317996</v>
      </c>
      <c r="AC334" s="6">
        <f t="shared" si="195"/>
        <v>3481.4429196382002</v>
      </c>
      <c r="AD334" s="6">
        <f t="shared" si="195"/>
        <v>3459.0850777846999</v>
      </c>
      <c r="AE334" s="6">
        <f t="shared" si="195"/>
        <v>3435.1581899608</v>
      </c>
      <c r="AF334" s="6">
        <f t="shared" si="195"/>
        <v>3409.7354284058001</v>
      </c>
      <c r="AG334" s="6">
        <f t="shared" si="195"/>
        <v>3382.8864922124999</v>
      </c>
      <c r="AH334" s="6">
        <f t="shared" si="195"/>
        <v>3354.6770083962997</v>
      </c>
      <c r="AI334" s="6">
        <f t="shared" si="195"/>
        <v>3325.1630951784</v>
      </c>
      <c r="AJ334" s="6">
        <f t="shared" si="195"/>
        <v>3294.3931046697999</v>
      </c>
      <c r="AK334" s="6">
        <f t="shared" si="195"/>
        <v>3262.4098676870999</v>
      </c>
      <c r="AL334" s="6">
        <f t="shared" si="195"/>
        <v>3229.2525024658003</v>
      </c>
      <c r="AM334" s="6">
        <f t="shared" ref="AM334:BC334" si="196">AM311+AM325+AM318</f>
        <v>3194.7799739003999</v>
      </c>
      <c r="AN334" s="6">
        <f t="shared" si="196"/>
        <v>3159.0623838985998</v>
      </c>
      <c r="AO334" s="6">
        <f t="shared" si="196"/>
        <v>3122.1625679601998</v>
      </c>
      <c r="AP334" s="6">
        <f t="shared" si="196"/>
        <v>3084.1434204878001</v>
      </c>
      <c r="AQ334" s="6">
        <f t="shared" si="196"/>
        <v>3045.0676719092999</v>
      </c>
      <c r="AR334" s="6">
        <f t="shared" si="196"/>
        <v>3004.9988687300997</v>
      </c>
      <c r="AS334" s="6">
        <f t="shared" si="196"/>
        <v>2963.9948557633998</v>
      </c>
      <c r="AT334" s="6">
        <f t="shared" si="196"/>
        <v>2922.1079807607998</v>
      </c>
      <c r="AU334" s="6">
        <f t="shared" si="196"/>
        <v>2879.3862935842999</v>
      </c>
      <c r="AV334" s="6">
        <f t="shared" si="196"/>
        <v>2835.8746226004</v>
      </c>
      <c r="AW334" s="6">
        <f t="shared" si="196"/>
        <v>2791.6367966732</v>
      </c>
      <c r="AX334" s="6">
        <f t="shared" si="196"/>
        <v>2746.7142320805001</v>
      </c>
      <c r="AY334" s="6">
        <f t="shared" si="196"/>
        <v>2701.1436799027997</v>
      </c>
      <c r="AZ334" s="6">
        <f t="shared" si="196"/>
        <v>2654.9609250133999</v>
      </c>
      <c r="BA334" s="6">
        <f t="shared" si="196"/>
        <v>2608.2026311576997</v>
      </c>
      <c r="BB334" s="6">
        <f t="shared" si="196"/>
        <v>2560.9114755657001</v>
      </c>
      <c r="BC334" s="6">
        <f t="shared" si="196"/>
        <v>2513.1289118494001</v>
      </c>
      <c r="BD334" s="6">
        <f t="shared" ref="BD334:BF334" si="197">BD311+BD325+BD318</f>
        <v>2464.8960540910002</v>
      </c>
      <c r="BE334" s="6">
        <f t="shared" si="197"/>
        <v>2416.2552545489998</v>
      </c>
      <c r="BF334" s="6">
        <f t="shared" si="197"/>
        <v>2367.2506341792</v>
      </c>
    </row>
    <row r="335" spans="1:58" x14ac:dyDescent="0.35">
      <c r="B335" t="s">
        <v>100</v>
      </c>
      <c r="C335" s="6">
        <f t="shared" ref="C335:AL335" si="198">C312+C326+C319</f>
        <v>2507.3524895615005</v>
      </c>
      <c r="D335" s="6">
        <f t="shared" si="198"/>
        <v>2446.3594065092998</v>
      </c>
      <c r="E335" s="6">
        <f t="shared" si="198"/>
        <v>2398.5574306240001</v>
      </c>
      <c r="F335" s="6">
        <f t="shared" si="198"/>
        <v>2359.8881728093997</v>
      </c>
      <c r="G335" s="6">
        <f t="shared" si="198"/>
        <v>2327.6300893723001</v>
      </c>
      <c r="H335" s="6">
        <f t="shared" si="198"/>
        <v>2299.9626631140004</v>
      </c>
      <c r="I335" s="6">
        <f t="shared" si="198"/>
        <v>2275.4055297567998</v>
      </c>
      <c r="J335" s="6">
        <f t="shared" si="198"/>
        <v>2253.0826660203998</v>
      </c>
      <c r="K335" s="6">
        <f t="shared" si="198"/>
        <v>2232.3435344732002</v>
      </c>
      <c r="L335" s="6">
        <f t="shared" si="198"/>
        <v>2212.6836274148</v>
      </c>
      <c r="M335" s="6">
        <f t="shared" si="198"/>
        <v>2194.0680043515999</v>
      </c>
      <c r="N335" s="6">
        <f t="shared" si="198"/>
        <v>2175.7445238443997</v>
      </c>
      <c r="O335" s="6">
        <f t="shared" si="198"/>
        <v>2157.4253234922003</v>
      </c>
      <c r="P335" s="6">
        <f t="shared" si="198"/>
        <v>2138.8706281863997</v>
      </c>
      <c r="Q335" s="6">
        <f t="shared" si="198"/>
        <v>2119.8861541284</v>
      </c>
      <c r="R335" s="6">
        <f t="shared" si="198"/>
        <v>2100.3172389337001</v>
      </c>
      <c r="S335" s="6">
        <f t="shared" si="198"/>
        <v>2080.0341889191004</v>
      </c>
      <c r="T335" s="6">
        <f t="shared" si="198"/>
        <v>2058.9423931452002</v>
      </c>
      <c r="U335" s="6">
        <f t="shared" si="198"/>
        <v>2036.9743481311</v>
      </c>
      <c r="V335" s="6">
        <f t="shared" si="198"/>
        <v>2014.0840258481999</v>
      </c>
      <c r="W335" s="6">
        <f t="shared" si="198"/>
        <v>1990.0347889957</v>
      </c>
      <c r="X335" s="6">
        <f t="shared" si="198"/>
        <v>1965.0501506431999</v>
      </c>
      <c r="Y335" s="6">
        <f t="shared" si="198"/>
        <v>1939.1340227915</v>
      </c>
      <c r="Z335" s="6">
        <f t="shared" si="198"/>
        <v>1912.3019096663002</v>
      </c>
      <c r="AA335" s="6">
        <f t="shared" si="198"/>
        <v>1884.5761654682001</v>
      </c>
      <c r="AB335" s="6">
        <f t="shared" si="198"/>
        <v>1855.4822058200002</v>
      </c>
      <c r="AC335" s="6">
        <f t="shared" si="198"/>
        <v>1825.4010384733001</v>
      </c>
      <c r="AD335" s="6">
        <f t="shared" si="198"/>
        <v>1794.4179545899001</v>
      </c>
      <c r="AE335" s="6">
        <f t="shared" si="198"/>
        <v>1762.6235732969999</v>
      </c>
      <c r="AF335" s="6">
        <f t="shared" si="198"/>
        <v>1730.1063127327002</v>
      </c>
      <c r="AG335" s="6">
        <f t="shared" si="198"/>
        <v>1696.9492996302001</v>
      </c>
      <c r="AH335" s="6">
        <f t="shared" si="198"/>
        <v>1663.2305105345999</v>
      </c>
      <c r="AI335" s="6">
        <f t="shared" si="198"/>
        <v>1629.0208589512999</v>
      </c>
      <c r="AJ335" s="6">
        <f t="shared" si="198"/>
        <v>1594.3853341930001</v>
      </c>
      <c r="AK335" s="6">
        <f t="shared" si="198"/>
        <v>1559.3842930019</v>
      </c>
      <c r="AL335" s="6">
        <f t="shared" si="198"/>
        <v>1524.0745032018001</v>
      </c>
      <c r="AM335" s="6">
        <f t="shared" ref="AM335:BC335" si="199">AM312+AM326+AM319</f>
        <v>1488.4426303292</v>
      </c>
      <c r="AN335" s="6">
        <f t="shared" si="199"/>
        <v>1452.5571276763001</v>
      </c>
      <c r="AO335" s="6">
        <f t="shared" si="199"/>
        <v>1416.4813580291</v>
      </c>
      <c r="AP335" s="6">
        <f t="shared" si="199"/>
        <v>1380.2763714291</v>
      </c>
      <c r="AQ335" s="6">
        <f t="shared" si="199"/>
        <v>1344.0009564731999</v>
      </c>
      <c r="AR335" s="6">
        <f t="shared" si="199"/>
        <v>1307.7121396292</v>
      </c>
      <c r="AS335" s="6">
        <f t="shared" si="199"/>
        <v>1271.4630463637</v>
      </c>
      <c r="AT335" s="6">
        <f t="shared" si="199"/>
        <v>1235.3031335546</v>
      </c>
      <c r="AU335" s="6">
        <f t="shared" si="199"/>
        <v>1199.2787715304</v>
      </c>
      <c r="AV335" s="6">
        <f t="shared" si="199"/>
        <v>1163.4337248144</v>
      </c>
      <c r="AW335" s="6">
        <f t="shared" si="199"/>
        <v>1127.8161333235</v>
      </c>
      <c r="AX335" s="6">
        <f t="shared" si="199"/>
        <v>1092.4654094980999</v>
      </c>
      <c r="AY335" s="6">
        <f t="shared" si="199"/>
        <v>1057.4179957727999</v>
      </c>
      <c r="AZ335" s="6">
        <f t="shared" si="199"/>
        <v>1022.7086272330999</v>
      </c>
      <c r="BA335" s="6">
        <f t="shared" si="199"/>
        <v>988.37095151039989</v>
      </c>
      <c r="BB335" s="6">
        <f t="shared" si="199"/>
        <v>954.43896918450002</v>
      </c>
      <c r="BC335" s="6">
        <f t="shared" si="199"/>
        <v>920.94491126410003</v>
      </c>
      <c r="BD335" s="6">
        <f t="shared" ref="BD335:BF335" si="200">BD312+BD326+BD319</f>
        <v>887.91937322040008</v>
      </c>
      <c r="BE335" s="6">
        <f t="shared" si="200"/>
        <v>855.39170420189998</v>
      </c>
      <c r="BF335" s="6">
        <f t="shared" si="200"/>
        <v>823.39010155460005</v>
      </c>
    </row>
    <row r="336" spans="1:58" x14ac:dyDescent="0.35">
      <c r="B336" t="s">
        <v>101</v>
      </c>
      <c r="C336" s="6">
        <f t="shared" ref="C336:AL336" si="201">C313+C327+C320</f>
        <v>1245.466605953</v>
      </c>
      <c r="D336" s="6">
        <f t="shared" si="201"/>
        <v>1212.5206961864001</v>
      </c>
      <c r="E336" s="6">
        <f t="shared" si="201"/>
        <v>1184.7506683709</v>
      </c>
      <c r="F336" s="6">
        <f t="shared" si="201"/>
        <v>1159.9218834489002</v>
      </c>
      <c r="G336" s="6">
        <f t="shared" si="201"/>
        <v>1136.6038754790002</v>
      </c>
      <c r="H336" s="6">
        <f t="shared" si="201"/>
        <v>1113.9024654266</v>
      </c>
      <c r="I336" s="6">
        <f t="shared" si="201"/>
        <v>1091.1725600308998</v>
      </c>
      <c r="J336" s="6">
        <f t="shared" si="201"/>
        <v>1068.0971411826999</v>
      </c>
      <c r="K336" s="6">
        <f t="shared" si="201"/>
        <v>1044.4971361298999</v>
      </c>
      <c r="L336" s="6">
        <f t="shared" si="201"/>
        <v>1020.2809143571</v>
      </c>
      <c r="M336" s="6">
        <f t="shared" si="201"/>
        <v>995.54311597909998</v>
      </c>
      <c r="N336" s="6">
        <f t="shared" si="201"/>
        <v>970.13167672029999</v>
      </c>
      <c r="O336" s="6">
        <f t="shared" si="201"/>
        <v>944.07568331800007</v>
      </c>
      <c r="P336" s="6">
        <f t="shared" si="201"/>
        <v>917.42679122369998</v>
      </c>
      <c r="Q336" s="6">
        <f t="shared" si="201"/>
        <v>890.25424266929997</v>
      </c>
      <c r="R336" s="6">
        <f t="shared" si="201"/>
        <v>862.63974654779997</v>
      </c>
      <c r="S336" s="6">
        <f t="shared" si="201"/>
        <v>834.67098828949997</v>
      </c>
      <c r="T336" s="6">
        <f t="shared" si="201"/>
        <v>806.44256292449995</v>
      </c>
      <c r="U336" s="6">
        <f t="shared" si="201"/>
        <v>778.05183294559993</v>
      </c>
      <c r="V336" s="6">
        <f t="shared" si="201"/>
        <v>749.5959174454</v>
      </c>
      <c r="W336" s="6">
        <f t="shared" si="201"/>
        <v>721.12382631399998</v>
      </c>
      <c r="X336" s="6">
        <f t="shared" si="201"/>
        <v>692.78273655960004</v>
      </c>
      <c r="Y336" s="6">
        <f t="shared" si="201"/>
        <v>664.65927774809995</v>
      </c>
      <c r="Z336" s="6">
        <f t="shared" si="201"/>
        <v>636.83407724940002</v>
      </c>
      <c r="AA336" s="6">
        <f t="shared" si="201"/>
        <v>609.3810064534</v>
      </c>
      <c r="AB336" s="6">
        <f t="shared" si="201"/>
        <v>582.28265437269999</v>
      </c>
      <c r="AC336" s="6">
        <f t="shared" si="201"/>
        <v>555.6681511841</v>
      </c>
      <c r="AD336" s="6">
        <f t="shared" si="201"/>
        <v>529.60320403899993</v>
      </c>
      <c r="AE336" s="6">
        <f t="shared" si="201"/>
        <v>504.14495008759997</v>
      </c>
      <c r="AF336" s="6">
        <f t="shared" si="201"/>
        <v>479.34150091950005</v>
      </c>
      <c r="AG336" s="6">
        <f t="shared" si="201"/>
        <v>455.23238550529999</v>
      </c>
      <c r="AH336" s="6">
        <f t="shared" si="201"/>
        <v>431.84940687239998</v>
      </c>
      <c r="AI336" s="6">
        <f t="shared" si="201"/>
        <v>409.2171739899</v>
      </c>
      <c r="AJ336" s="6">
        <f t="shared" si="201"/>
        <v>387.35395219899999</v>
      </c>
      <c r="AK336" s="6">
        <f t="shared" si="201"/>
        <v>366.27245077809999</v>
      </c>
      <c r="AL336" s="6">
        <f t="shared" si="201"/>
        <v>345.98049764789999</v>
      </c>
      <c r="AM336" s="6">
        <f t="shared" ref="AM336:BC336" si="202">AM313+AM327+AM320</f>
        <v>326.47585420940004</v>
      </c>
      <c r="AN336" s="6">
        <f t="shared" si="202"/>
        <v>307.76065653180001</v>
      </c>
      <c r="AO336" s="6">
        <f t="shared" si="202"/>
        <v>289.83298155620002</v>
      </c>
      <c r="AP336" s="6">
        <f t="shared" si="202"/>
        <v>272.68746124419999</v>
      </c>
      <c r="AQ336" s="6">
        <f t="shared" si="202"/>
        <v>256.31567483139997</v>
      </c>
      <c r="AR336" s="6">
        <f t="shared" si="202"/>
        <v>240.70654453619997</v>
      </c>
      <c r="AS336" s="6">
        <f t="shared" si="202"/>
        <v>225.84653174089999</v>
      </c>
      <c r="AT336" s="6">
        <f t="shared" si="202"/>
        <v>211.7199675082</v>
      </c>
      <c r="AU336" s="6">
        <f t="shared" si="202"/>
        <v>198.30937802670002</v>
      </c>
      <c r="AV336" s="6">
        <f t="shared" si="202"/>
        <v>185.59577508869998</v>
      </c>
      <c r="AW336" s="6">
        <f t="shared" si="202"/>
        <v>173.55918586350001</v>
      </c>
      <c r="AX336" s="6">
        <f t="shared" si="202"/>
        <v>162.1782780513</v>
      </c>
      <c r="AY336" s="6">
        <f t="shared" si="202"/>
        <v>151.43084310969999</v>
      </c>
      <c r="AZ336" s="6">
        <f t="shared" si="202"/>
        <v>141.29404666650001</v>
      </c>
      <c r="BA336" s="6">
        <f t="shared" si="202"/>
        <v>131.7446268292</v>
      </c>
      <c r="BB336" s="6">
        <f t="shared" si="202"/>
        <v>122.7590881925</v>
      </c>
      <c r="BC336" s="6">
        <f t="shared" si="202"/>
        <v>114.31377201250001</v>
      </c>
      <c r="BD336" s="6">
        <f t="shared" ref="BD336:BF336" si="203">BD313+BD327+BD320</f>
        <v>106.38498454879999</v>
      </c>
      <c r="BE336" s="6">
        <f t="shared" si="203"/>
        <v>98.9491276615</v>
      </c>
      <c r="BF336" s="6">
        <f t="shared" si="203"/>
        <v>91.982810607299996</v>
      </c>
    </row>
    <row r="337" spans="1:58" x14ac:dyDescent="0.35">
      <c r="B337" t="s">
        <v>102</v>
      </c>
      <c r="C337" s="6">
        <f t="shared" ref="C337:AL337" si="204">C314+C328+C321</f>
        <v>2242.8616504070001</v>
      </c>
      <c r="D337" s="6">
        <f t="shared" si="204"/>
        <v>2186.9766319523001</v>
      </c>
      <c r="E337" s="6">
        <f t="shared" si="204"/>
        <v>2138.0357346708001</v>
      </c>
      <c r="F337" s="6">
        <f t="shared" si="204"/>
        <v>2091.6075157621003</v>
      </c>
      <c r="G337" s="6">
        <f t="shared" si="204"/>
        <v>2045.0526211874001</v>
      </c>
      <c r="H337" s="6">
        <f t="shared" si="204"/>
        <v>1996.9107047559</v>
      </c>
      <c r="I337" s="6">
        <f t="shared" si="204"/>
        <v>1946.3165213501002</v>
      </c>
      <c r="J337" s="6">
        <f t="shared" si="204"/>
        <v>1893.0609870208</v>
      </c>
      <c r="K337" s="6">
        <f t="shared" si="204"/>
        <v>1837.2149731333</v>
      </c>
      <c r="L337" s="6">
        <f t="shared" si="204"/>
        <v>1779.0113644467001</v>
      </c>
      <c r="M337" s="6">
        <f t="shared" si="204"/>
        <v>1718.9559374780999</v>
      </c>
      <c r="N337" s="6">
        <f t="shared" si="204"/>
        <v>1657.1875858525</v>
      </c>
      <c r="O337" s="6">
        <f t="shared" si="204"/>
        <v>1594.0970392283998</v>
      </c>
      <c r="P337" s="6">
        <f t="shared" si="204"/>
        <v>1530.0838278357999</v>
      </c>
      <c r="Q337" s="6">
        <f t="shared" si="204"/>
        <v>1465.5434435524999</v>
      </c>
      <c r="R337" s="6">
        <f t="shared" si="204"/>
        <v>1400.8567219911999</v>
      </c>
      <c r="S337" s="6">
        <f t="shared" si="204"/>
        <v>1336.3799215075999</v>
      </c>
      <c r="T337" s="6">
        <f t="shared" si="204"/>
        <v>1272.444719012</v>
      </c>
      <c r="U337" s="6">
        <f t="shared" si="204"/>
        <v>1209.3529867968002</v>
      </c>
      <c r="V337" s="6">
        <f t="shared" si="204"/>
        <v>1147.373903183</v>
      </c>
      <c r="W337" s="6">
        <f t="shared" si="204"/>
        <v>1086.6999671244</v>
      </c>
      <c r="X337" s="6">
        <f t="shared" si="204"/>
        <v>1027.5888663097001</v>
      </c>
      <c r="Y337" s="6">
        <f t="shared" si="204"/>
        <v>970.20961300930003</v>
      </c>
      <c r="Z337" s="6">
        <f t="shared" si="204"/>
        <v>914.69961363070001</v>
      </c>
      <c r="AA337" s="6">
        <f t="shared" si="204"/>
        <v>861.1667698504001</v>
      </c>
      <c r="AB337" s="6">
        <f t="shared" si="204"/>
        <v>809.62954161589994</v>
      </c>
      <c r="AC337" s="6">
        <f t="shared" si="204"/>
        <v>760.20162014490006</v>
      </c>
      <c r="AD337" s="6">
        <f t="shared" si="204"/>
        <v>712.92796403069997</v>
      </c>
      <c r="AE337" s="6">
        <f t="shared" si="204"/>
        <v>667.83082635630001</v>
      </c>
      <c r="AF337" s="6">
        <f t="shared" si="204"/>
        <v>624.91220616110002</v>
      </c>
      <c r="AG337" s="6">
        <f t="shared" si="204"/>
        <v>584.15675865430001</v>
      </c>
      <c r="AH337" s="6">
        <f t="shared" si="204"/>
        <v>545.53466475879998</v>
      </c>
      <c r="AI337" s="6">
        <f t="shared" si="204"/>
        <v>509.00401542739996</v>
      </c>
      <c r="AJ337" s="6">
        <f t="shared" si="204"/>
        <v>474.51311110929998</v>
      </c>
      <c r="AK337" s="6">
        <f t="shared" si="204"/>
        <v>442.0024718789</v>
      </c>
      <c r="AL337" s="6">
        <f t="shared" si="204"/>
        <v>411.4065598121</v>
      </c>
      <c r="AM337" s="6">
        <f t="shared" ref="AM337:BC337" si="205">AM314+AM328+AM321</f>
        <v>382.65290040410002</v>
      </c>
      <c r="AN337" s="6">
        <f t="shared" si="205"/>
        <v>355.66936064099997</v>
      </c>
      <c r="AO337" s="6">
        <f t="shared" si="205"/>
        <v>330.38109437819998</v>
      </c>
      <c r="AP337" s="6">
        <f t="shared" si="205"/>
        <v>306.71161962100001</v>
      </c>
      <c r="AQ337" s="6">
        <f t="shared" si="205"/>
        <v>284.58368948750001</v>
      </c>
      <c r="AR337" s="6">
        <f t="shared" si="205"/>
        <v>263.92005006400001</v>
      </c>
      <c r="AS337" s="6">
        <f t="shared" si="205"/>
        <v>244.6440286925</v>
      </c>
      <c r="AT337" s="6">
        <f t="shared" si="205"/>
        <v>226.68007413359999</v>
      </c>
      <c r="AU337" s="6">
        <f t="shared" si="205"/>
        <v>209.95421135550001</v>
      </c>
      <c r="AV337" s="6">
        <f t="shared" si="205"/>
        <v>194.39440905410001</v>
      </c>
      <c r="AW337" s="6">
        <f t="shared" si="205"/>
        <v>179.93093090530002</v>
      </c>
      <c r="AX337" s="6">
        <f t="shared" si="205"/>
        <v>166.49642257879998</v>
      </c>
      <c r="AY337" s="6">
        <f t="shared" si="205"/>
        <v>154.0261534867</v>
      </c>
      <c r="AZ337" s="6">
        <f t="shared" si="205"/>
        <v>142.4581530991</v>
      </c>
      <c r="BA337" s="6">
        <f t="shared" si="205"/>
        <v>131.73329528900001</v>
      </c>
      <c r="BB337" s="6">
        <f t="shared" si="205"/>
        <v>121.7953447949</v>
      </c>
      <c r="BC337" s="6">
        <f t="shared" si="205"/>
        <v>112.59095422839999</v>
      </c>
      <c r="BD337" s="6">
        <f t="shared" ref="BD337:BF337" si="206">BD314+BD328+BD321</f>
        <v>104.06964714679999</v>
      </c>
      <c r="BE337" s="6">
        <f t="shared" si="206"/>
        <v>96.1837805312</v>
      </c>
      <c r="BF337" s="6">
        <f t="shared" si="206"/>
        <v>88.888487768600001</v>
      </c>
    </row>
    <row r="339" spans="1:58" x14ac:dyDescent="0.35">
      <c r="A339" s="12" t="s">
        <v>90</v>
      </c>
      <c r="B339" s="6" t="str">
        <f>[1]Hybrid!A19</f>
        <v>auto_ca_cfut_0</v>
      </c>
      <c r="C339" s="6">
        <f>[1]Hybrid!B19</f>
        <v>7095.7005250000002</v>
      </c>
      <c r="D339" s="6">
        <f>[1]Hybrid!C19</f>
        <v>7145.1881119999998</v>
      </c>
      <c r="E339" s="6">
        <f>[1]Hybrid!D19</f>
        <v>7246.0534660000003</v>
      </c>
      <c r="F339" s="6">
        <f>[1]Hybrid!E19</f>
        <v>7381.6108990000002</v>
      </c>
      <c r="G339" s="6">
        <f>[1]Hybrid!F19</f>
        <v>7540.7730229999997</v>
      </c>
      <c r="H339" s="6">
        <f>[1]Hybrid!G19</f>
        <v>7716.3454899999997</v>
      </c>
      <c r="I339" s="6">
        <f>[1]Hybrid!H19</f>
        <v>7902.5358239999996</v>
      </c>
      <c r="J339" s="6">
        <f>[1]Hybrid!I19</f>
        <v>8096.3143440000003</v>
      </c>
      <c r="K339" s="6">
        <f>[1]Hybrid!J19</f>
        <v>8295.6681829999998</v>
      </c>
      <c r="L339" s="6">
        <f>[1]Hybrid!K19</f>
        <v>8499.2177219999994</v>
      </c>
      <c r="M339" s="6">
        <f>[1]Hybrid!L19</f>
        <v>8708.0686929999993</v>
      </c>
      <c r="N339" s="6">
        <f>[1]Hybrid!M19</f>
        <v>8919.294382</v>
      </c>
      <c r="O339" s="6">
        <f>[1]Hybrid!N19</f>
        <v>9132.2456810000003</v>
      </c>
      <c r="P339" s="6">
        <f>[1]Hybrid!O19</f>
        <v>9346.3567249999996</v>
      </c>
      <c r="Q339" s="6">
        <f>[1]Hybrid!P19</f>
        <v>9561.164272</v>
      </c>
      <c r="R339" s="6">
        <f>[1]Hybrid!Q19</f>
        <v>9776.3003829999998</v>
      </c>
      <c r="S339" s="6">
        <f>[1]Hybrid!R19</f>
        <v>9991.4774679999991</v>
      </c>
      <c r="T339" s="6">
        <f>[1]Hybrid!S19</f>
        <v>10206.472970000001</v>
      </c>
      <c r="U339" s="6">
        <f>[1]Hybrid!T19</f>
        <v>10421.11663</v>
      </c>
      <c r="V339" s="6">
        <f>[1]Hybrid!U19</f>
        <v>10635.2811</v>
      </c>
      <c r="W339" s="6">
        <f>[1]Hybrid!V19</f>
        <v>10847.227699999999</v>
      </c>
      <c r="X339" s="6">
        <f>[1]Hybrid!W19</f>
        <v>11058.634669999999</v>
      </c>
      <c r="Y339" s="6">
        <f>[1]Hybrid!X19</f>
        <v>11269.50849</v>
      </c>
      <c r="Z339" s="6">
        <f>[1]Hybrid!Y19</f>
        <v>11479.89775</v>
      </c>
      <c r="AA339" s="6">
        <f>[1]Hybrid!Z19</f>
        <v>11689.85656</v>
      </c>
      <c r="AB339" s="6">
        <f>[1]Hybrid!AA19</f>
        <v>11894.61527</v>
      </c>
      <c r="AC339" s="6">
        <f>[1]Hybrid!AB19</f>
        <v>12097.035309999999</v>
      </c>
      <c r="AD339" s="6">
        <f>[1]Hybrid!AC19</f>
        <v>12297.38128</v>
      </c>
      <c r="AE339" s="6">
        <f>[1]Hybrid!AD19</f>
        <v>12496.02024</v>
      </c>
      <c r="AF339" s="6">
        <f>[1]Hybrid!AE19</f>
        <v>12693.342409999999</v>
      </c>
      <c r="AG339" s="6">
        <f>[1]Hybrid!AF19</f>
        <v>12889.7217</v>
      </c>
      <c r="AH339" s="6">
        <f>[1]Hybrid!AG19</f>
        <v>13085.498320000001</v>
      </c>
      <c r="AI339" s="6">
        <f>[1]Hybrid!AH19</f>
        <v>13280.974399999999</v>
      </c>
      <c r="AJ339" s="6">
        <f>[1]Hybrid!AI19</f>
        <v>13476.416950000001</v>
      </c>
      <c r="AK339" s="6">
        <f>[1]Hybrid!AJ19</f>
        <v>13672.06379</v>
      </c>
      <c r="AL339" s="6">
        <f>[1]Hybrid!AK19</f>
        <v>13868.130010000001</v>
      </c>
      <c r="AM339" s="6">
        <f>[1]Hybrid!AL19</f>
        <v>14063.63243</v>
      </c>
      <c r="AN339" s="6">
        <f>[1]Hybrid!AM19</f>
        <v>14258.81359</v>
      </c>
      <c r="AO339" s="6">
        <f>[1]Hybrid!AN19</f>
        <v>14453.93002</v>
      </c>
      <c r="AP339" s="6">
        <f>[1]Hybrid!AO19</f>
        <v>14649.262930000001</v>
      </c>
      <c r="AQ339" s="6">
        <f>[1]Hybrid!AP19</f>
        <v>14845.10396</v>
      </c>
      <c r="AR339" s="6">
        <f>[1]Hybrid!AQ19</f>
        <v>15041.738069999999</v>
      </c>
      <c r="AS339" s="6">
        <f>[1]Hybrid!AR19</f>
        <v>15239.4306</v>
      </c>
      <c r="AT339" s="6">
        <f>[1]Hybrid!AS19</f>
        <v>15438.41993</v>
      </c>
      <c r="AU339" s="6">
        <f>[1]Hybrid!AT19</f>
        <v>15638.9151</v>
      </c>
      <c r="AV339" s="6">
        <f>[1]Hybrid!AU19</f>
        <v>15841.096820000001</v>
      </c>
      <c r="AW339" s="6">
        <f>[1]Hybrid!AV19</f>
        <v>16045.22767</v>
      </c>
      <c r="AX339" s="6">
        <f>[1]Hybrid!AW19</f>
        <v>16251.436159999999</v>
      </c>
      <c r="AY339" s="6">
        <f>[1]Hybrid!AX19</f>
        <v>16459.83065</v>
      </c>
      <c r="AZ339" s="6">
        <f>[1]Hybrid!AY19</f>
        <v>16670.50013</v>
      </c>
      <c r="BA339" s="6">
        <f>[1]Hybrid!AZ19</f>
        <v>16883.517739999999</v>
      </c>
      <c r="BB339" s="6">
        <f>[1]Hybrid!BA19</f>
        <v>17098.944609999999</v>
      </c>
      <c r="BC339" s="6">
        <f>[1]Hybrid!BB19</f>
        <v>17316.832869999998</v>
      </c>
      <c r="BD339" s="6">
        <f>[1]Hybrid!BC19</f>
        <v>17537.227190000001</v>
      </c>
      <c r="BE339" s="6">
        <f>[1]Hybrid!BD19</f>
        <v>17760.165499999999</v>
      </c>
      <c r="BF339" s="6">
        <f>[1]Hybrid!BE19</f>
        <v>17985.678970000001</v>
      </c>
    </row>
    <row r="340" spans="1:58" x14ac:dyDescent="0.35">
      <c r="A340" t="s">
        <v>38</v>
      </c>
      <c r="B340" s="6" t="str">
        <f>[1]Hybrid!A21</f>
        <v>auto_cb_cfut_0</v>
      </c>
      <c r="C340" s="6">
        <f>[1]Hybrid!B21</f>
        <v>8251.256421</v>
      </c>
      <c r="D340" s="6">
        <f>[1]Hybrid!C21</f>
        <v>8186.1344749999998</v>
      </c>
      <c r="E340" s="6">
        <f>[1]Hybrid!D21</f>
        <v>8177.967455</v>
      </c>
      <c r="F340" s="6">
        <f>[1]Hybrid!E21</f>
        <v>8209.7989539999999</v>
      </c>
      <c r="G340" s="6">
        <f>[1]Hybrid!F21</f>
        <v>8270.209261</v>
      </c>
      <c r="H340" s="6">
        <f>[1]Hybrid!G21</f>
        <v>8351.6250739999996</v>
      </c>
      <c r="I340" s="6">
        <f>[1]Hybrid!H21</f>
        <v>8447.9102999999996</v>
      </c>
      <c r="J340" s="6">
        <f>[1]Hybrid!I21</f>
        <v>8555.6340340000006</v>
      </c>
      <c r="K340" s="6">
        <f>[1]Hybrid!J21</f>
        <v>8672.3901829999995</v>
      </c>
      <c r="L340" s="6">
        <f>[1]Hybrid!K21</f>
        <v>8796.4214240000001</v>
      </c>
      <c r="M340" s="6">
        <f>[1]Hybrid!L21</f>
        <v>8928.3437630000008</v>
      </c>
      <c r="N340" s="6">
        <f>[1]Hybrid!M21</f>
        <v>9065.0211029999991</v>
      </c>
      <c r="O340" s="6">
        <f>[1]Hybrid!N21</f>
        <v>9205.4946660000005</v>
      </c>
      <c r="P340" s="6">
        <f>[1]Hybrid!O21</f>
        <v>9348.9148690000002</v>
      </c>
      <c r="Q340" s="6">
        <f>[1]Hybrid!P21</f>
        <v>9494.5558010000004</v>
      </c>
      <c r="R340" s="6">
        <f>[1]Hybrid!Q21</f>
        <v>9641.8051739999992</v>
      </c>
      <c r="S340" s="6">
        <f>[1]Hybrid!R21</f>
        <v>9790.1476739999998</v>
      </c>
      <c r="T340" s="6">
        <f>[1]Hybrid!S21</f>
        <v>9939.1483850000004</v>
      </c>
      <c r="U340" s="6">
        <f>[1]Hybrid!T21</f>
        <v>10088.43888</v>
      </c>
      <c r="V340" s="6">
        <f>[1]Hybrid!U21</f>
        <v>10237.70665</v>
      </c>
      <c r="W340" s="6">
        <f>[1]Hybrid!V21</f>
        <v>10385.19296</v>
      </c>
      <c r="X340" s="6">
        <f>[1]Hybrid!W21</f>
        <v>10532.261329999999</v>
      </c>
      <c r="Y340" s="6">
        <f>[1]Hybrid!X21</f>
        <v>10678.761189999999</v>
      </c>
      <c r="Z340" s="6">
        <f>[1]Hybrid!Y21</f>
        <v>10824.58869</v>
      </c>
      <c r="AA340" s="6">
        <f>[1]Hybrid!Z21</f>
        <v>10969.652959999999</v>
      </c>
      <c r="AB340" s="6">
        <f>[1]Hybrid!AA21</f>
        <v>11109.57706</v>
      </c>
      <c r="AC340" s="6">
        <f>[1]Hybrid!AB21</f>
        <v>11246.82293</v>
      </c>
      <c r="AD340" s="6">
        <f>[1]Hybrid!AC21</f>
        <v>11381.53184</v>
      </c>
      <c r="AE340" s="6">
        <f>[1]Hybrid!AD21</f>
        <v>11513.936960000001</v>
      </c>
      <c r="AF340" s="6">
        <f>[1]Hybrid!AE21</f>
        <v>11644.29176</v>
      </c>
      <c r="AG340" s="6">
        <f>[1]Hybrid!AF21</f>
        <v>11772.8349</v>
      </c>
      <c r="AH340" s="6">
        <f>[1]Hybrid!AG21</f>
        <v>11899.77477</v>
      </c>
      <c r="AI340" s="6">
        <f>[1]Hybrid!AH21</f>
        <v>12025.285809999999</v>
      </c>
      <c r="AJ340" s="6">
        <f>[1]Hybrid!AI21</f>
        <v>12149.511109999999</v>
      </c>
      <c r="AK340" s="6">
        <f>[1]Hybrid!AJ21</f>
        <v>12272.56768</v>
      </c>
      <c r="AL340" s="6">
        <f>[1]Hybrid!AK21</f>
        <v>12394.55207</v>
      </c>
      <c r="AM340" s="6">
        <f>[1]Hybrid!AL21</f>
        <v>12514.54243</v>
      </c>
      <c r="AN340" s="6">
        <f>[1]Hybrid!AM21</f>
        <v>12632.67064</v>
      </c>
      <c r="AO340" s="6">
        <f>[1]Hybrid!AN21</f>
        <v>12749.080190000001</v>
      </c>
      <c r="AP340" s="6">
        <f>[1]Hybrid!AO21</f>
        <v>12863.93367</v>
      </c>
      <c r="AQ340" s="6">
        <f>[1]Hybrid!AP21</f>
        <v>12977.399820000001</v>
      </c>
      <c r="AR340" s="6">
        <f>[1]Hybrid!AQ21</f>
        <v>13089.638779999999</v>
      </c>
      <c r="AS340" s="6">
        <f>[1]Hybrid!AR21</f>
        <v>13200.7912</v>
      </c>
      <c r="AT340" s="6">
        <f>[1]Hybrid!AS21</f>
        <v>13310.97235</v>
      </c>
      <c r="AU340" s="6">
        <f>[1]Hybrid!AT21</f>
        <v>13420.27039</v>
      </c>
      <c r="AV340" s="6">
        <f>[1]Hybrid!AU21</f>
        <v>13528.747579999999</v>
      </c>
      <c r="AW340" s="6">
        <f>[1]Hybrid!AV21</f>
        <v>13636.529329999999</v>
      </c>
      <c r="AX340" s="6">
        <f>[1]Hybrid!AW21</f>
        <v>13743.62917</v>
      </c>
      <c r="AY340" s="6">
        <f>[1]Hybrid!AX21</f>
        <v>13850.042090000001</v>
      </c>
      <c r="AZ340" s="6">
        <f>[1]Hybrid!AY21</f>
        <v>13955.74568</v>
      </c>
      <c r="BA340" s="6">
        <f>[1]Hybrid!AZ21</f>
        <v>14060.70318</v>
      </c>
      <c r="BB340" s="6">
        <f>[1]Hybrid!BA21</f>
        <v>14164.86685</v>
      </c>
      <c r="BC340" s="6">
        <f>[1]Hybrid!BB21</f>
        <v>14268.18044</v>
      </c>
      <c r="BD340" s="6">
        <f>[1]Hybrid!BC21</f>
        <v>14370.580529999999</v>
      </c>
      <c r="BE340" s="6">
        <f>[1]Hybrid!BD21</f>
        <v>14471.99718</v>
      </c>
      <c r="BF340" s="6">
        <f>[1]Hybrid!BE21</f>
        <v>14572.353929999999</v>
      </c>
    </row>
    <row r="341" spans="1:58" x14ac:dyDescent="0.35">
      <c r="B341" s="6" t="str">
        <f>[1]Hybrid!A23</f>
        <v>auto_cc_cfut_0</v>
      </c>
      <c r="C341" s="6">
        <f>[1]Hybrid!B23</f>
        <v>6777.6024520000001</v>
      </c>
      <c r="D341" s="6">
        <f>[1]Hybrid!C23</f>
        <v>6649.1114459999999</v>
      </c>
      <c r="E341" s="6">
        <f>[1]Hybrid!D23</f>
        <v>6565.7578869999998</v>
      </c>
      <c r="F341" s="6">
        <f>[1]Hybrid!E23</f>
        <v>6515.129516</v>
      </c>
      <c r="G341" s="6">
        <f>[1]Hybrid!F23</f>
        <v>6488.762154</v>
      </c>
      <c r="H341" s="6">
        <f>[1]Hybrid!G23</f>
        <v>6480.9323549999999</v>
      </c>
      <c r="I341" s="6">
        <f>[1]Hybrid!H23</f>
        <v>6486.9770330000001</v>
      </c>
      <c r="J341" s="6">
        <f>[1]Hybrid!I23</f>
        <v>6504.1443859999999</v>
      </c>
      <c r="K341" s="6">
        <f>[1]Hybrid!J23</f>
        <v>6530.4276499999996</v>
      </c>
      <c r="L341" s="6">
        <f>[1]Hybrid!K23</f>
        <v>6564.2992819999999</v>
      </c>
      <c r="M341" s="6">
        <f>[1]Hybrid!L23</f>
        <v>6605.8686909999997</v>
      </c>
      <c r="N341" s="6">
        <f>[1]Hybrid!M23</f>
        <v>6652.7305370000004</v>
      </c>
      <c r="O341" s="6">
        <f>[1]Hybrid!N23</f>
        <v>6703.9825799999999</v>
      </c>
      <c r="P341" s="6">
        <f>[1]Hybrid!O23</f>
        <v>6758.8198890000003</v>
      </c>
      <c r="Q341" s="6">
        <f>[1]Hybrid!P23</f>
        <v>6816.5419860000002</v>
      </c>
      <c r="R341" s="6">
        <f>[1]Hybrid!Q23</f>
        <v>6876.5437430000002</v>
      </c>
      <c r="S341" s="6">
        <f>[1]Hybrid!R23</f>
        <v>6938.3022289999999</v>
      </c>
      <c r="T341" s="6">
        <f>[1]Hybrid!S23</f>
        <v>7001.3638860000001</v>
      </c>
      <c r="U341" s="6">
        <f>[1]Hybrid!T23</f>
        <v>7065.3336939999999</v>
      </c>
      <c r="V341" s="6">
        <f>[1]Hybrid!U23</f>
        <v>7129.8666800000001</v>
      </c>
      <c r="W341" s="6">
        <f>[1]Hybrid!V23</f>
        <v>7193.6837859999996</v>
      </c>
      <c r="X341" s="6">
        <f>[1]Hybrid!W23</f>
        <v>7257.5660770000004</v>
      </c>
      <c r="Y341" s="6">
        <f>[1]Hybrid!X23</f>
        <v>7321.3073189999996</v>
      </c>
      <c r="Z341" s="6">
        <f>[1]Hybrid!Y23</f>
        <v>7384.7393089999996</v>
      </c>
      <c r="AA341" s="6">
        <f>[1]Hybrid!Z23</f>
        <v>7447.7093610000002</v>
      </c>
      <c r="AB341" s="6">
        <f>[1]Hybrid!AA23</f>
        <v>7507.3186660000001</v>
      </c>
      <c r="AC341" s="6">
        <f>[1]Hybrid!AB23</f>
        <v>7565.0922350000001</v>
      </c>
      <c r="AD341" s="6">
        <f>[1]Hybrid!AC23</f>
        <v>7621.0602140000001</v>
      </c>
      <c r="AE341" s="6">
        <f>[1]Hybrid!AD23</f>
        <v>7675.3137610000003</v>
      </c>
      <c r="AF341" s="6">
        <f>[1]Hybrid!AE23</f>
        <v>7727.9584450000002</v>
      </c>
      <c r="AG341" s="6">
        <f>[1]Hybrid!AF23</f>
        <v>7779.0916420000003</v>
      </c>
      <c r="AH341" s="6">
        <f>[1]Hybrid!AG23</f>
        <v>7828.7927529999997</v>
      </c>
      <c r="AI341" s="6">
        <f>[1]Hybrid!AH23</f>
        <v>7877.1208919999999</v>
      </c>
      <c r="AJ341" s="6">
        <f>[1]Hybrid!AI23</f>
        <v>7924.116599</v>
      </c>
      <c r="AK341" s="6">
        <f>[1]Hybrid!AJ23</f>
        <v>7969.8052260000004</v>
      </c>
      <c r="AL341" s="6">
        <f>[1]Hybrid!AK23</f>
        <v>8014.2005339999996</v>
      </c>
      <c r="AM341" s="6">
        <f>[1]Hybrid!AL23</f>
        <v>8056.6930329999996</v>
      </c>
      <c r="AN341" s="6">
        <f>[1]Hybrid!AM23</f>
        <v>8097.3287360000004</v>
      </c>
      <c r="AO341" s="6">
        <f>[1]Hybrid!AN23</f>
        <v>8136.1621299999997</v>
      </c>
      <c r="AP341" s="6">
        <f>[1]Hybrid!AO23</f>
        <v>8173.2598950000001</v>
      </c>
      <c r="AQ341" s="6">
        <f>[1]Hybrid!AP23</f>
        <v>8208.6924859999999</v>
      </c>
      <c r="AR341" s="6">
        <f>[1]Hybrid!AQ23</f>
        <v>8242.5249910000002</v>
      </c>
      <c r="AS341" s="6">
        <f>[1]Hybrid!AR23</f>
        <v>8274.8106189999999</v>
      </c>
      <c r="AT341" s="6">
        <f>[1]Hybrid!AS23</f>
        <v>8305.5873279999996</v>
      </c>
      <c r="AU341" s="6">
        <f>[1]Hybrid!AT23</f>
        <v>8334.8770349999995</v>
      </c>
      <c r="AV341" s="6">
        <f>[1]Hybrid!AU23</f>
        <v>8362.6865550000002</v>
      </c>
      <c r="AW341" s="6">
        <f>[1]Hybrid!AV23</f>
        <v>8389.0597699999998</v>
      </c>
      <c r="AX341" s="6">
        <f>[1]Hybrid!AW23</f>
        <v>8413.9750999999997</v>
      </c>
      <c r="AY341" s="6">
        <f>[1]Hybrid!AX23</f>
        <v>8437.4009499999993</v>
      </c>
      <c r="AZ341" s="6">
        <f>[1]Hybrid!AY23</f>
        <v>8459.296617</v>
      </c>
      <c r="BA341" s="6">
        <f>[1]Hybrid!AZ23</f>
        <v>8479.6143429999993</v>
      </c>
      <c r="BB341" s="6">
        <f>[1]Hybrid!BA23</f>
        <v>8498.3014380000004</v>
      </c>
      <c r="BC341" s="6">
        <f>[1]Hybrid!BB23</f>
        <v>8515.3018460000003</v>
      </c>
      <c r="BD341" s="6">
        <f>[1]Hybrid!BC23</f>
        <v>8530.5570559999996</v>
      </c>
      <c r="BE341" s="6">
        <f>[1]Hybrid!BD23</f>
        <v>8544.0065379999996</v>
      </c>
      <c r="BF341" s="6">
        <f>[1]Hybrid!BE23</f>
        <v>8555.5878630000007</v>
      </c>
    </row>
    <row r="342" spans="1:58" x14ac:dyDescent="0.35">
      <c r="B342" s="6" t="str">
        <f>[1]Hybrid!A25</f>
        <v>auto_cd_cfut_0</v>
      </c>
      <c r="C342" s="6">
        <f>[1]Hybrid!B25</f>
        <v>4159.6639080000004</v>
      </c>
      <c r="D342" s="6">
        <f>[1]Hybrid!C25</f>
        <v>4055.9300109999999</v>
      </c>
      <c r="E342" s="6">
        <f>[1]Hybrid!D25</f>
        <v>3977.7671690000002</v>
      </c>
      <c r="F342" s="6">
        <f>[1]Hybrid!E25</f>
        <v>3917.6933049999998</v>
      </c>
      <c r="G342" s="6">
        <f>[1]Hybrid!F25</f>
        <v>3870.6369639999998</v>
      </c>
      <c r="H342" s="6">
        <f>[1]Hybrid!G25</f>
        <v>3833.1758880000002</v>
      </c>
      <c r="I342" s="6">
        <f>[1]Hybrid!H25</f>
        <v>3802.575394</v>
      </c>
      <c r="J342" s="6">
        <f>[1]Hybrid!I25</f>
        <v>3777.1954850000002</v>
      </c>
      <c r="K342" s="6">
        <f>[1]Hybrid!J25</f>
        <v>3755.840146</v>
      </c>
      <c r="L342" s="6">
        <f>[1]Hybrid!K25</f>
        <v>3737.6000089999998</v>
      </c>
      <c r="M342" s="6">
        <f>[1]Hybrid!L25</f>
        <v>3722.411681</v>
      </c>
      <c r="N342" s="6">
        <f>[1]Hybrid!M25</f>
        <v>3708.9721450000002</v>
      </c>
      <c r="O342" s="6">
        <f>[1]Hybrid!N25</f>
        <v>3696.7601679999998</v>
      </c>
      <c r="P342" s="6">
        <f>[1]Hybrid!O25</f>
        <v>3685.3224180000002</v>
      </c>
      <c r="Q342" s="6">
        <f>[1]Hybrid!P25</f>
        <v>3674.2734380000002</v>
      </c>
      <c r="R342" s="6">
        <f>[1]Hybrid!Q25</f>
        <v>3663.2882129999998</v>
      </c>
      <c r="S342" s="6">
        <f>[1]Hybrid!R25</f>
        <v>3652.093476</v>
      </c>
      <c r="T342" s="6">
        <f>[1]Hybrid!S25</f>
        <v>3640.4597050000002</v>
      </c>
      <c r="U342" s="6">
        <f>[1]Hybrid!T25</f>
        <v>3628.1943820000001</v>
      </c>
      <c r="V342" s="6">
        <f>[1]Hybrid!U25</f>
        <v>3615.1365759999999</v>
      </c>
      <c r="W342" s="6">
        <f>[1]Hybrid!V25</f>
        <v>3600.7336110000001</v>
      </c>
      <c r="X342" s="6">
        <f>[1]Hybrid!W25</f>
        <v>3585.3355449999999</v>
      </c>
      <c r="Y342" s="6">
        <f>[1]Hybrid!X25</f>
        <v>3568.8628920000001</v>
      </c>
      <c r="Z342" s="6">
        <f>[1]Hybrid!Y25</f>
        <v>3551.2553929999999</v>
      </c>
      <c r="AA342" s="6">
        <f>[1]Hybrid!Z25</f>
        <v>3532.4625350000001</v>
      </c>
      <c r="AB342" s="6">
        <f>[1]Hybrid!AA25</f>
        <v>3511.3548959999998</v>
      </c>
      <c r="AC342" s="6">
        <f>[1]Hybrid!AB25</f>
        <v>3488.5944629999999</v>
      </c>
      <c r="AD342" s="6">
        <f>[1]Hybrid!AC25</f>
        <v>3464.2380069999999</v>
      </c>
      <c r="AE342" s="6">
        <f>[1]Hybrid!AD25</f>
        <v>3438.3627390000001</v>
      </c>
      <c r="AF342" s="6">
        <f>[1]Hybrid!AE25</f>
        <v>3411.047681</v>
      </c>
      <c r="AG342" s="6">
        <f>[1]Hybrid!AF25</f>
        <v>3382.3655370000001</v>
      </c>
      <c r="AH342" s="6">
        <f>[1]Hybrid!AG25</f>
        <v>3352.3797679999998</v>
      </c>
      <c r="AI342" s="6">
        <f>[1]Hybrid!AH25</f>
        <v>3321.1444959999999</v>
      </c>
      <c r="AJ342" s="6">
        <f>[1]Hybrid!AI25</f>
        <v>3288.705833</v>
      </c>
      <c r="AK342" s="6">
        <f>[1]Hybrid!AJ25</f>
        <v>3255.1037329999999</v>
      </c>
      <c r="AL342" s="6">
        <f>[1]Hybrid!AK25</f>
        <v>3220.373834</v>
      </c>
      <c r="AM342" s="6">
        <f>[1]Hybrid!AL25</f>
        <v>3184.3526959999999</v>
      </c>
      <c r="AN342" s="6">
        <f>[1]Hybrid!AM25</f>
        <v>3147.098434</v>
      </c>
      <c r="AO342" s="6">
        <f>[1]Hybrid!AN25</f>
        <v>3108.672286</v>
      </c>
      <c r="AP342" s="6">
        <f>[1]Hybrid!AO25</f>
        <v>3069.1387829999999</v>
      </c>
      <c r="AQ342" s="6">
        <f>[1]Hybrid!AP25</f>
        <v>3028.562668</v>
      </c>
      <c r="AR342" s="6">
        <f>[1]Hybrid!AQ25</f>
        <v>2987.0061380000002</v>
      </c>
      <c r="AS342" s="6">
        <f>[1]Hybrid!AR25</f>
        <v>2944.5272239999999</v>
      </c>
      <c r="AT342" s="6">
        <f>[1]Hybrid!AS25</f>
        <v>2901.179255</v>
      </c>
      <c r="AU342" s="6">
        <f>[1]Hybrid!AT25</f>
        <v>2857.011113</v>
      </c>
      <c r="AV342" s="6">
        <f>[1]Hybrid!AU25</f>
        <v>2812.0679540000001</v>
      </c>
      <c r="AW342" s="6">
        <f>[1]Hybrid!AV25</f>
        <v>2766.4048560000001</v>
      </c>
      <c r="AX342" s="6">
        <f>[1]Hybrid!AW25</f>
        <v>2720.0603270000001</v>
      </c>
      <c r="AY342" s="6">
        <f>[1]Hybrid!AX25</f>
        <v>2673.0715919999998</v>
      </c>
      <c r="AZ342" s="6">
        <f>[1]Hybrid!AY25</f>
        <v>2625.4751569999999</v>
      </c>
      <c r="BA342" s="6">
        <f>[1]Hybrid!AZ25</f>
        <v>2577.3075490000001</v>
      </c>
      <c r="BB342" s="6">
        <f>[1]Hybrid!BA25</f>
        <v>2528.605967</v>
      </c>
      <c r="BC342" s="6">
        <f>[1]Hybrid!BB25</f>
        <v>2479.4087</v>
      </c>
      <c r="BD342" s="6">
        <f>[1]Hybrid!BC25</f>
        <v>2429.7553349999998</v>
      </c>
      <c r="BE342" s="6">
        <f>[1]Hybrid!BD25</f>
        <v>2379.6868060000002</v>
      </c>
      <c r="BF342" s="6">
        <f>[1]Hybrid!BE25</f>
        <v>2329.2453620000001</v>
      </c>
    </row>
    <row r="343" spans="1:58" x14ac:dyDescent="0.35">
      <c r="B343" s="6" t="str">
        <f>[1]Hybrid!A27</f>
        <v>auto_ce_cfut_0</v>
      </c>
      <c r="C343" s="6">
        <f>[1]Hybrid!B27</f>
        <v>2503.7292430000002</v>
      </c>
      <c r="D343" s="6">
        <f>[1]Hybrid!C27</f>
        <v>2443.575566</v>
      </c>
      <c r="E343" s="6">
        <f>[1]Hybrid!D27</f>
        <v>2397.7906779999998</v>
      </c>
      <c r="F343" s="6">
        <f>[1]Hybrid!E27</f>
        <v>2361.5943029999999</v>
      </c>
      <c r="G343" s="6">
        <f>[1]Hybrid!F27</f>
        <v>2331.8074660000002</v>
      </c>
      <c r="H343" s="6">
        <f>[1]Hybrid!G27</f>
        <v>2306.3317830000001</v>
      </c>
      <c r="I343" s="6">
        <f>[1]Hybrid!H27</f>
        <v>2283.5399510000002</v>
      </c>
      <c r="J343" s="6">
        <f>[1]Hybrid!I27</f>
        <v>2262.4909210000001</v>
      </c>
      <c r="K343" s="6">
        <f>[1]Hybrid!J27</f>
        <v>2242.5270829999999</v>
      </c>
      <c r="L343" s="6">
        <f>[1]Hybrid!K27</f>
        <v>2223.1721680000001</v>
      </c>
      <c r="M343" s="6">
        <f>[1]Hybrid!L27</f>
        <v>2204.434186</v>
      </c>
      <c r="N343" s="6">
        <f>[1]Hybrid!M27</f>
        <v>2185.6311839999998</v>
      </c>
      <c r="O343" s="6">
        <f>[1]Hybrid!N27</f>
        <v>2166.530514</v>
      </c>
      <c r="P343" s="6">
        <f>[1]Hybrid!O27</f>
        <v>2146.9429220000002</v>
      </c>
      <c r="Q343" s="6">
        <f>[1]Hybrid!P27</f>
        <v>2126.7206919999999</v>
      </c>
      <c r="R343" s="6">
        <f>[1]Hybrid!Q27</f>
        <v>2105.7520549999999</v>
      </c>
      <c r="S343" s="6">
        <f>[1]Hybrid!R27</f>
        <v>2083.9553299999998</v>
      </c>
      <c r="T343" s="6">
        <f>[1]Hybrid!S27</f>
        <v>2061.2737139999999</v>
      </c>
      <c r="U343" s="6">
        <f>[1]Hybrid!T27</f>
        <v>2037.6709390000001</v>
      </c>
      <c r="V343" s="6">
        <f>[1]Hybrid!U27</f>
        <v>2013.127757</v>
      </c>
      <c r="W343" s="6">
        <f>[1]Hybrid!V27</f>
        <v>1987.4347479999999</v>
      </c>
      <c r="X343" s="6">
        <f>[1]Hybrid!W27</f>
        <v>1960.828469</v>
      </c>
      <c r="Y343" s="6">
        <f>[1]Hybrid!X27</f>
        <v>1933.3301289999999</v>
      </c>
      <c r="Z343" s="6">
        <f>[1]Hybrid!Y27</f>
        <v>1904.9687779999999</v>
      </c>
      <c r="AA343" s="6">
        <f>[1]Hybrid!Z27</f>
        <v>1875.7768679999999</v>
      </c>
      <c r="AB343" s="6">
        <f>[1]Hybrid!AA27</f>
        <v>1845.298092</v>
      </c>
      <c r="AC343" s="6">
        <f>[1]Hybrid!AB27</f>
        <v>1813.902844</v>
      </c>
      <c r="AD343" s="6">
        <f>[1]Hybrid!AC27</f>
        <v>1781.678161</v>
      </c>
      <c r="AE343" s="6">
        <f>[1]Hybrid!AD27</f>
        <v>1748.7160120000001</v>
      </c>
      <c r="AF343" s="6">
        <f>[1]Hybrid!AE27</f>
        <v>1715.1050250000001</v>
      </c>
      <c r="AG343" s="6">
        <f>[1]Hybrid!AF27</f>
        <v>1680.9273439999999</v>
      </c>
      <c r="AH343" s="6">
        <f>[1]Hybrid!AG27</f>
        <v>1646.257861</v>
      </c>
      <c r="AI343" s="6">
        <f>[1]Hybrid!AH27</f>
        <v>1611.164642</v>
      </c>
      <c r="AJ343" s="6">
        <f>[1]Hybrid!AI27</f>
        <v>1575.7099029999999</v>
      </c>
      <c r="AK343" s="6">
        <f>[1]Hybrid!AJ27</f>
        <v>1539.9511359999999</v>
      </c>
      <c r="AL343" s="6">
        <f>[1]Hybrid!AK27</f>
        <v>1503.9421600000001</v>
      </c>
      <c r="AM343" s="6">
        <f>[1]Hybrid!AL27</f>
        <v>1467.6606870000001</v>
      </c>
      <c r="AN343" s="6">
        <f>[1]Hybrid!AM27</f>
        <v>1431.169508</v>
      </c>
      <c r="AO343" s="6">
        <f>[1]Hybrid!AN27</f>
        <v>1394.5307359999999</v>
      </c>
      <c r="AP343" s="6">
        <f>[1]Hybrid!AO27</f>
        <v>1357.805564</v>
      </c>
      <c r="AQ343" s="6">
        <f>[1]Hybrid!AP27</f>
        <v>1321.0530369999999</v>
      </c>
      <c r="AR343" s="6">
        <f>[1]Hybrid!AQ27</f>
        <v>1284.3291260000001</v>
      </c>
      <c r="AS343" s="6">
        <f>[1]Hybrid!AR27</f>
        <v>1247.6863069999999</v>
      </c>
      <c r="AT343" s="6">
        <f>[1]Hybrid!AS27</f>
        <v>1211.1735490000001</v>
      </c>
      <c r="AU343" s="6">
        <f>[1]Hybrid!AT27</f>
        <v>1174.836564</v>
      </c>
      <c r="AV343" s="6">
        <f>[1]Hybrid!AU27</f>
        <v>1138.7181869999999</v>
      </c>
      <c r="AW343" s="6">
        <f>[1]Hybrid!AV27</f>
        <v>1102.8626280000001</v>
      </c>
      <c r="AX343" s="6">
        <f>[1]Hybrid!AW27</f>
        <v>1067.3073179999999</v>
      </c>
      <c r="AY343" s="6">
        <f>[1]Hybrid!AX27</f>
        <v>1032.0878640000001</v>
      </c>
      <c r="AZ343" s="6">
        <f>[1]Hybrid!AY27</f>
        <v>997.23826750000001</v>
      </c>
      <c r="BA343" s="6">
        <f>[1]Hybrid!AZ27</f>
        <v>962.79116020000004</v>
      </c>
      <c r="BB343" s="6">
        <f>[1]Hybrid!BA27</f>
        <v>928.77797310000005</v>
      </c>
      <c r="BC343" s="6">
        <f>[1]Hybrid!BB27</f>
        <v>895.22901439999998</v>
      </c>
      <c r="BD343" s="6">
        <f>[1]Hybrid!BC27</f>
        <v>862.17347070000005</v>
      </c>
      <c r="BE343" s="6">
        <f>[1]Hybrid!BD27</f>
        <v>829.63936030000002</v>
      </c>
      <c r="BF343" s="6">
        <f>[1]Hybrid!BE27</f>
        <v>797.65346099999999</v>
      </c>
    </row>
    <row r="344" spans="1:58" x14ac:dyDescent="0.35">
      <c r="B344" s="6" t="str">
        <f>[1]Hybrid!A29</f>
        <v>auto_cf_cfut_0</v>
      </c>
      <c r="C344" s="6">
        <f>[1]Hybrid!B29</f>
        <v>1243.6668460000001</v>
      </c>
      <c r="D344" s="6">
        <f>[1]Hybrid!C29</f>
        <v>1210.948854</v>
      </c>
      <c r="E344" s="6">
        <f>[1]Hybrid!D29</f>
        <v>1183.6825679999999</v>
      </c>
      <c r="F344" s="6">
        <f>[1]Hybrid!E29</f>
        <v>1159.2756890000001</v>
      </c>
      <c r="G344" s="6">
        <f>[1]Hybrid!F29</f>
        <v>1136.132953</v>
      </c>
      <c r="H344" s="6">
        <f>[1]Hybrid!G29</f>
        <v>1113.3056999999999</v>
      </c>
      <c r="I344" s="6">
        <f>[1]Hybrid!H29</f>
        <v>1090.158009</v>
      </c>
      <c r="J344" s="6">
        <f>[1]Hybrid!I29</f>
        <v>1066.408351</v>
      </c>
      <c r="K344" s="6">
        <f>[1]Hybrid!J29</f>
        <v>1041.927115</v>
      </c>
      <c r="L344" s="6">
        <f>[1]Hybrid!K29</f>
        <v>1016.676509</v>
      </c>
      <c r="M344" s="6">
        <f>[1]Hybrid!L29</f>
        <v>990.79836650000004</v>
      </c>
      <c r="N344" s="6">
        <f>[1]Hybrid!M29</f>
        <v>964.19775749999997</v>
      </c>
      <c r="O344" s="6">
        <f>[1]Hybrid!N29</f>
        <v>936.94409029999997</v>
      </c>
      <c r="P344" s="6">
        <f>[1]Hybrid!O29</f>
        <v>909.12150569999994</v>
      </c>
      <c r="Q344" s="6">
        <f>[1]Hybrid!P29</f>
        <v>880.82502009999996</v>
      </c>
      <c r="R344" s="6">
        <f>[1]Hybrid!Q29</f>
        <v>852.15627140000004</v>
      </c>
      <c r="S344" s="6">
        <f>[1]Hybrid!R29</f>
        <v>823.21993569999995</v>
      </c>
      <c r="T344" s="6">
        <f>[1]Hybrid!S29</f>
        <v>794.12089990000004</v>
      </c>
      <c r="U344" s="6">
        <f>[1]Hybrid!T29</f>
        <v>764.96208820000004</v>
      </c>
      <c r="V344" s="6">
        <f>[1]Hybrid!U29</f>
        <v>735.84282480000002</v>
      </c>
      <c r="W344" s="6">
        <f>[1]Hybrid!V29</f>
        <v>706.81445069999995</v>
      </c>
      <c r="X344" s="6">
        <f>[1]Hybrid!W29</f>
        <v>678.0182006</v>
      </c>
      <c r="Y344" s="6">
        <f>[1]Hybrid!X29</f>
        <v>649.53709930000002</v>
      </c>
      <c r="Z344" s="6">
        <f>[1]Hybrid!Y29</f>
        <v>621.44689919999996</v>
      </c>
      <c r="AA344" s="6">
        <f>[1]Hybrid!Z29</f>
        <v>593.81567740000003</v>
      </c>
      <c r="AB344" s="6">
        <f>[1]Hybrid!AA29</f>
        <v>566.6249689</v>
      </c>
      <c r="AC344" s="6">
        <f>[1]Hybrid!AB29</f>
        <v>539.99172160000001</v>
      </c>
      <c r="AD344" s="6">
        <f>[1]Hybrid!AC29</f>
        <v>513.97431970000002</v>
      </c>
      <c r="AE344" s="6">
        <f>[1]Hybrid!AD29</f>
        <v>488.62300370000003</v>
      </c>
      <c r="AF344" s="6">
        <f>[1]Hybrid!AE29</f>
        <v>463.97932969999999</v>
      </c>
      <c r="AG344" s="6">
        <f>[1]Hybrid!AF29</f>
        <v>440.07660199999998</v>
      </c>
      <c r="AH344" s="6">
        <f>[1]Hybrid!AG29</f>
        <v>416.94062029999998</v>
      </c>
      <c r="AI344" s="6">
        <f>[1]Hybrid!AH29</f>
        <v>394.59050430000002</v>
      </c>
      <c r="AJ344" s="6">
        <f>[1]Hybrid!AI29</f>
        <v>373.03949490000002</v>
      </c>
      <c r="AK344" s="6">
        <f>[1]Hybrid!AJ29</f>
        <v>352.29568490000003</v>
      </c>
      <c r="AL344" s="6">
        <f>[1]Hybrid!AK29</f>
        <v>332.36266269999999</v>
      </c>
      <c r="AM344" s="6">
        <f>[1]Hybrid!AL29</f>
        <v>313.23410330000002</v>
      </c>
      <c r="AN344" s="6">
        <f>[1]Hybrid!AM29</f>
        <v>294.90834949999999</v>
      </c>
      <c r="AO344" s="6">
        <f>[1]Hybrid!AN29</f>
        <v>277.38045090000003</v>
      </c>
      <c r="AP344" s="6">
        <f>[1]Hybrid!AO29</f>
        <v>260.64240389999998</v>
      </c>
      <c r="AQ344" s="6">
        <f>[1]Hybrid!AP29</f>
        <v>244.68337030000001</v>
      </c>
      <c r="AR344" s="6">
        <f>[1]Hybrid!AQ29</f>
        <v>229.4899503</v>
      </c>
      <c r="AS344" s="6">
        <f>[1]Hybrid!AR29</f>
        <v>215.04648950000001</v>
      </c>
      <c r="AT344" s="6">
        <f>[1]Hybrid!AS29</f>
        <v>201.33539329999999</v>
      </c>
      <c r="AU344" s="6">
        <f>[1]Hybrid!AT29</f>
        <v>188.3374311</v>
      </c>
      <c r="AV344" s="6">
        <f>[1]Hybrid!AU29</f>
        <v>176.03201899999999</v>
      </c>
      <c r="AW344" s="6">
        <f>[1]Hybrid!AV29</f>
        <v>164.3976232</v>
      </c>
      <c r="AX344" s="6">
        <f>[1]Hybrid!AW29</f>
        <v>153.41163589999999</v>
      </c>
      <c r="AY344" s="6">
        <f>[1]Hybrid!AX29</f>
        <v>143.0508002</v>
      </c>
      <c r="AZ344" s="6">
        <f>[1]Hybrid!AY29</f>
        <v>133.29139459999999</v>
      </c>
      <c r="BA344" s="6">
        <f>[1]Hybrid!AZ29</f>
        <v>124.10940069999999</v>
      </c>
      <c r="BB344" s="6">
        <f>[1]Hybrid!BA29</f>
        <v>115.4806511</v>
      </c>
      <c r="BC344" s="6">
        <f>[1]Hybrid!BB29</f>
        <v>107.3809615</v>
      </c>
      <c r="BD344" s="6">
        <f>[1]Hybrid!BC29</f>
        <v>99.786248229999998</v>
      </c>
      <c r="BE344" s="6">
        <f>[1]Hybrid!BD29</f>
        <v>92.672634840000001</v>
      </c>
      <c r="BF344" s="6">
        <f>[1]Hybrid!BE29</f>
        <v>86.016548349999994</v>
      </c>
    </row>
    <row r="345" spans="1:58" x14ac:dyDescent="0.35">
      <c r="B345" s="6" t="str">
        <f>[1]Hybrid!A31</f>
        <v>auto_cg_cfut_0</v>
      </c>
      <c r="C345" s="6">
        <f>[1]Hybrid!B31</f>
        <v>2239.620606</v>
      </c>
      <c r="D345" s="6">
        <f>[1]Hybrid!C31</f>
        <v>2183.8728569999998</v>
      </c>
      <c r="E345" s="6">
        <f>[1]Hybrid!D31</f>
        <v>2135.1571239999998</v>
      </c>
      <c r="F345" s="6">
        <f>[1]Hybrid!E31</f>
        <v>2088.404947</v>
      </c>
      <c r="G345" s="6">
        <f>[1]Hybrid!F31</f>
        <v>2040.79763</v>
      </c>
      <c r="H345" s="6">
        <f>[1]Hybrid!G31</f>
        <v>1990.924041</v>
      </c>
      <c r="I345" s="6">
        <f>[1]Hybrid!H31</f>
        <v>1938.071402</v>
      </c>
      <c r="J345" s="6">
        <f>[1]Hybrid!I31</f>
        <v>1882.1987079999999</v>
      </c>
      <c r="K345" s="6">
        <f>[1]Hybrid!J31</f>
        <v>1823.539168</v>
      </c>
      <c r="L345" s="6">
        <f>[1]Hybrid!K31</f>
        <v>1762.469165</v>
      </c>
      <c r="M345" s="6">
        <f>[1]Hybrid!L31</f>
        <v>1699.6019510000001</v>
      </c>
      <c r="N345" s="6">
        <f>[1]Hybrid!M31</f>
        <v>1635.1895870000001</v>
      </c>
      <c r="O345" s="6">
        <f>[1]Hybrid!N31</f>
        <v>1569.6906140000001</v>
      </c>
      <c r="P345" s="6">
        <f>[1]Hybrid!O31</f>
        <v>1503.549119</v>
      </c>
      <c r="Q345" s="6">
        <f>[1]Hybrid!P31</f>
        <v>1437.1865089999999</v>
      </c>
      <c r="R345" s="6">
        <f>[1]Hybrid!Q31</f>
        <v>1370.9946480000001</v>
      </c>
      <c r="S345" s="6">
        <f>[1]Hybrid!R31</f>
        <v>1305.3313820000001</v>
      </c>
      <c r="T345" s="6">
        <f>[1]Hybrid!S31</f>
        <v>1240.518071</v>
      </c>
      <c r="U345" s="6">
        <f>[1]Hybrid!T31</f>
        <v>1176.8386350000001</v>
      </c>
      <c r="V345" s="6">
        <f>[1]Hybrid!U31</f>
        <v>1114.5397379999999</v>
      </c>
      <c r="W345" s="6">
        <f>[1]Hybrid!V31</f>
        <v>1053.7927090000001</v>
      </c>
      <c r="X345" s="6">
        <f>[1]Hybrid!W31</f>
        <v>994.82360229999995</v>
      </c>
      <c r="Y345" s="6">
        <f>[1]Hybrid!X31</f>
        <v>937.77531260000001</v>
      </c>
      <c r="Z345" s="6">
        <f>[1]Hybrid!Y31</f>
        <v>882.75963860000002</v>
      </c>
      <c r="AA345" s="6">
        <f>[1]Hybrid!Z31</f>
        <v>829.85993459999997</v>
      </c>
      <c r="AB345" s="6">
        <f>[1]Hybrid!AA31</f>
        <v>779.07770340000002</v>
      </c>
      <c r="AC345" s="6">
        <f>[1]Hybrid!AB31</f>
        <v>730.49894329999995</v>
      </c>
      <c r="AD345" s="6">
        <f>[1]Hybrid!AC31</f>
        <v>684.14842899999996</v>
      </c>
      <c r="AE345" s="6">
        <f>[1]Hybrid!AD31</f>
        <v>640.03062920000002</v>
      </c>
      <c r="AF345" s="6">
        <f>[1]Hybrid!AE31</f>
        <v>598.13192749999996</v>
      </c>
      <c r="AG345" s="6">
        <f>[1]Hybrid!AF31</f>
        <v>558.42333489999999</v>
      </c>
      <c r="AH345" s="6">
        <f>[1]Hybrid!AG31</f>
        <v>520.86312080000005</v>
      </c>
      <c r="AI345" s="6">
        <f>[1]Hybrid!AH31</f>
        <v>485.39919909999998</v>
      </c>
      <c r="AJ345" s="6">
        <f>[1]Hybrid!AI31</f>
        <v>451.97123140000002</v>
      </c>
      <c r="AK345" s="6">
        <f>[1]Hybrid!AJ31</f>
        <v>420.51245210000002</v>
      </c>
      <c r="AL345" s="6">
        <f>[1]Hybrid!AK31</f>
        <v>390.95123619999998</v>
      </c>
      <c r="AM345" s="6">
        <f>[1]Hybrid!AL31</f>
        <v>363.2101073</v>
      </c>
      <c r="AN345" s="6">
        <f>[1]Hybrid!AM31</f>
        <v>337.21271369999999</v>
      </c>
      <c r="AO345" s="6">
        <f>[1]Hybrid!AN31</f>
        <v>312.88103539999997</v>
      </c>
      <c r="AP345" s="6">
        <f>[1]Hybrid!AO31</f>
        <v>290.13618270000001</v>
      </c>
      <c r="AQ345" s="6">
        <f>[1]Hybrid!AP31</f>
        <v>268.89910750000001</v>
      </c>
      <c r="AR345" s="6">
        <f>[1]Hybrid!AQ31</f>
        <v>249.09124629999999</v>
      </c>
      <c r="AS345" s="6">
        <f>[1]Hybrid!AR31</f>
        <v>230.63508529999999</v>
      </c>
      <c r="AT345" s="6">
        <f>[1]Hybrid!AS31</f>
        <v>213.45464050000001</v>
      </c>
      <c r="AU345" s="6">
        <f>[1]Hybrid!AT31</f>
        <v>197.47585409999999</v>
      </c>
      <c r="AV345" s="6">
        <f>[1]Hybrid!AU31</f>
        <v>182.6269135</v>
      </c>
      <c r="AW345" s="6">
        <f>[1]Hybrid!AV31</f>
        <v>168.8385289</v>
      </c>
      <c r="AX345" s="6">
        <f>[1]Hybrid!AW31</f>
        <v>156.04404460000001</v>
      </c>
      <c r="AY345" s="6">
        <f>[1]Hybrid!AX31</f>
        <v>144.1796229</v>
      </c>
      <c r="AZ345" s="6">
        <f>[1]Hybrid!AY31</f>
        <v>133.18433150000001</v>
      </c>
      <c r="BA345" s="6">
        <f>[1]Hybrid!AZ31</f>
        <v>123.00018970000001</v>
      </c>
      <c r="BB345" s="6">
        <f>[1]Hybrid!BA31</f>
        <v>113.5721824</v>
      </c>
      <c r="BC345" s="6">
        <f>[1]Hybrid!BB31</f>
        <v>104.8482443</v>
      </c>
      <c r="BD345" s="6">
        <f>[1]Hybrid!BC31</f>
        <v>96.779220760000001</v>
      </c>
      <c r="BE345" s="6">
        <f>[1]Hybrid!BD31</f>
        <v>89.318809860000002</v>
      </c>
      <c r="BF345" s="6">
        <f>[1]Hybrid!BE31</f>
        <v>82.42348767</v>
      </c>
    </row>
    <row r="346" spans="1:58" x14ac:dyDescent="0.35">
      <c r="B346" s="6" t="str">
        <f>[1]Hybrid!A33</f>
        <v>auto_ca_cele_0</v>
      </c>
      <c r="C346" s="6">
        <f>[1]Hybrid!B33</f>
        <v>9.8427898650000003</v>
      </c>
      <c r="D346" s="6">
        <f>[1]Hybrid!C33</f>
        <v>15.012031609999999</v>
      </c>
      <c r="E346" s="6">
        <f>[1]Hybrid!D33</f>
        <v>20.49165726</v>
      </c>
      <c r="F346" s="6">
        <f>[1]Hybrid!E33</f>
        <v>26.157427670000001</v>
      </c>
      <c r="G346" s="6">
        <f>[1]Hybrid!F33</f>
        <v>31.929986750000001</v>
      </c>
      <c r="H346" s="6">
        <f>[1]Hybrid!G33</f>
        <v>37.760551509999999</v>
      </c>
      <c r="I346" s="6">
        <f>[1]Hybrid!H33</f>
        <v>43.608929490000001</v>
      </c>
      <c r="J346" s="6">
        <f>[1]Hybrid!I33</f>
        <v>49.456913460000003</v>
      </c>
      <c r="K346" s="6">
        <f>[1]Hybrid!J33</f>
        <v>55.293395650000001</v>
      </c>
      <c r="L346" s="6">
        <f>[1]Hybrid!K33</f>
        <v>61.111525690000001</v>
      </c>
      <c r="M346" s="6">
        <f>[1]Hybrid!L33</f>
        <v>66.926891240000003</v>
      </c>
      <c r="N346" s="6">
        <f>[1]Hybrid!M33</f>
        <v>72.71677262</v>
      </c>
      <c r="O346" s="6">
        <f>[1]Hybrid!N33</f>
        <v>78.478598719999994</v>
      </c>
      <c r="P346" s="6">
        <f>[1]Hybrid!O33</f>
        <v>84.210216939999995</v>
      </c>
      <c r="Q346" s="6">
        <f>[1]Hybrid!P33</f>
        <v>89.91021782</v>
      </c>
      <c r="R346" s="6">
        <f>[1]Hybrid!Q33</f>
        <v>95.577975120000005</v>
      </c>
      <c r="S346" s="6">
        <f>[1]Hybrid!R33</f>
        <v>101.2135938</v>
      </c>
      <c r="T346" s="6">
        <f>[1]Hybrid!S33</f>
        <v>106.81784140000001</v>
      </c>
      <c r="U346" s="6">
        <f>[1]Hybrid!T33</f>
        <v>112.3920936</v>
      </c>
      <c r="V346" s="6">
        <f>[1]Hybrid!U33</f>
        <v>117.9383028</v>
      </c>
      <c r="W346" s="6">
        <f>[1]Hybrid!V33</f>
        <v>123.44277289999999</v>
      </c>
      <c r="X346" s="6">
        <f>[1]Hybrid!W33</f>
        <v>128.92505270000001</v>
      </c>
      <c r="Y346" s="6">
        <f>[1]Hybrid!X33</f>
        <v>134.38933900000001</v>
      </c>
      <c r="Z346" s="6">
        <f>[1]Hybrid!Y33</f>
        <v>139.84059930000001</v>
      </c>
      <c r="AA346" s="6">
        <f>[1]Hybrid!Z33</f>
        <v>145.28422699999999</v>
      </c>
      <c r="AB346" s="6">
        <f>[1]Hybrid!AA33</f>
        <v>150.67747650000001</v>
      </c>
      <c r="AC346" s="6">
        <f>[1]Hybrid!AB33</f>
        <v>156.0527093</v>
      </c>
      <c r="AD346" s="6">
        <f>[1]Hybrid!AC33</f>
        <v>161.4181193</v>
      </c>
      <c r="AE346" s="6">
        <f>[1]Hybrid!AD33</f>
        <v>166.78370409999999</v>
      </c>
      <c r="AF346" s="6">
        <f>[1]Hybrid!AE33</f>
        <v>172.1605074</v>
      </c>
      <c r="AG346" s="6">
        <f>[1]Hybrid!AF33</f>
        <v>177.56023680000001</v>
      </c>
      <c r="AH346" s="6">
        <f>[1]Hybrid!AG33</f>
        <v>182.995091</v>
      </c>
      <c r="AI346" s="6">
        <f>[1]Hybrid!AH33</f>
        <v>188.4777153</v>
      </c>
      <c r="AJ346" s="6">
        <f>[1]Hybrid!AI33</f>
        <v>194.02123409999999</v>
      </c>
      <c r="AK346" s="6">
        <f>[1]Hybrid!AJ33</f>
        <v>199.63932750000001</v>
      </c>
      <c r="AL346" s="6">
        <f>[1]Hybrid!AK33</f>
        <v>205.3463265</v>
      </c>
      <c r="AM346" s="6">
        <f>[1]Hybrid!AL33</f>
        <v>211.1443314</v>
      </c>
      <c r="AN346" s="6">
        <f>[1]Hybrid!AM33</f>
        <v>217.04915679999999</v>
      </c>
      <c r="AO346" s="6">
        <f>[1]Hybrid!AN33</f>
        <v>223.07796020000001</v>
      </c>
      <c r="AP346" s="6">
        <f>[1]Hybrid!AO33</f>
        <v>229.24949079999999</v>
      </c>
      <c r="AQ346" s="6">
        <f>[1]Hybrid!AP33</f>
        <v>235.584067</v>
      </c>
      <c r="AR346" s="6">
        <f>[1]Hybrid!AQ33</f>
        <v>242.10351420000001</v>
      </c>
      <c r="AS346" s="6">
        <f>[1]Hybrid!AR33</f>
        <v>248.83114380000001</v>
      </c>
      <c r="AT346" s="6">
        <f>[1]Hybrid!AS33</f>
        <v>255.79179310000001</v>
      </c>
      <c r="AU346" s="6">
        <f>[1]Hybrid!AT33</f>
        <v>263.01192750000001</v>
      </c>
      <c r="AV346" s="6">
        <f>[1]Hybrid!AU33</f>
        <v>270.51979310000002</v>
      </c>
      <c r="AW346" s="6">
        <f>[1]Hybrid!AV33</f>
        <v>278.34700479999998</v>
      </c>
      <c r="AX346" s="6">
        <f>[1]Hybrid!AW33</f>
        <v>286.52603740000001</v>
      </c>
      <c r="AY346" s="6">
        <f>[1]Hybrid!AX33</f>
        <v>295.09179440000003</v>
      </c>
      <c r="AZ346" s="6">
        <f>[1]Hybrid!AY33</f>
        <v>304.08183559999998</v>
      </c>
      <c r="BA346" s="6">
        <f>[1]Hybrid!AZ33</f>
        <v>313.5366497</v>
      </c>
      <c r="BB346" s="6">
        <f>[1]Hybrid!BA33</f>
        <v>323.4999603</v>
      </c>
      <c r="BC346" s="6">
        <f>[1]Hybrid!BB33</f>
        <v>334.01905790000001</v>
      </c>
      <c r="BD346" s="6">
        <f>[1]Hybrid!BC33</f>
        <v>345.14515729999999</v>
      </c>
      <c r="BE346" s="6">
        <f>[1]Hybrid!BD33</f>
        <v>356.93377759999998</v>
      </c>
      <c r="BF346" s="6">
        <f>[1]Hybrid!BE33</f>
        <v>369.44514529999998</v>
      </c>
    </row>
    <row r="347" spans="1:58" x14ac:dyDescent="0.35">
      <c r="B347" s="6" t="str">
        <f>[1]Hybrid!A35</f>
        <v>auto_cb_cele_0</v>
      </c>
      <c r="C347" s="6">
        <f>[1]Hybrid!B35</f>
        <v>11.44571741</v>
      </c>
      <c r="D347" s="6">
        <f>[1]Hybrid!C35</f>
        <v>16.322968119999999</v>
      </c>
      <c r="E347" s="6">
        <f>[1]Hybrid!D35</f>
        <v>21.49182411</v>
      </c>
      <c r="F347" s="6">
        <f>[1]Hybrid!E35</f>
        <v>26.830588379999998</v>
      </c>
      <c r="G347" s="6">
        <f>[1]Hybrid!F35</f>
        <v>32.261549180000003</v>
      </c>
      <c r="H347" s="6">
        <f>[1]Hybrid!G35</f>
        <v>37.736755449999997</v>
      </c>
      <c r="I347" s="6">
        <f>[1]Hybrid!H35</f>
        <v>43.216769419999999</v>
      </c>
      <c r="J347" s="6">
        <f>[1]Hybrid!I35</f>
        <v>48.683248059999997</v>
      </c>
      <c r="K347" s="6">
        <f>[1]Hybrid!J35</f>
        <v>54.124671829999997</v>
      </c>
      <c r="L347" s="6">
        <f>[1]Hybrid!K35</f>
        <v>59.533606280000001</v>
      </c>
      <c r="M347" s="6">
        <f>[1]Hybrid!L35</f>
        <v>64.923754389999999</v>
      </c>
      <c r="N347" s="6">
        <f>[1]Hybrid!M35</f>
        <v>70.272755630000006</v>
      </c>
      <c r="O347" s="6">
        <f>[1]Hybrid!N35</f>
        <v>75.577303049999998</v>
      </c>
      <c r="P347" s="6">
        <f>[1]Hybrid!O35</f>
        <v>80.834538089999995</v>
      </c>
      <c r="Q347" s="6">
        <f>[1]Hybrid!P35</f>
        <v>86.042349569999999</v>
      </c>
      <c r="R347" s="6">
        <f>[1]Hybrid!Q35</f>
        <v>91.199403750000002</v>
      </c>
      <c r="S347" s="6">
        <f>[1]Hybrid!R35</f>
        <v>96.305088870000006</v>
      </c>
      <c r="T347" s="6">
        <f>[1]Hybrid!S35</f>
        <v>101.3594453</v>
      </c>
      <c r="U347" s="6">
        <f>[1]Hybrid!T35</f>
        <v>106.36310880000001</v>
      </c>
      <c r="V347" s="6">
        <f>[1]Hybrid!U35</f>
        <v>111.3172742</v>
      </c>
      <c r="W347" s="6">
        <f>[1]Hybrid!V35</f>
        <v>116.2088789</v>
      </c>
      <c r="X347" s="6">
        <f>[1]Hybrid!W35</f>
        <v>121.05532359999999</v>
      </c>
      <c r="Y347" s="6">
        <f>[1]Hybrid!X35</f>
        <v>125.8599195</v>
      </c>
      <c r="Z347" s="6">
        <f>[1]Hybrid!Y35</f>
        <v>130.62666039999999</v>
      </c>
      <c r="AA347" s="6">
        <f>[1]Hybrid!Z35</f>
        <v>135.35990229999999</v>
      </c>
      <c r="AB347" s="6">
        <f>[1]Hybrid!AA35</f>
        <v>140.02076270000001</v>
      </c>
      <c r="AC347" s="6">
        <f>[1]Hybrid!AB35</f>
        <v>144.63814529999999</v>
      </c>
      <c r="AD347" s="6">
        <f>[1]Hybrid!AC35</f>
        <v>149.21911019999999</v>
      </c>
      <c r="AE347" s="6">
        <f>[1]Hybrid!AD35</f>
        <v>153.77226490000001</v>
      </c>
      <c r="AF347" s="6">
        <f>[1]Hybrid!AE35</f>
        <v>158.3070621</v>
      </c>
      <c r="AG347" s="6">
        <f>[1]Hybrid!AF35</f>
        <v>162.8334457</v>
      </c>
      <c r="AH347" s="6">
        <f>[1]Hybrid!AG35</f>
        <v>167.36168380000001</v>
      </c>
      <c r="AI347" s="6">
        <f>[1]Hybrid!AH35</f>
        <v>171.9023163</v>
      </c>
      <c r="AJ347" s="6">
        <f>[1]Hybrid!AI35</f>
        <v>176.4661706</v>
      </c>
      <c r="AK347" s="6">
        <f>[1]Hybrid!AJ35</f>
        <v>181.06441369999999</v>
      </c>
      <c r="AL347" s="6">
        <f>[1]Hybrid!AK35</f>
        <v>185.7086218</v>
      </c>
      <c r="AM347" s="6">
        <f>[1]Hybrid!AL35</f>
        <v>190.39964639999999</v>
      </c>
      <c r="AN347" s="6">
        <f>[1]Hybrid!AM35</f>
        <v>195.15013139999999</v>
      </c>
      <c r="AO347" s="6">
        <f>[1]Hybrid!AN35</f>
        <v>199.97370050000001</v>
      </c>
      <c r="AP347" s="6">
        <f>[1]Hybrid!AO35</f>
        <v>204.88513520000001</v>
      </c>
      <c r="AQ347" s="6">
        <f>[1]Hybrid!AP35</f>
        <v>209.9003208</v>
      </c>
      <c r="AR347" s="6">
        <f>[1]Hybrid!AQ35</f>
        <v>215.03616109999999</v>
      </c>
      <c r="AS347" s="6">
        <f>[1]Hybrid!AR35</f>
        <v>220.31052650000001</v>
      </c>
      <c r="AT347" s="6">
        <f>[1]Hybrid!AS35</f>
        <v>225.742255</v>
      </c>
      <c r="AU347" s="6">
        <f>[1]Hybrid!AT35</f>
        <v>231.35119940000001</v>
      </c>
      <c r="AV347" s="6">
        <f>[1]Hybrid!AU35</f>
        <v>237.15831549999999</v>
      </c>
      <c r="AW347" s="6">
        <f>[1]Hybrid!AV35</f>
        <v>243.18693429999999</v>
      </c>
      <c r="AX347" s="6">
        <f>[1]Hybrid!AW35</f>
        <v>249.46061449999999</v>
      </c>
      <c r="AY347" s="6">
        <f>[1]Hybrid!AX35</f>
        <v>256.00439870000002</v>
      </c>
      <c r="AZ347" s="6">
        <f>[1]Hybrid!AY35</f>
        <v>262.84493989999999</v>
      </c>
      <c r="BA347" s="6">
        <f>[1]Hybrid!AZ35</f>
        <v>270.01065349999999</v>
      </c>
      <c r="BB347" s="6">
        <f>[1]Hybrid!BA35</f>
        <v>277.53188699999998</v>
      </c>
      <c r="BC347" s="6">
        <f>[1]Hybrid!BB35</f>
        <v>285.44110230000001</v>
      </c>
      <c r="BD347" s="6">
        <f>[1]Hybrid!BC35</f>
        <v>293.7730641</v>
      </c>
      <c r="BE347" s="6">
        <f>[1]Hybrid!BD35</f>
        <v>302.56503559999999</v>
      </c>
      <c r="BF347" s="6">
        <f>[1]Hybrid!BE35</f>
        <v>311.8569766</v>
      </c>
    </row>
    <row r="348" spans="1:58" x14ac:dyDescent="0.35">
      <c r="B348" s="6" t="str">
        <f>[1]Hybrid!A37</f>
        <v>auto_cc_cele_0</v>
      </c>
      <c r="C348" s="6">
        <f>[1]Hybrid!B37</f>
        <v>9.4015406210000005</v>
      </c>
      <c r="D348" s="6">
        <f>[1]Hybrid!C37</f>
        <v>12.71448286</v>
      </c>
      <c r="E348" s="6">
        <f>[1]Hybrid!D37</f>
        <v>16.22505838</v>
      </c>
      <c r="F348" s="6">
        <f>[1]Hybrid!E37</f>
        <v>19.847384309999999</v>
      </c>
      <c r="G348" s="6">
        <f>[1]Hybrid!F37</f>
        <v>23.526649429999999</v>
      </c>
      <c r="H348" s="6">
        <f>[1]Hybrid!G37</f>
        <v>27.228931719999999</v>
      </c>
      <c r="I348" s="6">
        <f>[1]Hybrid!H37</f>
        <v>30.926391779999999</v>
      </c>
      <c r="J348" s="6">
        <f>[1]Hybrid!I37</f>
        <v>34.605790659999997</v>
      </c>
      <c r="K348" s="6">
        <f>[1]Hybrid!J37</f>
        <v>38.258624709999999</v>
      </c>
      <c r="L348" s="6">
        <f>[1]Hybrid!K37</f>
        <v>41.879223150000001</v>
      </c>
      <c r="M348" s="6">
        <f>[1]Hybrid!L37</f>
        <v>45.476279830000003</v>
      </c>
      <c r="N348" s="6">
        <f>[1]Hybrid!M37</f>
        <v>49.034016289999997</v>
      </c>
      <c r="O348" s="6">
        <f>[1]Hybrid!N37</f>
        <v>52.549652700000003</v>
      </c>
      <c r="P348" s="6">
        <f>[1]Hybrid!O37</f>
        <v>56.020757189999998</v>
      </c>
      <c r="Q348" s="6">
        <f>[1]Hybrid!P37</f>
        <v>59.445444340000002</v>
      </c>
      <c r="R348" s="6">
        <f>[1]Hybrid!Q37</f>
        <v>62.822390030000001</v>
      </c>
      <c r="S348" s="6">
        <f>[1]Hybrid!R37</f>
        <v>66.150789419999995</v>
      </c>
      <c r="T348" s="6">
        <f>[1]Hybrid!S37</f>
        <v>69.430305619999999</v>
      </c>
      <c r="U348" s="6">
        <f>[1]Hybrid!T37</f>
        <v>72.661027230000002</v>
      </c>
      <c r="V348" s="6">
        <f>[1]Hybrid!U37</f>
        <v>75.843439119999999</v>
      </c>
      <c r="W348" s="6">
        <f>[1]Hybrid!V37</f>
        <v>78.968666639999995</v>
      </c>
      <c r="X348" s="6">
        <f>[1]Hybrid!W37</f>
        <v>82.047966819999999</v>
      </c>
      <c r="Y348" s="6">
        <f>[1]Hybrid!X37</f>
        <v>85.083279050000002</v>
      </c>
      <c r="Z348" s="6">
        <f>[1]Hybrid!Y37</f>
        <v>88.076983510000005</v>
      </c>
      <c r="AA348" s="6">
        <f>[1]Hybrid!Z37</f>
        <v>91.031686829999998</v>
      </c>
      <c r="AB348" s="6">
        <f>[1]Hybrid!AA37</f>
        <v>93.922000839999995</v>
      </c>
      <c r="AC348" s="6">
        <f>[1]Hybrid!AB37</f>
        <v>96.766647590000005</v>
      </c>
      <c r="AD348" s="6">
        <f>[1]Hybrid!AC37</f>
        <v>99.570117269999997</v>
      </c>
      <c r="AE348" s="6">
        <f>[1]Hybrid!AD37</f>
        <v>102.33785690000001</v>
      </c>
      <c r="AF348" s="6">
        <f>[1]Hybrid!AE37</f>
        <v>105.0758031</v>
      </c>
      <c r="AG348" s="6">
        <f>[1]Hybrid!AF37</f>
        <v>107.79014549999999</v>
      </c>
      <c r="AH348" s="6">
        <f>[1]Hybrid!AG37</f>
        <v>110.4872123</v>
      </c>
      <c r="AI348" s="6">
        <f>[1]Hybrid!AH37</f>
        <v>113.17342979999999</v>
      </c>
      <c r="AJ348" s="6">
        <f>[1]Hybrid!AI37</f>
        <v>115.8553242</v>
      </c>
      <c r="AK348" s="6">
        <f>[1]Hybrid!AJ37</f>
        <v>118.5395473</v>
      </c>
      <c r="AL348" s="6">
        <f>[1]Hybrid!AK37</f>
        <v>121.23291209999999</v>
      </c>
      <c r="AM348" s="6">
        <f>[1]Hybrid!AL37</f>
        <v>123.9354616</v>
      </c>
      <c r="AN348" s="6">
        <f>[1]Hybrid!AM37</f>
        <v>126.65454920000001</v>
      </c>
      <c r="AO348" s="6">
        <f>[1]Hybrid!AN37</f>
        <v>129.3980305</v>
      </c>
      <c r="AP348" s="6">
        <f>[1]Hybrid!AO37</f>
        <v>132.17435330000001</v>
      </c>
      <c r="AQ348" s="6">
        <f>[1]Hybrid!AP37</f>
        <v>134.99250459999999</v>
      </c>
      <c r="AR348" s="6">
        <f>[1]Hybrid!AQ37</f>
        <v>137.86193969999999</v>
      </c>
      <c r="AS348" s="6">
        <f>[1]Hybrid!AR37</f>
        <v>140.79253360000001</v>
      </c>
      <c r="AT348" s="6">
        <f>[1]Hybrid!AS37</f>
        <v>143.79456329999999</v>
      </c>
      <c r="AU348" s="6">
        <f>[1]Hybrid!AT37</f>
        <v>146.87871749999999</v>
      </c>
      <c r="AV348" s="6">
        <f>[1]Hybrid!AU37</f>
        <v>150.05612880000001</v>
      </c>
      <c r="AW348" s="6">
        <f>[1]Hybrid!AV37</f>
        <v>153.33911130000001</v>
      </c>
      <c r="AX348" s="6">
        <f>[1]Hybrid!AW37</f>
        <v>156.7398432</v>
      </c>
      <c r="AY348" s="6">
        <f>[1]Hybrid!AX37</f>
        <v>160.2710975</v>
      </c>
      <c r="AZ348" s="6">
        <f>[1]Hybrid!AY37</f>
        <v>163.94628660000001</v>
      </c>
      <c r="BA348" s="6">
        <f>[1]Hybrid!AZ37</f>
        <v>167.7795179</v>
      </c>
      <c r="BB348" s="6">
        <f>[1]Hybrid!BA37</f>
        <v>171.78565689999999</v>
      </c>
      <c r="BC348" s="6">
        <f>[1]Hybrid!BB37</f>
        <v>175.9803909</v>
      </c>
      <c r="BD348" s="6">
        <f>[1]Hybrid!BC37</f>
        <v>180.38029399999999</v>
      </c>
      <c r="BE348" s="6">
        <f>[1]Hybrid!BD37</f>
        <v>185.00288929999999</v>
      </c>
      <c r="BF348" s="6">
        <f>[1]Hybrid!BE37</f>
        <v>189.86670760000001</v>
      </c>
    </row>
    <row r="349" spans="1:58" x14ac:dyDescent="0.35">
      <c r="B349" s="6" t="str">
        <f>[1]Hybrid!A39</f>
        <v>auto_cd_cele_0</v>
      </c>
      <c r="C349" s="6">
        <f>[1]Hybrid!B39</f>
        <v>5.770071272</v>
      </c>
      <c r="D349" s="6">
        <f>[1]Hybrid!C39</f>
        <v>7.5724919279999998</v>
      </c>
      <c r="E349" s="6">
        <f>[1]Hybrid!D39</f>
        <v>9.4657032940000008</v>
      </c>
      <c r="F349" s="6">
        <f>[1]Hybrid!E39</f>
        <v>11.396266410000001</v>
      </c>
      <c r="G349" s="6">
        <f>[1]Hybrid!F39</f>
        <v>13.329768270000001</v>
      </c>
      <c r="H349" s="6">
        <f>[1]Hybrid!G39</f>
        <v>15.2446132</v>
      </c>
      <c r="I349" s="6">
        <f>[1]Hybrid!H39</f>
        <v>17.123718719999999</v>
      </c>
      <c r="J349" s="6">
        <f>[1]Hybrid!I39</f>
        <v>18.95862953</v>
      </c>
      <c r="K349" s="6">
        <f>[1]Hybrid!J39</f>
        <v>20.74398382</v>
      </c>
      <c r="L349" s="6">
        <f>[1]Hybrid!K39</f>
        <v>22.47630904</v>
      </c>
      <c r="M349" s="6">
        <f>[1]Hybrid!L39</f>
        <v>24.159458489999999</v>
      </c>
      <c r="N349" s="6">
        <f>[1]Hybrid!M39</f>
        <v>25.785429820000001</v>
      </c>
      <c r="O349" s="6">
        <f>[1]Hybrid!N39</f>
        <v>27.35287396</v>
      </c>
      <c r="P349" s="6">
        <f>[1]Hybrid!O39</f>
        <v>28.860749009999999</v>
      </c>
      <c r="Q349" s="6">
        <f>[1]Hybrid!P39</f>
        <v>30.308371569999998</v>
      </c>
      <c r="R349" s="6">
        <f>[1]Hybrid!Q39</f>
        <v>31.695390060000001</v>
      </c>
      <c r="S349" s="6">
        <f>[1]Hybrid!R39</f>
        <v>33.021739019999998</v>
      </c>
      <c r="T349" s="6">
        <f>[1]Hybrid!S39</f>
        <v>34.287593899999997</v>
      </c>
      <c r="U349" s="6">
        <f>[1]Hybrid!T39</f>
        <v>35.493332889999998</v>
      </c>
      <c r="V349" s="6">
        <f>[1]Hybrid!U39</f>
        <v>36.639506939999997</v>
      </c>
      <c r="W349" s="6">
        <f>[1]Hybrid!V39</f>
        <v>37.722811270000001</v>
      </c>
      <c r="X349" s="6">
        <f>[1]Hybrid!W39</f>
        <v>38.748314729999997</v>
      </c>
      <c r="Y349" s="6">
        <f>[1]Hybrid!X39</f>
        <v>39.717090239999997</v>
      </c>
      <c r="Z349" s="6">
        <f>[1]Hybrid!Y39</f>
        <v>40.630325139999997</v>
      </c>
      <c r="AA349" s="6">
        <f>[1]Hybrid!Z39</f>
        <v>41.489236179999999</v>
      </c>
      <c r="AB349" s="6">
        <f>[1]Hybrid!AA39</f>
        <v>42.284532839999997</v>
      </c>
      <c r="AC349" s="6">
        <f>[1]Hybrid!AB39</f>
        <v>43.023770399999997</v>
      </c>
      <c r="AD349" s="6">
        <f>[1]Hybrid!AC39</f>
        <v>43.708911800000003</v>
      </c>
      <c r="AE349" s="6">
        <f>[1]Hybrid!AD39</f>
        <v>44.342125029999998</v>
      </c>
      <c r="AF349" s="6">
        <f>[1]Hybrid!AE39</f>
        <v>44.925604370000002</v>
      </c>
      <c r="AG349" s="6">
        <f>[1]Hybrid!AF39</f>
        <v>45.461486970000003</v>
      </c>
      <c r="AH349" s="6">
        <f>[1]Hybrid!AG39</f>
        <v>45.951817069999997</v>
      </c>
      <c r="AI349" s="6">
        <f>[1]Hybrid!AH39</f>
        <v>46.398536759999999</v>
      </c>
      <c r="AJ349" s="6">
        <f>[1]Hybrid!AI39</f>
        <v>46.803491319999999</v>
      </c>
      <c r="AK349" s="6">
        <f>[1]Hybrid!AJ39</f>
        <v>47.168441000000001</v>
      </c>
      <c r="AL349" s="6">
        <f>[1]Hybrid!AK39</f>
        <v>47.495074600000002</v>
      </c>
      <c r="AM349" s="6">
        <f>[1]Hybrid!AL39</f>
        <v>47.783018869999999</v>
      </c>
      <c r="AN349" s="6">
        <f>[1]Hybrid!AM39</f>
        <v>48.034025669999998</v>
      </c>
      <c r="AO349" s="6">
        <f>[1]Hybrid!AN39</f>
        <v>48.249866500000003</v>
      </c>
      <c r="AP349" s="6">
        <f>[1]Hybrid!AO39</f>
        <v>48.432337510000004</v>
      </c>
      <c r="AQ349" s="6">
        <f>[1]Hybrid!AP39</f>
        <v>48.583229680000002</v>
      </c>
      <c r="AR349" s="6">
        <f>[1]Hybrid!AQ39</f>
        <v>48.704299759999998</v>
      </c>
      <c r="AS349" s="6">
        <f>[1]Hybrid!AR39</f>
        <v>48.797250859999998</v>
      </c>
      <c r="AT349" s="6">
        <f>[1]Hybrid!AS39</f>
        <v>48.863722869999997</v>
      </c>
      <c r="AU349" s="6">
        <f>[1]Hybrid!AT39</f>
        <v>48.905290739999998</v>
      </c>
      <c r="AV349" s="6">
        <f>[1]Hybrid!AU39</f>
        <v>48.923467700000003</v>
      </c>
      <c r="AW349" s="6">
        <f>[1]Hybrid!AV39</f>
        <v>48.91985485</v>
      </c>
      <c r="AX349" s="6">
        <f>[1]Hybrid!AW39</f>
        <v>48.895847969999998</v>
      </c>
      <c r="AY349" s="6">
        <f>[1]Hybrid!AX39</f>
        <v>48.852796320000003</v>
      </c>
      <c r="AZ349" s="6">
        <f>[1]Hybrid!AY39</f>
        <v>48.792005869999997</v>
      </c>
      <c r="BA349" s="6">
        <f>[1]Hybrid!AZ39</f>
        <v>48.714744179999997</v>
      </c>
      <c r="BB349" s="6">
        <f>[1]Hybrid!BA39</f>
        <v>48.622244999999999</v>
      </c>
      <c r="BC349" s="6">
        <f>[1]Hybrid!BB39</f>
        <v>48.515711359999997</v>
      </c>
      <c r="BD349" s="6">
        <f>[1]Hybrid!BC39</f>
        <v>48.39631704</v>
      </c>
      <c r="BE349" s="6">
        <f>[1]Hybrid!BD39</f>
        <v>48.265206489999997</v>
      </c>
      <c r="BF349" s="6">
        <f>[1]Hybrid!BE39</f>
        <v>48.123493619999998</v>
      </c>
    </row>
    <row r="350" spans="1:58" x14ac:dyDescent="0.35">
      <c r="B350" s="6" t="str">
        <f>[1]Hybrid!A41</f>
        <v>auto_ce_cele_0</v>
      </c>
      <c r="C350" s="6">
        <f>[1]Hybrid!B41</f>
        <v>3.4730440960000002</v>
      </c>
      <c r="D350" s="6">
        <f>[1]Hybrid!C41</f>
        <v>4.5791175480000001</v>
      </c>
      <c r="E350" s="6">
        <f>[1]Hybrid!D41</f>
        <v>5.7313470710000001</v>
      </c>
      <c r="F350" s="6">
        <f>[1]Hybrid!E41</f>
        <v>6.8947231530000002</v>
      </c>
      <c r="G350" s="6">
        <f>[1]Hybrid!F41</f>
        <v>8.0469703910000003</v>
      </c>
      <c r="H350" s="6">
        <f>[1]Hybrid!G41</f>
        <v>9.1742723720000008</v>
      </c>
      <c r="I350" s="6">
        <f>[1]Hybrid!H41</f>
        <v>10.266017059999999</v>
      </c>
      <c r="J350" s="6">
        <f>[1]Hybrid!I41</f>
        <v>11.31702947</v>
      </c>
      <c r="K350" s="6">
        <f>[1]Hybrid!J41</f>
        <v>12.324157319999999</v>
      </c>
      <c r="L350" s="6">
        <f>[1]Hybrid!K41</f>
        <v>13.285492700000001</v>
      </c>
      <c r="M350" s="6">
        <f>[1]Hybrid!L41</f>
        <v>14.20334873</v>
      </c>
      <c r="N350" s="6">
        <f>[1]Hybrid!M41</f>
        <v>15.0734367</v>
      </c>
      <c r="O350" s="6">
        <f>[1]Hybrid!N41</f>
        <v>15.89533306</v>
      </c>
      <c r="P350" s="6">
        <f>[1]Hybrid!O41</f>
        <v>16.66886577</v>
      </c>
      <c r="Q350" s="6">
        <f>[1]Hybrid!P41</f>
        <v>17.394128210000002</v>
      </c>
      <c r="R350" s="6">
        <f>[1]Hybrid!Q41</f>
        <v>18.071451440000001</v>
      </c>
      <c r="S350" s="6">
        <f>[1]Hybrid!R41</f>
        <v>18.70136858</v>
      </c>
      <c r="T350" s="6">
        <f>[1]Hybrid!S41</f>
        <v>19.284581469999999</v>
      </c>
      <c r="U350" s="6">
        <f>[1]Hybrid!T41</f>
        <v>19.821932220000001</v>
      </c>
      <c r="V350" s="6">
        <f>[1]Hybrid!U41</f>
        <v>20.314379880000001</v>
      </c>
      <c r="W350" s="6">
        <f>[1]Hybrid!V41</f>
        <v>20.761014190000001</v>
      </c>
      <c r="X350" s="6">
        <f>[1]Hybrid!W41</f>
        <v>21.16510667</v>
      </c>
      <c r="Y350" s="6">
        <f>[1]Hybrid!X41</f>
        <v>21.527926820000001</v>
      </c>
      <c r="Z350" s="6">
        <f>[1]Hybrid!Y41</f>
        <v>21.85079666</v>
      </c>
      <c r="AA350" s="6">
        <f>[1]Hybrid!Z41</f>
        <v>22.135048170000001</v>
      </c>
      <c r="AB350" s="6">
        <f>[1]Hybrid!AA41</f>
        <v>22.377213269999999</v>
      </c>
      <c r="AC350" s="6">
        <f>[1]Hybrid!AB41</f>
        <v>22.581676590000001</v>
      </c>
      <c r="AD350" s="6">
        <f>[1]Hybrid!AC41</f>
        <v>22.75018871</v>
      </c>
      <c r="AE350" s="6">
        <f>[1]Hybrid!AD41</f>
        <v>22.884556719999999</v>
      </c>
      <c r="AF350" s="6">
        <f>[1]Hybrid!AE41</f>
        <v>22.986560369999999</v>
      </c>
      <c r="AG350" s="6">
        <f>[1]Hybrid!AF41</f>
        <v>23.05791593</v>
      </c>
      <c r="AH350" s="6">
        <f>[1]Hybrid!AG41</f>
        <v>23.100262529999998</v>
      </c>
      <c r="AI350" s="6">
        <f>[1]Hybrid!AH41</f>
        <v>23.115160459999998</v>
      </c>
      <c r="AJ350" s="6">
        <f>[1]Hybrid!AI41</f>
        <v>23.104095489999999</v>
      </c>
      <c r="AK350" s="6">
        <f>[1]Hybrid!AJ41</f>
        <v>23.068485880000001</v>
      </c>
      <c r="AL350" s="6">
        <f>[1]Hybrid!AK41</f>
        <v>23.009689860000002</v>
      </c>
      <c r="AM350" s="6">
        <f>[1]Hybrid!AL41</f>
        <v>22.928250080000002</v>
      </c>
      <c r="AN350" s="6">
        <f>[1]Hybrid!AM41</f>
        <v>22.825527820000001</v>
      </c>
      <c r="AO350" s="6">
        <f>[1]Hybrid!AN41</f>
        <v>22.70286226</v>
      </c>
      <c r="AP350" s="6">
        <f>[1]Hybrid!AO41</f>
        <v>22.561568659999999</v>
      </c>
      <c r="AQ350" s="6">
        <f>[1]Hybrid!AP41</f>
        <v>22.402925499999998</v>
      </c>
      <c r="AR350" s="6">
        <f>[1]Hybrid!AQ41</f>
        <v>22.228163670000001</v>
      </c>
      <c r="AS350" s="6">
        <f>[1]Hybrid!AR41</f>
        <v>22.038460369999999</v>
      </c>
      <c r="AT350" s="6">
        <f>[1]Hybrid!AS41</f>
        <v>21.834937029999999</v>
      </c>
      <c r="AU350" s="6">
        <f>[1]Hybrid!AT41</f>
        <v>21.618660129999999</v>
      </c>
      <c r="AV350" s="6">
        <f>[1]Hybrid!AU41</f>
        <v>21.390643619999999</v>
      </c>
      <c r="AW350" s="6">
        <f>[1]Hybrid!AV41</f>
        <v>21.15189719</v>
      </c>
      <c r="AX350" s="6">
        <f>[1]Hybrid!AW41</f>
        <v>20.903332939999999</v>
      </c>
      <c r="AY350" s="6">
        <f>[1]Hybrid!AX41</f>
        <v>20.645819070000002</v>
      </c>
      <c r="AZ350" s="6">
        <f>[1]Hybrid!AY41</f>
        <v>20.38018198</v>
      </c>
      <c r="BA350" s="6">
        <f>[1]Hybrid!AZ41</f>
        <v>20.107208790000001</v>
      </c>
      <c r="BB350" s="6">
        <f>[1]Hybrid!BA41</f>
        <v>19.8276495</v>
      </c>
      <c r="BC350" s="6">
        <f>[1]Hybrid!BB41</f>
        <v>19.54221854</v>
      </c>
      <c r="BD350" s="6">
        <f>[1]Hybrid!BC41</f>
        <v>19.251595850000001</v>
      </c>
      <c r="BE350" s="6">
        <f>[1]Hybrid!BD41</f>
        <v>18.9564275</v>
      </c>
      <c r="BF350" s="6">
        <f>[1]Hybrid!BE41</f>
        <v>18.657326009999998</v>
      </c>
    </row>
    <row r="351" spans="1:58" x14ac:dyDescent="0.35">
      <c r="B351" s="6" t="str">
        <f>[1]Hybrid!A43</f>
        <v>auto_cf_cele_0</v>
      </c>
      <c r="C351" s="6">
        <f>[1]Hybrid!B43</f>
        <v>1.7251505170000001</v>
      </c>
      <c r="D351" s="6">
        <f>[1]Hybrid!C43</f>
        <v>2.2482442969999998</v>
      </c>
      <c r="E351" s="6">
        <f>[1]Hybrid!D43</f>
        <v>2.7774998590000002</v>
      </c>
      <c r="F351" s="6">
        <f>[1]Hybrid!E43</f>
        <v>3.2928145149999999</v>
      </c>
      <c r="G351" s="6">
        <f>[1]Hybrid!F43</f>
        <v>3.7822145580000002</v>
      </c>
      <c r="H351" s="6">
        <f>[1]Hybrid!G43</f>
        <v>4.2389796009999996</v>
      </c>
      <c r="I351" s="6">
        <f>[1]Hybrid!H43</f>
        <v>4.6588005880000001</v>
      </c>
      <c r="J351" s="6">
        <f>[1]Hybrid!I43</f>
        <v>5.0403092679999997</v>
      </c>
      <c r="K351" s="6">
        <f>[1]Hybrid!J43</f>
        <v>5.3833593620000002</v>
      </c>
      <c r="L351" s="6">
        <f>[1]Hybrid!K43</f>
        <v>5.6885469459999998</v>
      </c>
      <c r="M351" s="6">
        <f>[1]Hybrid!L43</f>
        <v>5.958083652</v>
      </c>
      <c r="N351" s="6">
        <f>[1]Hybrid!M43</f>
        <v>6.191981148</v>
      </c>
      <c r="O351" s="6">
        <f>[1]Hybrid!N43</f>
        <v>6.3917140119999996</v>
      </c>
      <c r="P351" s="6">
        <f>[1]Hybrid!O43</f>
        <v>6.5588898130000004</v>
      </c>
      <c r="Q351" s="6">
        <f>[1]Hybrid!P43</f>
        <v>6.6952202300000003</v>
      </c>
      <c r="R351" s="6">
        <f>[1]Hybrid!Q43</f>
        <v>6.8024854850000001</v>
      </c>
      <c r="S351" s="6">
        <f>[1]Hybrid!R43</f>
        <v>6.8825028039999996</v>
      </c>
      <c r="T351" s="6">
        <f>[1]Hybrid!S43</f>
        <v>6.9371003670000002</v>
      </c>
      <c r="U351" s="6">
        <f>[1]Hybrid!T43</f>
        <v>6.968096235</v>
      </c>
      <c r="V351" s="6">
        <f>[1]Hybrid!U43</f>
        <v>6.9772814739999998</v>
      </c>
      <c r="W351" s="6">
        <f>[1]Hybrid!V43</f>
        <v>6.9659966090000003</v>
      </c>
      <c r="X351" s="6">
        <f>[1]Hybrid!W43</f>
        <v>6.9364223410000001</v>
      </c>
      <c r="Y351" s="6">
        <f>[1]Hybrid!X43</f>
        <v>6.8902084769999998</v>
      </c>
      <c r="Z351" s="6">
        <f>[1]Hybrid!Y43</f>
        <v>6.8289334659999996</v>
      </c>
      <c r="AA351" s="6">
        <f>[1]Hybrid!Z43</f>
        <v>6.7540974470000004</v>
      </c>
      <c r="AB351" s="6">
        <f>[1]Hybrid!AA43</f>
        <v>6.6663617850000003</v>
      </c>
      <c r="AC351" s="6">
        <f>[1]Hybrid!AB43</f>
        <v>6.5676461939999999</v>
      </c>
      <c r="AD351" s="6">
        <f>[1]Hybrid!AC43</f>
        <v>6.4593235169999996</v>
      </c>
      <c r="AE351" s="6">
        <f>[1]Hybrid!AD43</f>
        <v>6.3426796149999998</v>
      </c>
      <c r="AF351" s="6">
        <f>[1]Hybrid!AE43</f>
        <v>6.218905028</v>
      </c>
      <c r="AG351" s="6">
        <f>[1]Hybrid!AF43</f>
        <v>6.089096069</v>
      </c>
      <c r="AH351" s="6">
        <f>[1]Hybrid!AG43</f>
        <v>5.9542593339999996</v>
      </c>
      <c r="AI351" s="6">
        <f>[1]Hybrid!AH43</f>
        <v>5.8153174310000004</v>
      </c>
      <c r="AJ351" s="6">
        <f>[1]Hybrid!AI43</f>
        <v>5.6731149690000002</v>
      </c>
      <c r="AK351" s="6">
        <f>[1]Hybrid!AJ43</f>
        <v>5.5284243120000003</v>
      </c>
      <c r="AL351" s="6">
        <f>[1]Hybrid!AK43</f>
        <v>5.3819508779999996</v>
      </c>
      <c r="AM351" s="6">
        <f>[1]Hybrid!AL43</f>
        <v>5.2342779630000003</v>
      </c>
      <c r="AN351" s="6">
        <f>[1]Hybrid!AM43</f>
        <v>5.0860097890000002</v>
      </c>
      <c r="AO351" s="6">
        <f>[1]Hybrid!AN43</f>
        <v>4.937695454</v>
      </c>
      <c r="AP351" s="6">
        <f>[1]Hybrid!AO43</f>
        <v>4.7898310369999999</v>
      </c>
      <c r="AQ351" s="6">
        <f>[1]Hybrid!AP43</f>
        <v>4.6428615129999997</v>
      </c>
      <c r="AR351" s="6">
        <f>[1]Hybrid!AQ43</f>
        <v>4.4971832579999997</v>
      </c>
      <c r="AS351" s="6">
        <f>[1]Hybrid!AR43</f>
        <v>4.3531470030000001</v>
      </c>
      <c r="AT351" s="6">
        <f>[1]Hybrid!AS43</f>
        <v>4.2110609749999997</v>
      </c>
      <c r="AU351" s="6">
        <f>[1]Hybrid!AT43</f>
        <v>4.071194041</v>
      </c>
      <c r="AV351" s="6">
        <f>[1]Hybrid!AU43</f>
        <v>3.9337787679999998</v>
      </c>
      <c r="AW351" s="6">
        <f>[1]Hybrid!AV43</f>
        <v>3.7990159079999999</v>
      </c>
      <c r="AX351" s="6">
        <f>[1]Hybrid!AW43</f>
        <v>3.667073324</v>
      </c>
      <c r="AY351" s="6">
        <f>[1]Hybrid!AX43</f>
        <v>3.5380907599999998</v>
      </c>
      <c r="AZ351" s="6">
        <f>[1]Hybrid!AY43</f>
        <v>3.4121822069999999</v>
      </c>
      <c r="BA351" s="6">
        <f>[1]Hybrid!AZ43</f>
        <v>3.289438128</v>
      </c>
      <c r="BB351" s="6">
        <f>[1]Hybrid!BA43</f>
        <v>3.1699275280000001</v>
      </c>
      <c r="BC351" s="6">
        <f>[1]Hybrid!BB43</f>
        <v>3.0536998799999999</v>
      </c>
      <c r="BD351" s="6">
        <f>[1]Hybrid!BC43</f>
        <v>2.940786938</v>
      </c>
      <c r="BE351" s="6">
        <f>[1]Hybrid!BD43</f>
        <v>2.8312044319999998</v>
      </c>
      <c r="BF351" s="6">
        <f>[1]Hybrid!BE43</f>
        <v>2.724953679</v>
      </c>
    </row>
    <row r="352" spans="1:58" x14ac:dyDescent="0.35">
      <c r="B352" s="6" t="str">
        <f>[1]Hybrid!A45</f>
        <v>auto_cg_cele_0</v>
      </c>
      <c r="C352" s="6">
        <f>[1]Hybrid!B45</f>
        <v>3.1066862139999998</v>
      </c>
      <c r="D352" s="6">
        <f>[1]Hybrid!C45</f>
        <v>4.078034626</v>
      </c>
      <c r="E352" s="6">
        <f>[1]Hybrid!D45</f>
        <v>5.0359357549999997</v>
      </c>
      <c r="F352" s="6">
        <f>[1]Hybrid!E45</f>
        <v>5.939501119</v>
      </c>
      <c r="G352" s="6">
        <f>[1]Hybrid!F45</f>
        <v>6.7665365619999998</v>
      </c>
      <c r="H352" s="6">
        <f>[1]Hybrid!G45</f>
        <v>7.5065763780000001</v>
      </c>
      <c r="I352" s="6">
        <f>[1]Hybrid!H45</f>
        <v>8.1548645240000006</v>
      </c>
      <c r="J352" s="6">
        <f>[1]Hybrid!I45</f>
        <v>8.7124313129999997</v>
      </c>
      <c r="K352" s="6">
        <f>[1]Hybrid!J45</f>
        <v>9.1827119550000003</v>
      </c>
      <c r="L352" s="6">
        <f>[1]Hybrid!K45</f>
        <v>9.570472917</v>
      </c>
      <c r="M352" s="6">
        <f>[1]Hybrid!L45</f>
        <v>9.882774951</v>
      </c>
      <c r="N352" s="6">
        <f>[1]Hybrid!M45</f>
        <v>10.123471139999999</v>
      </c>
      <c r="O352" s="6">
        <f>[1]Hybrid!N45</f>
        <v>10.29838835</v>
      </c>
      <c r="P352" s="6">
        <f>[1]Hybrid!O45</f>
        <v>10.413340850000001</v>
      </c>
      <c r="Q352" s="6">
        <f>[1]Hybrid!P45</f>
        <v>10.4740447</v>
      </c>
      <c r="R352" s="6">
        <f>[1]Hybrid!Q45</f>
        <v>10.48603994</v>
      </c>
      <c r="S352" s="6">
        <f>[1]Hybrid!R45</f>
        <v>10.45463224</v>
      </c>
      <c r="T352" s="6">
        <f>[1]Hybrid!S45</f>
        <v>10.384852220000001</v>
      </c>
      <c r="U352" s="6">
        <f>[1]Hybrid!T45</f>
        <v>10.281428719999999</v>
      </c>
      <c r="V352" s="6">
        <f>[1]Hybrid!U45</f>
        <v>10.148773200000001</v>
      </c>
      <c r="W352" s="6">
        <f>[1]Hybrid!V45</f>
        <v>9.9905993609999992</v>
      </c>
      <c r="X352" s="6">
        <f>[1]Hybrid!W45</f>
        <v>9.8111346229999992</v>
      </c>
      <c r="Y352" s="6">
        <f>[1]Hybrid!X45</f>
        <v>9.6138252709999996</v>
      </c>
      <c r="Z352" s="6">
        <f>[1]Hybrid!Y45</f>
        <v>9.4017994040000001</v>
      </c>
      <c r="AA352" s="6">
        <f>[1]Hybrid!Z45</f>
        <v>9.1778804540000003</v>
      </c>
      <c r="AB352" s="6">
        <f>[1]Hybrid!AA45</f>
        <v>8.9440600549999996</v>
      </c>
      <c r="AC352" s="6">
        <f>[1]Hybrid!AB45</f>
        <v>8.7030757740000002</v>
      </c>
      <c r="AD352" s="6">
        <f>[1]Hybrid!AC45</f>
        <v>8.4570401470000007</v>
      </c>
      <c r="AE352" s="6">
        <f>[1]Hybrid!AD45</f>
        <v>8.2078124050000003</v>
      </c>
      <c r="AF352" s="6">
        <f>[1]Hybrid!AE45</f>
        <v>7.9570135979999996</v>
      </c>
      <c r="AG352" s="6">
        <f>[1]Hybrid!AF45</f>
        <v>7.7060478129999996</v>
      </c>
      <c r="AH352" s="6">
        <f>[1]Hybrid!AG45</f>
        <v>7.4561239749999997</v>
      </c>
      <c r="AI352" s="6">
        <f>[1]Hybrid!AH45</f>
        <v>7.2082765389999999</v>
      </c>
      <c r="AJ352" s="6">
        <f>[1]Hybrid!AI45</f>
        <v>6.9633845279999997</v>
      </c>
      <c r="AK352" s="6">
        <f>[1]Hybrid!AJ45</f>
        <v>6.7221887809999998</v>
      </c>
      <c r="AL352" s="6">
        <f>[1]Hybrid!AK45</f>
        <v>6.4853074580000003</v>
      </c>
      <c r="AM352" s="6">
        <f>[1]Hybrid!AL45</f>
        <v>6.2532261419999999</v>
      </c>
      <c r="AN352" s="6">
        <f>[1]Hybrid!AM45</f>
        <v>6.0263686129999998</v>
      </c>
      <c r="AO352" s="6">
        <f>[1]Hybrid!AN45</f>
        <v>5.8050715139999998</v>
      </c>
      <c r="AP352" s="6">
        <f>[1]Hybrid!AO45</f>
        <v>5.5895939329999997</v>
      </c>
      <c r="AQ352" s="6">
        <f>[1]Hybrid!AP45</f>
        <v>5.380126325</v>
      </c>
      <c r="AR352" s="6">
        <f>[1]Hybrid!AQ45</f>
        <v>5.176799011</v>
      </c>
      <c r="AS352" s="6">
        <f>[1]Hybrid!AR45</f>
        <v>4.979690079</v>
      </c>
      <c r="AT352" s="6">
        <f>[1]Hybrid!AS45</f>
        <v>4.7888326120000002</v>
      </c>
      <c r="AU352" s="6">
        <f>[1]Hybrid!AT45</f>
        <v>4.6042212070000001</v>
      </c>
      <c r="AV352" s="6">
        <f>[1]Hybrid!AU45</f>
        <v>4.4258177999999999</v>
      </c>
      <c r="AW352" s="6">
        <f>[1]Hybrid!AV45</f>
        <v>4.2535571790000004</v>
      </c>
      <c r="AX352" s="6">
        <f>[1]Hybrid!AW45</f>
        <v>4.087350722</v>
      </c>
      <c r="AY352" s="6">
        <f>[1]Hybrid!AX45</f>
        <v>3.9270909899999999</v>
      </c>
      <c r="AZ352" s="6">
        <f>[1]Hybrid!AY45</f>
        <v>3.7726552689999999</v>
      </c>
      <c r="BA352" s="6">
        <f>[1]Hybrid!AZ45</f>
        <v>3.6239086810000001</v>
      </c>
      <c r="BB352" s="6">
        <f>[1]Hybrid!BA45</f>
        <v>3.4807068980000002</v>
      </c>
      <c r="BC352" s="6">
        <f>[1]Hybrid!BB45</f>
        <v>3.3428984910000001</v>
      </c>
      <c r="BD352" s="6">
        <f>[1]Hybrid!BC45</f>
        <v>3.2103269700000001</v>
      </c>
      <c r="BE352" s="6">
        <f>[1]Hybrid!BD45</f>
        <v>3.0828325410000001</v>
      </c>
      <c r="BF352" s="6">
        <f>[1]Hybrid!BE45</f>
        <v>2.9602536050000001</v>
      </c>
    </row>
    <row r="353" spans="1:58" x14ac:dyDescent="0.35">
      <c r="B353" s="6" t="str">
        <f>[1]Hybrid!A47</f>
        <v>auto_ca_cgas_0</v>
      </c>
      <c r="C353" s="6">
        <f>[1]Hybrid!B47</f>
        <v>0.42568169729999999</v>
      </c>
      <c r="D353" s="6">
        <f>[1]Hybrid!C47</f>
        <v>0.44962450999999998</v>
      </c>
      <c r="E353" s="6">
        <f>[1]Hybrid!D47</f>
        <v>0.47671073520000001</v>
      </c>
      <c r="F353" s="6">
        <f>[1]Hybrid!E47</f>
        <v>0.50567802709999998</v>
      </c>
      <c r="G353" s="6">
        <f>[1]Hybrid!F47</f>
        <v>0.53570416700000001</v>
      </c>
      <c r="H353" s="6">
        <f>[1]Hybrid!G47</f>
        <v>0.56627289579999995</v>
      </c>
      <c r="I353" s="6">
        <f>[1]Hybrid!H47</f>
        <v>0.59697095789999999</v>
      </c>
      <c r="J353" s="6">
        <f>[1]Hybrid!I47</f>
        <v>0.62760516119999998</v>
      </c>
      <c r="K353" s="6">
        <f>[1]Hybrid!J47</f>
        <v>0.65806000409999998</v>
      </c>
      <c r="L353" s="6">
        <f>[1]Hybrid!K47</f>
        <v>0.68826724390000005</v>
      </c>
      <c r="M353" s="6">
        <f>[1]Hybrid!L47</f>
        <v>0.71836268020000005</v>
      </c>
      <c r="N353" s="6">
        <f>[1]Hybrid!M47</f>
        <v>0.74814208429999995</v>
      </c>
      <c r="O353" s="6">
        <f>[1]Hybrid!N47</f>
        <v>0.77758620160000003</v>
      </c>
      <c r="P353" s="6">
        <f>[1]Hybrid!O47</f>
        <v>0.80667973019999994</v>
      </c>
      <c r="Q353" s="6">
        <f>[1]Hybrid!P47</f>
        <v>0.83541324679999995</v>
      </c>
      <c r="R353" s="6">
        <f>[1]Hybrid!Q47</f>
        <v>0.86378289480000003</v>
      </c>
      <c r="S353" s="6">
        <f>[1]Hybrid!R47</f>
        <v>0.89178940350000002</v>
      </c>
      <c r="T353" s="6">
        <f>[1]Hybrid!S47</f>
        <v>0.91943703960000001</v>
      </c>
      <c r="U353" s="6">
        <f>[1]Hybrid!T47</f>
        <v>0.94673274149999997</v>
      </c>
      <c r="V353" s="6">
        <f>[1]Hybrid!U47</f>
        <v>0.97368550679999999</v>
      </c>
      <c r="W353" s="6">
        <f>[1]Hybrid!V47</f>
        <v>1.000167568</v>
      </c>
      <c r="X353" s="6">
        <f>[1]Hybrid!W47</f>
        <v>1.0263348349999999</v>
      </c>
      <c r="Y353" s="6">
        <f>[1]Hybrid!X47</f>
        <v>1.0522039969999999</v>
      </c>
      <c r="Z353" s="6">
        <f>[1]Hybrid!Y47</f>
        <v>1.077794283</v>
      </c>
      <c r="AA353" s="6">
        <f>[1]Hybrid!Z47</f>
        <v>1.1031245009999999</v>
      </c>
      <c r="AB353" s="6">
        <f>[1]Hybrid!AA47</f>
        <v>1.127807389</v>
      </c>
      <c r="AC353" s="6">
        <f>[1]Hybrid!AB47</f>
        <v>1.1520897969999999</v>
      </c>
      <c r="AD353" s="6">
        <f>[1]Hybrid!AC47</f>
        <v>1.1760036970000001</v>
      </c>
      <c r="AE353" s="6">
        <f>[1]Hybrid!AD47</f>
        <v>1.1995893959999999</v>
      </c>
      <c r="AF353" s="6">
        <f>[1]Hybrid!AE47</f>
        <v>1.2228890290000001</v>
      </c>
      <c r="AG353" s="6">
        <f>[1]Hybrid!AF47</f>
        <v>1.2459432800000001</v>
      </c>
      <c r="AH353" s="6">
        <f>[1]Hybrid!AG47</f>
        <v>1.268789902</v>
      </c>
      <c r="AI353" s="6">
        <f>[1]Hybrid!AH47</f>
        <v>1.2914633149999999</v>
      </c>
      <c r="AJ353" s="6">
        <f>[1]Hybrid!AI47</f>
        <v>1.313994809</v>
      </c>
      <c r="AK353" s="6">
        <f>[1]Hybrid!AJ47</f>
        <v>1.3364130169999999</v>
      </c>
      <c r="AL353" s="6">
        <f>[1]Hybrid!AK47</f>
        <v>1.358744422</v>
      </c>
      <c r="AM353" s="6">
        <f>[1]Hybrid!AL47</f>
        <v>1.3809145949999999</v>
      </c>
      <c r="AN353" s="6">
        <f>[1]Hybrid!AM47</f>
        <v>1.4029503029999999</v>
      </c>
      <c r="AO353" s="6">
        <f>[1]Hybrid!AN47</f>
        <v>1.4248794010000001</v>
      </c>
      <c r="AP353" s="6">
        <f>[1]Hybrid!AO47</f>
        <v>1.446731752</v>
      </c>
      <c r="AQ353" s="6">
        <f>[1]Hybrid!AP47</f>
        <v>1.468538071</v>
      </c>
      <c r="AR353" s="6">
        <f>[1]Hybrid!AQ47</f>
        <v>1.4903284960000001</v>
      </c>
      <c r="AS353" s="6">
        <f>[1]Hybrid!AR47</f>
        <v>1.5121314969999999</v>
      </c>
      <c r="AT353" s="6">
        <f>[1]Hybrid!AS47</f>
        <v>1.5339732340000001</v>
      </c>
      <c r="AU353" s="6">
        <f>[1]Hybrid!AT47</f>
        <v>1.5558773260000001</v>
      </c>
      <c r="AV353" s="6">
        <f>[1]Hybrid!AU47</f>
        <v>1.577864902</v>
      </c>
      <c r="AW353" s="6">
        <f>[1]Hybrid!AV47</f>
        <v>1.599963832</v>
      </c>
      <c r="AX353" s="6">
        <f>[1]Hybrid!AW47</f>
        <v>1.6221906939999999</v>
      </c>
      <c r="AY353" s="6">
        <f>[1]Hybrid!AX47</f>
        <v>1.644560179</v>
      </c>
      <c r="AZ353" s="6">
        <f>[1]Hybrid!AY47</f>
        <v>1.667085141</v>
      </c>
      <c r="BA353" s="6">
        <f>[1]Hybrid!AZ47</f>
        <v>1.6897768799999999</v>
      </c>
      <c r="BB353" s="6">
        <f>[1]Hybrid!BA47</f>
        <v>1.7126454630000001</v>
      </c>
      <c r="BC353" s="6">
        <f>[1]Hybrid!BB47</f>
        <v>1.7356999639999999</v>
      </c>
      <c r="BD353" s="6">
        <f>[1]Hybrid!BC47</f>
        <v>1.75894861</v>
      </c>
      <c r="BE353" s="6">
        <f>[1]Hybrid!BD47</f>
        <v>1.7823988369999999</v>
      </c>
      <c r="BF353" s="6">
        <f>[1]Hybrid!BE47</f>
        <v>1.806057297</v>
      </c>
    </row>
    <row r="354" spans="1:58" x14ac:dyDescent="0.35">
      <c r="B354" s="6" t="str">
        <f>[1]Hybrid!A49</f>
        <v>auto_cb_cgas_0</v>
      </c>
      <c r="C354" s="6">
        <f>[1]Hybrid!B49</f>
        <v>0.49500522540000003</v>
      </c>
      <c r="D354" s="6">
        <f>[1]Hybrid!C49</f>
        <v>0.51254167390000005</v>
      </c>
      <c r="E354" s="6">
        <f>[1]Hybrid!D49</f>
        <v>0.53334117879999998</v>
      </c>
      <c r="F354" s="6">
        <f>[1]Hybrid!E49</f>
        <v>0.55614763550000001</v>
      </c>
      <c r="G354" s="6">
        <f>[1]Hybrid!F49</f>
        <v>0.58013773140000002</v>
      </c>
      <c r="H354" s="6">
        <f>[1]Hybrid!G49</f>
        <v>0.60478809150000001</v>
      </c>
      <c r="I354" s="6">
        <f>[1]Hybrid!H49</f>
        <v>0.62967928019999997</v>
      </c>
      <c r="J354" s="6">
        <f>[1]Hybrid!I49</f>
        <v>0.65460522560000001</v>
      </c>
      <c r="K354" s="6">
        <f>[1]Hybrid!J49</f>
        <v>0.67943640019999996</v>
      </c>
      <c r="L354" s="6">
        <f>[1]Hybrid!K49</f>
        <v>0.70409014469999998</v>
      </c>
      <c r="M354" s="6">
        <f>[1]Hybrid!L49</f>
        <v>0.72867686330000003</v>
      </c>
      <c r="N354" s="6">
        <f>[1]Hybrid!M49</f>
        <v>0.75298886880000004</v>
      </c>
      <c r="O354" s="6">
        <f>[1]Hybrid!N49</f>
        <v>0.77699387050000002</v>
      </c>
      <c r="P354" s="6">
        <f>[1]Hybrid!O49</f>
        <v>0.80066450060000005</v>
      </c>
      <c r="Q354" s="6">
        <f>[1]Hybrid!P49</f>
        <v>0.82397993759999999</v>
      </c>
      <c r="R354" s="6">
        <f>[1]Hybrid!Q49</f>
        <v>0.84692546079999997</v>
      </c>
      <c r="S354" s="6">
        <f>[1]Hybrid!R49</f>
        <v>0.86949141350000003</v>
      </c>
      <c r="T354" s="6">
        <f>[1]Hybrid!S49</f>
        <v>0.89167212770000004</v>
      </c>
      <c r="U354" s="6">
        <f>[1]Hybrid!T49</f>
        <v>0.91346503270000001</v>
      </c>
      <c r="V354" s="6">
        <f>[1]Hybrid!U49</f>
        <v>0.93487000529999997</v>
      </c>
      <c r="W354" s="6">
        <f>[1]Hybrid!V49</f>
        <v>0.95576339190000004</v>
      </c>
      <c r="X354" s="6">
        <f>[1]Hybrid!W49</f>
        <v>0.97628006909999998</v>
      </c>
      <c r="Y354" s="6">
        <f>[1]Hybrid!X49</f>
        <v>0.99642819959999995</v>
      </c>
      <c r="Z354" s="6">
        <f>[1]Hybrid!Y49</f>
        <v>1.0162183760000001</v>
      </c>
      <c r="AA354" s="6">
        <f>[1]Hybrid!Z49</f>
        <v>1.0356609400000001</v>
      </c>
      <c r="AB354" s="6">
        <f>[1]Hybrid!AA49</f>
        <v>1.0544049179999999</v>
      </c>
      <c r="AC354" s="6">
        <f>[1]Hybrid!AB49</f>
        <v>1.072667195</v>
      </c>
      <c r="AD354" s="6">
        <f>[1]Hybrid!AC49</f>
        <v>1.0904722360000001</v>
      </c>
      <c r="AE354" s="6">
        <f>[1]Hybrid!AD49</f>
        <v>1.107851621</v>
      </c>
      <c r="AF354" s="6">
        <f>[1]Hybrid!AE49</f>
        <v>1.1248381860000001</v>
      </c>
      <c r="AG354" s="6">
        <f>[1]Hybrid!AF49</f>
        <v>1.141463127</v>
      </c>
      <c r="AH354" s="6">
        <f>[1]Hybrid!AG49</f>
        <v>1.157754709</v>
      </c>
      <c r="AI354" s="6">
        <f>[1]Hybrid!AH49</f>
        <v>1.173737941</v>
      </c>
      <c r="AJ354" s="6">
        <f>[1]Hybrid!AI49</f>
        <v>1.1894347729999999</v>
      </c>
      <c r="AK354" s="6">
        <f>[1]Hybrid!AJ49</f>
        <v>1.204864529</v>
      </c>
      <c r="AL354" s="6">
        <f>[1]Hybrid!AK49</f>
        <v>1.220044372</v>
      </c>
      <c r="AM354" s="6">
        <f>[1]Hybrid!AL49</f>
        <v>1.2349054660000001</v>
      </c>
      <c r="AN354" s="6">
        <f>[1]Hybrid!AM49</f>
        <v>1.2494657769999999</v>
      </c>
      <c r="AO354" s="6">
        <f>[1]Hybrid!AN49</f>
        <v>1.2637439829999999</v>
      </c>
      <c r="AP354" s="6">
        <f>[1]Hybrid!AO49</f>
        <v>1.277760139</v>
      </c>
      <c r="AQ354" s="6">
        <f>[1]Hybrid!AP49</f>
        <v>1.291534626</v>
      </c>
      <c r="AR354" s="6">
        <f>[1]Hybrid!AQ49</f>
        <v>1.305086931</v>
      </c>
      <c r="AS354" s="6">
        <f>[1]Hybrid!AR49</f>
        <v>1.318434734</v>
      </c>
      <c r="AT354" s="6">
        <f>[1]Hybrid!AS49</f>
        <v>1.3315933959999999</v>
      </c>
      <c r="AU354" s="6">
        <f>[1]Hybrid!AT49</f>
        <v>1.344575796</v>
      </c>
      <c r="AV354" s="6">
        <f>[1]Hybrid!AU49</f>
        <v>1.357392406</v>
      </c>
      <c r="AW354" s="6">
        <f>[1]Hybrid!AV49</f>
        <v>1.3700587580000001</v>
      </c>
      <c r="AX354" s="6">
        <f>[1]Hybrid!AW49</f>
        <v>1.382580833</v>
      </c>
      <c r="AY354" s="6">
        <f>[1]Hybrid!AX49</f>
        <v>1.3949627689999999</v>
      </c>
      <c r="AZ354" s="6">
        <f>[1]Hybrid!AY49</f>
        <v>1.40720695</v>
      </c>
      <c r="BA354" s="6">
        <f>[1]Hybrid!AZ49</f>
        <v>1.4193142620000001</v>
      </c>
      <c r="BB354" s="6">
        <f>[1]Hybrid!BA49</f>
        <v>1.43128437</v>
      </c>
      <c r="BC354" s="6">
        <f>[1]Hybrid!BB49</f>
        <v>1.4431159330000001</v>
      </c>
      <c r="BD354" s="6">
        <f>[1]Hybrid!BC49</f>
        <v>1.4548067250000001</v>
      </c>
      <c r="BE354" s="6">
        <f>[1]Hybrid!BD49</f>
        <v>1.466353697</v>
      </c>
      <c r="BF354" s="6">
        <f>[1]Hybrid!BE49</f>
        <v>1.477752983</v>
      </c>
    </row>
    <row r="355" spans="1:58" x14ac:dyDescent="0.35">
      <c r="B355" s="6" t="str">
        <f>[1]Hybrid!A51</f>
        <v>auto_cc_cgas_0</v>
      </c>
      <c r="C355" s="6">
        <f>[1]Hybrid!B51</f>
        <v>0.40659851759999999</v>
      </c>
      <c r="D355" s="6">
        <f>[1]Hybrid!C51</f>
        <v>0.41470220219999998</v>
      </c>
      <c r="E355" s="6">
        <f>[1]Hybrid!D51</f>
        <v>0.42525139719999999</v>
      </c>
      <c r="F355" s="6">
        <f>[1]Hybrid!E51</f>
        <v>0.43734559249999999</v>
      </c>
      <c r="G355" s="6">
        <f>[1]Hybrid!F51</f>
        <v>0.45039109290000001</v>
      </c>
      <c r="H355" s="6">
        <f>[1]Hybrid!G51</f>
        <v>0.46400622359999999</v>
      </c>
      <c r="I355" s="6">
        <f>[1]Hybrid!H51</f>
        <v>0.47788482729999998</v>
      </c>
      <c r="J355" s="6">
        <f>[1]Hybrid!I51</f>
        <v>0.49186996440000003</v>
      </c>
      <c r="K355" s="6">
        <f>[1]Hybrid!J51</f>
        <v>0.50585910430000003</v>
      </c>
      <c r="L355" s="6">
        <f>[1]Hybrid!K51</f>
        <v>0.51978326450000001</v>
      </c>
      <c r="M355" s="6">
        <f>[1]Hybrid!L51</f>
        <v>0.53370530920000003</v>
      </c>
      <c r="N355" s="6">
        <f>[1]Hybrid!M51</f>
        <v>0.54747362239999997</v>
      </c>
      <c r="O355" s="6">
        <f>[1]Hybrid!N51</f>
        <v>0.56105661520000005</v>
      </c>
      <c r="P355" s="6">
        <f>[1]Hybrid!O51</f>
        <v>0.57442694930000004</v>
      </c>
      <c r="Q355" s="6">
        <f>[1]Hybrid!P51</f>
        <v>0.58756250799999998</v>
      </c>
      <c r="R355" s="6">
        <f>[1]Hybrid!Q51</f>
        <v>0.6004459875</v>
      </c>
      <c r="S355" s="6">
        <f>[1]Hybrid!R51</f>
        <v>0.6130641148</v>
      </c>
      <c r="T355" s="6">
        <f>[1]Hybrid!S51</f>
        <v>0.62540685579999999</v>
      </c>
      <c r="U355" s="6">
        <f>[1]Hybrid!T51</f>
        <v>0.63746675580000001</v>
      </c>
      <c r="V355" s="6">
        <f>[1]Hybrid!U51</f>
        <v>0.64923844850000001</v>
      </c>
      <c r="W355" s="6">
        <f>[1]Hybrid!V51</f>
        <v>0.66063617360000004</v>
      </c>
      <c r="X355" s="6">
        <f>[1]Hybrid!W51</f>
        <v>0.67174424200000005</v>
      </c>
      <c r="Y355" s="6">
        <f>[1]Hybrid!X51</f>
        <v>0.68256385740000003</v>
      </c>
      <c r="Z355" s="6">
        <f>[1]Hybrid!Y51</f>
        <v>0.69309799500000002</v>
      </c>
      <c r="AA355" s="6">
        <f>[1]Hybrid!Z51</f>
        <v>0.70334964820000001</v>
      </c>
      <c r="AB355" s="6">
        <f>[1]Hybrid!AA51</f>
        <v>0.71308992019999995</v>
      </c>
      <c r="AC355" s="6">
        <f>[1]Hybrid!AB51</f>
        <v>0.72245691810000001</v>
      </c>
      <c r="AD355" s="6">
        <f>[1]Hybrid!AC51</f>
        <v>0.73146450259999996</v>
      </c>
      <c r="AE355" s="6">
        <f>[1]Hybrid!AD51</f>
        <v>0.74013099049999997</v>
      </c>
      <c r="AF355" s="6">
        <f>[1]Hybrid!AE51</f>
        <v>0.74847536059999997</v>
      </c>
      <c r="AG355" s="6">
        <f>[1]Hybrid!AF51</f>
        <v>0.75651540760000002</v>
      </c>
      <c r="AH355" s="6">
        <f>[1]Hybrid!AG51</f>
        <v>0.76426694039999998</v>
      </c>
      <c r="AI355" s="6">
        <f>[1]Hybrid!AH51</f>
        <v>0.77174359449999996</v>
      </c>
      <c r="AJ355" s="6">
        <f>[1]Hybrid!AI51</f>
        <v>0.77895697959999999</v>
      </c>
      <c r="AK355" s="6">
        <f>[1]Hybrid!AJ51</f>
        <v>0.78591696850000003</v>
      </c>
      <c r="AL355" s="6">
        <f>[1]Hybrid!AK51</f>
        <v>0.79263200899999997</v>
      </c>
      <c r="AM355" s="6">
        <f>[1]Hybrid!AL51</f>
        <v>0.79905775130000001</v>
      </c>
      <c r="AN355" s="6">
        <f>[1]Hybrid!AM51</f>
        <v>0.8052037017</v>
      </c>
      <c r="AO355" s="6">
        <f>[1]Hybrid!AN51</f>
        <v>0.81107978550000004</v>
      </c>
      <c r="AP355" s="6">
        <f>[1]Hybrid!AO51</f>
        <v>0.81669668770000003</v>
      </c>
      <c r="AQ355" s="6">
        <f>[1]Hybrid!AP51</f>
        <v>0.8220651793</v>
      </c>
      <c r="AR355" s="6">
        <f>[1]Hybrid!AQ51</f>
        <v>0.82719536719999998</v>
      </c>
      <c r="AS355" s="6">
        <f>[1]Hybrid!AR51</f>
        <v>0.83209615449999996</v>
      </c>
      <c r="AT355" s="6">
        <f>[1]Hybrid!AS51</f>
        <v>0.83677495449999995</v>
      </c>
      <c r="AU355" s="6">
        <f>[1]Hybrid!AT51</f>
        <v>0.84123761760000004</v>
      </c>
      <c r="AV355" s="6">
        <f>[1]Hybrid!AU51</f>
        <v>0.84548850310000001</v>
      </c>
      <c r="AW355" s="6">
        <f>[1]Hybrid!AV51</f>
        <v>0.84953485650000005</v>
      </c>
      <c r="AX355" s="6">
        <f>[1]Hybrid!AW51</f>
        <v>0.85337825769999998</v>
      </c>
      <c r="AY355" s="6">
        <f>[1]Hybrid!AX51</f>
        <v>0.85701920570000001</v>
      </c>
      <c r="AZ355" s="6">
        <f>[1]Hybrid!AY51</f>
        <v>0.86045719629999995</v>
      </c>
      <c r="BA355" s="6">
        <f>[1]Hybrid!AZ51</f>
        <v>0.86369089789999998</v>
      </c>
      <c r="BB355" s="6">
        <f>[1]Hybrid!BA51</f>
        <v>0.86671833600000003</v>
      </c>
      <c r="BC355" s="6">
        <f>[1]Hybrid!BB51</f>
        <v>0.86953703169999996</v>
      </c>
      <c r="BD355" s="6">
        <f>[1]Hybrid!BC51</f>
        <v>0.87214408889999995</v>
      </c>
      <c r="BE355" s="6">
        <f>[1]Hybrid!BD51</f>
        <v>0.87453623960000004</v>
      </c>
      <c r="BF355" s="6">
        <f>[1]Hybrid!BE51</f>
        <v>0.87670986569999998</v>
      </c>
    </row>
    <row r="356" spans="1:58" x14ac:dyDescent="0.35">
      <c r="B356" s="6" t="str">
        <f>[1]Hybrid!A53</f>
        <v>auto_cd_cgas_0</v>
      </c>
      <c r="C356" s="6">
        <f>[1]Hybrid!B53</f>
        <v>0.2495444651</v>
      </c>
      <c r="D356" s="6">
        <f>[1]Hybrid!C53</f>
        <v>0.25242828470000001</v>
      </c>
      <c r="E356" s="6">
        <f>[1]Hybrid!D53</f>
        <v>0.25660192170000001</v>
      </c>
      <c r="F356" s="6">
        <f>[1]Hybrid!E53</f>
        <v>0.2615233649</v>
      </c>
      <c r="G356" s="6">
        <f>[1]Hybrid!F53</f>
        <v>0.26683808060000003</v>
      </c>
      <c r="H356" s="6">
        <f>[1]Hybrid!G53</f>
        <v>0.27231908859999998</v>
      </c>
      <c r="I356" s="6">
        <f>[1]Hybrid!H53</f>
        <v>0.27778898410000002</v>
      </c>
      <c r="J356" s="6">
        <f>[1]Hybrid!I53</f>
        <v>0.28315553710000002</v>
      </c>
      <c r="K356" s="6">
        <f>[1]Hybrid!J53</f>
        <v>0.28835885929999999</v>
      </c>
      <c r="L356" s="6">
        <f>[1]Hybrid!K53</f>
        <v>0.29335906779999998</v>
      </c>
      <c r="M356" s="6">
        <f>[1]Hybrid!L53</f>
        <v>0.298183898</v>
      </c>
      <c r="N356" s="6">
        <f>[1]Hybrid!M53</f>
        <v>0.30275479550000001</v>
      </c>
      <c r="O356" s="6">
        <f>[1]Hybrid!N53</f>
        <v>0.30705527510000002</v>
      </c>
      <c r="P356" s="6">
        <f>[1]Hybrid!O53</f>
        <v>0.31107217860000003</v>
      </c>
      <c r="Q356" s="6">
        <f>[1]Hybrid!P53</f>
        <v>0.31479590860000001</v>
      </c>
      <c r="R356" s="6">
        <f>[1]Hybrid!Q53</f>
        <v>0.3182200254</v>
      </c>
      <c r="S356" s="6">
        <f>[1]Hybrid!R53</f>
        <v>0.32134071409999998</v>
      </c>
      <c r="T356" s="6">
        <f>[1]Hybrid!S53</f>
        <v>0.32415628689999998</v>
      </c>
      <c r="U356" s="6">
        <f>[1]Hybrid!T53</f>
        <v>0.32666676960000002</v>
      </c>
      <c r="V356" s="6">
        <f>[1]Hybrid!U53</f>
        <v>0.3288735813</v>
      </c>
      <c r="W356" s="6">
        <f>[1]Hybrid!V53</f>
        <v>0.33074408970000002</v>
      </c>
      <c r="X356" s="6">
        <f>[1]Hybrid!W53</f>
        <v>0.33231992770000002</v>
      </c>
      <c r="Y356" s="6">
        <f>[1]Hybrid!X53</f>
        <v>0.33360632899999998</v>
      </c>
      <c r="Z356" s="6">
        <f>[1]Hybrid!Y53</f>
        <v>0.33460929540000001</v>
      </c>
      <c r="AA356" s="6">
        <f>[1]Hybrid!Z53</f>
        <v>0.3353348786</v>
      </c>
      <c r="AB356" s="6">
        <f>[1]Hybrid!AA53</f>
        <v>0.33569778140000001</v>
      </c>
      <c r="AC356" s="6">
        <f>[1]Hybrid!AB53</f>
        <v>0.3357611519</v>
      </c>
      <c r="AD356" s="6">
        <f>[1]Hybrid!AC53</f>
        <v>0.33553767470000001</v>
      </c>
      <c r="AE356" s="6">
        <f>[1]Hybrid!AD53</f>
        <v>0.33504132980000001</v>
      </c>
      <c r="AF356" s="6">
        <f>[1]Hybrid!AE53</f>
        <v>0.33428588040000001</v>
      </c>
      <c r="AG356" s="6">
        <f>[1]Hybrid!AF53</f>
        <v>0.33328421530000002</v>
      </c>
      <c r="AH356" s="6">
        <f>[1]Hybrid!AG53</f>
        <v>0.33204811680000001</v>
      </c>
      <c r="AI356" s="6">
        <f>[1]Hybrid!AH53</f>
        <v>0.33058826079999998</v>
      </c>
      <c r="AJ356" s="6">
        <f>[1]Hybrid!AI53</f>
        <v>0.32891433720000002</v>
      </c>
      <c r="AK356" s="6">
        <f>[1]Hybrid!AJ53</f>
        <v>0.32703521419999998</v>
      </c>
      <c r="AL356" s="6">
        <f>[1]Hybrid!AK53</f>
        <v>0.32495910430000002</v>
      </c>
      <c r="AM356" s="6">
        <f>[1]Hybrid!AL53</f>
        <v>0.32267721510000003</v>
      </c>
      <c r="AN356" s="6">
        <f>[1]Hybrid!AM53</f>
        <v>0.32019884840000001</v>
      </c>
      <c r="AO356" s="6">
        <f>[1]Hybrid!AN53</f>
        <v>0.31753336659999998</v>
      </c>
      <c r="AP356" s="6">
        <f>[1]Hybrid!AO53</f>
        <v>0.31469022410000003</v>
      </c>
      <c r="AQ356" s="6">
        <f>[1]Hybrid!AP53</f>
        <v>0.31167872410000003</v>
      </c>
      <c r="AR356" s="6">
        <f>[1]Hybrid!AQ53</f>
        <v>0.30850779789999999</v>
      </c>
      <c r="AS356" s="6">
        <f>[1]Hybrid!AR53</f>
        <v>0.3051858751</v>
      </c>
      <c r="AT356" s="6">
        <f>[1]Hybrid!AS53</f>
        <v>0.3017208428</v>
      </c>
      <c r="AU356" s="6">
        <f>[1]Hybrid!AT53</f>
        <v>0.29812007019999998</v>
      </c>
      <c r="AV356" s="6">
        <f>[1]Hybrid!AU53</f>
        <v>0.2943904725</v>
      </c>
      <c r="AW356" s="6">
        <f>[1]Hybrid!AV53</f>
        <v>0.2905396616</v>
      </c>
      <c r="AX356" s="6">
        <f>[1]Hybrid!AW53</f>
        <v>0.28657374149999998</v>
      </c>
      <c r="AY356" s="6">
        <f>[1]Hybrid!AX53</f>
        <v>0.28249857880000001</v>
      </c>
      <c r="AZ356" s="6">
        <f>[1]Hybrid!AY53</f>
        <v>0.27831985640000001</v>
      </c>
      <c r="BA356" s="6">
        <f>[1]Hybrid!AZ53</f>
        <v>0.27404314239999999</v>
      </c>
      <c r="BB356" s="6">
        <f>[1]Hybrid!BA53</f>
        <v>0.2696739521</v>
      </c>
      <c r="BC356" s="6">
        <f>[1]Hybrid!BB53</f>
        <v>0.26521779099999998</v>
      </c>
      <c r="BD356" s="6">
        <f>[1]Hybrid!BC53</f>
        <v>0.26068017980000002</v>
      </c>
      <c r="BE356" s="6">
        <f>[1]Hybrid!BD53</f>
        <v>0.25606666620000001</v>
      </c>
      <c r="BF356" s="6">
        <f>[1]Hybrid!BE53</f>
        <v>0.25138282919999999</v>
      </c>
    </row>
    <row r="357" spans="1:58" x14ac:dyDescent="0.35">
      <c r="B357" s="6" t="str">
        <f>[1]Hybrid!A55</f>
        <v>auto_ce_cgas_0</v>
      </c>
      <c r="C357" s="6">
        <f>[1]Hybrid!B55</f>
        <v>0.15020246549999999</v>
      </c>
      <c r="D357" s="6">
        <f>[1]Hybrid!C55</f>
        <v>0.1521301739</v>
      </c>
      <c r="E357" s="6">
        <f>[1]Hybrid!D55</f>
        <v>0.15475126280000001</v>
      </c>
      <c r="F357" s="6">
        <f>[1]Hybrid!E55</f>
        <v>0.1577147408</v>
      </c>
      <c r="G357" s="6">
        <f>[1]Hybrid!F55</f>
        <v>0.1607948276</v>
      </c>
      <c r="H357" s="6">
        <f>[1]Hybrid!G55</f>
        <v>0.1638498524</v>
      </c>
      <c r="I357" s="6">
        <f>[1]Hybrid!H55</f>
        <v>0.1667728557</v>
      </c>
      <c r="J357" s="6">
        <f>[1]Hybrid!I55</f>
        <v>0.16951057689999999</v>
      </c>
      <c r="K357" s="6">
        <f>[1]Hybrid!J55</f>
        <v>0.1720307438</v>
      </c>
      <c r="L357" s="6">
        <f>[1]Hybrid!K55</f>
        <v>0.17431403649999999</v>
      </c>
      <c r="M357" s="6">
        <f>[1]Hybrid!L55</f>
        <v>0.17637991359999999</v>
      </c>
      <c r="N357" s="6">
        <f>[1]Hybrid!M55</f>
        <v>0.17818870540000001</v>
      </c>
      <c r="O357" s="6">
        <f>[1]Hybrid!N55</f>
        <v>0.17973650969999999</v>
      </c>
      <c r="P357" s="6">
        <f>[1]Hybrid!O55</f>
        <v>0.18102179269999999</v>
      </c>
      <c r="Q357" s="6">
        <f>[1]Hybrid!P55</f>
        <v>0.18204536869999999</v>
      </c>
      <c r="R357" s="6">
        <f>[1]Hybrid!Q55</f>
        <v>0.18281005550000001</v>
      </c>
      <c r="S357" s="6">
        <f>[1]Hybrid!R55</f>
        <v>0.18332029180000001</v>
      </c>
      <c r="T357" s="6">
        <f>[1]Hybrid!S55</f>
        <v>0.18358179459999999</v>
      </c>
      <c r="U357" s="6">
        <f>[1]Hybrid!T55</f>
        <v>0.1836012776</v>
      </c>
      <c r="V357" s="6">
        <f>[1]Hybrid!U55</f>
        <v>0.1833862278</v>
      </c>
      <c r="W357" s="6">
        <f>[1]Hybrid!V55</f>
        <v>0.1829275615</v>
      </c>
      <c r="X357" s="6">
        <f>[1]Hybrid!W55</f>
        <v>0.18225286090000001</v>
      </c>
      <c r="Y357" s="6">
        <f>[1]Hybrid!X55</f>
        <v>0.181371439</v>
      </c>
      <c r="Z357" s="6">
        <f>[1]Hybrid!Y55</f>
        <v>0.18029282429999999</v>
      </c>
      <c r="AA357" s="6">
        <f>[1]Hybrid!Z55</f>
        <v>0.17902642560000001</v>
      </c>
      <c r="AB357" s="6">
        <f>[1]Hybrid!AA55</f>
        <v>0.17754021440000001</v>
      </c>
      <c r="AC357" s="6">
        <f>[1]Hybrid!AB55</f>
        <v>0.175870633</v>
      </c>
      <c r="AD357" s="6">
        <f>[1]Hybrid!AC55</f>
        <v>0.17403046210000001</v>
      </c>
      <c r="AE357" s="6">
        <f>[1]Hybrid!AD55</f>
        <v>0.17203266759999999</v>
      </c>
      <c r="AF357" s="6">
        <f>[1]Hybrid!AE55</f>
        <v>0.1698897251</v>
      </c>
      <c r="AG357" s="6">
        <f>[1]Hybrid!AF55</f>
        <v>0.16761336530000001</v>
      </c>
      <c r="AH357" s="6">
        <f>[1]Hybrid!AG55</f>
        <v>0.16521451370000001</v>
      </c>
      <c r="AI357" s="6">
        <f>[1]Hybrid!AH55</f>
        <v>0.1627033289</v>
      </c>
      <c r="AJ357" s="6">
        <f>[1]Hybrid!AI55</f>
        <v>0.1600892884</v>
      </c>
      <c r="AK357" s="6">
        <f>[1]Hybrid!AJ55</f>
        <v>0.15738128700000001</v>
      </c>
      <c r="AL357" s="6">
        <f>[1]Hybrid!AK55</f>
        <v>0.15458773100000001</v>
      </c>
      <c r="AM357" s="6">
        <f>[1]Hybrid!AL55</f>
        <v>0.15171045920000001</v>
      </c>
      <c r="AN357" s="6">
        <f>[1]Hybrid!AM55</f>
        <v>0.1487581976</v>
      </c>
      <c r="AO357" s="6">
        <f>[1]Hybrid!AN55</f>
        <v>0.14573948010000001</v>
      </c>
      <c r="AP357" s="6">
        <f>[1]Hybrid!AO55</f>
        <v>0.1426626362</v>
      </c>
      <c r="AQ357" s="6">
        <f>[1]Hybrid!AP55</f>
        <v>0.13953569430000001</v>
      </c>
      <c r="AR357" s="6">
        <f>[1]Hybrid!AQ55</f>
        <v>0.13636630890000001</v>
      </c>
      <c r="AS357" s="6">
        <f>[1]Hybrid!AR55</f>
        <v>0.13316172840000001</v>
      </c>
      <c r="AT357" s="6">
        <f>[1]Hybrid!AS55</f>
        <v>0.1299287965</v>
      </c>
      <c r="AU357" s="6">
        <f>[1]Hybrid!AT55</f>
        <v>0.12667397590000001</v>
      </c>
      <c r="AV357" s="6">
        <f>[1]Hybrid!AU55</f>
        <v>0.1234033824</v>
      </c>
      <c r="AW357" s="6">
        <f>[1]Hybrid!AV55</f>
        <v>0.120123145</v>
      </c>
      <c r="AX357" s="6">
        <f>[1]Hybrid!AW55</f>
        <v>0.1168387295</v>
      </c>
      <c r="AY357" s="6">
        <f>[1]Hybrid!AX55</f>
        <v>0.1135553514</v>
      </c>
      <c r="AZ357" s="6">
        <f>[1]Hybrid!AY55</f>
        <v>0.110277998</v>
      </c>
      <c r="BA357" s="6">
        <f>[1]Hybrid!AZ55</f>
        <v>0.1070114523</v>
      </c>
      <c r="BB357" s="6">
        <f>[1]Hybrid!BA55</f>
        <v>0.1037603107</v>
      </c>
      <c r="BC357" s="6">
        <f>[1]Hybrid!BB55</f>
        <v>0.1005289937</v>
      </c>
      <c r="BD357" s="6">
        <f>[1]Hybrid!BC55</f>
        <v>9.7321749200000002E-2</v>
      </c>
      <c r="BE357" s="6">
        <f>[1]Hybrid!BD55</f>
        <v>9.4142652399999999E-2</v>
      </c>
      <c r="BF357" s="6">
        <f>[1]Hybrid!BE55</f>
        <v>9.0995602699999997E-2</v>
      </c>
    </row>
    <row r="358" spans="1:58" x14ac:dyDescent="0.35">
      <c r="B358" s="6" t="str">
        <f>[1]Hybrid!A57</f>
        <v>auto_cf_cgas_0</v>
      </c>
      <c r="C358" s="6">
        <f>[1]Hybrid!B57</f>
        <v>7.4609436000000001E-2</v>
      </c>
      <c r="D358" s="6">
        <f>[1]Hybrid!C57</f>
        <v>7.5328545900000002E-2</v>
      </c>
      <c r="E358" s="6">
        <f>[1]Hybrid!D57</f>
        <v>7.6246810400000004E-2</v>
      </c>
      <c r="F358" s="6">
        <f>[1]Hybrid!E57</f>
        <v>7.7169642900000002E-2</v>
      </c>
      <c r="G358" s="6">
        <f>[1]Hybrid!F57</f>
        <v>7.7981432500000003E-2</v>
      </c>
      <c r="H358" s="6">
        <f>[1]Hybrid!G57</f>
        <v>7.86176861E-2</v>
      </c>
      <c r="I358" s="6">
        <f>[1]Hybrid!H57</f>
        <v>7.9038013200000007E-2</v>
      </c>
      <c r="J358" s="6">
        <f>[1]Hybrid!I57</f>
        <v>7.9230162500000006E-2</v>
      </c>
      <c r="K358" s="6">
        <f>[1]Hybrid!J57</f>
        <v>7.9193570899999996E-2</v>
      </c>
      <c r="L358" s="6">
        <f>[1]Hybrid!K57</f>
        <v>7.8934576800000003E-2</v>
      </c>
      <c r="M358" s="6">
        <f>[1]Hybrid!L57</f>
        <v>7.8473965899999998E-2</v>
      </c>
      <c r="N358" s="6">
        <f>[1]Hybrid!M57</f>
        <v>7.7812261399999999E-2</v>
      </c>
      <c r="O358" s="6">
        <f>[1]Hybrid!N57</f>
        <v>7.6963139299999997E-2</v>
      </c>
      <c r="P358" s="6">
        <f>[1]Hybrid!O57</f>
        <v>7.5941112500000005E-2</v>
      </c>
      <c r="Q358" s="6">
        <f>[1]Hybrid!P57</f>
        <v>7.4761250400000007E-2</v>
      </c>
      <c r="R358" s="6">
        <f>[1]Hybrid!Q57</f>
        <v>7.3438858199999998E-2</v>
      </c>
      <c r="S358" s="6">
        <f>[1]Hybrid!R57</f>
        <v>7.1989204000000001E-2</v>
      </c>
      <c r="T358" s="6">
        <f>[1]Hybrid!S57</f>
        <v>7.0427304100000004E-2</v>
      </c>
      <c r="U358" s="6">
        <f>[1]Hybrid!T57</f>
        <v>6.8767756799999996E-2</v>
      </c>
      <c r="V358" s="6">
        <f>[1]Hybrid!U57</f>
        <v>6.7024618600000002E-2</v>
      </c>
      <c r="W358" s="6">
        <f>[1]Hybrid!V57</f>
        <v>6.5207685799999998E-2</v>
      </c>
      <c r="X358" s="6">
        <f>[1]Hybrid!W57</f>
        <v>6.3334029900000005E-2</v>
      </c>
      <c r="Y358" s="6">
        <f>[1]Hybrid!X57</f>
        <v>6.14156888E-2</v>
      </c>
      <c r="Z358" s="6">
        <f>[1]Hybrid!Y57</f>
        <v>5.9463879599999998E-2</v>
      </c>
      <c r="AA358" s="6">
        <f>[1]Hybrid!Z57</f>
        <v>5.7488969000000001E-2</v>
      </c>
      <c r="AB358" s="6">
        <f>[1]Hybrid!AA57</f>
        <v>5.5493850400000003E-2</v>
      </c>
      <c r="AC358" s="6">
        <f>[1]Hybrid!AB57</f>
        <v>5.3492491500000003E-2</v>
      </c>
      <c r="AD358" s="6">
        <f>[1]Hybrid!AC57</f>
        <v>5.1493832000000003E-2</v>
      </c>
      <c r="AE358" s="6">
        <f>[1]Hybrid!AD57</f>
        <v>4.9505950100000001E-2</v>
      </c>
      <c r="AF358" s="6">
        <f>[1]Hybrid!AE57</f>
        <v>4.7536018200000002E-2</v>
      </c>
      <c r="AG358" s="6">
        <f>[1]Hybrid!AF57</f>
        <v>4.5590338799999998E-2</v>
      </c>
      <c r="AH358" s="6">
        <f>[1]Hybrid!AG57</f>
        <v>4.3674407700000001E-2</v>
      </c>
      <c r="AI358" s="6">
        <f>[1]Hybrid!AH57</f>
        <v>4.1792984700000001E-2</v>
      </c>
      <c r="AJ358" s="6">
        <f>[1]Hybrid!AI57</f>
        <v>3.9950163300000001E-2</v>
      </c>
      <c r="AK358" s="6">
        <f>[1]Hybrid!AJ57</f>
        <v>3.8149435299999999E-2</v>
      </c>
      <c r="AL358" s="6">
        <f>[1]Hybrid!AK57</f>
        <v>3.6393748599999998E-2</v>
      </c>
      <c r="AM358" s="6">
        <f>[1]Hybrid!AL57</f>
        <v>3.4685057499999998E-2</v>
      </c>
      <c r="AN358" s="6">
        <f>[1]Hybrid!AM57</f>
        <v>3.3025544900000002E-2</v>
      </c>
      <c r="AO358" s="6">
        <f>[1]Hybrid!AN57</f>
        <v>3.1416970099999997E-2</v>
      </c>
      <c r="AP358" s="6">
        <f>[1]Hybrid!AO57</f>
        <v>2.9860693099999999E-2</v>
      </c>
      <c r="AQ358" s="6">
        <f>[1]Hybrid!AP57</f>
        <v>2.8357698800000001E-2</v>
      </c>
      <c r="AR358" s="6">
        <f>[1]Hybrid!AQ57</f>
        <v>2.6908624200000002E-2</v>
      </c>
      <c r="AS358" s="6">
        <f>[1]Hybrid!AR57</f>
        <v>2.5513789799999999E-2</v>
      </c>
      <c r="AT358" s="6">
        <f>[1]Hybrid!AS57</f>
        <v>2.41732305E-2</v>
      </c>
      <c r="AU358" s="6">
        <f>[1]Hybrid!AT57</f>
        <v>2.2886726600000001E-2</v>
      </c>
      <c r="AV358" s="6">
        <f>[1]Hybrid!AU57</f>
        <v>2.1653832599999999E-2</v>
      </c>
      <c r="AW358" s="6">
        <f>[1]Hybrid!AV57</f>
        <v>2.0473916599999999E-2</v>
      </c>
      <c r="AX358" s="6">
        <f>[1]Hybrid!AW57</f>
        <v>1.9346155300000001E-2</v>
      </c>
      <c r="AY358" s="6">
        <f>[1]Hybrid!AX57</f>
        <v>1.8269574199999999E-2</v>
      </c>
      <c r="AZ358" s="6">
        <f>[1]Hybrid!AY57</f>
        <v>1.7243068899999998E-2</v>
      </c>
      <c r="BA358" s="6">
        <f>[1]Hybrid!AZ57</f>
        <v>1.6265423899999999E-2</v>
      </c>
      <c r="BB358" s="6">
        <f>[1]Hybrid!BA57</f>
        <v>1.5335330100000001E-2</v>
      </c>
      <c r="BC358" s="6">
        <f>[1]Hybrid!BB57</f>
        <v>1.44514008E-2</v>
      </c>
      <c r="BD358" s="6">
        <f>[1]Hybrid!BC57</f>
        <v>1.3612186300000001E-2</v>
      </c>
      <c r="BE358" s="6">
        <f>[1]Hybrid!BD57</f>
        <v>1.2816187499999999E-2</v>
      </c>
      <c r="BF358" s="6">
        <f>[1]Hybrid!BE57</f>
        <v>1.20618684E-2</v>
      </c>
    </row>
    <row r="359" spans="1:58" x14ac:dyDescent="0.35">
      <c r="B359" s="6" t="str">
        <f>[1]Hybrid!A59</f>
        <v>auto_cg_cgas_0</v>
      </c>
      <c r="C359" s="6">
        <f>[1]Hybrid!B59</f>
        <v>0.13435819299999999</v>
      </c>
      <c r="D359" s="6">
        <f>[1]Hybrid!C59</f>
        <v>0.13591961990000001</v>
      </c>
      <c r="E359" s="6">
        <f>[1]Hybrid!D59</f>
        <v>0.13760975549999999</v>
      </c>
      <c r="F359" s="6">
        <f>[1]Hybrid!E59</f>
        <v>0.13904072319999999</v>
      </c>
      <c r="G359" s="6">
        <f>[1]Hybrid!F59</f>
        <v>0.1400047569</v>
      </c>
      <c r="H359" s="6">
        <f>[1]Hybrid!G59</f>
        <v>0.1404068986</v>
      </c>
      <c r="I359" s="6">
        <f>[1]Hybrid!H59</f>
        <v>0.1402075689</v>
      </c>
      <c r="J359" s="6">
        <f>[1]Hybrid!I59</f>
        <v>0.13942143839999999</v>
      </c>
      <c r="K359" s="6">
        <f>[1]Hybrid!J59</f>
        <v>0.13808502980000001</v>
      </c>
      <c r="L359" s="6">
        <f>[1]Hybrid!K59</f>
        <v>0.13624613569999999</v>
      </c>
      <c r="M359" s="6">
        <f>[1]Hybrid!L59</f>
        <v>0.13397192229999999</v>
      </c>
      <c r="N359" s="6">
        <f>[1]Hybrid!M59</f>
        <v>0.1312990231</v>
      </c>
      <c r="O359" s="6">
        <f>[1]Hybrid!N59</f>
        <v>0.12828077639999999</v>
      </c>
      <c r="P359" s="6">
        <f>[1]Hybrid!O59</f>
        <v>0.1249689708</v>
      </c>
      <c r="Q359" s="6">
        <f>[1]Hybrid!P59</f>
        <v>0.1214131557</v>
      </c>
      <c r="R359" s="6">
        <f>[1]Hybrid!Q59</f>
        <v>0.117660057</v>
      </c>
      <c r="S359" s="6">
        <f>[1]Hybrid!R59</f>
        <v>0.1137531842</v>
      </c>
      <c r="T359" s="6">
        <f>[1]Hybrid!S59</f>
        <v>0.1097326019</v>
      </c>
      <c r="U359" s="6">
        <f>[1]Hybrid!T59</f>
        <v>0.1056348261</v>
      </c>
      <c r="V359" s="6">
        <f>[1]Hybrid!U59</f>
        <v>0.101492817</v>
      </c>
      <c r="W359" s="6">
        <f>[1]Hybrid!V59</f>
        <v>9.7332758500000005E-2</v>
      </c>
      <c r="X359" s="6">
        <f>[1]Hybrid!W59</f>
        <v>9.3184915500000007E-2</v>
      </c>
      <c r="Y359" s="6">
        <f>[1]Hybrid!X59</f>
        <v>8.9072153000000001E-2</v>
      </c>
      <c r="Z359" s="6">
        <f>[1]Hybrid!Y59</f>
        <v>8.50142287E-2</v>
      </c>
      <c r="AA359" s="6">
        <f>[1]Hybrid!Z59</f>
        <v>8.1028006799999996E-2</v>
      </c>
      <c r="AB359" s="6">
        <f>[1]Hybrid!AA59</f>
        <v>7.7122966000000001E-2</v>
      </c>
      <c r="AC359" s="6">
        <f>[1]Hybrid!AB59</f>
        <v>7.3315100899999999E-2</v>
      </c>
      <c r="AD359" s="6">
        <f>[1]Hybrid!AC59</f>
        <v>6.9614825399999997E-2</v>
      </c>
      <c r="AE359" s="6">
        <f>[1]Hybrid!AD59</f>
        <v>6.60303582E-2</v>
      </c>
      <c r="AF359" s="6">
        <f>[1]Hybrid!AE59</f>
        <v>6.2567914700000005E-2</v>
      </c>
      <c r="AG359" s="6">
        <f>[1]Hybrid!AF59</f>
        <v>5.9231940900000002E-2</v>
      </c>
      <c r="AH359" s="6">
        <f>[1]Hybrid!AG59</f>
        <v>5.60253452E-2</v>
      </c>
      <c r="AI359" s="6">
        <f>[1]Hybrid!AH59</f>
        <v>5.2949711400000002E-2</v>
      </c>
      <c r="AJ359" s="6">
        <f>[1]Hybrid!AI59</f>
        <v>5.0005490499999999E-2</v>
      </c>
      <c r="AK359" s="6">
        <f>[1]Hybrid!AJ59</f>
        <v>4.7192170899999997E-2</v>
      </c>
      <c r="AL359" s="6">
        <f>[1]Hybrid!AK59</f>
        <v>4.4508428000000003E-2</v>
      </c>
      <c r="AM359" s="6">
        <f>[1]Hybrid!AL59</f>
        <v>4.1952060499999999E-2</v>
      </c>
      <c r="AN359" s="6">
        <f>[1]Hybrid!AM59</f>
        <v>3.9520592299999997E-2</v>
      </c>
      <c r="AO359" s="6">
        <f>[1]Hybrid!AN59</f>
        <v>3.7211063000000003E-2</v>
      </c>
      <c r="AP359" s="6">
        <f>[1]Hybrid!AO59</f>
        <v>3.5020113999999998E-2</v>
      </c>
      <c r="AQ359" s="6">
        <f>[1]Hybrid!AP59</f>
        <v>3.2944067299999998E-2</v>
      </c>
      <c r="AR359" s="6">
        <f>[1]Hybrid!AQ59</f>
        <v>3.0978999100000001E-2</v>
      </c>
      <c r="AS359" s="6">
        <f>[1]Hybrid!AR59</f>
        <v>2.9120805100000001E-2</v>
      </c>
      <c r="AT359" s="6">
        <f>[1]Hybrid!AS59</f>
        <v>2.7365259400000001E-2</v>
      </c>
      <c r="AU359" s="6">
        <f>[1]Hybrid!AT59</f>
        <v>2.57080651E-2</v>
      </c>
      <c r="AV359" s="6">
        <f>[1]Hybrid!AU59</f>
        <v>2.41448984E-2</v>
      </c>
      <c r="AW359" s="6">
        <f>[1]Hybrid!AV59</f>
        <v>2.2671448399999999E-2</v>
      </c>
      <c r="AX359" s="6">
        <f>[1]Hybrid!AW59</f>
        <v>2.12834415E-2</v>
      </c>
      <c r="AY359" s="6">
        <f>[1]Hybrid!AX59</f>
        <v>1.9976672500000001E-2</v>
      </c>
      <c r="AZ359" s="6">
        <f>[1]Hybrid!AY59</f>
        <v>1.8747025600000002E-2</v>
      </c>
      <c r="BA359" s="6">
        <f>[1]Hybrid!AZ59</f>
        <v>1.7590491900000001E-2</v>
      </c>
      <c r="BB359" s="6">
        <f>[1]Hybrid!BA59</f>
        <v>1.6503183099999999E-2</v>
      </c>
      <c r="BC359" s="6">
        <f>[1]Hybrid!BB59</f>
        <v>1.5481342E-2</v>
      </c>
      <c r="BD359" s="6">
        <f>[1]Hybrid!BC59</f>
        <v>1.4521350400000001E-2</v>
      </c>
      <c r="BE359" s="6">
        <f>[1]Hybrid!BD59</f>
        <v>1.3619734600000001E-2</v>
      </c>
      <c r="BF359" s="6">
        <f>[1]Hybrid!BE59</f>
        <v>1.27731687E-2</v>
      </c>
    </row>
    <row r="361" spans="1:58" x14ac:dyDescent="0.35">
      <c r="A361" s="12" t="s">
        <v>90</v>
      </c>
      <c r="B361" t="s">
        <v>56</v>
      </c>
      <c r="C361" s="2">
        <v>42005</v>
      </c>
      <c r="D361" s="2">
        <v>42370</v>
      </c>
      <c r="E361" s="2">
        <v>42736</v>
      </c>
      <c r="F361" s="2">
        <v>43101</v>
      </c>
      <c r="G361" s="2">
        <v>43466</v>
      </c>
      <c r="H361" s="2">
        <v>43831</v>
      </c>
      <c r="I361" s="2">
        <v>44197</v>
      </c>
      <c r="J361" s="2">
        <v>44562</v>
      </c>
      <c r="K361" s="2">
        <v>44927</v>
      </c>
      <c r="L361" s="2">
        <v>45292</v>
      </c>
      <c r="M361" s="2">
        <v>45658</v>
      </c>
      <c r="N361" s="2">
        <v>46023</v>
      </c>
      <c r="O361" s="2">
        <v>46388</v>
      </c>
      <c r="P361" s="2">
        <v>46753</v>
      </c>
      <c r="Q361" s="2">
        <v>47119</v>
      </c>
      <c r="R361" s="2">
        <v>47484</v>
      </c>
      <c r="S361" s="2">
        <v>47849</v>
      </c>
      <c r="T361" s="2">
        <v>48214</v>
      </c>
      <c r="U361" s="2">
        <v>48580</v>
      </c>
      <c r="V361" s="2">
        <v>48945</v>
      </c>
      <c r="W361" s="2">
        <v>49310</v>
      </c>
      <c r="X361" s="2">
        <v>49675</v>
      </c>
      <c r="Y361" s="2">
        <v>50041</v>
      </c>
      <c r="Z361" s="2">
        <v>50406</v>
      </c>
      <c r="AA361" s="2">
        <v>50771</v>
      </c>
      <c r="AB361" s="2">
        <v>51136</v>
      </c>
      <c r="AC361" s="2">
        <v>51502</v>
      </c>
      <c r="AD361" s="2">
        <v>51867</v>
      </c>
      <c r="AE361" s="2">
        <v>52232</v>
      </c>
      <c r="AF361" s="2">
        <v>52597</v>
      </c>
      <c r="AG361" s="2">
        <v>52963</v>
      </c>
      <c r="AH361" s="2">
        <v>53328</v>
      </c>
      <c r="AI361" s="2">
        <v>53693</v>
      </c>
      <c r="AJ361" s="2">
        <v>54058</v>
      </c>
      <c r="AK361" s="2">
        <v>54424</v>
      </c>
      <c r="AL361" s="2">
        <v>54789</v>
      </c>
      <c r="AM361" s="2">
        <v>54790</v>
      </c>
      <c r="AN361" s="2">
        <v>54791</v>
      </c>
      <c r="AO361" s="2">
        <v>54792</v>
      </c>
      <c r="AP361" s="2">
        <v>54793</v>
      </c>
      <c r="AQ361" s="2">
        <v>54794</v>
      </c>
      <c r="AR361" s="2">
        <v>54795</v>
      </c>
      <c r="AS361" s="2">
        <v>54796</v>
      </c>
      <c r="AT361" s="2">
        <v>54797</v>
      </c>
      <c r="AU361" s="2">
        <v>54798</v>
      </c>
      <c r="AV361" s="2">
        <v>54799</v>
      </c>
      <c r="AW361" s="2">
        <v>54800</v>
      </c>
      <c r="AX361" s="2">
        <v>54801</v>
      </c>
      <c r="AY361" s="2">
        <v>54802</v>
      </c>
      <c r="AZ361" s="2">
        <v>54803</v>
      </c>
      <c r="BA361" s="2">
        <v>54804</v>
      </c>
      <c r="BB361" s="2">
        <v>54805</v>
      </c>
      <c r="BC361" s="2">
        <v>54806</v>
      </c>
      <c r="BD361" s="2">
        <v>54807</v>
      </c>
      <c r="BE361" s="2">
        <v>54808</v>
      </c>
      <c r="BF361" s="2">
        <v>54809</v>
      </c>
    </row>
    <row r="362" spans="1:58" x14ac:dyDescent="0.35">
      <c r="A362" t="s">
        <v>38</v>
      </c>
      <c r="B362" t="s">
        <v>96</v>
      </c>
      <c r="C362" s="6">
        <f>C339+C346+C353</f>
        <v>7105.9689965623002</v>
      </c>
      <c r="D362" s="6">
        <f t="shared" ref="D362:AL362" si="207">D339+D346+D353</f>
        <v>7160.6497681199999</v>
      </c>
      <c r="E362" s="6">
        <f t="shared" si="207"/>
        <v>7267.0218339951998</v>
      </c>
      <c r="F362" s="6">
        <f t="shared" si="207"/>
        <v>7408.2740046971003</v>
      </c>
      <c r="G362" s="6">
        <f t="shared" si="207"/>
        <v>7573.2387139170005</v>
      </c>
      <c r="H362" s="6">
        <f t="shared" si="207"/>
        <v>7754.6723144057996</v>
      </c>
      <c r="I362" s="6">
        <f t="shared" si="207"/>
        <v>7946.7417244479002</v>
      </c>
      <c r="J362" s="6">
        <f t="shared" si="207"/>
        <v>8146.3988626212004</v>
      </c>
      <c r="K362" s="6">
        <f t="shared" si="207"/>
        <v>8351.6196386540996</v>
      </c>
      <c r="L362" s="6">
        <f t="shared" si="207"/>
        <v>8561.0175149338993</v>
      </c>
      <c r="M362" s="6">
        <f t="shared" si="207"/>
        <v>8775.7139469201993</v>
      </c>
      <c r="N362" s="6">
        <f t="shared" si="207"/>
        <v>8992.7592967043001</v>
      </c>
      <c r="O362" s="6">
        <f t="shared" si="207"/>
        <v>9211.5018659216003</v>
      </c>
      <c r="P362" s="6">
        <f t="shared" si="207"/>
        <v>9431.3736216702</v>
      </c>
      <c r="Q362" s="6">
        <f t="shared" si="207"/>
        <v>9651.9099030667985</v>
      </c>
      <c r="R362" s="6">
        <f t="shared" si="207"/>
        <v>9872.7421410147999</v>
      </c>
      <c r="S362" s="6">
        <f t="shared" si="207"/>
        <v>10093.582851203499</v>
      </c>
      <c r="T362" s="6">
        <f t="shared" si="207"/>
        <v>10314.2102484396</v>
      </c>
      <c r="U362" s="6">
        <f t="shared" si="207"/>
        <v>10534.4554563415</v>
      </c>
      <c r="V362" s="6">
        <f t="shared" si="207"/>
        <v>10754.1930883068</v>
      </c>
      <c r="W362" s="6">
        <f t="shared" si="207"/>
        <v>10971.670640467999</v>
      </c>
      <c r="X362" s="6">
        <f t="shared" si="207"/>
        <v>11188.586057535</v>
      </c>
      <c r="Y362" s="6">
        <f t="shared" si="207"/>
        <v>11404.950032997</v>
      </c>
      <c r="Z362" s="6">
        <f t="shared" si="207"/>
        <v>11620.816143582999</v>
      </c>
      <c r="AA362" s="6">
        <f t="shared" si="207"/>
        <v>11836.243911501</v>
      </c>
      <c r="AB362" s="6">
        <f t="shared" si="207"/>
        <v>12046.420553889</v>
      </c>
      <c r="AC362" s="6">
        <f t="shared" si="207"/>
        <v>12254.240109097</v>
      </c>
      <c r="AD362" s="6">
        <f t="shared" si="207"/>
        <v>12459.975402997001</v>
      </c>
      <c r="AE362" s="6">
        <f t="shared" si="207"/>
        <v>12664.003533495999</v>
      </c>
      <c r="AF362" s="6">
        <f t="shared" si="207"/>
        <v>12866.725806429</v>
      </c>
      <c r="AG362" s="6">
        <f t="shared" si="207"/>
        <v>13068.527880080001</v>
      </c>
      <c r="AH362" s="6">
        <f t="shared" si="207"/>
        <v>13269.762200902001</v>
      </c>
      <c r="AI362" s="6">
        <f t="shared" si="207"/>
        <v>13470.743578614998</v>
      </c>
      <c r="AJ362" s="6">
        <f t="shared" si="207"/>
        <v>13671.752178909001</v>
      </c>
      <c r="AK362" s="6">
        <f t="shared" si="207"/>
        <v>13873.039530516999</v>
      </c>
      <c r="AL362" s="6">
        <f t="shared" si="207"/>
        <v>14074.835080921999</v>
      </c>
      <c r="AM362" s="6">
        <f t="shared" ref="AM362:BC362" si="208">AM339+AM346+AM353</f>
        <v>14276.157675995</v>
      </c>
      <c r="AN362" s="6">
        <f t="shared" si="208"/>
        <v>14477.265697102999</v>
      </c>
      <c r="AO362" s="6">
        <f t="shared" si="208"/>
        <v>14678.432859601</v>
      </c>
      <c r="AP362" s="6">
        <f t="shared" si="208"/>
        <v>14879.959152552001</v>
      </c>
      <c r="AQ362" s="6">
        <f t="shared" si="208"/>
        <v>15082.156565071</v>
      </c>
      <c r="AR362" s="6">
        <f t="shared" si="208"/>
        <v>15285.331912696</v>
      </c>
      <c r="AS362" s="6">
        <f t="shared" si="208"/>
        <v>15489.773875297</v>
      </c>
      <c r="AT362" s="6">
        <f t="shared" si="208"/>
        <v>15695.745696333999</v>
      </c>
      <c r="AU362" s="6">
        <f t="shared" si="208"/>
        <v>15903.482904826</v>
      </c>
      <c r="AV362" s="6">
        <f t="shared" si="208"/>
        <v>16113.194478002</v>
      </c>
      <c r="AW362" s="6">
        <f t="shared" si="208"/>
        <v>16325.174638632001</v>
      </c>
      <c r="AX362" s="6">
        <f t="shared" si="208"/>
        <v>16539.584388094001</v>
      </c>
      <c r="AY362" s="6">
        <f t="shared" si="208"/>
        <v>16756.567004578999</v>
      </c>
      <c r="AZ362" s="6">
        <f t="shared" si="208"/>
        <v>16976.249050741004</v>
      </c>
      <c r="BA362" s="6">
        <f t="shared" si="208"/>
        <v>17198.74416658</v>
      </c>
      <c r="BB362" s="6">
        <f t="shared" si="208"/>
        <v>17424.157215763</v>
      </c>
      <c r="BC362" s="6">
        <f t="shared" si="208"/>
        <v>17652.587627863999</v>
      </c>
      <c r="BD362" s="6">
        <f t="shared" ref="BD362:BF362" si="209">BD339+BD346+BD353</f>
        <v>17884.131295910003</v>
      </c>
      <c r="BE362" s="6">
        <f t="shared" si="209"/>
        <v>18118.881676436999</v>
      </c>
      <c r="BF362" s="6">
        <f t="shared" si="209"/>
        <v>18356.930172597</v>
      </c>
    </row>
    <row r="363" spans="1:58" x14ac:dyDescent="0.35">
      <c r="B363" t="s">
        <v>97</v>
      </c>
      <c r="C363" s="6">
        <f t="shared" ref="C363:AL363" si="210">C340+C347+C354</f>
        <v>8263.1971436354015</v>
      </c>
      <c r="D363" s="6">
        <f t="shared" si="210"/>
        <v>8202.9699847938991</v>
      </c>
      <c r="E363" s="6">
        <f t="shared" si="210"/>
        <v>8199.9926202888</v>
      </c>
      <c r="F363" s="6">
        <f t="shared" si="210"/>
        <v>8237.1856900154999</v>
      </c>
      <c r="G363" s="6">
        <f t="shared" si="210"/>
        <v>8303.0509479114007</v>
      </c>
      <c r="H363" s="6">
        <f t="shared" si="210"/>
        <v>8389.9666175414986</v>
      </c>
      <c r="I363" s="6">
        <f t="shared" si="210"/>
        <v>8491.7567487001998</v>
      </c>
      <c r="J363" s="6">
        <f t="shared" si="210"/>
        <v>8604.971887285601</v>
      </c>
      <c r="K363" s="6">
        <f t="shared" si="210"/>
        <v>8727.1942912302002</v>
      </c>
      <c r="L363" s="6">
        <f t="shared" si="210"/>
        <v>8856.6591204246997</v>
      </c>
      <c r="M363" s="6">
        <f t="shared" si="210"/>
        <v>8993.9961942533009</v>
      </c>
      <c r="N363" s="6">
        <f t="shared" si="210"/>
        <v>9136.0468474987993</v>
      </c>
      <c r="O363" s="6">
        <f t="shared" si="210"/>
        <v>9281.8489629205014</v>
      </c>
      <c r="P363" s="6">
        <f t="shared" si="210"/>
        <v>9430.5500715906001</v>
      </c>
      <c r="Q363" s="6">
        <f t="shared" si="210"/>
        <v>9581.4221305076007</v>
      </c>
      <c r="R363" s="6">
        <f t="shared" si="210"/>
        <v>9733.8515032108007</v>
      </c>
      <c r="S363" s="6">
        <f t="shared" si="210"/>
        <v>9887.3222542834992</v>
      </c>
      <c r="T363" s="6">
        <f t="shared" si="210"/>
        <v>10041.399502427701</v>
      </c>
      <c r="U363" s="6">
        <f t="shared" si="210"/>
        <v>10195.715453832699</v>
      </c>
      <c r="V363" s="6">
        <f t="shared" si="210"/>
        <v>10349.9587942053</v>
      </c>
      <c r="W363" s="6">
        <f t="shared" si="210"/>
        <v>10502.357602291901</v>
      </c>
      <c r="X363" s="6">
        <f t="shared" si="210"/>
        <v>10654.2929336691</v>
      </c>
      <c r="Y363" s="6">
        <f t="shared" si="210"/>
        <v>10805.6175376996</v>
      </c>
      <c r="Z363" s="6">
        <f t="shared" si="210"/>
        <v>10956.231568776</v>
      </c>
      <c r="AA363" s="6">
        <f t="shared" si="210"/>
        <v>11106.048523240001</v>
      </c>
      <c r="AB363" s="6">
        <f t="shared" si="210"/>
        <v>11250.652227618</v>
      </c>
      <c r="AC363" s="6">
        <f t="shared" si="210"/>
        <v>11392.533742494999</v>
      </c>
      <c r="AD363" s="6">
        <f t="shared" si="210"/>
        <v>11531.841422435999</v>
      </c>
      <c r="AE363" s="6">
        <f t="shared" si="210"/>
        <v>11668.817076521002</v>
      </c>
      <c r="AF363" s="6">
        <f t="shared" si="210"/>
        <v>11803.723660286001</v>
      </c>
      <c r="AG363" s="6">
        <f t="shared" si="210"/>
        <v>11936.809808827</v>
      </c>
      <c r="AH363" s="6">
        <f t="shared" si="210"/>
        <v>12068.294208509</v>
      </c>
      <c r="AI363" s="6">
        <f t="shared" si="210"/>
        <v>12198.361864241</v>
      </c>
      <c r="AJ363" s="6">
        <f t="shared" si="210"/>
        <v>12327.166715373</v>
      </c>
      <c r="AK363" s="6">
        <f t="shared" si="210"/>
        <v>12454.836958229</v>
      </c>
      <c r="AL363" s="6">
        <f t="shared" si="210"/>
        <v>12581.480736172</v>
      </c>
      <c r="AM363" s="6">
        <f t="shared" ref="AM363:BC363" si="211">AM340+AM347+AM354</f>
        <v>12706.176981866</v>
      </c>
      <c r="AN363" s="6">
        <f t="shared" si="211"/>
        <v>12829.070237177</v>
      </c>
      <c r="AO363" s="6">
        <f t="shared" si="211"/>
        <v>12950.317634483001</v>
      </c>
      <c r="AP363" s="6">
        <f t="shared" si="211"/>
        <v>13070.096565339001</v>
      </c>
      <c r="AQ363" s="6">
        <f t="shared" si="211"/>
        <v>13188.591675426</v>
      </c>
      <c r="AR363" s="6">
        <f t="shared" si="211"/>
        <v>13305.980028030999</v>
      </c>
      <c r="AS363" s="6">
        <f t="shared" si="211"/>
        <v>13422.420161233998</v>
      </c>
      <c r="AT363" s="6">
        <f t="shared" si="211"/>
        <v>13538.046198395999</v>
      </c>
      <c r="AU363" s="6">
        <f t="shared" si="211"/>
        <v>13652.966165196</v>
      </c>
      <c r="AV363" s="6">
        <f t="shared" si="211"/>
        <v>13767.263287906</v>
      </c>
      <c r="AW363" s="6">
        <f t="shared" si="211"/>
        <v>13881.086323058</v>
      </c>
      <c r="AX363" s="6">
        <f t="shared" si="211"/>
        <v>13994.472365333</v>
      </c>
      <c r="AY363" s="6">
        <f t="shared" si="211"/>
        <v>14107.441451469002</v>
      </c>
      <c r="AZ363" s="6">
        <f t="shared" si="211"/>
        <v>14219.99782685</v>
      </c>
      <c r="BA363" s="6">
        <f t="shared" si="211"/>
        <v>14332.133147762001</v>
      </c>
      <c r="BB363" s="6">
        <f t="shared" si="211"/>
        <v>14443.83002137</v>
      </c>
      <c r="BC363" s="6">
        <f t="shared" si="211"/>
        <v>14555.064658232999</v>
      </c>
      <c r="BD363" s="6">
        <f t="shared" ref="BD363:BF363" si="212">BD340+BD347+BD354</f>
        <v>14665.808400824999</v>
      </c>
      <c r="BE363" s="6">
        <f t="shared" si="212"/>
        <v>14776.028569297001</v>
      </c>
      <c r="BF363" s="6">
        <f t="shared" si="212"/>
        <v>14885.688659583</v>
      </c>
    </row>
    <row r="364" spans="1:58" x14ac:dyDescent="0.35">
      <c r="B364" t="s">
        <v>98</v>
      </c>
      <c r="C364" s="6">
        <f t="shared" ref="C364:AL364" si="213">C341+C348+C355</f>
        <v>6787.4105911386005</v>
      </c>
      <c r="D364" s="6">
        <f t="shared" si="213"/>
        <v>6662.2406310622</v>
      </c>
      <c r="E364" s="6">
        <f t="shared" si="213"/>
        <v>6582.408196777199</v>
      </c>
      <c r="F364" s="6">
        <f t="shared" si="213"/>
        <v>6535.4142459024997</v>
      </c>
      <c r="G364" s="6">
        <f t="shared" si="213"/>
        <v>6512.7391945229001</v>
      </c>
      <c r="H364" s="6">
        <f t="shared" si="213"/>
        <v>6508.6252929436005</v>
      </c>
      <c r="I364" s="6">
        <f t="shared" si="213"/>
        <v>6518.3813096073</v>
      </c>
      <c r="J364" s="6">
        <f t="shared" si="213"/>
        <v>6539.2420466244002</v>
      </c>
      <c r="K364" s="6">
        <f t="shared" si="213"/>
        <v>6569.1921338142993</v>
      </c>
      <c r="L364" s="6">
        <f t="shared" si="213"/>
        <v>6606.6982884145</v>
      </c>
      <c r="M364" s="6">
        <f t="shared" si="213"/>
        <v>6651.8786761391993</v>
      </c>
      <c r="N364" s="6">
        <f t="shared" si="213"/>
        <v>6702.3120269124001</v>
      </c>
      <c r="O364" s="6">
        <f t="shared" si="213"/>
        <v>6757.0932893151994</v>
      </c>
      <c r="P364" s="6">
        <f t="shared" si="213"/>
        <v>6815.4150731393001</v>
      </c>
      <c r="Q364" s="6">
        <f t="shared" si="213"/>
        <v>6876.574992848</v>
      </c>
      <c r="R364" s="6">
        <f t="shared" si="213"/>
        <v>6939.9665790175004</v>
      </c>
      <c r="S364" s="6">
        <f t="shared" si="213"/>
        <v>7005.0660825348004</v>
      </c>
      <c r="T364" s="6">
        <f t="shared" si="213"/>
        <v>7071.4195984757998</v>
      </c>
      <c r="U364" s="6">
        <f t="shared" si="213"/>
        <v>7138.6321879858006</v>
      </c>
      <c r="V364" s="6">
        <f t="shared" si="213"/>
        <v>7206.3593575684999</v>
      </c>
      <c r="W364" s="6">
        <f t="shared" si="213"/>
        <v>7273.3130888136002</v>
      </c>
      <c r="X364" s="6">
        <f t="shared" si="213"/>
        <v>7340.2857880620004</v>
      </c>
      <c r="Y364" s="6">
        <f t="shared" si="213"/>
        <v>7407.0731619073995</v>
      </c>
      <c r="Z364" s="6">
        <f t="shared" si="213"/>
        <v>7473.5093905049998</v>
      </c>
      <c r="AA364" s="6">
        <f t="shared" si="213"/>
        <v>7539.4443974781998</v>
      </c>
      <c r="AB364" s="6">
        <f t="shared" si="213"/>
        <v>7601.9537567602001</v>
      </c>
      <c r="AC364" s="6">
        <f t="shared" si="213"/>
        <v>7662.5813395080995</v>
      </c>
      <c r="AD364" s="6">
        <f t="shared" si="213"/>
        <v>7721.3617957726001</v>
      </c>
      <c r="AE364" s="6">
        <f t="shared" si="213"/>
        <v>7778.3917488904999</v>
      </c>
      <c r="AF364" s="6">
        <f t="shared" si="213"/>
        <v>7833.7827234606002</v>
      </c>
      <c r="AG364" s="6">
        <f t="shared" si="213"/>
        <v>7887.6383029076005</v>
      </c>
      <c r="AH364" s="6">
        <f t="shared" si="213"/>
        <v>7940.0442322403997</v>
      </c>
      <c r="AI364" s="6">
        <f t="shared" si="213"/>
        <v>7991.0660653944997</v>
      </c>
      <c r="AJ364" s="6">
        <f t="shared" si="213"/>
        <v>8040.7508801795993</v>
      </c>
      <c r="AK364" s="6">
        <f t="shared" si="213"/>
        <v>8089.1306902685001</v>
      </c>
      <c r="AL364" s="6">
        <f t="shared" si="213"/>
        <v>8136.2260781089999</v>
      </c>
      <c r="AM364" s="6">
        <f t="shared" ref="AM364:BC364" si="214">AM341+AM348+AM355</f>
        <v>8181.4275523512997</v>
      </c>
      <c r="AN364" s="6">
        <f t="shared" si="214"/>
        <v>8224.7884889017005</v>
      </c>
      <c r="AO364" s="6">
        <f t="shared" si="214"/>
        <v>8266.3712402854999</v>
      </c>
      <c r="AP364" s="6">
        <f t="shared" si="214"/>
        <v>8306.2509449876998</v>
      </c>
      <c r="AQ364" s="6">
        <f t="shared" si="214"/>
        <v>8344.5070557793006</v>
      </c>
      <c r="AR364" s="6">
        <f t="shared" si="214"/>
        <v>8381.2141260671997</v>
      </c>
      <c r="AS364" s="6">
        <f t="shared" si="214"/>
        <v>8416.4352487545002</v>
      </c>
      <c r="AT364" s="6">
        <f t="shared" si="214"/>
        <v>8450.2186662544991</v>
      </c>
      <c r="AU364" s="6">
        <f t="shared" si="214"/>
        <v>8482.5969901175995</v>
      </c>
      <c r="AV364" s="6">
        <f t="shared" si="214"/>
        <v>8513.5881723031016</v>
      </c>
      <c r="AW364" s="6">
        <f t="shared" si="214"/>
        <v>8543.2484161564989</v>
      </c>
      <c r="AX364" s="6">
        <f t="shared" si="214"/>
        <v>8571.5683214577002</v>
      </c>
      <c r="AY364" s="6">
        <f t="shared" si="214"/>
        <v>8598.5290667056997</v>
      </c>
      <c r="AZ364" s="6">
        <f t="shared" si="214"/>
        <v>8624.1033607963</v>
      </c>
      <c r="BA364" s="6">
        <f t="shared" si="214"/>
        <v>8648.2575517979003</v>
      </c>
      <c r="BB364" s="6">
        <f t="shared" si="214"/>
        <v>8670.9538132359994</v>
      </c>
      <c r="BC364" s="6">
        <f t="shared" si="214"/>
        <v>8692.1517739317005</v>
      </c>
      <c r="BD364" s="6">
        <f t="shared" ref="BD364:BF364" si="215">BD341+BD348+BD355</f>
        <v>8711.8094940889005</v>
      </c>
      <c r="BE364" s="6">
        <f t="shared" si="215"/>
        <v>8729.8839635395998</v>
      </c>
      <c r="BF364" s="6">
        <f t="shared" si="215"/>
        <v>8746.3312804657016</v>
      </c>
    </row>
    <row r="365" spans="1:58" x14ac:dyDescent="0.35">
      <c r="B365" t="s">
        <v>99</v>
      </c>
      <c r="C365" s="6">
        <f t="shared" ref="C365:AL365" si="216">C342+C349+C356</f>
        <v>4165.6835237371006</v>
      </c>
      <c r="D365" s="6">
        <f t="shared" si="216"/>
        <v>4063.7549312126998</v>
      </c>
      <c r="E365" s="6">
        <f t="shared" si="216"/>
        <v>3987.4894742157003</v>
      </c>
      <c r="F365" s="6">
        <f t="shared" si="216"/>
        <v>3929.3510947748996</v>
      </c>
      <c r="G365" s="6">
        <f t="shared" si="216"/>
        <v>3884.2335703505996</v>
      </c>
      <c r="H365" s="6">
        <f t="shared" si="216"/>
        <v>3848.6928202886002</v>
      </c>
      <c r="I365" s="6">
        <f t="shared" si="216"/>
        <v>3819.9769017040999</v>
      </c>
      <c r="J365" s="6">
        <f t="shared" si="216"/>
        <v>3796.4372700671001</v>
      </c>
      <c r="K365" s="6">
        <f t="shared" si="216"/>
        <v>3776.8724886792997</v>
      </c>
      <c r="L365" s="6">
        <f t="shared" si="216"/>
        <v>3760.3696771077998</v>
      </c>
      <c r="M365" s="6">
        <f t="shared" si="216"/>
        <v>3746.8693233879999</v>
      </c>
      <c r="N365" s="6">
        <f t="shared" si="216"/>
        <v>3735.0603296155</v>
      </c>
      <c r="O365" s="6">
        <f t="shared" si="216"/>
        <v>3724.4200972351</v>
      </c>
      <c r="P365" s="6">
        <f t="shared" si="216"/>
        <v>3714.4942391886002</v>
      </c>
      <c r="Q365" s="6">
        <f t="shared" si="216"/>
        <v>3704.8966054786001</v>
      </c>
      <c r="R365" s="6">
        <f t="shared" si="216"/>
        <v>3695.3018230854</v>
      </c>
      <c r="S365" s="6">
        <f t="shared" si="216"/>
        <v>3685.4365557341002</v>
      </c>
      <c r="T365" s="6">
        <f t="shared" si="216"/>
        <v>3675.0714551869</v>
      </c>
      <c r="U365" s="6">
        <f t="shared" si="216"/>
        <v>3664.0143816596001</v>
      </c>
      <c r="V365" s="6">
        <f t="shared" si="216"/>
        <v>3652.1049565212998</v>
      </c>
      <c r="W365" s="6">
        <f t="shared" si="216"/>
        <v>3638.7871663597002</v>
      </c>
      <c r="X365" s="6">
        <f t="shared" si="216"/>
        <v>3624.4161796577</v>
      </c>
      <c r="Y365" s="6">
        <f t="shared" si="216"/>
        <v>3608.9135885689998</v>
      </c>
      <c r="Z365" s="6">
        <f t="shared" si="216"/>
        <v>3592.2203274353997</v>
      </c>
      <c r="AA365" s="6">
        <f t="shared" si="216"/>
        <v>3574.2871060585999</v>
      </c>
      <c r="AB365" s="6">
        <f t="shared" si="216"/>
        <v>3553.9751266213998</v>
      </c>
      <c r="AC365" s="6">
        <f t="shared" si="216"/>
        <v>3531.9539945519</v>
      </c>
      <c r="AD365" s="6">
        <f t="shared" si="216"/>
        <v>3508.2824564746998</v>
      </c>
      <c r="AE365" s="6">
        <f t="shared" si="216"/>
        <v>3483.0399053597998</v>
      </c>
      <c r="AF365" s="6">
        <f t="shared" si="216"/>
        <v>3456.3075712504001</v>
      </c>
      <c r="AG365" s="6">
        <f t="shared" si="216"/>
        <v>3428.1603081853</v>
      </c>
      <c r="AH365" s="6">
        <f t="shared" si="216"/>
        <v>3398.6636331867994</v>
      </c>
      <c r="AI365" s="6">
        <f t="shared" si="216"/>
        <v>3367.8736210207999</v>
      </c>
      <c r="AJ365" s="6">
        <f t="shared" si="216"/>
        <v>3335.8382386571998</v>
      </c>
      <c r="AK365" s="6">
        <f t="shared" si="216"/>
        <v>3302.5992092141996</v>
      </c>
      <c r="AL365" s="6">
        <f t="shared" si="216"/>
        <v>3268.1938677042999</v>
      </c>
      <c r="AM365" s="6">
        <f t="shared" ref="AM365:BC365" si="217">AM342+AM349+AM356</f>
        <v>3232.4583920851001</v>
      </c>
      <c r="AN365" s="6">
        <f t="shared" si="217"/>
        <v>3195.4526585184003</v>
      </c>
      <c r="AO365" s="6">
        <f t="shared" si="217"/>
        <v>3157.2396858665998</v>
      </c>
      <c r="AP365" s="6">
        <f t="shared" si="217"/>
        <v>3117.8858107340998</v>
      </c>
      <c r="AQ365" s="6">
        <f t="shared" si="217"/>
        <v>3077.4575764041001</v>
      </c>
      <c r="AR365" s="6">
        <f t="shared" si="217"/>
        <v>3036.0189455579002</v>
      </c>
      <c r="AS365" s="6">
        <f t="shared" si="217"/>
        <v>2993.6296607351001</v>
      </c>
      <c r="AT365" s="6">
        <f t="shared" si="217"/>
        <v>2950.3446987128</v>
      </c>
      <c r="AU365" s="6">
        <f t="shared" si="217"/>
        <v>2906.2145238102003</v>
      </c>
      <c r="AV365" s="6">
        <f t="shared" si="217"/>
        <v>2861.2858121724998</v>
      </c>
      <c r="AW365" s="6">
        <f t="shared" si="217"/>
        <v>2815.6152505116002</v>
      </c>
      <c r="AX365" s="6">
        <f t="shared" si="217"/>
        <v>2769.2427487115001</v>
      </c>
      <c r="AY365" s="6">
        <f t="shared" si="217"/>
        <v>2722.2068868987999</v>
      </c>
      <c r="AZ365" s="6">
        <f t="shared" si="217"/>
        <v>2674.5454827263998</v>
      </c>
      <c r="BA365" s="6">
        <f t="shared" si="217"/>
        <v>2626.2963363223998</v>
      </c>
      <c r="BB365" s="6">
        <f t="shared" si="217"/>
        <v>2577.4978859521002</v>
      </c>
      <c r="BC365" s="6">
        <f t="shared" si="217"/>
        <v>2528.1896291509997</v>
      </c>
      <c r="BD365" s="6">
        <f t="shared" ref="BD365:BF365" si="218">BD342+BD349+BD356</f>
        <v>2478.4123322198002</v>
      </c>
      <c r="BE365" s="6">
        <f t="shared" si="218"/>
        <v>2428.2080791561998</v>
      </c>
      <c r="BF365" s="6">
        <f t="shared" si="218"/>
        <v>2377.6202384491999</v>
      </c>
    </row>
    <row r="366" spans="1:58" x14ac:dyDescent="0.35">
      <c r="B366" t="s">
        <v>100</v>
      </c>
      <c r="C366" s="6">
        <f t="shared" ref="C366:AL366" si="219">C343+C350+C357</f>
        <v>2507.3524895615005</v>
      </c>
      <c r="D366" s="6">
        <f t="shared" si="219"/>
        <v>2448.3068137218997</v>
      </c>
      <c r="E366" s="6">
        <f t="shared" si="219"/>
        <v>2403.6767763337998</v>
      </c>
      <c r="F366" s="6">
        <f t="shared" si="219"/>
        <v>2368.6467408938001</v>
      </c>
      <c r="G366" s="6">
        <f t="shared" si="219"/>
        <v>2340.0152312186001</v>
      </c>
      <c r="H366" s="6">
        <f t="shared" si="219"/>
        <v>2315.6699052243998</v>
      </c>
      <c r="I366" s="6">
        <f t="shared" si="219"/>
        <v>2293.9727409157003</v>
      </c>
      <c r="J366" s="6">
        <f t="shared" si="219"/>
        <v>2273.9774610468999</v>
      </c>
      <c r="K366" s="6">
        <f t="shared" si="219"/>
        <v>2255.0232710637997</v>
      </c>
      <c r="L366" s="6">
        <f t="shared" si="219"/>
        <v>2236.6319747365001</v>
      </c>
      <c r="M366" s="6">
        <f t="shared" si="219"/>
        <v>2218.8139146436001</v>
      </c>
      <c r="N366" s="6">
        <f t="shared" si="219"/>
        <v>2200.8828094053997</v>
      </c>
      <c r="O366" s="6">
        <f t="shared" si="219"/>
        <v>2182.6055835697002</v>
      </c>
      <c r="P366" s="6">
        <f t="shared" si="219"/>
        <v>2163.7928095627003</v>
      </c>
      <c r="Q366" s="6">
        <f t="shared" si="219"/>
        <v>2144.2968655786999</v>
      </c>
      <c r="R366" s="6">
        <f t="shared" si="219"/>
        <v>2124.0063164955</v>
      </c>
      <c r="S366" s="6">
        <f t="shared" si="219"/>
        <v>2102.8400188717997</v>
      </c>
      <c r="T366" s="6">
        <f t="shared" si="219"/>
        <v>2080.7418772645997</v>
      </c>
      <c r="U366" s="6">
        <f t="shared" si="219"/>
        <v>2057.6764724975997</v>
      </c>
      <c r="V366" s="6">
        <f t="shared" si="219"/>
        <v>2033.6255231077998</v>
      </c>
      <c r="W366" s="6">
        <f t="shared" si="219"/>
        <v>2008.3786897514999</v>
      </c>
      <c r="X366" s="6">
        <f t="shared" si="219"/>
        <v>1982.1758285309002</v>
      </c>
      <c r="Y366" s="6">
        <f t="shared" si="219"/>
        <v>1955.0394272589999</v>
      </c>
      <c r="Z366" s="6">
        <f t="shared" si="219"/>
        <v>1926.9998674843</v>
      </c>
      <c r="AA366" s="6">
        <f t="shared" si="219"/>
        <v>1898.0909425955997</v>
      </c>
      <c r="AB366" s="6">
        <f t="shared" si="219"/>
        <v>1867.8528454844002</v>
      </c>
      <c r="AC366" s="6">
        <f t="shared" si="219"/>
        <v>1836.6603912229998</v>
      </c>
      <c r="AD366" s="6">
        <f t="shared" si="219"/>
        <v>1804.6023801721001</v>
      </c>
      <c r="AE366" s="6">
        <f t="shared" si="219"/>
        <v>1771.7726013876002</v>
      </c>
      <c r="AF366" s="6">
        <f t="shared" si="219"/>
        <v>1738.2614750951</v>
      </c>
      <c r="AG366" s="6">
        <f t="shared" si="219"/>
        <v>1704.1528732953</v>
      </c>
      <c r="AH366" s="6">
        <f t="shared" si="219"/>
        <v>1669.5233380437001</v>
      </c>
      <c r="AI366" s="6">
        <f t="shared" si="219"/>
        <v>1634.4425057889</v>
      </c>
      <c r="AJ366" s="6">
        <f t="shared" si="219"/>
        <v>1598.9740877784</v>
      </c>
      <c r="AK366" s="6">
        <f t="shared" si="219"/>
        <v>1563.1770031669998</v>
      </c>
      <c r="AL366" s="6">
        <f t="shared" si="219"/>
        <v>1527.106437591</v>
      </c>
      <c r="AM366" s="6">
        <f t="shared" ref="AM366:BC366" si="220">AM343+AM350+AM357</f>
        <v>1490.7406475392002</v>
      </c>
      <c r="AN366" s="6">
        <f t="shared" si="220"/>
        <v>1454.1437940175999</v>
      </c>
      <c r="AO366" s="6">
        <f t="shared" si="220"/>
        <v>1417.3793377401</v>
      </c>
      <c r="AP366" s="6">
        <f t="shared" si="220"/>
        <v>1380.5097952961999</v>
      </c>
      <c r="AQ366" s="6">
        <f t="shared" si="220"/>
        <v>1343.5954981943</v>
      </c>
      <c r="AR366" s="6">
        <f t="shared" si="220"/>
        <v>1306.6936559789001</v>
      </c>
      <c r="AS366" s="6">
        <f t="shared" si="220"/>
        <v>1269.8579290983998</v>
      </c>
      <c r="AT366" s="6">
        <f t="shared" si="220"/>
        <v>1233.1384148265001</v>
      </c>
      <c r="AU366" s="6">
        <f t="shared" si="220"/>
        <v>1196.5818981059001</v>
      </c>
      <c r="AV366" s="6">
        <f t="shared" si="220"/>
        <v>1160.2322340024</v>
      </c>
      <c r="AW366" s="6">
        <f t="shared" si="220"/>
        <v>1124.1346483350001</v>
      </c>
      <c r="AX366" s="6">
        <f t="shared" si="220"/>
        <v>1088.3274896694998</v>
      </c>
      <c r="AY366" s="6">
        <f t="shared" si="220"/>
        <v>1052.8472384214001</v>
      </c>
      <c r="AZ366" s="6">
        <f t="shared" si="220"/>
        <v>1017.728727478</v>
      </c>
      <c r="BA366" s="6">
        <f t="shared" si="220"/>
        <v>983.00538044229995</v>
      </c>
      <c r="BB366" s="6">
        <f t="shared" si="220"/>
        <v>948.70938291070001</v>
      </c>
      <c r="BC366" s="6">
        <f t="shared" si="220"/>
        <v>914.87176193369999</v>
      </c>
      <c r="BD366" s="6">
        <f t="shared" ref="BD366:BF366" si="221">BD343+BD350+BD357</f>
        <v>881.52238829920009</v>
      </c>
      <c r="BE366" s="6">
        <f t="shared" si="221"/>
        <v>848.68993045240006</v>
      </c>
      <c r="BF366" s="6">
        <f t="shared" si="221"/>
        <v>816.4017826127</v>
      </c>
    </row>
    <row r="367" spans="1:58" x14ac:dyDescent="0.35">
      <c r="B367" t="s">
        <v>101</v>
      </c>
      <c r="C367" s="6">
        <f t="shared" ref="C367:AL367" si="222">C344+C351+C358</f>
        <v>1245.466605953</v>
      </c>
      <c r="D367" s="6">
        <f t="shared" si="222"/>
        <v>1213.2724268428999</v>
      </c>
      <c r="E367" s="6">
        <f t="shared" si="222"/>
        <v>1186.5363146694001</v>
      </c>
      <c r="F367" s="6">
        <f t="shared" si="222"/>
        <v>1162.6456731578999</v>
      </c>
      <c r="G367" s="6">
        <f t="shared" si="222"/>
        <v>1139.9931489905002</v>
      </c>
      <c r="H367" s="6">
        <f t="shared" si="222"/>
        <v>1117.6232972870998</v>
      </c>
      <c r="I367" s="6">
        <f t="shared" si="222"/>
        <v>1094.8958476012001</v>
      </c>
      <c r="J367" s="6">
        <f t="shared" si="222"/>
        <v>1071.5278904305001</v>
      </c>
      <c r="K367" s="6">
        <f t="shared" si="222"/>
        <v>1047.3896679329</v>
      </c>
      <c r="L367" s="6">
        <f t="shared" si="222"/>
        <v>1022.4439905227999</v>
      </c>
      <c r="M367" s="6">
        <f t="shared" si="222"/>
        <v>996.83492411790007</v>
      </c>
      <c r="N367" s="6">
        <f t="shared" si="222"/>
        <v>970.46755090939996</v>
      </c>
      <c r="O367" s="6">
        <f t="shared" si="222"/>
        <v>943.41276745129994</v>
      </c>
      <c r="P367" s="6">
        <f t="shared" si="222"/>
        <v>915.7563366254999</v>
      </c>
      <c r="Q367" s="6">
        <f t="shared" si="222"/>
        <v>887.59500158039998</v>
      </c>
      <c r="R367" s="6">
        <f t="shared" si="222"/>
        <v>859.03219574320008</v>
      </c>
      <c r="S367" s="6">
        <f t="shared" si="222"/>
        <v>830.17442770799994</v>
      </c>
      <c r="T367" s="6">
        <f t="shared" si="222"/>
        <v>801.12842757110002</v>
      </c>
      <c r="U367" s="6">
        <f t="shared" si="222"/>
        <v>771.99895219179996</v>
      </c>
      <c r="V367" s="6">
        <f t="shared" si="222"/>
        <v>742.88713089260011</v>
      </c>
      <c r="W367" s="6">
        <f t="shared" si="222"/>
        <v>713.84565499479993</v>
      </c>
      <c r="X367" s="6">
        <f t="shared" si="222"/>
        <v>685.01795697090006</v>
      </c>
      <c r="Y367" s="6">
        <f t="shared" si="222"/>
        <v>656.48872346580004</v>
      </c>
      <c r="Z367" s="6">
        <f t="shared" si="222"/>
        <v>628.33529654559993</v>
      </c>
      <c r="AA367" s="6">
        <f t="shared" si="222"/>
        <v>600.6272638160001</v>
      </c>
      <c r="AB367" s="6">
        <f t="shared" si="222"/>
        <v>573.34682453540006</v>
      </c>
      <c r="AC367" s="6">
        <f t="shared" si="222"/>
        <v>546.61286028550001</v>
      </c>
      <c r="AD367" s="6">
        <f t="shared" si="222"/>
        <v>520.48513704900006</v>
      </c>
      <c r="AE367" s="6">
        <f t="shared" si="222"/>
        <v>495.01518926510005</v>
      </c>
      <c r="AF367" s="6">
        <f t="shared" si="222"/>
        <v>470.24577074619998</v>
      </c>
      <c r="AG367" s="6">
        <f t="shared" si="222"/>
        <v>446.2112884078</v>
      </c>
      <c r="AH367" s="6">
        <f t="shared" si="222"/>
        <v>422.93855404169994</v>
      </c>
      <c r="AI367" s="6">
        <f t="shared" si="222"/>
        <v>400.44761471570001</v>
      </c>
      <c r="AJ367" s="6">
        <f t="shared" si="222"/>
        <v>378.75256003229998</v>
      </c>
      <c r="AK367" s="6">
        <f t="shared" si="222"/>
        <v>357.86225864730005</v>
      </c>
      <c r="AL367" s="6">
        <f t="shared" si="222"/>
        <v>337.78100732659999</v>
      </c>
      <c r="AM367" s="6">
        <f t="shared" ref="AM367:BC367" si="223">AM344+AM351+AM358</f>
        <v>318.50306632050001</v>
      </c>
      <c r="AN367" s="6">
        <f t="shared" si="223"/>
        <v>300.02738483389999</v>
      </c>
      <c r="AO367" s="6">
        <f t="shared" si="223"/>
        <v>282.34956332410002</v>
      </c>
      <c r="AP367" s="6">
        <f t="shared" si="223"/>
        <v>265.46209563009995</v>
      </c>
      <c r="AQ367" s="6">
        <f t="shared" si="223"/>
        <v>249.35458951179999</v>
      </c>
      <c r="AR367" s="6">
        <f t="shared" si="223"/>
        <v>234.0140421822</v>
      </c>
      <c r="AS367" s="6">
        <f t="shared" si="223"/>
        <v>219.4251502928</v>
      </c>
      <c r="AT367" s="6">
        <f t="shared" si="223"/>
        <v>205.5706275055</v>
      </c>
      <c r="AU367" s="6">
        <f t="shared" si="223"/>
        <v>192.43151186760002</v>
      </c>
      <c r="AV367" s="6">
        <f t="shared" si="223"/>
        <v>179.9874516006</v>
      </c>
      <c r="AW367" s="6">
        <f t="shared" si="223"/>
        <v>168.2171130246</v>
      </c>
      <c r="AX367" s="6">
        <f t="shared" si="223"/>
        <v>157.09805537930001</v>
      </c>
      <c r="AY367" s="6">
        <f t="shared" si="223"/>
        <v>146.60716053419998</v>
      </c>
      <c r="AZ367" s="6">
        <f t="shared" si="223"/>
        <v>136.72081987589999</v>
      </c>
      <c r="BA367" s="6">
        <f t="shared" si="223"/>
        <v>127.41510425189999</v>
      </c>
      <c r="BB367" s="6">
        <f t="shared" si="223"/>
        <v>118.66591395810001</v>
      </c>
      <c r="BC367" s="6">
        <f t="shared" si="223"/>
        <v>110.44911278079999</v>
      </c>
      <c r="BD367" s="6">
        <f t="shared" ref="BD367:BF367" si="224">BD344+BD351+BD358</f>
        <v>102.74064735429999</v>
      </c>
      <c r="BE367" s="6">
        <f t="shared" si="224"/>
        <v>95.516655459499987</v>
      </c>
      <c r="BF367" s="6">
        <f t="shared" si="224"/>
        <v>88.753563897399985</v>
      </c>
    </row>
    <row r="368" spans="1:58" x14ac:dyDescent="0.35">
      <c r="B368" t="s">
        <v>102</v>
      </c>
      <c r="C368" s="6">
        <f t="shared" ref="C368:AL368" si="225">C345+C352+C359</f>
        <v>2242.8616504070001</v>
      </c>
      <c r="D368" s="6">
        <f t="shared" si="225"/>
        <v>2188.0868112458998</v>
      </c>
      <c r="E368" s="6">
        <f t="shared" si="225"/>
        <v>2140.3306695104998</v>
      </c>
      <c r="F368" s="6">
        <f t="shared" si="225"/>
        <v>2094.4834888422001</v>
      </c>
      <c r="G368" s="6">
        <f t="shared" si="225"/>
        <v>2047.7041713189001</v>
      </c>
      <c r="H368" s="6">
        <f t="shared" si="225"/>
        <v>1998.5710242766002</v>
      </c>
      <c r="I368" s="6">
        <f t="shared" si="225"/>
        <v>1946.3664740929</v>
      </c>
      <c r="J368" s="6">
        <f t="shared" si="225"/>
        <v>1891.0505607513999</v>
      </c>
      <c r="K368" s="6">
        <f t="shared" si="225"/>
        <v>1832.8599649848002</v>
      </c>
      <c r="L368" s="6">
        <f t="shared" si="225"/>
        <v>1772.1758840527</v>
      </c>
      <c r="M368" s="6">
        <f t="shared" si="225"/>
        <v>1709.6186978733001</v>
      </c>
      <c r="N368" s="6">
        <f t="shared" si="225"/>
        <v>1645.4443571631</v>
      </c>
      <c r="O368" s="6">
        <f t="shared" si="225"/>
        <v>1580.1172831264003</v>
      </c>
      <c r="P368" s="6">
        <f t="shared" si="225"/>
        <v>1514.0874288207999</v>
      </c>
      <c r="Q368" s="6">
        <f t="shared" si="225"/>
        <v>1447.7819668556999</v>
      </c>
      <c r="R368" s="6">
        <f t="shared" si="225"/>
        <v>1381.598347997</v>
      </c>
      <c r="S368" s="6">
        <f t="shared" si="225"/>
        <v>1315.8997674242</v>
      </c>
      <c r="T368" s="6">
        <f t="shared" si="225"/>
        <v>1251.0126558219001</v>
      </c>
      <c r="U368" s="6">
        <f t="shared" si="225"/>
        <v>1187.2256985460999</v>
      </c>
      <c r="V368" s="6">
        <f t="shared" si="225"/>
        <v>1124.790004017</v>
      </c>
      <c r="W368" s="6">
        <f t="shared" si="225"/>
        <v>1063.8806411195001</v>
      </c>
      <c r="X368" s="6">
        <f t="shared" si="225"/>
        <v>1004.7279218385</v>
      </c>
      <c r="Y368" s="6">
        <f t="shared" si="225"/>
        <v>947.47821002399996</v>
      </c>
      <c r="Z368" s="6">
        <f t="shared" si="225"/>
        <v>892.24645223269999</v>
      </c>
      <c r="AA368" s="6">
        <f t="shared" si="225"/>
        <v>839.11884306080003</v>
      </c>
      <c r="AB368" s="6">
        <f t="shared" si="225"/>
        <v>788.09888642100009</v>
      </c>
      <c r="AC368" s="6">
        <f t="shared" si="225"/>
        <v>739.27533417489997</v>
      </c>
      <c r="AD368" s="6">
        <f t="shared" si="225"/>
        <v>692.67508397239999</v>
      </c>
      <c r="AE368" s="6">
        <f t="shared" si="225"/>
        <v>648.30447196320006</v>
      </c>
      <c r="AF368" s="6">
        <f t="shared" si="225"/>
        <v>606.15150901269999</v>
      </c>
      <c r="AG368" s="6">
        <f t="shared" si="225"/>
        <v>566.1886146539</v>
      </c>
      <c r="AH368" s="6">
        <f t="shared" si="225"/>
        <v>528.37527012020007</v>
      </c>
      <c r="AI368" s="6">
        <f t="shared" si="225"/>
        <v>492.66042535039998</v>
      </c>
      <c r="AJ368" s="6">
        <f t="shared" si="225"/>
        <v>458.98462141850001</v>
      </c>
      <c r="AK368" s="6">
        <f t="shared" si="225"/>
        <v>427.28183305190004</v>
      </c>
      <c r="AL368" s="6">
        <f t="shared" si="225"/>
        <v>397.48105208599998</v>
      </c>
      <c r="AM368" s="6">
        <f t="shared" ref="AM368:BC368" si="226">AM345+AM352+AM359</f>
        <v>369.50528550250004</v>
      </c>
      <c r="AN368" s="6">
        <f t="shared" si="226"/>
        <v>343.27860290529998</v>
      </c>
      <c r="AO368" s="6">
        <f t="shared" si="226"/>
        <v>318.72331797699997</v>
      </c>
      <c r="AP368" s="6">
        <f t="shared" si="226"/>
        <v>295.76079674700003</v>
      </c>
      <c r="AQ368" s="6">
        <f t="shared" si="226"/>
        <v>274.31217789229999</v>
      </c>
      <c r="AR368" s="6">
        <f t="shared" si="226"/>
        <v>254.29902431009998</v>
      </c>
      <c r="AS368" s="6">
        <f t="shared" si="226"/>
        <v>235.64389618409999</v>
      </c>
      <c r="AT368" s="6">
        <f t="shared" si="226"/>
        <v>218.2708383714</v>
      </c>
      <c r="AU368" s="6">
        <f t="shared" si="226"/>
        <v>202.10578337209998</v>
      </c>
      <c r="AV368" s="6">
        <f t="shared" si="226"/>
        <v>187.07687619840002</v>
      </c>
      <c r="AW368" s="6">
        <f t="shared" si="226"/>
        <v>173.1147575274</v>
      </c>
      <c r="AX368" s="6">
        <f t="shared" si="226"/>
        <v>160.15267876350001</v>
      </c>
      <c r="AY368" s="6">
        <f t="shared" si="226"/>
        <v>148.12669056250002</v>
      </c>
      <c r="AZ368" s="6">
        <f t="shared" si="226"/>
        <v>136.97573379460002</v>
      </c>
      <c r="BA368" s="6">
        <f t="shared" si="226"/>
        <v>126.6416888729</v>
      </c>
      <c r="BB368" s="6">
        <f t="shared" si="226"/>
        <v>117.0693924811</v>
      </c>
      <c r="BC368" s="6">
        <f t="shared" si="226"/>
        <v>108.20662413300001</v>
      </c>
      <c r="BD368" s="6">
        <f t="shared" ref="BD368:BF368" si="227">BD345+BD352+BD359</f>
        <v>100.0040690804</v>
      </c>
      <c r="BE368" s="6">
        <f t="shared" si="227"/>
        <v>92.415262135600003</v>
      </c>
      <c r="BF368" s="6">
        <f t="shared" si="227"/>
        <v>85.396514443699999</v>
      </c>
    </row>
    <row r="370" spans="1:58" x14ac:dyDescent="0.35">
      <c r="A370" s="12" t="s">
        <v>91</v>
      </c>
      <c r="C370" s="2">
        <v>42005</v>
      </c>
      <c r="D370" s="2">
        <v>42370</v>
      </c>
      <c r="E370" s="2">
        <v>42736</v>
      </c>
      <c r="F370" s="2">
        <v>43101</v>
      </c>
      <c r="G370" s="2">
        <v>43466</v>
      </c>
      <c r="H370" s="2">
        <v>43831</v>
      </c>
      <c r="I370" s="2">
        <v>44197</v>
      </c>
      <c r="J370" s="2">
        <v>44562</v>
      </c>
      <c r="K370" s="2">
        <v>44927</v>
      </c>
      <c r="L370" s="2">
        <v>45292</v>
      </c>
      <c r="M370" s="2">
        <v>45658</v>
      </c>
      <c r="N370" s="2">
        <v>46023</v>
      </c>
      <c r="O370" s="2">
        <v>46388</v>
      </c>
      <c r="P370" s="2">
        <v>46753</v>
      </c>
      <c r="Q370" s="2">
        <v>47119</v>
      </c>
      <c r="R370" s="2">
        <v>47484</v>
      </c>
      <c r="S370" s="2">
        <v>47849</v>
      </c>
      <c r="T370" s="2">
        <v>48214</v>
      </c>
      <c r="U370" s="2">
        <v>48580</v>
      </c>
      <c r="V370" s="2">
        <v>48945</v>
      </c>
      <c r="W370" s="2">
        <v>49310</v>
      </c>
      <c r="X370" s="2">
        <v>49675</v>
      </c>
      <c r="Y370" s="2">
        <v>50041</v>
      </c>
      <c r="Z370" s="2">
        <v>50406</v>
      </c>
      <c r="AA370" s="2">
        <v>50771</v>
      </c>
      <c r="AB370" s="2">
        <v>51136</v>
      </c>
      <c r="AC370" s="2">
        <v>51502</v>
      </c>
      <c r="AD370" s="2">
        <v>51867</v>
      </c>
      <c r="AE370" s="2">
        <v>52232</v>
      </c>
      <c r="AF370" s="2">
        <v>52597</v>
      </c>
      <c r="AG370" s="2">
        <v>52963</v>
      </c>
      <c r="AH370" s="2">
        <v>53328</v>
      </c>
      <c r="AI370" s="2">
        <v>53693</v>
      </c>
      <c r="AJ370" s="2">
        <v>54058</v>
      </c>
      <c r="AK370" s="2">
        <v>54424</v>
      </c>
      <c r="AL370" s="2">
        <v>54789</v>
      </c>
      <c r="AM370" s="2">
        <v>54790</v>
      </c>
      <c r="AN370" s="2">
        <v>54791</v>
      </c>
      <c r="AO370" s="2">
        <v>54792</v>
      </c>
      <c r="AP370" s="2">
        <v>54793</v>
      </c>
      <c r="AQ370" s="2">
        <v>54794</v>
      </c>
      <c r="AR370" s="2">
        <v>54795</v>
      </c>
      <c r="AS370" s="2">
        <v>54796</v>
      </c>
      <c r="AT370" s="2">
        <v>54797</v>
      </c>
      <c r="AU370" s="2">
        <v>54798</v>
      </c>
      <c r="AV370" s="2">
        <v>54799</v>
      </c>
      <c r="AW370" s="2">
        <v>54800</v>
      </c>
      <c r="AX370" s="2">
        <v>54801</v>
      </c>
      <c r="AY370" s="2">
        <v>54802</v>
      </c>
      <c r="AZ370" s="2">
        <v>54803</v>
      </c>
      <c r="BA370" s="2">
        <v>54804</v>
      </c>
      <c r="BB370" s="2">
        <v>54805</v>
      </c>
      <c r="BC370" s="2">
        <v>54806</v>
      </c>
      <c r="BD370" s="2">
        <v>54807</v>
      </c>
      <c r="BE370" s="2">
        <v>54808</v>
      </c>
      <c r="BF370" s="2">
        <v>54809</v>
      </c>
    </row>
    <row r="371" spans="1:58" x14ac:dyDescent="0.35">
      <c r="A371" t="s">
        <v>39</v>
      </c>
      <c r="B371" t="s">
        <v>57</v>
      </c>
      <c r="C371" s="6">
        <f>[1]Results!F104</f>
        <v>3.476542051</v>
      </c>
      <c r="D371" s="6">
        <f>[1]Results!G104</f>
        <v>6.3126721699999999</v>
      </c>
      <c r="E371" s="6">
        <f>[1]Results!H104</f>
        <v>9.5300235480000008</v>
      </c>
      <c r="F371" s="6">
        <f>[1]Results!I104</f>
        <v>12.722456810000001</v>
      </c>
      <c r="G371" s="6">
        <f>[1]Results!J104</f>
        <v>15.637005500000001</v>
      </c>
      <c r="H371" s="6">
        <f>[1]Results!K104</f>
        <v>18.098824619999998</v>
      </c>
      <c r="I371" s="6">
        <f>[1]Results!L104</f>
        <v>19.913918290000002</v>
      </c>
      <c r="J371" s="6">
        <f>[1]Results!M104</f>
        <v>24.598826939999999</v>
      </c>
      <c r="K371" s="6">
        <f>[1]Results!N104</f>
        <v>30.431781139999998</v>
      </c>
      <c r="L371" s="6">
        <f>[1]Results!O104</f>
        <v>36.720337620000002</v>
      </c>
      <c r="M371" s="6">
        <f>[1]Results!P104</f>
        <v>43.207835209999999</v>
      </c>
      <c r="N371" s="6">
        <f>[1]Results!Q104</f>
        <v>49.69076802</v>
      </c>
      <c r="O371" s="6">
        <f>[1]Results!R104</f>
        <v>56.153197179999999</v>
      </c>
      <c r="P371" s="6">
        <f>[1]Results!S104</f>
        <v>62.56813691</v>
      </c>
      <c r="Q371" s="6">
        <f>[1]Results!T104</f>
        <v>68.921140699999995</v>
      </c>
      <c r="R371" s="6">
        <f>[1]Results!U104</f>
        <v>75.203815710000001</v>
      </c>
      <c r="S371" s="6">
        <f>[1]Results!V104</f>
        <v>81.410406800000004</v>
      </c>
      <c r="T371" s="6">
        <f>[1]Results!W104</f>
        <v>87.536157209999999</v>
      </c>
      <c r="U371" s="6">
        <f>[1]Results!X104</f>
        <v>93.577185459999995</v>
      </c>
      <c r="V371" s="6">
        <f>[1]Results!Y104</f>
        <v>99.530701640000004</v>
      </c>
      <c r="W371" s="6">
        <f>[1]Results!Z104</f>
        <v>105.3672803</v>
      </c>
      <c r="X371" s="6">
        <f>[1]Results!AA104</f>
        <v>111.1361528</v>
      </c>
      <c r="Y371" s="6">
        <f>[1]Results!AB104</f>
        <v>116.81095980000001</v>
      </c>
      <c r="Z371" s="6">
        <f>[1]Results!AC104</f>
        <v>122.3950036</v>
      </c>
      <c r="AA371" s="6">
        <f>[1]Results!AD104</f>
        <v>127.8943355</v>
      </c>
      <c r="AB371" s="6">
        <f>[1]Results!AE104</f>
        <v>133.2391987</v>
      </c>
      <c r="AC371" s="6">
        <f>[1]Results!AF104</f>
        <v>138.53314900000001</v>
      </c>
      <c r="AD371" s="6">
        <f>[1]Results!AG104</f>
        <v>143.73335460000001</v>
      </c>
      <c r="AE371" s="6">
        <f>[1]Results!AH104</f>
        <v>148.8393639</v>
      </c>
      <c r="AF371" s="6">
        <f>[1]Results!AI104</f>
        <v>153.85482590000001</v>
      </c>
      <c r="AG371" s="6">
        <f>[1]Results!AJ104</f>
        <v>158.7872586</v>
      </c>
      <c r="AH371" s="6">
        <f>[1]Results!AK104</f>
        <v>163.6479946</v>
      </c>
      <c r="AI371" s="6">
        <f>[1]Results!AL104</f>
        <v>168.4501257</v>
      </c>
      <c r="AJ371" s="6">
        <f>[1]Results!AM104</f>
        <v>173.20651620000001</v>
      </c>
      <c r="AK371" s="6">
        <f>[1]Results!AN104</f>
        <v>177.92777269999999</v>
      </c>
      <c r="AL371" s="6">
        <f>[1]Results!AO104</f>
        <v>182.6208881</v>
      </c>
      <c r="AM371" s="6">
        <f>[1]Results!AP104</f>
        <v>187.27098380000001</v>
      </c>
      <c r="AN371" s="6">
        <f>[1]Results!AQ104</f>
        <v>191.8867382</v>
      </c>
      <c r="AO371" s="6">
        <f>[1]Results!AR104</f>
        <v>196.46017549999999</v>
      </c>
      <c r="AP371" s="6">
        <f>[1]Results!AS104</f>
        <v>200.98304250000001</v>
      </c>
      <c r="AQ371" s="6">
        <f>[1]Results!AT104</f>
        <v>205.446575</v>
      </c>
      <c r="AR371" s="6">
        <f>[1]Results!AU104</f>
        <v>209.84119440000001</v>
      </c>
      <c r="AS371" s="6">
        <f>[1]Results!AV104</f>
        <v>214.15658980000001</v>
      </c>
      <c r="AT371" s="6">
        <f>[1]Results!AW104</f>
        <v>218.3822049</v>
      </c>
      <c r="AU371" s="6">
        <f>[1]Results!AX104</f>
        <v>222.50759020000001</v>
      </c>
      <c r="AV371" s="6">
        <f>[1]Results!AY104</f>
        <v>226.52656239999999</v>
      </c>
      <c r="AW371" s="6">
        <f>[1]Results!AZ104</f>
        <v>230.5768908</v>
      </c>
      <c r="AX371" s="6">
        <f>[1]Results!BA104</f>
        <v>234.73714469999999</v>
      </c>
      <c r="AY371" s="6">
        <f>[1]Results!BB104</f>
        <v>239.0298487</v>
      </c>
      <c r="AZ371" s="6">
        <f>[1]Results!BC104</f>
        <v>243.4464413</v>
      </c>
      <c r="BA371" s="6">
        <f>[1]Results!BD104</f>
        <v>247.96656830000001</v>
      </c>
      <c r="BB371" s="6">
        <f>[1]Results!BE104</f>
        <v>252.56828640000001</v>
      </c>
      <c r="BC371" s="6">
        <f>[1]Results!BF104</f>
        <v>257.23171000000002</v>
      </c>
      <c r="BD371" s="6">
        <f>[1]Results!BG104</f>
        <v>261.93937160000002</v>
      </c>
      <c r="BE371" s="6">
        <f>[1]Results!BH104</f>
        <v>266.6772532</v>
      </c>
      <c r="BF371" s="6">
        <f>[1]Results!BI104</f>
        <v>271.43485520000002</v>
      </c>
    </row>
    <row r="372" spans="1:58" x14ac:dyDescent="0.35">
      <c r="B372" t="s">
        <v>58</v>
      </c>
      <c r="C372" s="6">
        <f>[1]Results!F105</f>
        <v>68.80476281</v>
      </c>
      <c r="D372" s="6">
        <f>[1]Results!G105</f>
        <v>76.439123620000004</v>
      </c>
      <c r="E372" s="6">
        <f>[1]Results!H105</f>
        <v>83.934815599999993</v>
      </c>
      <c r="F372" s="6">
        <f>[1]Results!I105</f>
        <v>91.081188449999999</v>
      </c>
      <c r="G372" s="6">
        <f>[1]Results!J105</f>
        <v>98.288672140000003</v>
      </c>
      <c r="H372" s="6">
        <f>[1]Results!K105</f>
        <v>105.9967458</v>
      </c>
      <c r="I372" s="6">
        <f>[1]Results!L105</f>
        <v>114.20770899999999</v>
      </c>
      <c r="J372" s="6">
        <f>[1]Results!M105</f>
        <v>120.29955219999999</v>
      </c>
      <c r="K372" s="6">
        <f>[1]Results!N105</f>
        <v>125.29063979999999</v>
      </c>
      <c r="L372" s="6">
        <f>[1]Results!O105</f>
        <v>129.65961010000001</v>
      </c>
      <c r="M372" s="6">
        <f>[1]Results!P105</f>
        <v>134.70458070000001</v>
      </c>
      <c r="N372" s="6">
        <f>[1]Results!Q105</f>
        <v>138.5014419</v>
      </c>
      <c r="O372" s="6">
        <f>[1]Results!R105</f>
        <v>142.17486779999999</v>
      </c>
      <c r="P372" s="6">
        <f>[1]Results!S105</f>
        <v>145.78127699999999</v>
      </c>
      <c r="Q372" s="6">
        <f>[1]Results!T105</f>
        <v>149.3573518</v>
      </c>
      <c r="R372" s="6">
        <f>[1]Results!U105</f>
        <v>152.9277563</v>
      </c>
      <c r="S372" s="6">
        <f>[1]Results!V105</f>
        <v>156.51004130000001</v>
      </c>
      <c r="T372" s="6">
        <f>[1]Results!W105</f>
        <v>160.11772629999999</v>
      </c>
      <c r="U372" s="6">
        <f>[1]Results!X105</f>
        <v>163.76182879999999</v>
      </c>
      <c r="V372" s="6">
        <f>[1]Results!Y105</f>
        <v>167.45151770000001</v>
      </c>
      <c r="W372" s="6">
        <f>[1]Results!Z105</f>
        <v>170.50820970000001</v>
      </c>
      <c r="X372" s="6">
        <f>[1]Results!AA105</f>
        <v>174.3124037</v>
      </c>
      <c r="Y372" s="6">
        <f>[1]Results!AB105</f>
        <v>178.18490389999999</v>
      </c>
      <c r="Z372" s="6">
        <f>[1]Results!AC105</f>
        <v>182.12759360000001</v>
      </c>
      <c r="AA372" s="6">
        <f>[1]Results!AD105</f>
        <v>186.13798650000001</v>
      </c>
      <c r="AB372" s="6">
        <f>[1]Results!AE105</f>
        <v>188.33825289999999</v>
      </c>
      <c r="AC372" s="6">
        <f>[1]Results!AF105</f>
        <v>191.59683279999999</v>
      </c>
      <c r="AD372" s="6">
        <f>[1]Results!AG105</f>
        <v>194.92479109999999</v>
      </c>
      <c r="AE372" s="6">
        <f>[1]Results!AH105</f>
        <v>198.3239135</v>
      </c>
      <c r="AF372" s="6">
        <f>[1]Results!AI105</f>
        <v>201.79155689999999</v>
      </c>
      <c r="AG372" s="6">
        <f>[1]Results!AJ105</f>
        <v>205.31996219999999</v>
      </c>
      <c r="AH372" s="6">
        <f>[1]Results!AK105</f>
        <v>208.896083</v>
      </c>
      <c r="AI372" s="6">
        <f>[1]Results!AL105</f>
        <v>212.5033809</v>
      </c>
      <c r="AJ372" s="6">
        <f>[1]Results!AM105</f>
        <v>216.12420729999999</v>
      </c>
      <c r="AK372" s="6">
        <f>[1]Results!AN105</f>
        <v>219.7424048</v>
      </c>
      <c r="AL372" s="6">
        <f>[1]Results!AO105</f>
        <v>223.34537929999999</v>
      </c>
      <c r="AM372" s="6">
        <f>[1]Results!AP105</f>
        <v>226.52682899999999</v>
      </c>
      <c r="AN372" s="6">
        <f>[1]Results!AQ105</f>
        <v>229.68791830000001</v>
      </c>
      <c r="AO372" s="6">
        <f>[1]Results!AR105</f>
        <v>232.83530020000001</v>
      </c>
      <c r="AP372" s="6">
        <f>[1]Results!AS105</f>
        <v>235.97805070000001</v>
      </c>
      <c r="AQ372" s="6">
        <f>[1]Results!AT105</f>
        <v>239.1268987</v>
      </c>
      <c r="AR372" s="6">
        <f>[1]Results!AU105</f>
        <v>242.29396610000001</v>
      </c>
      <c r="AS372" s="6">
        <f>[1]Results!AV105</f>
        <v>245.49245350000001</v>
      </c>
      <c r="AT372" s="6">
        <f>[1]Results!AW105</f>
        <v>248.73600529999999</v>
      </c>
      <c r="AU372" s="6">
        <f>[1]Results!AX105</f>
        <v>252.03809649999999</v>
      </c>
      <c r="AV372" s="6">
        <f>[1]Results!AY105</f>
        <v>255.40858009999999</v>
      </c>
      <c r="AW372" s="6">
        <f>[1]Results!AZ105</f>
        <v>258.78325860000001</v>
      </c>
      <c r="AX372" s="6">
        <f>[1]Results!BA105</f>
        <v>262.04217840000001</v>
      </c>
      <c r="AY372" s="6">
        <f>[1]Results!BB105</f>
        <v>265.13726939999998</v>
      </c>
      <c r="AZ372" s="6">
        <f>[1]Results!BC105</f>
        <v>268.05428940000002</v>
      </c>
      <c r="BA372" s="6">
        <f>[1]Results!BD105</f>
        <v>270.79958199999999</v>
      </c>
      <c r="BB372" s="6">
        <f>[1]Results!BE105</f>
        <v>273.38942520000001</v>
      </c>
      <c r="BC372" s="6">
        <f>[1]Results!BF105</f>
        <v>275.84375419999998</v>
      </c>
      <c r="BD372" s="6">
        <f>[1]Results!BG105</f>
        <v>278.18311849999998</v>
      </c>
      <c r="BE372" s="6">
        <f>[1]Results!BH105</f>
        <v>280.42654870000001</v>
      </c>
      <c r="BF372" s="6">
        <f>[1]Results!BI105</f>
        <v>282.59049859999999</v>
      </c>
    </row>
    <row r="373" spans="1:58" x14ac:dyDescent="0.35">
      <c r="B373" t="s">
        <v>59</v>
      </c>
      <c r="C373" s="6">
        <f>[1]Results!F106</f>
        <v>408.28039699999999</v>
      </c>
      <c r="D373" s="6">
        <f>[1]Results!G106</f>
        <v>424.39375380000001</v>
      </c>
      <c r="E373" s="6">
        <f>[1]Results!H106</f>
        <v>441.17755249999999</v>
      </c>
      <c r="F373" s="6">
        <f>[1]Results!I106</f>
        <v>457.50304349999999</v>
      </c>
      <c r="G373" s="6">
        <f>[1]Results!J106</f>
        <v>474.0857426</v>
      </c>
      <c r="H373" s="6">
        <f>[1]Results!K106</f>
        <v>491.73626030000003</v>
      </c>
      <c r="I373" s="6">
        <f>[1]Results!L106</f>
        <v>509.68852199999998</v>
      </c>
      <c r="J373" s="6">
        <f>[1]Results!M106</f>
        <v>525.32740579999995</v>
      </c>
      <c r="K373" s="6">
        <f>[1]Results!N106</f>
        <v>539.16040120000002</v>
      </c>
      <c r="L373" s="6">
        <f>[1]Results!O106</f>
        <v>551.70896800000003</v>
      </c>
      <c r="M373" s="6">
        <f>[1]Results!P106</f>
        <v>566.32454240000004</v>
      </c>
      <c r="N373" s="6">
        <f>[1]Results!Q106</f>
        <v>577.49615540000002</v>
      </c>
      <c r="O373" s="6">
        <f>[1]Results!R106</f>
        <v>588.34145820000003</v>
      </c>
      <c r="P373" s="6">
        <f>[1]Results!S106</f>
        <v>599.006304</v>
      </c>
      <c r="Q373" s="6">
        <f>[1]Results!T106</f>
        <v>609.59185609999997</v>
      </c>
      <c r="R373" s="6">
        <f>[1]Results!U106</f>
        <v>620.16954799999996</v>
      </c>
      <c r="S373" s="6">
        <f>[1]Results!V106</f>
        <v>630.79224420000003</v>
      </c>
      <c r="T373" s="6">
        <f>[1]Results!W106</f>
        <v>641.50195589999998</v>
      </c>
      <c r="U373" s="6">
        <f>[1]Results!X106</f>
        <v>652.33367940000005</v>
      </c>
      <c r="V373" s="6">
        <f>[1]Results!Y106</f>
        <v>663.31696669999997</v>
      </c>
      <c r="W373" s="6">
        <f>[1]Results!Z106</f>
        <v>672.55033100000003</v>
      </c>
      <c r="X373" s="6">
        <f>[1]Results!AA106</f>
        <v>683.91340109999999</v>
      </c>
      <c r="Y373" s="6">
        <f>[1]Results!AB106</f>
        <v>695.50212939999994</v>
      </c>
      <c r="Z373" s="6">
        <f>[1]Results!AC106</f>
        <v>707.32263049999995</v>
      </c>
      <c r="AA373" s="6">
        <f>[1]Results!AD106</f>
        <v>719.36658729999999</v>
      </c>
      <c r="AB373" s="6">
        <f>[1]Results!AE106</f>
        <v>726.36017140000001</v>
      </c>
      <c r="AC373" s="6">
        <f>[1]Results!AF106</f>
        <v>736.35767050000004</v>
      </c>
      <c r="AD373" s="6">
        <f>[1]Results!AG106</f>
        <v>746.58433170000001</v>
      </c>
      <c r="AE373" s="6">
        <f>[1]Results!AH106</f>
        <v>757.04529730000002</v>
      </c>
      <c r="AF373" s="6">
        <f>[1]Results!AI106</f>
        <v>767.73112590000005</v>
      </c>
      <c r="AG373" s="6">
        <f>[1]Results!AJ106</f>
        <v>778.61559980000004</v>
      </c>
      <c r="AH373" s="6">
        <f>[1]Results!AK106</f>
        <v>789.65526190000003</v>
      </c>
      <c r="AI373" s="6">
        <f>[1]Results!AL106</f>
        <v>800.79528289999996</v>
      </c>
      <c r="AJ373" s="6">
        <f>[1]Results!AM106</f>
        <v>811.97730100000001</v>
      </c>
      <c r="AK373" s="6">
        <f>[1]Results!AN106</f>
        <v>823.14797759999999</v>
      </c>
      <c r="AL373" s="6">
        <f>[1]Results!AO106</f>
        <v>834.26580230000002</v>
      </c>
      <c r="AM373" s="6">
        <f>[1]Results!AP106</f>
        <v>844.1870715</v>
      </c>
      <c r="AN373" s="6">
        <f>[1]Results!AQ106</f>
        <v>854.03901099999996</v>
      </c>
      <c r="AO373" s="6">
        <f>[1]Results!AR106</f>
        <v>863.84352939999997</v>
      </c>
      <c r="AP373" s="6">
        <f>[1]Results!AS106</f>
        <v>873.63052970000001</v>
      </c>
      <c r="AQ373" s="6">
        <f>[1]Results!AT106</f>
        <v>883.4353251</v>
      </c>
      <c r="AR373" s="6">
        <f>[1]Results!AU106</f>
        <v>893.29775789999997</v>
      </c>
      <c r="AS373" s="6">
        <f>[1]Results!AV106</f>
        <v>903.26115400000003</v>
      </c>
      <c r="AT373" s="6">
        <f>[1]Results!AW106</f>
        <v>913.37024210000004</v>
      </c>
      <c r="AU373" s="6">
        <f>[1]Results!AX106</f>
        <v>923.6691045</v>
      </c>
      <c r="AV373" s="6">
        <f>[1]Results!AY106</f>
        <v>934.18969549999997</v>
      </c>
      <c r="AW373" s="6">
        <f>[1]Results!AZ106</f>
        <v>944.7018918</v>
      </c>
      <c r="AX373" s="6">
        <f>[1]Results!BA106</f>
        <v>954.82434820000003</v>
      </c>
      <c r="AY373" s="6">
        <f>[1]Results!BB106</f>
        <v>964.39852740000003</v>
      </c>
      <c r="AZ373" s="6">
        <f>[1]Results!BC106</f>
        <v>973.37834510000005</v>
      </c>
      <c r="BA373" s="6">
        <f>[1]Results!BD106</f>
        <v>981.78589680000005</v>
      </c>
      <c r="BB373" s="6">
        <f>[1]Results!BE106</f>
        <v>989.6759849</v>
      </c>
      <c r="BC373" s="6">
        <f>[1]Results!BF106</f>
        <v>997.11530019999998</v>
      </c>
      <c r="BD373" s="6">
        <f>[1]Results!BG106</f>
        <v>1004.1724</v>
      </c>
      <c r="BE373" s="6">
        <f>[1]Results!BH106</f>
        <v>1010.910661</v>
      </c>
      <c r="BF373" s="6">
        <f>[1]Results!BI106</f>
        <v>1017.384807</v>
      </c>
    </row>
    <row r="374" spans="1:58" x14ac:dyDescent="0.35">
      <c r="B374" t="s">
        <v>60</v>
      </c>
      <c r="C374" s="6">
        <f>[1]Results!F107</f>
        <v>954.38155940000001</v>
      </c>
      <c r="D374" s="6">
        <f>[1]Results!G107</f>
        <v>948.70481119999999</v>
      </c>
      <c r="E374" s="6">
        <f>[1]Results!H107</f>
        <v>944.06577930000003</v>
      </c>
      <c r="F374" s="6">
        <f>[1]Results!I107</f>
        <v>939.88511510000001</v>
      </c>
      <c r="G374" s="6">
        <f>[1]Results!J107</f>
        <v>935.61201779999999</v>
      </c>
      <c r="H374" s="6">
        <f>[1]Results!K107</f>
        <v>930.63656609999998</v>
      </c>
      <c r="I374" s="6">
        <f>[1]Results!L107</f>
        <v>924.04043630000001</v>
      </c>
      <c r="J374" s="6">
        <f>[1]Results!M107</f>
        <v>918.5499284</v>
      </c>
      <c r="K374" s="6">
        <f>[1]Results!N107</f>
        <v>913.69275549999998</v>
      </c>
      <c r="L374" s="6">
        <f>[1]Results!O107</f>
        <v>909.1841455</v>
      </c>
      <c r="M374" s="6">
        <f>[1]Results!P107</f>
        <v>904.86845830000004</v>
      </c>
      <c r="N374" s="6">
        <f>[1]Results!Q107</f>
        <v>900.66251590000002</v>
      </c>
      <c r="O374" s="6">
        <f>[1]Results!R107</f>
        <v>896.52180129999999</v>
      </c>
      <c r="P374" s="6">
        <f>[1]Results!S107</f>
        <v>892.42332390000001</v>
      </c>
      <c r="Q374" s="6">
        <f>[1]Results!T107</f>
        <v>888.35519469999997</v>
      </c>
      <c r="R374" s="6">
        <f>[1]Results!U107</f>
        <v>884.31128590000003</v>
      </c>
      <c r="S374" s="6">
        <f>[1]Results!V107</f>
        <v>880.28842039999995</v>
      </c>
      <c r="T374" s="6">
        <f>[1]Results!W107</f>
        <v>876.28491659999997</v>
      </c>
      <c r="U374" s="6">
        <f>[1]Results!X107</f>
        <v>872.29984509999997</v>
      </c>
      <c r="V374" s="6">
        <f>[1]Results!Y107</f>
        <v>868.33265429999994</v>
      </c>
      <c r="W374" s="6">
        <f>[1]Results!Z107</f>
        <v>864.3829839</v>
      </c>
      <c r="X374" s="6">
        <f>[1]Results!AA107</f>
        <v>860.45030350000002</v>
      </c>
      <c r="Y374" s="6">
        <f>[1]Results!AB107</f>
        <v>856.53466619999995</v>
      </c>
      <c r="Z374" s="6">
        <f>[1]Results!AC107</f>
        <v>852.63590350000004</v>
      </c>
      <c r="AA374" s="6">
        <f>[1]Results!AD107</f>
        <v>848.75388109999994</v>
      </c>
      <c r="AB374" s="6">
        <f>[1]Results!AE107</f>
        <v>844.88848770000004</v>
      </c>
      <c r="AC374" s="6">
        <f>[1]Results!AF107</f>
        <v>841.0388888</v>
      </c>
      <c r="AD374" s="6">
        <f>[1]Results!AG107</f>
        <v>837.20535610000002</v>
      </c>
      <c r="AE374" s="6">
        <f>[1]Results!AH107</f>
        <v>833.38779460000001</v>
      </c>
      <c r="AF374" s="6">
        <f>[1]Results!AI107</f>
        <v>829.5861337</v>
      </c>
      <c r="AG374" s="6">
        <f>[1]Results!AJ107</f>
        <v>825.80032900000003</v>
      </c>
      <c r="AH374" s="6">
        <f>[1]Results!AK107</f>
        <v>822.03036350000002</v>
      </c>
      <c r="AI374" s="6">
        <f>[1]Results!AL107</f>
        <v>818.27623649999998</v>
      </c>
      <c r="AJ374" s="6">
        <f>[1]Results!AM107</f>
        <v>814.53795700000001</v>
      </c>
      <c r="AK374" s="6">
        <f>[1]Results!AN107</f>
        <v>810.81553799999995</v>
      </c>
      <c r="AL374" s="6">
        <f>[1]Results!AO107</f>
        <v>807.10899300000005</v>
      </c>
      <c r="AM374" s="6">
        <f>[1]Results!AP107</f>
        <v>803.4183319</v>
      </c>
      <c r="AN374" s="6">
        <f>[1]Results!AQ107</f>
        <v>799.74340180000002</v>
      </c>
      <c r="AO374" s="6">
        <f>[1]Results!AR107</f>
        <v>796.08419960000003</v>
      </c>
      <c r="AP374" s="6">
        <f>[1]Results!AS107</f>
        <v>792.44072129999995</v>
      </c>
      <c r="AQ374" s="6">
        <f>[1]Results!AT107</f>
        <v>788.81296350000002</v>
      </c>
      <c r="AR374" s="6">
        <f>[1]Results!AU107</f>
        <v>785.20092320000003</v>
      </c>
      <c r="AS374" s="6">
        <f>[1]Results!AV107</f>
        <v>781.60459779999996</v>
      </c>
      <c r="AT374" s="6">
        <f>[1]Results!AW107</f>
        <v>778.0239861</v>
      </c>
      <c r="AU374" s="6">
        <f>[1]Results!AX107</f>
        <v>774.45908859999997</v>
      </c>
      <c r="AV374" s="6">
        <f>[1]Results!AY107</f>
        <v>770.90990699999998</v>
      </c>
      <c r="AW374" s="6">
        <f>[1]Results!AZ107</f>
        <v>767.37644350000005</v>
      </c>
      <c r="AX374" s="6">
        <f>[1]Results!BA107</f>
        <v>763.8586808</v>
      </c>
      <c r="AY374" s="6">
        <f>[1]Results!BB107</f>
        <v>760.3565595</v>
      </c>
      <c r="AZ374" s="6">
        <f>[1]Results!BC107</f>
        <v>756.87000239999998</v>
      </c>
      <c r="BA374" s="6">
        <f>[1]Results!BD107</f>
        <v>753.39892399999997</v>
      </c>
      <c r="BB374" s="6">
        <f>[1]Results!BE107</f>
        <v>749.9432372</v>
      </c>
      <c r="BC374" s="6">
        <f>[1]Results!BF107</f>
        <v>746.50285629999996</v>
      </c>
      <c r="BD374" s="6">
        <f>[1]Results!BG107</f>
        <v>743.07770129999994</v>
      </c>
      <c r="BE374" s="6">
        <f>[1]Results!BH107</f>
        <v>739.66769880000004</v>
      </c>
      <c r="BF374" s="6">
        <f>[1]Results!BI107</f>
        <v>736.27278190000004</v>
      </c>
    </row>
    <row r="375" spans="1:58" x14ac:dyDescent="0.35">
      <c r="B375" t="s">
        <v>61</v>
      </c>
      <c r="C375" s="6">
        <f>[1]Results!F108</f>
        <v>878.79999729999997</v>
      </c>
      <c r="D375" s="6">
        <f>[1]Results!G108</f>
        <v>868.20180119999998</v>
      </c>
      <c r="E375" s="6">
        <f>[1]Results!H108</f>
        <v>858.14469659999997</v>
      </c>
      <c r="F375" s="6">
        <f>[1]Results!I108</f>
        <v>848.46725049999998</v>
      </c>
      <c r="G375" s="6">
        <f>[1]Results!J108</f>
        <v>838.84195850000003</v>
      </c>
      <c r="H375" s="6">
        <f>[1]Results!K108</f>
        <v>828.80253919999996</v>
      </c>
      <c r="I375" s="6">
        <f>[1]Results!L108</f>
        <v>817.82604709999998</v>
      </c>
      <c r="J375" s="6">
        <f>[1]Results!M108</f>
        <v>807.29467339999997</v>
      </c>
      <c r="K375" s="6">
        <f>[1]Results!N108</f>
        <v>797.88181340000006</v>
      </c>
      <c r="L375" s="6">
        <f>[1]Results!O108</f>
        <v>789.56941089999998</v>
      </c>
      <c r="M375" s="6">
        <f>[1]Results!P108</f>
        <v>782.11646210000004</v>
      </c>
      <c r="N375" s="6">
        <f>[1]Results!Q108</f>
        <v>775.27696170000002</v>
      </c>
      <c r="O375" s="6">
        <f>[1]Results!R108</f>
        <v>768.85010509999995</v>
      </c>
      <c r="P375" s="6">
        <f>[1]Results!S108</f>
        <v>762.68544369999995</v>
      </c>
      <c r="Q375" s="6">
        <f>[1]Results!T108</f>
        <v>756.67282609999995</v>
      </c>
      <c r="R375" s="6">
        <f>[1]Results!U108</f>
        <v>750.73164780000002</v>
      </c>
      <c r="S375" s="6">
        <f>[1]Results!V108</f>
        <v>744.80108729999995</v>
      </c>
      <c r="T375" s="6">
        <f>[1]Results!W108</f>
        <v>738.83246959999997</v>
      </c>
      <c r="U375" s="6">
        <f>[1]Results!X108</f>
        <v>732.78481290000002</v>
      </c>
      <c r="V375" s="6">
        <f>[1]Results!Y108</f>
        <v>726.62280469999996</v>
      </c>
      <c r="W375" s="6">
        <f>[1]Results!Z108</f>
        <v>720.31367209999996</v>
      </c>
      <c r="X375" s="6">
        <f>[1]Results!AA108</f>
        <v>713.82471640000006</v>
      </c>
      <c r="Y375" s="6">
        <f>[1]Results!AB108</f>
        <v>707.13169900000003</v>
      </c>
      <c r="Z375" s="6">
        <f>[1]Results!AC108</f>
        <v>700.22328979999998</v>
      </c>
      <c r="AA375" s="6">
        <f>[1]Results!AD108</f>
        <v>693.10419279999996</v>
      </c>
      <c r="AB375" s="6">
        <f>[1]Results!AE108</f>
        <v>685.78222010000002</v>
      </c>
      <c r="AC375" s="6">
        <f>[1]Results!AF108</f>
        <v>678.24681999999996</v>
      </c>
      <c r="AD375" s="6">
        <f>[1]Results!AG108</f>
        <v>670.48417459999996</v>
      </c>
      <c r="AE375" s="6">
        <f>[1]Results!AH108</f>
        <v>662.48786949999999</v>
      </c>
      <c r="AF375" s="6">
        <f>[1]Results!AI108</f>
        <v>654.26640450000002</v>
      </c>
      <c r="AG375" s="6">
        <f>[1]Results!AJ108</f>
        <v>645.84632360000001</v>
      </c>
      <c r="AH375" s="6">
        <f>[1]Results!AK108</f>
        <v>637.27291579999996</v>
      </c>
      <c r="AI375" s="6">
        <f>[1]Results!AL108</f>
        <v>628.60461420000001</v>
      </c>
      <c r="AJ375" s="6">
        <f>[1]Results!AM108</f>
        <v>619.90476579999995</v>
      </c>
      <c r="AK375" s="6">
        <f>[1]Results!AN108</f>
        <v>611.23250680000001</v>
      </c>
      <c r="AL375" s="6">
        <f>[1]Results!AO108</f>
        <v>602.6352402</v>
      </c>
      <c r="AM375" s="6">
        <f>[1]Results!AP108</f>
        <v>594.13859490000004</v>
      </c>
      <c r="AN375" s="6">
        <f>[1]Results!AQ108</f>
        <v>585.73990349999997</v>
      </c>
      <c r="AO375" s="6">
        <f>[1]Results!AR108</f>
        <v>577.41897159999996</v>
      </c>
      <c r="AP375" s="6">
        <f>[1]Results!AS108</f>
        <v>569.14546470000005</v>
      </c>
      <c r="AQ375" s="6">
        <f>[1]Results!AT108</f>
        <v>560.88249659999997</v>
      </c>
      <c r="AR375" s="6">
        <f>[1]Results!AU108</f>
        <v>552.58807200000001</v>
      </c>
      <c r="AS375" s="6">
        <f>[1]Results!AV108</f>
        <v>544.21635849999996</v>
      </c>
      <c r="AT375" s="6">
        <f>[1]Results!AW108</f>
        <v>535.71990800000003</v>
      </c>
      <c r="AU375" s="6">
        <f>[1]Results!AX108</f>
        <v>527.05196639999997</v>
      </c>
      <c r="AV375" s="6">
        <f>[1]Results!AY108</f>
        <v>518.17724620000001</v>
      </c>
      <c r="AW375" s="6">
        <f>[1]Results!AZ108</f>
        <v>509.37672140000001</v>
      </c>
      <c r="AX375" s="6">
        <f>[1]Results!BA108</f>
        <v>500.9497283</v>
      </c>
      <c r="AY375" s="6">
        <f>[1]Results!BB108</f>
        <v>493.080645</v>
      </c>
      <c r="AZ375" s="6">
        <f>[1]Results!BC108</f>
        <v>485.8386438</v>
      </c>
      <c r="BA375" s="6">
        <f>[1]Results!BD108</f>
        <v>479.21591990000002</v>
      </c>
      <c r="BB375" s="6">
        <f>[1]Results!BE108</f>
        <v>473.16361160000002</v>
      </c>
      <c r="BC375" s="6">
        <f>[1]Results!BF108</f>
        <v>467.61524459999998</v>
      </c>
      <c r="BD375" s="6">
        <f>[1]Results!BG108</f>
        <v>462.49942329999999</v>
      </c>
      <c r="BE375" s="6">
        <f>[1]Results!BH108</f>
        <v>457.74798179999999</v>
      </c>
      <c r="BF375" s="6">
        <f>[1]Results!BI108</f>
        <v>453.30045360000003</v>
      </c>
    </row>
    <row r="376" spans="1:58" x14ac:dyDescent="0.35">
      <c r="B376" t="s">
        <v>62</v>
      </c>
      <c r="C376" s="6">
        <f>[1]Results!F109</f>
        <v>139.85209269999999</v>
      </c>
      <c r="D376" s="6">
        <f>[1]Results!G109</f>
        <v>137.95044630000001</v>
      </c>
      <c r="E376" s="6">
        <f>[1]Results!H109</f>
        <v>136.07601829999999</v>
      </c>
      <c r="F376" s="6">
        <f>[1]Results!I109</f>
        <v>134.23667570000001</v>
      </c>
      <c r="G376" s="6">
        <f>[1]Results!J109</f>
        <v>132.4378107</v>
      </c>
      <c r="H376" s="6">
        <f>[1]Results!K109</f>
        <v>130.6807431</v>
      </c>
      <c r="I376" s="6">
        <f>[1]Results!L109</f>
        <v>128.96334909999999</v>
      </c>
      <c r="J376" s="6">
        <f>[1]Results!M109</f>
        <v>127.28150650000001</v>
      </c>
      <c r="K376" s="6">
        <f>[1]Results!N109</f>
        <v>125.6306503</v>
      </c>
      <c r="L376" s="6">
        <f>[1]Results!O109</f>
        <v>124.0065385</v>
      </c>
      <c r="M376" s="6">
        <f>[1]Results!P109</f>
        <v>122.4056673</v>
      </c>
      <c r="N376" s="6">
        <f>[1]Results!Q109</f>
        <v>120.8253952</v>
      </c>
      <c r="O376" s="6">
        <f>[1]Results!R109</f>
        <v>119.2636775</v>
      </c>
      <c r="P376" s="6">
        <f>[1]Results!S109</f>
        <v>117.71899310000001</v>
      </c>
      <c r="Q376" s="6">
        <f>[1]Results!T109</f>
        <v>116.190269</v>
      </c>
      <c r="R376" s="6">
        <f>[1]Results!U109</f>
        <v>114.67678909999999</v>
      </c>
      <c r="S376" s="6">
        <f>[1]Results!V109</f>
        <v>113.1781242</v>
      </c>
      <c r="T376" s="6">
        <f>[1]Results!W109</f>
        <v>111.6940718</v>
      </c>
      <c r="U376" s="6">
        <f>[1]Results!X109</f>
        <v>110.22461199999999</v>
      </c>
      <c r="V376" s="6">
        <f>[1]Results!Y109</f>
        <v>108.7698699</v>
      </c>
      <c r="W376" s="6">
        <f>[1]Results!Z109</f>
        <v>107.33004560000001</v>
      </c>
      <c r="X376" s="6">
        <f>[1]Results!AA109</f>
        <v>105.905394</v>
      </c>
      <c r="Y376" s="6">
        <f>[1]Results!AB109</f>
        <v>104.4962601</v>
      </c>
      <c r="Z376" s="6">
        <f>[1]Results!AC109</f>
        <v>103.1030164</v>
      </c>
      <c r="AA376" s="6">
        <f>[1]Results!AD109</f>
        <v>101.7260185</v>
      </c>
      <c r="AB376" s="6">
        <f>[1]Results!AE109</f>
        <v>100.365503</v>
      </c>
      <c r="AC376" s="6">
        <f>[1]Results!AF109</f>
        <v>99.02158068</v>
      </c>
      <c r="AD376" s="6">
        <f>[1]Results!AG109</f>
        <v>97.694382520000005</v>
      </c>
      <c r="AE376" s="6">
        <f>[1]Results!AH109</f>
        <v>96.38403864</v>
      </c>
      <c r="AF376" s="6">
        <f>[1]Results!AI109</f>
        <v>95.090650719999999</v>
      </c>
      <c r="AG376" s="6">
        <f>[1]Results!AJ109</f>
        <v>93.814272970000005</v>
      </c>
      <c r="AH376" s="6">
        <f>[1]Results!AK109</f>
        <v>92.554899590000005</v>
      </c>
      <c r="AI376" s="6">
        <f>[1]Results!AL109</f>
        <v>91.312467769999998</v>
      </c>
      <c r="AJ376" s="6">
        <f>[1]Results!AM109</f>
        <v>90.086861450000001</v>
      </c>
      <c r="AK376" s="6">
        <f>[1]Results!AN109</f>
        <v>88.877913879999994</v>
      </c>
      <c r="AL376" s="6">
        <f>[1]Results!AO109</f>
        <v>87.685412310000004</v>
      </c>
      <c r="AM376" s="6">
        <f>[1]Results!AP109</f>
        <v>86.509089309999993</v>
      </c>
      <c r="AN376" s="6">
        <f>[1]Results!AQ109</f>
        <v>85.34863249</v>
      </c>
      <c r="AO376" s="6">
        <f>[1]Results!AR109</f>
        <v>84.203725000000006</v>
      </c>
      <c r="AP376" s="6">
        <f>[1]Results!AS109</f>
        <v>83.074048730000001</v>
      </c>
      <c r="AQ376" s="6">
        <f>[1]Results!AT109</f>
        <v>81.959282290000004</v>
      </c>
      <c r="AR376" s="6">
        <f>[1]Results!AU109</f>
        <v>80.859102539999995</v>
      </c>
      <c r="AS376" s="6">
        <f>[1]Results!AV109</f>
        <v>79.773190450000001</v>
      </c>
      <c r="AT376" s="6">
        <f>[1]Results!AW109</f>
        <v>78.701237649999996</v>
      </c>
      <c r="AU376" s="6">
        <f>[1]Results!AX109</f>
        <v>77.642947250000006</v>
      </c>
      <c r="AV376" s="6">
        <f>[1]Results!AY109</f>
        <v>76.598033349999994</v>
      </c>
      <c r="AW376" s="6">
        <f>[1]Results!AZ109</f>
        <v>75.566219649999994</v>
      </c>
      <c r="AX376" s="6">
        <f>[1]Results!BA109</f>
        <v>74.547272289999995</v>
      </c>
      <c r="AY376" s="6">
        <f>[1]Results!BB109</f>
        <v>73.541004290000004</v>
      </c>
      <c r="AZ376" s="6">
        <f>[1]Results!BC109</f>
        <v>72.547255469999996</v>
      </c>
      <c r="BA376" s="6">
        <f>[1]Results!BD109</f>
        <v>71.565876959999997</v>
      </c>
      <c r="BB376" s="6">
        <f>[1]Results!BE109</f>
        <v>70.596724280000004</v>
      </c>
      <c r="BC376" s="6">
        <f>[1]Results!BF109</f>
        <v>69.639660230000004</v>
      </c>
      <c r="BD376" s="6">
        <f>[1]Results!BG109</f>
        <v>68.694562020000006</v>
      </c>
      <c r="BE376" s="6">
        <f>[1]Results!BH109</f>
        <v>67.761318090000003</v>
      </c>
      <c r="BF376" s="6">
        <f>[1]Results!BI109</f>
        <v>66.839824059999998</v>
      </c>
    </row>
    <row r="377" spans="1:58" x14ac:dyDescent="0.35">
      <c r="B377" t="s">
        <v>63</v>
      </c>
      <c r="C377" s="6">
        <f>[1]Results!F110</f>
        <v>3.874567114</v>
      </c>
      <c r="D377" s="6">
        <f>[1]Results!G110</f>
        <v>3.7237652689999998</v>
      </c>
      <c r="E377" s="6">
        <f>[1]Results!H110</f>
        <v>3.5792210679999998</v>
      </c>
      <c r="F377" s="6">
        <f>[1]Results!I110</f>
        <v>3.4412548319999998</v>
      </c>
      <c r="G377" s="6">
        <f>[1]Results!J110</f>
        <v>3.3100063660000001</v>
      </c>
      <c r="H377" s="6">
        <f>[1]Results!K110</f>
        <v>3.1853211030000002</v>
      </c>
      <c r="I377" s="6">
        <f>[1]Results!L110</f>
        <v>3.0668081470000002</v>
      </c>
      <c r="J377" s="6">
        <f>[1]Results!M110</f>
        <v>2.953955884</v>
      </c>
      <c r="K377" s="6">
        <f>[1]Results!N110</f>
        <v>2.8462362649999999</v>
      </c>
      <c r="L377" s="6">
        <f>[1]Results!O110</f>
        <v>2.743165624</v>
      </c>
      <c r="M377" s="6">
        <f>[1]Results!P110</f>
        <v>2.644335978</v>
      </c>
      <c r="N377" s="6">
        <f>[1]Results!Q110</f>
        <v>2.5494195180000001</v>
      </c>
      <c r="O377" s="6">
        <f>[1]Results!R110</f>
        <v>2.4581453849999999</v>
      </c>
      <c r="P377" s="6">
        <f>[1]Results!S110</f>
        <v>2.3702903050000002</v>
      </c>
      <c r="Q377" s="6">
        <f>[1]Results!T110</f>
        <v>2.2856700980000002</v>
      </c>
      <c r="R377" s="6">
        <f>[1]Results!U110</f>
        <v>2.2041312749999999</v>
      </c>
      <c r="S377" s="6">
        <f>[1]Results!V110</f>
        <v>2.1255443199999999</v>
      </c>
      <c r="T377" s="6">
        <f>[1]Results!W110</f>
        <v>2.0497977540000001</v>
      </c>
      <c r="U377" s="6">
        <f>[1]Results!X110</f>
        <v>1.976793676</v>
      </c>
      <c r="V377" s="6">
        <f>[1]Results!Y110</f>
        <v>1.906444526</v>
      </c>
      <c r="W377" s="6">
        <f>[1]Results!Z110</f>
        <v>1.8386685810000001</v>
      </c>
      <c r="X377" s="6">
        <f>[1]Results!AA110</f>
        <v>1.773388486</v>
      </c>
      <c r="Y377" s="6">
        <f>[1]Results!AB110</f>
        <v>1.7105330050000001</v>
      </c>
      <c r="Z377" s="6">
        <f>[1]Results!AC110</f>
        <v>1.6500337549999999</v>
      </c>
      <c r="AA377" s="6">
        <f>[1]Results!AD110</f>
        <v>1.5918230310000001</v>
      </c>
      <c r="AB377" s="6">
        <f>[1]Results!AE110</f>
        <v>1.5358289650000001</v>
      </c>
      <c r="AC377" s="6">
        <f>[1]Results!AF110</f>
        <v>1.4819755459999999</v>
      </c>
      <c r="AD377" s="6">
        <f>[1]Results!AG110</f>
        <v>1.430189884</v>
      </c>
      <c r="AE377" s="6">
        <f>[1]Results!AH110</f>
        <v>1.380401652</v>
      </c>
      <c r="AF377" s="6">
        <f>[1]Results!AI110</f>
        <v>1.3325419679999999</v>
      </c>
      <c r="AG377" s="6">
        <f>[1]Results!AJ110</f>
        <v>1.2865426719999999</v>
      </c>
      <c r="AH377" s="6">
        <f>[1]Results!AK110</f>
        <v>1.2423359650000001</v>
      </c>
      <c r="AI377" s="6">
        <f>[1]Results!AL110</f>
        <v>1.199854494</v>
      </c>
      <c r="AJ377" s="6">
        <f>[1]Results!AM110</f>
        <v>1.159031479</v>
      </c>
      <c r="AK377" s="6">
        <f>[1]Results!AN110</f>
        <v>1.1198008239999999</v>
      </c>
      <c r="AL377" s="6">
        <f>[1]Results!AO110</f>
        <v>1.082097351</v>
      </c>
      <c r="AM377" s="6">
        <f>[1]Results!AP110</f>
        <v>1.0458564809999999</v>
      </c>
      <c r="AN377" s="6">
        <f>[1]Results!AQ110</f>
        <v>1.0110146449999999</v>
      </c>
      <c r="AO377" s="6">
        <f>[1]Results!AR110</f>
        <v>0.97751093180000004</v>
      </c>
      <c r="AP377" s="6">
        <f>[1]Results!AS110</f>
        <v>0.94528715159999999</v>
      </c>
      <c r="AQ377" s="6">
        <f>[1]Results!AT110</f>
        <v>0.91428764309999999</v>
      </c>
      <c r="AR377" s="6">
        <f>[1]Results!AU110</f>
        <v>0.88445919809999995</v>
      </c>
      <c r="AS377" s="6">
        <f>[1]Results!AV110</f>
        <v>0.85575113650000001</v>
      </c>
      <c r="AT377" s="6">
        <f>[1]Results!AW110</f>
        <v>0.82811541659999999</v>
      </c>
      <c r="AU377" s="6">
        <f>[1]Results!AX110</f>
        <v>0.80150652389999999</v>
      </c>
      <c r="AV377" s="6">
        <f>[1]Results!AY110</f>
        <v>0.77588131100000002</v>
      </c>
      <c r="AW377" s="6">
        <f>[1]Results!AZ110</f>
        <v>0.75119878529999995</v>
      </c>
      <c r="AX377" s="6">
        <f>[1]Results!BA110</f>
        <v>0.72742003470000005</v>
      </c>
      <c r="AY377" s="6">
        <f>[1]Results!BB110</f>
        <v>0.70450828160000001</v>
      </c>
      <c r="AZ377" s="6">
        <f>[1]Results!BC110</f>
        <v>0.6824285283</v>
      </c>
      <c r="BA377" s="6">
        <f>[1]Results!BD110</f>
        <v>0.66114732460000003</v>
      </c>
      <c r="BB377" s="6">
        <f>[1]Results!BE110</f>
        <v>0.6406326712</v>
      </c>
      <c r="BC377" s="6">
        <f>[1]Results!BF110</f>
        <v>0.62085410919999995</v>
      </c>
      <c r="BD377" s="6">
        <f>[1]Results!BG110</f>
        <v>0.60178289979999999</v>
      </c>
      <c r="BE377" s="6">
        <f>[1]Results!BH110</f>
        <v>0.58339185959999995</v>
      </c>
      <c r="BF377" s="6">
        <f>[1]Results!BI110</f>
        <v>0.56565516309999997</v>
      </c>
    </row>
    <row r="379" spans="1:58" x14ac:dyDescent="0.35">
      <c r="A379" s="12" t="s">
        <v>91</v>
      </c>
      <c r="C379" s="2">
        <v>42005</v>
      </c>
      <c r="D379" s="2">
        <v>42370</v>
      </c>
      <c r="E379" s="2">
        <v>42736</v>
      </c>
      <c r="F379" s="2">
        <v>43101</v>
      </c>
      <c r="G379" s="2">
        <v>43466</v>
      </c>
      <c r="H379" s="2">
        <v>43831</v>
      </c>
      <c r="I379" s="2">
        <v>44197</v>
      </c>
      <c r="J379" s="2">
        <v>44562</v>
      </c>
      <c r="K379" s="2">
        <v>44927</v>
      </c>
      <c r="L379" s="2">
        <v>45292</v>
      </c>
      <c r="M379" s="2">
        <v>45658</v>
      </c>
      <c r="N379" s="2">
        <v>46023</v>
      </c>
      <c r="O379" s="2">
        <v>46388</v>
      </c>
      <c r="P379" s="2">
        <v>46753</v>
      </c>
      <c r="Q379" s="2">
        <v>47119</v>
      </c>
      <c r="R379" s="2">
        <v>47484</v>
      </c>
      <c r="S379" s="2">
        <v>47849</v>
      </c>
      <c r="T379" s="2">
        <v>48214</v>
      </c>
      <c r="U379" s="2">
        <v>48580</v>
      </c>
      <c r="V379" s="2">
        <v>48945</v>
      </c>
      <c r="W379" s="2">
        <v>49310</v>
      </c>
      <c r="X379" s="2">
        <v>49675</v>
      </c>
      <c r="Y379" s="2">
        <v>50041</v>
      </c>
      <c r="Z379" s="2">
        <v>50406</v>
      </c>
      <c r="AA379" s="2">
        <v>50771</v>
      </c>
      <c r="AB379" s="2">
        <v>51136</v>
      </c>
      <c r="AC379" s="2">
        <v>51502</v>
      </c>
      <c r="AD379" s="2">
        <v>51867</v>
      </c>
      <c r="AE379" s="2">
        <v>52232</v>
      </c>
      <c r="AF379" s="2">
        <v>52597</v>
      </c>
      <c r="AG379" s="2">
        <v>52963</v>
      </c>
      <c r="AH379" s="2">
        <v>53328</v>
      </c>
      <c r="AI379" s="2">
        <v>53693</v>
      </c>
      <c r="AJ379" s="2">
        <v>54058</v>
      </c>
      <c r="AK379" s="2">
        <v>54424</v>
      </c>
      <c r="AL379" s="2">
        <v>54789</v>
      </c>
      <c r="AM379" s="2">
        <v>54790</v>
      </c>
      <c r="AN379" s="2">
        <v>54791</v>
      </c>
      <c r="AO379" s="2">
        <v>54792</v>
      </c>
      <c r="AP379" s="2">
        <v>54793</v>
      </c>
      <c r="AQ379" s="2">
        <v>54794</v>
      </c>
      <c r="AR379" s="2">
        <v>54795</v>
      </c>
      <c r="AS379" s="2">
        <v>54796</v>
      </c>
      <c r="AT379" s="2">
        <v>54797</v>
      </c>
      <c r="AU379" s="2">
        <v>54798</v>
      </c>
      <c r="AV379" s="2">
        <v>54799</v>
      </c>
      <c r="AW379" s="2">
        <v>54800</v>
      </c>
      <c r="AX379" s="2">
        <v>54801</v>
      </c>
      <c r="AY379" s="2">
        <v>54802</v>
      </c>
      <c r="AZ379" s="2">
        <v>54803</v>
      </c>
      <c r="BA379" s="2">
        <v>54804</v>
      </c>
      <c r="BB379" s="2">
        <v>54805</v>
      </c>
      <c r="BC379" s="2">
        <v>54806</v>
      </c>
      <c r="BD379" s="2">
        <v>54807</v>
      </c>
      <c r="BE379" s="2">
        <v>54808</v>
      </c>
      <c r="BF379" s="2">
        <v>54809</v>
      </c>
    </row>
    <row r="380" spans="1:58" x14ac:dyDescent="0.35">
      <c r="A380" t="s">
        <v>38</v>
      </c>
      <c r="B380" t="s">
        <v>57</v>
      </c>
      <c r="C380" s="6">
        <f>[1]Results!F112</f>
        <v>3.476542051</v>
      </c>
      <c r="D380" s="6">
        <f>[1]Results!G112</f>
        <v>5.7227175580000003</v>
      </c>
      <c r="E380" s="6">
        <f>[1]Results!H112</f>
        <v>7.9150343330000004</v>
      </c>
      <c r="F380" s="6">
        <f>[1]Results!I112</f>
        <v>9.8028884529999996</v>
      </c>
      <c r="G380" s="6">
        <f>[1]Results!J112</f>
        <v>11.15595845</v>
      </c>
      <c r="H380" s="6">
        <f>[1]Results!K112</f>
        <v>16.284895769999999</v>
      </c>
      <c r="I380" s="6">
        <f>[1]Results!L112</f>
        <v>22.964123730000001</v>
      </c>
      <c r="J380" s="6">
        <f>[1]Results!M112</f>
        <v>30.052260350000001</v>
      </c>
      <c r="K380" s="6">
        <f>[1]Results!N112</f>
        <v>37.20088715</v>
      </c>
      <c r="L380" s="6">
        <f>[1]Results!O112</f>
        <v>44.335393959999998</v>
      </c>
      <c r="M380" s="6">
        <f>[1]Results!P112</f>
        <v>51.493059279999997</v>
      </c>
      <c r="N380" s="6">
        <f>[1]Results!Q112</f>
        <v>58.603516159999998</v>
      </c>
      <c r="O380" s="6">
        <f>[1]Results!R112</f>
        <v>65.708702489999993</v>
      </c>
      <c r="P380" s="6">
        <f>[1]Results!S112</f>
        <v>72.804982789999997</v>
      </c>
      <c r="Q380" s="6">
        <f>[1]Results!T112</f>
        <v>79.885927730000006</v>
      </c>
      <c r="R380" s="6">
        <f>[1]Results!U112</f>
        <v>86.944265079999994</v>
      </c>
      <c r="S380" s="6">
        <f>[1]Results!V112</f>
        <v>93.972977729999997</v>
      </c>
      <c r="T380" s="6">
        <f>[1]Results!W112</f>
        <v>100.96592</v>
      </c>
      <c r="U380" s="6">
        <f>[1]Results!X112</f>
        <v>107.9181615</v>
      </c>
      <c r="V380" s="6">
        <f>[1]Results!Y112</f>
        <v>114.8261469</v>
      </c>
      <c r="W380" s="6">
        <f>[1]Results!Z112</f>
        <v>121.65976550000001</v>
      </c>
      <c r="X380" s="6">
        <f>[1]Results!AA112</f>
        <v>128.4675527</v>
      </c>
      <c r="Y380" s="6">
        <f>[1]Results!AB112</f>
        <v>135.2218422</v>
      </c>
      <c r="Z380" s="6">
        <f>[1]Results!AC112</f>
        <v>141.9238732</v>
      </c>
      <c r="AA380" s="6">
        <f>[1]Results!AD112</f>
        <v>148.5764436</v>
      </c>
      <c r="AB380" s="6">
        <f>[1]Results!AE112</f>
        <v>155.10651139999999</v>
      </c>
      <c r="AC380" s="6">
        <f>[1]Results!AF112</f>
        <v>161.6159882</v>
      </c>
      <c r="AD380" s="6">
        <f>[1]Results!AG112</f>
        <v>168.05819959999999</v>
      </c>
      <c r="AE380" s="6">
        <f>[1]Results!AH112</f>
        <v>174.4262808</v>
      </c>
      <c r="AF380" s="6">
        <f>[1]Results!AI112</f>
        <v>180.71546430000001</v>
      </c>
      <c r="AG380" s="6">
        <f>[1]Results!AJ112</f>
        <v>186.9234438</v>
      </c>
      <c r="AH380" s="6">
        <f>[1]Results!AK112</f>
        <v>193.049609</v>
      </c>
      <c r="AI380" s="6">
        <f>[1]Results!AL112</f>
        <v>199.09405630000001</v>
      </c>
      <c r="AJ380" s="6">
        <f>[1]Results!AM112</f>
        <v>205.05673379999999</v>
      </c>
      <c r="AK380" s="6">
        <f>[1]Results!AN112</f>
        <v>210.93670599999999</v>
      </c>
      <c r="AL380" s="6">
        <f>[1]Results!AO112</f>
        <v>216.73156090000001</v>
      </c>
      <c r="AM380" s="6">
        <f>[1]Results!AP112</f>
        <v>222.42007079999999</v>
      </c>
      <c r="AN380" s="6">
        <f>[1]Results!AQ112</f>
        <v>228.00583119999999</v>
      </c>
      <c r="AO380" s="6">
        <f>[1]Results!AR112</f>
        <v>233.47187719999999</v>
      </c>
      <c r="AP380" s="6">
        <f>[1]Results!AS112</f>
        <v>238.79657710000001</v>
      </c>
      <c r="AQ380" s="6">
        <f>[1]Results!AT112</f>
        <v>243.95335779999999</v>
      </c>
      <c r="AR380" s="6">
        <f>[1]Results!AU112</f>
        <v>248.90945249999999</v>
      </c>
      <c r="AS380" s="6">
        <f>[1]Results!AV112</f>
        <v>253.62342380000001</v>
      </c>
      <c r="AT380" s="6">
        <f>[1]Results!AW112</f>
        <v>258.04049509999999</v>
      </c>
      <c r="AU380" s="6">
        <f>[1]Results!AX112</f>
        <v>262.08338989999999</v>
      </c>
      <c r="AV380" s="6">
        <f>[1]Results!AY112</f>
        <v>265.63343630000003</v>
      </c>
      <c r="AW380" s="6">
        <f>[1]Results!AZ112</f>
        <v>268.48958729999998</v>
      </c>
      <c r="AX380" s="6">
        <f>[1]Results!BA112</f>
        <v>272.33600000000001</v>
      </c>
      <c r="AY380" s="6">
        <f>[1]Results!BB112</f>
        <v>276.30579399999999</v>
      </c>
      <c r="AZ380" s="6">
        <f>[1]Results!BC112</f>
        <v>280.8630483</v>
      </c>
      <c r="BA380" s="6">
        <f>[1]Results!BD112</f>
        <v>285.9392512</v>
      </c>
      <c r="BB380" s="6">
        <f>[1]Results!BE112</f>
        <v>291.33082450000001</v>
      </c>
      <c r="BC380" s="6">
        <f>[1]Results!BF112</f>
        <v>296.91354610000002</v>
      </c>
      <c r="BD380" s="6">
        <f>[1]Results!BG112</f>
        <v>302.62488610000003</v>
      </c>
      <c r="BE380" s="6">
        <f>[1]Results!BH112</f>
        <v>308.4303693</v>
      </c>
      <c r="BF380" s="6">
        <f>[1]Results!BI112</f>
        <v>314.30686029999998</v>
      </c>
    </row>
    <row r="381" spans="1:58" x14ac:dyDescent="0.35">
      <c r="B381" t="s">
        <v>58</v>
      </c>
      <c r="C381" s="6">
        <f>[1]Results!F113</f>
        <v>68.80476281</v>
      </c>
      <c r="D381" s="6">
        <f>[1]Results!G113</f>
        <v>77.184615829999998</v>
      </c>
      <c r="E381" s="6">
        <f>[1]Results!H113</f>
        <v>86.226500130000005</v>
      </c>
      <c r="F381" s="6">
        <f>[1]Results!I113</f>
        <v>95.792891040000001</v>
      </c>
      <c r="G381" s="6">
        <f>[1]Results!J113</f>
        <v>106.74449970000001</v>
      </c>
      <c r="H381" s="6">
        <f>[1]Results!K113</f>
        <v>114.8133211</v>
      </c>
      <c r="I381" s="6">
        <f>[1]Results!L113</f>
        <v>120.3170899</v>
      </c>
      <c r="J381" s="6">
        <f>[1]Results!M113</f>
        <v>124.82552200000001</v>
      </c>
      <c r="K381" s="6">
        <f>[1]Results!N113</f>
        <v>128.830072</v>
      </c>
      <c r="L381" s="6">
        <f>[1]Results!O113</f>
        <v>132.56907000000001</v>
      </c>
      <c r="M381" s="6">
        <f>[1]Results!P113</f>
        <v>137.1972801</v>
      </c>
      <c r="N381" s="6">
        <f>[1]Results!Q113</f>
        <v>140.7008926</v>
      </c>
      <c r="O381" s="6">
        <f>[1]Results!R113</f>
        <v>144.14773070000001</v>
      </c>
      <c r="P381" s="6">
        <f>[1]Results!S113</f>
        <v>147.55778470000001</v>
      </c>
      <c r="Q381" s="6">
        <f>[1]Results!T113</f>
        <v>150.94395159999999</v>
      </c>
      <c r="R381" s="6">
        <f>[1]Results!U113</f>
        <v>154.31506580000001</v>
      </c>
      <c r="S381" s="6">
        <f>[1]Results!V113</f>
        <v>157.6774753</v>
      </c>
      <c r="T381" s="6">
        <f>[1]Results!W113</f>
        <v>161.03585709999999</v>
      </c>
      <c r="U381" s="6">
        <f>[1]Results!X113</f>
        <v>164.3936405</v>
      </c>
      <c r="V381" s="6">
        <f>[1]Results!Y113</f>
        <v>167.75324380000001</v>
      </c>
      <c r="W381" s="6">
        <f>[1]Results!Z113</f>
        <v>170.42983699999999</v>
      </c>
      <c r="X381" s="6">
        <f>[1]Results!AA113</f>
        <v>173.79780690000001</v>
      </c>
      <c r="Y381" s="6">
        <f>[1]Results!AB113</f>
        <v>177.1732351</v>
      </c>
      <c r="Z381" s="6">
        <f>[1]Results!AC113</f>
        <v>180.55595629999999</v>
      </c>
      <c r="AA381" s="6">
        <f>[1]Results!AD113</f>
        <v>183.94505029999999</v>
      </c>
      <c r="AB381" s="6">
        <f>[1]Results!AE113</f>
        <v>185.46562059999999</v>
      </c>
      <c r="AC381" s="6">
        <f>[1]Results!AF113</f>
        <v>187.98597659999999</v>
      </c>
      <c r="AD381" s="6">
        <f>[1]Results!AG113</f>
        <v>190.5167113</v>
      </c>
      <c r="AE381" s="6">
        <f>[1]Results!AH113</f>
        <v>193.06131669999999</v>
      </c>
      <c r="AF381" s="6">
        <f>[1]Results!AI113</f>
        <v>195.6223933</v>
      </c>
      <c r="AG381" s="6">
        <f>[1]Results!AJ113</f>
        <v>198.20143999999999</v>
      </c>
      <c r="AH381" s="6">
        <f>[1]Results!AK113</f>
        <v>200.79917090000001</v>
      </c>
      <c r="AI381" s="6">
        <f>[1]Results!AL113</f>
        <v>203.41594119999999</v>
      </c>
      <c r="AJ381" s="6">
        <f>[1]Results!AM113</f>
        <v>206.0521301</v>
      </c>
      <c r="AK381" s="6">
        <f>[1]Results!AN113</f>
        <v>208.70848050000001</v>
      </c>
      <c r="AL381" s="6">
        <f>[1]Results!AO113</f>
        <v>211.38638539999999</v>
      </c>
      <c r="AM381" s="6">
        <f>[1]Results!AP113</f>
        <v>213.68846819999999</v>
      </c>
      <c r="AN381" s="6">
        <f>[1]Results!AQ113</f>
        <v>216.01925180000001</v>
      </c>
      <c r="AO381" s="6">
        <f>[1]Results!AR113</f>
        <v>218.38685469999999</v>
      </c>
      <c r="AP381" s="6">
        <f>[1]Results!AS113</f>
        <v>220.80179770000001</v>
      </c>
      <c r="AQ381" s="6">
        <f>[1]Results!AT113</f>
        <v>223.27728210000001</v>
      </c>
      <c r="AR381" s="6">
        <f>[1]Results!AU113</f>
        <v>225.83003450000001</v>
      </c>
      <c r="AS381" s="6">
        <f>[1]Results!AV113</f>
        <v>228.4820172</v>
      </c>
      <c r="AT381" s="6">
        <f>[1]Results!AW113</f>
        <v>231.2638954</v>
      </c>
      <c r="AU381" s="6">
        <f>[1]Results!AX113</f>
        <v>234.2226953</v>
      </c>
      <c r="AV381" s="6">
        <f>[1]Results!AY113</f>
        <v>237.44139620000001</v>
      </c>
      <c r="AW381" s="6">
        <f>[1]Results!AZ113</f>
        <v>241.137539</v>
      </c>
      <c r="AX381" s="6">
        <f>[1]Results!BA113</f>
        <v>244.86286010000001</v>
      </c>
      <c r="AY381" s="6">
        <f>[1]Results!BB113</f>
        <v>249.31718670000001</v>
      </c>
      <c r="AZ381" s="6">
        <f>[1]Results!BC113</f>
        <v>253.31751560000001</v>
      </c>
      <c r="BA381" s="6">
        <f>[1]Results!BD113</f>
        <v>256.61939769999998</v>
      </c>
      <c r="BB381" s="6">
        <f>[1]Results!BE113</f>
        <v>259.40995170000002</v>
      </c>
      <c r="BC381" s="6">
        <f>[1]Results!BF113</f>
        <v>261.87038360000003</v>
      </c>
      <c r="BD381" s="6">
        <f>[1]Results!BG113</f>
        <v>264.11785379999998</v>
      </c>
      <c r="BE381" s="6">
        <f>[1]Results!BH113</f>
        <v>266.22311020000001</v>
      </c>
      <c r="BF381" s="6">
        <f>[1]Results!BI113</f>
        <v>268.22936490000001</v>
      </c>
    </row>
    <row r="382" spans="1:58" x14ac:dyDescent="0.35">
      <c r="B382" t="s">
        <v>59</v>
      </c>
      <c r="C382" s="6">
        <f>[1]Results!F114</f>
        <v>408.28039699999999</v>
      </c>
      <c r="D382" s="6">
        <f>[1]Results!G114</f>
        <v>425.47099270000001</v>
      </c>
      <c r="E382" s="6">
        <f>[1]Results!H114</f>
        <v>444.58497019999999</v>
      </c>
      <c r="F382" s="6">
        <f>[1]Results!I114</f>
        <v>464.58604120000001</v>
      </c>
      <c r="G382" s="6">
        <f>[1]Results!J114</f>
        <v>486.66937150000001</v>
      </c>
      <c r="H382" s="6">
        <f>[1]Results!K114</f>
        <v>503.40871809999999</v>
      </c>
      <c r="I382" s="6">
        <f>[1]Results!L114</f>
        <v>515.14709359999995</v>
      </c>
      <c r="J382" s="6">
        <f>[1]Results!M114</f>
        <v>525.29698399999995</v>
      </c>
      <c r="K382" s="6">
        <f>[1]Results!N114</f>
        <v>534.6699208</v>
      </c>
      <c r="L382" s="6">
        <f>[1]Results!O114</f>
        <v>543.64614389999997</v>
      </c>
      <c r="M382" s="6">
        <f>[1]Results!P114</f>
        <v>555.32218209999996</v>
      </c>
      <c r="N382" s="6">
        <f>[1]Results!Q114</f>
        <v>563.96911890000001</v>
      </c>
      <c r="O382" s="6">
        <f>[1]Results!R114</f>
        <v>572.54162459999998</v>
      </c>
      <c r="P382" s="6">
        <f>[1]Results!S114</f>
        <v>581.06934260000003</v>
      </c>
      <c r="Q382" s="6">
        <f>[1]Results!T114</f>
        <v>589.57116440000004</v>
      </c>
      <c r="R382" s="6">
        <f>[1]Results!U114</f>
        <v>598.05991770000003</v>
      </c>
      <c r="S382" s="6">
        <f>[1]Results!V114</f>
        <v>606.54476850000003</v>
      </c>
      <c r="T382" s="6">
        <f>[1]Results!W114</f>
        <v>615.03244419999999</v>
      </c>
      <c r="U382" s="6">
        <f>[1]Results!X114</f>
        <v>623.52785080000001</v>
      </c>
      <c r="V382" s="6">
        <f>[1]Results!Y114</f>
        <v>632.03440379999995</v>
      </c>
      <c r="W382" s="6">
        <f>[1]Results!Z114</f>
        <v>638.62618010000006</v>
      </c>
      <c r="X382" s="6">
        <f>[1]Results!AA114</f>
        <v>647.15852900000004</v>
      </c>
      <c r="Y382" s="6">
        <f>[1]Results!AB114</f>
        <v>655.70989510000004</v>
      </c>
      <c r="Z382" s="6">
        <f>[1]Results!AC114</f>
        <v>664.27969399999995</v>
      </c>
      <c r="AA382" s="6">
        <f>[1]Results!AD114</f>
        <v>672.86614580000003</v>
      </c>
      <c r="AB382" s="6">
        <f>[1]Results!AE114</f>
        <v>676.20398720000003</v>
      </c>
      <c r="AC382" s="6">
        <f>[1]Results!AF114</f>
        <v>682.34079080000004</v>
      </c>
      <c r="AD382" s="6">
        <f>[1]Results!AG114</f>
        <v>688.49362810000002</v>
      </c>
      <c r="AE382" s="6">
        <f>[1]Results!AH114</f>
        <v>694.66764869999997</v>
      </c>
      <c r="AF382" s="6">
        <f>[1]Results!AI114</f>
        <v>700.86658999999997</v>
      </c>
      <c r="AG382" s="6">
        <f>[1]Results!AJ114</f>
        <v>707.09249460000001</v>
      </c>
      <c r="AH382" s="6">
        <f>[1]Results!AK114</f>
        <v>713.34618420000004</v>
      </c>
      <c r="AI382" s="6">
        <f>[1]Results!AL114</f>
        <v>719.62793959999999</v>
      </c>
      <c r="AJ382" s="6">
        <f>[1]Results!AM114</f>
        <v>725.93812339999999</v>
      </c>
      <c r="AK382" s="6">
        <f>[1]Results!AN114</f>
        <v>732.27773939999997</v>
      </c>
      <c r="AL382" s="6">
        <f>[1]Results!AO114</f>
        <v>738.64890800000001</v>
      </c>
      <c r="AM382" s="6">
        <f>[1]Results!AP114</f>
        <v>743.93241120000005</v>
      </c>
      <c r="AN382" s="6">
        <f>[1]Results!AQ114</f>
        <v>749.25736719999998</v>
      </c>
      <c r="AO382" s="6">
        <f>[1]Results!AR114</f>
        <v>754.63733230000003</v>
      </c>
      <c r="AP382" s="6">
        <f>[1]Results!AS114</f>
        <v>760.09016970000005</v>
      </c>
      <c r="AQ382" s="6">
        <f>[1]Results!AT114</f>
        <v>765.63880370000004</v>
      </c>
      <c r="AR382" s="6">
        <f>[1]Results!AU114</f>
        <v>771.31314190000001</v>
      </c>
      <c r="AS382" s="6">
        <f>[1]Results!AV114</f>
        <v>777.15389130000005</v>
      </c>
      <c r="AT382" s="6">
        <f>[1]Results!AW114</f>
        <v>783.22035210000001</v>
      </c>
      <c r="AU382" s="6">
        <f>[1]Results!AX114</f>
        <v>789.60809810000001</v>
      </c>
      <c r="AV382" s="6">
        <f>[1]Results!AY114</f>
        <v>796.49666439999999</v>
      </c>
      <c r="AW382" s="6">
        <f>[1]Results!AZ114</f>
        <v>804.41525119999994</v>
      </c>
      <c r="AX382" s="6">
        <f>[1]Results!BA114</f>
        <v>811.47368949999998</v>
      </c>
      <c r="AY382" s="6">
        <f>[1]Results!BB114</f>
        <v>818.84470299999998</v>
      </c>
      <c r="AZ382" s="6">
        <f>[1]Results!BC114</f>
        <v>825.58289449999995</v>
      </c>
      <c r="BA382" s="6">
        <f>[1]Results!BD114</f>
        <v>831.5463499</v>
      </c>
      <c r="BB382" s="6">
        <f>[1]Results!BE114</f>
        <v>836.96440700000005</v>
      </c>
      <c r="BC382" s="6">
        <f>[1]Results!BF114</f>
        <v>842.03658240000004</v>
      </c>
      <c r="BD382" s="6">
        <f>[1]Results!BG114</f>
        <v>846.88833179999995</v>
      </c>
      <c r="BE382" s="6">
        <f>[1]Results!BH114</f>
        <v>851.59423040000001</v>
      </c>
      <c r="BF382" s="6">
        <f>[1]Results!BI114</f>
        <v>856.19925109999997</v>
      </c>
    </row>
    <row r="383" spans="1:58" x14ac:dyDescent="0.35">
      <c r="B383" t="s">
        <v>60</v>
      </c>
      <c r="C383" s="6">
        <f>[1]Results!F115</f>
        <v>954.38155940000001</v>
      </c>
      <c r="D383" s="6">
        <f>[1]Results!G115</f>
        <v>947.69777150000004</v>
      </c>
      <c r="E383" s="6">
        <f>[1]Results!H115</f>
        <v>940.93763560000002</v>
      </c>
      <c r="F383" s="6">
        <f>[1]Results!I115</f>
        <v>933.32371699999999</v>
      </c>
      <c r="G383" s="6">
        <f>[1]Results!J115</f>
        <v>923.43122419999997</v>
      </c>
      <c r="H383" s="6">
        <f>[1]Results!K115</f>
        <v>915.16062929999998</v>
      </c>
      <c r="I383" s="6">
        <f>[1]Results!L115</f>
        <v>908.60447980000004</v>
      </c>
      <c r="J383" s="6">
        <f>[1]Results!M115</f>
        <v>903.13097219999997</v>
      </c>
      <c r="K383" s="6">
        <f>[1]Results!N115</f>
        <v>898.27586099999996</v>
      </c>
      <c r="L383" s="6">
        <f>[1]Results!O115</f>
        <v>893.76580379999996</v>
      </c>
      <c r="M383" s="6">
        <f>[1]Results!P115</f>
        <v>889.45009579999999</v>
      </c>
      <c r="N383" s="6">
        <f>[1]Results!Q115</f>
        <v>885.24813830000005</v>
      </c>
      <c r="O383" s="6">
        <f>[1]Results!R115</f>
        <v>881.11616630000003</v>
      </c>
      <c r="P383" s="6">
        <f>[1]Results!S115</f>
        <v>877.03083119999997</v>
      </c>
      <c r="Q383" s="6">
        <f>[1]Results!T115</f>
        <v>872.97938650000003</v>
      </c>
      <c r="R383" s="6">
        <f>[1]Results!U115</f>
        <v>868.95471320000001</v>
      </c>
      <c r="S383" s="6">
        <f>[1]Results!V115</f>
        <v>864.95270259999995</v>
      </c>
      <c r="T383" s="6">
        <f>[1]Results!W115</f>
        <v>860.97088310000004</v>
      </c>
      <c r="U383" s="6">
        <f>[1]Results!X115</f>
        <v>857.00770090000003</v>
      </c>
      <c r="V383" s="6">
        <f>[1]Results!Y115</f>
        <v>853.06214139999997</v>
      </c>
      <c r="W383" s="6">
        <f>[1]Results!Z115</f>
        <v>849.13346460000002</v>
      </c>
      <c r="X383" s="6">
        <f>[1]Results!AA115</f>
        <v>845.22078529999999</v>
      </c>
      <c r="Y383" s="6">
        <f>[1]Results!AB115</f>
        <v>841.32393219999994</v>
      </c>
      <c r="Z383" s="6">
        <f>[1]Results!AC115</f>
        <v>837.44266679999998</v>
      </c>
      <c r="AA383" s="6">
        <f>[1]Results!AD115</f>
        <v>833.57691599999998</v>
      </c>
      <c r="AB383" s="6">
        <f>[1]Results!AE115</f>
        <v>829.72653679999996</v>
      </c>
      <c r="AC383" s="6">
        <f>[1]Results!AF115</f>
        <v>825.89032150000003</v>
      </c>
      <c r="AD383" s="6">
        <f>[1]Results!AG115</f>
        <v>822.06798739999999</v>
      </c>
      <c r="AE383" s="6">
        <f>[1]Results!AH115</f>
        <v>818.25882390000004</v>
      </c>
      <c r="AF383" s="6">
        <f>[1]Results!AI115</f>
        <v>814.46216709999999</v>
      </c>
      <c r="AG383" s="6">
        <f>[1]Results!AJ115</f>
        <v>810.67747229999998</v>
      </c>
      <c r="AH383" s="6">
        <f>[1]Results!AK115</f>
        <v>806.90431550000005</v>
      </c>
      <c r="AI383" s="6">
        <f>[1]Results!AL115</f>
        <v>803.14235580000002</v>
      </c>
      <c r="AJ383" s="6">
        <f>[1]Results!AM115</f>
        <v>799.39127970000004</v>
      </c>
      <c r="AK383" s="6">
        <f>[1]Results!AN115</f>
        <v>795.65073299999995</v>
      </c>
      <c r="AL383" s="6">
        <f>[1]Results!AO115</f>
        <v>791.92024489999994</v>
      </c>
      <c r="AM383" s="6">
        <f>[1]Results!AP115</f>
        <v>788.19905570000003</v>
      </c>
      <c r="AN383" s="6">
        <f>[1]Results!AQ115</f>
        <v>784.48567160000005</v>
      </c>
      <c r="AO383" s="6">
        <f>[1]Results!AR115</f>
        <v>780.77796030000002</v>
      </c>
      <c r="AP383" s="6">
        <f>[1]Results!AS115</f>
        <v>777.07275289999995</v>
      </c>
      <c r="AQ383" s="6">
        <f>[1]Results!AT115</f>
        <v>773.36544060000006</v>
      </c>
      <c r="AR383" s="6">
        <f>[1]Results!AU115</f>
        <v>769.64923290000002</v>
      </c>
      <c r="AS383" s="6">
        <f>[1]Results!AV115</f>
        <v>765.91376309999998</v>
      </c>
      <c r="AT383" s="6">
        <f>[1]Results!AW115</f>
        <v>762.14231700000005</v>
      </c>
      <c r="AU383" s="6">
        <f>[1]Results!AX115</f>
        <v>758.30586530000005</v>
      </c>
      <c r="AV383" s="6">
        <f>[1]Results!AY115</f>
        <v>754.34887189999995</v>
      </c>
      <c r="AW383" s="6">
        <f>[1]Results!AZ115</f>
        <v>750.15090259999999</v>
      </c>
      <c r="AX383" s="6">
        <f>[1]Results!BA115</f>
        <v>745.40462239999999</v>
      </c>
      <c r="AY383" s="6">
        <f>[1]Results!BB115</f>
        <v>739.19342819999997</v>
      </c>
      <c r="AZ383" s="6">
        <f>[1]Results!BC115</f>
        <v>733.29089439999996</v>
      </c>
      <c r="BA383" s="6">
        <f>[1]Results!BD115</f>
        <v>728.2238615</v>
      </c>
      <c r="BB383" s="6">
        <f>[1]Results!BE115</f>
        <v>723.82188120000001</v>
      </c>
      <c r="BC383" s="6">
        <f>[1]Results!BF115</f>
        <v>719.85250350000001</v>
      </c>
      <c r="BD383" s="6">
        <f>[1]Results!BG115</f>
        <v>716.14903519999996</v>
      </c>
      <c r="BE383" s="6">
        <f>[1]Results!BH115</f>
        <v>712.60802260000003</v>
      </c>
      <c r="BF383" s="6">
        <f>[1]Results!BI115</f>
        <v>709.16848440000001</v>
      </c>
    </row>
    <row r="384" spans="1:58" x14ac:dyDescent="0.35">
      <c r="B384" t="s">
        <v>61</v>
      </c>
      <c r="C384" s="6">
        <f>[1]Results!F116</f>
        <v>878.79999729999997</v>
      </c>
      <c r="D384" s="6">
        <f>[1]Results!G116</f>
        <v>867.97061580000002</v>
      </c>
      <c r="E384" s="6">
        <f>[1]Results!H116</f>
        <v>857.17684689999999</v>
      </c>
      <c r="F384" s="6">
        <f>[1]Results!I116</f>
        <v>846.13862789999996</v>
      </c>
      <c r="G384" s="6">
        <f>[1]Results!J116</f>
        <v>834.45323340000004</v>
      </c>
      <c r="H384" s="6">
        <f>[1]Results!K116</f>
        <v>825.60426399999994</v>
      </c>
      <c r="I384" s="6">
        <f>[1]Results!L116</f>
        <v>818.66441029999999</v>
      </c>
      <c r="J384" s="6">
        <f>[1]Results!M116</f>
        <v>812.81115150000005</v>
      </c>
      <c r="K384" s="6">
        <f>[1]Results!N116</f>
        <v>807.55775070000004</v>
      </c>
      <c r="L384" s="6">
        <f>[1]Results!O116</f>
        <v>802.63672459999998</v>
      </c>
      <c r="M384" s="6">
        <f>[1]Results!P116</f>
        <v>797.90480179999997</v>
      </c>
      <c r="N384" s="6">
        <f>[1]Results!Q116</f>
        <v>793.28651500000001</v>
      </c>
      <c r="O384" s="6">
        <f>[1]Results!R116</f>
        <v>788.74111530000005</v>
      </c>
      <c r="P384" s="6">
        <f>[1]Results!S116</f>
        <v>784.24689690000002</v>
      </c>
      <c r="Q384" s="6">
        <f>[1]Results!T116</f>
        <v>779.79194540000003</v>
      </c>
      <c r="R384" s="6">
        <f>[1]Results!U116</f>
        <v>775.36951320000003</v>
      </c>
      <c r="S384" s="6">
        <f>[1]Results!V116</f>
        <v>770.97561180000002</v>
      </c>
      <c r="T384" s="6">
        <f>[1]Results!W116</f>
        <v>766.60776439999995</v>
      </c>
      <c r="U384" s="6">
        <f>[1]Results!X116</f>
        <v>762.26436360000002</v>
      </c>
      <c r="V384" s="6">
        <f>[1]Results!Y116</f>
        <v>757.94434109999997</v>
      </c>
      <c r="W384" s="6">
        <f>[1]Results!Z116</f>
        <v>753.64688200000001</v>
      </c>
      <c r="X384" s="6">
        <f>[1]Results!AA116</f>
        <v>749.37099690000002</v>
      </c>
      <c r="Y384" s="6">
        <f>[1]Results!AB116</f>
        <v>745.11651849999998</v>
      </c>
      <c r="Z384" s="6">
        <f>[1]Results!AC116</f>
        <v>740.88332419999995</v>
      </c>
      <c r="AA384" s="6">
        <f>[1]Results!AD116</f>
        <v>736.67153499999995</v>
      </c>
      <c r="AB384" s="6">
        <f>[1]Results!AE116</f>
        <v>732.48109509999995</v>
      </c>
      <c r="AC384" s="6">
        <f>[1]Results!AF116</f>
        <v>728.31061190000003</v>
      </c>
      <c r="AD384" s="6">
        <f>[1]Results!AG116</f>
        <v>724.15960210000003</v>
      </c>
      <c r="AE384" s="6">
        <f>[1]Results!AH116</f>
        <v>720.02723709999998</v>
      </c>
      <c r="AF384" s="6">
        <f>[1]Results!AI116</f>
        <v>715.91284529999996</v>
      </c>
      <c r="AG384" s="6">
        <f>[1]Results!AJ116</f>
        <v>711.81598329999997</v>
      </c>
      <c r="AH384" s="6">
        <f>[1]Results!AK116</f>
        <v>707.73641569999995</v>
      </c>
      <c r="AI384" s="6">
        <f>[1]Results!AL116</f>
        <v>703.6740393</v>
      </c>
      <c r="AJ384" s="6">
        <f>[1]Results!AM116</f>
        <v>699.62879290000001</v>
      </c>
      <c r="AK384" s="6">
        <f>[1]Results!AN116</f>
        <v>695.60056059999999</v>
      </c>
      <c r="AL384" s="6">
        <f>[1]Results!AO116</f>
        <v>691.58907850000003</v>
      </c>
      <c r="AM384" s="6">
        <f>[1]Results!AP116</f>
        <v>687.59372359999998</v>
      </c>
      <c r="AN384" s="6">
        <f>[1]Results!AQ116</f>
        <v>683.61302869999997</v>
      </c>
      <c r="AO384" s="6">
        <f>[1]Results!AR116</f>
        <v>679.64483540000003</v>
      </c>
      <c r="AP384" s="6">
        <f>[1]Results!AS116</f>
        <v>675.68596690000004</v>
      </c>
      <c r="AQ384" s="6">
        <f>[1]Results!AT116</f>
        <v>671.73186550000003</v>
      </c>
      <c r="AR384" s="6">
        <f>[1]Results!AU116</f>
        <v>667.77581540000006</v>
      </c>
      <c r="AS384" s="6">
        <f>[1]Results!AV116</f>
        <v>663.80728639999995</v>
      </c>
      <c r="AT384" s="6">
        <f>[1]Results!AW116</f>
        <v>659.80811349999999</v>
      </c>
      <c r="AU384" s="6">
        <f>[1]Results!AX116</f>
        <v>655.74229309999998</v>
      </c>
      <c r="AV384" s="6">
        <f>[1]Results!AY116</f>
        <v>651.52179560000002</v>
      </c>
      <c r="AW384" s="6">
        <f>[1]Results!AZ116</f>
        <v>646.84572200000002</v>
      </c>
      <c r="AX384" s="6">
        <f>[1]Results!BA116</f>
        <v>642.55227090000005</v>
      </c>
      <c r="AY384" s="6">
        <f>[1]Results!BB116</f>
        <v>638.55255480000005</v>
      </c>
      <c r="AZ384" s="6">
        <f>[1]Results!BC116</f>
        <v>634.73749620000001</v>
      </c>
      <c r="BA384" s="6">
        <f>[1]Results!BD116</f>
        <v>631.03531269999996</v>
      </c>
      <c r="BB384" s="6">
        <f>[1]Results!BE116</f>
        <v>627.40376630000003</v>
      </c>
      <c r="BC384" s="6">
        <f>[1]Results!BF116</f>
        <v>623.81900140000005</v>
      </c>
      <c r="BD384" s="6">
        <f>[1]Results!BG116</f>
        <v>620.26781389999996</v>
      </c>
      <c r="BE384" s="6">
        <f>[1]Results!BH116</f>
        <v>616.74298569999996</v>
      </c>
      <c r="BF384" s="6">
        <f>[1]Results!BI116</f>
        <v>613.24060959999997</v>
      </c>
    </row>
    <row r="385" spans="1:58" x14ac:dyDescent="0.35">
      <c r="B385" t="s">
        <v>62</v>
      </c>
      <c r="C385" s="6">
        <f>[1]Results!F117</f>
        <v>139.85209269999999</v>
      </c>
      <c r="D385" s="6">
        <f>[1]Results!G117</f>
        <v>137.95542620000001</v>
      </c>
      <c r="E385" s="6">
        <f>[1]Results!H117</f>
        <v>136.0868151</v>
      </c>
      <c r="F385" s="6">
        <f>[1]Results!I117</f>
        <v>134.2500221</v>
      </c>
      <c r="G385" s="6">
        <f>[1]Results!J117</f>
        <v>132.44730100000001</v>
      </c>
      <c r="H385" s="6">
        <f>[1]Results!K117</f>
        <v>130.6786276</v>
      </c>
      <c r="I385" s="6">
        <f>[1]Results!L117</f>
        <v>128.94239920000001</v>
      </c>
      <c r="J385" s="6">
        <f>[1]Results!M117</f>
        <v>127.23581470000001</v>
      </c>
      <c r="K385" s="6">
        <f>[1]Results!N117</f>
        <v>125.55580550000001</v>
      </c>
      <c r="L385" s="6">
        <f>[1]Results!O117</f>
        <v>123.8997037</v>
      </c>
      <c r="M385" s="6">
        <f>[1]Results!P117</f>
        <v>122.26555</v>
      </c>
      <c r="N385" s="6">
        <f>[1]Results!Q117</f>
        <v>120.6520087</v>
      </c>
      <c r="O385" s="6">
        <f>[1]Results!R117</f>
        <v>119.0581193</v>
      </c>
      <c r="P385" s="6">
        <f>[1]Results!S117</f>
        <v>117.4832194</v>
      </c>
      <c r="Q385" s="6">
        <f>[1]Results!T117</f>
        <v>115.9268713</v>
      </c>
      <c r="R385" s="6">
        <f>[1]Results!U117</f>
        <v>114.38879660000001</v>
      </c>
      <c r="S385" s="6">
        <f>[1]Results!V117</f>
        <v>112.8688291</v>
      </c>
      <c r="T385" s="6">
        <f>[1]Results!W117</f>
        <v>111.36688289999999</v>
      </c>
      <c r="U385" s="6">
        <f>[1]Results!X117</f>
        <v>109.88293109999999</v>
      </c>
      <c r="V385" s="6">
        <f>[1]Results!Y117</f>
        <v>108.4169892</v>
      </c>
      <c r="W385" s="6">
        <f>[1]Results!Z117</f>
        <v>106.96906989999999</v>
      </c>
      <c r="X385" s="6">
        <f>[1]Results!AA117</f>
        <v>105.5391838</v>
      </c>
      <c r="Y385" s="6">
        <f>[1]Results!AB117</f>
        <v>104.1273893</v>
      </c>
      <c r="Z385" s="6">
        <f>[1]Results!AC117</f>
        <v>102.73375369999999</v>
      </c>
      <c r="AA385" s="6">
        <f>[1]Results!AD117</f>
        <v>101.35832480000001</v>
      </c>
      <c r="AB385" s="6">
        <f>[1]Results!AE117</f>
        <v>100.0010434</v>
      </c>
      <c r="AC385" s="6">
        <f>[1]Results!AF117</f>
        <v>98.661739850000004</v>
      </c>
      <c r="AD385" s="6">
        <f>[1]Results!AG117</f>
        <v>97.340268539999997</v>
      </c>
      <c r="AE385" s="6">
        <f>[1]Results!AH117</f>
        <v>96.036500680000003</v>
      </c>
      <c r="AF385" s="6">
        <f>[1]Results!AI117</f>
        <v>94.750307160000006</v>
      </c>
      <c r="AG385" s="6">
        <f>[1]Results!AJ117</f>
        <v>93.481543189999996</v>
      </c>
      <c r="AH385" s="6">
        <f>[1]Results!AK117</f>
        <v>92.230042900000001</v>
      </c>
      <c r="AI385" s="6">
        <f>[1]Results!AL117</f>
        <v>90.995615439999995</v>
      </c>
      <c r="AJ385" s="6">
        <f>[1]Results!AM117</f>
        <v>89.778041959999996</v>
      </c>
      <c r="AK385" s="6">
        <f>[1]Results!AN117</f>
        <v>88.577074820000007</v>
      </c>
      <c r="AL385" s="6">
        <f>[1]Results!AO117</f>
        <v>87.392439749999994</v>
      </c>
      <c r="AM385" s="6">
        <f>[1]Results!AP117</f>
        <v>86.223828179999998</v>
      </c>
      <c r="AN385" s="6">
        <f>[1]Results!AQ117</f>
        <v>85.070898</v>
      </c>
      <c r="AO385" s="6">
        <f>[1]Results!AR117</f>
        <v>83.933300650000007</v>
      </c>
      <c r="AP385" s="6">
        <f>[1]Results!AS117</f>
        <v>82.810697239999996</v>
      </c>
      <c r="AQ385" s="6">
        <f>[1]Results!AT117</f>
        <v>81.702766569999994</v>
      </c>
      <c r="AR385" s="6">
        <f>[1]Results!AU117</f>
        <v>80.609208989999999</v>
      </c>
      <c r="AS385" s="6">
        <f>[1]Results!AV117</f>
        <v>79.529748499999997</v>
      </c>
      <c r="AT385" s="6">
        <f>[1]Results!AW117</f>
        <v>78.464131460000004</v>
      </c>
      <c r="AU385" s="6">
        <f>[1]Results!AX117</f>
        <v>77.412121060000004</v>
      </c>
      <c r="AV385" s="6">
        <f>[1]Results!AY117</f>
        <v>76.373492229999997</v>
      </c>
      <c r="AW385" s="6">
        <f>[1]Results!AZ117</f>
        <v>75.348025899999996</v>
      </c>
      <c r="AX385" s="6">
        <f>[1]Results!BA117</f>
        <v>74.335489030000005</v>
      </c>
      <c r="AY385" s="6">
        <f>[1]Results!BB117</f>
        <v>73.335748649999999</v>
      </c>
      <c r="AZ385" s="6">
        <f>[1]Results!BC117</f>
        <v>72.348674239999994</v>
      </c>
      <c r="BA385" s="6">
        <f>[1]Results!BD117</f>
        <v>71.374126540000006</v>
      </c>
      <c r="BB385" s="6">
        <f>[1]Results!BE117</f>
        <v>70.411956290000006</v>
      </c>
      <c r="BC385" s="6">
        <f>[1]Results!BF117</f>
        <v>69.462010179999993</v>
      </c>
      <c r="BD385" s="6">
        <f>[1]Results!BG117</f>
        <v>68.524139599999998</v>
      </c>
      <c r="BE385" s="6">
        <f>[1]Results!BH117</f>
        <v>67.598207329999994</v>
      </c>
      <c r="BF385" s="6">
        <f>[1]Results!BI117</f>
        <v>66.684090429999998</v>
      </c>
    </row>
    <row r="386" spans="1:58" x14ac:dyDescent="0.35">
      <c r="B386" t="s">
        <v>63</v>
      </c>
      <c r="C386" s="6">
        <f>[1]Results!F118</f>
        <v>3.874567114</v>
      </c>
      <c r="D386" s="6">
        <f>[1]Results!G118</f>
        <v>3.7242339819999999</v>
      </c>
      <c r="E386" s="6">
        <f>[1]Results!H118</f>
        <v>3.5803045760000001</v>
      </c>
      <c r="F386" s="6">
        <f>[1]Results!I118</f>
        <v>3.4427972160000002</v>
      </c>
      <c r="G386" s="6">
        <f>[1]Results!J118</f>
        <v>3.3116253869999999</v>
      </c>
      <c r="H386" s="6">
        <f>[1]Results!K118</f>
        <v>3.1865472050000001</v>
      </c>
      <c r="I386" s="6">
        <f>[1]Results!L118</f>
        <v>3.0671962060000002</v>
      </c>
      <c r="J386" s="6">
        <f>[1]Results!M118</f>
        <v>2.9531470999999998</v>
      </c>
      <c r="K386" s="6">
        <f>[1]Results!N118</f>
        <v>2.843983218</v>
      </c>
      <c r="L386" s="6">
        <f>[1]Results!O118</f>
        <v>2.7393390050000002</v>
      </c>
      <c r="M386" s="6">
        <f>[1]Results!P118</f>
        <v>2.6389157519999999</v>
      </c>
      <c r="N386" s="6">
        <f>[1]Results!Q118</f>
        <v>2.5424707340000001</v>
      </c>
      <c r="O386" s="6">
        <f>[1]Results!R118</f>
        <v>2.4497966789999999</v>
      </c>
      <c r="P386" s="6">
        <f>[1]Results!S118</f>
        <v>2.3607140210000002</v>
      </c>
      <c r="Q386" s="6">
        <f>[1]Results!T118</f>
        <v>2.2750643959999999</v>
      </c>
      <c r="R386" s="6">
        <f>[1]Results!U118</f>
        <v>2.1927053079999999</v>
      </c>
      <c r="S386" s="6">
        <f>[1]Results!V118</f>
        <v>2.113506288</v>
      </c>
      <c r="T386" s="6">
        <f>[1]Results!W118</f>
        <v>2.0373462839999998</v>
      </c>
      <c r="U386" s="6">
        <f>[1]Results!X118</f>
        <v>1.9641118689999999</v>
      </c>
      <c r="V386" s="6">
        <f>[1]Results!Y118</f>
        <v>1.893695881</v>
      </c>
      <c r="W386" s="6">
        <f>[1]Results!Z118</f>
        <v>1.8259947059999999</v>
      </c>
      <c r="X386" s="6">
        <f>[1]Results!AA118</f>
        <v>1.7609081680000001</v>
      </c>
      <c r="Y386" s="6">
        <f>[1]Results!AB118</f>
        <v>1.698342016</v>
      </c>
      <c r="Z386" s="6">
        <f>[1]Results!AC118</f>
        <v>1.638205935</v>
      </c>
      <c r="AA386" s="6">
        <f>[1]Results!AD118</f>
        <v>1.5804121010000001</v>
      </c>
      <c r="AB386" s="6">
        <f>[1]Results!AE118</f>
        <v>1.5248709760000001</v>
      </c>
      <c r="AC386" s="6">
        <f>[1]Results!AF118</f>
        <v>1.471491307</v>
      </c>
      <c r="AD386" s="6">
        <f>[1]Results!AG118</f>
        <v>1.420186401</v>
      </c>
      <c r="AE386" s="6">
        <f>[1]Results!AH118</f>
        <v>1.370873939</v>
      </c>
      <c r="AF386" s="6">
        <f>[1]Results!AI118</f>
        <v>1.323475202</v>
      </c>
      <c r="AG386" s="6">
        <f>[1]Results!AJ118</f>
        <v>1.2779144229999999</v>
      </c>
      <c r="AH386" s="6">
        <f>[1]Results!AK118</f>
        <v>1.2341184620000001</v>
      </c>
      <c r="AI386" s="6">
        <f>[1]Results!AL118</f>
        <v>1.192016446</v>
      </c>
      <c r="AJ386" s="6">
        <f>[1]Results!AM118</f>
        <v>1.151539528</v>
      </c>
      <c r="AK386" s="6">
        <f>[1]Results!AN118</f>
        <v>1.1126207749999999</v>
      </c>
      <c r="AL386" s="6">
        <f>[1]Results!AO118</f>
        <v>1.0751951799999999</v>
      </c>
      <c r="AM386" s="6">
        <f>[1]Results!AP118</f>
        <v>1.039199301</v>
      </c>
      <c r="AN386" s="6">
        <f>[1]Results!AQ118</f>
        <v>1.0045712040000001</v>
      </c>
      <c r="AO386" s="6">
        <f>[1]Results!AR118</f>
        <v>0.97125136109999999</v>
      </c>
      <c r="AP386" s="6">
        <f>[1]Results!AS118</f>
        <v>0.93918311970000001</v>
      </c>
      <c r="AQ386" s="6">
        <f>[1]Results!AT118</f>
        <v>0.90831284859999994</v>
      </c>
      <c r="AR386" s="6">
        <f>[1]Results!AU118</f>
        <v>0.87858991149999999</v>
      </c>
      <c r="AS386" s="6">
        <f>[1]Results!AV118</f>
        <v>0.8499665716</v>
      </c>
      <c r="AT386" s="6">
        <f>[1]Results!AW118</f>
        <v>0.82239779700000004</v>
      </c>
      <c r="AU386" s="6">
        <f>[1]Results!AX118</f>
        <v>0.79584096400000004</v>
      </c>
      <c r="AV386" s="6">
        <f>[1]Results!AY118</f>
        <v>0.77025562270000003</v>
      </c>
      <c r="AW386" s="6">
        <f>[1]Results!AZ118</f>
        <v>0.7456033594</v>
      </c>
      <c r="AX386" s="6">
        <f>[1]Results!BA118</f>
        <v>0.72184771569999995</v>
      </c>
      <c r="AY386" s="6">
        <f>[1]Results!BB118</f>
        <v>0.6989540716</v>
      </c>
      <c r="AZ386" s="6">
        <f>[1]Results!BC118</f>
        <v>0.67688945990000005</v>
      </c>
      <c r="BA386" s="6">
        <f>[1]Results!BD118</f>
        <v>0.65562223529999997</v>
      </c>
      <c r="BB386" s="6">
        <f>[1]Results!BE118</f>
        <v>0.63512188110000001</v>
      </c>
      <c r="BC386" s="6">
        <f>[1]Results!BF118</f>
        <v>0.61535903120000002</v>
      </c>
      <c r="BD386" s="6">
        <f>[1]Results!BG118</f>
        <v>0.59630558420000002</v>
      </c>
      <c r="BE386" s="6">
        <f>[1]Results!BH118</f>
        <v>0.57793477650000002</v>
      </c>
      <c r="BF386" s="6">
        <f>[1]Results!BI118</f>
        <v>0.56022116570000002</v>
      </c>
    </row>
    <row r="388" spans="1:58" x14ac:dyDescent="0.35">
      <c r="A388" s="12" t="s">
        <v>92</v>
      </c>
      <c r="B388" s="6" t="str">
        <f>[1]Emissions!A830</f>
        <v>ems_ci_co2_sagr_2</v>
      </c>
      <c r="C388" s="6">
        <f>[1]Emissions!B830</f>
        <v>13.95212008</v>
      </c>
      <c r="D388" s="6">
        <f>[1]Emissions!C830</f>
        <v>13.93185443</v>
      </c>
      <c r="E388" s="6">
        <f>[1]Emissions!D830</f>
        <v>13.96181215</v>
      </c>
      <c r="F388" s="6">
        <f>[1]Emissions!E830</f>
        <v>14.03217291</v>
      </c>
      <c r="G388" s="6">
        <f>[1]Emissions!F830</f>
        <v>14.140440509999999</v>
      </c>
      <c r="H388" s="6">
        <f>[1]Emissions!G830</f>
        <v>14.282865989999999</v>
      </c>
      <c r="I388" s="6">
        <f>[1]Emissions!H830</f>
        <v>14.44650768</v>
      </c>
      <c r="J388" s="6">
        <f>[1]Emissions!I830</f>
        <v>14.629978339999999</v>
      </c>
      <c r="K388" s="6">
        <f>[1]Emissions!J830</f>
        <v>14.83002767</v>
      </c>
      <c r="L388" s="6">
        <f>[1]Emissions!K830</f>
        <v>15.043486290000001</v>
      </c>
      <c r="M388" s="6">
        <f>[1]Emissions!L830</f>
        <v>15.28138195</v>
      </c>
      <c r="N388" s="6">
        <f>[1]Emissions!M830</f>
        <v>15.520719740000001</v>
      </c>
      <c r="O388" s="6">
        <f>[1]Emissions!N830</f>
        <v>15.76408728</v>
      </c>
      <c r="P388" s="6">
        <f>[1]Emissions!O830</f>
        <v>16.011075949999999</v>
      </c>
      <c r="Q388" s="6">
        <f>[1]Emissions!P830</f>
        <v>16.260923080000001</v>
      </c>
      <c r="R388" s="6">
        <f>[1]Emissions!Q830</f>
        <v>16.513034189999999</v>
      </c>
      <c r="S388" s="6">
        <f>[1]Emissions!R830</f>
        <v>16.765754529999999</v>
      </c>
      <c r="T388" s="6">
        <f>[1]Emissions!S830</f>
        <v>17.019692240000001</v>
      </c>
      <c r="U388" s="6">
        <f>[1]Emissions!T830</f>
        <v>17.27493059</v>
      </c>
      <c r="V388" s="6">
        <f>[1]Emissions!U830</f>
        <v>17.531536559999999</v>
      </c>
      <c r="W388" s="6">
        <f>[1]Emissions!V830</f>
        <v>17.77950564</v>
      </c>
      <c r="X388" s="6">
        <f>[1]Emissions!W830</f>
        <v>18.033361840000001</v>
      </c>
      <c r="Y388" s="6">
        <f>[1]Emissions!X830</f>
        <v>18.290725980000001</v>
      </c>
      <c r="Z388" s="6">
        <f>[1]Emissions!Y830</f>
        <v>18.551204940000002</v>
      </c>
      <c r="AA388" s="6">
        <f>[1]Emissions!Z830</f>
        <v>18.814814899999998</v>
      </c>
      <c r="AB388" s="6">
        <f>[1]Emissions!AA830</f>
        <v>19.052597909999999</v>
      </c>
      <c r="AC388" s="6">
        <f>[1]Emissions!AB830</f>
        <v>19.29250201</v>
      </c>
      <c r="AD388" s="6">
        <f>[1]Emissions!AC830</f>
        <v>19.532597389999999</v>
      </c>
      <c r="AE388" s="6">
        <f>[1]Emissions!AD830</f>
        <v>19.773451250000001</v>
      </c>
      <c r="AF388" s="6">
        <f>[1]Emissions!AE830</f>
        <v>20.016039599999999</v>
      </c>
      <c r="AG388" s="6">
        <f>[1]Emissions!AF830</f>
        <v>20.261240650000001</v>
      </c>
      <c r="AH388" s="6">
        <f>[1]Emissions!AG830</f>
        <v>20.510014850000001</v>
      </c>
      <c r="AI388" s="6">
        <f>[1]Emissions!AH830</f>
        <v>20.762669979999998</v>
      </c>
      <c r="AJ388" s="6">
        <f>[1]Emissions!AI830</f>
        <v>21.0194999</v>
      </c>
      <c r="AK388" s="6">
        <f>[1]Emissions!AJ830</f>
        <v>21.280701000000001</v>
      </c>
      <c r="AL388" s="6">
        <f>[1]Emissions!AK830</f>
        <v>21.546386949999999</v>
      </c>
      <c r="AM388" s="6">
        <f>[1]Emissions!AL830</f>
        <v>21.812154570000001</v>
      </c>
      <c r="AN388" s="6">
        <f>[1]Emissions!AM830</f>
        <v>22.079227509999999</v>
      </c>
      <c r="AO388" s="6">
        <f>[1]Emissions!AN830</f>
        <v>22.34841724</v>
      </c>
      <c r="AP388" s="6">
        <f>[1]Emissions!AO830</f>
        <v>22.62033065</v>
      </c>
      <c r="AQ388" s="6">
        <f>[1]Emissions!AP830</f>
        <v>22.895461770000001</v>
      </c>
      <c r="AR388" s="6">
        <f>[1]Emissions!AQ830</f>
        <v>23.17460161</v>
      </c>
      <c r="AS388" s="6">
        <f>[1]Emissions!AR830</f>
        <v>23.45780744</v>
      </c>
      <c r="AT388" s="6">
        <f>[1]Emissions!AS830</f>
        <v>23.745249529999999</v>
      </c>
      <c r="AU388" s="6">
        <f>[1]Emissions!AT830</f>
        <v>24.03705287</v>
      </c>
      <c r="AV388" s="6">
        <f>[1]Emissions!AU830</f>
        <v>24.333285450000002</v>
      </c>
      <c r="AW388" s="6">
        <f>[1]Emissions!AV830</f>
        <v>24.63590374</v>
      </c>
      <c r="AX388" s="6">
        <f>[1]Emissions!AW830</f>
        <v>24.943799290000001</v>
      </c>
      <c r="AY388" s="6">
        <f>[1]Emissions!AX830</f>
        <v>25.256676339999999</v>
      </c>
      <c r="AZ388" s="6">
        <f>[1]Emissions!AY830</f>
        <v>25.574377779999999</v>
      </c>
      <c r="BA388" s="6">
        <f>[1]Emissions!AZ830</f>
        <v>25.896778090000002</v>
      </c>
      <c r="BB388" s="6">
        <f>[1]Emissions!BA830</f>
        <v>26.224598629999999</v>
      </c>
      <c r="BC388" s="6">
        <f>[1]Emissions!BB830</f>
        <v>26.557241659999999</v>
      </c>
      <c r="BD388" s="6">
        <f>[1]Emissions!BC830</f>
        <v>26.894561660000001</v>
      </c>
      <c r="BE388" s="6">
        <f>[1]Emissions!BD830</f>
        <v>27.236503039999999</v>
      </c>
      <c r="BF388" s="6">
        <f>[1]Emissions!BE830</f>
        <v>27.583039490000001</v>
      </c>
    </row>
    <row r="389" spans="1:58" x14ac:dyDescent="0.35">
      <c r="A389" t="s">
        <v>39</v>
      </c>
      <c r="B389" s="6" t="str">
        <f>[1]Emissions!A832</f>
        <v>ems_ci_co2_sfor_2</v>
      </c>
      <c r="C389" s="6">
        <f>[1]Emissions!B832</f>
        <v>0.5389522162</v>
      </c>
      <c r="D389" s="6">
        <f>[1]Emissions!C832</f>
        <v>0.53601699879999998</v>
      </c>
      <c r="E389" s="6">
        <f>[1]Emissions!D832</f>
        <v>0.53197760650000003</v>
      </c>
      <c r="F389" s="6">
        <f>[1]Emissions!E832</f>
        <v>0.528152497</v>
      </c>
      <c r="G389" s="6">
        <f>[1]Emissions!F832</f>
        <v>0.52502021340000005</v>
      </c>
      <c r="H389" s="6">
        <f>[1]Emissions!G832</f>
        <v>0.52262635820000003</v>
      </c>
      <c r="I389" s="6">
        <f>[1]Emissions!H832</f>
        <v>0.52060203530000004</v>
      </c>
      <c r="J389" s="6">
        <f>[1]Emissions!I832</f>
        <v>0.51897424380000001</v>
      </c>
      <c r="K389" s="6">
        <f>[1]Emissions!J832</f>
        <v>0.51782631069999996</v>
      </c>
      <c r="L389" s="6">
        <f>[1]Emissions!K832</f>
        <v>0.517172666</v>
      </c>
      <c r="M389" s="6">
        <f>[1]Emissions!L832</f>
        <v>0.51730767339999995</v>
      </c>
      <c r="N389" s="6">
        <f>[1]Emissions!M832</f>
        <v>0.51759858889999999</v>
      </c>
      <c r="O389" s="6">
        <f>[1]Emissions!N832</f>
        <v>0.51807043320000001</v>
      </c>
      <c r="P389" s="6">
        <f>[1]Emissions!O832</f>
        <v>0.51869934250000005</v>
      </c>
      <c r="Q389" s="6">
        <f>[1]Emissions!P832</f>
        <v>0.51944734530000003</v>
      </c>
      <c r="R389" s="6">
        <f>[1]Emissions!Q832</f>
        <v>0.5202784868</v>
      </c>
      <c r="S389" s="6">
        <f>[1]Emissions!R832</f>
        <v>0.52114548549999995</v>
      </c>
      <c r="T389" s="6">
        <f>[1]Emissions!S832</f>
        <v>0.52203730299999995</v>
      </c>
      <c r="U389" s="6">
        <f>[1]Emissions!T832</f>
        <v>0.52293855460000005</v>
      </c>
      <c r="V389" s="6">
        <f>[1]Emissions!U832</f>
        <v>0.52383816080000001</v>
      </c>
      <c r="W389" s="6">
        <f>[1]Emissions!V832</f>
        <v>0.52448881749999998</v>
      </c>
      <c r="X389" s="6">
        <f>[1]Emissions!W832</f>
        <v>0.52525401019999995</v>
      </c>
      <c r="Y389" s="6">
        <f>[1]Emissions!X832</f>
        <v>0.52606221949999998</v>
      </c>
      <c r="Z389" s="6">
        <f>[1]Emissions!Y832</f>
        <v>0.52688075570000004</v>
      </c>
      <c r="AA389" s="6">
        <f>[1]Emissions!Z832</f>
        <v>0.52769889810000004</v>
      </c>
      <c r="AB389" s="6">
        <f>[1]Emissions!AA832</f>
        <v>0.52784745249999998</v>
      </c>
      <c r="AC389" s="6">
        <f>[1]Emissions!AB832</f>
        <v>0.52804537979999999</v>
      </c>
      <c r="AD389" s="6">
        <f>[1]Emissions!AC832</f>
        <v>0.52825970960000002</v>
      </c>
      <c r="AE389" s="6">
        <f>[1]Emissions!AD832</f>
        <v>0.52847559</v>
      </c>
      <c r="AF389" s="6">
        <f>[1]Emissions!AE832</f>
        <v>0.52869083299999997</v>
      </c>
      <c r="AG389" s="6">
        <f>[1]Emissions!AF832</f>
        <v>0.5289102081</v>
      </c>
      <c r="AH389" s="6">
        <f>[1]Emissions!AG832</f>
        <v>0.52914681009999998</v>
      </c>
      <c r="AI389" s="6">
        <f>[1]Emissions!AH832</f>
        <v>0.52940983720000001</v>
      </c>
      <c r="AJ389" s="6">
        <f>[1]Emissions!AI832</f>
        <v>0.52971211949999997</v>
      </c>
      <c r="AK389" s="6">
        <f>[1]Emissions!AJ832</f>
        <v>0.53006631329999998</v>
      </c>
      <c r="AL389" s="6">
        <f>[1]Emissions!AK832</f>
        <v>0.53048308219999996</v>
      </c>
      <c r="AM389" s="6">
        <f>[1]Emissions!AL832</f>
        <v>0.53085338579999997</v>
      </c>
      <c r="AN389" s="6">
        <f>[1]Emissions!AM832</f>
        <v>0.5312340405</v>
      </c>
      <c r="AO389" s="6">
        <f>[1]Emissions!AN832</f>
        <v>0.53165519900000002</v>
      </c>
      <c r="AP389" s="6">
        <f>[1]Emissions!AO832</f>
        <v>0.53212688990000001</v>
      </c>
      <c r="AQ389" s="6">
        <f>[1]Emissions!AP832</f>
        <v>0.53264876920000004</v>
      </c>
      <c r="AR389" s="6">
        <f>[1]Emissions!AQ832</f>
        <v>0.53322076220000003</v>
      </c>
      <c r="AS389" s="6">
        <f>[1]Emissions!AR832</f>
        <v>0.53383134080000005</v>
      </c>
      <c r="AT389" s="6">
        <f>[1]Emissions!AS832</f>
        <v>0.53447154779999995</v>
      </c>
      <c r="AU389" s="6">
        <f>[1]Emissions!AT832</f>
        <v>0.535132461</v>
      </c>
      <c r="AV389" s="6">
        <f>[1]Emissions!AU832</f>
        <v>0.53580643169999997</v>
      </c>
      <c r="AW389" s="6">
        <f>[1]Emissions!AV832</f>
        <v>0.53654458599999999</v>
      </c>
      <c r="AX389" s="6">
        <f>[1]Emissions!AW832</f>
        <v>0.53736720979999997</v>
      </c>
      <c r="AY389" s="6">
        <f>[1]Emissions!AX832</f>
        <v>0.53830807719999996</v>
      </c>
      <c r="AZ389" s="6">
        <f>[1]Emissions!AY832</f>
        <v>0.53938981900000005</v>
      </c>
      <c r="BA389" s="6">
        <f>[1]Emissions!AZ832</f>
        <v>0.54062017949999996</v>
      </c>
      <c r="BB389" s="6">
        <f>[1]Emissions!BA832</f>
        <v>0.54200645739999997</v>
      </c>
      <c r="BC389" s="6">
        <f>[1]Emissions!BB832</f>
        <v>0.5435303682</v>
      </c>
      <c r="BD389" s="6">
        <f>[1]Emissions!BC832</f>
        <v>0.54517817869999996</v>
      </c>
      <c r="BE389" s="6">
        <f>[1]Emissions!BD832</f>
        <v>0.54693674459999997</v>
      </c>
      <c r="BF389" s="6">
        <f>[1]Emissions!BE832</f>
        <v>0.54879387980000005</v>
      </c>
    </row>
    <row r="390" spans="1:58" x14ac:dyDescent="0.35">
      <c r="B390" s="6" t="str">
        <f>[1]Emissions!A834</f>
        <v>ems_ci_co2_sfoo_2</v>
      </c>
      <c r="C390" s="6">
        <f>[1]Emissions!B834</f>
        <v>8.5999008060000008</v>
      </c>
      <c r="D390" s="6">
        <f>[1]Emissions!C834</f>
        <v>8.5951947250000007</v>
      </c>
      <c r="E390" s="6">
        <f>[1]Emissions!D834</f>
        <v>8.6120463009999995</v>
      </c>
      <c r="F390" s="6">
        <f>[1]Emissions!E834</f>
        <v>8.6513294490000003</v>
      </c>
      <c r="G390" s="6">
        <f>[1]Emissions!F834</f>
        <v>8.7147131410000007</v>
      </c>
      <c r="H390" s="6">
        <f>[1]Emissions!G834</f>
        <v>8.8011979109999992</v>
      </c>
      <c r="I390" s="6">
        <f>[1]Emissions!H834</f>
        <v>8.9032612669999995</v>
      </c>
      <c r="J390" s="6">
        <f>[1]Emissions!I834</f>
        <v>9.0196328730000008</v>
      </c>
      <c r="K390" s="6">
        <f>[1]Emissions!J834</f>
        <v>9.1479342310000007</v>
      </c>
      <c r="L390" s="6">
        <f>[1]Emissions!K834</f>
        <v>9.2858859089999992</v>
      </c>
      <c r="M390" s="6">
        <f>[1]Emissions!L834</f>
        <v>9.4399103540000002</v>
      </c>
      <c r="N390" s="6">
        <f>[1]Emissions!M834</f>
        <v>9.5963207120000007</v>
      </c>
      <c r="O390" s="6">
        <f>[1]Emissions!N834</f>
        <v>9.7559866149999994</v>
      </c>
      <c r="P390" s="6">
        <f>[1]Emissions!O834</f>
        <v>9.9182835810000007</v>
      </c>
      <c r="Q390" s="6">
        <f>[1]Emissions!P834</f>
        <v>10.082512789999999</v>
      </c>
      <c r="R390" s="6">
        <f>[1]Emissions!Q834</f>
        <v>10.248141499999999</v>
      </c>
      <c r="S390" s="6">
        <f>[1]Emissions!R834</f>
        <v>10.4141549</v>
      </c>
      <c r="T390" s="6">
        <f>[1]Emissions!S834</f>
        <v>10.580673600000001</v>
      </c>
      <c r="U390" s="6">
        <f>[1]Emissions!T834</f>
        <v>10.747622740000001</v>
      </c>
      <c r="V390" s="6">
        <f>[1]Emissions!U834</f>
        <v>10.914974040000001</v>
      </c>
      <c r="W390" s="6">
        <f>[1]Emissions!V834</f>
        <v>11.07654593</v>
      </c>
      <c r="X390" s="6">
        <f>[1]Emissions!W834</f>
        <v>11.240901089999999</v>
      </c>
      <c r="Y390" s="6">
        <f>[1]Emissions!X834</f>
        <v>11.4068337</v>
      </c>
      <c r="Z390" s="6">
        <f>[1]Emissions!Y834</f>
        <v>11.57421362</v>
      </c>
      <c r="AA390" s="6">
        <f>[1]Emissions!Z834</f>
        <v>11.743106170000001</v>
      </c>
      <c r="AB390" s="6">
        <f>[1]Emissions!AA834</f>
        <v>11.89572628</v>
      </c>
      <c r="AC390" s="6">
        <f>[1]Emissions!AB834</f>
        <v>12.0482978</v>
      </c>
      <c r="AD390" s="6">
        <f>[1]Emissions!AC834</f>
        <v>12.20000606</v>
      </c>
      <c r="AE390" s="6">
        <f>[1]Emissions!AD834</f>
        <v>12.351428589999999</v>
      </c>
      <c r="AF390" s="6">
        <f>[1]Emissions!AE834</f>
        <v>12.50333026</v>
      </c>
      <c r="AG390" s="6">
        <f>[1]Emissions!AF834</f>
        <v>12.656384660000001</v>
      </c>
      <c r="AH390" s="6">
        <f>[1]Emissions!AG834</f>
        <v>12.81126315</v>
      </c>
      <c r="AI390" s="6">
        <f>[1]Emissions!AH834</f>
        <v>12.968287070000001</v>
      </c>
      <c r="AJ390" s="6">
        <f>[1]Emissions!AI834</f>
        <v>13.1277347</v>
      </c>
      <c r="AK390" s="6">
        <f>[1]Emissions!AJ834</f>
        <v>13.289804</v>
      </c>
      <c r="AL390" s="6">
        <f>[1]Emissions!AK834</f>
        <v>13.45462663</v>
      </c>
      <c r="AM390" s="6">
        <f>[1]Emissions!AL834</f>
        <v>13.619227710000001</v>
      </c>
      <c r="AN390" s="6">
        <f>[1]Emissions!AM834</f>
        <v>13.784463239999999</v>
      </c>
      <c r="AO390" s="6">
        <f>[1]Emissions!AN834</f>
        <v>13.950903930000001</v>
      </c>
      <c r="AP390" s="6">
        <f>[1]Emissions!AO834</f>
        <v>14.11898236</v>
      </c>
      <c r="AQ390" s="6">
        <f>[1]Emissions!AP834</f>
        <v>14.289050270000001</v>
      </c>
      <c r="AR390" s="6">
        <f>[1]Emissions!AQ834</f>
        <v>14.46157796</v>
      </c>
      <c r="AS390" s="6">
        <f>[1]Emissions!AR834</f>
        <v>14.636671379999999</v>
      </c>
      <c r="AT390" s="6">
        <f>[1]Emissions!AS834</f>
        <v>14.81447073</v>
      </c>
      <c r="AU390" s="6">
        <f>[1]Emissions!AT834</f>
        <v>14.995072909999999</v>
      </c>
      <c r="AV390" s="6">
        <f>[1]Emissions!AU834</f>
        <v>15.178531359999999</v>
      </c>
      <c r="AW390" s="6">
        <f>[1]Emissions!AV834</f>
        <v>15.365870940000001</v>
      </c>
      <c r="AX390" s="6">
        <f>[1]Emissions!AW834</f>
        <v>15.556579259999999</v>
      </c>
      <c r="AY390" s="6">
        <f>[1]Emissions!AX834</f>
        <v>15.75053181</v>
      </c>
      <c r="AZ390" s="6">
        <f>[1]Emissions!AY834</f>
        <v>15.94764475</v>
      </c>
      <c r="BA390" s="6">
        <f>[1]Emissions!AZ834</f>
        <v>16.147833930000001</v>
      </c>
      <c r="BB390" s="6">
        <f>[1]Emissions!BA834</f>
        <v>16.351408500000002</v>
      </c>
      <c r="BC390" s="6">
        <f>[1]Emissions!BB834</f>
        <v>16.558076369999998</v>
      </c>
      <c r="BD390" s="6">
        <f>[1]Emissions!BC834</f>
        <v>16.767766989999998</v>
      </c>
      <c r="BE390" s="6">
        <f>[1]Emissions!BD834</f>
        <v>16.980444219999999</v>
      </c>
      <c r="BF390" s="6">
        <f>[1]Emissions!BE834</f>
        <v>17.196081580000001</v>
      </c>
    </row>
    <row r="391" spans="1:58" x14ac:dyDescent="0.35">
      <c r="B391" s="6" t="str">
        <f>[1]Emissions!A836</f>
        <v>ems_ci_co2_sveh_2</v>
      </c>
      <c r="C391" s="6">
        <f>[1]Emissions!B836</f>
        <v>1.0722773539999999</v>
      </c>
      <c r="D391" s="6">
        <f>[1]Emissions!C836</f>
        <v>1.0617087789999999</v>
      </c>
      <c r="E391" s="6">
        <f>[1]Emissions!D836</f>
        <v>1.05763856</v>
      </c>
      <c r="F391" s="6">
        <f>[1]Emissions!E836</f>
        <v>1.0585994400000001</v>
      </c>
      <c r="G391" s="6">
        <f>[1]Emissions!F836</f>
        <v>1.066010014</v>
      </c>
      <c r="H391" s="6">
        <f>[1]Emissions!G836</f>
        <v>1.080217736</v>
      </c>
      <c r="I391" s="6">
        <f>[1]Emissions!H836</f>
        <v>1.0995203609999999</v>
      </c>
      <c r="J391" s="6">
        <f>[1]Emissions!I836</f>
        <v>1.1234407900000001</v>
      </c>
      <c r="K391" s="6">
        <f>[1]Emissions!J836</f>
        <v>1.1508685679999999</v>
      </c>
      <c r="L391" s="6">
        <f>[1]Emissions!K836</f>
        <v>1.1807257280000001</v>
      </c>
      <c r="M391" s="6">
        <f>[1]Emissions!L836</f>
        <v>1.2138944819999999</v>
      </c>
      <c r="N391" s="6">
        <f>[1]Emissions!M836</f>
        <v>1.2464164179999999</v>
      </c>
      <c r="O391" s="6">
        <f>[1]Emissions!N836</f>
        <v>1.2786794029999999</v>
      </c>
      <c r="P391" s="6">
        <f>[1]Emissions!O836</f>
        <v>1.3102257799999999</v>
      </c>
      <c r="Q391" s="6">
        <f>[1]Emissions!P836</f>
        <v>1.34060815</v>
      </c>
      <c r="R391" s="6">
        <f>[1]Emissions!Q836</f>
        <v>1.3694883</v>
      </c>
      <c r="S391" s="6">
        <f>[1]Emissions!R836</f>
        <v>1.3963875429999999</v>
      </c>
      <c r="T391" s="6">
        <f>[1]Emissions!S836</f>
        <v>1.4213478230000001</v>
      </c>
      <c r="U391" s="6">
        <f>[1]Emissions!T836</f>
        <v>1.4443466869999999</v>
      </c>
      <c r="V391" s="6">
        <f>[1]Emissions!U836</f>
        <v>1.465435338</v>
      </c>
      <c r="W391" s="6">
        <f>[1]Emissions!V836</f>
        <v>1.483317647</v>
      </c>
      <c r="X391" s="6">
        <f>[1]Emissions!W836</f>
        <v>1.5005030720000001</v>
      </c>
      <c r="Y391" s="6">
        <f>[1]Emissions!X836</f>
        <v>1.516472708</v>
      </c>
      <c r="Z391" s="6">
        <f>[1]Emissions!Y836</f>
        <v>1.531388594</v>
      </c>
      <c r="AA391" s="6">
        <f>[1]Emissions!Z836</f>
        <v>1.545491108</v>
      </c>
      <c r="AB391" s="6">
        <f>[1]Emissions!AA836</f>
        <v>1.555009745</v>
      </c>
      <c r="AC391" s="6">
        <f>[1]Emissions!AB836</f>
        <v>1.5649550489999999</v>
      </c>
      <c r="AD391" s="6">
        <f>[1]Emissions!AC836</f>
        <v>1.574560043</v>
      </c>
      <c r="AE391" s="6">
        <f>[1]Emissions!AD836</f>
        <v>1.584014627</v>
      </c>
      <c r="AF391" s="6">
        <f>[1]Emissions!AE836</f>
        <v>1.5935932049999999</v>
      </c>
      <c r="AG391" s="6">
        <f>[1]Emissions!AF836</f>
        <v>1.603536139</v>
      </c>
      <c r="AH391" s="6">
        <f>[1]Emissions!AG836</f>
        <v>1.614088223</v>
      </c>
      <c r="AI391" s="6">
        <f>[1]Emissions!AH836</f>
        <v>1.6253678490000001</v>
      </c>
      <c r="AJ391" s="6">
        <f>[1]Emissions!AI836</f>
        <v>1.6374940170000001</v>
      </c>
      <c r="AK391" s="6">
        <f>[1]Emissions!AJ836</f>
        <v>1.6505520659999999</v>
      </c>
      <c r="AL391" s="6">
        <f>[1]Emissions!AK836</f>
        <v>1.6645922310000001</v>
      </c>
      <c r="AM391" s="6">
        <f>[1]Emissions!AL836</f>
        <v>1.6791275960000001</v>
      </c>
      <c r="AN391" s="6">
        <f>[1]Emissions!AM836</f>
        <v>1.6944024959999999</v>
      </c>
      <c r="AO391" s="6">
        <f>[1]Emissions!AN836</f>
        <v>1.7105052059999999</v>
      </c>
      <c r="AP391" s="6">
        <f>[1]Emissions!AO836</f>
        <v>1.7274697489999999</v>
      </c>
      <c r="AQ391" s="6">
        <f>[1]Emissions!AP836</f>
        <v>1.7452896529999999</v>
      </c>
      <c r="AR391" s="6">
        <f>[1]Emissions!AQ836</f>
        <v>1.763991383</v>
      </c>
      <c r="AS391" s="6">
        <f>[1]Emissions!AR836</f>
        <v>1.7834768270000001</v>
      </c>
      <c r="AT391" s="6">
        <f>[1]Emissions!AS836</f>
        <v>1.803697163</v>
      </c>
      <c r="AU391" s="6">
        <f>[1]Emissions!AT836</f>
        <v>1.8246054810000001</v>
      </c>
      <c r="AV391" s="6">
        <f>[1]Emissions!AU836</f>
        <v>1.8461521780000001</v>
      </c>
      <c r="AW391" s="6">
        <f>[1]Emissions!AV836</f>
        <v>1.8685614079999999</v>
      </c>
      <c r="AX391" s="6">
        <f>[1]Emissions!AW836</f>
        <v>1.8915639580000001</v>
      </c>
      <c r="AY391" s="6">
        <f>[1]Emissions!AX836</f>
        <v>1.915116877</v>
      </c>
      <c r="AZ391" s="6">
        <f>[1]Emissions!AY836</f>
        <v>1.9391858209999999</v>
      </c>
      <c r="BA391" s="6">
        <f>[1]Emissions!AZ836</f>
        <v>1.9637201070000001</v>
      </c>
      <c r="BB391" s="6">
        <f>[1]Emissions!BA836</f>
        <v>1.9887770650000001</v>
      </c>
      <c r="BC391" s="6">
        <f>[1]Emissions!BB836</f>
        <v>2.0141948730000001</v>
      </c>
      <c r="BD391" s="6">
        <f>[1]Emissions!BC836</f>
        <v>2.039937611</v>
      </c>
      <c r="BE391" s="6">
        <f>[1]Emissions!BD836</f>
        <v>2.0659807090000002</v>
      </c>
      <c r="BF391" s="6">
        <f>[1]Emissions!BE836</f>
        <v>2.0922958029999998</v>
      </c>
    </row>
    <row r="392" spans="1:58" x14ac:dyDescent="0.35">
      <c r="B392" s="6" t="str">
        <f>[1]Emissions!A838</f>
        <v>ems_ci_co2_sgla_2</v>
      </c>
      <c r="C392" s="6">
        <f>[1]Emissions!B838</f>
        <v>7.6848881330000003</v>
      </c>
      <c r="D392" s="6">
        <f>[1]Emissions!C838</f>
        <v>7.7137413209999997</v>
      </c>
      <c r="E392" s="6">
        <f>[1]Emissions!D838</f>
        <v>7.7708443379999999</v>
      </c>
      <c r="F392" s="6">
        <f>[1]Emissions!E838</f>
        <v>7.8445291470000003</v>
      </c>
      <c r="G392" s="6">
        <f>[1]Emissions!F838</f>
        <v>7.9313876280000004</v>
      </c>
      <c r="H392" s="6">
        <f>[1]Emissions!G838</f>
        <v>8.0293517199999993</v>
      </c>
      <c r="I392" s="6">
        <f>[1]Emissions!H838</f>
        <v>8.1326850519999994</v>
      </c>
      <c r="J392" s="6">
        <f>[1]Emissions!I838</f>
        <v>8.2416691150000005</v>
      </c>
      <c r="K392" s="6">
        <f>[1]Emissions!J838</f>
        <v>8.3557414889999997</v>
      </c>
      <c r="L392" s="6">
        <f>[1]Emissions!K838</f>
        <v>8.4742553859999994</v>
      </c>
      <c r="M392" s="6">
        <f>[1]Emissions!L838</f>
        <v>8.6033774469999997</v>
      </c>
      <c r="N392" s="6">
        <f>[1]Emissions!M838</f>
        <v>8.7323678949999994</v>
      </c>
      <c r="O392" s="6">
        <f>[1]Emissions!N838</f>
        <v>8.8630028500000009</v>
      </c>
      <c r="P392" s="6">
        <f>[1]Emissions!O838</f>
        <v>8.9955381289999998</v>
      </c>
      <c r="Q392" s="6">
        <f>[1]Emissions!P838</f>
        <v>9.1299603640000004</v>
      </c>
      <c r="R392" s="6">
        <f>[1]Emissions!Q838</f>
        <v>9.2662477449999994</v>
      </c>
      <c r="S392" s="6">
        <f>[1]Emissions!R838</f>
        <v>9.4037791110000004</v>
      </c>
      <c r="T392" s="6">
        <f>[1]Emissions!S838</f>
        <v>9.5430251810000009</v>
      </c>
      <c r="U392" s="6">
        <f>[1]Emissions!T838</f>
        <v>9.6841790400000001</v>
      </c>
      <c r="V392" s="6">
        <f>[1]Emissions!U838</f>
        <v>9.8273950170000006</v>
      </c>
      <c r="W392" s="6">
        <f>[1]Emissions!V838</f>
        <v>9.9678587180000005</v>
      </c>
      <c r="X392" s="6">
        <f>[1]Emissions!W838</f>
        <v>10.112764370000001</v>
      </c>
      <c r="Y392" s="6">
        <f>[1]Emissions!X838</f>
        <v>10.26095349</v>
      </c>
      <c r="Z392" s="6">
        <f>[1]Emissions!Y838</f>
        <v>10.412211490000001</v>
      </c>
      <c r="AA392" s="6">
        <f>[1]Emissions!Z838</f>
        <v>10.566527990000001</v>
      </c>
      <c r="AB392" s="6">
        <f>[1]Emissions!AA838</f>
        <v>10.709686639999999</v>
      </c>
      <c r="AC392" s="6">
        <f>[1]Emissions!AB838</f>
        <v>10.855375220000001</v>
      </c>
      <c r="AD392" s="6">
        <f>[1]Emissions!AC838</f>
        <v>11.00250771</v>
      </c>
      <c r="AE392" s="6">
        <f>[1]Emissions!AD838</f>
        <v>11.151129859999999</v>
      </c>
      <c r="AF392" s="6">
        <f>[1]Emissions!AE838</f>
        <v>11.30147884</v>
      </c>
      <c r="AG392" s="6">
        <f>[1]Emissions!AF838</f>
        <v>11.45378182</v>
      </c>
      <c r="AH392" s="6">
        <f>[1]Emissions!AG838</f>
        <v>11.60835531</v>
      </c>
      <c r="AI392" s="6">
        <f>[1]Emissions!AH838</f>
        <v>11.76522557</v>
      </c>
      <c r="AJ392" s="6">
        <f>[1]Emissions!AI838</f>
        <v>11.924431569999999</v>
      </c>
      <c r="AK392" s="6">
        <f>[1]Emissions!AJ838</f>
        <v>12.085978949999999</v>
      </c>
      <c r="AL392" s="6">
        <f>[1]Emissions!AK838</f>
        <v>12.24984214</v>
      </c>
      <c r="AM392" s="6">
        <f>[1]Emissions!AL838</f>
        <v>12.413814690000001</v>
      </c>
      <c r="AN392" s="6">
        <f>[1]Emissions!AM838</f>
        <v>12.57841655</v>
      </c>
      <c r="AO392" s="6">
        <f>[1]Emissions!AN838</f>
        <v>12.743919480000001</v>
      </c>
      <c r="AP392" s="6">
        <f>[1]Emissions!AO838</f>
        <v>12.91047957</v>
      </c>
      <c r="AQ392" s="6">
        <f>[1]Emissions!AP838</f>
        <v>13.078202640000001</v>
      </c>
      <c r="AR392" s="6">
        <f>[1]Emissions!AQ838</f>
        <v>13.24736979</v>
      </c>
      <c r="AS392" s="6">
        <f>[1]Emissions!AR838</f>
        <v>13.417923549999999</v>
      </c>
      <c r="AT392" s="6">
        <f>[1]Emissions!AS838</f>
        <v>13.589883479999999</v>
      </c>
      <c r="AU392" s="6">
        <f>[1]Emissions!AT838</f>
        <v>13.76326993</v>
      </c>
      <c r="AV392" s="6">
        <f>[1]Emissions!AU838</f>
        <v>13.93809416</v>
      </c>
      <c r="AW392" s="6">
        <f>[1]Emissions!AV838</f>
        <v>14.115345570000001</v>
      </c>
      <c r="AX392" s="6">
        <f>[1]Emissions!AW838</f>
        <v>14.294498129999999</v>
      </c>
      <c r="AY392" s="6">
        <f>[1]Emissions!AX838</f>
        <v>14.47541174</v>
      </c>
      <c r="AZ392" s="6">
        <f>[1]Emissions!AY838</f>
        <v>14.658020130000001</v>
      </c>
      <c r="BA392" s="6">
        <f>[1]Emissions!AZ838</f>
        <v>14.842281760000001</v>
      </c>
      <c r="BB392" s="6">
        <f>[1]Emissions!BA838</f>
        <v>15.028599699999999</v>
      </c>
      <c r="BC392" s="6">
        <f>[1]Emissions!BB838</f>
        <v>15.216721290000001</v>
      </c>
      <c r="BD392" s="6">
        <f>[1]Emissions!BC838</f>
        <v>15.406605649999999</v>
      </c>
      <c r="BE392" s="6">
        <f>[1]Emissions!BD838</f>
        <v>15.598257930000001</v>
      </c>
      <c r="BF392" s="6">
        <f>[1]Emissions!BE838</f>
        <v>15.791702709999999</v>
      </c>
    </row>
    <row r="393" spans="1:58" x14ac:dyDescent="0.35">
      <c r="B393" s="6" t="str">
        <f>[1]Emissions!A840</f>
        <v>ems_ci_co2_spap_2</v>
      </c>
      <c r="C393" s="6">
        <f>[1]Emissions!B840</f>
        <v>2.4867780640000001</v>
      </c>
      <c r="D393" s="6">
        <f>[1]Emissions!C840</f>
        <v>2.492706439</v>
      </c>
      <c r="E393" s="6">
        <f>[1]Emissions!D840</f>
        <v>2.5110534869999999</v>
      </c>
      <c r="F393" s="6">
        <f>[1]Emissions!E840</f>
        <v>2.5351422559999999</v>
      </c>
      <c r="G393" s="6">
        <f>[1]Emissions!F840</f>
        <v>2.563543315</v>
      </c>
      <c r="H393" s="6">
        <f>[1]Emissions!G840</f>
        <v>2.5955931049999998</v>
      </c>
      <c r="I393" s="6">
        <f>[1]Emissions!H840</f>
        <v>2.6290085749999998</v>
      </c>
      <c r="J393" s="6">
        <f>[1]Emissions!I840</f>
        <v>2.6643313119999998</v>
      </c>
      <c r="K393" s="6">
        <f>[1]Emissions!J840</f>
        <v>2.7013584719999999</v>
      </c>
      <c r="L393" s="6">
        <f>[1]Emissions!K840</f>
        <v>2.7397822220000001</v>
      </c>
      <c r="M393" s="6">
        <f>[1]Emissions!L840</f>
        <v>2.782190849</v>
      </c>
      <c r="N393" s="6">
        <f>[1]Emissions!M840</f>
        <v>2.8234069100000001</v>
      </c>
      <c r="O393" s="6">
        <f>[1]Emissions!N840</f>
        <v>2.8647771999999998</v>
      </c>
      <c r="P393" s="6">
        <f>[1]Emissions!O840</f>
        <v>2.906470433</v>
      </c>
      <c r="Q393" s="6">
        <f>[1]Emissions!P840</f>
        <v>2.9484632479999999</v>
      </c>
      <c r="R393" s="6">
        <f>[1]Emissions!Q840</f>
        <v>2.9907251380000002</v>
      </c>
      <c r="S393" s="6">
        <f>[1]Emissions!R840</f>
        <v>3.0329301850000001</v>
      </c>
      <c r="T393" s="6">
        <f>[1]Emissions!S840</f>
        <v>3.0753353309999998</v>
      </c>
      <c r="U393" s="6">
        <f>[1]Emissions!T840</f>
        <v>3.1180131919999998</v>
      </c>
      <c r="V393" s="6">
        <f>[1]Emissions!U840</f>
        <v>3.1610127370000001</v>
      </c>
      <c r="W393" s="6">
        <f>[1]Emissions!V840</f>
        <v>3.2022810210000001</v>
      </c>
      <c r="X393" s="6">
        <f>[1]Emissions!W840</f>
        <v>3.2452521820000002</v>
      </c>
      <c r="Y393" s="6">
        <f>[1]Emissions!X840</f>
        <v>3.2890336329999998</v>
      </c>
      <c r="Z393" s="6">
        <f>[1]Emissions!Y840</f>
        <v>3.333481404</v>
      </c>
      <c r="AA393" s="6">
        <f>[1]Emissions!Z840</f>
        <v>3.3785947539999999</v>
      </c>
      <c r="AB393" s="6">
        <f>[1]Emissions!AA840</f>
        <v>3.4183838280000001</v>
      </c>
      <c r="AC393" s="6">
        <f>[1]Emissions!AB840</f>
        <v>3.4598119399999998</v>
      </c>
      <c r="AD393" s="6">
        <f>[1]Emissions!AC840</f>
        <v>3.5018161459999999</v>
      </c>
      <c r="AE393" s="6">
        <f>[1]Emissions!AD840</f>
        <v>3.544302643</v>
      </c>
      <c r="AF393" s="6">
        <f>[1]Emissions!AE840</f>
        <v>3.5873505720000001</v>
      </c>
      <c r="AG393" s="6">
        <f>[1]Emissions!AF840</f>
        <v>3.6310524449999999</v>
      </c>
      <c r="AH393" s="6">
        <f>[1]Emissions!AG840</f>
        <v>3.67555304</v>
      </c>
      <c r="AI393" s="6">
        <f>[1]Emissions!AH840</f>
        <v>3.7208499900000001</v>
      </c>
      <c r="AJ393" s="6">
        <f>[1]Emissions!AI840</f>
        <v>3.7669646000000001</v>
      </c>
      <c r="AK393" s="6">
        <f>[1]Emissions!AJ840</f>
        <v>3.813909647</v>
      </c>
      <c r="AL393" s="6">
        <f>[1]Emissions!AK840</f>
        <v>3.8616880400000002</v>
      </c>
      <c r="AM393" s="6">
        <f>[1]Emissions!AL840</f>
        <v>3.9094869509999999</v>
      </c>
      <c r="AN393" s="6">
        <f>[1]Emissions!AM840</f>
        <v>3.9576739609999998</v>
      </c>
      <c r="AO393" s="6">
        <f>[1]Emissions!AN840</f>
        <v>4.0063794509999999</v>
      </c>
      <c r="AP393" s="6">
        <f>[1]Emissions!AO840</f>
        <v>4.0556690079999997</v>
      </c>
      <c r="AQ393" s="6">
        <f>[1]Emissions!AP840</f>
        <v>4.1055891779999998</v>
      </c>
      <c r="AR393" s="6">
        <f>[1]Emissions!AQ840</f>
        <v>4.1562768009999997</v>
      </c>
      <c r="AS393" s="6">
        <f>[1]Emissions!AR840</f>
        <v>4.207686399</v>
      </c>
      <c r="AT393" s="6">
        <f>[1]Emissions!AS840</f>
        <v>4.2598248090000004</v>
      </c>
      <c r="AU393" s="6">
        <f>[1]Emissions!AT840</f>
        <v>4.312701025</v>
      </c>
      <c r="AV393" s="6">
        <f>[1]Emissions!AU840</f>
        <v>4.36631955</v>
      </c>
      <c r="AW393" s="6">
        <f>[1]Emissions!AV840</f>
        <v>4.4211462419999998</v>
      </c>
      <c r="AX393" s="6">
        <f>[1]Emissions!AW840</f>
        <v>4.4768509009999997</v>
      </c>
      <c r="AY393" s="6">
        <f>[1]Emissions!AX840</f>
        <v>4.5333617039999998</v>
      </c>
      <c r="AZ393" s="6">
        <f>[1]Emissions!AY840</f>
        <v>4.590651823</v>
      </c>
      <c r="BA393" s="6">
        <f>[1]Emissions!AZ840</f>
        <v>4.6487052120000003</v>
      </c>
      <c r="BB393" s="6">
        <f>[1]Emissions!BA840</f>
        <v>4.7077232110000002</v>
      </c>
      <c r="BC393" s="6">
        <f>[1]Emissions!BB840</f>
        <v>4.7675445710000002</v>
      </c>
      <c r="BD393" s="6">
        <f>[1]Emissions!BC840</f>
        <v>4.8281395749999998</v>
      </c>
      <c r="BE393" s="6">
        <f>[1]Emissions!BD840</f>
        <v>4.8895025130000001</v>
      </c>
      <c r="BF393" s="6">
        <f>[1]Emissions!BE840</f>
        <v>4.9516344090000004</v>
      </c>
    </row>
    <row r="394" spans="1:58" x14ac:dyDescent="0.35">
      <c r="B394" s="6" t="str">
        <f>[1]Emissions!A842</f>
        <v>ems_ci_co2_sche_2</v>
      </c>
      <c r="C394" s="6">
        <f>[1]Emissions!B842</f>
        <v>13.127115679999999</v>
      </c>
      <c r="D394" s="6">
        <f>[1]Emissions!C842</f>
        <v>13.173403690000001</v>
      </c>
      <c r="E394" s="6">
        <f>[1]Emissions!D842</f>
        <v>13.2989148</v>
      </c>
      <c r="F394" s="6">
        <f>[1]Emissions!E842</f>
        <v>13.45231486</v>
      </c>
      <c r="G394" s="6">
        <f>[1]Emissions!F842</f>
        <v>13.62415655</v>
      </c>
      <c r="H394" s="6">
        <f>[1]Emissions!G842</f>
        <v>13.810766620000001</v>
      </c>
      <c r="I394" s="6">
        <f>[1]Emissions!H842</f>
        <v>13.99869071</v>
      </c>
      <c r="J394" s="6">
        <f>[1]Emissions!I842</f>
        <v>14.19332335</v>
      </c>
      <c r="K394" s="6">
        <f>[1]Emissions!J842</f>
        <v>14.39387161</v>
      </c>
      <c r="L394" s="6">
        <f>[1]Emissions!K842</f>
        <v>14.59886727</v>
      </c>
      <c r="M394" s="6">
        <f>[1]Emissions!L842</f>
        <v>14.824569459999999</v>
      </c>
      <c r="N394" s="6">
        <f>[1]Emissions!M842</f>
        <v>15.037072119999999</v>
      </c>
      <c r="O394" s="6">
        <f>[1]Emissions!N842</f>
        <v>15.24823044</v>
      </c>
      <c r="P394" s="6">
        <f>[1]Emissions!O842</f>
        <v>15.45951434</v>
      </c>
      <c r="Q394" s="6">
        <f>[1]Emissions!P842</f>
        <v>15.671023910000001</v>
      </c>
      <c r="R394" s="6">
        <f>[1]Emissions!Q842</f>
        <v>15.882808430000001</v>
      </c>
      <c r="S394" s="6">
        <f>[1]Emissions!R842</f>
        <v>16.092798510000001</v>
      </c>
      <c r="T394" s="6">
        <f>[1]Emissions!S842</f>
        <v>16.303159449999999</v>
      </c>
      <c r="U394" s="6">
        <f>[1]Emissions!T842</f>
        <v>16.51451861</v>
      </c>
      <c r="V394" s="6">
        <f>[1]Emissions!U842</f>
        <v>16.727307209999999</v>
      </c>
      <c r="W394" s="6">
        <f>[1]Emissions!V842</f>
        <v>16.929156559999999</v>
      </c>
      <c r="X394" s="6">
        <f>[1]Emissions!W842</f>
        <v>17.142840929999998</v>
      </c>
      <c r="Y394" s="6">
        <f>[1]Emissions!X842</f>
        <v>17.36090694</v>
      </c>
      <c r="Z394" s="6">
        <f>[1]Emissions!Y842</f>
        <v>17.58250048</v>
      </c>
      <c r="AA394" s="6">
        <f>[1]Emissions!Z842</f>
        <v>17.807725099999999</v>
      </c>
      <c r="AB394" s="6">
        <f>[1]Emissions!AA842</f>
        <v>18.000339050000001</v>
      </c>
      <c r="AC394" s="6">
        <f>[1]Emissions!AB842</f>
        <v>18.20788099</v>
      </c>
      <c r="AD394" s="6">
        <f>[1]Emissions!AC842</f>
        <v>18.42016576</v>
      </c>
      <c r="AE394" s="6">
        <f>[1]Emissions!AD842</f>
        <v>18.636124089999999</v>
      </c>
      <c r="AF394" s="6">
        <f>[1]Emissions!AE842</f>
        <v>18.85597641</v>
      </c>
      <c r="AG394" s="6">
        <f>[1]Emissions!AF842</f>
        <v>19.080053679999999</v>
      </c>
      <c r="AH394" s="6">
        <f>[1]Emissions!AG842</f>
        <v>19.309109960000001</v>
      </c>
      <c r="AI394" s="6">
        <f>[1]Emissions!AH842</f>
        <v>19.54288626</v>
      </c>
      <c r="AJ394" s="6">
        <f>[1]Emissions!AI842</f>
        <v>19.78138903</v>
      </c>
      <c r="AK394" s="6">
        <f>[1]Emissions!AJ842</f>
        <v>20.024607190000001</v>
      </c>
      <c r="AL394" s="6">
        <f>[1]Emissions!AK842</f>
        <v>20.272489239999999</v>
      </c>
      <c r="AM394" s="6">
        <f>[1]Emissions!AL842</f>
        <v>20.520692919999998</v>
      </c>
      <c r="AN394" s="6">
        <f>[1]Emissions!AM842</f>
        <v>20.771806739999999</v>
      </c>
      <c r="AO394" s="6">
        <f>[1]Emissions!AN842</f>
        <v>21.02634557</v>
      </c>
      <c r="AP394" s="6">
        <f>[1]Emissions!AO842</f>
        <v>21.28447169</v>
      </c>
      <c r="AQ394" s="6">
        <f>[1]Emissions!AP842</f>
        <v>21.54627795</v>
      </c>
      <c r="AR394" s="6">
        <f>[1]Emissions!AQ842</f>
        <v>21.81253869</v>
      </c>
      <c r="AS394" s="6">
        <f>[1]Emissions!AR842</f>
        <v>22.082726170000001</v>
      </c>
      <c r="AT394" s="6">
        <f>[1]Emissions!AS842</f>
        <v>22.356780919999999</v>
      </c>
      <c r="AU394" s="6">
        <f>[1]Emissions!AT842</f>
        <v>22.634692909999998</v>
      </c>
      <c r="AV394" s="6">
        <f>[1]Emissions!AU842</f>
        <v>22.916446690000001</v>
      </c>
      <c r="AW394" s="6">
        <f>[1]Emissions!AV842</f>
        <v>23.205187200000001</v>
      </c>
      <c r="AX394" s="6">
        <f>[1]Emissions!AW842</f>
        <v>23.498368419999998</v>
      </c>
      <c r="AY394" s="6">
        <f>[1]Emissions!AX842</f>
        <v>23.79555714</v>
      </c>
      <c r="AZ394" s="6">
        <f>[1]Emissions!AY842</f>
        <v>24.09663132</v>
      </c>
      <c r="BA394" s="6">
        <f>[1]Emissions!AZ842</f>
        <v>24.401527699999999</v>
      </c>
      <c r="BB394" s="6">
        <f>[1]Emissions!BA842</f>
        <v>24.711710010000001</v>
      </c>
      <c r="BC394" s="6">
        <f>[1]Emissions!BB842</f>
        <v>25.025949390000001</v>
      </c>
      <c r="BD394" s="6">
        <f>[1]Emissions!BC842</f>
        <v>25.344065400000002</v>
      </c>
      <c r="BE394" s="6">
        <f>[1]Emissions!BD842</f>
        <v>25.666039659999999</v>
      </c>
      <c r="BF394" s="6">
        <f>[1]Emissions!BE842</f>
        <v>25.991890640000001</v>
      </c>
    </row>
    <row r="395" spans="1:58" x14ac:dyDescent="0.35">
      <c r="B395" s="6" t="str">
        <f>[1]Emissions!A844</f>
        <v>ems_ci_co2_spla_2</v>
      </c>
      <c r="C395" s="6">
        <f>[1]Emissions!B844</f>
        <v>1.455592534</v>
      </c>
      <c r="D395" s="6">
        <f>[1]Emissions!C844</f>
        <v>1.457908669</v>
      </c>
      <c r="E395" s="6">
        <f>[1]Emissions!D844</f>
        <v>1.468721398</v>
      </c>
      <c r="F395" s="6">
        <f>[1]Emissions!E844</f>
        <v>1.4829871649999999</v>
      </c>
      <c r="G395" s="6">
        <f>[1]Emissions!F844</f>
        <v>1.4998298940000001</v>
      </c>
      <c r="H395" s="6">
        <f>[1]Emissions!G844</f>
        <v>1.518922989</v>
      </c>
      <c r="I395" s="6">
        <f>[1]Emissions!H844</f>
        <v>1.5388880309999999</v>
      </c>
      <c r="J395" s="6">
        <f>[1]Emissions!I844</f>
        <v>1.56008228</v>
      </c>
      <c r="K395" s="6">
        <f>[1]Emissions!J844</f>
        <v>1.5823371799999999</v>
      </c>
      <c r="L395" s="6">
        <f>[1]Emissions!K844</f>
        <v>1.6054130369999999</v>
      </c>
      <c r="M395" s="6">
        <f>[1]Emissions!L844</f>
        <v>1.630845662</v>
      </c>
      <c r="N395" s="6">
        <f>[1]Emissions!M844</f>
        <v>1.655328758</v>
      </c>
      <c r="O395" s="6">
        <f>[1]Emissions!N844</f>
        <v>1.6797708179999999</v>
      </c>
      <c r="P395" s="6">
        <f>[1]Emissions!O844</f>
        <v>1.7042648279999999</v>
      </c>
      <c r="Q395" s="6">
        <f>[1]Emissions!P844</f>
        <v>1.728781127</v>
      </c>
      <c r="R395" s="6">
        <f>[1]Emissions!Q844</f>
        <v>1.75329227</v>
      </c>
      <c r="S395" s="6">
        <f>[1]Emissions!R844</f>
        <v>1.7775673759999999</v>
      </c>
      <c r="T395" s="6">
        <f>[1]Emissions!S844</f>
        <v>1.801795198</v>
      </c>
      <c r="U395" s="6">
        <f>[1]Emissions!T844</f>
        <v>1.8260345520000001</v>
      </c>
      <c r="V395" s="6">
        <f>[1]Emissions!U844</f>
        <v>1.8503305400000001</v>
      </c>
      <c r="W395" s="6">
        <f>[1]Emissions!V844</f>
        <v>1.8734471939999999</v>
      </c>
      <c r="X395" s="6">
        <f>[1]Emissions!W844</f>
        <v>1.8975622059999999</v>
      </c>
      <c r="Y395" s="6">
        <f>[1]Emissions!X844</f>
        <v>1.9220813059999999</v>
      </c>
      <c r="Z395" s="6">
        <f>[1]Emissions!Y844</f>
        <v>1.9469316459999999</v>
      </c>
      <c r="AA395" s="6">
        <f>[1]Emissions!Z844</f>
        <v>1.97213459</v>
      </c>
      <c r="AB395" s="6">
        <f>[1]Emissions!AA844</f>
        <v>1.9940622109999999</v>
      </c>
      <c r="AC395" s="6">
        <f>[1]Emissions!AB844</f>
        <v>2.017156129</v>
      </c>
      <c r="AD395" s="6">
        <f>[1]Emissions!AC844</f>
        <v>2.040650641</v>
      </c>
      <c r="AE395" s="6">
        <f>[1]Emissions!AD844</f>
        <v>2.0644695309999999</v>
      </c>
      <c r="AF395" s="6">
        <f>[1]Emissions!AE844</f>
        <v>2.0886559760000001</v>
      </c>
      <c r="AG395" s="6">
        <f>[1]Emissions!AF844</f>
        <v>2.1132642869999998</v>
      </c>
      <c r="AH395" s="6">
        <f>[1]Emissions!AG844</f>
        <v>2.138388704</v>
      </c>
      <c r="AI395" s="6">
        <f>[1]Emissions!AH844</f>
        <v>2.1640227240000001</v>
      </c>
      <c r="AJ395" s="6">
        <f>[1]Emissions!AI844</f>
        <v>2.1901796980000001</v>
      </c>
      <c r="AK395" s="6">
        <f>[1]Emissions!AJ844</f>
        <v>2.2168677020000001</v>
      </c>
      <c r="AL395" s="6">
        <f>[1]Emissions!AK844</f>
        <v>2.2440871809999998</v>
      </c>
      <c r="AM395" s="6">
        <f>[1]Emissions!AL844</f>
        <v>2.271397194</v>
      </c>
      <c r="AN395" s="6">
        <f>[1]Emissions!AM844</f>
        <v>2.2990018600000002</v>
      </c>
      <c r="AO395" s="6">
        <f>[1]Emissions!AN844</f>
        <v>2.3269619110000002</v>
      </c>
      <c r="AP395" s="6">
        <f>[1]Emissions!AO844</f>
        <v>2.3553009459999998</v>
      </c>
      <c r="AQ395" s="6">
        <f>[1]Emissions!AP844</f>
        <v>2.3840305399999999</v>
      </c>
      <c r="AR395" s="6">
        <f>[1]Emissions!AQ844</f>
        <v>2.4132258740000001</v>
      </c>
      <c r="AS395" s="6">
        <f>[1]Emissions!AR844</f>
        <v>2.442836588</v>
      </c>
      <c r="AT395" s="6">
        <f>[1]Emissions!AS844</f>
        <v>2.4728542990000002</v>
      </c>
      <c r="AU395" s="6">
        <f>[1]Emissions!AT844</f>
        <v>2.5032754960000001</v>
      </c>
      <c r="AV395" s="6">
        <f>[1]Emissions!AU844</f>
        <v>2.5340958269999998</v>
      </c>
      <c r="AW395" s="6">
        <f>[1]Emissions!AV844</f>
        <v>2.5656207960000001</v>
      </c>
      <c r="AX395" s="6">
        <f>[1]Emissions!AW844</f>
        <v>2.5976165180000002</v>
      </c>
      <c r="AY395" s="6">
        <f>[1]Emissions!AX844</f>
        <v>2.630037433</v>
      </c>
      <c r="AZ395" s="6">
        <f>[1]Emissions!AY844</f>
        <v>2.6628689959999998</v>
      </c>
      <c r="BA395" s="6">
        <f>[1]Emissions!AZ844</f>
        <v>2.6961013810000001</v>
      </c>
      <c r="BB395" s="6">
        <f>[1]Emissions!BA844</f>
        <v>2.729871787</v>
      </c>
      <c r="BC395" s="6">
        <f>[1]Emissions!BB844</f>
        <v>2.764062612</v>
      </c>
      <c r="BD395" s="6">
        <f>[1]Emissions!BC844</f>
        <v>2.7986527080000001</v>
      </c>
      <c r="BE395" s="6">
        <f>[1]Emissions!BD844</f>
        <v>2.833637892</v>
      </c>
      <c r="BF395" s="6">
        <f>[1]Emissions!BE844</f>
        <v>2.8690177829999999</v>
      </c>
    </row>
    <row r="396" spans="1:58" x14ac:dyDescent="0.35">
      <c r="B396" s="6" t="str">
        <f>[1]Emissions!A846</f>
        <v>ems_ci_co2_smet_2</v>
      </c>
      <c r="C396" s="6">
        <f>[1]Emissions!B846</f>
        <v>19.08504946</v>
      </c>
      <c r="D396" s="6">
        <f>[1]Emissions!C846</f>
        <v>19.135440200000001</v>
      </c>
      <c r="E396" s="6">
        <f>[1]Emissions!D846</f>
        <v>19.30770631</v>
      </c>
      <c r="F396" s="6">
        <f>[1]Emissions!E846</f>
        <v>19.521401910000002</v>
      </c>
      <c r="G396" s="6">
        <f>[1]Emissions!F846</f>
        <v>19.757380040000001</v>
      </c>
      <c r="H396" s="6">
        <f>[1]Emissions!G846</f>
        <v>20.009544529999999</v>
      </c>
      <c r="I396" s="6">
        <f>[1]Emissions!H846</f>
        <v>20.26159518</v>
      </c>
      <c r="J396" s="6">
        <f>[1]Emissions!I846</f>
        <v>20.520676009999999</v>
      </c>
      <c r="K396" s="6">
        <f>[1]Emissions!J846</f>
        <v>20.787433409999998</v>
      </c>
      <c r="L396" s="6">
        <f>[1]Emissions!K846</f>
        <v>21.061169939999999</v>
      </c>
      <c r="M396" s="6">
        <f>[1]Emissions!L846</f>
        <v>21.363066979999999</v>
      </c>
      <c r="N396" s="6">
        <f>[1]Emissions!M846</f>
        <v>21.652474680000001</v>
      </c>
      <c r="O396" s="6">
        <f>[1]Emissions!N846</f>
        <v>21.942145610000001</v>
      </c>
      <c r="P396" s="6">
        <f>[1]Emissions!O846</f>
        <v>22.234451549999999</v>
      </c>
      <c r="Q396" s="6">
        <f>[1]Emissions!P846</f>
        <v>22.529768010000002</v>
      </c>
      <c r="R396" s="6">
        <f>[1]Emissions!Q846</f>
        <v>22.82820044</v>
      </c>
      <c r="S396" s="6">
        <f>[1]Emissions!R846</f>
        <v>23.127037560000002</v>
      </c>
      <c r="T396" s="6">
        <f>[1]Emissions!S846</f>
        <v>23.4288241</v>
      </c>
      <c r="U396" s="6">
        <f>[1]Emissions!T846</f>
        <v>23.734356080000001</v>
      </c>
      <c r="V396" s="6">
        <f>[1]Emissions!U846</f>
        <v>24.04411468</v>
      </c>
      <c r="W396" s="6">
        <f>[1]Emissions!V846</f>
        <v>24.342473510000001</v>
      </c>
      <c r="X396" s="6">
        <f>[1]Emissions!W846</f>
        <v>24.656661410000002</v>
      </c>
      <c r="Y396" s="6">
        <f>[1]Emissions!X846</f>
        <v>24.97888081</v>
      </c>
      <c r="Z396" s="6">
        <f>[1]Emissions!Y846</f>
        <v>25.307703589999999</v>
      </c>
      <c r="AA396" s="6">
        <f>[1]Emissions!Z846</f>
        <v>25.643010050000001</v>
      </c>
      <c r="AB396" s="6">
        <f>[1]Emissions!AA846</f>
        <v>25.939115449999999</v>
      </c>
      <c r="AC396" s="6">
        <f>[1]Emissions!AB846</f>
        <v>26.252007649999999</v>
      </c>
      <c r="AD396" s="6">
        <f>[1]Emissions!AC846</f>
        <v>26.571896980000002</v>
      </c>
      <c r="AE396" s="6">
        <f>[1]Emissions!AD846</f>
        <v>26.897141390000002</v>
      </c>
      <c r="AF396" s="6">
        <f>[1]Emissions!AE846</f>
        <v>27.227721880000001</v>
      </c>
      <c r="AG396" s="6">
        <f>[1]Emissions!AF846</f>
        <v>27.563879150000002</v>
      </c>
      <c r="AH396" s="6">
        <f>[1]Emissions!AG846</f>
        <v>27.906473500000001</v>
      </c>
      <c r="AI396" s="6">
        <f>[1]Emissions!AH846</f>
        <v>28.255143709999999</v>
      </c>
      <c r="AJ396" s="6">
        <f>[1]Emissions!AI846</f>
        <v>28.60984053</v>
      </c>
      <c r="AK396" s="6">
        <f>[1]Emissions!AJ846</f>
        <v>28.970516889999999</v>
      </c>
      <c r="AL396" s="6">
        <f>[1]Emissions!AK846</f>
        <v>29.33708635</v>
      </c>
      <c r="AM396" s="6">
        <f>[1]Emissions!AL846</f>
        <v>29.704190440000001</v>
      </c>
      <c r="AN396" s="6">
        <f>[1]Emissions!AM846</f>
        <v>30.07440158</v>
      </c>
      <c r="AO396" s="6">
        <f>[1]Emissions!AN846</f>
        <v>30.448432220000001</v>
      </c>
      <c r="AP396" s="6">
        <f>[1]Emissions!AO846</f>
        <v>30.826507370000002</v>
      </c>
      <c r="AQ396" s="6">
        <f>[1]Emissions!AP846</f>
        <v>31.20872597</v>
      </c>
      <c r="AR396" s="6">
        <f>[1]Emissions!AQ846</f>
        <v>31.5960593</v>
      </c>
      <c r="AS396" s="6">
        <f>[1]Emissions!AR846</f>
        <v>31.987872629999998</v>
      </c>
      <c r="AT396" s="6">
        <f>[1]Emissions!AS846</f>
        <v>32.384069590000003</v>
      </c>
      <c r="AU396" s="6">
        <f>[1]Emissions!AT846</f>
        <v>32.784642210000001</v>
      </c>
      <c r="AV396" s="6">
        <f>[1]Emissions!AU846</f>
        <v>33.189589300000002</v>
      </c>
      <c r="AW396" s="6">
        <f>[1]Emissions!AV846</f>
        <v>33.602950730000003</v>
      </c>
      <c r="AX396" s="6">
        <f>[1]Emissions!AW846</f>
        <v>34.021775290000001</v>
      </c>
      <c r="AY396" s="6">
        <f>[1]Emissions!AX846</f>
        <v>34.445448169999999</v>
      </c>
      <c r="AZ396" s="6">
        <f>[1]Emissions!AY846</f>
        <v>34.873810429999999</v>
      </c>
      <c r="BA396" s="6">
        <f>[1]Emissions!AZ846</f>
        <v>35.30680658</v>
      </c>
      <c r="BB396" s="6">
        <f>[1]Emissions!BA846</f>
        <v>35.746343099999997</v>
      </c>
      <c r="BC396" s="6">
        <f>[1]Emissions!BB846</f>
        <v>36.190994930000002</v>
      </c>
      <c r="BD396" s="6">
        <f>[1]Emissions!BC846</f>
        <v>36.640515280000002</v>
      </c>
      <c r="BE396" s="6">
        <f>[1]Emissions!BD846</f>
        <v>37.094891230000002</v>
      </c>
      <c r="BF396" s="6">
        <f>[1]Emissions!BE846</f>
        <v>37.55417061</v>
      </c>
    </row>
    <row r="397" spans="1:58" x14ac:dyDescent="0.35">
      <c r="B397" s="6" t="str">
        <f>[1]Emissions!A848</f>
        <v>ems_ci_co2_sigo_2</v>
      </c>
      <c r="C397" s="6">
        <f>[1]Emissions!B848</f>
        <v>1.1705436</v>
      </c>
      <c r="D397" s="6">
        <f>[1]Emissions!C848</f>
        <v>1.172737396</v>
      </c>
      <c r="E397" s="6">
        <f>[1]Emissions!D848</f>
        <v>1.1818758970000001</v>
      </c>
      <c r="F397" s="6">
        <f>[1]Emissions!E848</f>
        <v>1.1932419949999999</v>
      </c>
      <c r="G397" s="6">
        <f>[1]Emissions!F848</f>
        <v>1.206622385</v>
      </c>
      <c r="H397" s="6">
        <f>[1]Emissions!G848</f>
        <v>1.222010018</v>
      </c>
      <c r="I397" s="6">
        <f>[1]Emissions!H848</f>
        <v>1.2381679809999999</v>
      </c>
      <c r="J397" s="6">
        <f>[1]Emissions!I848</f>
        <v>1.2555980870000001</v>
      </c>
      <c r="K397" s="6">
        <f>[1]Emissions!J848</f>
        <v>1.2740879839999999</v>
      </c>
      <c r="L397" s="6">
        <f>[1]Emissions!K848</f>
        <v>1.293365163</v>
      </c>
      <c r="M397" s="6">
        <f>[1]Emissions!L848</f>
        <v>1.314898704</v>
      </c>
      <c r="N397" s="6">
        <f>[1]Emissions!M848</f>
        <v>1.335208779</v>
      </c>
      <c r="O397" s="6">
        <f>[1]Emissions!N848</f>
        <v>1.355482326</v>
      </c>
      <c r="P397" s="6">
        <f>[1]Emissions!O848</f>
        <v>1.3757632989999999</v>
      </c>
      <c r="Q397" s="6">
        <f>[1]Emissions!P848</f>
        <v>1.395980759</v>
      </c>
      <c r="R397" s="6">
        <f>[1]Emissions!Q848</f>
        <v>1.416077016</v>
      </c>
      <c r="S397" s="6">
        <f>[1]Emissions!R848</f>
        <v>1.435770617</v>
      </c>
      <c r="T397" s="6">
        <f>[1]Emissions!S848</f>
        <v>1.4552642739999999</v>
      </c>
      <c r="U397" s="6">
        <f>[1]Emissions!T848</f>
        <v>1.4745936479999999</v>
      </c>
      <c r="V397" s="6">
        <f>[1]Emissions!U848</f>
        <v>1.4937883270000001</v>
      </c>
      <c r="W397" s="6">
        <f>[1]Emissions!V848</f>
        <v>1.5116347649999999</v>
      </c>
      <c r="X397" s="6">
        <f>[1]Emissions!W848</f>
        <v>1.530418703</v>
      </c>
      <c r="Y397" s="6">
        <f>[1]Emissions!X848</f>
        <v>1.549349901</v>
      </c>
      <c r="Z397" s="6">
        <f>[1]Emissions!Y848</f>
        <v>1.5683795490000001</v>
      </c>
      <c r="AA397" s="6">
        <f>[1]Emissions!Z848</f>
        <v>1.5875514639999999</v>
      </c>
      <c r="AB397" s="6">
        <f>[1]Emissions!AA848</f>
        <v>1.603347968</v>
      </c>
      <c r="AC397" s="6">
        <f>[1]Emissions!AB848</f>
        <v>1.620589794</v>
      </c>
      <c r="AD397" s="6">
        <f>[1]Emissions!AC848</f>
        <v>1.6381341119999999</v>
      </c>
      <c r="AE397" s="6">
        <f>[1]Emissions!AD848</f>
        <v>1.6558985799999999</v>
      </c>
      <c r="AF397" s="6">
        <f>[1]Emissions!AE848</f>
        <v>1.673930943</v>
      </c>
      <c r="AG397" s="6">
        <f>[1]Emissions!AF848</f>
        <v>1.6922875049999999</v>
      </c>
      <c r="AH397" s="6">
        <f>[1]Emissions!AG848</f>
        <v>1.711070978</v>
      </c>
      <c r="AI397" s="6">
        <f>[1]Emissions!AH848</f>
        <v>1.730273143</v>
      </c>
      <c r="AJ397" s="6">
        <f>[1]Emissions!AI848</f>
        <v>1.7499176830000001</v>
      </c>
      <c r="AK397" s="6">
        <f>[1]Emissions!AJ848</f>
        <v>1.770023562</v>
      </c>
      <c r="AL397" s="6">
        <f>[1]Emissions!AK848</f>
        <v>1.7906013510000001</v>
      </c>
      <c r="AM397" s="6">
        <f>[1]Emissions!AL848</f>
        <v>1.8112859299999999</v>
      </c>
      <c r="AN397" s="6">
        <f>[1]Emissions!AM848</f>
        <v>1.8323109049999999</v>
      </c>
      <c r="AO397" s="6">
        <f>[1]Emissions!AN848</f>
        <v>1.8537199200000001</v>
      </c>
      <c r="AP397" s="6">
        <f>[1]Emissions!AO848</f>
        <v>1.8755246139999999</v>
      </c>
      <c r="AQ397" s="6">
        <f>[1]Emissions!AP848</f>
        <v>1.8977259150000001</v>
      </c>
      <c r="AR397" s="6">
        <f>[1]Emissions!AQ848</f>
        <v>1.920394097</v>
      </c>
      <c r="AS397" s="6">
        <f>[1]Emissions!AR848</f>
        <v>1.94345755</v>
      </c>
      <c r="AT397" s="6">
        <f>[1]Emissions!AS848</f>
        <v>1.9669019640000001</v>
      </c>
      <c r="AU397" s="6">
        <f>[1]Emissions!AT848</f>
        <v>1.9907189649999999</v>
      </c>
      <c r="AV397" s="6">
        <f>[1]Emissions!AU848</f>
        <v>2.0148999220000001</v>
      </c>
      <c r="AW397" s="6">
        <f>[1]Emissions!AV848</f>
        <v>2.0397625189999999</v>
      </c>
      <c r="AX397" s="6">
        <f>[1]Emissions!AW848</f>
        <v>2.065024137</v>
      </c>
      <c r="AY397" s="6">
        <f>[1]Emissions!AX848</f>
        <v>2.090649134</v>
      </c>
      <c r="AZ397" s="6">
        <f>[1]Emissions!AY848</f>
        <v>2.1166289489999999</v>
      </c>
      <c r="BA397" s="6">
        <f>[1]Emissions!AZ848</f>
        <v>2.14295481</v>
      </c>
      <c r="BB397" s="6">
        <f>[1]Emissions!BA848</f>
        <v>2.1697728070000002</v>
      </c>
      <c r="BC397" s="6">
        <f>[1]Emissions!BB848</f>
        <v>2.1969387770000002</v>
      </c>
      <c r="BD397" s="6">
        <f>[1]Emissions!BC848</f>
        <v>2.2244341190000001</v>
      </c>
      <c r="BE397" s="6">
        <f>[1]Emissions!BD848</f>
        <v>2.2522553009999999</v>
      </c>
      <c r="BF397" s="6">
        <f>[1]Emissions!BE848</f>
        <v>2.2803999519999998</v>
      </c>
    </row>
    <row r="398" spans="1:58" x14ac:dyDescent="0.35">
      <c r="B398" s="6" t="str">
        <f>[1]Emissions!A850</f>
        <v>ems_ci_co2_scgo_2</v>
      </c>
      <c r="C398" s="6">
        <f>[1]Emissions!B850</f>
        <v>2.237282596</v>
      </c>
      <c r="D398" s="6">
        <f>[1]Emissions!C850</f>
        <v>2.235365614</v>
      </c>
      <c r="E398" s="6">
        <f>[1]Emissions!D850</f>
        <v>2.2437671560000001</v>
      </c>
      <c r="F398" s="6">
        <f>[1]Emissions!E850</f>
        <v>2.2588313809999998</v>
      </c>
      <c r="G398" s="6">
        <f>[1]Emissions!F850</f>
        <v>2.2797945570000002</v>
      </c>
      <c r="H398" s="6">
        <f>[1]Emissions!G850</f>
        <v>2.306048852</v>
      </c>
      <c r="I398" s="6">
        <f>[1]Emissions!H850</f>
        <v>2.335423472</v>
      </c>
      <c r="J398" s="6">
        <f>[1]Emissions!I850</f>
        <v>2.3678446100000001</v>
      </c>
      <c r="K398" s="6">
        <f>[1]Emissions!J850</f>
        <v>2.4027891889999999</v>
      </c>
      <c r="L398" s="6">
        <f>[1]Emissions!K850</f>
        <v>2.439711194</v>
      </c>
      <c r="M398" s="6">
        <f>[1]Emissions!L850</f>
        <v>2.480524457</v>
      </c>
      <c r="N398" s="6">
        <f>[1]Emissions!M850</f>
        <v>2.5210054039999998</v>
      </c>
      <c r="O398" s="6">
        <f>[1]Emissions!N850</f>
        <v>2.5618060790000001</v>
      </c>
      <c r="P398" s="6">
        <f>[1]Emissions!O850</f>
        <v>2.6028987689999998</v>
      </c>
      <c r="Q398" s="6">
        <f>[1]Emissions!P850</f>
        <v>2.6441560609999999</v>
      </c>
      <c r="R398" s="6">
        <f>[1]Emissions!Q850</f>
        <v>2.6854724210000001</v>
      </c>
      <c r="S398" s="6">
        <f>[1]Emissions!R850</f>
        <v>2.726538219</v>
      </c>
      <c r="T398" s="6">
        <f>[1]Emissions!S850</f>
        <v>2.7674867110000001</v>
      </c>
      <c r="U398" s="6">
        <f>[1]Emissions!T850</f>
        <v>2.8083564270000001</v>
      </c>
      <c r="V398" s="6">
        <f>[1]Emissions!U850</f>
        <v>2.8491889810000002</v>
      </c>
      <c r="W398" s="6">
        <f>[1]Emissions!V850</f>
        <v>2.8882742929999998</v>
      </c>
      <c r="X398" s="6">
        <f>[1]Emissions!W850</f>
        <v>2.9283391189999999</v>
      </c>
      <c r="Y398" s="6">
        <f>[1]Emissions!X850</f>
        <v>2.9688598270000002</v>
      </c>
      <c r="Z398" s="6">
        <f>[1]Emissions!Y850</f>
        <v>3.0097778659999999</v>
      </c>
      <c r="AA398" s="6">
        <f>[1]Emissions!Z850</f>
        <v>3.051135833</v>
      </c>
      <c r="AB398" s="6">
        <f>[1]Emissions!AA850</f>
        <v>3.087934621</v>
      </c>
      <c r="AC398" s="6">
        <f>[1]Emissions!AB850</f>
        <v>3.1255242719999998</v>
      </c>
      <c r="AD398" s="6">
        <f>[1]Emissions!AC850</f>
        <v>3.1633569229999998</v>
      </c>
      <c r="AE398" s="6">
        <f>[1]Emissions!AD850</f>
        <v>3.2014553389999998</v>
      </c>
      <c r="AF398" s="6">
        <f>[1]Emissions!AE850</f>
        <v>3.2399516209999999</v>
      </c>
      <c r="AG398" s="6">
        <f>[1]Emissions!AF850</f>
        <v>3.2789782829999998</v>
      </c>
      <c r="AH398" s="6">
        <f>[1]Emissions!AG850</f>
        <v>3.3186973389999999</v>
      </c>
      <c r="AI398" s="6">
        <f>[1]Emissions!AH850</f>
        <v>3.3591567740000001</v>
      </c>
      <c r="AJ398" s="6">
        <f>[1]Emissions!AI850</f>
        <v>3.4004083700000001</v>
      </c>
      <c r="AK398" s="6">
        <f>[1]Emissions!AJ850</f>
        <v>3.442487109</v>
      </c>
      <c r="AL398" s="6">
        <f>[1]Emissions!AK850</f>
        <v>3.485410849</v>
      </c>
      <c r="AM398" s="6">
        <f>[1]Emissions!AL850</f>
        <v>3.5284382430000001</v>
      </c>
      <c r="AN398" s="6">
        <f>[1]Emissions!AM850</f>
        <v>3.5718412869999998</v>
      </c>
      <c r="AO398" s="6">
        <f>[1]Emissions!AN850</f>
        <v>3.6157435599999999</v>
      </c>
      <c r="AP398" s="6">
        <f>[1]Emissions!AO850</f>
        <v>3.6602116339999999</v>
      </c>
      <c r="AQ398" s="6">
        <f>[1]Emissions!AP850</f>
        <v>3.7052862580000001</v>
      </c>
      <c r="AR398" s="6">
        <f>[1]Emissions!AQ850</f>
        <v>3.7510652640000002</v>
      </c>
      <c r="AS398" s="6">
        <f>[1]Emissions!AR850</f>
        <v>3.7975164910000001</v>
      </c>
      <c r="AT398" s="6">
        <f>[1]Emissions!AS850</f>
        <v>3.8446401429999999</v>
      </c>
      <c r="AU398" s="6">
        <f>[1]Emissions!AT850</f>
        <v>3.8924364470000001</v>
      </c>
      <c r="AV398" s="6">
        <f>[1]Emissions!AU850</f>
        <v>3.9409010489999998</v>
      </c>
      <c r="AW398" s="6">
        <f>[1]Emissions!AV850</f>
        <v>3.990373344</v>
      </c>
      <c r="AX398" s="6">
        <f>[1]Emissions!AW850</f>
        <v>4.0406276190000003</v>
      </c>
      <c r="AY398" s="6">
        <f>[1]Emissions!AX850</f>
        <v>4.0916069899999998</v>
      </c>
      <c r="AZ398" s="6">
        <f>[1]Emissions!AY850</f>
        <v>4.1432826670000003</v>
      </c>
      <c r="BA398" s="6">
        <f>[1]Emissions!AZ850</f>
        <v>4.1956298209999998</v>
      </c>
      <c r="BB398" s="6">
        <f>[1]Emissions!BA850</f>
        <v>4.2487756919999997</v>
      </c>
      <c r="BC398" s="6">
        <f>[1]Emissions!BB850</f>
        <v>4.3026041299999997</v>
      </c>
      <c r="BD398" s="6">
        <f>[1]Emissions!BC850</f>
        <v>4.3570901329999998</v>
      </c>
      <c r="BE398" s="6">
        <f>[1]Emissions!BD850</f>
        <v>4.412226263</v>
      </c>
      <c r="BF398" s="6">
        <f>[1]Emissions!BE850</f>
        <v>4.4680091910000002</v>
      </c>
    </row>
    <row r="399" spans="1:58" x14ac:dyDescent="0.35">
      <c r="B399" s="6" t="str">
        <f>[1]Emissions!A852</f>
        <v>ems_ci_co2_scon_2</v>
      </c>
      <c r="C399" s="6">
        <f>[1]Emissions!B852</f>
        <v>7.6423898870000002</v>
      </c>
      <c r="D399" s="6">
        <f>[1]Emissions!C852</f>
        <v>7.5693388940000004</v>
      </c>
      <c r="E399" s="6">
        <f>[1]Emissions!D852</f>
        <v>7.4906773739999997</v>
      </c>
      <c r="F399" s="6">
        <f>[1]Emissions!E852</f>
        <v>7.4361627109999997</v>
      </c>
      <c r="G399" s="6">
        <f>[1]Emissions!F852</f>
        <v>7.4201700490000002</v>
      </c>
      <c r="H399" s="6">
        <f>[1]Emissions!G852</f>
        <v>7.4456864920000001</v>
      </c>
      <c r="I399" s="6">
        <f>[1]Emissions!H852</f>
        <v>7.5064941029999996</v>
      </c>
      <c r="J399" s="6">
        <f>[1]Emissions!I852</f>
        <v>7.5968922990000003</v>
      </c>
      <c r="K399" s="6">
        <f>[1]Emissions!J852</f>
        <v>7.7115000010000001</v>
      </c>
      <c r="L399" s="6">
        <f>[1]Emissions!K852</f>
        <v>7.8457225499999996</v>
      </c>
      <c r="M399" s="6">
        <f>[1]Emissions!L852</f>
        <v>8.0011602029999995</v>
      </c>
      <c r="N399" s="6">
        <f>[1]Emissions!M852</f>
        <v>8.1697324760000001</v>
      </c>
      <c r="O399" s="6">
        <f>[1]Emissions!N852</f>
        <v>8.3478427150000005</v>
      </c>
      <c r="P399" s="6">
        <f>[1]Emissions!O852</f>
        <v>8.5329468950000003</v>
      </c>
      <c r="Q399" s="6">
        <f>[1]Emissions!P852</f>
        <v>8.7230543120000004</v>
      </c>
      <c r="R399" s="6">
        <f>[1]Emissions!Q852</f>
        <v>8.9165793749999995</v>
      </c>
      <c r="S399" s="6">
        <f>[1]Emissions!R852</f>
        <v>9.1119665330000004</v>
      </c>
      <c r="T399" s="6">
        <f>[1]Emissions!S852</f>
        <v>9.3081121380000003</v>
      </c>
      <c r="U399" s="6">
        <f>[1]Emissions!T852</f>
        <v>9.5042590449999995</v>
      </c>
      <c r="V399" s="6">
        <f>[1]Emissions!U852</f>
        <v>9.6999704510000004</v>
      </c>
      <c r="W399" s="6">
        <f>[1]Emissions!V852</f>
        <v>9.8908694720000003</v>
      </c>
      <c r="X399" s="6">
        <f>[1]Emissions!W852</f>
        <v>10.08063151</v>
      </c>
      <c r="Y399" s="6">
        <f>[1]Emissions!X852</f>
        <v>10.27012027</v>
      </c>
      <c r="Z399" s="6">
        <f>[1]Emissions!Y852</f>
        <v>10.45985896</v>
      </c>
      <c r="AA399" s="6">
        <f>[1]Emissions!Z852</f>
        <v>10.650310579999999</v>
      </c>
      <c r="AB399" s="6">
        <f>[1]Emissions!AA852</f>
        <v>10.829599679999999</v>
      </c>
      <c r="AC399" s="6">
        <f>[1]Emissions!AB852</f>
        <v>11.00301625</v>
      </c>
      <c r="AD399" s="6">
        <f>[1]Emissions!AC852</f>
        <v>11.172110979999999</v>
      </c>
      <c r="AE399" s="6">
        <f>[1]Emissions!AD852</f>
        <v>11.3380168</v>
      </c>
      <c r="AF399" s="6">
        <f>[1]Emissions!AE852</f>
        <v>11.501732540000001</v>
      </c>
      <c r="AG399" s="6">
        <f>[1]Emissions!AF852</f>
        <v>11.66413491</v>
      </c>
      <c r="AH399" s="6">
        <f>[1]Emissions!AG852</f>
        <v>11.826028300000001</v>
      </c>
      <c r="AI399" s="6">
        <f>[1]Emissions!AH852</f>
        <v>11.98811776</v>
      </c>
      <c r="AJ399" s="6">
        <f>[1]Emissions!AI852</f>
        <v>12.151001279999999</v>
      </c>
      <c r="AK399" s="6">
        <f>[1]Emissions!AJ852</f>
        <v>12.315145100000001</v>
      </c>
      <c r="AL399" s="6">
        <f>[1]Emissions!AK852</f>
        <v>12.48087784</v>
      </c>
      <c r="AM399" s="6">
        <f>[1]Emissions!AL852</f>
        <v>12.645602630000001</v>
      </c>
      <c r="AN399" s="6">
        <f>[1]Emissions!AM852</f>
        <v>12.809280019999999</v>
      </c>
      <c r="AO399" s="6">
        <f>[1]Emissions!AN852</f>
        <v>12.97227238</v>
      </c>
      <c r="AP399" s="6">
        <f>[1]Emissions!AO852</f>
        <v>13.13486121</v>
      </c>
      <c r="AQ399" s="6">
        <f>[1]Emissions!AP852</f>
        <v>13.29716022</v>
      </c>
      <c r="AR399" s="6">
        <f>[1]Emissions!AQ852</f>
        <v>13.45916581</v>
      </c>
      <c r="AS399" s="6">
        <f>[1]Emissions!AR852</f>
        <v>13.620849420000001</v>
      </c>
      <c r="AT399" s="6">
        <f>[1]Emissions!AS852</f>
        <v>13.78217589</v>
      </c>
      <c r="AU399" s="6">
        <f>[1]Emissions!AT852</f>
        <v>13.943091000000001</v>
      </c>
      <c r="AV399" s="6">
        <f>[1]Emissions!AU852</f>
        <v>14.10352586</v>
      </c>
      <c r="AW399" s="6">
        <f>[1]Emissions!AV852</f>
        <v>14.263654150000001</v>
      </c>
      <c r="AX399" s="6">
        <f>[1]Emissions!AW852</f>
        <v>14.4236266</v>
      </c>
      <c r="AY399" s="6">
        <f>[1]Emissions!AX852</f>
        <v>14.583616109999999</v>
      </c>
      <c r="AZ399" s="6">
        <f>[1]Emissions!AY852</f>
        <v>14.743694789999999</v>
      </c>
      <c r="BA399" s="6">
        <f>[1]Emissions!AZ852</f>
        <v>14.90382741</v>
      </c>
      <c r="BB399" s="6">
        <f>[1]Emissions!BA852</f>
        <v>15.063876540000001</v>
      </c>
      <c r="BC399" s="6">
        <f>[1]Emissions!BB852</f>
        <v>15.223867390000001</v>
      </c>
      <c r="BD399" s="6">
        <f>[1]Emissions!BC852</f>
        <v>15.38390796</v>
      </c>
      <c r="BE399" s="6">
        <f>[1]Emissions!BD852</f>
        <v>15.544090560000001</v>
      </c>
      <c r="BF399" s="6">
        <f>[1]Emissions!BE852</f>
        <v>15.70447689</v>
      </c>
    </row>
    <row r="400" spans="1:58" x14ac:dyDescent="0.35">
      <c r="B400" s="6" t="str">
        <f>[1]Emissions!A854</f>
        <v>ems_ci_co2_srai_2</v>
      </c>
      <c r="C400" s="6">
        <f>[1]Emissions!B854</f>
        <v>1.7081851219999999</v>
      </c>
      <c r="D400" s="6">
        <f>[1]Emissions!C854</f>
        <v>1.715570805</v>
      </c>
      <c r="E400" s="6">
        <f>[1]Emissions!D854</f>
        <v>1.7278864389999999</v>
      </c>
      <c r="F400" s="6">
        <f>[1]Emissions!E854</f>
        <v>1.7430521590000001</v>
      </c>
      <c r="G400" s="6">
        <f>[1]Emissions!F854</f>
        <v>1.760667261</v>
      </c>
      <c r="H400" s="6">
        <f>[1]Emissions!G854</f>
        <v>1.78047567</v>
      </c>
      <c r="I400" s="6">
        <f>[1]Emissions!H854</f>
        <v>1.8012266370000001</v>
      </c>
      <c r="J400" s="6">
        <f>[1]Emissions!I854</f>
        <v>1.8231375780000001</v>
      </c>
      <c r="K400" s="6">
        <f>[1]Emissions!J854</f>
        <v>1.846081477</v>
      </c>
      <c r="L400" s="6">
        <f>[1]Emissions!K854</f>
        <v>1.869871141</v>
      </c>
      <c r="M400" s="6">
        <f>[1]Emissions!L854</f>
        <v>1.895947558</v>
      </c>
      <c r="N400" s="6">
        <f>[1]Emissions!M854</f>
        <v>1.9215320789999999</v>
      </c>
      <c r="O400" s="6">
        <f>[1]Emissions!N854</f>
        <v>1.947193315</v>
      </c>
      <c r="P400" s="6">
        <f>[1]Emissions!O854</f>
        <v>1.9730106599999999</v>
      </c>
      <c r="Q400" s="6">
        <f>[1]Emissions!P854</f>
        <v>1.998970146</v>
      </c>
      <c r="R400" s="6">
        <f>[1]Emissions!Q854</f>
        <v>2.0250548369999999</v>
      </c>
      <c r="S400" s="6">
        <f>[1]Emissions!R854</f>
        <v>2.051128034</v>
      </c>
      <c r="T400" s="6">
        <f>[1]Emissions!S854</f>
        <v>2.0772882259999998</v>
      </c>
      <c r="U400" s="6">
        <f>[1]Emissions!T854</f>
        <v>2.103572775</v>
      </c>
      <c r="V400" s="6">
        <f>[1]Emissions!U854</f>
        <v>2.1300101480000002</v>
      </c>
      <c r="W400" s="6">
        <f>[1]Emissions!V854</f>
        <v>2.1554447520000002</v>
      </c>
      <c r="X400" s="6">
        <f>[1]Emissions!W854</f>
        <v>2.181738583</v>
      </c>
      <c r="Y400" s="6">
        <f>[1]Emissions!X854</f>
        <v>2.2084815419999999</v>
      </c>
      <c r="Z400" s="6">
        <f>[1]Emissions!Y854</f>
        <v>2.2355937140000002</v>
      </c>
      <c r="AA400" s="6">
        <f>[1]Emissions!Z854</f>
        <v>2.2630706890000001</v>
      </c>
      <c r="AB400" s="6">
        <f>[1]Emissions!AA854</f>
        <v>2.287534993</v>
      </c>
      <c r="AC400" s="6">
        <f>[1]Emissions!AB854</f>
        <v>2.3126879150000001</v>
      </c>
      <c r="AD400" s="6">
        <f>[1]Emissions!AC854</f>
        <v>2.3381108689999999</v>
      </c>
      <c r="AE400" s="6">
        <f>[1]Emissions!AD854</f>
        <v>2.3637778009999999</v>
      </c>
      <c r="AF400" s="6">
        <f>[1]Emissions!AE854</f>
        <v>2.3897446690000002</v>
      </c>
      <c r="AG400" s="6">
        <f>[1]Emissions!AF854</f>
        <v>2.416071208</v>
      </c>
      <c r="AH400" s="6">
        <f>[1]Emissions!AG854</f>
        <v>2.4428334650000001</v>
      </c>
      <c r="AI400" s="6">
        <f>[1]Emissions!AH854</f>
        <v>2.4700429929999999</v>
      </c>
      <c r="AJ400" s="6">
        <f>[1]Emissions!AI854</f>
        <v>2.49771381</v>
      </c>
      <c r="AK400" s="6">
        <f>[1]Emissions!AJ854</f>
        <v>2.5258533910000001</v>
      </c>
      <c r="AL400" s="6">
        <f>[1]Emissions!AK854</f>
        <v>2.5544633339999998</v>
      </c>
      <c r="AM400" s="6">
        <f>[1]Emissions!AL854</f>
        <v>2.5829960270000001</v>
      </c>
      <c r="AN400" s="6">
        <f>[1]Emissions!AM854</f>
        <v>2.6117035469999998</v>
      </c>
      <c r="AO400" s="6">
        <f>[1]Emissions!AN854</f>
        <v>2.6406780689999998</v>
      </c>
      <c r="AP400" s="6">
        <f>[1]Emissions!AO854</f>
        <v>2.66996667</v>
      </c>
      <c r="AQ400" s="6">
        <f>[1]Emissions!AP854</f>
        <v>2.6996027410000001</v>
      </c>
      <c r="AR400" s="6">
        <f>[1]Emissions!AQ854</f>
        <v>2.7296542239999999</v>
      </c>
      <c r="AS400" s="6">
        <f>[1]Emissions!AR854</f>
        <v>2.7601132559999999</v>
      </c>
      <c r="AT400" s="6">
        <f>[1]Emissions!AS854</f>
        <v>2.7909867840000002</v>
      </c>
      <c r="AU400" s="6">
        <f>[1]Emissions!AT854</f>
        <v>2.8222805100000001</v>
      </c>
      <c r="AV400" s="6">
        <f>[1]Emissions!AU854</f>
        <v>2.853996897</v>
      </c>
      <c r="AW400" s="6">
        <f>[1]Emissions!AV854</f>
        <v>2.886349509</v>
      </c>
      <c r="AX400" s="6">
        <f>[1]Emissions!AW854</f>
        <v>2.9192041679999998</v>
      </c>
      <c r="AY400" s="6">
        <f>[1]Emissions!AX854</f>
        <v>2.9525229909999999</v>
      </c>
      <c r="AZ400" s="6">
        <f>[1]Emissions!AY854</f>
        <v>2.9862889450000001</v>
      </c>
      <c r="BA400" s="6">
        <f>[1]Emissions!AZ854</f>
        <v>3.020491314</v>
      </c>
      <c r="BB400" s="6">
        <f>[1]Emissions!BA854</f>
        <v>3.0552118909999999</v>
      </c>
      <c r="BC400" s="6">
        <f>[1]Emissions!BB854</f>
        <v>3.0903884160000001</v>
      </c>
      <c r="BD400" s="6">
        <f>[1]Emissions!BC854</f>
        <v>3.1260051610000001</v>
      </c>
      <c r="BE400" s="6">
        <f>[1]Emissions!BD854</f>
        <v>3.1620573460000001</v>
      </c>
      <c r="BF400" s="6">
        <f>[1]Emissions!BE854</f>
        <v>3.1985442919999998</v>
      </c>
    </row>
    <row r="401" spans="2:58" x14ac:dyDescent="0.35">
      <c r="B401" s="6" t="str">
        <f>[1]Emissions!A856</f>
        <v>ems_ci_co2_sroa_2</v>
      </c>
      <c r="C401" s="6">
        <f>[1]Emissions!B856</f>
        <v>17.05513375</v>
      </c>
      <c r="D401" s="6">
        <f>[1]Emissions!C856</f>
        <v>17.131554390000002</v>
      </c>
      <c r="E401" s="6">
        <f>[1]Emissions!D856</f>
        <v>17.257622779999998</v>
      </c>
      <c r="F401" s="6">
        <f>[1]Emissions!E856</f>
        <v>17.411848880000001</v>
      </c>
      <c r="G401" s="6">
        <f>[1]Emissions!F856</f>
        <v>17.589835180000001</v>
      </c>
      <c r="H401" s="6">
        <f>[1]Emissions!G856</f>
        <v>17.78891286</v>
      </c>
      <c r="I401" s="6">
        <f>[1]Emissions!H856</f>
        <v>17.996661979999999</v>
      </c>
      <c r="J401" s="6">
        <f>[1]Emissions!I856</f>
        <v>18.215402180000002</v>
      </c>
      <c r="K401" s="6">
        <f>[1]Emissions!J856</f>
        <v>18.444017670000001</v>
      </c>
      <c r="L401" s="6">
        <f>[1]Emissions!K856</f>
        <v>18.680770750000001</v>
      </c>
      <c r="M401" s="6">
        <f>[1]Emissions!L856</f>
        <v>18.940137</v>
      </c>
      <c r="N401" s="6">
        <f>[1]Emissions!M856</f>
        <v>19.194450270000001</v>
      </c>
      <c r="O401" s="6">
        <f>[1]Emissions!N856</f>
        <v>19.449476610000001</v>
      </c>
      <c r="P401" s="6">
        <f>[1]Emissions!O856</f>
        <v>19.706075309999999</v>
      </c>
      <c r="Q401" s="6">
        <f>[1]Emissions!P856</f>
        <v>19.96415489</v>
      </c>
      <c r="R401" s="6">
        <f>[1]Emissions!Q856</f>
        <v>20.223580290000001</v>
      </c>
      <c r="S401" s="6">
        <f>[1]Emissions!R856</f>
        <v>20.48301146</v>
      </c>
      <c r="T401" s="6">
        <f>[1]Emissions!S856</f>
        <v>20.743450240000001</v>
      </c>
      <c r="U401" s="6">
        <f>[1]Emissions!T856</f>
        <v>21.005279179999999</v>
      </c>
      <c r="V401" s="6">
        <f>[1]Emissions!U856</f>
        <v>21.26878383</v>
      </c>
      <c r="W401" s="6">
        <f>[1]Emissions!V856</f>
        <v>21.52243906</v>
      </c>
      <c r="X401" s="6">
        <f>[1]Emissions!W856</f>
        <v>21.78482374</v>
      </c>
      <c r="Y401" s="6">
        <f>[1]Emissions!X856</f>
        <v>22.051820559999999</v>
      </c>
      <c r="Z401" s="6">
        <f>[1]Emissions!Y856</f>
        <v>22.322609880000002</v>
      </c>
      <c r="AA401" s="6">
        <f>[1]Emissions!Z856</f>
        <v>22.597128649999998</v>
      </c>
      <c r="AB401" s="6">
        <f>[1]Emissions!AA856</f>
        <v>22.84168785</v>
      </c>
      <c r="AC401" s="6">
        <f>[1]Emissions!AB856</f>
        <v>23.09324457</v>
      </c>
      <c r="AD401" s="6">
        <f>[1]Emissions!AC856</f>
        <v>23.34759699</v>
      </c>
      <c r="AE401" s="6">
        <f>[1]Emissions!AD856</f>
        <v>23.604458040000001</v>
      </c>
      <c r="AF401" s="6">
        <f>[1]Emissions!AE856</f>
        <v>23.864361859999999</v>
      </c>
      <c r="AG401" s="6">
        <f>[1]Emissions!AF856</f>
        <v>24.12788381</v>
      </c>
      <c r="AH401" s="6">
        <f>[1]Emissions!AG856</f>
        <v>24.395765659999999</v>
      </c>
      <c r="AI401" s="6">
        <f>[1]Emissions!AH856</f>
        <v>24.668106689999998</v>
      </c>
      <c r="AJ401" s="6">
        <f>[1]Emissions!AI856</f>
        <v>24.945033290000001</v>
      </c>
      <c r="AK401" s="6">
        <f>[1]Emissions!AJ856</f>
        <v>25.226609570000001</v>
      </c>
      <c r="AL401" s="6">
        <f>[1]Emissions!AK856</f>
        <v>25.512844090000002</v>
      </c>
      <c r="AM401" s="6">
        <f>[1]Emissions!AL856</f>
        <v>25.79828127</v>
      </c>
      <c r="AN401" s="6">
        <f>[1]Emissions!AM856</f>
        <v>26.085439969999999</v>
      </c>
      <c r="AO401" s="6">
        <f>[1]Emissions!AN856</f>
        <v>26.375236569999998</v>
      </c>
      <c r="AP401" s="6">
        <f>[1]Emissions!AO856</f>
        <v>26.668137869999999</v>
      </c>
      <c r="AQ401" s="6">
        <f>[1]Emissions!AP856</f>
        <v>26.964476919999999</v>
      </c>
      <c r="AR401" s="6">
        <f>[1]Emissions!AQ856</f>
        <v>27.264935739999999</v>
      </c>
      <c r="AS401" s="6">
        <f>[1]Emissions!AR856</f>
        <v>27.569438049999999</v>
      </c>
      <c r="AT401" s="6">
        <f>[1]Emissions!AS856</f>
        <v>27.878055459999999</v>
      </c>
      <c r="AU401" s="6">
        <f>[1]Emissions!AT856</f>
        <v>28.190847510000001</v>
      </c>
      <c r="AV401" s="6">
        <f>[1]Emissions!AU856</f>
        <v>28.507841809999999</v>
      </c>
      <c r="AW401" s="6">
        <f>[1]Emissions!AV856</f>
        <v>28.83117923</v>
      </c>
      <c r="AX401" s="6">
        <f>[1]Emissions!AW856</f>
        <v>29.159518039999998</v>
      </c>
      <c r="AY401" s="6">
        <f>[1]Emissions!AX856</f>
        <v>29.492476979999999</v>
      </c>
      <c r="AZ401" s="6">
        <f>[1]Emissions!AY856</f>
        <v>29.829885610000002</v>
      </c>
      <c r="BA401" s="6">
        <f>[1]Emissions!AZ856</f>
        <v>30.171639460000002</v>
      </c>
      <c r="BB401" s="6">
        <f>[1]Emissions!BA856</f>
        <v>30.51856411</v>
      </c>
      <c r="BC401" s="6">
        <f>[1]Emissions!BB856</f>
        <v>30.87004001</v>
      </c>
      <c r="BD401" s="6">
        <f>[1]Emissions!BC856</f>
        <v>31.225910559999999</v>
      </c>
      <c r="BE401" s="6">
        <f>[1]Emissions!BD856</f>
        <v>31.58612917</v>
      </c>
      <c r="BF401" s="6">
        <f>[1]Emissions!BE856</f>
        <v>31.950691240000001</v>
      </c>
    </row>
    <row r="402" spans="2:58" x14ac:dyDescent="0.35">
      <c r="B402" s="6" t="str">
        <f>[1]Emissions!A858</f>
        <v>ems_ci_co2_swat_2</v>
      </c>
      <c r="C402" s="6">
        <f>[1]Emissions!B858</f>
        <v>3.6274314059999999</v>
      </c>
      <c r="D402" s="6">
        <f>[1]Emissions!C858</f>
        <v>3.6513622840000002</v>
      </c>
      <c r="E402" s="6">
        <f>[1]Emissions!D858</f>
        <v>3.7015897899999999</v>
      </c>
      <c r="F402" s="6">
        <f>[1]Emissions!E858</f>
        <v>3.757022976</v>
      </c>
      <c r="G402" s="6">
        <f>[1]Emissions!F858</f>
        <v>3.814794837</v>
      </c>
      <c r="H402" s="6">
        <f>[1]Emissions!G858</f>
        <v>3.8740226710000001</v>
      </c>
      <c r="I402" s="6">
        <f>[1]Emissions!H858</f>
        <v>3.9304551399999998</v>
      </c>
      <c r="J402" s="6">
        <f>[1]Emissions!I858</f>
        <v>3.986810942</v>
      </c>
      <c r="K402" s="6">
        <f>[1]Emissions!J858</f>
        <v>4.0431310790000001</v>
      </c>
      <c r="L402" s="6">
        <f>[1]Emissions!K858</f>
        <v>4.099244916</v>
      </c>
      <c r="M402" s="6">
        <f>[1]Emissions!L858</f>
        <v>4.1609186649999996</v>
      </c>
      <c r="N402" s="6">
        <f>[1]Emissions!M858</f>
        <v>4.2160108239999996</v>
      </c>
      <c r="O402" s="6">
        <f>[1]Emissions!N858</f>
        <v>4.2700002550000002</v>
      </c>
      <c r="P402" s="6">
        <f>[1]Emissions!O858</f>
        <v>4.3235565090000003</v>
      </c>
      <c r="Q402" s="6">
        <f>[1]Emissions!P858</f>
        <v>4.376813651</v>
      </c>
      <c r="R402" s="6">
        <f>[1]Emissions!Q858</f>
        <v>4.4298661829999997</v>
      </c>
      <c r="S402" s="6">
        <f>[1]Emissions!R858</f>
        <v>4.4819002149999996</v>
      </c>
      <c r="T402" s="6">
        <f>[1]Emissions!S858</f>
        <v>4.5338881019999997</v>
      </c>
      <c r="U402" s="6">
        <f>[1]Emissions!T858</f>
        <v>4.586059551</v>
      </c>
      <c r="V402" s="6">
        <f>[1]Emissions!U858</f>
        <v>4.6385618209999997</v>
      </c>
      <c r="W402" s="6">
        <f>[1]Emissions!V858</f>
        <v>4.6872879129999996</v>
      </c>
      <c r="X402" s="6">
        <f>[1]Emissions!W858</f>
        <v>4.7404634699999999</v>
      </c>
      <c r="Y402" s="6">
        <f>[1]Emissions!X858</f>
        <v>4.794819918</v>
      </c>
      <c r="Z402" s="6">
        <f>[1]Emissions!Y858</f>
        <v>4.8500746450000003</v>
      </c>
      <c r="AA402" s="6">
        <f>[1]Emissions!Z858</f>
        <v>4.906282848</v>
      </c>
      <c r="AB402" s="6">
        <f>[1]Emissions!AA858</f>
        <v>4.951465732</v>
      </c>
      <c r="AC402" s="6">
        <f>[1]Emissions!AB858</f>
        <v>5.0033252289999997</v>
      </c>
      <c r="AD402" s="6">
        <f>[1]Emissions!AC858</f>
        <v>5.0570338770000003</v>
      </c>
      <c r="AE402" s="6">
        <f>[1]Emissions!AD858</f>
        <v>5.1120828210000004</v>
      </c>
      <c r="AF402" s="6">
        <f>[1]Emissions!AE858</f>
        <v>5.1684524969999996</v>
      </c>
      <c r="AG402" s="6">
        <f>[1]Emissions!AF858</f>
        <v>5.2261662639999997</v>
      </c>
      <c r="AH402" s="6">
        <f>[1]Emissions!AG858</f>
        <v>5.2854446800000003</v>
      </c>
      <c r="AI402" s="6">
        <f>[1]Emissions!AH858</f>
        <v>5.3461047089999996</v>
      </c>
      <c r="AJ402" s="6">
        <f>[1]Emissions!AI858</f>
        <v>5.4081175139999997</v>
      </c>
      <c r="AK402" s="6">
        <f>[1]Emissions!AJ858</f>
        <v>5.4714635319999996</v>
      </c>
      <c r="AL402" s="6">
        <f>[1]Emissions!AK858</f>
        <v>5.5361177899999996</v>
      </c>
      <c r="AM402" s="6">
        <f>[1]Emissions!AL858</f>
        <v>5.6010019949999998</v>
      </c>
      <c r="AN402" s="6">
        <f>[1]Emissions!AM858</f>
        <v>5.6669788519999997</v>
      </c>
      <c r="AO402" s="6">
        <f>[1]Emissions!AN858</f>
        <v>5.7341341750000003</v>
      </c>
      <c r="AP402" s="6">
        <f>[1]Emissions!AO858</f>
        <v>5.8024564300000003</v>
      </c>
      <c r="AQ402" s="6">
        <f>[1]Emissions!AP858</f>
        <v>5.8719195940000004</v>
      </c>
      <c r="AR402" s="6">
        <f>[1]Emissions!AQ858</f>
        <v>5.9427849269999999</v>
      </c>
      <c r="AS402" s="6">
        <f>[1]Emissions!AR858</f>
        <v>6.0147682539999998</v>
      </c>
      <c r="AT402" s="6">
        <f>[1]Emissions!AS858</f>
        <v>6.0878188770000001</v>
      </c>
      <c r="AU402" s="6">
        <f>[1]Emissions!AT858</f>
        <v>6.1619148299999997</v>
      </c>
      <c r="AV402" s="6">
        <f>[1]Emissions!AU858</f>
        <v>6.2370391989999998</v>
      </c>
      <c r="AW402" s="6">
        <f>[1]Emissions!AV858</f>
        <v>6.3144116950000004</v>
      </c>
      <c r="AX402" s="6">
        <f>[1]Emissions!AW858</f>
        <v>6.3929211439999998</v>
      </c>
      <c r="AY402" s="6">
        <f>[1]Emissions!AX858</f>
        <v>6.4724359250000001</v>
      </c>
      <c r="AZ402" s="6">
        <f>[1]Emissions!AY858</f>
        <v>6.5529365190000002</v>
      </c>
      <c r="BA402" s="6">
        <f>[1]Emissions!AZ858</f>
        <v>6.6344164709999998</v>
      </c>
      <c r="BB402" s="6">
        <f>[1]Emissions!BA858</f>
        <v>6.7174859409999996</v>
      </c>
      <c r="BC402" s="6">
        <f>[1]Emissions!BB858</f>
        <v>6.8016019779999999</v>
      </c>
      <c r="BD402" s="6">
        <f>[1]Emissions!BC858</f>
        <v>6.8867113690000004</v>
      </c>
      <c r="BE402" s="6">
        <f>[1]Emissions!BD858</f>
        <v>6.9728179040000002</v>
      </c>
      <c r="BF402" s="6">
        <f>[1]Emissions!BE858</f>
        <v>7.0599326549999999</v>
      </c>
    </row>
    <row r="403" spans="2:58" x14ac:dyDescent="0.35">
      <c r="B403" s="6" t="str">
        <f>[1]Emissions!A860</f>
        <v>ems_ci_co2_sair_2</v>
      </c>
      <c r="C403" s="6">
        <f>[1]Emissions!B860</f>
        <v>18.71343495</v>
      </c>
      <c r="D403" s="6">
        <f>[1]Emissions!C860</f>
        <v>18.846332220000001</v>
      </c>
      <c r="E403" s="6">
        <f>[1]Emissions!D860</f>
        <v>19.06814546</v>
      </c>
      <c r="F403" s="6">
        <f>[1]Emissions!E860</f>
        <v>19.323971360000002</v>
      </c>
      <c r="G403" s="6">
        <f>[1]Emissions!F860</f>
        <v>19.607234779999999</v>
      </c>
      <c r="H403" s="6">
        <f>[1]Emissions!G860</f>
        <v>19.916239600000001</v>
      </c>
      <c r="I403" s="6">
        <f>[1]Emissions!H860</f>
        <v>20.233427630000001</v>
      </c>
      <c r="J403" s="6">
        <f>[1]Emissions!I860</f>
        <v>20.565101609999999</v>
      </c>
      <c r="K403" s="6">
        <f>[1]Emissions!J860</f>
        <v>20.91019519</v>
      </c>
      <c r="L403" s="6">
        <f>[1]Emissions!K860</f>
        <v>21.266511860000001</v>
      </c>
      <c r="M403" s="6">
        <f>[1]Emissions!L860</f>
        <v>21.65766889</v>
      </c>
      <c r="N403" s="6">
        <f>[1]Emissions!M860</f>
        <v>22.037966180000002</v>
      </c>
      <c r="O403" s="6">
        <f>[1]Emissions!N860</f>
        <v>22.41963419</v>
      </c>
      <c r="P403" s="6">
        <f>[1]Emissions!O860</f>
        <v>22.80383733</v>
      </c>
      <c r="Q403" s="6">
        <f>[1]Emissions!P860</f>
        <v>23.19041447</v>
      </c>
      <c r="R403" s="6">
        <f>[1]Emissions!Q860</f>
        <v>23.579269629999999</v>
      </c>
      <c r="S403" s="6">
        <f>[1]Emissions!R860</f>
        <v>23.967740280000001</v>
      </c>
      <c r="T403" s="6">
        <f>[1]Emissions!S860</f>
        <v>24.35828051</v>
      </c>
      <c r="U403" s="6">
        <f>[1]Emissions!T860</f>
        <v>24.751606160000001</v>
      </c>
      <c r="V403" s="6">
        <f>[1]Emissions!U860</f>
        <v>25.148250000000001</v>
      </c>
      <c r="W403" s="6">
        <f>[1]Emissions!V860</f>
        <v>25.529412529999998</v>
      </c>
      <c r="X403" s="6">
        <f>[1]Emissions!W860</f>
        <v>25.92620982</v>
      </c>
      <c r="Y403" s="6">
        <f>[1]Emissions!X860</f>
        <v>26.330783449999998</v>
      </c>
      <c r="Z403" s="6">
        <f>[1]Emissions!Y860</f>
        <v>26.74224134</v>
      </c>
      <c r="AA403" s="6">
        <f>[1]Emissions!Z860</f>
        <v>27.160703909999999</v>
      </c>
      <c r="AB403" s="6">
        <f>[1]Emissions!AA860</f>
        <v>27.5305359</v>
      </c>
      <c r="AC403" s="6">
        <f>[1]Emissions!AB860</f>
        <v>27.91455844</v>
      </c>
      <c r="AD403" s="6">
        <f>[1]Emissions!AC860</f>
        <v>28.30326045</v>
      </c>
      <c r="AE403" s="6">
        <f>[1]Emissions!AD860</f>
        <v>28.69664028</v>
      </c>
      <c r="AF403" s="6">
        <f>[1]Emissions!AE860</f>
        <v>29.095906400000001</v>
      </c>
      <c r="AG403" s="6">
        <f>[1]Emissions!AF860</f>
        <v>29.502200080000001</v>
      </c>
      <c r="AH403" s="6">
        <f>[1]Emissions!AG860</f>
        <v>29.91702188</v>
      </c>
      <c r="AI403" s="6">
        <f>[1]Emissions!AH860</f>
        <v>30.34049602</v>
      </c>
      <c r="AJ403" s="6">
        <f>[1]Emissions!AI860</f>
        <v>30.772924979999999</v>
      </c>
      <c r="AK403" s="6">
        <f>[1]Emissions!AJ860</f>
        <v>31.214497829999999</v>
      </c>
      <c r="AL403" s="6">
        <f>[1]Emissions!AK860</f>
        <v>31.665300640000002</v>
      </c>
      <c r="AM403" s="6">
        <f>[1]Emissions!AL860</f>
        <v>32.11735324</v>
      </c>
      <c r="AN403" s="6">
        <f>[1]Emissions!AM860</f>
        <v>32.573895829999998</v>
      </c>
      <c r="AO403" s="6">
        <f>[1]Emissions!AN860</f>
        <v>33.036220919999998</v>
      </c>
      <c r="AP403" s="6">
        <f>[1]Emissions!AO860</f>
        <v>33.505160539999999</v>
      </c>
      <c r="AQ403" s="6">
        <f>[1]Emissions!AP860</f>
        <v>33.981394659999999</v>
      </c>
      <c r="AR403" s="6">
        <f>[1]Emissions!AQ860</f>
        <v>34.466387660000002</v>
      </c>
      <c r="AS403" s="6">
        <f>[1]Emissions!AR860</f>
        <v>34.959926520000003</v>
      </c>
      <c r="AT403" s="6">
        <f>[1]Emissions!AS860</f>
        <v>35.462231869999997</v>
      </c>
      <c r="AU403" s="6">
        <f>[1]Emissions!AT860</f>
        <v>35.97348822</v>
      </c>
      <c r="AV403" s="6">
        <f>[1]Emissions!AU860</f>
        <v>36.49380867</v>
      </c>
      <c r="AW403" s="6">
        <f>[1]Emissions!AV860</f>
        <v>37.027545320000002</v>
      </c>
      <c r="AX403" s="6">
        <f>[1]Emissions!AW860</f>
        <v>37.57181903</v>
      </c>
      <c r="AY403" s="6">
        <f>[1]Emissions!AX860</f>
        <v>38.12608685</v>
      </c>
      <c r="AZ403" s="6">
        <f>[1]Emissions!AY860</f>
        <v>38.690131139999998</v>
      </c>
      <c r="BA403" s="6">
        <f>[1]Emissions!AZ860</f>
        <v>39.263817330000002</v>
      </c>
      <c r="BB403" s="6">
        <f>[1]Emissions!BA860</f>
        <v>39.848990890000003</v>
      </c>
      <c r="BC403" s="6">
        <f>[1]Emissions!BB860</f>
        <v>40.444230150000003</v>
      </c>
      <c r="BD403" s="6">
        <f>[1]Emissions!BC860</f>
        <v>41.04931886</v>
      </c>
      <c r="BE403" s="6">
        <f>[1]Emissions!BD860</f>
        <v>41.664231059999999</v>
      </c>
      <c r="BF403" s="6">
        <f>[1]Emissions!BE860</f>
        <v>42.289006409999999</v>
      </c>
    </row>
    <row r="404" spans="2:58" x14ac:dyDescent="0.35">
      <c r="B404" s="6" t="str">
        <f>[1]Emissions!A862</f>
        <v>ems_ci_co2_spri_2</v>
      </c>
      <c r="C404" s="6">
        <f>[1]Emissions!B862</f>
        <v>30.735232230000001</v>
      </c>
      <c r="D404" s="6">
        <f>[1]Emissions!C862</f>
        <v>30.749906259999999</v>
      </c>
      <c r="E404" s="6">
        <f>[1]Emissions!D862</f>
        <v>30.849569599999999</v>
      </c>
      <c r="F404" s="6">
        <f>[1]Emissions!E862</f>
        <v>31.02158249</v>
      </c>
      <c r="G404" s="6">
        <f>[1]Emissions!F862</f>
        <v>31.26911965</v>
      </c>
      <c r="H404" s="6">
        <f>[1]Emissions!G862</f>
        <v>31.590477799999999</v>
      </c>
      <c r="I404" s="6">
        <f>[1]Emissions!H862</f>
        <v>31.960786379999998</v>
      </c>
      <c r="J404" s="6">
        <f>[1]Emissions!I862</f>
        <v>32.378162799999998</v>
      </c>
      <c r="K404" s="6">
        <f>[1]Emissions!J862</f>
        <v>32.835945090000003</v>
      </c>
      <c r="L404" s="6">
        <f>[1]Emissions!K862</f>
        <v>33.327030890000003</v>
      </c>
      <c r="M404" s="6">
        <f>[1]Emissions!L862</f>
        <v>33.875754479999998</v>
      </c>
      <c r="N404" s="6">
        <f>[1]Emissions!M862</f>
        <v>34.431674129999998</v>
      </c>
      <c r="O404" s="6">
        <f>[1]Emissions!N862</f>
        <v>34.998652159999999</v>
      </c>
      <c r="P404" s="6">
        <f>[1]Emissions!O862</f>
        <v>35.575219789999998</v>
      </c>
      <c r="Q404" s="6">
        <f>[1]Emissions!P862</f>
        <v>36.15912831</v>
      </c>
      <c r="R404" s="6">
        <f>[1]Emissions!Q862</f>
        <v>36.748497260000001</v>
      </c>
      <c r="S404" s="6">
        <f>[1]Emissions!R862</f>
        <v>37.339748470000004</v>
      </c>
      <c r="T404" s="6">
        <f>[1]Emissions!S862</f>
        <v>37.933086619999997</v>
      </c>
      <c r="U404" s="6">
        <f>[1]Emissions!T862</f>
        <v>38.528255950000002</v>
      </c>
      <c r="V404" s="6">
        <f>[1]Emissions!U862</f>
        <v>39.125156130000001</v>
      </c>
      <c r="W404" s="6">
        <f>[1]Emissions!V862</f>
        <v>39.701081909999999</v>
      </c>
      <c r="X404" s="6">
        <f>[1]Emissions!W862</f>
        <v>40.288217869999997</v>
      </c>
      <c r="Y404" s="6">
        <f>[1]Emissions!X862</f>
        <v>40.881680699999997</v>
      </c>
      <c r="Z404" s="6">
        <f>[1]Emissions!Y862</f>
        <v>41.480603619999997</v>
      </c>
      <c r="AA404" s="6">
        <f>[1]Emissions!Z862</f>
        <v>42.08515439</v>
      </c>
      <c r="AB404" s="6">
        <f>[1]Emissions!AA862</f>
        <v>42.629995430000001</v>
      </c>
      <c r="AC404" s="6">
        <f>[1]Emissions!AB862</f>
        <v>43.176860640000001</v>
      </c>
      <c r="AD404" s="6">
        <f>[1]Emissions!AC862</f>
        <v>43.722390089999998</v>
      </c>
      <c r="AE404" s="6">
        <f>[1]Emissions!AD862</f>
        <v>44.267780119999998</v>
      </c>
      <c r="AF404" s="6">
        <f>[1]Emissions!AE862</f>
        <v>44.815232330000001</v>
      </c>
      <c r="AG404" s="6">
        <f>[1]Emissions!AF862</f>
        <v>45.366835090000002</v>
      </c>
      <c r="AH404" s="6">
        <f>[1]Emissions!AG862</f>
        <v>45.924775959999998</v>
      </c>
      <c r="AI404" s="6">
        <f>[1]Emissions!AH862</f>
        <v>46.490148750000003</v>
      </c>
      <c r="AJ404" s="6">
        <f>[1]Emissions!AI862</f>
        <v>47.063906279999998</v>
      </c>
      <c r="AK404" s="6">
        <f>[1]Emissions!AJ862</f>
        <v>47.646754610000002</v>
      </c>
      <c r="AL404" s="6">
        <f>[1]Emissions!AK862</f>
        <v>48.239177490000003</v>
      </c>
      <c r="AM404" s="6">
        <f>[1]Emissions!AL862</f>
        <v>48.829822950000001</v>
      </c>
      <c r="AN404" s="6">
        <f>[1]Emissions!AM862</f>
        <v>49.422743760000003</v>
      </c>
      <c r="AO404" s="6">
        <f>[1]Emissions!AN862</f>
        <v>50.02009529</v>
      </c>
      <c r="AP404" s="6">
        <f>[1]Emissions!AO862</f>
        <v>50.623287329999997</v>
      </c>
      <c r="AQ404" s="6">
        <f>[1]Emissions!AP862</f>
        <v>51.23336269</v>
      </c>
      <c r="AR404" s="6">
        <f>[1]Emissions!AQ862</f>
        <v>51.851736160000002</v>
      </c>
      <c r="AS404" s="6">
        <f>[1]Emissions!AR862</f>
        <v>52.478652519999997</v>
      </c>
      <c r="AT404" s="6">
        <f>[1]Emissions!AS862</f>
        <v>53.114461460000001</v>
      </c>
      <c r="AU404" s="6">
        <f>[1]Emissions!AT862</f>
        <v>53.759412640000001</v>
      </c>
      <c r="AV404" s="6">
        <f>[1]Emissions!AU862</f>
        <v>54.413640350000001</v>
      </c>
      <c r="AW404" s="6">
        <f>[1]Emissions!AV862</f>
        <v>55.080662529999998</v>
      </c>
      <c r="AX404" s="6">
        <f>[1]Emissions!AW862</f>
        <v>55.758791840000001</v>
      </c>
      <c r="AY404" s="6">
        <f>[1]Emissions!AX862</f>
        <v>56.44757705</v>
      </c>
      <c r="AZ404" s="6">
        <f>[1]Emissions!AY862</f>
        <v>57.146773209999999</v>
      </c>
      <c r="BA404" s="6">
        <f>[1]Emissions!AZ862</f>
        <v>57.856138819999998</v>
      </c>
      <c r="BB404" s="6">
        <f>[1]Emissions!BA862</f>
        <v>58.576708969999999</v>
      </c>
      <c r="BC404" s="6">
        <f>[1]Emissions!BB862</f>
        <v>59.307589790000002</v>
      </c>
      <c r="BD404" s="6">
        <f>[1]Emissions!BC862</f>
        <v>60.048544440000001</v>
      </c>
      <c r="BE404" s="6">
        <f>[1]Emissions!BD862</f>
        <v>60.79947568</v>
      </c>
      <c r="BF404" s="6">
        <f>[1]Emissions!BE862</f>
        <v>61.560320619999999</v>
      </c>
    </row>
    <row r="405" spans="2:58" x14ac:dyDescent="0.35">
      <c r="B405" s="6" t="str">
        <f>[1]Emissions!A864</f>
        <v>ems_ci_co2_spub_2</v>
      </c>
      <c r="C405" s="6">
        <f>[1]Emissions!B864</f>
        <v>14.284820809999999</v>
      </c>
      <c r="D405" s="6">
        <f>[1]Emissions!C864</f>
        <v>14.42559127</v>
      </c>
      <c r="E405" s="6">
        <f>[1]Emissions!D864</f>
        <v>14.5793131</v>
      </c>
      <c r="F405" s="6">
        <f>[1]Emissions!E864</f>
        <v>14.74344443</v>
      </c>
      <c r="G405" s="6">
        <f>[1]Emissions!F864</f>
        <v>14.92256302</v>
      </c>
      <c r="H405" s="6">
        <f>[1]Emissions!G864</f>
        <v>15.118944490000001</v>
      </c>
      <c r="I405" s="6">
        <f>[1]Emissions!H864</f>
        <v>15.320182989999999</v>
      </c>
      <c r="J405" s="6">
        <f>[1]Emissions!I864</f>
        <v>15.534557339999999</v>
      </c>
      <c r="K405" s="6">
        <f>[1]Emissions!J864</f>
        <v>15.76164011</v>
      </c>
      <c r="L405" s="6">
        <f>[1]Emissions!K864</f>
        <v>16.000006679999998</v>
      </c>
      <c r="M405" s="6">
        <f>[1]Emissions!L864</f>
        <v>16.269807879999998</v>
      </c>
      <c r="N405" s="6">
        <f>[1]Emissions!M864</f>
        <v>16.53138616</v>
      </c>
      <c r="O405" s="6">
        <f>[1]Emissions!N864</f>
        <v>16.798300019999999</v>
      </c>
      <c r="P405" s="6">
        <f>[1]Emissions!O864</f>
        <v>17.071395729999999</v>
      </c>
      <c r="Q405" s="6">
        <f>[1]Emissions!P864</f>
        <v>17.350065659999999</v>
      </c>
      <c r="R405" s="6">
        <f>[1]Emissions!Q864</f>
        <v>17.633660389999999</v>
      </c>
      <c r="S405" s="6">
        <f>[1]Emissions!R864</f>
        <v>17.92143497</v>
      </c>
      <c r="T405" s="6">
        <f>[1]Emissions!S864</f>
        <v>18.213003570000001</v>
      </c>
      <c r="U405" s="6">
        <f>[1]Emissions!T864</f>
        <v>18.508039969999999</v>
      </c>
      <c r="V405" s="6">
        <f>[1]Emissions!U864</f>
        <v>18.806318170000001</v>
      </c>
      <c r="W405" s="6">
        <f>[1]Emissions!V864</f>
        <v>19.091556310000001</v>
      </c>
      <c r="X405" s="6">
        <f>[1]Emissions!W864</f>
        <v>19.392400420000001</v>
      </c>
      <c r="Y405" s="6">
        <f>[1]Emissions!X864</f>
        <v>19.697932519999998</v>
      </c>
      <c r="Z405" s="6">
        <f>[1]Emissions!Y864</f>
        <v>20.00690234</v>
      </c>
      <c r="AA405" s="6">
        <f>[1]Emissions!Z864</f>
        <v>20.319282730000001</v>
      </c>
      <c r="AB405" s="6">
        <f>[1]Emissions!AA864</f>
        <v>20.588353590000001</v>
      </c>
      <c r="AC405" s="6">
        <f>[1]Emissions!AB864</f>
        <v>20.87535716</v>
      </c>
      <c r="AD405" s="6">
        <f>[1]Emissions!AC864</f>
        <v>21.16571094</v>
      </c>
      <c r="AE405" s="6">
        <f>[1]Emissions!AD864</f>
        <v>21.457977870000001</v>
      </c>
      <c r="AF405" s="6">
        <f>[1]Emissions!AE864</f>
        <v>21.752390599999998</v>
      </c>
      <c r="AG405" s="6">
        <f>[1]Emissions!AF864</f>
        <v>22.04936447</v>
      </c>
      <c r="AH405" s="6">
        <f>[1]Emissions!AG864</f>
        <v>22.349333649999998</v>
      </c>
      <c r="AI405" s="6">
        <f>[1]Emissions!AH864</f>
        <v>22.652650600000001</v>
      </c>
      <c r="AJ405" s="6">
        <f>[1]Emissions!AI864</f>
        <v>22.95964124</v>
      </c>
      <c r="AK405" s="6">
        <f>[1]Emissions!AJ864</f>
        <v>23.270589999999999</v>
      </c>
      <c r="AL405" s="6">
        <f>[1]Emissions!AK864</f>
        <v>23.585738670000001</v>
      </c>
      <c r="AM405" s="6">
        <f>[1]Emissions!AL864</f>
        <v>23.894200479999999</v>
      </c>
      <c r="AN405" s="6">
        <f>[1]Emissions!AM864</f>
        <v>24.204791660000001</v>
      </c>
      <c r="AO405" s="6">
        <f>[1]Emissions!AN864</f>
        <v>24.518834139999999</v>
      </c>
      <c r="AP405" s="6">
        <f>[1]Emissions!AO864</f>
        <v>24.836696889999999</v>
      </c>
      <c r="AQ405" s="6">
        <f>[1]Emissions!AP864</f>
        <v>25.158594730000001</v>
      </c>
      <c r="AR405" s="6">
        <f>[1]Emissions!AQ864</f>
        <v>25.484725489999999</v>
      </c>
      <c r="AS405" s="6">
        <f>[1]Emissions!AR864</f>
        <v>25.815209379999999</v>
      </c>
      <c r="AT405" s="6">
        <f>[1]Emissions!AS864</f>
        <v>26.150168300000001</v>
      </c>
      <c r="AU405" s="6">
        <f>[1]Emissions!AT864</f>
        <v>26.489705140000002</v>
      </c>
      <c r="AV405" s="6">
        <f>[1]Emissions!AU864</f>
        <v>26.83390288</v>
      </c>
      <c r="AW405" s="6">
        <f>[1]Emissions!AV864</f>
        <v>27.18395452</v>
      </c>
      <c r="AX405" s="6">
        <f>[1]Emissions!AW864</f>
        <v>27.539100319999999</v>
      </c>
      <c r="AY405" s="6">
        <f>[1]Emissions!AX864</f>
        <v>27.89935204</v>
      </c>
      <c r="AZ405" s="6">
        <f>[1]Emissions!AY864</f>
        <v>28.264786879999999</v>
      </c>
      <c r="BA405" s="6">
        <f>[1]Emissions!AZ864</f>
        <v>28.63545388</v>
      </c>
      <c r="BB405" s="6">
        <f>[1]Emissions!BA864</f>
        <v>29.011425320000001</v>
      </c>
      <c r="BC405" s="6">
        <f>[1]Emissions!BB864</f>
        <v>29.392694509999998</v>
      </c>
      <c r="BD405" s="6">
        <f>[1]Emissions!BC864</f>
        <v>29.779315369999999</v>
      </c>
      <c r="BE405" s="6">
        <f>[1]Emissions!BD864</f>
        <v>30.171341000000002</v>
      </c>
      <c r="BF405" s="6">
        <f>[1]Emissions!BE864</f>
        <v>30.56881271</v>
      </c>
    </row>
    <row r="406" spans="2:58" x14ac:dyDescent="0.35">
      <c r="B406" s="6" t="str">
        <f>[1]Emissions!A866</f>
        <v>ems_ci_co2_smin_2</v>
      </c>
      <c r="C406" s="6">
        <f>[1]Emissions!B866</f>
        <v>1.0272529459999999</v>
      </c>
      <c r="D406" s="6">
        <f>[1]Emissions!C866</f>
        <v>1.02928463</v>
      </c>
      <c r="E406" s="6">
        <f>[1]Emissions!D866</f>
        <v>1.036796552</v>
      </c>
      <c r="F406" s="6">
        <f>[1]Emissions!E866</f>
        <v>1.0471590310000001</v>
      </c>
      <c r="G406" s="6">
        <f>[1]Emissions!F866</f>
        <v>1.05952818</v>
      </c>
      <c r="H406" s="6">
        <f>[1]Emissions!G866</f>
        <v>1.0734521560000001</v>
      </c>
      <c r="I406" s="6">
        <f>[1]Emissions!H866</f>
        <v>1.087969041</v>
      </c>
      <c r="J406" s="6">
        <f>[1]Emissions!I866</f>
        <v>1.1031347330000001</v>
      </c>
      <c r="K406" s="6">
        <f>[1]Emissions!J866</f>
        <v>1.118851767</v>
      </c>
      <c r="L406" s="6">
        <f>[1]Emissions!K866</f>
        <v>1.134996152</v>
      </c>
      <c r="M406" s="6">
        <f>[1]Emissions!L866</f>
        <v>1.1524951489999999</v>
      </c>
      <c r="N406" s="6">
        <f>[1]Emissions!M866</f>
        <v>1.169566648</v>
      </c>
      <c r="O406" s="6">
        <f>[1]Emissions!N866</f>
        <v>1.1865576090000001</v>
      </c>
      <c r="P406" s="6">
        <f>[1]Emissions!O866</f>
        <v>1.2035534510000001</v>
      </c>
      <c r="Q406" s="6">
        <f>[1]Emissions!P866</f>
        <v>1.2205689710000001</v>
      </c>
      <c r="R406" s="6">
        <f>[1]Emissions!Q866</f>
        <v>1.237611781</v>
      </c>
      <c r="S406" s="6">
        <f>[1]Emissions!R866</f>
        <v>1.2545867690000001</v>
      </c>
      <c r="T406" s="6">
        <f>[1]Emissions!S866</f>
        <v>1.2715928919999999</v>
      </c>
      <c r="U406" s="6">
        <f>[1]Emissions!T866</f>
        <v>1.2886784570000001</v>
      </c>
      <c r="V406" s="6">
        <f>[1]Emissions!U866</f>
        <v>1.305879942</v>
      </c>
      <c r="W406" s="6">
        <f>[1]Emissions!V866</f>
        <v>1.322471476</v>
      </c>
      <c r="X406" s="6">
        <f>[1]Emissions!W866</f>
        <v>1.3396447869999999</v>
      </c>
      <c r="Y406" s="6">
        <f>[1]Emissions!X866</f>
        <v>1.3571831009999999</v>
      </c>
      <c r="Z406" s="6">
        <f>[1]Emissions!Y866</f>
        <v>1.3750337159999999</v>
      </c>
      <c r="AA406" s="6">
        <f>[1]Emissions!Z866</f>
        <v>1.393195717</v>
      </c>
      <c r="AB406" s="6">
        <f>[1]Emissions!AA866</f>
        <v>1.4095087690000001</v>
      </c>
      <c r="AC406" s="6">
        <f>[1]Emissions!AB866</f>
        <v>1.4263064270000001</v>
      </c>
      <c r="AD406" s="6">
        <f>[1]Emissions!AC866</f>
        <v>1.443393323</v>
      </c>
      <c r="AE406" s="6">
        <f>[1]Emissions!AD866</f>
        <v>1.460743661</v>
      </c>
      <c r="AF406" s="6">
        <f>[1]Emissions!AE866</f>
        <v>1.4783848390000001</v>
      </c>
      <c r="AG406" s="6">
        <f>[1]Emissions!AF866</f>
        <v>1.4963491900000001</v>
      </c>
      <c r="AH406" s="6">
        <f>[1]Emissions!AG866</f>
        <v>1.514685968</v>
      </c>
      <c r="AI406" s="6">
        <f>[1]Emissions!AH866</f>
        <v>1.533393378</v>
      </c>
      <c r="AJ406" s="6">
        <f>[1]Emissions!AI866</f>
        <v>1.552473056</v>
      </c>
      <c r="AK406" s="6">
        <f>[1]Emissions!AJ866</f>
        <v>1.571923014</v>
      </c>
      <c r="AL406" s="6">
        <f>[1]Emissions!AK866</f>
        <v>1.591737384</v>
      </c>
      <c r="AM406" s="6">
        <f>[1]Emissions!AL866</f>
        <v>1.611608012</v>
      </c>
      <c r="AN406" s="6">
        <f>[1]Emissions!AM866</f>
        <v>1.6316402000000001</v>
      </c>
      <c r="AO406" s="6">
        <f>[1]Emissions!AN866</f>
        <v>1.6518838389999999</v>
      </c>
      <c r="AP406" s="6">
        <f>[1]Emissions!AO866</f>
        <v>1.6723633959999999</v>
      </c>
      <c r="AQ406" s="6">
        <f>[1]Emissions!AP866</f>
        <v>1.6930941859999999</v>
      </c>
      <c r="AR406" s="6">
        <f>[1]Emissions!AQ866</f>
        <v>1.7141222700000001</v>
      </c>
      <c r="AS406" s="6">
        <f>[1]Emissions!AR866</f>
        <v>1.735432372</v>
      </c>
      <c r="AT406" s="6">
        <f>[1]Emissions!AS866</f>
        <v>1.7570227119999999</v>
      </c>
      <c r="AU406" s="6">
        <f>[1]Emissions!AT866</f>
        <v>1.7788929</v>
      </c>
      <c r="AV406" s="6">
        <f>[1]Emissions!AU866</f>
        <v>1.8010414530000001</v>
      </c>
      <c r="AW406" s="6">
        <f>[1]Emissions!AV866</f>
        <v>1.8236320180000001</v>
      </c>
      <c r="AX406" s="6">
        <f>[1]Emissions!AW866</f>
        <v>1.846560998</v>
      </c>
      <c r="AY406" s="6">
        <f>[1]Emissions!AX866</f>
        <v>1.86979465</v>
      </c>
      <c r="AZ406" s="6">
        <f>[1]Emissions!AY866</f>
        <v>1.8933181210000001</v>
      </c>
      <c r="BA406" s="6">
        <f>[1]Emissions!AZ866</f>
        <v>1.9171225009999999</v>
      </c>
      <c r="BB406" s="6">
        <f>[1]Emissions!BA866</f>
        <v>1.9412771280000001</v>
      </c>
      <c r="BC406" s="6">
        <f>[1]Emissions!BB866</f>
        <v>1.9657306910000001</v>
      </c>
      <c r="BD406" s="6">
        <f>[1]Emissions!BC866</f>
        <v>1.990468723</v>
      </c>
      <c r="BE406" s="6">
        <f>[1]Emissions!BD866</f>
        <v>2.0154872940000002</v>
      </c>
      <c r="BF406" s="6">
        <f>[1]Emissions!BE866</f>
        <v>2.0407863989999999</v>
      </c>
    </row>
    <row r="407" spans="2:58" x14ac:dyDescent="0.35">
      <c r="B407" s="6" t="str">
        <f>[1]Emissions!A868</f>
        <v>ems_ci_co2_soil_2</v>
      </c>
      <c r="C407" s="6">
        <f>[1]Emissions!B868</f>
        <v>16.253320129999999</v>
      </c>
      <c r="D407" s="6">
        <f>[1]Emissions!C868</f>
        <v>16.259166700000002</v>
      </c>
      <c r="E407" s="6">
        <f>[1]Emissions!D868</f>
        <v>16.306046259999999</v>
      </c>
      <c r="F407" s="6">
        <f>[1]Emissions!E868</f>
        <v>16.378150699999999</v>
      </c>
      <c r="G407" s="6">
        <f>[1]Emissions!F868</f>
        <v>16.476575100000002</v>
      </c>
      <c r="H407" s="6">
        <f>[1]Emissions!G868</f>
        <v>16.59961814</v>
      </c>
      <c r="I407" s="6">
        <f>[1]Emissions!H868</f>
        <v>16.734590520000001</v>
      </c>
      <c r="J407" s="6">
        <f>[1]Emissions!I868</f>
        <v>16.88326086</v>
      </c>
      <c r="K407" s="6">
        <f>[1]Emissions!J868</f>
        <v>17.04400085</v>
      </c>
      <c r="L407" s="6">
        <f>[1]Emissions!K868</f>
        <v>17.214659619999999</v>
      </c>
      <c r="M407" s="6">
        <f>[1]Emissions!L868</f>
        <v>17.407598159999999</v>
      </c>
      <c r="N407" s="6">
        <f>[1]Emissions!M868</f>
        <v>17.59629872</v>
      </c>
      <c r="O407" s="6">
        <f>[1]Emissions!N868</f>
        <v>17.787186309999999</v>
      </c>
      <c r="P407" s="6">
        <f>[1]Emissions!O868</f>
        <v>17.98103201</v>
      </c>
      <c r="Q407" s="6">
        <f>[1]Emissions!P868</f>
        <v>18.177471260000001</v>
      </c>
      <c r="R407" s="6">
        <f>[1]Emissions!Q868</f>
        <v>18.376079359999999</v>
      </c>
      <c r="S407" s="6">
        <f>[1]Emissions!R868</f>
        <v>18.574857420000001</v>
      </c>
      <c r="T407" s="6">
        <f>[1]Emissions!S868</f>
        <v>18.774951380000001</v>
      </c>
      <c r="U407" s="6">
        <f>[1]Emissions!T868</f>
        <v>18.976557249999999</v>
      </c>
      <c r="V407" s="6">
        <f>[1]Emissions!U868</f>
        <v>19.1797279</v>
      </c>
      <c r="W407" s="6">
        <f>[1]Emissions!V868</f>
        <v>19.374148779999999</v>
      </c>
      <c r="X407" s="6">
        <f>[1]Emissions!W868</f>
        <v>19.576722</v>
      </c>
      <c r="Y407" s="6">
        <f>[1]Emissions!X868</f>
        <v>19.782872940000001</v>
      </c>
      <c r="Z407" s="6">
        <f>[1]Emissions!Y868</f>
        <v>19.99162712</v>
      </c>
      <c r="AA407" s="6">
        <f>[1]Emissions!Z868</f>
        <v>20.202863059999999</v>
      </c>
      <c r="AB407" s="6">
        <f>[1]Emissions!AA868</f>
        <v>20.387067460000001</v>
      </c>
      <c r="AC407" s="6">
        <f>[1]Emissions!AB868</f>
        <v>20.578859479999998</v>
      </c>
      <c r="AD407" s="6">
        <f>[1]Emissions!AC868</f>
        <v>20.772948670000002</v>
      </c>
      <c r="AE407" s="6">
        <f>[1]Emissions!AD868</f>
        <v>20.968508010000001</v>
      </c>
      <c r="AF407" s="6">
        <f>[1]Emissions!AE868</f>
        <v>21.165748229999998</v>
      </c>
      <c r="AG407" s="6">
        <f>[1]Emissions!AF868</f>
        <v>21.365027510000001</v>
      </c>
      <c r="AH407" s="6">
        <f>[1]Emissions!AG868</f>
        <v>21.567057460000001</v>
      </c>
      <c r="AI407" s="6">
        <f>[1]Emissions!AH868</f>
        <v>21.771817250000002</v>
      </c>
      <c r="AJ407" s="6">
        <f>[1]Emissions!AI868</f>
        <v>21.979450700000001</v>
      </c>
      <c r="AK407" s="6">
        <f>[1]Emissions!AJ868</f>
        <v>22.190087250000001</v>
      </c>
      <c r="AL407" s="6">
        <f>[1]Emissions!AK868</f>
        <v>22.403813240000002</v>
      </c>
      <c r="AM407" s="6">
        <f>[1]Emissions!AL868</f>
        <v>22.617028250000001</v>
      </c>
      <c r="AN407" s="6">
        <f>[1]Emissions!AM868</f>
        <v>22.83143419</v>
      </c>
      <c r="AO407" s="6">
        <f>[1]Emissions!AN868</f>
        <v>23.047663119999999</v>
      </c>
      <c r="AP407" s="6">
        <f>[1]Emissions!AO868</f>
        <v>23.266012969999998</v>
      </c>
      <c r="AQ407" s="6">
        <f>[1]Emissions!AP868</f>
        <v>23.4866709</v>
      </c>
      <c r="AR407" s="6">
        <f>[1]Emissions!AQ868</f>
        <v>23.710302219999999</v>
      </c>
      <c r="AS407" s="6">
        <f>[1]Emissions!AR868</f>
        <v>23.936599690000001</v>
      </c>
      <c r="AT407" s="6">
        <f>[1]Emissions!AS868</f>
        <v>24.16554309</v>
      </c>
      <c r="AU407" s="6">
        <f>[1]Emissions!AT868</f>
        <v>24.397144569999998</v>
      </c>
      <c r="AV407" s="6">
        <f>[1]Emissions!AU868</f>
        <v>24.631403339999999</v>
      </c>
      <c r="AW407" s="6">
        <f>[1]Emissions!AV868</f>
        <v>24.870794969999999</v>
      </c>
      <c r="AX407" s="6">
        <f>[1]Emissions!AW868</f>
        <v>25.113686040000001</v>
      </c>
      <c r="AY407" s="6">
        <f>[1]Emissions!AX868</f>
        <v>25.359788200000001</v>
      </c>
      <c r="AZ407" s="6">
        <f>[1]Emissions!AY868</f>
        <v>25.609045689999999</v>
      </c>
      <c r="BA407" s="6">
        <f>[1]Emissions!AZ868</f>
        <v>25.861406800000001</v>
      </c>
      <c r="BB407" s="6">
        <f>[1]Emissions!BA868</f>
        <v>26.117919579999999</v>
      </c>
      <c r="BC407" s="6">
        <f>[1]Emissions!BB868</f>
        <v>26.37765765</v>
      </c>
      <c r="BD407" s="6">
        <f>[1]Emissions!BC868</f>
        <v>26.640372970000001</v>
      </c>
      <c r="BE407" s="6">
        <f>[1]Emissions!BD868</f>
        <v>26.905957690000001</v>
      </c>
      <c r="BF407" s="6">
        <f>[1]Emissions!BE868</f>
        <v>27.174335410000001</v>
      </c>
    </row>
    <row r="408" spans="2:58" x14ac:dyDescent="0.35">
      <c r="B408" s="6" t="str">
        <f>[1]Emissions!A870</f>
        <v>ems_ci_co2_sbfu_2</v>
      </c>
      <c r="C408" s="6">
        <f>[1]Emissions!B870</f>
        <v>3.7951541679999998</v>
      </c>
      <c r="D408" s="6">
        <f>[1]Emissions!C870</f>
        <v>3.7935826800000001</v>
      </c>
      <c r="E408" s="6">
        <f>[1]Emissions!D870</f>
        <v>3.796706022</v>
      </c>
      <c r="F408" s="6">
        <f>[1]Emissions!E870</f>
        <v>3.8056094489999999</v>
      </c>
      <c r="G408" s="6">
        <f>[1]Emissions!F870</f>
        <v>3.8218916850000002</v>
      </c>
      <c r="H408" s="6">
        <f>[1]Emissions!G870</f>
        <v>3.8452840479999999</v>
      </c>
      <c r="I408" s="6">
        <f>[1]Emissions!H870</f>
        <v>3.8729446219999999</v>
      </c>
      <c r="J408" s="6">
        <f>[1]Emissions!I870</f>
        <v>3.9047718649999998</v>
      </c>
      <c r="K408" s="6">
        <f>[1]Emissions!J870</f>
        <v>3.9399842359999999</v>
      </c>
      <c r="L408" s="6">
        <f>[1]Emissions!K870</f>
        <v>3.9778544980000001</v>
      </c>
      <c r="M408" s="6">
        <f>[1]Emissions!L870</f>
        <v>4.0207056830000001</v>
      </c>
      <c r="N408" s="6">
        <f>[1]Emissions!M870</f>
        <v>4.0630914300000001</v>
      </c>
      <c r="O408" s="6">
        <f>[1]Emissions!N870</f>
        <v>4.1063167869999999</v>
      </c>
      <c r="P408" s="6">
        <f>[1]Emissions!O870</f>
        <v>4.1504220250000001</v>
      </c>
      <c r="Q408" s="6">
        <f>[1]Emissions!P870</f>
        <v>4.1952661149999999</v>
      </c>
      <c r="R408" s="6">
        <f>[1]Emissions!Q870</f>
        <v>4.2407181710000001</v>
      </c>
      <c r="S408" s="6">
        <f>[1]Emissions!R870</f>
        <v>4.2863243989999997</v>
      </c>
      <c r="T408" s="6">
        <f>[1]Emissions!S870</f>
        <v>4.3322952570000002</v>
      </c>
      <c r="U408" s="6">
        <f>[1]Emissions!T870</f>
        <v>4.3786343360000002</v>
      </c>
      <c r="V408" s="6">
        <f>[1]Emissions!U870</f>
        <v>4.4253231839999998</v>
      </c>
      <c r="W408" s="6">
        <f>[1]Emissions!V870</f>
        <v>4.4702500939999998</v>
      </c>
      <c r="X408" s="6">
        <f>[1]Emissions!W870</f>
        <v>4.5167993409999996</v>
      </c>
      <c r="Y408" s="6">
        <f>[1]Emissions!X870</f>
        <v>4.5639862889999998</v>
      </c>
      <c r="Z408" s="6">
        <f>[1]Emissions!Y870</f>
        <v>4.6116425330000004</v>
      </c>
      <c r="AA408" s="6">
        <f>[1]Emissions!Z870</f>
        <v>4.6597503790000001</v>
      </c>
      <c r="AB408" s="6">
        <f>[1]Emissions!AA870</f>
        <v>4.7023266540000002</v>
      </c>
      <c r="AC408" s="6">
        <f>[1]Emissions!AB870</f>
        <v>4.7463417950000002</v>
      </c>
      <c r="AD408" s="6">
        <f>[1]Emissions!AC870</f>
        <v>4.7905759449999996</v>
      </c>
      <c r="AE408" s="6">
        <f>[1]Emissions!AD870</f>
        <v>4.8349073779999996</v>
      </c>
      <c r="AF408" s="6">
        <f>[1]Emissions!AE870</f>
        <v>4.8794138519999999</v>
      </c>
      <c r="AG408" s="6">
        <f>[1]Emissions!AF870</f>
        <v>4.9241948420000003</v>
      </c>
      <c r="AH408" s="6">
        <f>[1]Emissions!AG870</f>
        <v>4.9694159410000003</v>
      </c>
      <c r="AI408" s="6">
        <f>[1]Emissions!AH870</f>
        <v>5.0150831350000002</v>
      </c>
      <c r="AJ408" s="6">
        <f>[1]Emissions!AI870</f>
        <v>5.0612356509999996</v>
      </c>
      <c r="AK408" s="6">
        <f>[1]Emissions!AJ870</f>
        <v>5.1079064169999997</v>
      </c>
      <c r="AL408" s="6">
        <f>[1]Emissions!AK870</f>
        <v>5.1551179979999997</v>
      </c>
      <c r="AM408" s="6">
        <f>[1]Emissions!AL870</f>
        <v>5.2021652009999997</v>
      </c>
      <c r="AN408" s="6">
        <f>[1]Emissions!AM870</f>
        <v>5.2493675609999997</v>
      </c>
      <c r="AO408" s="6">
        <f>[1]Emissions!AN870</f>
        <v>5.2968348770000002</v>
      </c>
      <c r="AP408" s="6">
        <f>[1]Emissions!AO870</f>
        <v>5.3446296819999999</v>
      </c>
      <c r="AQ408" s="6">
        <f>[1]Emissions!AP870</f>
        <v>5.3928008399999996</v>
      </c>
      <c r="AR408" s="6">
        <f>[1]Emissions!AQ870</f>
        <v>5.441499834</v>
      </c>
      <c r="AS408" s="6">
        <f>[1]Emissions!AR870</f>
        <v>5.4906735180000004</v>
      </c>
      <c r="AT408" s="6">
        <f>[1]Emissions!AS870</f>
        <v>5.5403309119999999</v>
      </c>
      <c r="AU408" s="6">
        <f>[1]Emissions!AT870</f>
        <v>5.5904842019999998</v>
      </c>
      <c r="AV408" s="6">
        <f>[1]Emissions!AU870</f>
        <v>5.6411395449999997</v>
      </c>
      <c r="AW408" s="6">
        <f>[1]Emissions!AV870</f>
        <v>5.6927979090000003</v>
      </c>
      <c r="AX408" s="6">
        <f>[1]Emissions!AW870</f>
        <v>5.7450920720000003</v>
      </c>
      <c r="AY408" s="6">
        <f>[1]Emissions!AX870</f>
        <v>5.797949107</v>
      </c>
      <c r="AZ408" s="6">
        <f>[1]Emissions!AY870</f>
        <v>5.8513433700000004</v>
      </c>
      <c r="BA408" s="6">
        <f>[1]Emissions!AZ870</f>
        <v>5.9052543350000004</v>
      </c>
      <c r="BB408" s="6">
        <f>[1]Emissions!BA870</f>
        <v>5.9598946770000003</v>
      </c>
      <c r="BC408" s="6">
        <f>[1]Emissions!BB870</f>
        <v>6.015064744</v>
      </c>
      <c r="BD408" s="6">
        <f>[1]Emissions!BC870</f>
        <v>6.0707151939999999</v>
      </c>
      <c r="BE408" s="6">
        <f>[1]Emissions!BD870</f>
        <v>6.1268223769999999</v>
      </c>
      <c r="BF408" s="6">
        <f>[1]Emissions!BE870</f>
        <v>6.1833667730000004</v>
      </c>
    </row>
    <row r="409" spans="2:58" x14ac:dyDescent="0.35">
      <c r="B409" s="6" t="str">
        <f>[1]Emissions!A872</f>
        <v>ems_ci_co2_seoi_2</v>
      </c>
      <c r="C409" s="6">
        <f>[1]Emissions!B872</f>
        <v>3.007782765</v>
      </c>
      <c r="D409" s="6">
        <f>[1]Emissions!C872</f>
        <v>3.0123186679999998</v>
      </c>
      <c r="E409" s="6">
        <f>[1]Emissions!D872</f>
        <v>3.02040796</v>
      </c>
      <c r="F409" s="6">
        <f>[1]Emissions!E872</f>
        <v>3.0318846650000002</v>
      </c>
      <c r="G409" s="6">
        <f>[1]Emissions!F872</f>
        <v>3.0473655599999998</v>
      </c>
      <c r="H409" s="6">
        <f>[1]Emissions!G872</f>
        <v>3.0666468920000001</v>
      </c>
      <c r="I409" s="6">
        <f>[1]Emissions!H872</f>
        <v>3.0875070230000001</v>
      </c>
      <c r="J409" s="6">
        <f>[1]Emissions!I872</f>
        <v>3.110044034</v>
      </c>
      <c r="K409" s="6">
        <f>[1]Emissions!J872</f>
        <v>3.1342271359999998</v>
      </c>
      <c r="L409" s="6">
        <f>[1]Emissions!K872</f>
        <v>3.159823099</v>
      </c>
      <c r="M409" s="6">
        <f>[1]Emissions!L872</f>
        <v>3.1888366189999999</v>
      </c>
      <c r="N409" s="6">
        <f>[1]Emissions!M872</f>
        <v>3.2171934900000001</v>
      </c>
      <c r="O409" s="6">
        <f>[1]Emissions!N872</f>
        <v>3.2453489719999999</v>
      </c>
      <c r="P409" s="6">
        <f>[1]Emissions!O872</f>
        <v>3.2734136199999999</v>
      </c>
      <c r="Q409" s="6">
        <f>[1]Emissions!P872</f>
        <v>3.301356722</v>
      </c>
      <c r="R409" s="6">
        <f>[1]Emissions!Q872</f>
        <v>3.3291396519999998</v>
      </c>
      <c r="S409" s="6">
        <f>[1]Emissions!R872</f>
        <v>3.3565628470000002</v>
      </c>
      <c r="T409" s="6">
        <f>[1]Emissions!S872</f>
        <v>3.3837641139999999</v>
      </c>
      <c r="U409" s="6">
        <f>[1]Emissions!T872</f>
        <v>3.4108207140000002</v>
      </c>
      <c r="V409" s="6">
        <f>[1]Emissions!U872</f>
        <v>3.4378009660000002</v>
      </c>
      <c r="W409" s="6">
        <f>[1]Emissions!V872</f>
        <v>3.463067143</v>
      </c>
      <c r="X409" s="6">
        <f>[1]Emissions!W872</f>
        <v>3.4892639980000002</v>
      </c>
      <c r="Y409" s="6">
        <f>[1]Emissions!X872</f>
        <v>3.5160068889999998</v>
      </c>
      <c r="Z409" s="6">
        <f>[1]Emissions!Y872</f>
        <v>3.5431617480000002</v>
      </c>
      <c r="AA409" s="6">
        <f>[1]Emissions!Z872</f>
        <v>3.570728769</v>
      </c>
      <c r="AB409" s="6">
        <f>[1]Emissions!AA872</f>
        <v>3.5938953539999998</v>
      </c>
      <c r="AC409" s="6">
        <f>[1]Emissions!AB872</f>
        <v>3.617768001</v>
      </c>
      <c r="AD409" s="6">
        <f>[1]Emissions!AC872</f>
        <v>3.6421560980000001</v>
      </c>
      <c r="AE409" s="6">
        <f>[1]Emissions!AD872</f>
        <v>3.6670086230000001</v>
      </c>
      <c r="AF409" s="6">
        <f>[1]Emissions!AE872</f>
        <v>3.6923868070000001</v>
      </c>
      <c r="AG409" s="6">
        <f>[1]Emissions!AF872</f>
        <v>3.7183742359999998</v>
      </c>
      <c r="AH409" s="6">
        <f>[1]Emissions!AG872</f>
        <v>3.7450885</v>
      </c>
      <c r="AI409" s="6">
        <f>[1]Emissions!AH872</f>
        <v>3.7725655329999999</v>
      </c>
      <c r="AJ409" s="6">
        <f>[1]Emissions!AI872</f>
        <v>3.8008442589999998</v>
      </c>
      <c r="AK409" s="6">
        <f>[1]Emissions!AJ872</f>
        <v>3.82995376</v>
      </c>
      <c r="AL409" s="6">
        <f>[1]Emissions!AK872</f>
        <v>3.8599100530000001</v>
      </c>
      <c r="AM409" s="6">
        <f>[1]Emissions!AL872</f>
        <v>3.8899400850000001</v>
      </c>
      <c r="AN409" s="6">
        <f>[1]Emissions!AM872</f>
        <v>3.9203580819999999</v>
      </c>
      <c r="AO409" s="6">
        <f>[1]Emissions!AN872</f>
        <v>3.9513319</v>
      </c>
      <c r="AP409" s="6">
        <f>[1]Emissions!AO872</f>
        <v>3.9829338590000001</v>
      </c>
      <c r="AQ409" s="6">
        <f>[1]Emissions!AP872</f>
        <v>4.0151938730000003</v>
      </c>
      <c r="AR409" s="6">
        <f>[1]Emissions!AQ872</f>
        <v>4.048179459</v>
      </c>
      <c r="AS409" s="6">
        <f>[1]Emissions!AR872</f>
        <v>4.0818540390000004</v>
      </c>
      <c r="AT409" s="6">
        <f>[1]Emissions!AS872</f>
        <v>4.1162002519999996</v>
      </c>
      <c r="AU409" s="6">
        <f>[1]Emissions!AT872</f>
        <v>4.1512038139999996</v>
      </c>
      <c r="AV409" s="6">
        <f>[1]Emissions!AU872</f>
        <v>4.1868510710000004</v>
      </c>
      <c r="AW409" s="6">
        <f>[1]Emissions!AV872</f>
        <v>4.2234735780000001</v>
      </c>
      <c r="AX409" s="6">
        <f>[1]Emissions!AW872</f>
        <v>4.2609733949999997</v>
      </c>
      <c r="AY409" s="6">
        <f>[1]Emissions!AX872</f>
        <v>4.2993627710000002</v>
      </c>
      <c r="AZ409" s="6">
        <f>[1]Emissions!AY872</f>
        <v>4.3386645550000003</v>
      </c>
      <c r="BA409" s="6">
        <f>[1]Emissions!AZ872</f>
        <v>4.3788831110000004</v>
      </c>
      <c r="BB409" s="6">
        <f>[1]Emissions!BA872</f>
        <v>4.4201279449999999</v>
      </c>
      <c r="BC409" s="6">
        <f>[1]Emissions!BB872</f>
        <v>4.462305486</v>
      </c>
      <c r="BD409" s="6">
        <f>[1]Emissions!BC872</f>
        <v>4.5053771869999997</v>
      </c>
      <c r="BE409" s="6">
        <f>[1]Emissions!BD872</f>
        <v>4.5493238490000003</v>
      </c>
      <c r="BF409" s="6">
        <f>[1]Emissions!BE872</f>
        <v>4.5941353219999996</v>
      </c>
    </row>
    <row r="410" spans="2:58" x14ac:dyDescent="0.35">
      <c r="B410" s="6" t="str">
        <f>[1]Emissions!A874</f>
        <v>ems_ci_co2_sega_2</v>
      </c>
      <c r="C410" s="6">
        <f>[1]Emissions!B874</f>
        <v>3.5587353089999998</v>
      </c>
      <c r="D410" s="6">
        <f>[1]Emissions!C874</f>
        <v>3.5641027190000001</v>
      </c>
      <c r="E410" s="6">
        <f>[1]Emissions!D874</f>
        <v>3.5736744479999998</v>
      </c>
      <c r="F410" s="6">
        <f>[1]Emissions!E874</f>
        <v>3.5872539680000002</v>
      </c>
      <c r="G410" s="6">
        <f>[1]Emissions!F874</f>
        <v>3.6055709309999999</v>
      </c>
      <c r="H410" s="6">
        <f>[1]Emissions!G874</f>
        <v>3.6283842110000002</v>
      </c>
      <c r="I410" s="6">
        <f>[1]Emissions!H874</f>
        <v>3.6530652300000002</v>
      </c>
      <c r="J410" s="6">
        <f>[1]Emissions!I874</f>
        <v>3.6797300719999999</v>
      </c>
      <c r="K410" s="6">
        <f>[1]Emissions!J874</f>
        <v>3.708342359</v>
      </c>
      <c r="L410" s="6">
        <f>[1]Emissions!K874</f>
        <v>3.7386261850000002</v>
      </c>
      <c r="M410" s="6">
        <f>[1]Emissions!L874</f>
        <v>3.7729534870000001</v>
      </c>
      <c r="N410" s="6">
        <f>[1]Emissions!M874</f>
        <v>3.8065038179999999</v>
      </c>
      <c r="O410" s="6">
        <f>[1]Emissions!N874</f>
        <v>3.839815873</v>
      </c>
      <c r="P410" s="6">
        <f>[1]Emissions!O874</f>
        <v>3.87302049</v>
      </c>
      <c r="Q410" s="6">
        <f>[1]Emissions!P874</f>
        <v>3.9060813529999998</v>
      </c>
      <c r="R410" s="6">
        <f>[1]Emissions!Q874</f>
        <v>3.9389527759999998</v>
      </c>
      <c r="S410" s="6">
        <f>[1]Emissions!R874</f>
        <v>3.9713986509999999</v>
      </c>
      <c r="T410" s="6">
        <f>[1]Emissions!S874</f>
        <v>4.0035820329999998</v>
      </c>
      <c r="U410" s="6">
        <f>[1]Emissions!T874</f>
        <v>4.0355943339999998</v>
      </c>
      <c r="V410" s="6">
        <f>[1]Emissions!U874</f>
        <v>4.0675163840000002</v>
      </c>
      <c r="W410" s="6">
        <f>[1]Emissions!V874</f>
        <v>4.0974104709999999</v>
      </c>
      <c r="X410" s="6">
        <f>[1]Emissions!W874</f>
        <v>4.128405785</v>
      </c>
      <c r="Y410" s="6">
        <f>[1]Emissions!X874</f>
        <v>4.1600472110000002</v>
      </c>
      <c r="Z410" s="6">
        <f>[1]Emissions!Y874</f>
        <v>4.1921761110000002</v>
      </c>
      <c r="AA410" s="6">
        <f>[1]Emissions!Z874</f>
        <v>4.2247927010000002</v>
      </c>
      <c r="AB410" s="6">
        <f>[1]Emissions!AA874</f>
        <v>4.2522028729999999</v>
      </c>
      <c r="AC410" s="6">
        <f>[1]Emissions!AB874</f>
        <v>4.2804484829999998</v>
      </c>
      <c r="AD410" s="6">
        <f>[1]Emissions!AC874</f>
        <v>4.3093039900000001</v>
      </c>
      <c r="AE410" s="6">
        <f>[1]Emissions!AD874</f>
        <v>4.3387090089999996</v>
      </c>
      <c r="AF410" s="6">
        <f>[1]Emissions!AE874</f>
        <v>4.368735977</v>
      </c>
      <c r="AG410" s="6">
        <f>[1]Emissions!AF874</f>
        <v>4.3994837799999997</v>
      </c>
      <c r="AH410" s="6">
        <f>[1]Emissions!AG874</f>
        <v>4.4310915409999998</v>
      </c>
      <c r="AI410" s="6">
        <f>[1]Emissions!AH874</f>
        <v>4.4636017680000002</v>
      </c>
      <c r="AJ410" s="6">
        <f>[1]Emissions!AI874</f>
        <v>4.4970605130000001</v>
      </c>
      <c r="AK410" s="6">
        <f>[1]Emissions!AJ874</f>
        <v>4.5315021829999997</v>
      </c>
      <c r="AL410" s="6">
        <f>[1]Emissions!AK874</f>
        <v>4.5669457260000001</v>
      </c>
      <c r="AM410" s="6">
        <f>[1]Emissions!AL874</f>
        <v>4.6024764920000001</v>
      </c>
      <c r="AN410" s="6">
        <f>[1]Emissions!AM874</f>
        <v>4.6384662680000002</v>
      </c>
      <c r="AO410" s="6">
        <f>[1]Emissions!AN874</f>
        <v>4.6751136600000001</v>
      </c>
      <c r="AP410" s="6">
        <f>[1]Emissions!AO874</f>
        <v>4.712504236</v>
      </c>
      <c r="AQ410" s="6">
        <f>[1]Emissions!AP874</f>
        <v>4.7506733900000002</v>
      </c>
      <c r="AR410" s="6">
        <f>[1]Emissions!AQ874</f>
        <v>4.7897010059999996</v>
      </c>
      <c r="AS410" s="6">
        <f>[1]Emissions!AR874</f>
        <v>4.8295438089999996</v>
      </c>
      <c r="AT410" s="6">
        <f>[1]Emissions!AS874</f>
        <v>4.8701812589999998</v>
      </c>
      <c r="AU410" s="6">
        <f>[1]Emissions!AT874</f>
        <v>4.9115964600000002</v>
      </c>
      <c r="AV410" s="6">
        <f>[1]Emissions!AU874</f>
        <v>4.9537732569999999</v>
      </c>
      <c r="AW410" s="6">
        <f>[1]Emissions!AV874</f>
        <v>4.9971039380000004</v>
      </c>
      <c r="AX410" s="6">
        <f>[1]Emissions!AW874</f>
        <v>5.0414726239999998</v>
      </c>
      <c r="AY410" s="6">
        <f>[1]Emissions!AX874</f>
        <v>5.0868938100000003</v>
      </c>
      <c r="AZ410" s="6">
        <f>[1]Emissions!AY874</f>
        <v>5.1333945310000004</v>
      </c>
      <c r="BA410" s="6">
        <f>[1]Emissions!AZ874</f>
        <v>5.1809799520000004</v>
      </c>
      <c r="BB410" s="6">
        <f>[1]Emissions!BA874</f>
        <v>5.2297796390000002</v>
      </c>
      <c r="BC410" s="6">
        <f>[1]Emissions!BB874</f>
        <v>5.2796828810000003</v>
      </c>
      <c r="BD410" s="6">
        <f>[1]Emissions!BC874</f>
        <v>5.3306440740000003</v>
      </c>
      <c r="BE410" s="6">
        <f>[1]Emissions!BD874</f>
        <v>5.3826405020000001</v>
      </c>
      <c r="BF410" s="6">
        <f>[1]Emissions!BE874</f>
        <v>5.4356601580000001</v>
      </c>
    </row>
    <row r="411" spans="2:58" x14ac:dyDescent="0.35">
      <c r="B411" s="6" t="str">
        <f>[1]Emissions!A876</f>
        <v>ems_ci_co2_seco_2</v>
      </c>
      <c r="C411" s="6">
        <f>[1]Emissions!B876</f>
        <v>7.3355310359999999</v>
      </c>
      <c r="D411" s="6">
        <f>[1]Emissions!C876</f>
        <v>7.3465947429999998</v>
      </c>
      <c r="E411" s="6">
        <f>[1]Emissions!D876</f>
        <v>7.3663247060000003</v>
      </c>
      <c r="F411" s="6">
        <f>[1]Emissions!E876</f>
        <v>7.3943158279999999</v>
      </c>
      <c r="G411" s="6">
        <f>[1]Emissions!F876</f>
        <v>7.4320721199999999</v>
      </c>
      <c r="H411" s="6">
        <f>[1]Emissions!G876</f>
        <v>7.4790965549999999</v>
      </c>
      <c r="I411" s="6">
        <f>[1]Emissions!H876</f>
        <v>7.5299709149999998</v>
      </c>
      <c r="J411" s="6">
        <f>[1]Emissions!I876</f>
        <v>7.5849344810000003</v>
      </c>
      <c r="K411" s="6">
        <f>[1]Emissions!J876</f>
        <v>7.6439122629999998</v>
      </c>
      <c r="L411" s="6">
        <f>[1]Emissions!K876</f>
        <v>7.706335546</v>
      </c>
      <c r="M411" s="6">
        <f>[1]Emissions!L876</f>
        <v>7.7770935459999997</v>
      </c>
      <c r="N411" s="6">
        <f>[1]Emissions!M876</f>
        <v>7.846249995</v>
      </c>
      <c r="O411" s="6">
        <f>[1]Emissions!N876</f>
        <v>7.9149152909999998</v>
      </c>
      <c r="P411" s="6">
        <f>[1]Emissions!O876</f>
        <v>7.9833591269999999</v>
      </c>
      <c r="Q411" s="6">
        <f>[1]Emissions!P876</f>
        <v>8.0515066470000001</v>
      </c>
      <c r="R411" s="6">
        <f>[1]Emissions!Q876</f>
        <v>8.1192636789999995</v>
      </c>
      <c r="S411" s="6">
        <f>[1]Emissions!R876</f>
        <v>8.1861435409999999</v>
      </c>
      <c r="T411" s="6">
        <f>[1]Emissions!S876</f>
        <v>8.2524823319999996</v>
      </c>
      <c r="U411" s="6">
        <f>[1]Emissions!T876</f>
        <v>8.3184684779999998</v>
      </c>
      <c r="V411" s="6">
        <f>[1]Emissions!U876</f>
        <v>8.3842685899999996</v>
      </c>
      <c r="W411" s="6">
        <f>[1]Emissions!V876</f>
        <v>8.4458885170000002</v>
      </c>
      <c r="X411" s="6">
        <f>[1]Emissions!W876</f>
        <v>8.5097783719999995</v>
      </c>
      <c r="Y411" s="6">
        <f>[1]Emissions!X876</f>
        <v>8.5750000439999994</v>
      </c>
      <c r="Z411" s="6">
        <f>[1]Emissions!Y876</f>
        <v>8.6412265309999992</v>
      </c>
      <c r="AA411" s="6">
        <f>[1]Emissions!Z876</f>
        <v>8.7084582850000007</v>
      </c>
      <c r="AB411" s="6">
        <f>[1]Emissions!AA876</f>
        <v>8.7649581770000005</v>
      </c>
      <c r="AC411" s="6">
        <f>[1]Emissions!AB876</f>
        <v>8.8231801389999998</v>
      </c>
      <c r="AD411" s="6">
        <f>[1]Emissions!AC876</f>
        <v>8.8826592640000008</v>
      </c>
      <c r="AE411" s="6">
        <f>[1]Emissions!AD876</f>
        <v>8.9432710879999995</v>
      </c>
      <c r="AF411" s="6">
        <f>[1]Emissions!AE876</f>
        <v>9.005164916</v>
      </c>
      <c r="AG411" s="6">
        <f>[1]Emissions!AF876</f>
        <v>9.0685445839999996</v>
      </c>
      <c r="AH411" s="6">
        <f>[1]Emissions!AG876</f>
        <v>9.1336968610000007</v>
      </c>
      <c r="AI411" s="6">
        <f>[1]Emissions!AH876</f>
        <v>9.2007093700000002</v>
      </c>
      <c r="AJ411" s="6">
        <f>[1]Emissions!AI876</f>
        <v>9.2696770350000008</v>
      </c>
      <c r="AK411" s="6">
        <f>[1]Emissions!AJ876</f>
        <v>9.3406707769999997</v>
      </c>
      <c r="AL411" s="6">
        <f>[1]Emissions!AK876</f>
        <v>9.4137296549999991</v>
      </c>
      <c r="AM411" s="6">
        <f>[1]Emissions!AL876</f>
        <v>9.4869683249999994</v>
      </c>
      <c r="AN411" s="6">
        <f>[1]Emissions!AM876</f>
        <v>9.561153139</v>
      </c>
      <c r="AO411" s="6">
        <f>[1]Emissions!AN876</f>
        <v>9.636693481</v>
      </c>
      <c r="AP411" s="6">
        <f>[1]Emissions!AO876</f>
        <v>9.7137657300000004</v>
      </c>
      <c r="AQ411" s="6">
        <f>[1]Emissions!AP876</f>
        <v>9.7924428399999996</v>
      </c>
      <c r="AR411" s="6">
        <f>[1]Emissions!AQ876</f>
        <v>9.8728894779999994</v>
      </c>
      <c r="AS411" s="6">
        <f>[1]Emissions!AR876</f>
        <v>9.9550164399999996</v>
      </c>
      <c r="AT411" s="6">
        <f>[1]Emissions!AS876</f>
        <v>10.03878139</v>
      </c>
      <c r="AU411" s="6">
        <f>[1]Emissions!AT876</f>
        <v>10.124149490000001</v>
      </c>
      <c r="AV411" s="6">
        <f>[1]Emissions!AU876</f>
        <v>10.21108746</v>
      </c>
      <c r="AW411" s="6">
        <f>[1]Emissions!AV876</f>
        <v>10.30040389</v>
      </c>
      <c r="AX411" s="6">
        <f>[1]Emissions!AW876</f>
        <v>10.39185994</v>
      </c>
      <c r="AY411" s="6">
        <f>[1]Emissions!AX876</f>
        <v>10.485485479999999</v>
      </c>
      <c r="AZ411" s="6">
        <f>[1]Emissions!AY876</f>
        <v>10.581336240000001</v>
      </c>
      <c r="BA411" s="6">
        <f>[1]Emissions!AZ876</f>
        <v>10.67942287</v>
      </c>
      <c r="BB411" s="6">
        <f>[1]Emissions!BA876</f>
        <v>10.780012429999999</v>
      </c>
      <c r="BC411" s="6">
        <f>[1]Emissions!BB876</f>
        <v>10.882876720000001</v>
      </c>
      <c r="BD411" s="6">
        <f>[1]Emissions!BC876</f>
        <v>10.98792173</v>
      </c>
      <c r="BE411" s="6">
        <f>[1]Emissions!BD876</f>
        <v>11.09510066</v>
      </c>
      <c r="BF411" s="6">
        <f>[1]Emissions!BE876</f>
        <v>11.20438873</v>
      </c>
    </row>
    <row r="412" spans="2:58" x14ac:dyDescent="0.35">
      <c r="B412" s="6" t="str">
        <f>[1]Emissions!A878</f>
        <v>ems_ci_co2_sech_2</v>
      </c>
      <c r="C412" s="6">
        <f>[1]Emissions!B878</f>
        <v>9.578089254</v>
      </c>
      <c r="D412" s="6">
        <f>[1]Emissions!C878</f>
        <v>9.6327825320000002</v>
      </c>
      <c r="E412" s="6">
        <f>[1]Emissions!D878</f>
        <v>9.7007197289999993</v>
      </c>
      <c r="F412" s="6">
        <f>[1]Emissions!E878</f>
        <v>9.7779975720000003</v>
      </c>
      <c r="G412" s="6">
        <f>[1]Emissions!F878</f>
        <v>9.8645683460000004</v>
      </c>
      <c r="H412" s="6">
        <f>[1]Emissions!G878</f>
        <v>9.9604536780000004</v>
      </c>
      <c r="I412" s="6">
        <f>[1]Emissions!H878</f>
        <v>10.058448820000001</v>
      </c>
      <c r="J412" s="6">
        <f>[1]Emissions!I878</f>
        <v>10.156730189999999</v>
      </c>
      <c r="K412" s="6">
        <f>[1]Emissions!J878</f>
        <v>10.2542349</v>
      </c>
      <c r="L412" s="6">
        <f>[1]Emissions!K878</f>
        <v>10.35067445</v>
      </c>
      <c r="M412" s="6">
        <f>[1]Emissions!L878</f>
        <v>10.457541709999999</v>
      </c>
      <c r="N412" s="6">
        <f>[1]Emissions!M878</f>
        <v>10.55787812</v>
      </c>
      <c r="O412" s="6">
        <f>[1]Emissions!N878</f>
        <v>10.65460242</v>
      </c>
      <c r="P412" s="6">
        <f>[1]Emissions!O878</f>
        <v>10.7497366</v>
      </c>
      <c r="Q412" s="6">
        <f>[1]Emissions!P878</f>
        <v>10.84424353</v>
      </c>
      <c r="R412" s="6">
        <f>[1]Emissions!Q878</f>
        <v>10.938583879999999</v>
      </c>
      <c r="S412" s="6">
        <f>[1]Emissions!R878</f>
        <v>11.03262984</v>
      </c>
      <c r="T412" s="6">
        <f>[1]Emissions!S878</f>
        <v>11.12678532</v>
      </c>
      <c r="U412" s="6">
        <f>[1]Emissions!T878</f>
        <v>11.22129161</v>
      </c>
      <c r="V412" s="6">
        <f>[1]Emissions!U878</f>
        <v>11.31634753</v>
      </c>
      <c r="W412" s="6">
        <f>[1]Emissions!V878</f>
        <v>11.404320329999999</v>
      </c>
      <c r="X412" s="6">
        <f>[1]Emissions!W878</f>
        <v>11.49711666</v>
      </c>
      <c r="Y412" s="6">
        <f>[1]Emissions!X878</f>
        <v>11.593238380000001</v>
      </c>
      <c r="Z412" s="6">
        <f>[1]Emissions!Y878</f>
        <v>11.69167554</v>
      </c>
      <c r="AA412" s="6">
        <f>[1]Emissions!Z878</f>
        <v>11.792028159999999</v>
      </c>
      <c r="AB412" s="6">
        <f>[1]Emissions!AA878</f>
        <v>11.872371210000001</v>
      </c>
      <c r="AC412" s="6">
        <f>[1]Emissions!AB878</f>
        <v>11.95515599</v>
      </c>
      <c r="AD412" s="6">
        <f>[1]Emissions!AC878</f>
        <v>12.04063285</v>
      </c>
      <c r="AE412" s="6">
        <f>[1]Emissions!AD878</f>
        <v>12.128397680000001</v>
      </c>
      <c r="AF412" s="6">
        <f>[1]Emissions!AE878</f>
        <v>12.21831727</v>
      </c>
      <c r="AG412" s="6">
        <f>[1]Emissions!AF878</f>
        <v>12.31033573</v>
      </c>
      <c r="AH412" s="6">
        <f>[1]Emissions!AG878</f>
        <v>12.40447868</v>
      </c>
      <c r="AI412" s="6">
        <f>[1]Emissions!AH878</f>
        <v>12.500608250000001</v>
      </c>
      <c r="AJ412" s="6">
        <f>[1]Emissions!AI878</f>
        <v>12.59858524</v>
      </c>
      <c r="AK412" s="6">
        <f>[1]Emissions!AJ878</f>
        <v>12.69826349</v>
      </c>
      <c r="AL412" s="6">
        <f>[1]Emissions!AK878</f>
        <v>12.7995056</v>
      </c>
      <c r="AM412" s="6">
        <f>[1]Emissions!AL878</f>
        <v>12.89803305</v>
      </c>
      <c r="AN412" s="6">
        <f>[1]Emissions!AM878</f>
        <v>12.99575697</v>
      </c>
      <c r="AO412" s="6">
        <f>[1]Emissions!AN878</f>
        <v>13.09387809</v>
      </c>
      <c r="AP412" s="6">
        <f>[1]Emissions!AO878</f>
        <v>13.1930003</v>
      </c>
      <c r="AQ412" s="6">
        <f>[1]Emissions!AP878</f>
        <v>13.29344899</v>
      </c>
      <c r="AR412" s="6">
        <f>[1]Emissions!AQ878</f>
        <v>13.39554248</v>
      </c>
      <c r="AS412" s="6">
        <f>[1]Emissions!AR878</f>
        <v>13.49937444</v>
      </c>
      <c r="AT412" s="6">
        <f>[1]Emissions!AS878</f>
        <v>13.605065890000001</v>
      </c>
      <c r="AU412" s="6">
        <f>[1]Emissions!AT878</f>
        <v>13.712738720000001</v>
      </c>
      <c r="AV412" s="6">
        <f>[1]Emissions!AU878</f>
        <v>13.82248907</v>
      </c>
      <c r="AW412" s="6">
        <f>[1]Emissions!AV878</f>
        <v>13.93458996</v>
      </c>
      <c r="AX412" s="6">
        <f>[1]Emissions!AW878</f>
        <v>14.047849579999999</v>
      </c>
      <c r="AY412" s="6">
        <f>[1]Emissions!AX878</f>
        <v>14.161467590000001</v>
      </c>
      <c r="AZ412" s="6">
        <f>[1]Emissions!AY878</f>
        <v>14.27503546</v>
      </c>
      <c r="BA412" s="6">
        <f>[1]Emissions!AZ878</f>
        <v>14.388440490000001</v>
      </c>
      <c r="BB412" s="6">
        <f>[1]Emissions!BA878</f>
        <v>14.50199112</v>
      </c>
      <c r="BC412" s="6">
        <f>[1]Emissions!BB878</f>
        <v>14.615726710000001</v>
      </c>
      <c r="BD412" s="6">
        <f>[1]Emissions!BC878</f>
        <v>14.72983311</v>
      </c>
      <c r="BE412" s="6">
        <f>[1]Emissions!BD878</f>
        <v>14.84453089</v>
      </c>
      <c r="BF412" s="6">
        <f>[1]Emissions!BE878</f>
        <v>14.960029520000001</v>
      </c>
    </row>
    <row r="413" spans="2:58" x14ac:dyDescent="0.35">
      <c r="B413" s="6" t="str">
        <f>[1]Emissions!A880</f>
        <v>ems_ci_co2_seot_2</v>
      </c>
      <c r="C413" s="6">
        <f>[1]Emissions!B880</f>
        <v>1.3049183010000001</v>
      </c>
      <c r="D413" s="6">
        <f>[1]Emissions!C880</f>
        <v>1.3064978840000001</v>
      </c>
      <c r="E413" s="6">
        <f>[1]Emissions!D880</f>
        <v>1.3093928699999999</v>
      </c>
      <c r="F413" s="6">
        <f>[1]Emissions!E880</f>
        <v>1.313595114</v>
      </c>
      <c r="G413" s="6">
        <f>[1]Emissions!F880</f>
        <v>1.319448502</v>
      </c>
      <c r="H413" s="6">
        <f>[1]Emissions!G880</f>
        <v>1.3269322690000001</v>
      </c>
      <c r="I413" s="6">
        <f>[1]Emissions!H880</f>
        <v>1.3351346040000001</v>
      </c>
      <c r="J413" s="6">
        <f>[1]Emissions!I880</f>
        <v>1.3441299250000001</v>
      </c>
      <c r="K413" s="6">
        <f>[1]Emissions!J880</f>
        <v>1.3539230689999999</v>
      </c>
      <c r="L413" s="6">
        <f>[1]Emissions!K880</f>
        <v>1.3644220140000001</v>
      </c>
      <c r="M413" s="6">
        <f>[1]Emissions!L880</f>
        <v>1.3764964070000001</v>
      </c>
      <c r="N413" s="6">
        <f>[1]Emissions!M880</f>
        <v>1.388386766</v>
      </c>
      <c r="O413" s="6">
        <f>[1]Emissions!N880</f>
        <v>1.4002845589999999</v>
      </c>
      <c r="P413" s="6">
        <f>[1]Emissions!O880</f>
        <v>1.412229634</v>
      </c>
      <c r="Q413" s="6">
        <f>[1]Emissions!P880</f>
        <v>1.4241996990000001</v>
      </c>
      <c r="R413" s="6">
        <f>[1]Emissions!Q880</f>
        <v>1.4361686090000001</v>
      </c>
      <c r="S413" s="6">
        <f>[1]Emissions!R880</f>
        <v>1.448040604</v>
      </c>
      <c r="T413" s="6">
        <f>[1]Emissions!S880</f>
        <v>1.4598652249999999</v>
      </c>
      <c r="U413" s="6">
        <f>[1]Emissions!T880</f>
        <v>1.471666227</v>
      </c>
      <c r="V413" s="6">
        <f>[1]Emissions!U880</f>
        <v>1.4834641609999999</v>
      </c>
      <c r="W413" s="6">
        <f>[1]Emissions!V880</f>
        <v>1.4945426580000001</v>
      </c>
      <c r="X413" s="6">
        <f>[1]Emissions!W880</f>
        <v>1.506034616</v>
      </c>
      <c r="Y413" s="6">
        <f>[1]Emissions!X880</f>
        <v>1.517767986</v>
      </c>
      <c r="Z413" s="6">
        <f>[1]Emissions!Y880</f>
        <v>1.529680143</v>
      </c>
      <c r="AA413" s="6">
        <f>[1]Emissions!Z880</f>
        <v>1.5417672630000001</v>
      </c>
      <c r="AB413" s="6">
        <f>[1]Emissions!AA880</f>
        <v>1.5519437730000001</v>
      </c>
      <c r="AC413" s="6">
        <f>[1]Emissions!AB880</f>
        <v>1.562406746</v>
      </c>
      <c r="AD413" s="6">
        <f>[1]Emissions!AC880</f>
        <v>1.573069383</v>
      </c>
      <c r="AE413" s="6">
        <f>[1]Emissions!AD880</f>
        <v>1.5839072439999999</v>
      </c>
      <c r="AF413" s="6">
        <f>[1]Emissions!AE880</f>
        <v>1.5949456740000001</v>
      </c>
      <c r="AG413" s="6">
        <f>[1]Emissions!AF880</f>
        <v>1.606220647</v>
      </c>
      <c r="AH413" s="6">
        <f>[1]Emissions!AG880</f>
        <v>1.6177835890000001</v>
      </c>
      <c r="AI413" s="6">
        <f>[1]Emissions!AH880</f>
        <v>1.6296515</v>
      </c>
      <c r="AJ413" s="6">
        <f>[1]Emissions!AI880</f>
        <v>1.6418432860000001</v>
      </c>
      <c r="AK413" s="6">
        <f>[1]Emissions!AJ880</f>
        <v>1.654373995</v>
      </c>
      <c r="AL413" s="6">
        <f>[1]Emissions!AK880</f>
        <v>1.6672532200000001</v>
      </c>
      <c r="AM413" s="6">
        <f>[1]Emissions!AL880</f>
        <v>1.680148016</v>
      </c>
      <c r="AN413" s="6">
        <f>[1]Emissions!AM880</f>
        <v>1.693195574</v>
      </c>
      <c r="AO413" s="6">
        <f>[1]Emissions!AN880</f>
        <v>1.706470226</v>
      </c>
      <c r="AP413" s="6">
        <f>[1]Emissions!AO880</f>
        <v>1.7200051220000001</v>
      </c>
      <c r="AQ413" s="6">
        <f>[1]Emissions!AP880</f>
        <v>1.733814959</v>
      </c>
      <c r="AR413" s="6">
        <f>[1]Emissions!AQ880</f>
        <v>1.747930282</v>
      </c>
      <c r="AS413" s="6">
        <f>[1]Emissions!AR880</f>
        <v>1.762336693</v>
      </c>
      <c r="AT413" s="6">
        <f>[1]Emissions!AS880</f>
        <v>1.777028013</v>
      </c>
      <c r="AU413" s="6">
        <f>[1]Emissions!AT880</f>
        <v>1.7919992810000001</v>
      </c>
      <c r="AV413" s="6">
        <f>[1]Emissions!AU880</f>
        <v>1.8072456880000001</v>
      </c>
      <c r="AW413" s="6">
        <f>[1]Emissions!AV880</f>
        <v>1.8229108279999999</v>
      </c>
      <c r="AX413" s="6">
        <f>[1]Emissions!AW880</f>
        <v>1.838953788</v>
      </c>
      <c r="AY413" s="6">
        <f>[1]Emissions!AX880</f>
        <v>1.8553815170000001</v>
      </c>
      <c r="AZ413" s="6">
        <f>[1]Emissions!AY880</f>
        <v>1.8722054050000001</v>
      </c>
      <c r="BA413" s="6">
        <f>[1]Emissions!AZ880</f>
        <v>1.8894284809999999</v>
      </c>
      <c r="BB413" s="6">
        <f>[1]Emissions!BA880</f>
        <v>1.907098221</v>
      </c>
      <c r="BC413" s="6">
        <f>[1]Emissions!BB880</f>
        <v>1.925174602</v>
      </c>
      <c r="BD413" s="6">
        <f>[1]Emissions!BC880</f>
        <v>1.9436412439999999</v>
      </c>
      <c r="BE413" s="6">
        <f>[1]Emissions!BD880</f>
        <v>1.9624899090000001</v>
      </c>
      <c r="BF413" s="6">
        <f>[1]Emissions!BE880</f>
        <v>1.98171605</v>
      </c>
    </row>
    <row r="414" spans="2:58" x14ac:dyDescent="0.35">
      <c r="B414" s="6" t="str">
        <f>[1]Emissions!A882</f>
        <v>ems_y_co2_sagr_2</v>
      </c>
      <c r="C414" s="6">
        <f>[1]Emissions!B882</f>
        <v>2.6945346299999999E-2</v>
      </c>
      <c r="D414" s="6">
        <f>[1]Emissions!C882</f>
        <v>2.69911514E-2</v>
      </c>
      <c r="E414" s="6">
        <f>[1]Emissions!D882</f>
        <v>2.7125668299999999E-2</v>
      </c>
      <c r="F414" s="6">
        <f>[1]Emissions!E882</f>
        <v>2.73323156E-2</v>
      </c>
      <c r="G414" s="6">
        <f>[1]Emissions!F882</f>
        <v>2.7602288499999999E-2</v>
      </c>
      <c r="H414" s="6">
        <f>[1]Emissions!G882</f>
        <v>2.79260455E-2</v>
      </c>
      <c r="I414" s="6">
        <f>[1]Emissions!H882</f>
        <v>2.8277258999999999E-2</v>
      </c>
      <c r="J414" s="6">
        <f>[1]Emissions!I882</f>
        <v>2.86572155E-2</v>
      </c>
      <c r="K414" s="6">
        <f>[1]Emissions!J882</f>
        <v>2.9060723100000001E-2</v>
      </c>
      <c r="L414" s="6">
        <f>[1]Emissions!K882</f>
        <v>2.94830905E-2</v>
      </c>
      <c r="M414" s="6">
        <f>[1]Emissions!L882</f>
        <v>2.9949239700000001E-2</v>
      </c>
      <c r="N414" s="6">
        <f>[1]Emissions!M882</f>
        <v>3.0408734699999999E-2</v>
      </c>
      <c r="O414" s="6">
        <f>[1]Emissions!N882</f>
        <v>3.08735399E-2</v>
      </c>
      <c r="P414" s="6">
        <f>[1]Emissions!O882</f>
        <v>3.1342985400000002E-2</v>
      </c>
      <c r="Q414" s="6">
        <f>[1]Emissions!P882</f>
        <v>3.1816266500000003E-2</v>
      </c>
      <c r="R414" s="6">
        <f>[1]Emissions!Q882</f>
        <v>3.2292914700000001E-2</v>
      </c>
      <c r="S414" s="6">
        <f>[1]Emissions!R882</f>
        <v>3.2770106100000002E-2</v>
      </c>
      <c r="T414" s="6">
        <f>[1]Emissions!S882</f>
        <v>3.3250021999999997E-2</v>
      </c>
      <c r="U414" s="6">
        <f>[1]Emissions!T882</f>
        <v>3.3733091999999999E-2</v>
      </c>
      <c r="V414" s="6">
        <f>[1]Emissions!U882</f>
        <v>3.4219732900000001E-2</v>
      </c>
      <c r="W414" s="6">
        <f>[1]Emissions!V882</f>
        <v>3.4689215599999997E-2</v>
      </c>
      <c r="X414" s="6">
        <f>[1]Emissions!W882</f>
        <v>3.51747003E-2</v>
      </c>
      <c r="Y414" s="6">
        <f>[1]Emissions!X882</f>
        <v>3.5667682100000001E-2</v>
      </c>
      <c r="Z414" s="6">
        <f>[1]Emissions!Y882</f>
        <v>3.6167865100000002E-2</v>
      </c>
      <c r="AA414" s="6">
        <f>[1]Emissions!Z882</f>
        <v>3.6675315200000003E-2</v>
      </c>
      <c r="AB414" s="6">
        <f>[1]Emissions!AA882</f>
        <v>3.7129477500000001E-2</v>
      </c>
      <c r="AC414" s="6">
        <f>[1]Emissions!AB882</f>
        <v>3.7596336500000001E-2</v>
      </c>
      <c r="AD414" s="6">
        <f>[1]Emissions!AC882</f>
        <v>3.8065075599999998E-2</v>
      </c>
      <c r="AE414" s="6">
        <f>[1]Emissions!AD882</f>
        <v>3.8537219499999997E-2</v>
      </c>
      <c r="AF414" s="6">
        <f>[1]Emissions!AE882</f>
        <v>3.9014518800000002E-2</v>
      </c>
      <c r="AG414" s="6">
        <f>[1]Emissions!AF882</f>
        <v>3.9498417000000001E-2</v>
      </c>
      <c r="AH414" s="6">
        <f>[1]Emissions!AG882</f>
        <v>3.9990562700000003E-2</v>
      </c>
      <c r="AI414" s="6">
        <f>[1]Emissions!AH882</f>
        <v>4.04911747E-2</v>
      </c>
      <c r="AJ414" s="6">
        <f>[1]Emissions!AI882</f>
        <v>4.1000596399999999E-2</v>
      </c>
      <c r="AK414" s="6">
        <f>[1]Emissions!AJ882</f>
        <v>4.1518984100000003E-2</v>
      </c>
      <c r="AL414" s="6">
        <f>[1]Emissions!AK882</f>
        <v>4.20463674E-2</v>
      </c>
      <c r="AM414" s="6">
        <f>[1]Emissions!AL882</f>
        <v>4.2573593200000003E-2</v>
      </c>
      <c r="AN414" s="6">
        <f>[1]Emissions!AM882</f>
        <v>4.3104174600000003E-2</v>
      </c>
      <c r="AO414" s="6">
        <f>[1]Emissions!AN882</f>
        <v>4.3639374199999997E-2</v>
      </c>
      <c r="AP414" s="6">
        <f>[1]Emissions!AO882</f>
        <v>4.4180173500000003E-2</v>
      </c>
      <c r="AQ414" s="6">
        <f>[1]Emissions!AP882</f>
        <v>4.4727427299999997E-2</v>
      </c>
      <c r="AR414" s="6">
        <f>[1]Emissions!AQ882</f>
        <v>4.5282724900000002E-2</v>
      </c>
      <c r="AS414" s="6">
        <f>[1]Emissions!AR882</f>
        <v>4.5845997899999998E-2</v>
      </c>
      <c r="AT414" s="6">
        <f>[1]Emissions!AS882</f>
        <v>4.64175899E-2</v>
      </c>
      <c r="AU414" s="6">
        <f>[1]Emissions!AT882</f>
        <v>4.6997726900000002E-2</v>
      </c>
      <c r="AV414" s="6">
        <f>[1]Emissions!AU882</f>
        <v>4.7586530299999999E-2</v>
      </c>
      <c r="AW414" s="6">
        <f>[1]Emissions!AV882</f>
        <v>4.81882639E-2</v>
      </c>
      <c r="AX414" s="6">
        <f>[1]Emissions!AW882</f>
        <v>4.8800028799999999E-2</v>
      </c>
      <c r="AY414" s="6">
        <f>[1]Emissions!AX882</f>
        <v>4.9421355399999999E-2</v>
      </c>
      <c r="AZ414" s="6">
        <f>[1]Emissions!AY882</f>
        <v>5.0051914599999997E-2</v>
      </c>
      <c r="BA414" s="6">
        <f>[1]Emissions!AZ882</f>
        <v>5.0691464700000001E-2</v>
      </c>
      <c r="BB414" s="6">
        <f>[1]Emissions!BA882</f>
        <v>5.1341694700000003E-2</v>
      </c>
      <c r="BC414" s="6">
        <f>[1]Emissions!BB882</f>
        <v>5.2001157200000002E-2</v>
      </c>
      <c r="BD414" s="6">
        <f>[1]Emissions!BC882</f>
        <v>5.2669663200000001E-2</v>
      </c>
      <c r="BE414" s="6">
        <f>[1]Emissions!BD882</f>
        <v>5.3347127299999998E-2</v>
      </c>
      <c r="BF414" s="6">
        <f>[1]Emissions!BE882</f>
        <v>5.4033530500000003E-2</v>
      </c>
    </row>
    <row r="415" spans="2:58" x14ac:dyDescent="0.35">
      <c r="B415" s="6" t="str">
        <f>[1]Emissions!A883</f>
        <v>ems_mat_co2_spub_2</v>
      </c>
      <c r="C415" s="6">
        <f>[1]Emissions!B883</f>
        <v>4.2724482439999996</v>
      </c>
      <c r="D415" s="6">
        <f>[1]Emissions!C883</f>
        <v>4.327612276</v>
      </c>
      <c r="E415" s="6">
        <f>[1]Emissions!D883</f>
        <v>4.3900990379999998</v>
      </c>
      <c r="F415" s="6">
        <f>[1]Emissions!E883</f>
        <v>4.4560269689999998</v>
      </c>
      <c r="G415" s="6">
        <f>[1]Emissions!F883</f>
        <v>4.5247328759999998</v>
      </c>
      <c r="H415" s="6">
        <f>[1]Emissions!G883</f>
        <v>4.5959439409999998</v>
      </c>
      <c r="I415" s="6">
        <f>[1]Emissions!H883</f>
        <v>4.6657143589999999</v>
      </c>
      <c r="J415" s="6">
        <f>[1]Emissions!I883</f>
        <v>4.7367844330000004</v>
      </c>
      <c r="K415" s="6">
        <f>[1]Emissions!J883</f>
        <v>4.8093820149999997</v>
      </c>
      <c r="L415" s="6">
        <f>[1]Emissions!K883</f>
        <v>4.8834344679999999</v>
      </c>
      <c r="M415" s="6">
        <f>[1]Emissions!L883</f>
        <v>4.9653204759999996</v>
      </c>
      <c r="N415" s="6">
        <f>[1]Emissions!M883</f>
        <v>5.0432251099999998</v>
      </c>
      <c r="O415" s="6">
        <f>[1]Emissions!N883</f>
        <v>5.1216111260000003</v>
      </c>
      <c r="P415" s="6">
        <f>[1]Emissions!O883</f>
        <v>5.2010302920000004</v>
      </c>
      <c r="Q415" s="6">
        <f>[1]Emissions!P883</f>
        <v>5.2815468369999996</v>
      </c>
      <c r="R415" s="6">
        <f>[1]Emissions!Q883</f>
        <v>5.3631738760000003</v>
      </c>
      <c r="S415" s="6">
        <f>[1]Emissions!R883</f>
        <v>5.44586959</v>
      </c>
      <c r="T415" s="6">
        <f>[1]Emissions!S883</f>
        <v>5.5296846640000004</v>
      </c>
      <c r="U415" s="6">
        <f>[1]Emissions!T883</f>
        <v>5.6146549620000004</v>
      </c>
      <c r="V415" s="6">
        <f>[1]Emissions!U883</f>
        <v>5.7008122380000001</v>
      </c>
      <c r="W415" s="6">
        <f>[1]Emissions!V883</f>
        <v>5.783367707</v>
      </c>
      <c r="X415" s="6">
        <f>[1]Emissions!W883</f>
        <v>5.8710592740000003</v>
      </c>
      <c r="Y415" s="6">
        <f>[1]Emissions!X883</f>
        <v>5.9605722569999999</v>
      </c>
      <c r="Z415" s="6">
        <f>[1]Emissions!Y883</f>
        <v>6.0515074149999997</v>
      </c>
      <c r="AA415" s="6">
        <f>[1]Emissions!Z883</f>
        <v>6.1438337299999999</v>
      </c>
      <c r="AB415" s="6">
        <f>[1]Emissions!AA883</f>
        <v>6.223614993</v>
      </c>
      <c r="AC415" s="6">
        <f>[1]Emissions!AB883</f>
        <v>6.3094795750000001</v>
      </c>
      <c r="AD415" s="6">
        <f>[1]Emissions!AC883</f>
        <v>6.3970122690000002</v>
      </c>
      <c r="AE415" s="6">
        <f>[1]Emissions!AD883</f>
        <v>6.4857285320000004</v>
      </c>
      <c r="AF415" s="6">
        <f>[1]Emissions!AE883</f>
        <v>6.575636598</v>
      </c>
      <c r="AG415" s="6">
        <f>[1]Emissions!AF883</f>
        <v>6.6667966180000002</v>
      </c>
      <c r="AH415" s="6">
        <f>[1]Emissions!AG883</f>
        <v>6.7592750380000002</v>
      </c>
      <c r="AI415" s="6">
        <f>[1]Emissions!AH883</f>
        <v>6.8531053599999998</v>
      </c>
      <c r="AJ415" s="6">
        <f>[1]Emissions!AI883</f>
        <v>6.9483136600000002</v>
      </c>
      <c r="AK415" s="6">
        <f>[1]Emissions!AJ883</f>
        <v>7.044919385</v>
      </c>
      <c r="AL415" s="6">
        <f>[1]Emissions!AK883</f>
        <v>7.1429378149999998</v>
      </c>
      <c r="AM415" s="6">
        <f>[1]Emissions!AL883</f>
        <v>7.2391123400000001</v>
      </c>
      <c r="AN415" s="6">
        <f>[1]Emissions!AM883</f>
        <v>7.3360960349999997</v>
      </c>
      <c r="AO415" s="6">
        <f>[1]Emissions!AN883</f>
        <v>7.434254664</v>
      </c>
      <c r="AP415" s="6">
        <f>[1]Emissions!AO883</f>
        <v>7.5336702840000003</v>
      </c>
      <c r="AQ415" s="6">
        <f>[1]Emissions!AP883</f>
        <v>7.6343907120000001</v>
      </c>
      <c r="AR415" s="6">
        <f>[1]Emissions!AQ883</f>
        <v>7.7364771589999997</v>
      </c>
      <c r="AS415" s="6">
        <f>[1]Emissions!AR883</f>
        <v>7.8399581950000004</v>
      </c>
      <c r="AT415" s="6">
        <f>[1]Emissions!AS883</f>
        <v>7.9448618910000004</v>
      </c>
      <c r="AU415" s="6">
        <f>[1]Emissions!AT883</f>
        <v>8.0512124450000009</v>
      </c>
      <c r="AV415" s="6">
        <f>[1]Emissions!AU883</f>
        <v>8.1590302470000005</v>
      </c>
      <c r="AW415" s="6">
        <f>[1]Emissions!AV883</f>
        <v>8.2687048490000006</v>
      </c>
      <c r="AX415" s="6">
        <f>[1]Emissions!AW883</f>
        <v>8.3799756960000007</v>
      </c>
      <c r="AY415" s="6">
        <f>[1]Emissions!AX883</f>
        <v>8.4928093189999991</v>
      </c>
      <c r="AZ415" s="6">
        <f>[1]Emissions!AY883</f>
        <v>8.6072053319999995</v>
      </c>
      <c r="BA415" s="6">
        <f>[1]Emissions!AZ883</f>
        <v>8.7231710590000002</v>
      </c>
      <c r="BB415" s="6">
        <f>[1]Emissions!BA883</f>
        <v>8.8407592509999997</v>
      </c>
      <c r="BC415" s="6">
        <f>[1]Emissions!BB883</f>
        <v>8.9599654649999998</v>
      </c>
      <c r="BD415" s="6">
        <f>[1]Emissions!BC883</f>
        <v>9.0807980970000006</v>
      </c>
      <c r="BE415" s="6">
        <f>[1]Emissions!BD883</f>
        <v>9.2032711430000003</v>
      </c>
      <c r="BF415" s="6">
        <f>[1]Emissions!BE883</f>
        <v>9.3274020869999994</v>
      </c>
    </row>
    <row r="416" spans="2:58" x14ac:dyDescent="0.35">
      <c r="B416" s="6" t="str">
        <f>[1]Emissions!A884</f>
        <v>ems_mat_co2_sgla_2</v>
      </c>
      <c r="C416" s="6">
        <f>[1]Emissions!B884</f>
        <v>10.761824989999999</v>
      </c>
      <c r="D416" s="6">
        <f>[1]Emissions!C884</f>
        <v>10.81758511</v>
      </c>
      <c r="E416" s="6">
        <f>[1]Emissions!D884</f>
        <v>10.91680672</v>
      </c>
      <c r="F416" s="6">
        <f>[1]Emissions!E884</f>
        <v>11.03957215</v>
      </c>
      <c r="G416" s="6">
        <f>[1]Emissions!F884</f>
        <v>11.17881539</v>
      </c>
      <c r="H416" s="6">
        <f>[1]Emissions!G884</f>
        <v>11.33058694</v>
      </c>
      <c r="I416" s="6">
        <f>[1]Emissions!H884</f>
        <v>11.48663571</v>
      </c>
      <c r="J416" s="6">
        <f>[1]Emissions!I884</f>
        <v>11.64764072</v>
      </c>
      <c r="K416" s="6">
        <f>[1]Emissions!J884</f>
        <v>11.813230709999999</v>
      </c>
      <c r="L416" s="6">
        <f>[1]Emissions!K884</f>
        <v>11.982912430000001</v>
      </c>
      <c r="M416" s="6">
        <f>[1]Emissions!L884</f>
        <v>12.1656835</v>
      </c>
      <c r="N416" s="6">
        <f>[1]Emissions!M884</f>
        <v>12.34667644</v>
      </c>
      <c r="O416" s="6">
        <f>[1]Emissions!N884</f>
        <v>12.528759279999999</v>
      </c>
      <c r="P416" s="6">
        <f>[1]Emissions!O884</f>
        <v>12.71261617</v>
      </c>
      <c r="Q416" s="6">
        <f>[1]Emissions!P884</f>
        <v>12.898500719999999</v>
      </c>
      <c r="R416" s="6">
        <f>[1]Emissions!Q884</f>
        <v>13.08661047</v>
      </c>
      <c r="S416" s="6">
        <f>[1]Emissions!R884</f>
        <v>13.27626667</v>
      </c>
      <c r="T416" s="6">
        <f>[1]Emissions!S884</f>
        <v>13.46831426</v>
      </c>
      <c r="U416" s="6">
        <f>[1]Emissions!T884</f>
        <v>13.663168369999999</v>
      </c>
      <c r="V416" s="6">
        <f>[1]Emissions!U884</f>
        <v>13.86115068</v>
      </c>
      <c r="W416" s="6">
        <f>[1]Emissions!V884</f>
        <v>14.055614569999999</v>
      </c>
      <c r="X416" s="6">
        <f>[1]Emissions!W884</f>
        <v>14.25676966</v>
      </c>
      <c r="Y416" s="6">
        <f>[1]Emissions!X884</f>
        <v>14.46297459</v>
      </c>
      <c r="Z416" s="6">
        <f>[1]Emissions!Y884</f>
        <v>14.67390052</v>
      </c>
      <c r="AA416" s="6">
        <f>[1]Emissions!Z884</f>
        <v>14.88950438</v>
      </c>
      <c r="AB416" s="6">
        <f>[1]Emissions!AA884</f>
        <v>15.08993044</v>
      </c>
      <c r="AC416" s="6">
        <f>[1]Emissions!AB884</f>
        <v>15.294593649999999</v>
      </c>
      <c r="AD416" s="6">
        <f>[1]Emissions!AC884</f>
        <v>15.50196255</v>
      </c>
      <c r="AE416" s="6">
        <f>[1]Emissions!AD884</f>
        <v>15.712048879999999</v>
      </c>
      <c r="AF416" s="6">
        <f>[1]Emissions!AE884</f>
        <v>15.92511955</v>
      </c>
      <c r="AG416" s="6">
        <f>[1]Emissions!AF884</f>
        <v>16.141423320000001</v>
      </c>
      <c r="AH416" s="6">
        <f>[1]Emissions!AG884</f>
        <v>16.361335879999999</v>
      </c>
      <c r="AI416" s="6">
        <f>[1]Emissions!AH884</f>
        <v>16.584814860000002</v>
      </c>
      <c r="AJ416" s="6">
        <f>[1]Emissions!AI884</f>
        <v>16.81183695</v>
      </c>
      <c r="AK416" s="6">
        <f>[1]Emissions!AJ884</f>
        <v>17.04233889</v>
      </c>
      <c r="AL416" s="6">
        <f>[1]Emissions!AK884</f>
        <v>17.276223269999999</v>
      </c>
      <c r="AM416" s="6">
        <f>[1]Emissions!AL884</f>
        <v>17.510421109999999</v>
      </c>
      <c r="AN416" s="6">
        <f>[1]Emissions!AM884</f>
        <v>17.745644989999999</v>
      </c>
      <c r="AO416" s="6">
        <f>[1]Emissions!AN884</f>
        <v>17.982239880000002</v>
      </c>
      <c r="AP416" s="6">
        <f>[1]Emissions!AO884</f>
        <v>18.220394509999998</v>
      </c>
      <c r="AQ416" s="6">
        <f>[1]Emissions!AP884</f>
        <v>18.46024066</v>
      </c>
      <c r="AR416" s="6">
        <f>[1]Emissions!AQ884</f>
        <v>18.702177989999999</v>
      </c>
      <c r="AS416" s="6">
        <f>[1]Emissions!AR884</f>
        <v>18.946117059999999</v>
      </c>
      <c r="AT416" s="6">
        <f>[1]Emissions!AS884</f>
        <v>19.19207574</v>
      </c>
      <c r="AU416" s="6">
        <f>[1]Emissions!AT884</f>
        <v>19.440075140000001</v>
      </c>
      <c r="AV416" s="6">
        <f>[1]Emissions!AU884</f>
        <v>19.69012622</v>
      </c>
      <c r="AW416" s="6">
        <f>[1]Emissions!AV884</f>
        <v>19.943659109999999</v>
      </c>
      <c r="AX416" s="6">
        <f>[1]Emissions!AW884</f>
        <v>20.199898359999999</v>
      </c>
      <c r="AY416" s="6">
        <f>[1]Emissions!AX884</f>
        <v>20.45860643</v>
      </c>
      <c r="AZ416" s="6">
        <f>[1]Emissions!AY884</f>
        <v>20.719665460000002</v>
      </c>
      <c r="BA416" s="6">
        <f>[1]Emissions!AZ884</f>
        <v>20.983010960000001</v>
      </c>
      <c r="BB416" s="6">
        <f>[1]Emissions!BA884</f>
        <v>21.249250109999998</v>
      </c>
      <c r="BC416" s="6">
        <f>[1]Emissions!BB884</f>
        <v>21.518024329999999</v>
      </c>
      <c r="BD416" s="6">
        <f>[1]Emissions!BC884</f>
        <v>21.789268320000001</v>
      </c>
      <c r="BE416" s="6">
        <f>[1]Emissions!BD884</f>
        <v>22.062988659999998</v>
      </c>
      <c r="BF416" s="6">
        <f>[1]Emissions!BE884</f>
        <v>22.339227470000001</v>
      </c>
    </row>
    <row r="418" spans="1:58" x14ac:dyDescent="0.35">
      <c r="A418" s="12" t="s">
        <v>92</v>
      </c>
      <c r="B418" t="s">
        <v>7</v>
      </c>
      <c r="C418" s="6">
        <f>C388+C389+C414</f>
        <v>14.5180176425</v>
      </c>
      <c r="D418" s="6">
        <f t="shared" ref="D418:AL418" si="228">D388+D389+D414</f>
        <v>14.4948625802</v>
      </c>
      <c r="E418" s="6">
        <f t="shared" si="228"/>
        <v>14.5209154248</v>
      </c>
      <c r="F418" s="6">
        <f t="shared" si="228"/>
        <v>14.587657722600001</v>
      </c>
      <c r="G418" s="6">
        <f t="shared" si="228"/>
        <v>14.6930630119</v>
      </c>
      <c r="H418" s="6">
        <f t="shared" si="228"/>
        <v>14.833418393699999</v>
      </c>
      <c r="I418" s="6">
        <f t="shared" si="228"/>
        <v>14.995386974299999</v>
      </c>
      <c r="J418" s="6">
        <f t="shared" si="228"/>
        <v>15.177609799300001</v>
      </c>
      <c r="K418" s="6">
        <f t="shared" si="228"/>
        <v>15.376914703800001</v>
      </c>
      <c r="L418" s="6">
        <f t="shared" si="228"/>
        <v>15.5901420465</v>
      </c>
      <c r="M418" s="6">
        <f t="shared" si="228"/>
        <v>15.8286388631</v>
      </c>
      <c r="N418" s="6">
        <f t="shared" si="228"/>
        <v>16.068727063600001</v>
      </c>
      <c r="O418" s="6">
        <f t="shared" si="228"/>
        <v>16.3130312531</v>
      </c>
      <c r="P418" s="6">
        <f t="shared" si="228"/>
        <v>16.561118277899997</v>
      </c>
      <c r="Q418" s="6">
        <f t="shared" si="228"/>
        <v>16.812186691800004</v>
      </c>
      <c r="R418" s="6">
        <f t="shared" si="228"/>
        <v>17.065605591499999</v>
      </c>
      <c r="S418" s="6">
        <f t="shared" si="228"/>
        <v>17.319670121599998</v>
      </c>
      <c r="T418" s="6">
        <f t="shared" si="228"/>
        <v>17.574979565000003</v>
      </c>
      <c r="U418" s="6">
        <f t="shared" si="228"/>
        <v>17.831602236599998</v>
      </c>
      <c r="V418" s="6">
        <f t="shared" si="228"/>
        <v>18.089594453699998</v>
      </c>
      <c r="W418" s="6">
        <f t="shared" si="228"/>
        <v>18.3386836731</v>
      </c>
      <c r="X418" s="6">
        <f t="shared" si="228"/>
        <v>18.593790550500003</v>
      </c>
      <c r="Y418" s="6">
        <f t="shared" si="228"/>
        <v>18.852455881600005</v>
      </c>
      <c r="Z418" s="6">
        <f t="shared" si="228"/>
        <v>19.114253560800002</v>
      </c>
      <c r="AA418" s="6">
        <f t="shared" si="228"/>
        <v>19.379189113299997</v>
      </c>
      <c r="AB418" s="6">
        <f t="shared" si="228"/>
        <v>19.61757484</v>
      </c>
      <c r="AC418" s="6">
        <f t="shared" si="228"/>
        <v>19.858143726299996</v>
      </c>
      <c r="AD418" s="6">
        <f t="shared" si="228"/>
        <v>20.098922175199998</v>
      </c>
      <c r="AE418" s="6">
        <f t="shared" si="228"/>
        <v>20.3404640595</v>
      </c>
      <c r="AF418" s="6">
        <f t="shared" si="228"/>
        <v>20.583744951799996</v>
      </c>
      <c r="AG418" s="6">
        <f t="shared" si="228"/>
        <v>20.829649275100003</v>
      </c>
      <c r="AH418" s="6">
        <f t="shared" si="228"/>
        <v>21.079152222800001</v>
      </c>
      <c r="AI418" s="6">
        <f t="shared" si="228"/>
        <v>21.332570991899999</v>
      </c>
      <c r="AJ418" s="6">
        <f t="shared" si="228"/>
        <v>21.590212615900001</v>
      </c>
      <c r="AK418" s="6">
        <f t="shared" si="228"/>
        <v>21.852286297400003</v>
      </c>
      <c r="AL418" s="6">
        <f t="shared" si="228"/>
        <v>22.1189163996</v>
      </c>
      <c r="AM418" s="6">
        <f t="shared" ref="AM418:BC418" si="229">AM388+AM389+AM414</f>
        <v>22.385581549000001</v>
      </c>
      <c r="AN418" s="6">
        <f t="shared" si="229"/>
        <v>22.653565725099998</v>
      </c>
      <c r="AO418" s="6">
        <f t="shared" si="229"/>
        <v>22.923711813200001</v>
      </c>
      <c r="AP418" s="6">
        <f t="shared" si="229"/>
        <v>23.196637713399998</v>
      </c>
      <c r="AQ418" s="6">
        <f t="shared" si="229"/>
        <v>23.472837966500002</v>
      </c>
      <c r="AR418" s="6">
        <f t="shared" si="229"/>
        <v>23.753105097100001</v>
      </c>
      <c r="AS418" s="6">
        <f t="shared" si="229"/>
        <v>24.037484778699998</v>
      </c>
      <c r="AT418" s="6">
        <f t="shared" si="229"/>
        <v>24.326138667699997</v>
      </c>
      <c r="AU418" s="6">
        <f t="shared" si="229"/>
        <v>24.619183057899999</v>
      </c>
      <c r="AV418" s="6">
        <f t="shared" si="229"/>
        <v>24.916678412</v>
      </c>
      <c r="AW418" s="6">
        <f t="shared" si="229"/>
        <v>25.2206365899</v>
      </c>
      <c r="AX418" s="6">
        <f t="shared" si="229"/>
        <v>25.529966528599999</v>
      </c>
      <c r="AY418" s="6">
        <f t="shared" si="229"/>
        <v>25.844405772599998</v>
      </c>
      <c r="AZ418" s="6">
        <f t="shared" si="229"/>
        <v>26.1638195136</v>
      </c>
      <c r="BA418" s="6">
        <f t="shared" si="229"/>
        <v>26.488089734200003</v>
      </c>
      <c r="BB418" s="6">
        <f t="shared" si="229"/>
        <v>26.817946782099998</v>
      </c>
      <c r="BC418" s="6">
        <f t="shared" si="229"/>
        <v>27.152773185399997</v>
      </c>
      <c r="BD418" s="6">
        <f t="shared" ref="BD418:BF418" si="230">BD388+BD389+BD414</f>
        <v>27.492409501899999</v>
      </c>
      <c r="BE418" s="6">
        <f t="shared" si="230"/>
        <v>27.836786911899999</v>
      </c>
      <c r="BF418" s="6">
        <f t="shared" si="230"/>
        <v>28.185866900300002</v>
      </c>
    </row>
    <row r="419" spans="1:58" x14ac:dyDescent="0.35">
      <c r="A419" t="s">
        <v>39</v>
      </c>
      <c r="B419" t="s">
        <v>64</v>
      </c>
      <c r="C419" s="6">
        <f>C390</f>
        <v>8.5999008060000008</v>
      </c>
      <c r="D419" s="6">
        <f t="shared" ref="D419:AL419" si="231">D390</f>
        <v>8.5951947250000007</v>
      </c>
      <c r="E419" s="6">
        <f t="shared" si="231"/>
        <v>8.6120463009999995</v>
      </c>
      <c r="F419" s="6">
        <f t="shared" si="231"/>
        <v>8.6513294490000003</v>
      </c>
      <c r="G419" s="6">
        <f t="shared" si="231"/>
        <v>8.7147131410000007</v>
      </c>
      <c r="H419" s="6">
        <f t="shared" si="231"/>
        <v>8.8011979109999992</v>
      </c>
      <c r="I419" s="6">
        <f t="shared" si="231"/>
        <v>8.9032612669999995</v>
      </c>
      <c r="J419" s="6">
        <f t="shared" si="231"/>
        <v>9.0196328730000008</v>
      </c>
      <c r="K419" s="6">
        <f t="shared" si="231"/>
        <v>9.1479342310000007</v>
      </c>
      <c r="L419" s="6">
        <f t="shared" si="231"/>
        <v>9.2858859089999992</v>
      </c>
      <c r="M419" s="6">
        <f t="shared" si="231"/>
        <v>9.4399103540000002</v>
      </c>
      <c r="N419" s="6">
        <f t="shared" si="231"/>
        <v>9.5963207120000007</v>
      </c>
      <c r="O419" s="6">
        <f t="shared" si="231"/>
        <v>9.7559866149999994</v>
      </c>
      <c r="P419" s="6">
        <f t="shared" si="231"/>
        <v>9.9182835810000007</v>
      </c>
      <c r="Q419" s="6">
        <f t="shared" si="231"/>
        <v>10.082512789999999</v>
      </c>
      <c r="R419" s="6">
        <f t="shared" si="231"/>
        <v>10.248141499999999</v>
      </c>
      <c r="S419" s="6">
        <f t="shared" si="231"/>
        <v>10.4141549</v>
      </c>
      <c r="T419" s="6">
        <f t="shared" si="231"/>
        <v>10.580673600000001</v>
      </c>
      <c r="U419" s="6">
        <f t="shared" si="231"/>
        <v>10.747622740000001</v>
      </c>
      <c r="V419" s="6">
        <f t="shared" si="231"/>
        <v>10.914974040000001</v>
      </c>
      <c r="W419" s="6">
        <f t="shared" si="231"/>
        <v>11.07654593</v>
      </c>
      <c r="X419" s="6">
        <f t="shared" si="231"/>
        <v>11.240901089999999</v>
      </c>
      <c r="Y419" s="6">
        <f t="shared" si="231"/>
        <v>11.4068337</v>
      </c>
      <c r="Z419" s="6">
        <f t="shared" si="231"/>
        <v>11.57421362</v>
      </c>
      <c r="AA419" s="6">
        <f t="shared" si="231"/>
        <v>11.743106170000001</v>
      </c>
      <c r="AB419" s="6">
        <f t="shared" si="231"/>
        <v>11.89572628</v>
      </c>
      <c r="AC419" s="6">
        <f t="shared" si="231"/>
        <v>12.0482978</v>
      </c>
      <c r="AD419" s="6">
        <f t="shared" si="231"/>
        <v>12.20000606</v>
      </c>
      <c r="AE419" s="6">
        <f t="shared" si="231"/>
        <v>12.351428589999999</v>
      </c>
      <c r="AF419" s="6">
        <f t="shared" si="231"/>
        <v>12.50333026</v>
      </c>
      <c r="AG419" s="6">
        <f t="shared" si="231"/>
        <v>12.656384660000001</v>
      </c>
      <c r="AH419" s="6">
        <f t="shared" si="231"/>
        <v>12.81126315</v>
      </c>
      <c r="AI419" s="6">
        <f t="shared" si="231"/>
        <v>12.968287070000001</v>
      </c>
      <c r="AJ419" s="6">
        <f t="shared" si="231"/>
        <v>13.1277347</v>
      </c>
      <c r="AK419" s="6">
        <f t="shared" si="231"/>
        <v>13.289804</v>
      </c>
      <c r="AL419" s="6">
        <f t="shared" si="231"/>
        <v>13.45462663</v>
      </c>
      <c r="AM419" s="6">
        <f t="shared" ref="AM419:BC419" si="232">AM390</f>
        <v>13.619227710000001</v>
      </c>
      <c r="AN419" s="6">
        <f t="shared" si="232"/>
        <v>13.784463239999999</v>
      </c>
      <c r="AO419" s="6">
        <f t="shared" si="232"/>
        <v>13.950903930000001</v>
      </c>
      <c r="AP419" s="6">
        <f t="shared" si="232"/>
        <v>14.11898236</v>
      </c>
      <c r="AQ419" s="6">
        <f t="shared" si="232"/>
        <v>14.289050270000001</v>
      </c>
      <c r="AR419" s="6">
        <f t="shared" si="232"/>
        <v>14.46157796</v>
      </c>
      <c r="AS419" s="6">
        <f t="shared" si="232"/>
        <v>14.636671379999999</v>
      </c>
      <c r="AT419" s="6">
        <f t="shared" si="232"/>
        <v>14.81447073</v>
      </c>
      <c r="AU419" s="6">
        <f t="shared" si="232"/>
        <v>14.995072909999999</v>
      </c>
      <c r="AV419" s="6">
        <f t="shared" si="232"/>
        <v>15.178531359999999</v>
      </c>
      <c r="AW419" s="6">
        <f t="shared" si="232"/>
        <v>15.365870940000001</v>
      </c>
      <c r="AX419" s="6">
        <f t="shared" si="232"/>
        <v>15.556579259999999</v>
      </c>
      <c r="AY419" s="6">
        <f t="shared" si="232"/>
        <v>15.75053181</v>
      </c>
      <c r="AZ419" s="6">
        <f t="shared" si="232"/>
        <v>15.94764475</v>
      </c>
      <c r="BA419" s="6">
        <f t="shared" si="232"/>
        <v>16.147833930000001</v>
      </c>
      <c r="BB419" s="6">
        <f t="shared" si="232"/>
        <v>16.351408500000002</v>
      </c>
      <c r="BC419" s="6">
        <f t="shared" si="232"/>
        <v>16.558076369999998</v>
      </c>
      <c r="BD419" s="6">
        <f t="shared" ref="BD419:BF419" si="233">BD390</f>
        <v>16.767766989999998</v>
      </c>
      <c r="BE419" s="6">
        <f t="shared" si="233"/>
        <v>16.980444219999999</v>
      </c>
      <c r="BF419" s="6">
        <f t="shared" si="233"/>
        <v>17.196081580000001</v>
      </c>
    </row>
    <row r="420" spans="1:58" x14ac:dyDescent="0.35">
      <c r="B420" t="s">
        <v>65</v>
      </c>
      <c r="C420" s="6">
        <f>C392+C416</f>
        <v>18.446713122999999</v>
      </c>
      <c r="D420" s="6">
        <f t="shared" ref="D420:AL420" si="234">D392+D416</f>
        <v>18.531326431</v>
      </c>
      <c r="E420" s="6">
        <f t="shared" si="234"/>
        <v>18.687651058</v>
      </c>
      <c r="F420" s="6">
        <f t="shared" si="234"/>
        <v>18.884101297000001</v>
      </c>
      <c r="G420" s="6">
        <f t="shared" si="234"/>
        <v>19.110203018</v>
      </c>
      <c r="H420" s="6">
        <f t="shared" si="234"/>
        <v>19.359938659999997</v>
      </c>
      <c r="I420" s="6">
        <f t="shared" si="234"/>
        <v>19.619320762000001</v>
      </c>
      <c r="J420" s="6">
        <f t="shared" si="234"/>
        <v>19.889309834999999</v>
      </c>
      <c r="K420" s="6">
        <f t="shared" si="234"/>
        <v>20.168972198999999</v>
      </c>
      <c r="L420" s="6">
        <f t="shared" si="234"/>
        <v>20.457167816000002</v>
      </c>
      <c r="M420" s="6">
        <f t="shared" si="234"/>
        <v>20.769060947</v>
      </c>
      <c r="N420" s="6">
        <f t="shared" si="234"/>
        <v>21.079044334999999</v>
      </c>
      <c r="O420" s="6">
        <f t="shared" si="234"/>
        <v>21.39176213</v>
      </c>
      <c r="P420" s="6">
        <f t="shared" si="234"/>
        <v>21.708154299</v>
      </c>
      <c r="Q420" s="6">
        <f t="shared" si="234"/>
        <v>22.028461084</v>
      </c>
      <c r="R420" s="6">
        <f t="shared" si="234"/>
        <v>22.352858214999998</v>
      </c>
      <c r="S420" s="6">
        <f t="shared" si="234"/>
        <v>22.680045781</v>
      </c>
      <c r="T420" s="6">
        <f t="shared" si="234"/>
        <v>23.011339441000001</v>
      </c>
      <c r="U420" s="6">
        <f t="shared" si="234"/>
        <v>23.347347409999998</v>
      </c>
      <c r="V420" s="6">
        <f t="shared" si="234"/>
        <v>23.688545697000002</v>
      </c>
      <c r="W420" s="6">
        <f t="shared" si="234"/>
        <v>24.023473287999998</v>
      </c>
      <c r="X420" s="6">
        <f t="shared" si="234"/>
        <v>24.369534030000001</v>
      </c>
      <c r="Y420" s="6">
        <f t="shared" si="234"/>
        <v>24.72392808</v>
      </c>
      <c r="Z420" s="6">
        <f t="shared" si="234"/>
        <v>25.086112010000001</v>
      </c>
      <c r="AA420" s="6">
        <f t="shared" si="234"/>
        <v>25.456032370000003</v>
      </c>
      <c r="AB420" s="6">
        <f t="shared" si="234"/>
        <v>25.799617079999997</v>
      </c>
      <c r="AC420" s="6">
        <f t="shared" si="234"/>
        <v>26.149968870000002</v>
      </c>
      <c r="AD420" s="6">
        <f t="shared" si="234"/>
        <v>26.504470259999998</v>
      </c>
      <c r="AE420" s="6">
        <f t="shared" si="234"/>
        <v>26.863178739999999</v>
      </c>
      <c r="AF420" s="6">
        <f t="shared" si="234"/>
        <v>27.226598389999999</v>
      </c>
      <c r="AG420" s="6">
        <f t="shared" si="234"/>
        <v>27.595205140000001</v>
      </c>
      <c r="AH420" s="6">
        <f t="shared" si="234"/>
        <v>27.969691189999999</v>
      </c>
      <c r="AI420" s="6">
        <f t="shared" si="234"/>
        <v>28.35004043</v>
      </c>
      <c r="AJ420" s="6">
        <f t="shared" si="234"/>
        <v>28.736268519999999</v>
      </c>
      <c r="AK420" s="6">
        <f t="shared" si="234"/>
        <v>29.128317840000001</v>
      </c>
      <c r="AL420" s="6">
        <f t="shared" si="234"/>
        <v>29.526065410000001</v>
      </c>
      <c r="AM420" s="6">
        <f t="shared" ref="AM420:BC420" si="235">AM392+AM416</f>
        <v>29.924235799999998</v>
      </c>
      <c r="AN420" s="6">
        <f t="shared" si="235"/>
        <v>30.324061539999999</v>
      </c>
      <c r="AO420" s="6">
        <f t="shared" si="235"/>
        <v>30.726159360000004</v>
      </c>
      <c r="AP420" s="6">
        <f t="shared" si="235"/>
        <v>31.130874079999998</v>
      </c>
      <c r="AQ420" s="6">
        <f t="shared" si="235"/>
        <v>31.538443300000001</v>
      </c>
      <c r="AR420" s="6">
        <f t="shared" si="235"/>
        <v>31.94954778</v>
      </c>
      <c r="AS420" s="6">
        <f t="shared" si="235"/>
        <v>32.364040609999996</v>
      </c>
      <c r="AT420" s="6">
        <f t="shared" si="235"/>
        <v>32.781959219999997</v>
      </c>
      <c r="AU420" s="6">
        <f t="shared" si="235"/>
        <v>33.203345069999997</v>
      </c>
      <c r="AV420" s="6">
        <f t="shared" si="235"/>
        <v>33.628220380000002</v>
      </c>
      <c r="AW420" s="6">
        <f t="shared" si="235"/>
        <v>34.059004680000001</v>
      </c>
      <c r="AX420" s="6">
        <f t="shared" si="235"/>
        <v>34.49439649</v>
      </c>
      <c r="AY420" s="6">
        <f t="shared" si="235"/>
        <v>34.934018170000002</v>
      </c>
      <c r="AZ420" s="6">
        <f t="shared" si="235"/>
        <v>35.377685589999999</v>
      </c>
      <c r="BA420" s="6">
        <f t="shared" si="235"/>
        <v>35.82529272</v>
      </c>
      <c r="BB420" s="6">
        <f t="shared" si="235"/>
        <v>36.277849809999999</v>
      </c>
      <c r="BC420" s="6">
        <f t="shared" si="235"/>
        <v>36.734745619999998</v>
      </c>
      <c r="BD420" s="6">
        <f t="shared" ref="BD420:BF420" si="236">BD392+BD416</f>
        <v>37.195873970000001</v>
      </c>
      <c r="BE420" s="6">
        <f t="shared" si="236"/>
        <v>37.661246589999998</v>
      </c>
      <c r="BF420" s="6">
        <f t="shared" si="236"/>
        <v>38.13093018</v>
      </c>
    </row>
    <row r="421" spans="1:58" x14ac:dyDescent="0.35">
      <c r="B421" t="s">
        <v>66</v>
      </c>
      <c r="C421" s="6">
        <f>C394</f>
        <v>13.127115679999999</v>
      </c>
      <c r="D421" s="6">
        <f t="shared" ref="D421:AL421" si="237">D394</f>
        <v>13.173403690000001</v>
      </c>
      <c r="E421" s="6">
        <f t="shared" si="237"/>
        <v>13.2989148</v>
      </c>
      <c r="F421" s="6">
        <f t="shared" si="237"/>
        <v>13.45231486</v>
      </c>
      <c r="G421" s="6">
        <f t="shared" si="237"/>
        <v>13.62415655</v>
      </c>
      <c r="H421" s="6">
        <f t="shared" si="237"/>
        <v>13.810766620000001</v>
      </c>
      <c r="I421" s="6">
        <f t="shared" si="237"/>
        <v>13.99869071</v>
      </c>
      <c r="J421" s="6">
        <f t="shared" si="237"/>
        <v>14.19332335</v>
      </c>
      <c r="K421" s="6">
        <f t="shared" si="237"/>
        <v>14.39387161</v>
      </c>
      <c r="L421" s="6">
        <f t="shared" si="237"/>
        <v>14.59886727</v>
      </c>
      <c r="M421" s="6">
        <f t="shared" si="237"/>
        <v>14.824569459999999</v>
      </c>
      <c r="N421" s="6">
        <f t="shared" si="237"/>
        <v>15.037072119999999</v>
      </c>
      <c r="O421" s="6">
        <f t="shared" si="237"/>
        <v>15.24823044</v>
      </c>
      <c r="P421" s="6">
        <f t="shared" si="237"/>
        <v>15.45951434</v>
      </c>
      <c r="Q421" s="6">
        <f t="shared" si="237"/>
        <v>15.671023910000001</v>
      </c>
      <c r="R421" s="6">
        <f t="shared" si="237"/>
        <v>15.882808430000001</v>
      </c>
      <c r="S421" s="6">
        <f t="shared" si="237"/>
        <v>16.092798510000001</v>
      </c>
      <c r="T421" s="6">
        <f t="shared" si="237"/>
        <v>16.303159449999999</v>
      </c>
      <c r="U421" s="6">
        <f t="shared" si="237"/>
        <v>16.51451861</v>
      </c>
      <c r="V421" s="6">
        <f t="shared" si="237"/>
        <v>16.727307209999999</v>
      </c>
      <c r="W421" s="6">
        <f t="shared" si="237"/>
        <v>16.929156559999999</v>
      </c>
      <c r="X421" s="6">
        <f t="shared" si="237"/>
        <v>17.142840929999998</v>
      </c>
      <c r="Y421" s="6">
        <f t="shared" si="237"/>
        <v>17.36090694</v>
      </c>
      <c r="Z421" s="6">
        <f t="shared" si="237"/>
        <v>17.58250048</v>
      </c>
      <c r="AA421" s="6">
        <f t="shared" si="237"/>
        <v>17.807725099999999</v>
      </c>
      <c r="AB421" s="6">
        <f t="shared" si="237"/>
        <v>18.000339050000001</v>
      </c>
      <c r="AC421" s="6">
        <f t="shared" si="237"/>
        <v>18.20788099</v>
      </c>
      <c r="AD421" s="6">
        <f t="shared" si="237"/>
        <v>18.42016576</v>
      </c>
      <c r="AE421" s="6">
        <f t="shared" si="237"/>
        <v>18.636124089999999</v>
      </c>
      <c r="AF421" s="6">
        <f t="shared" si="237"/>
        <v>18.85597641</v>
      </c>
      <c r="AG421" s="6">
        <f t="shared" si="237"/>
        <v>19.080053679999999</v>
      </c>
      <c r="AH421" s="6">
        <f t="shared" si="237"/>
        <v>19.309109960000001</v>
      </c>
      <c r="AI421" s="6">
        <f t="shared" si="237"/>
        <v>19.54288626</v>
      </c>
      <c r="AJ421" s="6">
        <f t="shared" si="237"/>
        <v>19.78138903</v>
      </c>
      <c r="AK421" s="6">
        <f t="shared" si="237"/>
        <v>20.024607190000001</v>
      </c>
      <c r="AL421" s="6">
        <f t="shared" si="237"/>
        <v>20.272489239999999</v>
      </c>
      <c r="AM421" s="6">
        <f t="shared" ref="AM421:BC421" si="238">AM394</f>
        <v>20.520692919999998</v>
      </c>
      <c r="AN421" s="6">
        <f t="shared" si="238"/>
        <v>20.771806739999999</v>
      </c>
      <c r="AO421" s="6">
        <f t="shared" si="238"/>
        <v>21.02634557</v>
      </c>
      <c r="AP421" s="6">
        <f t="shared" si="238"/>
        <v>21.28447169</v>
      </c>
      <c r="AQ421" s="6">
        <f t="shared" si="238"/>
        <v>21.54627795</v>
      </c>
      <c r="AR421" s="6">
        <f t="shared" si="238"/>
        <v>21.81253869</v>
      </c>
      <c r="AS421" s="6">
        <f t="shared" si="238"/>
        <v>22.082726170000001</v>
      </c>
      <c r="AT421" s="6">
        <f t="shared" si="238"/>
        <v>22.356780919999999</v>
      </c>
      <c r="AU421" s="6">
        <f t="shared" si="238"/>
        <v>22.634692909999998</v>
      </c>
      <c r="AV421" s="6">
        <f t="shared" si="238"/>
        <v>22.916446690000001</v>
      </c>
      <c r="AW421" s="6">
        <f t="shared" si="238"/>
        <v>23.205187200000001</v>
      </c>
      <c r="AX421" s="6">
        <f t="shared" si="238"/>
        <v>23.498368419999998</v>
      </c>
      <c r="AY421" s="6">
        <f t="shared" si="238"/>
        <v>23.79555714</v>
      </c>
      <c r="AZ421" s="6">
        <f t="shared" si="238"/>
        <v>24.09663132</v>
      </c>
      <c r="BA421" s="6">
        <f t="shared" si="238"/>
        <v>24.401527699999999</v>
      </c>
      <c r="BB421" s="6">
        <f t="shared" si="238"/>
        <v>24.711710010000001</v>
      </c>
      <c r="BC421" s="6">
        <f t="shared" si="238"/>
        <v>25.025949390000001</v>
      </c>
      <c r="BD421" s="6">
        <f t="shared" ref="BD421:BF421" si="239">BD394</f>
        <v>25.344065400000002</v>
      </c>
      <c r="BE421" s="6">
        <f t="shared" si="239"/>
        <v>25.666039659999999</v>
      </c>
      <c r="BF421" s="6">
        <f t="shared" si="239"/>
        <v>25.991890640000001</v>
      </c>
    </row>
    <row r="422" spans="1:58" x14ac:dyDescent="0.35">
      <c r="B422" t="s">
        <v>67</v>
      </c>
      <c r="C422" s="6">
        <f>C396</f>
        <v>19.08504946</v>
      </c>
      <c r="D422" s="6">
        <f t="shared" ref="D422:AL422" si="240">D396</f>
        <v>19.135440200000001</v>
      </c>
      <c r="E422" s="6">
        <f t="shared" si="240"/>
        <v>19.30770631</v>
      </c>
      <c r="F422" s="6">
        <f t="shared" si="240"/>
        <v>19.521401910000002</v>
      </c>
      <c r="G422" s="6">
        <f t="shared" si="240"/>
        <v>19.757380040000001</v>
      </c>
      <c r="H422" s="6">
        <f t="shared" si="240"/>
        <v>20.009544529999999</v>
      </c>
      <c r="I422" s="6">
        <f t="shared" si="240"/>
        <v>20.26159518</v>
      </c>
      <c r="J422" s="6">
        <f t="shared" si="240"/>
        <v>20.520676009999999</v>
      </c>
      <c r="K422" s="6">
        <f t="shared" si="240"/>
        <v>20.787433409999998</v>
      </c>
      <c r="L422" s="6">
        <f t="shared" si="240"/>
        <v>21.061169939999999</v>
      </c>
      <c r="M422" s="6">
        <f t="shared" si="240"/>
        <v>21.363066979999999</v>
      </c>
      <c r="N422" s="6">
        <f t="shared" si="240"/>
        <v>21.652474680000001</v>
      </c>
      <c r="O422" s="6">
        <f t="shared" si="240"/>
        <v>21.942145610000001</v>
      </c>
      <c r="P422" s="6">
        <f t="shared" si="240"/>
        <v>22.234451549999999</v>
      </c>
      <c r="Q422" s="6">
        <f t="shared" si="240"/>
        <v>22.529768010000002</v>
      </c>
      <c r="R422" s="6">
        <f t="shared" si="240"/>
        <v>22.82820044</v>
      </c>
      <c r="S422" s="6">
        <f t="shared" si="240"/>
        <v>23.127037560000002</v>
      </c>
      <c r="T422" s="6">
        <f t="shared" si="240"/>
        <v>23.4288241</v>
      </c>
      <c r="U422" s="6">
        <f t="shared" si="240"/>
        <v>23.734356080000001</v>
      </c>
      <c r="V422" s="6">
        <f t="shared" si="240"/>
        <v>24.04411468</v>
      </c>
      <c r="W422" s="6">
        <f t="shared" si="240"/>
        <v>24.342473510000001</v>
      </c>
      <c r="X422" s="6">
        <f t="shared" si="240"/>
        <v>24.656661410000002</v>
      </c>
      <c r="Y422" s="6">
        <f t="shared" si="240"/>
        <v>24.97888081</v>
      </c>
      <c r="Z422" s="6">
        <f t="shared" si="240"/>
        <v>25.307703589999999</v>
      </c>
      <c r="AA422" s="6">
        <f t="shared" si="240"/>
        <v>25.643010050000001</v>
      </c>
      <c r="AB422" s="6">
        <f t="shared" si="240"/>
        <v>25.939115449999999</v>
      </c>
      <c r="AC422" s="6">
        <f t="shared" si="240"/>
        <v>26.252007649999999</v>
      </c>
      <c r="AD422" s="6">
        <f t="shared" si="240"/>
        <v>26.571896980000002</v>
      </c>
      <c r="AE422" s="6">
        <f t="shared" si="240"/>
        <v>26.897141390000002</v>
      </c>
      <c r="AF422" s="6">
        <f t="shared" si="240"/>
        <v>27.227721880000001</v>
      </c>
      <c r="AG422" s="6">
        <f t="shared" si="240"/>
        <v>27.563879150000002</v>
      </c>
      <c r="AH422" s="6">
        <f t="shared" si="240"/>
        <v>27.906473500000001</v>
      </c>
      <c r="AI422" s="6">
        <f t="shared" si="240"/>
        <v>28.255143709999999</v>
      </c>
      <c r="AJ422" s="6">
        <f t="shared" si="240"/>
        <v>28.60984053</v>
      </c>
      <c r="AK422" s="6">
        <f t="shared" si="240"/>
        <v>28.970516889999999</v>
      </c>
      <c r="AL422" s="6">
        <f t="shared" si="240"/>
        <v>29.33708635</v>
      </c>
      <c r="AM422" s="6">
        <f t="shared" ref="AM422:BC422" si="241">AM396</f>
        <v>29.704190440000001</v>
      </c>
      <c r="AN422" s="6">
        <f t="shared" si="241"/>
        <v>30.07440158</v>
      </c>
      <c r="AO422" s="6">
        <f t="shared" si="241"/>
        <v>30.448432220000001</v>
      </c>
      <c r="AP422" s="6">
        <f t="shared" si="241"/>
        <v>30.826507370000002</v>
      </c>
      <c r="AQ422" s="6">
        <f t="shared" si="241"/>
        <v>31.20872597</v>
      </c>
      <c r="AR422" s="6">
        <f t="shared" si="241"/>
        <v>31.5960593</v>
      </c>
      <c r="AS422" s="6">
        <f t="shared" si="241"/>
        <v>31.987872629999998</v>
      </c>
      <c r="AT422" s="6">
        <f t="shared" si="241"/>
        <v>32.384069590000003</v>
      </c>
      <c r="AU422" s="6">
        <f t="shared" si="241"/>
        <v>32.784642210000001</v>
      </c>
      <c r="AV422" s="6">
        <f t="shared" si="241"/>
        <v>33.189589300000002</v>
      </c>
      <c r="AW422" s="6">
        <f t="shared" si="241"/>
        <v>33.602950730000003</v>
      </c>
      <c r="AX422" s="6">
        <f t="shared" si="241"/>
        <v>34.021775290000001</v>
      </c>
      <c r="AY422" s="6">
        <f t="shared" si="241"/>
        <v>34.445448169999999</v>
      </c>
      <c r="AZ422" s="6">
        <f t="shared" si="241"/>
        <v>34.873810429999999</v>
      </c>
      <c r="BA422" s="6">
        <f t="shared" si="241"/>
        <v>35.30680658</v>
      </c>
      <c r="BB422" s="6">
        <f t="shared" si="241"/>
        <v>35.746343099999997</v>
      </c>
      <c r="BC422" s="6">
        <f t="shared" si="241"/>
        <v>36.190994930000002</v>
      </c>
      <c r="BD422" s="6">
        <f t="shared" ref="BD422:BF422" si="242">BD396</f>
        <v>36.640515280000002</v>
      </c>
      <c r="BE422" s="6">
        <f t="shared" si="242"/>
        <v>37.094891230000002</v>
      </c>
      <c r="BF422" s="6">
        <f t="shared" si="242"/>
        <v>37.55417061</v>
      </c>
    </row>
    <row r="423" spans="1:58" x14ac:dyDescent="0.35">
      <c r="B423" t="s">
        <v>71</v>
      </c>
      <c r="C423" s="6">
        <f>C391+C393+C395+C397+C398+C399</f>
        <v>16.064864034999999</v>
      </c>
      <c r="D423" s="6">
        <f t="shared" ref="D423:AL423" si="243">D391+D393+D395+D397+D398+D399</f>
        <v>15.989765791</v>
      </c>
      <c r="E423" s="6">
        <f t="shared" si="243"/>
        <v>15.953733872000001</v>
      </c>
      <c r="F423" s="6">
        <f t="shared" si="243"/>
        <v>15.964964947999999</v>
      </c>
      <c r="G423" s="6">
        <f t="shared" si="243"/>
        <v>16.035970214000002</v>
      </c>
      <c r="H423" s="6">
        <f t="shared" si="243"/>
        <v>16.168479192</v>
      </c>
      <c r="I423" s="6">
        <f t="shared" si="243"/>
        <v>16.347502522999999</v>
      </c>
      <c r="J423" s="6">
        <f t="shared" si="243"/>
        <v>16.568189378</v>
      </c>
      <c r="K423" s="6">
        <f t="shared" si="243"/>
        <v>16.822941394000001</v>
      </c>
      <c r="L423" s="6">
        <f t="shared" si="243"/>
        <v>17.104719893999999</v>
      </c>
      <c r="M423" s="6">
        <f t="shared" si="243"/>
        <v>17.423514357000002</v>
      </c>
      <c r="N423" s="6">
        <f t="shared" si="243"/>
        <v>17.751098745</v>
      </c>
      <c r="O423" s="6">
        <f t="shared" si="243"/>
        <v>18.088358540999998</v>
      </c>
      <c r="P423" s="6">
        <f t="shared" si="243"/>
        <v>18.432570003999999</v>
      </c>
      <c r="Q423" s="6">
        <f t="shared" si="243"/>
        <v>18.781043657000001</v>
      </c>
      <c r="R423" s="6">
        <f t="shared" si="243"/>
        <v>19.131634519999999</v>
      </c>
      <c r="S423" s="6">
        <f t="shared" si="243"/>
        <v>19.481160472999999</v>
      </c>
      <c r="T423" s="6">
        <f t="shared" si="243"/>
        <v>19.829341475</v>
      </c>
      <c r="U423" s="6">
        <f t="shared" si="243"/>
        <v>20.175603551000002</v>
      </c>
      <c r="V423" s="6">
        <f t="shared" si="243"/>
        <v>20.519726374000001</v>
      </c>
      <c r="W423" s="6">
        <f t="shared" si="243"/>
        <v>20.849824392000002</v>
      </c>
      <c r="X423" s="6">
        <f t="shared" si="243"/>
        <v>21.182706792000001</v>
      </c>
      <c r="Y423" s="6">
        <f t="shared" si="243"/>
        <v>21.515917644999998</v>
      </c>
      <c r="Z423" s="6">
        <f t="shared" si="243"/>
        <v>21.849818018999997</v>
      </c>
      <c r="AA423" s="6">
        <f t="shared" si="243"/>
        <v>22.185218329000001</v>
      </c>
      <c r="AB423" s="6">
        <f t="shared" si="243"/>
        <v>22.488338053</v>
      </c>
      <c r="AC423" s="6">
        <f t="shared" si="243"/>
        <v>22.791053433999998</v>
      </c>
      <c r="AD423" s="6">
        <f t="shared" si="243"/>
        <v>23.090628844999998</v>
      </c>
      <c r="AE423" s="6">
        <f t="shared" si="243"/>
        <v>23.38815752</v>
      </c>
      <c r="AF423" s="6">
        <f t="shared" si="243"/>
        <v>23.685214856999998</v>
      </c>
      <c r="AG423" s="6">
        <f t="shared" si="243"/>
        <v>23.983253568999999</v>
      </c>
      <c r="AH423" s="6">
        <f t="shared" si="243"/>
        <v>24.283826584000003</v>
      </c>
      <c r="AI423" s="6">
        <f t="shared" si="243"/>
        <v>24.587788240000002</v>
      </c>
      <c r="AJ423" s="6">
        <f t="shared" si="243"/>
        <v>24.895965648000001</v>
      </c>
      <c r="AK423" s="6">
        <f t="shared" si="243"/>
        <v>25.208985186</v>
      </c>
      <c r="AL423" s="6">
        <f t="shared" si="243"/>
        <v>25.527257491999997</v>
      </c>
      <c r="AM423" s="6">
        <f t="shared" ref="AM423:BC423" si="244">AM391+AM393+AM395+AM397+AM398+AM399</f>
        <v>25.845338544000001</v>
      </c>
      <c r="AN423" s="6">
        <f t="shared" si="244"/>
        <v>26.164510528999998</v>
      </c>
      <c r="AO423" s="6">
        <f t="shared" si="244"/>
        <v>26.485582428000001</v>
      </c>
      <c r="AP423" s="6">
        <f t="shared" si="244"/>
        <v>26.809037160999999</v>
      </c>
      <c r="AQ423" s="6">
        <f t="shared" si="244"/>
        <v>27.135081763999999</v>
      </c>
      <c r="AR423" s="6">
        <f t="shared" si="244"/>
        <v>27.464119228999998</v>
      </c>
      <c r="AS423" s="6">
        <f t="shared" si="244"/>
        <v>27.795823275</v>
      </c>
      <c r="AT423" s="6">
        <f t="shared" si="244"/>
        <v>28.130094268000001</v>
      </c>
      <c r="AU423" s="6">
        <f t="shared" si="244"/>
        <v>28.466828413999998</v>
      </c>
      <c r="AV423" s="6">
        <f t="shared" si="244"/>
        <v>28.805894385999999</v>
      </c>
      <c r="AW423" s="6">
        <f t="shared" si="244"/>
        <v>29.149118459</v>
      </c>
      <c r="AX423" s="6">
        <f t="shared" si="244"/>
        <v>29.495309732999999</v>
      </c>
      <c r="AY423" s="6">
        <f t="shared" si="244"/>
        <v>29.844388248000001</v>
      </c>
      <c r="AZ423" s="6">
        <f t="shared" si="244"/>
        <v>30.196313046</v>
      </c>
      <c r="BA423" s="6">
        <f t="shared" si="244"/>
        <v>30.550938741000003</v>
      </c>
      <c r="BB423" s="6">
        <f t="shared" si="244"/>
        <v>30.908797102000001</v>
      </c>
      <c r="BC423" s="6">
        <f t="shared" si="244"/>
        <v>31.269212353</v>
      </c>
      <c r="BD423" s="6">
        <f t="shared" ref="BD423:BF423" si="245">BD391+BD393+BD395+BD397+BD398+BD399</f>
        <v>31.632162106000003</v>
      </c>
      <c r="BE423" s="6">
        <f t="shared" si="245"/>
        <v>31.997693238</v>
      </c>
      <c r="BF423" s="6">
        <f t="shared" si="245"/>
        <v>32.365834028000002</v>
      </c>
    </row>
    <row r="424" spans="1:58" x14ac:dyDescent="0.35">
      <c r="B424" t="s">
        <v>68</v>
      </c>
      <c r="C424" s="6">
        <f>C401</f>
        <v>17.05513375</v>
      </c>
      <c r="D424" s="6">
        <f t="shared" ref="D424:AL424" si="246">D401</f>
        <v>17.131554390000002</v>
      </c>
      <c r="E424" s="6">
        <f t="shared" si="246"/>
        <v>17.257622779999998</v>
      </c>
      <c r="F424" s="6">
        <f t="shared" si="246"/>
        <v>17.411848880000001</v>
      </c>
      <c r="G424" s="6">
        <f t="shared" si="246"/>
        <v>17.589835180000001</v>
      </c>
      <c r="H424" s="6">
        <f t="shared" si="246"/>
        <v>17.78891286</v>
      </c>
      <c r="I424" s="6">
        <f t="shared" si="246"/>
        <v>17.996661979999999</v>
      </c>
      <c r="J424" s="6">
        <f t="shared" si="246"/>
        <v>18.215402180000002</v>
      </c>
      <c r="K424" s="6">
        <f t="shared" si="246"/>
        <v>18.444017670000001</v>
      </c>
      <c r="L424" s="6">
        <f t="shared" si="246"/>
        <v>18.680770750000001</v>
      </c>
      <c r="M424" s="6">
        <f t="shared" si="246"/>
        <v>18.940137</v>
      </c>
      <c r="N424" s="6">
        <f t="shared" si="246"/>
        <v>19.194450270000001</v>
      </c>
      <c r="O424" s="6">
        <f t="shared" si="246"/>
        <v>19.449476610000001</v>
      </c>
      <c r="P424" s="6">
        <f t="shared" si="246"/>
        <v>19.706075309999999</v>
      </c>
      <c r="Q424" s="6">
        <f t="shared" si="246"/>
        <v>19.96415489</v>
      </c>
      <c r="R424" s="6">
        <f t="shared" si="246"/>
        <v>20.223580290000001</v>
      </c>
      <c r="S424" s="6">
        <f t="shared" si="246"/>
        <v>20.48301146</v>
      </c>
      <c r="T424" s="6">
        <f t="shared" si="246"/>
        <v>20.743450240000001</v>
      </c>
      <c r="U424" s="6">
        <f t="shared" si="246"/>
        <v>21.005279179999999</v>
      </c>
      <c r="V424" s="6">
        <f t="shared" si="246"/>
        <v>21.26878383</v>
      </c>
      <c r="W424" s="6">
        <f t="shared" si="246"/>
        <v>21.52243906</v>
      </c>
      <c r="X424" s="6">
        <f t="shared" si="246"/>
        <v>21.78482374</v>
      </c>
      <c r="Y424" s="6">
        <f t="shared" si="246"/>
        <v>22.051820559999999</v>
      </c>
      <c r="Z424" s="6">
        <f t="shared" si="246"/>
        <v>22.322609880000002</v>
      </c>
      <c r="AA424" s="6">
        <f t="shared" si="246"/>
        <v>22.597128649999998</v>
      </c>
      <c r="AB424" s="6">
        <f t="shared" si="246"/>
        <v>22.84168785</v>
      </c>
      <c r="AC424" s="6">
        <f t="shared" si="246"/>
        <v>23.09324457</v>
      </c>
      <c r="AD424" s="6">
        <f t="shared" si="246"/>
        <v>23.34759699</v>
      </c>
      <c r="AE424" s="6">
        <f t="shared" si="246"/>
        <v>23.604458040000001</v>
      </c>
      <c r="AF424" s="6">
        <f t="shared" si="246"/>
        <v>23.864361859999999</v>
      </c>
      <c r="AG424" s="6">
        <f t="shared" si="246"/>
        <v>24.12788381</v>
      </c>
      <c r="AH424" s="6">
        <f t="shared" si="246"/>
        <v>24.395765659999999</v>
      </c>
      <c r="AI424" s="6">
        <f t="shared" si="246"/>
        <v>24.668106689999998</v>
      </c>
      <c r="AJ424" s="6">
        <f t="shared" si="246"/>
        <v>24.945033290000001</v>
      </c>
      <c r="AK424" s="6">
        <f t="shared" si="246"/>
        <v>25.226609570000001</v>
      </c>
      <c r="AL424" s="6">
        <f t="shared" si="246"/>
        <v>25.512844090000002</v>
      </c>
      <c r="AM424" s="6">
        <f t="shared" ref="AM424:BC424" si="247">AM401</f>
        <v>25.79828127</v>
      </c>
      <c r="AN424" s="6">
        <f t="shared" si="247"/>
        <v>26.085439969999999</v>
      </c>
      <c r="AO424" s="6">
        <f t="shared" si="247"/>
        <v>26.375236569999998</v>
      </c>
      <c r="AP424" s="6">
        <f t="shared" si="247"/>
        <v>26.668137869999999</v>
      </c>
      <c r="AQ424" s="6">
        <f t="shared" si="247"/>
        <v>26.964476919999999</v>
      </c>
      <c r="AR424" s="6">
        <f t="shared" si="247"/>
        <v>27.264935739999999</v>
      </c>
      <c r="AS424" s="6">
        <f t="shared" si="247"/>
        <v>27.569438049999999</v>
      </c>
      <c r="AT424" s="6">
        <f t="shared" si="247"/>
        <v>27.878055459999999</v>
      </c>
      <c r="AU424" s="6">
        <f t="shared" si="247"/>
        <v>28.190847510000001</v>
      </c>
      <c r="AV424" s="6">
        <f t="shared" si="247"/>
        <v>28.507841809999999</v>
      </c>
      <c r="AW424" s="6">
        <f t="shared" si="247"/>
        <v>28.83117923</v>
      </c>
      <c r="AX424" s="6">
        <f t="shared" si="247"/>
        <v>29.159518039999998</v>
      </c>
      <c r="AY424" s="6">
        <f t="shared" si="247"/>
        <v>29.492476979999999</v>
      </c>
      <c r="AZ424" s="6">
        <f t="shared" si="247"/>
        <v>29.829885610000002</v>
      </c>
      <c r="BA424" s="6">
        <f t="shared" si="247"/>
        <v>30.171639460000002</v>
      </c>
      <c r="BB424" s="6">
        <f t="shared" si="247"/>
        <v>30.51856411</v>
      </c>
      <c r="BC424" s="6">
        <f t="shared" si="247"/>
        <v>30.87004001</v>
      </c>
      <c r="BD424" s="6">
        <f t="shared" ref="BD424:BF424" si="248">BD401</f>
        <v>31.225910559999999</v>
      </c>
      <c r="BE424" s="6">
        <f t="shared" si="248"/>
        <v>31.58612917</v>
      </c>
      <c r="BF424" s="6">
        <f t="shared" si="248"/>
        <v>31.950691240000001</v>
      </c>
    </row>
    <row r="425" spans="1:58" x14ac:dyDescent="0.35">
      <c r="B425" t="s">
        <v>69</v>
      </c>
      <c r="C425" s="6">
        <f>C403</f>
        <v>18.71343495</v>
      </c>
      <c r="D425" s="6">
        <f t="shared" ref="D425:AL425" si="249">D403</f>
        <v>18.846332220000001</v>
      </c>
      <c r="E425" s="6">
        <f t="shared" si="249"/>
        <v>19.06814546</v>
      </c>
      <c r="F425" s="6">
        <f t="shared" si="249"/>
        <v>19.323971360000002</v>
      </c>
      <c r="G425" s="6">
        <f t="shared" si="249"/>
        <v>19.607234779999999</v>
      </c>
      <c r="H425" s="6">
        <f t="shared" si="249"/>
        <v>19.916239600000001</v>
      </c>
      <c r="I425" s="6">
        <f t="shared" si="249"/>
        <v>20.233427630000001</v>
      </c>
      <c r="J425" s="6">
        <f t="shared" si="249"/>
        <v>20.565101609999999</v>
      </c>
      <c r="K425" s="6">
        <f t="shared" si="249"/>
        <v>20.91019519</v>
      </c>
      <c r="L425" s="6">
        <f t="shared" si="249"/>
        <v>21.266511860000001</v>
      </c>
      <c r="M425" s="6">
        <f t="shared" si="249"/>
        <v>21.65766889</v>
      </c>
      <c r="N425" s="6">
        <f t="shared" si="249"/>
        <v>22.037966180000002</v>
      </c>
      <c r="O425" s="6">
        <f t="shared" si="249"/>
        <v>22.41963419</v>
      </c>
      <c r="P425" s="6">
        <f t="shared" si="249"/>
        <v>22.80383733</v>
      </c>
      <c r="Q425" s="6">
        <f t="shared" si="249"/>
        <v>23.19041447</v>
      </c>
      <c r="R425" s="6">
        <f t="shared" si="249"/>
        <v>23.579269629999999</v>
      </c>
      <c r="S425" s="6">
        <f t="shared" si="249"/>
        <v>23.967740280000001</v>
      </c>
      <c r="T425" s="6">
        <f t="shared" si="249"/>
        <v>24.35828051</v>
      </c>
      <c r="U425" s="6">
        <f t="shared" si="249"/>
        <v>24.751606160000001</v>
      </c>
      <c r="V425" s="6">
        <f t="shared" si="249"/>
        <v>25.148250000000001</v>
      </c>
      <c r="W425" s="6">
        <f t="shared" si="249"/>
        <v>25.529412529999998</v>
      </c>
      <c r="X425" s="6">
        <f t="shared" si="249"/>
        <v>25.92620982</v>
      </c>
      <c r="Y425" s="6">
        <f t="shared" si="249"/>
        <v>26.330783449999998</v>
      </c>
      <c r="Z425" s="6">
        <f t="shared" si="249"/>
        <v>26.74224134</v>
      </c>
      <c r="AA425" s="6">
        <f t="shared" si="249"/>
        <v>27.160703909999999</v>
      </c>
      <c r="AB425" s="6">
        <f t="shared" si="249"/>
        <v>27.5305359</v>
      </c>
      <c r="AC425" s="6">
        <f t="shared" si="249"/>
        <v>27.91455844</v>
      </c>
      <c r="AD425" s="6">
        <f t="shared" si="249"/>
        <v>28.30326045</v>
      </c>
      <c r="AE425" s="6">
        <f t="shared" si="249"/>
        <v>28.69664028</v>
      </c>
      <c r="AF425" s="6">
        <f t="shared" si="249"/>
        <v>29.095906400000001</v>
      </c>
      <c r="AG425" s="6">
        <f t="shared" si="249"/>
        <v>29.502200080000001</v>
      </c>
      <c r="AH425" s="6">
        <f t="shared" si="249"/>
        <v>29.91702188</v>
      </c>
      <c r="AI425" s="6">
        <f t="shared" si="249"/>
        <v>30.34049602</v>
      </c>
      <c r="AJ425" s="6">
        <f t="shared" si="249"/>
        <v>30.772924979999999</v>
      </c>
      <c r="AK425" s="6">
        <f t="shared" si="249"/>
        <v>31.214497829999999</v>
      </c>
      <c r="AL425" s="6">
        <f t="shared" si="249"/>
        <v>31.665300640000002</v>
      </c>
      <c r="AM425" s="6">
        <f t="shared" ref="AM425:BC425" si="250">AM403</f>
        <v>32.11735324</v>
      </c>
      <c r="AN425" s="6">
        <f t="shared" si="250"/>
        <v>32.573895829999998</v>
      </c>
      <c r="AO425" s="6">
        <f t="shared" si="250"/>
        <v>33.036220919999998</v>
      </c>
      <c r="AP425" s="6">
        <f t="shared" si="250"/>
        <v>33.505160539999999</v>
      </c>
      <c r="AQ425" s="6">
        <f t="shared" si="250"/>
        <v>33.981394659999999</v>
      </c>
      <c r="AR425" s="6">
        <f t="shared" si="250"/>
        <v>34.466387660000002</v>
      </c>
      <c r="AS425" s="6">
        <f t="shared" si="250"/>
        <v>34.959926520000003</v>
      </c>
      <c r="AT425" s="6">
        <f t="shared" si="250"/>
        <v>35.462231869999997</v>
      </c>
      <c r="AU425" s="6">
        <f t="shared" si="250"/>
        <v>35.97348822</v>
      </c>
      <c r="AV425" s="6">
        <f t="shared" si="250"/>
        <v>36.49380867</v>
      </c>
      <c r="AW425" s="6">
        <f t="shared" si="250"/>
        <v>37.027545320000002</v>
      </c>
      <c r="AX425" s="6">
        <f t="shared" si="250"/>
        <v>37.57181903</v>
      </c>
      <c r="AY425" s="6">
        <f t="shared" si="250"/>
        <v>38.12608685</v>
      </c>
      <c r="AZ425" s="6">
        <f t="shared" si="250"/>
        <v>38.690131139999998</v>
      </c>
      <c r="BA425" s="6">
        <f t="shared" si="250"/>
        <v>39.263817330000002</v>
      </c>
      <c r="BB425" s="6">
        <f t="shared" si="250"/>
        <v>39.848990890000003</v>
      </c>
      <c r="BC425" s="6">
        <f t="shared" si="250"/>
        <v>40.444230150000003</v>
      </c>
      <c r="BD425" s="6">
        <f t="shared" ref="BD425:BF425" si="251">BD403</f>
        <v>41.04931886</v>
      </c>
      <c r="BE425" s="6">
        <f t="shared" si="251"/>
        <v>41.664231059999999</v>
      </c>
      <c r="BF425" s="6">
        <f t="shared" si="251"/>
        <v>42.289006409999999</v>
      </c>
    </row>
    <row r="426" spans="1:58" x14ac:dyDescent="0.35">
      <c r="B426" t="s">
        <v>70</v>
      </c>
      <c r="C426" s="6">
        <f>C402+C400</f>
        <v>5.3356165280000001</v>
      </c>
      <c r="D426" s="6">
        <f t="shared" ref="D426:AL426" si="252">D402+D400</f>
        <v>5.3669330889999998</v>
      </c>
      <c r="E426" s="6">
        <f t="shared" si="252"/>
        <v>5.4294762289999996</v>
      </c>
      <c r="F426" s="6">
        <f t="shared" si="252"/>
        <v>5.5000751350000003</v>
      </c>
      <c r="G426" s="6">
        <f t="shared" si="252"/>
        <v>5.575462098</v>
      </c>
      <c r="H426" s="6">
        <f t="shared" si="252"/>
        <v>5.654498341</v>
      </c>
      <c r="I426" s="6">
        <f t="shared" si="252"/>
        <v>5.7316817770000004</v>
      </c>
      <c r="J426" s="6">
        <f t="shared" si="252"/>
        <v>5.8099485199999998</v>
      </c>
      <c r="K426" s="6">
        <f t="shared" si="252"/>
        <v>5.8892125560000004</v>
      </c>
      <c r="L426" s="6">
        <f t="shared" si="252"/>
        <v>5.9691160569999999</v>
      </c>
      <c r="M426" s="6">
        <f t="shared" si="252"/>
        <v>6.0568662230000001</v>
      </c>
      <c r="N426" s="6">
        <f t="shared" si="252"/>
        <v>6.1375429029999999</v>
      </c>
      <c r="O426" s="6">
        <f t="shared" si="252"/>
        <v>6.2171935700000001</v>
      </c>
      <c r="P426" s="6">
        <f t="shared" si="252"/>
        <v>6.2965671690000002</v>
      </c>
      <c r="Q426" s="6">
        <f t="shared" si="252"/>
        <v>6.3757837970000004</v>
      </c>
      <c r="R426" s="6">
        <f t="shared" si="252"/>
        <v>6.4549210199999996</v>
      </c>
      <c r="S426" s="6">
        <f t="shared" si="252"/>
        <v>6.5330282489999991</v>
      </c>
      <c r="T426" s="6">
        <f t="shared" si="252"/>
        <v>6.6111763279999991</v>
      </c>
      <c r="U426" s="6">
        <f t="shared" si="252"/>
        <v>6.6896323259999999</v>
      </c>
      <c r="V426" s="6">
        <f t="shared" si="252"/>
        <v>6.7685719689999999</v>
      </c>
      <c r="W426" s="6">
        <f t="shared" si="252"/>
        <v>6.8427326649999998</v>
      </c>
      <c r="X426" s="6">
        <f t="shared" si="252"/>
        <v>6.9222020529999995</v>
      </c>
      <c r="Y426" s="6">
        <f t="shared" si="252"/>
        <v>7.0033014599999994</v>
      </c>
      <c r="Z426" s="6">
        <f t="shared" si="252"/>
        <v>7.0856683590000005</v>
      </c>
      <c r="AA426" s="6">
        <f t="shared" si="252"/>
        <v>7.1693535370000001</v>
      </c>
      <c r="AB426" s="6">
        <f t="shared" si="252"/>
        <v>7.2390007250000004</v>
      </c>
      <c r="AC426" s="6">
        <f t="shared" si="252"/>
        <v>7.3160131439999994</v>
      </c>
      <c r="AD426" s="6">
        <f t="shared" si="252"/>
        <v>7.3951447459999997</v>
      </c>
      <c r="AE426" s="6">
        <f t="shared" si="252"/>
        <v>7.4758606220000008</v>
      </c>
      <c r="AF426" s="6">
        <f t="shared" si="252"/>
        <v>7.5581971659999994</v>
      </c>
      <c r="AG426" s="6">
        <f t="shared" si="252"/>
        <v>7.6422374719999997</v>
      </c>
      <c r="AH426" s="6">
        <f t="shared" si="252"/>
        <v>7.7282781450000009</v>
      </c>
      <c r="AI426" s="6">
        <f t="shared" si="252"/>
        <v>7.8161477019999994</v>
      </c>
      <c r="AJ426" s="6">
        <f t="shared" si="252"/>
        <v>7.9058313239999993</v>
      </c>
      <c r="AK426" s="6">
        <f t="shared" si="252"/>
        <v>7.9973169229999996</v>
      </c>
      <c r="AL426" s="6">
        <f t="shared" si="252"/>
        <v>8.0905811239999998</v>
      </c>
      <c r="AM426" s="6">
        <f t="shared" ref="AM426:BC426" si="253">AM402+AM400</f>
        <v>8.1839980220000008</v>
      </c>
      <c r="AN426" s="6">
        <f t="shared" si="253"/>
        <v>8.2786823989999991</v>
      </c>
      <c r="AO426" s="6">
        <f t="shared" si="253"/>
        <v>8.374812244000001</v>
      </c>
      <c r="AP426" s="6">
        <f t="shared" si="253"/>
        <v>8.4724231000000003</v>
      </c>
      <c r="AQ426" s="6">
        <f t="shared" si="253"/>
        <v>8.5715223350000009</v>
      </c>
      <c r="AR426" s="6">
        <f t="shared" si="253"/>
        <v>8.672439150999999</v>
      </c>
      <c r="AS426" s="6">
        <f t="shared" si="253"/>
        <v>8.7748815100000002</v>
      </c>
      <c r="AT426" s="6">
        <f t="shared" si="253"/>
        <v>8.8788056610000012</v>
      </c>
      <c r="AU426" s="6">
        <f t="shared" si="253"/>
        <v>8.9841953399999994</v>
      </c>
      <c r="AV426" s="6">
        <f t="shared" si="253"/>
        <v>9.0910360959999998</v>
      </c>
      <c r="AW426" s="6">
        <f t="shared" si="253"/>
        <v>9.2007612040000009</v>
      </c>
      <c r="AX426" s="6">
        <f t="shared" si="253"/>
        <v>9.3121253119999992</v>
      </c>
      <c r="AY426" s="6">
        <f t="shared" si="253"/>
        <v>9.4249589159999996</v>
      </c>
      <c r="AZ426" s="6">
        <f t="shared" si="253"/>
        <v>9.5392254640000012</v>
      </c>
      <c r="BA426" s="6">
        <f t="shared" si="253"/>
        <v>9.6549077849999989</v>
      </c>
      <c r="BB426" s="6">
        <f t="shared" si="253"/>
        <v>9.7726978319999986</v>
      </c>
      <c r="BC426" s="6">
        <f t="shared" si="253"/>
        <v>9.8919903940000005</v>
      </c>
      <c r="BD426" s="6">
        <f t="shared" ref="BD426:BF426" si="254">BD402+BD400</f>
        <v>10.012716530000001</v>
      </c>
      <c r="BE426" s="6">
        <f t="shared" si="254"/>
        <v>10.13487525</v>
      </c>
      <c r="BF426" s="6">
        <f t="shared" si="254"/>
        <v>10.258476947</v>
      </c>
    </row>
    <row r="427" spans="1:58" x14ac:dyDescent="0.35">
      <c r="B427" t="s">
        <v>10</v>
      </c>
      <c r="C427" s="6">
        <f>C404+C405+C415</f>
        <v>49.292501283999997</v>
      </c>
      <c r="D427" s="6">
        <f t="shared" ref="D427:AL427" si="255">D404+D405+D415</f>
        <v>49.503109805999998</v>
      </c>
      <c r="E427" s="6">
        <f t="shared" si="255"/>
        <v>49.818981738000005</v>
      </c>
      <c r="F427" s="6">
        <f t="shared" si="255"/>
        <v>50.221053888999997</v>
      </c>
      <c r="G427" s="6">
        <f t="shared" si="255"/>
        <v>50.716415546</v>
      </c>
      <c r="H427" s="6">
        <f t="shared" si="255"/>
        <v>51.305366231000001</v>
      </c>
      <c r="I427" s="6">
        <f t="shared" si="255"/>
        <v>51.946683728999993</v>
      </c>
      <c r="J427" s="6">
        <f t="shared" si="255"/>
        <v>52.649504573000002</v>
      </c>
      <c r="K427" s="6">
        <f t="shared" si="255"/>
        <v>53.406967215000002</v>
      </c>
      <c r="L427" s="6">
        <f t="shared" si="255"/>
        <v>54.210472037999999</v>
      </c>
      <c r="M427" s="6">
        <f t="shared" si="255"/>
        <v>55.110882836000002</v>
      </c>
      <c r="N427" s="6">
        <f t="shared" si="255"/>
        <v>56.006285400000003</v>
      </c>
      <c r="O427" s="6">
        <f t="shared" si="255"/>
        <v>56.918563305999996</v>
      </c>
      <c r="P427" s="6">
        <f t="shared" si="255"/>
        <v>57.847645811999996</v>
      </c>
      <c r="Q427" s="6">
        <f t="shared" si="255"/>
        <v>58.790740806999999</v>
      </c>
      <c r="R427" s="6">
        <f t="shared" si="255"/>
        <v>59.745331525999994</v>
      </c>
      <c r="S427" s="6">
        <f t="shared" si="255"/>
        <v>60.707053030000004</v>
      </c>
      <c r="T427" s="6">
        <f t="shared" si="255"/>
        <v>61.675774853999997</v>
      </c>
      <c r="U427" s="6">
        <f t="shared" si="255"/>
        <v>62.650950882000004</v>
      </c>
      <c r="V427" s="6">
        <f t="shared" si="255"/>
        <v>63.632286538000002</v>
      </c>
      <c r="W427" s="6">
        <f t="shared" si="255"/>
        <v>64.576005926999997</v>
      </c>
      <c r="X427" s="6">
        <f t="shared" si="255"/>
        <v>65.551677564000002</v>
      </c>
      <c r="Y427" s="6">
        <f t="shared" si="255"/>
        <v>66.540185476999994</v>
      </c>
      <c r="Z427" s="6">
        <f t="shared" si="255"/>
        <v>67.539013374999996</v>
      </c>
      <c r="AA427" s="6">
        <f t="shared" si="255"/>
        <v>68.548270849999994</v>
      </c>
      <c r="AB427" s="6">
        <f t="shared" si="255"/>
        <v>69.441964013000003</v>
      </c>
      <c r="AC427" s="6">
        <f t="shared" si="255"/>
        <v>70.361697374999991</v>
      </c>
      <c r="AD427" s="6">
        <f t="shared" si="255"/>
        <v>71.285113299000002</v>
      </c>
      <c r="AE427" s="6">
        <f t="shared" si="255"/>
        <v>72.211486522000001</v>
      </c>
      <c r="AF427" s="6">
        <f t="shared" si="255"/>
        <v>73.143259528000002</v>
      </c>
      <c r="AG427" s="6">
        <f t="shared" si="255"/>
        <v>74.082996178000002</v>
      </c>
      <c r="AH427" s="6">
        <f t="shared" si="255"/>
        <v>75.033384647999995</v>
      </c>
      <c r="AI427" s="6">
        <f t="shared" si="255"/>
        <v>75.995904710000005</v>
      </c>
      <c r="AJ427" s="6">
        <f t="shared" si="255"/>
        <v>76.971861179999991</v>
      </c>
      <c r="AK427" s="6">
        <f t="shared" si="255"/>
        <v>77.962263995000001</v>
      </c>
      <c r="AL427" s="6">
        <f t="shared" si="255"/>
        <v>78.967853974999997</v>
      </c>
      <c r="AM427" s="6">
        <f t="shared" ref="AM427:BC427" si="256">AM404+AM405+AM415</f>
        <v>79.963135770000008</v>
      </c>
      <c r="AN427" s="6">
        <f t="shared" si="256"/>
        <v>80.963631454999998</v>
      </c>
      <c r="AO427" s="6">
        <f t="shared" si="256"/>
        <v>81.97318409399999</v>
      </c>
      <c r="AP427" s="6">
        <f t="shared" si="256"/>
        <v>82.993654503999991</v>
      </c>
      <c r="AQ427" s="6">
        <f t="shared" si="256"/>
        <v>84.026348131999995</v>
      </c>
      <c r="AR427" s="6">
        <f t="shared" si="256"/>
        <v>85.072938809000007</v>
      </c>
      <c r="AS427" s="6">
        <f t="shared" si="256"/>
        <v>86.13382009499999</v>
      </c>
      <c r="AT427" s="6">
        <f t="shared" si="256"/>
        <v>87.209491651000008</v>
      </c>
      <c r="AU427" s="6">
        <f t="shared" si="256"/>
        <v>88.30033022500001</v>
      </c>
      <c r="AV427" s="6">
        <f t="shared" si="256"/>
        <v>89.406573477000009</v>
      </c>
      <c r="AW427" s="6">
        <f t="shared" si="256"/>
        <v>90.533321899000001</v>
      </c>
      <c r="AX427" s="6">
        <f t="shared" si="256"/>
        <v>91.677867856000006</v>
      </c>
      <c r="AY427" s="6">
        <f t="shared" si="256"/>
        <v>92.839738409000006</v>
      </c>
      <c r="AZ427" s="6">
        <f t="shared" si="256"/>
        <v>94.018765422000001</v>
      </c>
      <c r="BA427" s="6">
        <f t="shared" si="256"/>
        <v>95.214763758999993</v>
      </c>
      <c r="BB427" s="6">
        <f t="shared" si="256"/>
        <v>96.428893540999994</v>
      </c>
      <c r="BC427" s="6">
        <f t="shared" si="256"/>
        <v>97.660249764999989</v>
      </c>
      <c r="BD427" s="6">
        <f t="shared" ref="BD427:BF427" si="257">BD404+BD405+BD415</f>
        <v>98.908657907000006</v>
      </c>
      <c r="BE427" s="6">
        <f t="shared" si="257"/>
        <v>100.17408782299999</v>
      </c>
      <c r="BF427" s="6">
        <f t="shared" si="257"/>
        <v>101.456535417</v>
      </c>
    </row>
    <row r="428" spans="1:58" x14ac:dyDescent="0.35">
      <c r="B428" t="s">
        <v>29</v>
      </c>
      <c r="C428" s="6">
        <f>C407+C408+C406</f>
        <v>21.075727243999999</v>
      </c>
      <c r="D428" s="6">
        <f t="shared" ref="D428:AL428" si="258">D407+D408+D406</f>
        <v>21.082034010000001</v>
      </c>
      <c r="E428" s="6">
        <f t="shared" si="258"/>
        <v>21.139548833999996</v>
      </c>
      <c r="F428" s="6">
        <f t="shared" si="258"/>
        <v>21.230919179999997</v>
      </c>
      <c r="G428" s="6">
        <f t="shared" si="258"/>
        <v>21.357994965000003</v>
      </c>
      <c r="H428" s="6">
        <f t="shared" si="258"/>
        <v>21.518354344000002</v>
      </c>
      <c r="I428" s="6">
        <f t="shared" si="258"/>
        <v>21.695504183000001</v>
      </c>
      <c r="J428" s="6">
        <f t="shared" si="258"/>
        <v>21.891167458000002</v>
      </c>
      <c r="K428" s="6">
        <f t="shared" si="258"/>
        <v>22.102836852999999</v>
      </c>
      <c r="L428" s="6">
        <f t="shared" si="258"/>
        <v>22.327510269999998</v>
      </c>
      <c r="M428" s="6">
        <f t="shared" si="258"/>
        <v>22.580798991999998</v>
      </c>
      <c r="N428" s="6">
        <f t="shared" si="258"/>
        <v>22.828956798</v>
      </c>
      <c r="O428" s="6">
        <f t="shared" si="258"/>
        <v>23.080060706000001</v>
      </c>
      <c r="P428" s="6">
        <f t="shared" si="258"/>
        <v>23.335007486000002</v>
      </c>
      <c r="Q428" s="6">
        <f t="shared" si="258"/>
        <v>23.593306345999999</v>
      </c>
      <c r="R428" s="6">
        <f t="shared" si="258"/>
        <v>23.854409312000001</v>
      </c>
      <c r="S428" s="6">
        <f t="shared" si="258"/>
        <v>24.115768588000002</v>
      </c>
      <c r="T428" s="6">
        <f t="shared" si="258"/>
        <v>24.378839529000004</v>
      </c>
      <c r="U428" s="6">
        <f t="shared" si="258"/>
        <v>24.643870043</v>
      </c>
      <c r="V428" s="6">
        <f t="shared" si="258"/>
        <v>24.910931026</v>
      </c>
      <c r="W428" s="6">
        <f t="shared" si="258"/>
        <v>25.16687035</v>
      </c>
      <c r="X428" s="6">
        <f t="shared" si="258"/>
        <v>25.433166128</v>
      </c>
      <c r="Y428" s="6">
        <f t="shared" si="258"/>
        <v>25.70404233</v>
      </c>
      <c r="Z428" s="6">
        <f t="shared" si="258"/>
        <v>25.978303369000002</v>
      </c>
      <c r="AA428" s="6">
        <f t="shared" si="258"/>
        <v>26.255809156000002</v>
      </c>
      <c r="AB428" s="6">
        <f t="shared" si="258"/>
        <v>26.498902883</v>
      </c>
      <c r="AC428" s="6">
        <f t="shared" si="258"/>
        <v>26.751507701999998</v>
      </c>
      <c r="AD428" s="6">
        <f t="shared" si="258"/>
        <v>27.006917938000001</v>
      </c>
      <c r="AE428" s="6">
        <f t="shared" si="258"/>
        <v>27.264159049</v>
      </c>
      <c r="AF428" s="6">
        <f t="shared" si="258"/>
        <v>27.523546920999998</v>
      </c>
      <c r="AG428" s="6">
        <f t="shared" si="258"/>
        <v>27.785571542000003</v>
      </c>
      <c r="AH428" s="6">
        <f t="shared" si="258"/>
        <v>28.051159369000001</v>
      </c>
      <c r="AI428" s="6">
        <f t="shared" si="258"/>
        <v>28.320293763000002</v>
      </c>
      <c r="AJ428" s="6">
        <f t="shared" si="258"/>
        <v>28.593159407000002</v>
      </c>
      <c r="AK428" s="6">
        <f t="shared" si="258"/>
        <v>28.869916680999999</v>
      </c>
      <c r="AL428" s="6">
        <f t="shared" si="258"/>
        <v>29.150668621999998</v>
      </c>
      <c r="AM428" s="6">
        <f t="shared" ref="AM428:BC428" si="259">AM407+AM408+AM406</f>
        <v>29.430801463000002</v>
      </c>
      <c r="AN428" s="6">
        <f t="shared" si="259"/>
        <v>29.712441950999999</v>
      </c>
      <c r="AO428" s="6">
        <f t="shared" si="259"/>
        <v>29.996381835999998</v>
      </c>
      <c r="AP428" s="6">
        <f t="shared" si="259"/>
        <v>30.283006048000001</v>
      </c>
      <c r="AQ428" s="6">
        <f t="shared" si="259"/>
        <v>30.572565925999999</v>
      </c>
      <c r="AR428" s="6">
        <f t="shared" si="259"/>
        <v>30.865924324000002</v>
      </c>
      <c r="AS428" s="6">
        <f t="shared" si="259"/>
        <v>31.162705580000001</v>
      </c>
      <c r="AT428" s="6">
        <f t="shared" si="259"/>
        <v>31.462896714000003</v>
      </c>
      <c r="AU428" s="6">
        <f t="shared" si="259"/>
        <v>31.766521671999996</v>
      </c>
      <c r="AV428" s="6">
        <f t="shared" si="259"/>
        <v>32.073584338000003</v>
      </c>
      <c r="AW428" s="6">
        <f t="shared" si="259"/>
        <v>32.387224896999996</v>
      </c>
      <c r="AX428" s="6">
        <f t="shared" si="259"/>
        <v>32.705339110000004</v>
      </c>
      <c r="AY428" s="6">
        <f t="shared" si="259"/>
        <v>33.027531957000001</v>
      </c>
      <c r="AZ428" s="6">
        <f t="shared" si="259"/>
        <v>33.353707180999997</v>
      </c>
      <c r="BA428" s="6">
        <f t="shared" si="259"/>
        <v>33.683783636000001</v>
      </c>
      <c r="BB428" s="6">
        <f t="shared" si="259"/>
        <v>34.019091385000003</v>
      </c>
      <c r="BC428" s="6">
        <f t="shared" si="259"/>
        <v>34.358453085000001</v>
      </c>
      <c r="BD428" s="6">
        <f t="shared" ref="BD428:BF428" si="260">BD407+BD408+BD406</f>
        <v>34.701556887000002</v>
      </c>
      <c r="BE428" s="6">
        <f t="shared" si="260"/>
        <v>35.048267361000008</v>
      </c>
      <c r="BF428" s="6">
        <f t="shared" si="260"/>
        <v>35.398488581999999</v>
      </c>
    </row>
    <row r="429" spans="1:58" x14ac:dyDescent="0.35">
      <c r="B429" t="s">
        <v>33</v>
      </c>
      <c r="C429" s="6">
        <f>SUM(C409:C413)</f>
        <v>24.785056664999999</v>
      </c>
      <c r="D429" s="6">
        <f t="shared" ref="D429:AL429" si="261">SUM(D409:D413)</f>
        <v>24.862296546</v>
      </c>
      <c r="E429" s="6">
        <f t="shared" si="261"/>
        <v>24.970519712999998</v>
      </c>
      <c r="F429" s="6">
        <f t="shared" si="261"/>
        <v>25.105047147000001</v>
      </c>
      <c r="G429" s="6">
        <f t="shared" si="261"/>
        <v>25.269025458999998</v>
      </c>
      <c r="H429" s="6">
        <f t="shared" si="261"/>
        <v>25.461513605</v>
      </c>
      <c r="I429" s="6">
        <f t="shared" si="261"/>
        <v>25.664126591999999</v>
      </c>
      <c r="J429" s="6">
        <f t="shared" si="261"/>
        <v>25.875568701999999</v>
      </c>
      <c r="K429" s="6">
        <f t="shared" si="261"/>
        <v>26.094639727000001</v>
      </c>
      <c r="L429" s="6">
        <f t="shared" si="261"/>
        <v>26.319881293999998</v>
      </c>
      <c r="M429" s="6">
        <f t="shared" si="261"/>
        <v>26.572921769000001</v>
      </c>
      <c r="N429" s="6">
        <f t="shared" si="261"/>
        <v>26.816212189000002</v>
      </c>
      <c r="O429" s="6">
        <f t="shared" si="261"/>
        <v>27.054967114999997</v>
      </c>
      <c r="P429" s="6">
        <f t="shared" si="261"/>
        <v>27.291759470999999</v>
      </c>
      <c r="Q429" s="6">
        <f t="shared" si="261"/>
        <v>27.527387950999998</v>
      </c>
      <c r="R429" s="6">
        <f t="shared" si="261"/>
        <v>27.762108595999997</v>
      </c>
      <c r="S429" s="6">
        <f t="shared" si="261"/>
        <v>27.994775482999998</v>
      </c>
      <c r="T429" s="6">
        <f t="shared" si="261"/>
        <v>28.226479024</v>
      </c>
      <c r="U429" s="6">
        <f t="shared" si="261"/>
        <v>28.457841363</v>
      </c>
      <c r="V429" s="6">
        <f t="shared" si="261"/>
        <v>28.689397630999999</v>
      </c>
      <c r="W429" s="6">
        <f t="shared" si="261"/>
        <v>28.905229118999998</v>
      </c>
      <c r="X429" s="6">
        <f t="shared" si="261"/>
        <v>29.130599431</v>
      </c>
      <c r="Y429" s="6">
        <f t="shared" si="261"/>
        <v>29.362060510000003</v>
      </c>
      <c r="Z429" s="6">
        <f t="shared" si="261"/>
        <v>29.597920072999997</v>
      </c>
      <c r="AA429" s="6">
        <f t="shared" si="261"/>
        <v>29.837775178000005</v>
      </c>
      <c r="AB429" s="6">
        <f t="shared" si="261"/>
        <v>30.035371387000001</v>
      </c>
      <c r="AC429" s="6">
        <f t="shared" si="261"/>
        <v>30.238959358999999</v>
      </c>
      <c r="AD429" s="6">
        <f t="shared" si="261"/>
        <v>30.447821585000003</v>
      </c>
      <c r="AE429" s="6">
        <f t="shared" si="261"/>
        <v>30.661293644000001</v>
      </c>
      <c r="AF429" s="6">
        <f t="shared" si="261"/>
        <v>30.879550644000002</v>
      </c>
      <c r="AG429" s="6">
        <f t="shared" si="261"/>
        <v>31.102958977</v>
      </c>
      <c r="AH429" s="6">
        <f t="shared" si="261"/>
        <v>31.332139171000001</v>
      </c>
      <c r="AI429" s="6">
        <f t="shared" si="261"/>
        <v>31.567136421000001</v>
      </c>
      <c r="AJ429" s="6">
        <f t="shared" si="261"/>
        <v>31.808010333000002</v>
      </c>
      <c r="AK429" s="6">
        <f t="shared" si="261"/>
        <v>32.054764204999998</v>
      </c>
      <c r="AL429" s="6">
        <f t="shared" si="261"/>
        <v>32.307344254</v>
      </c>
      <c r="AM429" s="6">
        <f t="shared" ref="AM429:BC429" si="262">SUM(AM409:AM413)</f>
        <v>32.557565967999999</v>
      </c>
      <c r="AN429" s="6">
        <f t="shared" si="262"/>
        <v>32.808930033000003</v>
      </c>
      <c r="AO429" s="6">
        <f t="shared" si="262"/>
        <v>33.063487357</v>
      </c>
      <c r="AP429" s="6">
        <f t="shared" si="262"/>
        <v>33.322209247000004</v>
      </c>
      <c r="AQ429" s="6">
        <f t="shared" si="262"/>
        <v>33.585574051999998</v>
      </c>
      <c r="AR429" s="6">
        <f t="shared" si="262"/>
        <v>33.854242704999997</v>
      </c>
      <c r="AS429" s="6">
        <f t="shared" si="262"/>
        <v>34.128125421</v>
      </c>
      <c r="AT429" s="6">
        <f t="shared" si="262"/>
        <v>34.407256803999999</v>
      </c>
      <c r="AU429" s="6">
        <f t="shared" si="262"/>
        <v>34.691687765000005</v>
      </c>
      <c r="AV429" s="6">
        <f t="shared" si="262"/>
        <v>34.981446546000008</v>
      </c>
      <c r="AW429" s="6">
        <f t="shared" si="262"/>
        <v>35.278482193999999</v>
      </c>
      <c r="AX429" s="6">
        <f t="shared" si="262"/>
        <v>35.581109326999993</v>
      </c>
      <c r="AY429" s="6">
        <f t="shared" si="262"/>
        <v>35.888591167999998</v>
      </c>
      <c r="AZ429" s="6">
        <f t="shared" si="262"/>
        <v>36.200636191000001</v>
      </c>
      <c r="BA429" s="6">
        <f t="shared" si="262"/>
        <v>36.517154904000002</v>
      </c>
      <c r="BB429" s="6">
        <f t="shared" si="262"/>
        <v>36.839009355000002</v>
      </c>
      <c r="BC429" s="6">
        <f t="shared" si="262"/>
        <v>37.165766399000006</v>
      </c>
      <c r="BD429" s="6">
        <f t="shared" ref="BD429:BF429" si="263">SUM(BD409:BD413)</f>
        <v>37.497417344999995</v>
      </c>
      <c r="BE429" s="6">
        <f t="shared" si="263"/>
        <v>37.834085809999998</v>
      </c>
      <c r="BF429" s="6">
        <f t="shared" si="263"/>
        <v>38.175929780000004</v>
      </c>
    </row>
    <row r="431" spans="1:58" x14ac:dyDescent="0.35">
      <c r="A431" s="12" t="s">
        <v>92</v>
      </c>
      <c r="C431" s="7" t="s">
        <v>72</v>
      </c>
      <c r="D431" s="7" t="s">
        <v>15</v>
      </c>
      <c r="E431" s="7" t="s">
        <v>16</v>
      </c>
      <c r="F431" s="7" t="s">
        <v>17</v>
      </c>
    </row>
    <row r="432" spans="1:58" x14ac:dyDescent="0.35">
      <c r="A432" t="s">
        <v>39</v>
      </c>
      <c r="B432" t="s">
        <v>7</v>
      </c>
      <c r="C432" s="6">
        <f>H418</f>
        <v>14.833418393699999</v>
      </c>
      <c r="D432" s="6">
        <f>R418</f>
        <v>17.065605591499999</v>
      </c>
      <c r="E432" s="6">
        <f>AB418</f>
        <v>19.61757484</v>
      </c>
      <c r="F432" s="6">
        <f>AL418</f>
        <v>22.1189163996</v>
      </c>
    </row>
    <row r="433" spans="1:58" x14ac:dyDescent="0.35">
      <c r="B433" t="s">
        <v>64</v>
      </c>
      <c r="C433" s="6">
        <f t="shared" ref="C433:C443" si="264">H419</f>
        <v>8.8011979109999992</v>
      </c>
      <c r="D433" s="6">
        <f t="shared" ref="D433:D443" si="265">R419</f>
        <v>10.248141499999999</v>
      </c>
      <c r="E433" s="6">
        <f t="shared" ref="E433:E443" si="266">AB419</f>
        <v>11.89572628</v>
      </c>
      <c r="F433" s="6">
        <f t="shared" ref="F433:F443" si="267">AL419</f>
        <v>13.45462663</v>
      </c>
    </row>
    <row r="434" spans="1:58" x14ac:dyDescent="0.35">
      <c r="B434" t="s">
        <v>65</v>
      </c>
      <c r="C434" s="6">
        <f t="shared" si="264"/>
        <v>19.359938659999997</v>
      </c>
      <c r="D434" s="6">
        <f t="shared" si="265"/>
        <v>22.352858214999998</v>
      </c>
      <c r="E434" s="6">
        <f t="shared" si="266"/>
        <v>25.799617079999997</v>
      </c>
      <c r="F434" s="6">
        <f t="shared" si="267"/>
        <v>29.526065410000001</v>
      </c>
    </row>
    <row r="435" spans="1:58" x14ac:dyDescent="0.35">
      <c r="B435" t="s">
        <v>66</v>
      </c>
      <c r="C435" s="6">
        <f t="shared" si="264"/>
        <v>13.810766620000001</v>
      </c>
      <c r="D435" s="6">
        <f t="shared" si="265"/>
        <v>15.882808430000001</v>
      </c>
      <c r="E435" s="6">
        <f t="shared" si="266"/>
        <v>18.000339050000001</v>
      </c>
      <c r="F435" s="6">
        <f t="shared" si="267"/>
        <v>20.272489239999999</v>
      </c>
    </row>
    <row r="436" spans="1:58" x14ac:dyDescent="0.35">
      <c r="B436" t="s">
        <v>67</v>
      </c>
      <c r="C436" s="6">
        <f t="shared" si="264"/>
        <v>20.009544529999999</v>
      </c>
      <c r="D436" s="6">
        <f t="shared" si="265"/>
        <v>22.82820044</v>
      </c>
      <c r="E436" s="6">
        <f t="shared" si="266"/>
        <v>25.939115449999999</v>
      </c>
      <c r="F436" s="6">
        <f t="shared" si="267"/>
        <v>29.33708635</v>
      </c>
    </row>
    <row r="437" spans="1:58" x14ac:dyDescent="0.35">
      <c r="B437" t="s">
        <v>71</v>
      </c>
      <c r="C437" s="6">
        <f t="shared" si="264"/>
        <v>16.168479192</v>
      </c>
      <c r="D437" s="6">
        <f t="shared" si="265"/>
        <v>19.131634519999999</v>
      </c>
      <c r="E437" s="6">
        <f t="shared" si="266"/>
        <v>22.488338053</v>
      </c>
      <c r="F437" s="6">
        <f t="shared" si="267"/>
        <v>25.527257491999997</v>
      </c>
    </row>
    <row r="438" spans="1:58" x14ac:dyDescent="0.35">
      <c r="B438" t="s">
        <v>68</v>
      </c>
      <c r="C438" s="6">
        <f t="shared" si="264"/>
        <v>17.78891286</v>
      </c>
      <c r="D438" s="6">
        <f t="shared" si="265"/>
        <v>20.223580290000001</v>
      </c>
      <c r="E438" s="6">
        <f t="shared" si="266"/>
        <v>22.84168785</v>
      </c>
      <c r="F438" s="6">
        <f t="shared" si="267"/>
        <v>25.512844090000002</v>
      </c>
    </row>
    <row r="439" spans="1:58" x14ac:dyDescent="0.35">
      <c r="B439" t="s">
        <v>69</v>
      </c>
      <c r="C439" s="6">
        <f t="shared" si="264"/>
        <v>19.916239600000001</v>
      </c>
      <c r="D439" s="6">
        <f t="shared" si="265"/>
        <v>23.579269629999999</v>
      </c>
      <c r="E439" s="6">
        <f t="shared" si="266"/>
        <v>27.5305359</v>
      </c>
      <c r="F439" s="6">
        <f t="shared" si="267"/>
        <v>31.665300640000002</v>
      </c>
    </row>
    <row r="440" spans="1:58" x14ac:dyDescent="0.35">
      <c r="B440" t="s">
        <v>70</v>
      </c>
      <c r="C440" s="6">
        <f t="shared" si="264"/>
        <v>5.654498341</v>
      </c>
      <c r="D440" s="6">
        <f t="shared" si="265"/>
        <v>6.4549210199999996</v>
      </c>
      <c r="E440" s="6">
        <f t="shared" si="266"/>
        <v>7.2390007250000004</v>
      </c>
      <c r="F440" s="6">
        <f t="shared" si="267"/>
        <v>8.0905811239999998</v>
      </c>
    </row>
    <row r="441" spans="1:58" x14ac:dyDescent="0.35">
      <c r="B441" t="s">
        <v>10</v>
      </c>
      <c r="C441" s="6">
        <f t="shared" si="264"/>
        <v>51.305366231000001</v>
      </c>
      <c r="D441" s="6">
        <f t="shared" si="265"/>
        <v>59.745331525999994</v>
      </c>
      <c r="E441" s="6">
        <f t="shared" si="266"/>
        <v>69.441964013000003</v>
      </c>
      <c r="F441" s="6">
        <f t="shared" si="267"/>
        <v>78.967853974999997</v>
      </c>
    </row>
    <row r="442" spans="1:58" x14ac:dyDescent="0.35">
      <c r="B442" t="s">
        <v>29</v>
      </c>
      <c r="C442" s="6">
        <f t="shared" si="264"/>
        <v>21.518354344000002</v>
      </c>
      <c r="D442" s="6">
        <f t="shared" si="265"/>
        <v>23.854409312000001</v>
      </c>
      <c r="E442" s="6">
        <f t="shared" si="266"/>
        <v>26.498902883</v>
      </c>
      <c r="F442" s="6">
        <f t="shared" si="267"/>
        <v>29.150668621999998</v>
      </c>
    </row>
    <row r="443" spans="1:58" x14ac:dyDescent="0.35">
      <c r="B443" t="s">
        <v>33</v>
      </c>
      <c r="C443" s="6">
        <f t="shared" si="264"/>
        <v>25.461513605</v>
      </c>
      <c r="D443" s="6">
        <f t="shared" si="265"/>
        <v>27.762108595999997</v>
      </c>
      <c r="E443" s="6">
        <f t="shared" si="266"/>
        <v>30.035371387000001</v>
      </c>
      <c r="F443" s="6">
        <f t="shared" si="267"/>
        <v>32.307344254</v>
      </c>
    </row>
    <row r="445" spans="1:58" x14ac:dyDescent="0.35">
      <c r="A445" s="12" t="s">
        <v>93</v>
      </c>
      <c r="B445" t="s">
        <v>73</v>
      </c>
      <c r="C445" s="6">
        <f>[1]Results!F281</f>
        <v>159.99536119999999</v>
      </c>
      <c r="D445" s="6">
        <f>[1]Results!G281</f>
        <v>160.18702819999999</v>
      </c>
      <c r="E445" s="6">
        <f>[1]Results!H281</f>
        <v>160.54530080000001</v>
      </c>
      <c r="F445" s="6">
        <f>[1]Results!I281</f>
        <v>161.11488650000001</v>
      </c>
      <c r="G445" s="6">
        <f>[1]Results!J281</f>
        <v>161.93300640000001</v>
      </c>
      <c r="H445" s="6">
        <f>[1]Results!K281</f>
        <v>162.98550420000001</v>
      </c>
      <c r="I445" s="6">
        <f>[1]Results!L281</f>
        <v>164.15057239999999</v>
      </c>
      <c r="J445" s="6">
        <f>[1]Results!M281</f>
        <v>165.44492940000001</v>
      </c>
      <c r="K445" s="6">
        <f>[1]Results!N281</f>
        <v>166.85816370000001</v>
      </c>
      <c r="L445" s="6">
        <f>[1]Results!O281</f>
        <v>168.3716695</v>
      </c>
      <c r="M445" s="6">
        <f>[1]Results!P281</f>
        <v>170.09998429999999</v>
      </c>
      <c r="N445" s="6">
        <f>[1]Results!Q281</f>
        <v>171.80471439999999</v>
      </c>
      <c r="O445" s="6">
        <f>[1]Results!R281</f>
        <v>173.5299904</v>
      </c>
      <c r="P445" s="6">
        <f>[1]Results!S281</f>
        <v>175.2772635</v>
      </c>
      <c r="Q445" s="6">
        <f>[1]Results!T281</f>
        <v>177.0410866</v>
      </c>
      <c r="R445" s="6">
        <f>[1]Results!U281</f>
        <v>178.81675179999999</v>
      </c>
      <c r="S445" s="6">
        <f>[1]Results!V281</f>
        <v>180.5912582</v>
      </c>
      <c r="T445" s="6">
        <f>[1]Results!W281</f>
        <v>182.37019839999999</v>
      </c>
      <c r="U445" s="6">
        <f>[1]Results!X281</f>
        <v>184.15457799999999</v>
      </c>
      <c r="V445" s="6">
        <f>[1]Results!Y281</f>
        <v>185.9453498</v>
      </c>
      <c r="W445" s="6">
        <f>[1]Results!Z281</f>
        <v>187.64665500000001</v>
      </c>
      <c r="X445" s="6">
        <f>[1]Results!AA281</f>
        <v>189.41200380000001</v>
      </c>
      <c r="Y445" s="6">
        <f>[1]Results!AB281</f>
        <v>191.20539880000001</v>
      </c>
      <c r="Z445" s="6">
        <f>[1]Results!AC281</f>
        <v>193.02037050000001</v>
      </c>
      <c r="AA445" s="6">
        <f>[1]Results!AD281</f>
        <v>194.856595</v>
      </c>
      <c r="AB445" s="6">
        <f>[1]Results!AE281</f>
        <v>196.43898859999999</v>
      </c>
      <c r="AC445" s="6">
        <f>[1]Results!AF281</f>
        <v>198.0725315</v>
      </c>
      <c r="AD445" s="6">
        <f>[1]Results!AG281</f>
        <v>199.71961769999999</v>
      </c>
      <c r="AE445" s="6">
        <f>[1]Results!AH281</f>
        <v>201.37836129999999</v>
      </c>
      <c r="AF445" s="6">
        <f>[1]Results!AI281</f>
        <v>203.05300030000001</v>
      </c>
      <c r="AG445" s="6">
        <f>[1]Results!AJ281</f>
        <v>204.74799429999999</v>
      </c>
      <c r="AH445" s="6">
        <f>[1]Results!AK281</f>
        <v>206.46955500000001</v>
      </c>
      <c r="AI445" s="6">
        <f>[1]Results!AL281</f>
        <v>208.21940810000001</v>
      </c>
      <c r="AJ445" s="6">
        <f>[1]Results!AM281</f>
        <v>209.9997741</v>
      </c>
      <c r="AK445" s="6">
        <f>[1]Results!AN281</f>
        <v>211.8123349</v>
      </c>
      <c r="AL445" s="6">
        <f>[1]Results!AO281</f>
        <v>213.6581496</v>
      </c>
      <c r="AM445" s="6">
        <f>[1]Results!AP281</f>
        <v>215.4923714</v>
      </c>
      <c r="AN445" s="6">
        <f>[1]Results!AQ281</f>
        <v>217.33672480000001</v>
      </c>
      <c r="AO445" s="6">
        <f>[1]Results!AR281</f>
        <v>219.19906839999999</v>
      </c>
      <c r="AP445" s="6">
        <f>[1]Results!AS281</f>
        <v>221.08316500000001</v>
      </c>
      <c r="AQ445" s="6">
        <f>[1]Results!AT281</f>
        <v>222.9911859</v>
      </c>
      <c r="AR445" s="6">
        <f>[1]Results!AU281</f>
        <v>224.9275275</v>
      </c>
      <c r="AS445" s="6">
        <f>[1]Results!AV281</f>
        <v>226.89083969999999</v>
      </c>
      <c r="AT445" s="6">
        <f>[1]Results!AW281</f>
        <v>228.8811201</v>
      </c>
      <c r="AU445" s="6">
        <f>[1]Results!AX281</f>
        <v>230.89828420000001</v>
      </c>
      <c r="AV445" s="6">
        <f>[1]Results!AY281</f>
        <v>232.94207449999999</v>
      </c>
      <c r="AW445" s="6">
        <f>[1]Results!AZ281</f>
        <v>235.02955349999999</v>
      </c>
      <c r="AX445" s="6">
        <f>[1]Results!BA281</f>
        <v>237.15232510000001</v>
      </c>
      <c r="AY445" s="6">
        <f>[1]Results!BB281</f>
        <v>239.30993889999999</v>
      </c>
      <c r="AZ445" s="6">
        <f>[1]Results!BC281</f>
        <v>241.5025096</v>
      </c>
      <c r="BA445" s="6">
        <f>[1]Results!BD281</f>
        <v>243.72960689999999</v>
      </c>
      <c r="BB445" s="6">
        <f>[1]Results!BE281</f>
        <v>245.9967896</v>
      </c>
      <c r="BC445" s="6">
        <f>[1]Results!BF281</f>
        <v>248.29856950000001</v>
      </c>
      <c r="BD445" s="6">
        <f>[1]Results!BG281</f>
        <v>250.633252</v>
      </c>
      <c r="BE445" s="6">
        <f>[1]Results!BH281</f>
        <v>252.9998162</v>
      </c>
      <c r="BF445" s="6">
        <f>[1]Results!BI281</f>
        <v>255.3974776</v>
      </c>
    </row>
    <row r="446" spans="1:58" x14ac:dyDescent="0.35">
      <c r="A446" t="s">
        <v>39</v>
      </c>
      <c r="B446" s="6" t="str">
        <f>[1]Results!E282</f>
        <v>CF_toe_ccoa_2</v>
      </c>
      <c r="C446" s="6">
        <f>[1]Results!F282</f>
        <v>5.3091826180000004</v>
      </c>
      <c r="D446" s="6">
        <f>[1]Results!G282</f>
        <v>5.3227233180000004</v>
      </c>
      <c r="E446" s="6">
        <f>[1]Results!H282</f>
        <v>5.3667424410000004</v>
      </c>
      <c r="F446" s="6">
        <f>[1]Results!I282</f>
        <v>5.4223882100000003</v>
      </c>
      <c r="G446" s="6">
        <f>[1]Results!J282</f>
        <v>5.4853455459999996</v>
      </c>
      <c r="H446" s="6">
        <f>[1]Results!K282</f>
        <v>5.5540524309999997</v>
      </c>
      <c r="I446" s="6">
        <f>[1]Results!L282</f>
        <v>5.6238981050000003</v>
      </c>
      <c r="J446" s="6">
        <f>[1]Results!M282</f>
        <v>5.6965101479999998</v>
      </c>
      <c r="K446" s="6">
        <f>[1]Results!N282</f>
        <v>5.7718319679999999</v>
      </c>
      <c r="L446" s="6">
        <f>[1]Results!O282</f>
        <v>5.8494960450000004</v>
      </c>
      <c r="M446" s="6">
        <f>[1]Results!P282</f>
        <v>5.9351376269999996</v>
      </c>
      <c r="N446" s="6">
        <f>[1]Results!Q282</f>
        <v>6.0177594110000001</v>
      </c>
      <c r="O446" s="6">
        <f>[1]Results!R282</f>
        <v>6.1005852310000002</v>
      </c>
      <c r="P446" s="6">
        <f>[1]Results!S282</f>
        <v>6.1841313510000004</v>
      </c>
      <c r="Q446" s="6">
        <f>[1]Results!T282</f>
        <v>6.2684361429999997</v>
      </c>
      <c r="R446" s="6">
        <f>[1]Results!U282</f>
        <v>6.353492353</v>
      </c>
      <c r="S446" s="6">
        <f>[1]Results!V282</f>
        <v>6.4385795200000002</v>
      </c>
      <c r="T446" s="6">
        <f>[1]Results!W282</f>
        <v>6.524339307</v>
      </c>
      <c r="U446" s="6">
        <f>[1]Results!X282</f>
        <v>6.6109710460000004</v>
      </c>
      <c r="V446" s="6">
        <f>[1]Results!Y282</f>
        <v>6.6986034339999998</v>
      </c>
      <c r="W446" s="6">
        <f>[1]Results!Z282</f>
        <v>6.782967341</v>
      </c>
      <c r="X446" s="6">
        <f>[1]Results!AA282</f>
        <v>6.8714006669999996</v>
      </c>
      <c r="Y446" s="6">
        <f>[1]Results!AB282</f>
        <v>6.9618796869999997</v>
      </c>
      <c r="Z446" s="6">
        <f>[1]Results!AC282</f>
        <v>7.0540654979999999</v>
      </c>
      <c r="AA446" s="6">
        <f>[1]Results!AD282</f>
        <v>7.1479469570000003</v>
      </c>
      <c r="AB446" s="6">
        <f>[1]Results!AE282</f>
        <v>7.2310347960000003</v>
      </c>
      <c r="AC446" s="6">
        <f>[1]Results!AF282</f>
        <v>7.3183121509999998</v>
      </c>
      <c r="AD446" s="6">
        <f>[1]Results!AG282</f>
        <v>7.4072559169999996</v>
      </c>
      <c r="AE446" s="6">
        <f>[1]Results!AH282</f>
        <v>7.4975227489999998</v>
      </c>
      <c r="AF446" s="6">
        <f>[1]Results!AI282</f>
        <v>7.5891735010000003</v>
      </c>
      <c r="AG446" s="6">
        <f>[1]Results!AJ282</f>
        <v>7.6823205769999996</v>
      </c>
      <c r="AH446" s="6">
        <f>[1]Results!AK282</f>
        <v>7.7772237909999999</v>
      </c>
      <c r="AI446" s="6">
        <f>[1]Results!AL282</f>
        <v>7.873819192</v>
      </c>
      <c r="AJ446" s="6">
        <f>[1]Results!AM282</f>
        <v>7.9721152059999998</v>
      </c>
      <c r="AK446" s="6">
        <f>[1]Results!AN282</f>
        <v>8.0721133789999993</v>
      </c>
      <c r="AL446" s="6">
        <f>[1]Results!AO282</f>
        <v>8.1737996759999998</v>
      </c>
      <c r="AM446" s="6">
        <f>[1]Results!AP282</f>
        <v>8.2756234909999993</v>
      </c>
      <c r="AN446" s="6">
        <f>[1]Results!AQ282</f>
        <v>8.3782965590000007</v>
      </c>
      <c r="AO446" s="6">
        <f>[1]Results!AR282</f>
        <v>8.4820288599999998</v>
      </c>
      <c r="AP446" s="6">
        <f>[1]Results!AS282</f>
        <v>8.5869011630000003</v>
      </c>
      <c r="AQ446" s="6">
        <f>[1]Results!AT282</f>
        <v>8.6929579970000006</v>
      </c>
      <c r="AR446" s="6">
        <f>[1]Results!AU282</f>
        <v>8.8004641419999992</v>
      </c>
      <c r="AS446" s="6">
        <f>[1]Results!AV282</f>
        <v>8.9092675270000008</v>
      </c>
      <c r="AT446" s="6">
        <f>[1]Results!AW282</f>
        <v>9.019350781</v>
      </c>
      <c r="AU446" s="6">
        <f>[1]Results!AX282</f>
        <v>9.1307144299999994</v>
      </c>
      <c r="AV446" s="6">
        <f>[1]Results!AY282</f>
        <v>9.2433578030000003</v>
      </c>
      <c r="AW446" s="6">
        <f>[1]Results!AZ282</f>
        <v>9.3583412910000003</v>
      </c>
      <c r="AX446" s="6">
        <f>[1]Results!BA282</f>
        <v>9.4749116230000006</v>
      </c>
      <c r="AY446" s="6">
        <f>[1]Results!BB282</f>
        <v>9.5929180620000007</v>
      </c>
      <c r="AZ446" s="6">
        <f>[1]Results!BC282</f>
        <v>9.7123182470000007</v>
      </c>
      <c r="BA446" s="6">
        <f>[1]Results!BD282</f>
        <v>9.8330915480000005</v>
      </c>
      <c r="BB446" s="6">
        <f>[1]Results!BE282</f>
        <v>9.9557207450000007</v>
      </c>
      <c r="BC446" s="6">
        <f>[1]Results!BF282</f>
        <v>10.079834</v>
      </c>
      <c r="BD446" s="6">
        <f>[1]Results!BG282</f>
        <v>10.205364879999999</v>
      </c>
      <c r="BE446" s="6">
        <f>[1]Results!BH282</f>
        <v>10.33230539</v>
      </c>
      <c r="BF446" s="6">
        <f>[1]Results!BI282</f>
        <v>10.46066319</v>
      </c>
    </row>
    <row r="447" spans="1:58" x14ac:dyDescent="0.35">
      <c r="B447" s="6" t="s">
        <v>74</v>
      </c>
      <c r="C447" s="6">
        <f>C448+C449+C450</f>
        <v>61.611561931099999</v>
      </c>
      <c r="D447" s="6">
        <f t="shared" ref="D447:AL447" si="268">D448+D449+D450</f>
        <v>61.5836442664</v>
      </c>
      <c r="E447" s="6">
        <f t="shared" si="268"/>
        <v>61.567736493200002</v>
      </c>
      <c r="F447" s="6">
        <f t="shared" si="268"/>
        <v>61.647505616299995</v>
      </c>
      <c r="G447" s="6">
        <f t="shared" si="268"/>
        <v>61.849929840800002</v>
      </c>
      <c r="H447" s="6">
        <f t="shared" si="268"/>
        <v>62.168250270599998</v>
      </c>
      <c r="I447" s="6">
        <f t="shared" si="268"/>
        <v>62.559379913299999</v>
      </c>
      <c r="J447" s="6">
        <f t="shared" si="268"/>
        <v>63.018671017500004</v>
      </c>
      <c r="K447" s="6">
        <f t="shared" si="268"/>
        <v>63.535943689199996</v>
      </c>
      <c r="L447" s="6">
        <f t="shared" si="268"/>
        <v>64.100581417400008</v>
      </c>
      <c r="M447" s="6">
        <f t="shared" si="268"/>
        <v>64.743125964299992</v>
      </c>
      <c r="N447" s="6">
        <f t="shared" si="268"/>
        <v>65.392957797400001</v>
      </c>
      <c r="O447" s="6">
        <f t="shared" si="268"/>
        <v>66.0586495501</v>
      </c>
      <c r="P447" s="6">
        <f t="shared" si="268"/>
        <v>66.7382067554</v>
      </c>
      <c r="Q447" s="6">
        <f t="shared" si="268"/>
        <v>67.428393215599996</v>
      </c>
      <c r="R447" s="6">
        <f t="shared" si="268"/>
        <v>68.126581548999994</v>
      </c>
      <c r="S447" s="6">
        <f t="shared" si="268"/>
        <v>68.827839724200004</v>
      </c>
      <c r="T447" s="6">
        <f t="shared" si="268"/>
        <v>69.533047589599988</v>
      </c>
      <c r="U447" s="6">
        <f t="shared" si="268"/>
        <v>70.241869971500009</v>
      </c>
      <c r="V447" s="6">
        <f t="shared" si="268"/>
        <v>70.954032081799994</v>
      </c>
      <c r="W447" s="6">
        <f t="shared" si="268"/>
        <v>71.640231322600002</v>
      </c>
      <c r="X447" s="6">
        <f t="shared" si="268"/>
        <v>72.343855081100003</v>
      </c>
      <c r="Y447" s="6">
        <f t="shared" si="268"/>
        <v>73.055563252100001</v>
      </c>
      <c r="Z447" s="6">
        <f t="shared" si="268"/>
        <v>73.773647199199999</v>
      </c>
      <c r="AA447" s="6">
        <f t="shared" si="268"/>
        <v>74.497963912499998</v>
      </c>
      <c r="AB447" s="6">
        <f t="shared" si="268"/>
        <v>75.145349526499999</v>
      </c>
      <c r="AC447" s="6">
        <f t="shared" si="268"/>
        <v>75.801221634399994</v>
      </c>
      <c r="AD447" s="6">
        <f t="shared" si="268"/>
        <v>76.456388687499995</v>
      </c>
      <c r="AE447" s="6">
        <f t="shared" si="268"/>
        <v>77.111206060100002</v>
      </c>
      <c r="AF447" s="6">
        <f t="shared" si="268"/>
        <v>77.7677206372</v>
      </c>
      <c r="AG447" s="6">
        <f t="shared" si="268"/>
        <v>78.427933973799995</v>
      </c>
      <c r="AH447" s="6">
        <f t="shared" si="268"/>
        <v>79.094263715500006</v>
      </c>
      <c r="AI447" s="6">
        <f t="shared" si="268"/>
        <v>79.7676488412</v>
      </c>
      <c r="AJ447" s="6">
        <f t="shared" si="268"/>
        <v>80.449067546199998</v>
      </c>
      <c r="AK447" s="6">
        <f t="shared" si="268"/>
        <v>81.139262285000001</v>
      </c>
      <c r="AL447" s="6">
        <f t="shared" si="268"/>
        <v>81.838735705600001</v>
      </c>
      <c r="AM447" s="6">
        <f t="shared" ref="AM447:BC447" si="269">AM448+AM449+AM450</f>
        <v>82.534154791199995</v>
      </c>
      <c r="AN447" s="6">
        <f t="shared" si="269"/>
        <v>83.230922897699998</v>
      </c>
      <c r="AO447" s="6">
        <f t="shared" si="269"/>
        <v>83.931271743400004</v>
      </c>
      <c r="AP447" s="6">
        <f t="shared" si="269"/>
        <v>84.636503397099986</v>
      </c>
      <c r="AQ447" s="6">
        <f t="shared" si="269"/>
        <v>85.347563218399998</v>
      </c>
      <c r="AR447" s="6">
        <f t="shared" si="269"/>
        <v>86.066123217599994</v>
      </c>
      <c r="AS447" s="6">
        <f t="shared" si="269"/>
        <v>86.792062446599999</v>
      </c>
      <c r="AT447" s="6">
        <f t="shared" si="269"/>
        <v>87.525575385800011</v>
      </c>
      <c r="AU447" s="6">
        <f t="shared" si="269"/>
        <v>88.266757140799996</v>
      </c>
      <c r="AV447" s="6">
        <f t="shared" si="269"/>
        <v>89.015584789100004</v>
      </c>
      <c r="AW447" s="6">
        <f t="shared" si="269"/>
        <v>89.777429760500013</v>
      </c>
      <c r="AX447" s="6">
        <f t="shared" si="269"/>
        <v>90.549957046700001</v>
      </c>
      <c r="AY447" s="6">
        <f t="shared" si="269"/>
        <v>91.332988478299995</v>
      </c>
      <c r="AZ447" s="6">
        <f t="shared" si="269"/>
        <v>92.126429941900014</v>
      </c>
      <c r="BA447" s="6">
        <f t="shared" si="269"/>
        <v>92.929978804200005</v>
      </c>
      <c r="BB447" s="6">
        <f t="shared" si="269"/>
        <v>93.745188816100011</v>
      </c>
      <c r="BC447" s="6">
        <f t="shared" si="269"/>
        <v>94.570213846599998</v>
      </c>
      <c r="BD447" s="6">
        <f t="shared" ref="BD447:BF447" si="270">BD448+BD449+BD450</f>
        <v>95.404287476700006</v>
      </c>
      <c r="BE447" s="6">
        <f t="shared" si="270"/>
        <v>96.246833089600003</v>
      </c>
      <c r="BF447" s="6">
        <f t="shared" si="270"/>
        <v>97.097342213400012</v>
      </c>
    </row>
    <row r="448" spans="1:58" x14ac:dyDescent="0.35">
      <c r="B448" s="6" t="str">
        <f>[1]Results!E285</f>
        <v>CF_toe_ccoi_2</v>
      </c>
      <c r="C448" s="6">
        <f>[1]Results!F285</f>
        <v>8.2850501100000001E-2</v>
      </c>
      <c r="D448" s="6">
        <f>[1]Results!G285</f>
        <v>8.2980036399999998E-2</v>
      </c>
      <c r="E448" s="6">
        <f>[1]Results!H285</f>
        <v>8.34057032E-2</v>
      </c>
      <c r="F448" s="6">
        <f>[1]Results!I285</f>
        <v>8.4008356300000003E-2</v>
      </c>
      <c r="G448" s="6">
        <f>[1]Results!J285</f>
        <v>8.4782160800000006E-2</v>
      </c>
      <c r="H448" s="6">
        <f>[1]Results!K285</f>
        <v>8.5720640599999995E-2</v>
      </c>
      <c r="I448" s="6">
        <f>[1]Results!L285</f>
        <v>8.6752403300000003E-2</v>
      </c>
      <c r="J448" s="6">
        <f>[1]Results!M285</f>
        <v>8.7887597499999998E-2</v>
      </c>
      <c r="K448" s="6">
        <f>[1]Results!N285</f>
        <v>8.9112959199999994E-2</v>
      </c>
      <c r="L448" s="6">
        <f>[1]Results!O285</f>
        <v>9.0412847399999996E-2</v>
      </c>
      <c r="M448" s="6">
        <f>[1]Results!P285</f>
        <v>9.1866214299999999E-2</v>
      </c>
      <c r="N448" s="6">
        <f>[1]Results!Q285</f>
        <v>9.3308467399999998E-2</v>
      </c>
      <c r="O448" s="6">
        <f>[1]Results!R285</f>
        <v>9.4773700099999997E-2</v>
      </c>
      <c r="P448" s="6">
        <f>[1]Results!S285</f>
        <v>9.6261815400000006E-2</v>
      </c>
      <c r="Q448" s="6">
        <f>[1]Results!T285</f>
        <v>9.7768365600000004E-2</v>
      </c>
      <c r="R448" s="6">
        <f>[1]Results!U285</f>
        <v>9.9289479E-2</v>
      </c>
      <c r="S448" s="6">
        <f>[1]Results!V285</f>
        <v>0.1008138442</v>
      </c>
      <c r="T448" s="6">
        <f>[1]Results!W285</f>
        <v>0.1023457696</v>
      </c>
      <c r="U448" s="6">
        <f>[1]Results!X285</f>
        <v>0.1038855115</v>
      </c>
      <c r="V448" s="6">
        <f>[1]Results!Y285</f>
        <v>0.1054333118</v>
      </c>
      <c r="W448" s="6">
        <f>[1]Results!Z285</f>
        <v>0.10692106260000001</v>
      </c>
      <c r="X448" s="6">
        <f>[1]Results!AA285</f>
        <v>0.1084564111</v>
      </c>
      <c r="Y448" s="6">
        <f>[1]Results!AB285</f>
        <v>0.1100128521</v>
      </c>
      <c r="Z448" s="6">
        <f>[1]Results!AC285</f>
        <v>0.1115870092</v>
      </c>
      <c r="AA448" s="6">
        <f>[1]Results!AD285</f>
        <v>0.1131794525</v>
      </c>
      <c r="AB448" s="6">
        <f>[1]Results!AE285</f>
        <v>0.11459364649999999</v>
      </c>
      <c r="AC448" s="6">
        <f>[1]Results!AF285</f>
        <v>0.1160458244</v>
      </c>
      <c r="AD448" s="6">
        <f>[1]Results!AG285</f>
        <v>0.1175049875</v>
      </c>
      <c r="AE448" s="6">
        <f>[1]Results!AH285</f>
        <v>0.11897070009999999</v>
      </c>
      <c r="AF448" s="6">
        <f>[1]Results!AI285</f>
        <v>0.12044722720000001</v>
      </c>
      <c r="AG448" s="6">
        <f>[1]Results!AJ285</f>
        <v>0.1219389038</v>
      </c>
      <c r="AH448" s="6">
        <f>[1]Results!AK285</f>
        <v>0.1234511855</v>
      </c>
      <c r="AI448" s="6">
        <f>[1]Results!AL285</f>
        <v>0.12498554119999999</v>
      </c>
      <c r="AJ448" s="6">
        <f>[1]Results!AM285</f>
        <v>0.12654381619999999</v>
      </c>
      <c r="AK448" s="6">
        <f>[1]Results!AN285</f>
        <v>0.12812739500000001</v>
      </c>
      <c r="AL448" s="6">
        <f>[1]Results!AO285</f>
        <v>0.1297371756</v>
      </c>
      <c r="AM448" s="6">
        <f>[1]Results!AP285</f>
        <v>0.13134270119999999</v>
      </c>
      <c r="AN448" s="6">
        <f>[1]Results!AQ285</f>
        <v>0.1329577777</v>
      </c>
      <c r="AO448" s="6">
        <f>[1]Results!AR285</f>
        <v>0.13458728340000001</v>
      </c>
      <c r="AP448" s="6">
        <f>[1]Results!AS285</f>
        <v>0.13623396709999999</v>
      </c>
      <c r="AQ448" s="6">
        <f>[1]Results!AT285</f>
        <v>0.13789975839999999</v>
      </c>
      <c r="AR448" s="6">
        <f>[1]Results!AU285</f>
        <v>0.13958863760000001</v>
      </c>
      <c r="AS448" s="6">
        <f>[1]Results!AV285</f>
        <v>0.14129981659999999</v>
      </c>
      <c r="AT448" s="6">
        <f>[1]Results!AW285</f>
        <v>0.14303373580000001</v>
      </c>
      <c r="AU448" s="6">
        <f>[1]Results!AX285</f>
        <v>0.14479078079999999</v>
      </c>
      <c r="AV448" s="6">
        <f>[1]Results!AY285</f>
        <v>0.1465711391</v>
      </c>
      <c r="AW448" s="6">
        <f>[1]Results!AZ285</f>
        <v>0.14838767050000001</v>
      </c>
      <c r="AX448" s="6">
        <f>[1]Results!BA285</f>
        <v>0.15023199670000001</v>
      </c>
      <c r="AY448" s="6">
        <f>[1]Results!BB285</f>
        <v>0.15210261829999999</v>
      </c>
      <c r="AZ448" s="6">
        <f>[1]Results!BC285</f>
        <v>0.15399900189999999</v>
      </c>
      <c r="BA448" s="6">
        <f>[1]Results!BD285</f>
        <v>0.15592068419999999</v>
      </c>
      <c r="BB448" s="6">
        <f>[1]Results!BE285</f>
        <v>0.15787255610000001</v>
      </c>
      <c r="BC448" s="6">
        <f>[1]Results!BF285</f>
        <v>0.1598505066</v>
      </c>
      <c r="BD448" s="6">
        <f>[1]Results!BG285</f>
        <v>0.16185386669999999</v>
      </c>
      <c r="BE448" s="6">
        <f>[1]Results!BH285</f>
        <v>0.16388252959999999</v>
      </c>
      <c r="BF448" s="6">
        <f>[1]Results!BI285</f>
        <v>0.16593650339999999</v>
      </c>
    </row>
    <row r="449" spans="1:58" x14ac:dyDescent="0.35">
      <c r="B449" s="6" t="str">
        <f>[1]Results!E288</f>
        <v>CF_toe_cfut_2</v>
      </c>
      <c r="C449" s="6">
        <f>[1]Results!F288</f>
        <v>46.852209799999997</v>
      </c>
      <c r="D449" s="6">
        <f>[1]Results!G288</f>
        <v>46.804228940000002</v>
      </c>
      <c r="E449" s="6">
        <f>[1]Results!H288</f>
        <v>46.769413720000003</v>
      </c>
      <c r="F449" s="6">
        <f>[1]Results!I288</f>
        <v>46.821723669999997</v>
      </c>
      <c r="G449" s="6">
        <f>[1]Results!J288</f>
        <v>46.982238529999997</v>
      </c>
      <c r="H449" s="6">
        <f>[1]Results!K288</f>
        <v>47.243981789999999</v>
      </c>
      <c r="I449" s="6">
        <f>[1]Results!L288</f>
        <v>47.573908400000001</v>
      </c>
      <c r="J449" s="6">
        <f>[1]Results!M288</f>
        <v>47.963209990000003</v>
      </c>
      <c r="K449" s="6">
        <f>[1]Results!N288</f>
        <v>48.399817429999999</v>
      </c>
      <c r="L449" s="6">
        <f>[1]Results!O288</f>
        <v>48.873339970000004</v>
      </c>
      <c r="M449" s="6">
        <f>[1]Results!P288</f>
        <v>49.404260979999997</v>
      </c>
      <c r="N449" s="6">
        <f>[1]Results!Q288</f>
        <v>49.942090469999997</v>
      </c>
      <c r="O449" s="6">
        <f>[1]Results!R288</f>
        <v>50.492532480000001</v>
      </c>
      <c r="P449" s="6">
        <f>[1]Results!S288</f>
        <v>51.053736239999999</v>
      </c>
      <c r="Q449" s="6">
        <f>[1]Results!T288</f>
        <v>51.623233820000003</v>
      </c>
      <c r="R449" s="6">
        <f>[1]Results!U288</f>
        <v>52.1990853</v>
      </c>
      <c r="S449" s="6">
        <f>[1]Results!V288</f>
        <v>52.777490929999999</v>
      </c>
      <c r="T449" s="6">
        <f>[1]Results!W288</f>
        <v>53.359152979999998</v>
      </c>
      <c r="U449" s="6">
        <f>[1]Results!X288</f>
        <v>53.943802310000002</v>
      </c>
      <c r="V449" s="6">
        <f>[1]Results!Y288</f>
        <v>54.531214800000001</v>
      </c>
      <c r="W449" s="6">
        <f>[1]Results!Z288</f>
        <v>55.10027882</v>
      </c>
      <c r="X449" s="6">
        <f>[1]Results!AA288</f>
        <v>55.681725759999999</v>
      </c>
      <c r="Y449" s="6">
        <f>[1]Results!AB288</f>
        <v>56.269092180000001</v>
      </c>
      <c r="Z449" s="6">
        <f>[1]Results!AC288</f>
        <v>56.861395039999998</v>
      </c>
      <c r="AA449" s="6">
        <f>[1]Results!AD288</f>
        <v>57.458639689999998</v>
      </c>
      <c r="AB449" s="6">
        <f>[1]Results!AE288</f>
        <v>58.000801559999999</v>
      </c>
      <c r="AC449" s="6">
        <f>[1]Results!AF288</f>
        <v>58.548190040000001</v>
      </c>
      <c r="AD449" s="6">
        <f>[1]Results!AG288</f>
        <v>59.094168259999996</v>
      </c>
      <c r="AE449" s="6">
        <f>[1]Results!AH288</f>
        <v>59.639333780000001</v>
      </c>
      <c r="AF449" s="6">
        <f>[1]Results!AI288</f>
        <v>60.185474460000002</v>
      </c>
      <c r="AG449" s="6">
        <f>[1]Results!AJ288</f>
        <v>60.734311349999999</v>
      </c>
      <c r="AH449" s="6">
        <f>[1]Results!AK288</f>
        <v>61.28777796</v>
      </c>
      <c r="AI449" s="6">
        <f>[1]Results!AL288</f>
        <v>61.846568259999998</v>
      </c>
      <c r="AJ449" s="6">
        <f>[1]Results!AM288</f>
        <v>62.41135637</v>
      </c>
      <c r="AK449" s="6">
        <f>[1]Results!AN288</f>
        <v>62.982610459999997</v>
      </c>
      <c r="AL449" s="6">
        <f>[1]Results!AO288</f>
        <v>63.560616699999997</v>
      </c>
      <c r="AM449" s="6">
        <f>[1]Results!AP288</f>
        <v>64.135981270000002</v>
      </c>
      <c r="AN449" s="6">
        <f>[1]Results!AQ288</f>
        <v>64.712077460000003</v>
      </c>
      <c r="AO449" s="6">
        <f>[1]Results!AR288</f>
        <v>65.290362520000002</v>
      </c>
      <c r="AP449" s="6">
        <f>[1]Results!AS288</f>
        <v>65.871810139999994</v>
      </c>
      <c r="AQ449" s="6">
        <f>[1]Results!AT288</f>
        <v>66.457226329999997</v>
      </c>
      <c r="AR449" s="6">
        <f>[1]Results!AU288</f>
        <v>67.048036199999999</v>
      </c>
      <c r="AS449" s="6">
        <f>[1]Results!AV288</f>
        <v>67.644279150000003</v>
      </c>
      <c r="AT449" s="6">
        <f>[1]Results!AW288</f>
        <v>68.246240560000004</v>
      </c>
      <c r="AU449" s="6">
        <f>[1]Results!AX288</f>
        <v>68.854115089999993</v>
      </c>
      <c r="AV449" s="6">
        <f>[1]Results!AY288</f>
        <v>69.467976019999995</v>
      </c>
      <c r="AW449" s="6">
        <f>[1]Results!AZ288</f>
        <v>70.091598970000007</v>
      </c>
      <c r="AX449" s="6">
        <f>[1]Results!BA288</f>
        <v>70.722650700000003</v>
      </c>
      <c r="AY449" s="6">
        <f>[1]Results!BB288</f>
        <v>71.360497789999997</v>
      </c>
      <c r="AZ449" s="6">
        <f>[1]Results!BC288</f>
        <v>72.004742680000007</v>
      </c>
      <c r="BA449" s="6">
        <f>[1]Results!BD288</f>
        <v>72.655013199999999</v>
      </c>
      <c r="BB449" s="6">
        <f>[1]Results!BE288</f>
        <v>73.312532200000007</v>
      </c>
      <c r="BC449" s="6">
        <f>[1]Results!BF288</f>
        <v>73.975938769999999</v>
      </c>
      <c r="BD449" s="6">
        <f>[1]Results!BG288</f>
        <v>74.644748010000001</v>
      </c>
      <c r="BE449" s="6">
        <f>[1]Results!BH288</f>
        <v>75.318621309999997</v>
      </c>
      <c r="BF449" s="6">
        <f>[1]Results!BI288</f>
        <v>75.997255870000004</v>
      </c>
    </row>
    <row r="450" spans="1:58" x14ac:dyDescent="0.35">
      <c r="B450" s="6" t="str">
        <f>[1]Results!E291</f>
        <v>CF_toe_cfuh_2</v>
      </c>
      <c r="C450" s="6">
        <f>[1]Results!F291</f>
        <v>14.676501630000001</v>
      </c>
      <c r="D450" s="6">
        <f>[1]Results!G291</f>
        <v>14.69643529</v>
      </c>
      <c r="E450" s="6">
        <f>[1]Results!H291</f>
        <v>14.71491707</v>
      </c>
      <c r="F450" s="6">
        <f>[1]Results!I291</f>
        <v>14.741773589999999</v>
      </c>
      <c r="G450" s="6">
        <f>[1]Results!J291</f>
        <v>14.78290915</v>
      </c>
      <c r="H450" s="6">
        <f>[1]Results!K291</f>
        <v>14.83854784</v>
      </c>
      <c r="I450" s="6">
        <f>[1]Results!L291</f>
        <v>14.89871911</v>
      </c>
      <c r="J450" s="6">
        <f>[1]Results!M291</f>
        <v>14.96757343</v>
      </c>
      <c r="K450" s="6">
        <f>[1]Results!N291</f>
        <v>15.0470133</v>
      </c>
      <c r="L450" s="6">
        <f>[1]Results!O291</f>
        <v>15.136828599999999</v>
      </c>
      <c r="M450" s="6">
        <f>[1]Results!P291</f>
        <v>15.246998769999999</v>
      </c>
      <c r="N450" s="6">
        <f>[1]Results!Q291</f>
        <v>15.357558859999999</v>
      </c>
      <c r="O450" s="6">
        <f>[1]Results!R291</f>
        <v>15.47134337</v>
      </c>
      <c r="P450" s="6">
        <f>[1]Results!S291</f>
        <v>15.588208699999999</v>
      </c>
      <c r="Q450" s="6">
        <f>[1]Results!T291</f>
        <v>15.70739103</v>
      </c>
      <c r="R450" s="6">
        <f>[1]Results!U291</f>
        <v>15.82820677</v>
      </c>
      <c r="S450" s="6">
        <f>[1]Results!V291</f>
        <v>15.94953495</v>
      </c>
      <c r="T450" s="6">
        <f>[1]Results!W291</f>
        <v>16.071548839999998</v>
      </c>
      <c r="U450" s="6">
        <f>[1]Results!X291</f>
        <v>16.19418215</v>
      </c>
      <c r="V450" s="6">
        <f>[1]Results!Y291</f>
        <v>16.317383970000002</v>
      </c>
      <c r="W450" s="6">
        <f>[1]Results!Z291</f>
        <v>16.433031440000001</v>
      </c>
      <c r="X450" s="6">
        <f>[1]Results!AA291</f>
        <v>16.55367291</v>
      </c>
      <c r="Y450" s="6">
        <f>[1]Results!AB291</f>
        <v>16.676458220000001</v>
      </c>
      <c r="Z450" s="6">
        <f>[1]Results!AC291</f>
        <v>16.80066515</v>
      </c>
      <c r="AA450" s="6">
        <f>[1]Results!AD291</f>
        <v>16.926144770000001</v>
      </c>
      <c r="AB450" s="6">
        <f>[1]Results!AE291</f>
        <v>17.029954320000002</v>
      </c>
      <c r="AC450" s="6">
        <f>[1]Results!AF291</f>
        <v>17.136985769999999</v>
      </c>
      <c r="AD450" s="6">
        <f>[1]Results!AG291</f>
        <v>17.24471544</v>
      </c>
      <c r="AE450" s="6">
        <f>[1]Results!AH291</f>
        <v>17.352901580000001</v>
      </c>
      <c r="AF450" s="6">
        <f>[1]Results!AI291</f>
        <v>17.461798949999999</v>
      </c>
      <c r="AG450" s="6">
        <f>[1]Results!AJ291</f>
        <v>17.571683719999999</v>
      </c>
      <c r="AH450" s="6">
        <f>[1]Results!AK291</f>
        <v>17.68303457</v>
      </c>
      <c r="AI450" s="6">
        <f>[1]Results!AL291</f>
        <v>17.796095040000001</v>
      </c>
      <c r="AJ450" s="6">
        <f>[1]Results!AM291</f>
        <v>17.91116736</v>
      </c>
      <c r="AK450" s="6">
        <f>[1]Results!AN291</f>
        <v>18.028524430000001</v>
      </c>
      <c r="AL450" s="6">
        <f>[1]Results!AO291</f>
        <v>18.148381830000002</v>
      </c>
      <c r="AM450" s="6">
        <f>[1]Results!AP291</f>
        <v>18.266830819999999</v>
      </c>
      <c r="AN450" s="6">
        <f>[1]Results!AQ291</f>
        <v>18.385887660000002</v>
      </c>
      <c r="AO450" s="6">
        <f>[1]Results!AR291</f>
        <v>18.506321939999999</v>
      </c>
      <c r="AP450" s="6">
        <f>[1]Results!AS291</f>
        <v>18.628459289999999</v>
      </c>
      <c r="AQ450" s="6">
        <f>[1]Results!AT291</f>
        <v>18.752437130000001</v>
      </c>
      <c r="AR450" s="6">
        <f>[1]Results!AU291</f>
        <v>18.87849838</v>
      </c>
      <c r="AS450" s="6">
        <f>[1]Results!AV291</f>
        <v>19.00648348</v>
      </c>
      <c r="AT450" s="6">
        <f>[1]Results!AW291</f>
        <v>19.13630109</v>
      </c>
      <c r="AU450" s="6">
        <f>[1]Results!AX291</f>
        <v>19.267851270000001</v>
      </c>
      <c r="AV450" s="6">
        <f>[1]Results!AY291</f>
        <v>19.401037630000001</v>
      </c>
      <c r="AW450" s="6">
        <f>[1]Results!AZ291</f>
        <v>19.537443119999999</v>
      </c>
      <c r="AX450" s="6">
        <f>[1]Results!BA291</f>
        <v>19.677074350000002</v>
      </c>
      <c r="AY450" s="6">
        <f>[1]Results!BB291</f>
        <v>19.82038807</v>
      </c>
      <c r="AZ450" s="6">
        <f>[1]Results!BC291</f>
        <v>19.967688259999999</v>
      </c>
      <c r="BA450" s="6">
        <f>[1]Results!BD291</f>
        <v>20.11904492</v>
      </c>
      <c r="BB450" s="6">
        <f>[1]Results!BE291</f>
        <v>20.274784060000002</v>
      </c>
      <c r="BC450" s="6">
        <f>[1]Results!BF291</f>
        <v>20.434424570000001</v>
      </c>
      <c r="BD450" s="6">
        <f>[1]Results!BG291</f>
        <v>20.597685599999998</v>
      </c>
      <c r="BE450" s="6">
        <f>[1]Results!BH291</f>
        <v>20.764329249999999</v>
      </c>
      <c r="BF450" s="6">
        <f>[1]Results!BI291</f>
        <v>20.93414984</v>
      </c>
    </row>
    <row r="451" spans="1:58" x14ac:dyDescent="0.35">
      <c r="B451" s="6" t="str">
        <f>[1]Results!E293</f>
        <v>CF_toe_cgas_2</v>
      </c>
      <c r="C451" s="6">
        <f>[1]Results!F293</f>
        <v>33.945311760000003</v>
      </c>
      <c r="D451" s="6">
        <f>[1]Results!G293</f>
        <v>34.010582110000001</v>
      </c>
      <c r="E451" s="6">
        <f>[1]Results!H293</f>
        <v>34.113362739999999</v>
      </c>
      <c r="F451" s="6">
        <f>[1]Results!I293</f>
        <v>34.248774969999999</v>
      </c>
      <c r="G451" s="6">
        <f>[1]Results!J293</f>
        <v>34.42456593</v>
      </c>
      <c r="H451" s="6">
        <f>[1]Results!K293</f>
        <v>34.640683209999999</v>
      </c>
      <c r="I451" s="6">
        <f>[1]Results!L293</f>
        <v>34.870726240000003</v>
      </c>
      <c r="J451" s="6">
        <f>[1]Results!M293</f>
        <v>35.12806801</v>
      </c>
      <c r="K451" s="6">
        <f>[1]Results!N293</f>
        <v>35.413352240000002</v>
      </c>
      <c r="L451" s="6">
        <f>[1]Results!O293</f>
        <v>35.723291580000001</v>
      </c>
      <c r="M451" s="6">
        <f>[1]Results!P293</f>
        <v>36.08652111</v>
      </c>
      <c r="N451" s="6">
        <f>[1]Results!Q293</f>
        <v>36.444954469999999</v>
      </c>
      <c r="O451" s="6">
        <f>[1]Results!R293</f>
        <v>36.809957910000001</v>
      </c>
      <c r="P451" s="6">
        <f>[1]Results!S293</f>
        <v>37.182118299999999</v>
      </c>
      <c r="Q451" s="6">
        <f>[1]Results!T293</f>
        <v>37.55987245</v>
      </c>
      <c r="R451" s="6">
        <f>[1]Results!U293</f>
        <v>37.941891589999997</v>
      </c>
      <c r="S451" s="6">
        <f>[1]Results!V293</f>
        <v>38.325142999999997</v>
      </c>
      <c r="T451" s="6">
        <f>[1]Results!W293</f>
        <v>38.710520760000001</v>
      </c>
      <c r="U451" s="6">
        <f>[1]Results!X293</f>
        <v>39.0979575</v>
      </c>
      <c r="V451" s="6">
        <f>[1]Results!Y293</f>
        <v>39.487406290000003</v>
      </c>
      <c r="W451" s="6">
        <f>[1]Results!Z293</f>
        <v>39.855374589999997</v>
      </c>
      <c r="X451" s="6">
        <f>[1]Results!AA293</f>
        <v>40.239331780000001</v>
      </c>
      <c r="Y451" s="6">
        <f>[1]Results!AB293</f>
        <v>40.629874819999998</v>
      </c>
      <c r="Z451" s="6">
        <f>[1]Results!AC293</f>
        <v>41.025114559999999</v>
      </c>
      <c r="AA451" s="6">
        <f>[1]Results!AD293</f>
        <v>41.424755380000001</v>
      </c>
      <c r="AB451" s="6">
        <f>[1]Results!AE293</f>
        <v>41.762061660000001</v>
      </c>
      <c r="AC451" s="6">
        <f>[1]Results!AF293</f>
        <v>42.11205829</v>
      </c>
      <c r="AD451" s="6">
        <f>[1]Results!AG293</f>
        <v>42.464984510000001</v>
      </c>
      <c r="AE451" s="6">
        <f>[1]Results!AH293</f>
        <v>42.820022700000003</v>
      </c>
      <c r="AF451" s="6">
        <f>[1]Results!AI293</f>
        <v>43.177868259999997</v>
      </c>
      <c r="AG451" s="6">
        <f>[1]Results!AJ293</f>
        <v>43.539232439999999</v>
      </c>
      <c r="AH451" s="6">
        <f>[1]Results!AK293</f>
        <v>43.905350470000002</v>
      </c>
      <c r="AI451" s="6">
        <f>[1]Results!AL293</f>
        <v>44.276619330000003</v>
      </c>
      <c r="AJ451" s="6">
        <f>[1]Results!AM293</f>
        <v>44.653606510000003</v>
      </c>
      <c r="AK451" s="6">
        <f>[1]Results!AN293</f>
        <v>45.036796639999999</v>
      </c>
      <c r="AL451" s="6">
        <f>[1]Results!AO293</f>
        <v>45.42655302</v>
      </c>
      <c r="AM451" s="6">
        <f>[1]Results!AP293</f>
        <v>45.811530910000002</v>
      </c>
      <c r="AN451" s="6">
        <f>[1]Results!AQ293</f>
        <v>46.197841820000001</v>
      </c>
      <c r="AO451" s="6">
        <f>[1]Results!AR293</f>
        <v>46.587651180000002</v>
      </c>
      <c r="AP451" s="6">
        <f>[1]Results!AS293</f>
        <v>46.981978929999997</v>
      </c>
      <c r="AQ451" s="6">
        <f>[1]Results!AT293</f>
        <v>47.38138155</v>
      </c>
      <c r="AR451" s="6">
        <f>[1]Results!AU293</f>
        <v>47.786803409999997</v>
      </c>
      <c r="AS451" s="6">
        <f>[1]Results!AV293</f>
        <v>48.197973810000001</v>
      </c>
      <c r="AT451" s="6">
        <f>[1]Results!AW293</f>
        <v>48.614913620000003</v>
      </c>
      <c r="AU451" s="6">
        <f>[1]Results!AX293</f>
        <v>49.037630739999997</v>
      </c>
      <c r="AV451" s="6">
        <f>[1]Results!AY293</f>
        <v>49.466100300000001</v>
      </c>
      <c r="AW451" s="6">
        <f>[1]Results!AZ293</f>
        <v>49.904077639999997</v>
      </c>
      <c r="AX451" s="6">
        <f>[1]Results!BA293</f>
        <v>50.349758600000001</v>
      </c>
      <c r="AY451" s="6">
        <f>[1]Results!BB293</f>
        <v>50.803131129999997</v>
      </c>
      <c r="AZ451" s="6">
        <f>[1]Results!BC293</f>
        <v>51.264297380000002</v>
      </c>
      <c r="BA451" s="6">
        <f>[1]Results!BD293</f>
        <v>51.7332185</v>
      </c>
      <c r="BB451" s="6">
        <f>[1]Results!BE293</f>
        <v>52.211038739999999</v>
      </c>
      <c r="BC451" s="6">
        <f>[1]Results!BF293</f>
        <v>52.696620629999998</v>
      </c>
      <c r="BD451" s="6">
        <f>[1]Results!BG293</f>
        <v>53.189645659999996</v>
      </c>
      <c r="BE451" s="6">
        <f>[1]Results!BH293</f>
        <v>53.689927750000003</v>
      </c>
      <c r="BF451" s="6">
        <f>[1]Results!BI293</f>
        <v>54.19731831</v>
      </c>
    </row>
    <row r="452" spans="1:58" x14ac:dyDescent="0.35">
      <c r="B452" s="6" t="str">
        <f>[1]Results!E299</f>
        <v>CF_toe_cele_2</v>
      </c>
      <c r="C452" s="6">
        <f>[1]Results!F299</f>
        <v>37.449585140000003</v>
      </c>
      <c r="D452" s="6">
        <f>[1]Results!G299</f>
        <v>37.513011839999997</v>
      </c>
      <c r="E452" s="6">
        <f>[1]Results!H299</f>
        <v>37.6205766</v>
      </c>
      <c r="F452" s="6">
        <f>[1]Results!I299</f>
        <v>37.778153719999999</v>
      </c>
      <c r="G452" s="6">
        <f>[1]Results!J299</f>
        <v>37.993500099999999</v>
      </c>
      <c r="H452" s="6">
        <f>[1]Results!K299</f>
        <v>38.262486389999999</v>
      </c>
      <c r="I452" s="6">
        <f>[1]Results!L299</f>
        <v>38.555119210000001</v>
      </c>
      <c r="J452" s="6">
        <f>[1]Results!M299</f>
        <v>38.874082510000001</v>
      </c>
      <c r="K452" s="6">
        <f>[1]Results!N299</f>
        <v>39.217413309999998</v>
      </c>
      <c r="L452" s="6">
        <f>[1]Results!O299</f>
        <v>39.580816650000003</v>
      </c>
      <c r="M452" s="6">
        <f>[1]Results!P299</f>
        <v>39.99086835</v>
      </c>
      <c r="N452" s="6">
        <f>[1]Results!Q299</f>
        <v>40.390807850000002</v>
      </c>
      <c r="O452" s="6">
        <f>[1]Results!R299</f>
        <v>40.790412230000001</v>
      </c>
      <c r="P452" s="6">
        <f>[1]Results!S299</f>
        <v>41.189902719999999</v>
      </c>
      <c r="Q452" s="6">
        <f>[1]Results!T299</f>
        <v>41.588218939999997</v>
      </c>
      <c r="R452" s="6">
        <f>[1]Results!U299</f>
        <v>41.984566989999998</v>
      </c>
      <c r="S452" s="6">
        <f>[1]Results!V299</f>
        <v>42.37630978</v>
      </c>
      <c r="T452" s="6">
        <f>[1]Results!W299</f>
        <v>42.765145830000002</v>
      </c>
      <c r="U452" s="6">
        <f>[1]Results!X299</f>
        <v>43.15185426</v>
      </c>
      <c r="V452" s="6">
        <f>[1]Results!Y299</f>
        <v>43.537246170000003</v>
      </c>
      <c r="W452" s="6">
        <f>[1]Results!Z299</f>
        <v>43.89904353</v>
      </c>
      <c r="X452" s="6">
        <f>[1]Results!AA299</f>
        <v>44.274464399999999</v>
      </c>
      <c r="Y452" s="6">
        <f>[1]Results!AB299</f>
        <v>44.655641469999999</v>
      </c>
      <c r="Z452" s="6">
        <f>[1]Results!AC299</f>
        <v>45.041571709999999</v>
      </c>
      <c r="AA452" s="6">
        <f>[1]Results!AD299</f>
        <v>45.432665729999997</v>
      </c>
      <c r="AB452" s="6">
        <f>[1]Results!AE299</f>
        <v>45.763625689999998</v>
      </c>
      <c r="AC452" s="6">
        <f>[1]Results!AF299</f>
        <v>46.107632459999998</v>
      </c>
      <c r="AD452" s="6">
        <f>[1]Results!AG299</f>
        <v>46.456488399999998</v>
      </c>
      <c r="AE452" s="6">
        <f>[1]Results!AH299</f>
        <v>46.81018736</v>
      </c>
      <c r="AF452" s="6">
        <f>[1]Results!AI299</f>
        <v>47.170078920000002</v>
      </c>
      <c r="AG452" s="6">
        <f>[1]Results!AJ299</f>
        <v>47.537548800000003</v>
      </c>
      <c r="AH452" s="6">
        <f>[1]Results!AK299</f>
        <v>47.914271739999997</v>
      </c>
      <c r="AI452" s="6">
        <f>[1]Results!AL299</f>
        <v>48.300821679999999</v>
      </c>
      <c r="AJ452" s="6">
        <f>[1]Results!AM299</f>
        <v>48.697803049999997</v>
      </c>
      <c r="AK452" s="6">
        <f>[1]Results!AN299</f>
        <v>49.105633650000001</v>
      </c>
      <c r="AL452" s="6">
        <f>[1]Results!AO299</f>
        <v>49.524531289999999</v>
      </c>
      <c r="AM452" s="6">
        <f>[1]Results!AP299</f>
        <v>49.94345225</v>
      </c>
      <c r="AN452" s="6">
        <f>[1]Results!AQ299</f>
        <v>50.367709920000003</v>
      </c>
      <c r="AO452" s="6">
        <f>[1]Results!AR299</f>
        <v>50.799128410000002</v>
      </c>
      <c r="AP452" s="6">
        <f>[1]Results!AS299</f>
        <v>51.238494449999997</v>
      </c>
      <c r="AQ452" s="6">
        <f>[1]Results!AT299</f>
        <v>51.686183360000001</v>
      </c>
      <c r="AR452" s="6">
        <f>[1]Results!AU299</f>
        <v>52.143060859999999</v>
      </c>
      <c r="AS452" s="6">
        <f>[1]Results!AV299</f>
        <v>52.608694759999999</v>
      </c>
      <c r="AT452" s="6">
        <f>[1]Results!AW299</f>
        <v>53.082949679999999</v>
      </c>
      <c r="AU452" s="6">
        <f>[1]Results!AX299</f>
        <v>53.565683409999998</v>
      </c>
      <c r="AV452" s="6">
        <f>[1]Results!AY299</f>
        <v>54.056738129999999</v>
      </c>
      <c r="AW452" s="6">
        <f>[1]Results!AZ299</f>
        <v>54.560306140000002</v>
      </c>
      <c r="AX452" s="6">
        <f>[1]Results!BA299</f>
        <v>55.074873169999996</v>
      </c>
      <c r="AY452" s="6">
        <f>[1]Results!BB299</f>
        <v>55.600645190000002</v>
      </c>
      <c r="AZ452" s="6">
        <f>[1]Results!BC299</f>
        <v>56.137822219999997</v>
      </c>
      <c r="BA452" s="6">
        <f>[1]Results!BD299</f>
        <v>56.686361290000001</v>
      </c>
      <c r="BB452" s="6">
        <f>[1]Results!BE299</f>
        <v>57.247527550000001</v>
      </c>
      <c r="BC452" s="6">
        <f>[1]Results!BF299</f>
        <v>57.820096229999997</v>
      </c>
      <c r="BD452" s="6">
        <f>[1]Results!BG299</f>
        <v>58.403691649999999</v>
      </c>
      <c r="BE452" s="6">
        <f>[1]Results!BH299</f>
        <v>58.998116260000003</v>
      </c>
      <c r="BF452" s="6">
        <f>[1]Results!BI299</f>
        <v>59.603260120000002</v>
      </c>
    </row>
    <row r="453" spans="1:58" x14ac:dyDescent="0.35">
      <c r="B453" s="6" t="s">
        <v>75</v>
      </c>
      <c r="C453" s="6">
        <f>SUM(C454:C456)</f>
        <v>21.679719720000001</v>
      </c>
      <c r="D453" s="6">
        <f t="shared" ref="D453:AL453" si="271">SUM(D454:D456)</f>
        <v>21.757066674000001</v>
      </c>
      <c r="E453" s="6">
        <f t="shared" si="271"/>
        <v>21.876882561000002</v>
      </c>
      <c r="F453" s="6">
        <f t="shared" si="271"/>
        <v>22.018064005999996</v>
      </c>
      <c r="G453" s="6">
        <f t="shared" si="271"/>
        <v>22.179664947999999</v>
      </c>
      <c r="H453" s="6">
        <f t="shared" si="271"/>
        <v>22.360031888999998</v>
      </c>
      <c r="I453" s="6">
        <f t="shared" si="271"/>
        <v>22.541448905999999</v>
      </c>
      <c r="J453" s="6">
        <f t="shared" si="271"/>
        <v>22.727597713999998</v>
      </c>
      <c r="K453" s="6">
        <f t="shared" si="271"/>
        <v>22.919622488000002</v>
      </c>
      <c r="L453" s="6">
        <f t="shared" si="271"/>
        <v>23.117483790000001</v>
      </c>
      <c r="M453" s="6">
        <f t="shared" si="271"/>
        <v>23.344331221000001</v>
      </c>
      <c r="N453" s="6">
        <f t="shared" si="271"/>
        <v>23.558234861999999</v>
      </c>
      <c r="O453" s="6">
        <f t="shared" si="271"/>
        <v>23.77038546</v>
      </c>
      <c r="P453" s="6">
        <f t="shared" si="271"/>
        <v>23.982904326000003</v>
      </c>
      <c r="Q453" s="6">
        <f t="shared" si="271"/>
        <v>24.196165823000001</v>
      </c>
      <c r="R453" s="6">
        <f t="shared" si="271"/>
        <v>24.410219314000003</v>
      </c>
      <c r="S453" s="6">
        <f t="shared" si="271"/>
        <v>24.623386224999997</v>
      </c>
      <c r="T453" s="6">
        <f t="shared" si="271"/>
        <v>24.837144862000002</v>
      </c>
      <c r="U453" s="6">
        <f t="shared" si="271"/>
        <v>25.051925206</v>
      </c>
      <c r="V453" s="6">
        <f t="shared" si="271"/>
        <v>25.268061799000002</v>
      </c>
      <c r="W453" s="6">
        <f t="shared" si="271"/>
        <v>25.469038189999999</v>
      </c>
      <c r="X453" s="6">
        <f t="shared" si="271"/>
        <v>25.682951855999999</v>
      </c>
      <c r="Y453" s="6">
        <f t="shared" si="271"/>
        <v>25.902439594000001</v>
      </c>
      <c r="Z453" s="6">
        <f t="shared" si="271"/>
        <v>26.125971537000002</v>
      </c>
      <c r="AA453" s="6">
        <f t="shared" si="271"/>
        <v>26.353262974</v>
      </c>
      <c r="AB453" s="6">
        <f t="shared" si="271"/>
        <v>26.536916910999999</v>
      </c>
      <c r="AC453" s="6">
        <f t="shared" si="271"/>
        <v>26.733306982999999</v>
      </c>
      <c r="AD453" s="6">
        <f t="shared" si="271"/>
        <v>26.934500177</v>
      </c>
      <c r="AE453" s="6">
        <f t="shared" si="271"/>
        <v>27.139422433999997</v>
      </c>
      <c r="AF453" s="6">
        <f t="shared" si="271"/>
        <v>27.348158935999997</v>
      </c>
      <c r="AG453" s="6">
        <f t="shared" si="271"/>
        <v>27.560958543999998</v>
      </c>
      <c r="AH453" s="6">
        <f t="shared" si="271"/>
        <v>27.778445263999998</v>
      </c>
      <c r="AI453" s="6">
        <f t="shared" si="271"/>
        <v>28.000499069</v>
      </c>
      <c r="AJ453" s="6">
        <f t="shared" si="271"/>
        <v>28.227181764999997</v>
      </c>
      <c r="AK453" s="6">
        <f t="shared" si="271"/>
        <v>28.458528901000001</v>
      </c>
      <c r="AL453" s="6">
        <f t="shared" si="271"/>
        <v>28.694529895000002</v>
      </c>
      <c r="AM453" s="6">
        <f t="shared" ref="AM453:BC453" si="272">SUM(AM454:AM456)</f>
        <v>28.927609960999998</v>
      </c>
      <c r="AN453" s="6">
        <f t="shared" si="272"/>
        <v>29.161953595</v>
      </c>
      <c r="AO453" s="6">
        <f t="shared" si="272"/>
        <v>29.398988240999998</v>
      </c>
      <c r="AP453" s="6">
        <f t="shared" si="272"/>
        <v>29.639287015999997</v>
      </c>
      <c r="AQ453" s="6">
        <f t="shared" si="272"/>
        <v>29.883099780000002</v>
      </c>
      <c r="AR453" s="6">
        <f t="shared" si="272"/>
        <v>30.131075916</v>
      </c>
      <c r="AS453" s="6">
        <f t="shared" si="272"/>
        <v>30.382841184</v>
      </c>
      <c r="AT453" s="6">
        <f t="shared" si="272"/>
        <v>30.638330590999999</v>
      </c>
      <c r="AU453" s="6">
        <f t="shared" si="272"/>
        <v>30.897498487</v>
      </c>
      <c r="AV453" s="6">
        <f t="shared" si="272"/>
        <v>31.160293497000001</v>
      </c>
      <c r="AW453" s="6">
        <f t="shared" si="272"/>
        <v>31.429398711000001</v>
      </c>
      <c r="AX453" s="6">
        <f t="shared" si="272"/>
        <v>31.702824621000005</v>
      </c>
      <c r="AY453" s="6">
        <f t="shared" si="272"/>
        <v>31.980256064999999</v>
      </c>
      <c r="AZ453" s="6">
        <f t="shared" si="272"/>
        <v>32.261641790999995</v>
      </c>
      <c r="BA453" s="6">
        <f t="shared" si="272"/>
        <v>32.546956813000001</v>
      </c>
      <c r="BB453" s="6">
        <f t="shared" si="272"/>
        <v>32.837313730999995</v>
      </c>
      <c r="BC453" s="6">
        <f t="shared" si="272"/>
        <v>33.131804794000004</v>
      </c>
      <c r="BD453" s="6">
        <f t="shared" ref="BD453:BF453" si="273">SUM(BD454:BD456)</f>
        <v>33.430262347999999</v>
      </c>
      <c r="BE453" s="6">
        <f t="shared" si="273"/>
        <v>33.732633683000003</v>
      </c>
      <c r="BF453" s="6">
        <f t="shared" si="273"/>
        <v>34.038893815999998</v>
      </c>
    </row>
    <row r="454" spans="1:58" x14ac:dyDescent="0.35">
      <c r="B454" s="6" t="str">
        <f>[1]Results!E309</f>
        <v>CF_toe_chea_2</v>
      </c>
      <c r="C454" s="6">
        <f>[1]Results!F309</f>
        <v>5.0882577979999999</v>
      </c>
      <c r="D454" s="6">
        <f>[1]Results!G309</f>
        <v>5.1297871500000003</v>
      </c>
      <c r="E454" s="6">
        <f>[1]Results!H309</f>
        <v>5.1839948370000002</v>
      </c>
      <c r="F454" s="6">
        <f>[1]Results!I309</f>
        <v>5.2441477619999999</v>
      </c>
      <c r="G454" s="6">
        <f>[1]Results!J309</f>
        <v>5.3090350519999996</v>
      </c>
      <c r="H454" s="6">
        <f>[1]Results!K309</f>
        <v>5.378700276</v>
      </c>
      <c r="I454" s="6">
        <f>[1]Results!L309</f>
        <v>5.4486699600000001</v>
      </c>
      <c r="J454" s="6">
        <f>[1]Results!M309</f>
        <v>5.5177579909999999</v>
      </c>
      <c r="K454" s="6">
        <f>[1]Results!N309</f>
        <v>5.5850466110000001</v>
      </c>
      <c r="L454" s="6">
        <f>[1]Results!O309</f>
        <v>5.6504350749999999</v>
      </c>
      <c r="M454" s="6">
        <f>[1]Results!P309</f>
        <v>5.7223690730000003</v>
      </c>
      <c r="N454" s="6">
        <f>[1]Results!Q309</f>
        <v>5.7882374990000001</v>
      </c>
      <c r="O454" s="6">
        <f>[1]Results!R309</f>
        <v>5.851630492</v>
      </c>
      <c r="P454" s="6">
        <f>[1]Results!S309</f>
        <v>5.9139815330000003</v>
      </c>
      <c r="Q454" s="6">
        <f>[1]Results!T309</f>
        <v>5.975965703</v>
      </c>
      <c r="R454" s="6">
        <f>[1]Results!U309</f>
        <v>6.0379299179999997</v>
      </c>
      <c r="S454" s="6">
        <f>[1]Results!V309</f>
        <v>6.0998310309999999</v>
      </c>
      <c r="T454" s="6">
        <f>[1]Results!W309</f>
        <v>6.1619718250000002</v>
      </c>
      <c r="U454" s="6">
        <f>[1]Results!X309</f>
        <v>6.224503447</v>
      </c>
      <c r="V454" s="6">
        <f>[1]Results!Y309</f>
        <v>6.287548621</v>
      </c>
      <c r="W454" s="6">
        <f>[1]Results!Z309</f>
        <v>6.3457055149999997</v>
      </c>
      <c r="X454" s="6">
        <f>[1]Results!AA309</f>
        <v>6.4079415519999996</v>
      </c>
      <c r="Y454" s="6">
        <f>[1]Results!AB309</f>
        <v>6.4723022620000004</v>
      </c>
      <c r="Z454" s="6">
        <f>[1]Results!AC309</f>
        <v>6.5381552640000002</v>
      </c>
      <c r="AA454" s="6">
        <f>[1]Results!AD309</f>
        <v>6.605264536</v>
      </c>
      <c r="AB454" s="6">
        <f>[1]Results!AE309</f>
        <v>6.6582197990000003</v>
      </c>
      <c r="AC454" s="6">
        <f>[1]Results!AF309</f>
        <v>6.7144284689999996</v>
      </c>
      <c r="AD454" s="6">
        <f>[1]Results!AG309</f>
        <v>6.7724078920000004</v>
      </c>
      <c r="AE454" s="6">
        <f>[1]Results!AH309</f>
        <v>6.8318128519999997</v>
      </c>
      <c r="AF454" s="6">
        <f>[1]Results!AI309</f>
        <v>6.8925439109999997</v>
      </c>
      <c r="AG454" s="6">
        <f>[1]Results!AJ309</f>
        <v>6.954526295</v>
      </c>
      <c r="AH454" s="6">
        <f>[1]Results!AK309</f>
        <v>7.0177263730000004</v>
      </c>
      <c r="AI454" s="6">
        <f>[1]Results!AL309</f>
        <v>7.0819959370000003</v>
      </c>
      <c r="AJ454" s="6">
        <f>[1]Results!AM309</f>
        <v>7.1471933019999998</v>
      </c>
      <c r="AK454" s="6">
        <f>[1]Results!AN309</f>
        <v>7.2131764880000002</v>
      </c>
      <c r="AL454" s="6">
        <f>[1]Results!AO309</f>
        <v>7.2798193810000003</v>
      </c>
      <c r="AM454" s="6">
        <f>[1]Results!AP309</f>
        <v>7.3440745789999999</v>
      </c>
      <c r="AN454" s="6">
        <f>[1]Results!AQ309</f>
        <v>7.4076299429999999</v>
      </c>
      <c r="AO454" s="6">
        <f>[1]Results!AR309</f>
        <v>7.4712040650000002</v>
      </c>
      <c r="AP454" s="6">
        <f>[1]Results!AS309</f>
        <v>7.5351534390000001</v>
      </c>
      <c r="AQ454" s="6">
        <f>[1]Results!AT309</f>
        <v>7.5996878900000002</v>
      </c>
      <c r="AR454" s="6">
        <f>[1]Results!AU309</f>
        <v>7.6650281619999996</v>
      </c>
      <c r="AS454" s="6">
        <f>[1]Results!AV309</f>
        <v>7.73125514</v>
      </c>
      <c r="AT454" s="6">
        <f>[1]Results!AW309</f>
        <v>7.7984820729999997</v>
      </c>
      <c r="AU454" s="6">
        <f>[1]Results!AX309</f>
        <v>7.8668214909999996</v>
      </c>
      <c r="AV454" s="6">
        <f>[1]Results!AY309</f>
        <v>7.9363616019999998</v>
      </c>
      <c r="AW454" s="6">
        <f>[1]Results!AZ309</f>
        <v>8.0071135800000004</v>
      </c>
      <c r="AX454" s="6">
        <f>[1]Results!BA309</f>
        <v>8.0780277439999999</v>
      </c>
      <c r="AY454" s="6">
        <f>[1]Results!BB309</f>
        <v>8.1484502509999999</v>
      </c>
      <c r="AZ454" s="6">
        <f>[1]Results!BC309</f>
        <v>8.2180490479999992</v>
      </c>
      <c r="BA454" s="6">
        <f>[1]Results!BD309</f>
        <v>8.2867404530000002</v>
      </c>
      <c r="BB454" s="6">
        <f>[1]Results!BE309</f>
        <v>8.3547440949999991</v>
      </c>
      <c r="BC454" s="6">
        <f>[1]Results!BF309</f>
        <v>8.4221148590000006</v>
      </c>
      <c r="BD454" s="6">
        <f>[1]Results!BG309</f>
        <v>8.4890284900000008</v>
      </c>
      <c r="BE454" s="6">
        <f>[1]Results!BH309</f>
        <v>8.5556743980000007</v>
      </c>
      <c r="BF454" s="6">
        <f>[1]Results!BI309</f>
        <v>8.6222250519999992</v>
      </c>
    </row>
    <row r="455" spans="1:58" x14ac:dyDescent="0.35">
      <c r="B455" s="6" t="str">
        <f>[1]Results!E311</f>
        <v>CF_toe_cbio_2</v>
      </c>
      <c r="C455" s="6">
        <f>[1]Results!F311</f>
        <v>8.1645517749999996</v>
      </c>
      <c r="D455" s="6">
        <f>[1]Results!G311</f>
        <v>8.1685771539999994</v>
      </c>
      <c r="E455" s="6">
        <f>[1]Results!H311</f>
        <v>8.1544009959999997</v>
      </c>
      <c r="F455" s="6">
        <f>[1]Results!I311</f>
        <v>8.1374190389999992</v>
      </c>
      <c r="G455" s="6">
        <f>[1]Results!J311</f>
        <v>8.1237518810000005</v>
      </c>
      <c r="H455" s="6">
        <f>[1]Results!K311</f>
        <v>8.1141840250000001</v>
      </c>
      <c r="I455" s="6">
        <f>[1]Results!L311</f>
        <v>8.1038069190000002</v>
      </c>
      <c r="J455" s="6">
        <f>[1]Results!M311</f>
        <v>8.0946222510000005</v>
      </c>
      <c r="K455" s="6">
        <f>[1]Results!N311</f>
        <v>8.089238945</v>
      </c>
      <c r="L455" s="6">
        <f>[1]Results!O311</f>
        <v>8.0886251149999993</v>
      </c>
      <c r="M455" s="6">
        <f>[1]Results!P311</f>
        <v>8.0976562679999997</v>
      </c>
      <c r="N455" s="6">
        <f>[1]Results!Q311</f>
        <v>8.1070800439999999</v>
      </c>
      <c r="O455" s="6">
        <f>[1]Results!R311</f>
        <v>8.1178506319999997</v>
      </c>
      <c r="P455" s="6">
        <f>[1]Results!S311</f>
        <v>8.1298017690000002</v>
      </c>
      <c r="Q455" s="6">
        <f>[1]Results!T311</f>
        <v>8.1425570500000006</v>
      </c>
      <c r="R455" s="6">
        <f>[1]Results!U311</f>
        <v>8.1557722760000004</v>
      </c>
      <c r="S455" s="6">
        <f>[1]Results!V311</f>
        <v>8.1690088640000003</v>
      </c>
      <c r="T455" s="6">
        <f>[1]Results!W311</f>
        <v>8.182175247</v>
      </c>
      <c r="U455" s="6">
        <f>[1]Results!X311</f>
        <v>8.1951561089999991</v>
      </c>
      <c r="V455" s="6">
        <f>[1]Results!Y311</f>
        <v>8.207882798</v>
      </c>
      <c r="W455" s="6">
        <f>[1]Results!Z311</f>
        <v>8.216719265</v>
      </c>
      <c r="X455" s="6">
        <f>[1]Results!AA311</f>
        <v>8.2272928140000001</v>
      </c>
      <c r="Y455" s="6">
        <f>[1]Results!AB311</f>
        <v>8.2383532220000006</v>
      </c>
      <c r="Z455" s="6">
        <f>[1]Results!AC311</f>
        <v>8.2494877130000006</v>
      </c>
      <c r="AA455" s="6">
        <f>[1]Results!AD311</f>
        <v>8.2605862779999999</v>
      </c>
      <c r="AB455" s="6">
        <f>[1]Results!AE311</f>
        <v>8.2616458819999998</v>
      </c>
      <c r="AC455" s="6">
        <f>[1]Results!AF311</f>
        <v>8.263735294</v>
      </c>
      <c r="AD455" s="6">
        <f>[1]Results!AG311</f>
        <v>8.2659913550000006</v>
      </c>
      <c r="AE455" s="6">
        <f>[1]Results!AH311</f>
        <v>8.2682354619999998</v>
      </c>
      <c r="AF455" s="6">
        <f>[1]Results!AI311</f>
        <v>8.2704853249999992</v>
      </c>
      <c r="AG455" s="6">
        <f>[1]Results!AJ311</f>
        <v>8.2728435489999992</v>
      </c>
      <c r="AH455" s="6">
        <f>[1]Results!AK311</f>
        <v>8.275506451</v>
      </c>
      <c r="AI455" s="6">
        <f>[1]Results!AL311</f>
        <v>8.2786379419999996</v>
      </c>
      <c r="AJ455" s="6">
        <f>[1]Results!AM311</f>
        <v>8.2824353029999997</v>
      </c>
      <c r="AK455" s="6">
        <f>[1]Results!AN311</f>
        <v>8.2870866830000001</v>
      </c>
      <c r="AL455" s="6">
        <f>[1]Results!AO311</f>
        <v>8.2927462639999998</v>
      </c>
      <c r="AM455" s="6">
        <f>[1]Results!AP311</f>
        <v>8.2976206819999998</v>
      </c>
      <c r="AN455" s="6">
        <f>[1]Results!AQ311</f>
        <v>8.3027415619999996</v>
      </c>
      <c r="AO455" s="6">
        <f>[1]Results!AR311</f>
        <v>8.3084936359999997</v>
      </c>
      <c r="AP455" s="6">
        <f>[1]Results!AS311</f>
        <v>8.3149796469999995</v>
      </c>
      <c r="AQ455" s="6">
        <f>[1]Results!AT311</f>
        <v>8.3221726199999999</v>
      </c>
      <c r="AR455" s="6">
        <f>[1]Results!AU311</f>
        <v>8.3300371640000002</v>
      </c>
      <c r="AS455" s="6">
        <f>[1]Results!AV311</f>
        <v>8.3384123639999999</v>
      </c>
      <c r="AT455" s="6">
        <f>[1]Results!AW311</f>
        <v>8.347150418</v>
      </c>
      <c r="AU455" s="6">
        <f>[1]Results!AX311</f>
        <v>8.3560970460000004</v>
      </c>
      <c r="AV455" s="6">
        <f>[1]Results!AY311</f>
        <v>8.3651210549999995</v>
      </c>
      <c r="AW455" s="6">
        <f>[1]Results!AZ311</f>
        <v>8.3750307310000007</v>
      </c>
      <c r="AX455" s="6">
        <f>[1]Results!BA311</f>
        <v>8.3863440170000008</v>
      </c>
      <c r="AY455" s="6">
        <f>[1]Results!BB311</f>
        <v>8.3996613539999991</v>
      </c>
      <c r="AZ455" s="6">
        <f>[1]Results!BC311</f>
        <v>8.4153453529999993</v>
      </c>
      <c r="BA455" s="6">
        <f>[1]Results!BD311</f>
        <v>8.4334994400000003</v>
      </c>
      <c r="BB455" s="6">
        <f>[1]Results!BE311</f>
        <v>8.4541602059999992</v>
      </c>
      <c r="BC455" s="6">
        <f>[1]Results!BF311</f>
        <v>8.4770681650000004</v>
      </c>
      <c r="BD455" s="6">
        <f>[1]Results!BG311</f>
        <v>8.5019844179999993</v>
      </c>
      <c r="BE455" s="6">
        <f>[1]Results!BH311</f>
        <v>8.5286757550000001</v>
      </c>
      <c r="BF455" s="6">
        <f>[1]Results!BI311</f>
        <v>8.5569296040000005</v>
      </c>
    </row>
    <row r="456" spans="1:58" x14ac:dyDescent="0.35">
      <c r="B456" s="6" t="str">
        <f>[1]Results!E314</f>
        <v>CF_toe_cote_2</v>
      </c>
      <c r="C456" s="6">
        <f>[1]Results!F314</f>
        <v>8.4269101469999992</v>
      </c>
      <c r="D456" s="6">
        <f>[1]Results!G314</f>
        <v>8.4587023699999992</v>
      </c>
      <c r="E456" s="6">
        <f>[1]Results!H314</f>
        <v>8.5384867280000005</v>
      </c>
      <c r="F456" s="6">
        <f>[1]Results!I314</f>
        <v>8.6364972049999995</v>
      </c>
      <c r="G456" s="6">
        <f>[1]Results!J314</f>
        <v>8.7468780150000001</v>
      </c>
      <c r="H456" s="6">
        <f>[1]Results!K314</f>
        <v>8.8671475879999999</v>
      </c>
      <c r="I456" s="6">
        <f>[1]Results!L314</f>
        <v>8.9889720270000009</v>
      </c>
      <c r="J456" s="6">
        <f>[1]Results!M314</f>
        <v>9.1152174719999994</v>
      </c>
      <c r="K456" s="6">
        <f>[1]Results!N314</f>
        <v>9.2453369320000007</v>
      </c>
      <c r="L456" s="6">
        <f>[1]Results!O314</f>
        <v>9.3784235999999996</v>
      </c>
      <c r="M456" s="6">
        <f>[1]Results!P314</f>
        <v>9.52430588</v>
      </c>
      <c r="N456" s="6">
        <f>[1]Results!Q314</f>
        <v>9.6629173189999999</v>
      </c>
      <c r="O456" s="6">
        <f>[1]Results!R314</f>
        <v>9.8009043360000003</v>
      </c>
      <c r="P456" s="6">
        <f>[1]Results!S314</f>
        <v>9.9391210240000003</v>
      </c>
      <c r="Q456" s="6">
        <f>[1]Results!T314</f>
        <v>10.077643070000001</v>
      </c>
      <c r="R456" s="6">
        <f>[1]Results!U314</f>
        <v>10.216517120000001</v>
      </c>
      <c r="S456" s="6">
        <f>[1]Results!V314</f>
        <v>10.35454633</v>
      </c>
      <c r="T456" s="6">
        <f>[1]Results!W314</f>
        <v>10.49299779</v>
      </c>
      <c r="U456" s="6">
        <f>[1]Results!X314</f>
        <v>10.632265650000001</v>
      </c>
      <c r="V456" s="6">
        <f>[1]Results!Y314</f>
        <v>10.772630380000001</v>
      </c>
      <c r="W456" s="6">
        <f>[1]Results!Z314</f>
        <v>10.90661341</v>
      </c>
      <c r="X456" s="6">
        <f>[1]Results!AA314</f>
        <v>11.04771749</v>
      </c>
      <c r="Y456" s="6">
        <f>[1]Results!AB314</f>
        <v>11.19178411</v>
      </c>
      <c r="Z456" s="6">
        <f>[1]Results!AC314</f>
        <v>11.338328560000001</v>
      </c>
      <c r="AA456" s="6">
        <f>[1]Results!AD314</f>
        <v>11.48741216</v>
      </c>
      <c r="AB456" s="6">
        <f>[1]Results!AE314</f>
        <v>11.61705123</v>
      </c>
      <c r="AC456" s="6">
        <f>[1]Results!AF314</f>
        <v>11.755143220000001</v>
      </c>
      <c r="AD456" s="6">
        <f>[1]Results!AG314</f>
        <v>11.896100929999999</v>
      </c>
      <c r="AE456" s="6">
        <f>[1]Results!AH314</f>
        <v>12.03937412</v>
      </c>
      <c r="AF456" s="6">
        <f>[1]Results!AI314</f>
        <v>12.185129699999999</v>
      </c>
      <c r="AG456" s="6">
        <f>[1]Results!AJ314</f>
        <v>12.3335887</v>
      </c>
      <c r="AH456" s="6">
        <f>[1]Results!AK314</f>
        <v>12.48521244</v>
      </c>
      <c r="AI456" s="6">
        <f>[1]Results!AL314</f>
        <v>12.63986519</v>
      </c>
      <c r="AJ456" s="6">
        <f>[1]Results!AM314</f>
        <v>12.79755316</v>
      </c>
      <c r="AK456" s="6">
        <f>[1]Results!AN314</f>
        <v>12.958265730000001</v>
      </c>
      <c r="AL456" s="6">
        <f>[1]Results!AO314</f>
        <v>13.12196425</v>
      </c>
      <c r="AM456" s="6">
        <f>[1]Results!AP314</f>
        <v>13.285914699999999</v>
      </c>
      <c r="AN456" s="6">
        <f>[1]Results!AQ314</f>
        <v>13.45158209</v>
      </c>
      <c r="AO456" s="6">
        <f>[1]Results!AR314</f>
        <v>13.61929054</v>
      </c>
      <c r="AP456" s="6">
        <f>[1]Results!AS314</f>
        <v>13.789153929999999</v>
      </c>
      <c r="AQ456" s="6">
        <f>[1]Results!AT314</f>
        <v>13.96123927</v>
      </c>
      <c r="AR456" s="6">
        <f>[1]Results!AU314</f>
        <v>14.13601059</v>
      </c>
      <c r="AS456" s="6">
        <f>[1]Results!AV314</f>
        <v>14.31317368</v>
      </c>
      <c r="AT456" s="6">
        <f>[1]Results!AW314</f>
        <v>14.4926981</v>
      </c>
      <c r="AU456" s="6">
        <f>[1]Results!AX314</f>
        <v>14.67457995</v>
      </c>
      <c r="AV456" s="6">
        <f>[1]Results!AY314</f>
        <v>14.85881084</v>
      </c>
      <c r="AW456" s="6">
        <f>[1]Results!AZ314</f>
        <v>15.0472544</v>
      </c>
      <c r="AX456" s="6">
        <f>[1]Results!BA314</f>
        <v>15.238452860000001</v>
      </c>
      <c r="AY456" s="6">
        <f>[1]Results!BB314</f>
        <v>15.43214446</v>
      </c>
      <c r="AZ456" s="6">
        <f>[1]Results!BC314</f>
        <v>15.62824739</v>
      </c>
      <c r="BA456" s="6">
        <f>[1]Results!BD314</f>
        <v>15.826716920000001</v>
      </c>
      <c r="BB456" s="6">
        <f>[1]Results!BE314</f>
        <v>16.02840943</v>
      </c>
      <c r="BC456" s="6">
        <f>[1]Results!BF314</f>
        <v>16.232621770000002</v>
      </c>
      <c r="BD456" s="6">
        <f>[1]Results!BG314</f>
        <v>16.439249440000001</v>
      </c>
      <c r="BE456" s="6">
        <f>[1]Results!BH314</f>
        <v>16.64828353</v>
      </c>
      <c r="BF456" s="6">
        <f>[1]Results!BI314</f>
        <v>16.85973916</v>
      </c>
    </row>
    <row r="457" spans="1:58" x14ac:dyDescent="0.35"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</row>
    <row r="458" spans="1:58" x14ac:dyDescent="0.35">
      <c r="A458" s="12" t="s">
        <v>93</v>
      </c>
      <c r="B458" s="6" t="str">
        <f>[1]Results!E317</f>
        <v>CF_toe_0</v>
      </c>
      <c r="C458" s="6">
        <f>[1]Results!F317</f>
        <v>162.32540449999999</v>
      </c>
      <c r="D458" s="6">
        <f>[1]Results!G317</f>
        <v>163.4156279</v>
      </c>
      <c r="E458" s="6">
        <f>[1]Results!H317</f>
        <v>164.40111590000001</v>
      </c>
      <c r="F458" s="6">
        <f>[1]Results!I317</f>
        <v>165.49306659999999</v>
      </c>
      <c r="G458" s="6">
        <f>[1]Results!J317</f>
        <v>166.74500499999999</v>
      </c>
      <c r="H458" s="6">
        <f>[1]Results!K317</f>
        <v>168.18158</v>
      </c>
      <c r="I458" s="6">
        <f>[1]Results!L317</f>
        <v>169.71105249999999</v>
      </c>
      <c r="J458" s="6">
        <f>[1]Results!M317</f>
        <v>171.35065510000001</v>
      </c>
      <c r="K458" s="6">
        <f>[1]Results!N317</f>
        <v>173.08313820000001</v>
      </c>
      <c r="L458" s="6">
        <f>[1]Results!O317</f>
        <v>174.8878789</v>
      </c>
      <c r="M458" s="6">
        <f>[1]Results!P317</f>
        <v>176.88940719999999</v>
      </c>
      <c r="N458" s="6">
        <f>[1]Results!Q317</f>
        <v>178.85549979999999</v>
      </c>
      <c r="O458" s="6">
        <f>[1]Results!R317</f>
        <v>180.83299869999999</v>
      </c>
      <c r="P458" s="6">
        <f>[1]Results!S317</f>
        <v>182.8284855</v>
      </c>
      <c r="Q458" s="6">
        <f>[1]Results!T317</f>
        <v>184.84160499999999</v>
      </c>
      <c r="R458" s="6">
        <f>[1]Results!U317</f>
        <v>186.8714564</v>
      </c>
      <c r="S458" s="6">
        <f>[1]Results!V317</f>
        <v>188.91776100000001</v>
      </c>
      <c r="T458" s="6">
        <f>[1]Results!W317</f>
        <v>190.98094800000001</v>
      </c>
      <c r="U458" s="6">
        <f>[1]Results!X317</f>
        <v>193.06201340000001</v>
      </c>
      <c r="V458" s="6">
        <f>[1]Results!Y317</f>
        <v>195.16235180000001</v>
      </c>
      <c r="W458" s="6">
        <f>[1]Results!Z317</f>
        <v>197.18068360000001</v>
      </c>
      <c r="X458" s="6">
        <f>[1]Results!AA317</f>
        <v>199.27933390000001</v>
      </c>
      <c r="Y458" s="6">
        <f>[1]Results!AB317</f>
        <v>201.4196579</v>
      </c>
      <c r="Z458" s="6">
        <f>[1]Results!AC317</f>
        <v>203.59457219999999</v>
      </c>
      <c r="AA458" s="6">
        <f>[1]Results!AD317</f>
        <v>205.80329040000001</v>
      </c>
      <c r="AB458" s="6">
        <f>[1]Results!AE317</f>
        <v>207.7517144</v>
      </c>
      <c r="AC458" s="6">
        <f>[1]Results!AF317</f>
        <v>209.76024570000001</v>
      </c>
      <c r="AD458" s="6">
        <f>[1]Results!AG317</f>
        <v>211.7900325</v>
      </c>
      <c r="AE458" s="6">
        <f>[1]Results!AH317</f>
        <v>213.83877150000001</v>
      </c>
      <c r="AF458" s="6">
        <f>[1]Results!AI317</f>
        <v>215.9102231</v>
      </c>
      <c r="AG458" s="6">
        <f>[1]Results!AJ317</f>
        <v>218.0087091</v>
      </c>
      <c r="AH458" s="6">
        <f>[1]Results!AK317</f>
        <v>220.1378819</v>
      </c>
      <c r="AI458" s="6">
        <f>[1]Results!AL317</f>
        <v>222.30046129999999</v>
      </c>
      <c r="AJ458" s="6">
        <f>[1]Results!AM317</f>
        <v>224.49828020000001</v>
      </c>
      <c r="AK458" s="6">
        <f>[1]Results!AN317</f>
        <v>226.73243070000001</v>
      </c>
      <c r="AL458" s="6">
        <f>[1]Results!AO317</f>
        <v>229.0034374</v>
      </c>
      <c r="AM458" s="6">
        <f>[1]Results!AP317</f>
        <v>231.24145540000001</v>
      </c>
      <c r="AN458" s="6">
        <f>[1]Results!AQ317</f>
        <v>233.48483479999999</v>
      </c>
      <c r="AO458" s="6">
        <f>[1]Results!AR317</f>
        <v>235.7444802</v>
      </c>
      <c r="AP458" s="6">
        <f>[1]Results!AS317</f>
        <v>238.02541389999999</v>
      </c>
      <c r="AQ458" s="6">
        <f>[1]Results!AT317</f>
        <v>240.33105660000001</v>
      </c>
      <c r="AR458" s="6">
        <f>[1]Results!AU317</f>
        <v>242.66410830000001</v>
      </c>
      <c r="AS458" s="6">
        <f>[1]Results!AV317</f>
        <v>245.02672670000001</v>
      </c>
      <c r="AT458" s="6">
        <f>[1]Results!AW317</f>
        <v>247.42056600000001</v>
      </c>
      <c r="AU458" s="6">
        <f>[1]Results!AX317</f>
        <v>249.84675229999999</v>
      </c>
      <c r="AV458" s="6">
        <f>[1]Results!AY317</f>
        <v>252.30570220000001</v>
      </c>
      <c r="AW458" s="6">
        <f>[1]Results!AZ317</f>
        <v>254.80226049999999</v>
      </c>
      <c r="AX458" s="6">
        <f>[1]Results!BA317</f>
        <v>257.3296623</v>
      </c>
      <c r="AY458" s="6">
        <f>[1]Results!BB317</f>
        <v>259.8836326</v>
      </c>
      <c r="AZ458" s="6">
        <f>[1]Results!BC317</f>
        <v>262.4704668</v>
      </c>
      <c r="BA458" s="6">
        <f>[1]Results!BD317</f>
        <v>265.09553640000001</v>
      </c>
      <c r="BB458" s="6">
        <f>[1]Results!BE317</f>
        <v>267.76041579999998</v>
      </c>
      <c r="BC458" s="6">
        <f>[1]Results!BF317</f>
        <v>270.46463349999999</v>
      </c>
      <c r="BD458" s="6">
        <f>[1]Results!BG317</f>
        <v>273.20721830000002</v>
      </c>
      <c r="BE458" s="6">
        <f>[1]Results!BH317</f>
        <v>275.98742440000001</v>
      </c>
      <c r="BF458" s="6">
        <f>[1]Results!BI317</f>
        <v>278.80493280000002</v>
      </c>
    </row>
    <row r="459" spans="1:58" x14ac:dyDescent="0.35">
      <c r="A459" t="s">
        <v>38</v>
      </c>
      <c r="B459" s="6" t="str">
        <f>[1]Results!E318</f>
        <v>CF_toe_ccoa_0</v>
      </c>
      <c r="C459" s="6">
        <f>[1]Results!F318</f>
        <v>5.4830682990000001</v>
      </c>
      <c r="D459" s="6">
        <f>[1]Results!G318</f>
        <v>5.5492793779999996</v>
      </c>
      <c r="E459" s="6">
        <f>[1]Results!H318</f>
        <v>5.6226819590000003</v>
      </c>
      <c r="F459" s="6">
        <f>[1]Results!I318</f>
        <v>5.7019175280000001</v>
      </c>
      <c r="G459" s="6">
        <f>[1]Results!J318</f>
        <v>5.7861248329999997</v>
      </c>
      <c r="H459" s="6">
        <f>[1]Results!K318</f>
        <v>5.8747395679999999</v>
      </c>
      <c r="I459" s="6">
        <f>[1]Results!L318</f>
        <v>5.9635537019999996</v>
      </c>
      <c r="J459" s="6">
        <f>[1]Results!M318</f>
        <v>6.0544641649999997</v>
      </c>
      <c r="K459" s="6">
        <f>[1]Results!N318</f>
        <v>6.1476467250000004</v>
      </c>
      <c r="L459" s="6">
        <f>[1]Results!O318</f>
        <v>6.2429638360000004</v>
      </c>
      <c r="M459" s="6">
        <f>[1]Results!P318</f>
        <v>6.3467157170000004</v>
      </c>
      <c r="N459" s="6">
        <f>[1]Results!Q318</f>
        <v>6.4481039600000001</v>
      </c>
      <c r="O459" s="6">
        <f>[1]Results!R318</f>
        <v>6.5501806460000003</v>
      </c>
      <c r="P459" s="6">
        <f>[1]Results!S318</f>
        <v>6.6535140000000004</v>
      </c>
      <c r="Q459" s="6">
        <f>[1]Results!T318</f>
        <v>6.7582072530000001</v>
      </c>
      <c r="R459" s="6">
        <f>[1]Results!U318</f>
        <v>6.8642977370000002</v>
      </c>
      <c r="S459" s="6">
        <f>[1]Results!V318</f>
        <v>6.9718316839999996</v>
      </c>
      <c r="T459" s="6">
        <f>[1]Results!W318</f>
        <v>7.0808734839999996</v>
      </c>
      <c r="U459" s="6">
        <f>[1]Results!X318</f>
        <v>7.1915011849999999</v>
      </c>
      <c r="V459" s="6">
        <f>[1]Results!Y318</f>
        <v>7.3037997629999998</v>
      </c>
      <c r="W459" s="6">
        <f>[1]Results!Z318</f>
        <v>7.4130387679999998</v>
      </c>
      <c r="X459" s="6">
        <f>[1]Results!AA318</f>
        <v>7.5272154479999998</v>
      </c>
      <c r="Y459" s="6">
        <f>[1]Results!AB318</f>
        <v>7.6440588519999997</v>
      </c>
      <c r="Z459" s="6">
        <f>[1]Results!AC318</f>
        <v>7.7631628270000004</v>
      </c>
      <c r="AA459" s="6">
        <f>[1]Results!AD318</f>
        <v>7.8844808649999996</v>
      </c>
      <c r="AB459" s="6">
        <f>[1]Results!AE318</f>
        <v>7.9940915869999998</v>
      </c>
      <c r="AC459" s="6">
        <f>[1]Results!AF318</f>
        <v>8.1082709439999991</v>
      </c>
      <c r="AD459" s="6">
        <f>[1]Results!AG318</f>
        <v>8.2244082330000001</v>
      </c>
      <c r="AE459" s="6">
        <f>[1]Results!AH318</f>
        <v>8.3421332610000007</v>
      </c>
      <c r="AF459" s="6">
        <f>[1]Results!AI318</f>
        <v>8.4614956269999997</v>
      </c>
      <c r="AG459" s="6">
        <f>[1]Results!AJ318</f>
        <v>8.5826001230000006</v>
      </c>
      <c r="AH459" s="6">
        <f>[1]Results!AK318</f>
        <v>8.7055333929999996</v>
      </c>
      <c r="AI459" s="6">
        <f>[1]Results!AL318</f>
        <v>8.8303500489999998</v>
      </c>
      <c r="AJ459" s="6">
        <f>[1]Results!AM318</f>
        <v>8.9570736620000009</v>
      </c>
      <c r="AK459" s="6">
        <f>[1]Results!AN318</f>
        <v>9.0857025080000007</v>
      </c>
      <c r="AL459" s="6">
        <f>[1]Results!AO318</f>
        <v>9.2162167099999994</v>
      </c>
      <c r="AM459" s="6">
        <f>[1]Results!AP318</f>
        <v>9.3451920059999996</v>
      </c>
      <c r="AN459" s="6">
        <f>[1]Results!AQ318</f>
        <v>9.474724106</v>
      </c>
      <c r="AO459" s="6">
        <f>[1]Results!AR318</f>
        <v>9.6052880080000005</v>
      </c>
      <c r="AP459" s="6">
        <f>[1]Results!AS318</f>
        <v>9.7370358279999998</v>
      </c>
      <c r="AQ459" s="6">
        <f>[1]Results!AT318</f>
        <v>9.870052458</v>
      </c>
      <c r="AR459" s="6">
        <f>[1]Results!AU318</f>
        <v>10.004404190000001</v>
      </c>
      <c r="AS459" s="6">
        <f>[1]Results!AV318</f>
        <v>10.140146639999999</v>
      </c>
      <c r="AT459" s="6">
        <f>[1]Results!AW318</f>
        <v>10.27732524</v>
      </c>
      <c r="AU459" s="6">
        <f>[1]Results!AX318</f>
        <v>10.41597535</v>
      </c>
      <c r="AV459" s="6">
        <f>[1]Results!AY318</f>
        <v>10.556122820000001</v>
      </c>
      <c r="AW459" s="6">
        <f>[1]Results!AZ318</f>
        <v>10.69809186</v>
      </c>
      <c r="AX459" s="6">
        <f>[1]Results!BA318</f>
        <v>10.84172141</v>
      </c>
      <c r="AY459" s="6">
        <f>[1]Results!BB318</f>
        <v>10.98698583</v>
      </c>
      <c r="AZ459" s="6">
        <f>[1]Results!BC318</f>
        <v>11.133882270000001</v>
      </c>
      <c r="BA459" s="6">
        <f>[1]Results!BD318</f>
        <v>11.28241703</v>
      </c>
      <c r="BB459" s="6">
        <f>[1]Results!BE318</f>
        <v>11.432605069999999</v>
      </c>
      <c r="BC459" s="6">
        <f>[1]Results!BF318</f>
        <v>11.584469009999999</v>
      </c>
      <c r="BD459" s="6">
        <f>[1]Results!BG318</f>
        <v>11.738038</v>
      </c>
      <c r="BE459" s="6">
        <f>[1]Results!BH318</f>
        <v>11.893347009999999</v>
      </c>
      <c r="BF459" s="6">
        <f>[1]Results!BI318</f>
        <v>12.05043622</v>
      </c>
    </row>
    <row r="460" spans="1:58" x14ac:dyDescent="0.35">
      <c r="B460" s="6" t="s">
        <v>74</v>
      </c>
      <c r="C460" s="6">
        <f>C461+C462+C463</f>
        <v>62.3153900549</v>
      </c>
      <c r="D460" s="6">
        <f t="shared" ref="D460:AI460" si="274">D461+D462+D463</f>
        <v>62.583346583300006</v>
      </c>
      <c r="E460" s="6">
        <f t="shared" si="274"/>
        <v>62.795814122499998</v>
      </c>
      <c r="F460" s="6">
        <f t="shared" si="274"/>
        <v>63.082021269000002</v>
      </c>
      <c r="G460" s="6">
        <f t="shared" si="274"/>
        <v>63.470170160400002</v>
      </c>
      <c r="H460" s="6">
        <f t="shared" si="274"/>
        <v>63.960663695699999</v>
      </c>
      <c r="I460" s="6">
        <f t="shared" si="274"/>
        <v>64.514941190400009</v>
      </c>
      <c r="J460" s="6">
        <f t="shared" si="274"/>
        <v>65.126747531299998</v>
      </c>
      <c r="K460" s="6">
        <f t="shared" si="274"/>
        <v>65.783745727400003</v>
      </c>
      <c r="L460" s="6">
        <f t="shared" si="274"/>
        <v>66.475115368899992</v>
      </c>
      <c r="M460" s="6">
        <f t="shared" si="274"/>
        <v>67.234859976099997</v>
      </c>
      <c r="N460" s="6">
        <f t="shared" si="274"/>
        <v>67.994732541199994</v>
      </c>
      <c r="O460" s="6">
        <f t="shared" si="274"/>
        <v>68.764468214600001</v>
      </c>
      <c r="P460" s="6">
        <f t="shared" si="274"/>
        <v>69.543923951699995</v>
      </c>
      <c r="Q460" s="6">
        <f t="shared" si="274"/>
        <v>70.331634634699995</v>
      </c>
      <c r="R460" s="6">
        <f t="shared" si="274"/>
        <v>71.126409337200002</v>
      </c>
      <c r="S460" s="6">
        <f t="shared" si="274"/>
        <v>71.927518913400007</v>
      </c>
      <c r="T460" s="6">
        <f t="shared" si="274"/>
        <v>72.734618130699999</v>
      </c>
      <c r="U460" s="6">
        <f t="shared" si="274"/>
        <v>73.547639617200005</v>
      </c>
      <c r="V460" s="6">
        <f t="shared" si="274"/>
        <v>74.366706752200002</v>
      </c>
      <c r="W460" s="6">
        <f t="shared" si="274"/>
        <v>75.161052566999999</v>
      </c>
      <c r="X460" s="6">
        <f t="shared" si="274"/>
        <v>75.977021500700005</v>
      </c>
      <c r="Y460" s="6">
        <f t="shared" si="274"/>
        <v>76.804758825899995</v>
      </c>
      <c r="Z460" s="6">
        <f t="shared" si="274"/>
        <v>77.6426085911</v>
      </c>
      <c r="AA460" s="6">
        <f t="shared" si="274"/>
        <v>78.490494885199993</v>
      </c>
      <c r="AB460" s="6">
        <f t="shared" si="274"/>
        <v>79.259413448899991</v>
      </c>
      <c r="AC460" s="6">
        <f t="shared" si="274"/>
        <v>80.039553550899996</v>
      </c>
      <c r="AD460" s="6">
        <f t="shared" si="274"/>
        <v>80.821508188500005</v>
      </c>
      <c r="AE460" s="6">
        <f t="shared" si="274"/>
        <v>81.605653575399998</v>
      </c>
      <c r="AF460" s="6">
        <f t="shared" si="274"/>
        <v>82.394030827899996</v>
      </c>
      <c r="AG460" s="6">
        <f t="shared" si="274"/>
        <v>83.188680913000013</v>
      </c>
      <c r="AH460" s="6">
        <f t="shared" si="274"/>
        <v>83.991292788400003</v>
      </c>
      <c r="AI460" s="6">
        <f t="shared" si="274"/>
        <v>84.803141469099998</v>
      </c>
      <c r="AJ460" s="6">
        <f>AJ461+AJ462+AJ463</f>
        <v>85.625129209500003</v>
      </c>
      <c r="AK460" s="6">
        <f t="shared" ref="AK460" si="275">AK461+AK462+AK463</f>
        <v>86.457857207299995</v>
      </c>
      <c r="AL460" s="6">
        <f t="shared" ref="AL460:BC460" si="276">AL461+AL462+AL463</f>
        <v>87.301701204899985</v>
      </c>
      <c r="AM460" s="6">
        <f t="shared" si="276"/>
        <v>88.1355274979</v>
      </c>
      <c r="AN460" s="6">
        <f t="shared" si="276"/>
        <v>88.969642645000008</v>
      </c>
      <c r="AO460" s="6">
        <f t="shared" si="276"/>
        <v>89.807267554500001</v>
      </c>
      <c r="AP460" s="6">
        <f t="shared" si="276"/>
        <v>90.6501837064</v>
      </c>
      <c r="AQ460" s="6">
        <f t="shared" si="276"/>
        <v>91.499812885099999</v>
      </c>
      <c r="AR460" s="6">
        <f t="shared" si="276"/>
        <v>92.35737767980001</v>
      </c>
      <c r="AS460" s="6">
        <f t="shared" si="276"/>
        <v>93.223898336699989</v>
      </c>
      <c r="AT460" s="6">
        <f t="shared" si="276"/>
        <v>94.100176983899999</v>
      </c>
      <c r="AU460" s="6">
        <f t="shared" si="276"/>
        <v>94.986785733800005</v>
      </c>
      <c r="AV460" s="6">
        <f t="shared" si="276"/>
        <v>95.884016619699992</v>
      </c>
      <c r="AW460" s="6">
        <f t="shared" si="276"/>
        <v>96.793479604000012</v>
      </c>
      <c r="AX460" s="6">
        <f t="shared" si="276"/>
        <v>97.71449563169999</v>
      </c>
      <c r="AY460" s="6">
        <f t="shared" si="276"/>
        <v>98.646587174999993</v>
      </c>
      <c r="AZ460" s="6">
        <f t="shared" si="276"/>
        <v>99.590707752000014</v>
      </c>
      <c r="BA460" s="6">
        <f t="shared" si="276"/>
        <v>100.5475946209</v>
      </c>
      <c r="BB460" s="6">
        <f t="shared" si="276"/>
        <v>101.51740014200001</v>
      </c>
      <c r="BC460" s="6">
        <f t="shared" si="276"/>
        <v>102.49998808619999</v>
      </c>
      <c r="BD460" s="6">
        <f t="shared" ref="BD460:BF460" si="277">BD461+BD462+BD463</f>
        <v>103.4951748037</v>
      </c>
      <c r="BE460" s="6">
        <f t="shared" si="277"/>
        <v>104.50283618749998</v>
      </c>
      <c r="BF460" s="6">
        <f t="shared" si="277"/>
        <v>105.52293241779999</v>
      </c>
    </row>
    <row r="461" spans="1:58" x14ac:dyDescent="0.35">
      <c r="B461" s="6" t="str">
        <f>[1]Results!E321</f>
        <v>CF_toe_ccoi_0</v>
      </c>
      <c r="C461" s="6">
        <f>[1]Results!F321</f>
        <v>8.4917494900000001E-2</v>
      </c>
      <c r="D461" s="6">
        <f>[1]Results!G321</f>
        <v>8.5904173299999997E-2</v>
      </c>
      <c r="E461" s="6">
        <f>[1]Results!H321</f>
        <v>8.6975202500000001E-2</v>
      </c>
      <c r="F461" s="6">
        <f>[1]Results!I321</f>
        <v>8.8142268999999995E-2</v>
      </c>
      <c r="G461" s="6">
        <f>[1]Results!J321</f>
        <v>8.9414280400000004E-2</v>
      </c>
      <c r="H461" s="6">
        <f>[1]Results!K321</f>
        <v>9.0790635699999997E-2</v>
      </c>
      <c r="I461" s="6">
        <f>[1]Results!L321</f>
        <v>9.2207440399999993E-2</v>
      </c>
      <c r="J461" s="6">
        <f>[1]Results!M321</f>
        <v>9.3684891300000003E-2</v>
      </c>
      <c r="K461" s="6">
        <f>[1]Results!N321</f>
        <v>9.5219327399999998E-2</v>
      </c>
      <c r="L461" s="6">
        <f>[1]Results!O321</f>
        <v>9.68034589E-2</v>
      </c>
      <c r="M461" s="6">
        <f>[1]Results!P321</f>
        <v>9.8529666099999996E-2</v>
      </c>
      <c r="N461" s="6">
        <f>[1]Results!Q321</f>
        <v>0.10023785120000001</v>
      </c>
      <c r="O461" s="6">
        <f>[1]Results!R321</f>
        <v>0.1019637946</v>
      </c>
      <c r="P461" s="6">
        <f>[1]Results!S321</f>
        <v>0.10371059169999999</v>
      </c>
      <c r="Q461" s="6">
        <f>[1]Results!T321</f>
        <v>0.10547654469999999</v>
      </c>
      <c r="R461" s="6">
        <f>[1]Results!U321</f>
        <v>0.1072599472</v>
      </c>
      <c r="S461" s="6">
        <f>[1]Results!V321</f>
        <v>0.1090597834</v>
      </c>
      <c r="T461" s="6">
        <f>[1]Results!W321</f>
        <v>0.1108757007</v>
      </c>
      <c r="U461" s="6">
        <f>[1]Results!X321</f>
        <v>0.1127078772</v>
      </c>
      <c r="V461" s="6">
        <f>[1]Results!Y321</f>
        <v>0.1145568922</v>
      </c>
      <c r="W461" s="6">
        <f>[1]Results!Z321</f>
        <v>0.116348937</v>
      </c>
      <c r="X461" s="6">
        <f>[1]Results!AA321</f>
        <v>0.1182004707</v>
      </c>
      <c r="Y461" s="6">
        <f>[1]Results!AB321</f>
        <v>0.1200823359</v>
      </c>
      <c r="Z461" s="6">
        <f>[1]Results!AC321</f>
        <v>0.1219905511</v>
      </c>
      <c r="AA461" s="6">
        <f>[1]Results!AD321</f>
        <v>0.12392534519999999</v>
      </c>
      <c r="AB461" s="6">
        <f>[1]Results!AE321</f>
        <v>0.12567097890000001</v>
      </c>
      <c r="AC461" s="6">
        <f>[1]Results!AF321</f>
        <v>0.1274595409</v>
      </c>
      <c r="AD461" s="6">
        <f>[1]Results!AG321</f>
        <v>0.12925843849999999</v>
      </c>
      <c r="AE461" s="6">
        <f>[1]Results!AH321</f>
        <v>0.1310666754</v>
      </c>
      <c r="AF461" s="6">
        <f>[1]Results!AI321</f>
        <v>0.1328882679</v>
      </c>
      <c r="AG461" s="6">
        <f>[1]Results!AJ321</f>
        <v>0.13472742300000001</v>
      </c>
      <c r="AH461" s="6">
        <f>[1]Results!AK321</f>
        <v>0.13658764840000001</v>
      </c>
      <c r="AI461" s="6">
        <f>[1]Results!AL321</f>
        <v>0.13847164910000001</v>
      </c>
      <c r="AJ461" s="6">
        <f>[1]Results!AM321</f>
        <v>0.1403813995</v>
      </c>
      <c r="AK461" s="6">
        <f>[1]Results!AN321</f>
        <v>0.1423182573</v>
      </c>
      <c r="AL461" s="6">
        <f>[1]Results!AO321</f>
        <v>0.1442830849</v>
      </c>
      <c r="AM461" s="6">
        <f>[1]Results!AP321</f>
        <v>0.1462237579</v>
      </c>
      <c r="AN461" s="6">
        <f>[1]Results!AQ321</f>
        <v>0.14816847499999999</v>
      </c>
      <c r="AO461" s="6">
        <f>[1]Results!AR321</f>
        <v>0.15012431449999999</v>
      </c>
      <c r="AP461" s="6">
        <f>[1]Results!AS321</f>
        <v>0.1520946564</v>
      </c>
      <c r="AQ461" s="6">
        <f>[1]Results!AT321</f>
        <v>0.1540821151</v>
      </c>
      <c r="AR461" s="6">
        <f>[1]Results!AU321</f>
        <v>0.15608895980000001</v>
      </c>
      <c r="AS461" s="6">
        <f>[1]Results!AV321</f>
        <v>0.15811713669999999</v>
      </c>
      <c r="AT461" s="6">
        <f>[1]Results!AW321</f>
        <v>0.1601682639</v>
      </c>
      <c r="AU461" s="6">
        <f>[1]Results!AX321</f>
        <v>0.1622436538</v>
      </c>
      <c r="AV461" s="6">
        <f>[1]Results!AY321</f>
        <v>0.1643443597</v>
      </c>
      <c r="AW461" s="6">
        <f>[1]Results!AZ321</f>
        <v>0.166476024</v>
      </c>
      <c r="AX461" s="6">
        <f>[1]Results!BA321</f>
        <v>0.1686368617</v>
      </c>
      <c r="AY461" s="6">
        <f>[1]Results!BB321</f>
        <v>0.17082688500000001</v>
      </c>
      <c r="AZ461" s="6">
        <f>[1]Results!BC321</f>
        <v>0.17304623199999999</v>
      </c>
      <c r="BA461" s="6">
        <f>[1]Results!BD321</f>
        <v>0.17529506089999999</v>
      </c>
      <c r="BB461" s="6">
        <f>[1]Results!BE321</f>
        <v>0.17757361199999999</v>
      </c>
      <c r="BC461" s="6">
        <f>[1]Results!BF321</f>
        <v>0.17988222619999999</v>
      </c>
      <c r="BD461" s="6">
        <f>[1]Results!BG321</f>
        <v>0.18222134370000001</v>
      </c>
      <c r="BE461" s="6">
        <f>[1]Results!BH321</f>
        <v>0.18459149750000001</v>
      </c>
      <c r="BF461" s="6">
        <f>[1]Results!BI321</f>
        <v>0.18699330780000001</v>
      </c>
    </row>
    <row r="462" spans="1:58" x14ac:dyDescent="0.35">
      <c r="B462" s="6" t="str">
        <f>[1]Results!E324</f>
        <v>CF_toe_cfut_0</v>
      </c>
      <c r="C462" s="6">
        <f>[1]Results!F324</f>
        <v>47.396219520000002</v>
      </c>
      <c r="D462" s="6">
        <f>[1]Results!G324</f>
        <v>47.572488120000003</v>
      </c>
      <c r="E462" s="6">
        <f>[1]Results!H324</f>
        <v>47.715054289999998</v>
      </c>
      <c r="F462" s="6">
        <f>[1]Results!I324</f>
        <v>47.933097979999999</v>
      </c>
      <c r="G462" s="6">
        <f>[1]Results!J324</f>
        <v>48.248534460000002</v>
      </c>
      <c r="H462" s="6">
        <f>[1]Results!K324</f>
        <v>48.652318819999998</v>
      </c>
      <c r="I462" s="6">
        <f>[1]Results!L324</f>
        <v>49.11052978</v>
      </c>
      <c r="J462" s="6">
        <f>[1]Results!M324</f>
        <v>49.614983989999999</v>
      </c>
      <c r="K462" s="6">
        <f>[1]Results!N324</f>
        <v>50.155093440000002</v>
      </c>
      <c r="L462" s="6">
        <f>[1]Results!O324</f>
        <v>50.722348709999999</v>
      </c>
      <c r="M462" s="6">
        <f>[1]Results!P324</f>
        <v>51.340709920000002</v>
      </c>
      <c r="N462" s="6">
        <f>[1]Results!Q324</f>
        <v>51.961652739999998</v>
      </c>
      <c r="O462" s="6">
        <f>[1]Results!R324</f>
        <v>52.591532950000001</v>
      </c>
      <c r="P462" s="6">
        <f>[1]Results!S324</f>
        <v>53.229606789999998</v>
      </c>
      <c r="Q462" s="6">
        <f>[1]Results!T324</f>
        <v>53.87438066</v>
      </c>
      <c r="R462" s="6">
        <f>[1]Results!U324</f>
        <v>54.524709280000003</v>
      </c>
      <c r="S462" s="6">
        <f>[1]Results!V324</f>
        <v>55.179880920000002</v>
      </c>
      <c r="T462" s="6">
        <f>[1]Results!W324</f>
        <v>55.839527969999999</v>
      </c>
      <c r="U462" s="6">
        <f>[1]Results!X324</f>
        <v>56.50352857</v>
      </c>
      <c r="V462" s="6">
        <f>[1]Results!Y324</f>
        <v>57.171929089999999</v>
      </c>
      <c r="W462" s="6">
        <f>[1]Results!Z324</f>
        <v>57.822471800000002</v>
      </c>
      <c r="X462" s="6">
        <f>[1]Results!AA324</f>
        <v>58.488130839999997</v>
      </c>
      <c r="Y462" s="6">
        <f>[1]Results!AB324</f>
        <v>59.162029029999999</v>
      </c>
      <c r="Z462" s="6">
        <f>[1]Results!AC324</f>
        <v>59.843234639999999</v>
      </c>
      <c r="AA462" s="6">
        <f>[1]Results!AD324</f>
        <v>60.531841649999997</v>
      </c>
      <c r="AB462" s="6">
        <f>[1]Results!AE324</f>
        <v>61.163390649999997</v>
      </c>
      <c r="AC462" s="6">
        <f>[1]Results!AF324</f>
        <v>61.8018632</v>
      </c>
      <c r="AD462" s="6">
        <f>[1]Results!AG324</f>
        <v>62.440449469999997</v>
      </c>
      <c r="AE462" s="6">
        <f>[1]Results!AH324</f>
        <v>63.079769519999999</v>
      </c>
      <c r="AF462" s="6">
        <f>[1]Results!AI324</f>
        <v>63.721679999999999</v>
      </c>
      <c r="AG462" s="6">
        <f>[1]Results!AJ324</f>
        <v>64.367969040000006</v>
      </c>
      <c r="AH462" s="6">
        <f>[1]Results!AK324</f>
        <v>65.020083510000006</v>
      </c>
      <c r="AI462" s="6">
        <f>[1]Results!AL324</f>
        <v>65.679104260000003</v>
      </c>
      <c r="AJ462" s="6">
        <f>[1]Results!AM324</f>
        <v>66.345791840000004</v>
      </c>
      <c r="AK462" s="6">
        <f>[1]Results!AN324</f>
        <v>67.020651849999993</v>
      </c>
      <c r="AL462" s="6">
        <f>[1]Results!AO324</f>
        <v>67.704000809999997</v>
      </c>
      <c r="AM462" s="6">
        <f>[1]Results!AP324</f>
        <v>68.380444940000004</v>
      </c>
      <c r="AN462" s="6">
        <f>[1]Results!AQ324</f>
        <v>69.057209240000006</v>
      </c>
      <c r="AO462" s="6">
        <f>[1]Results!AR324</f>
        <v>69.73649245</v>
      </c>
      <c r="AP462" s="6">
        <f>[1]Results!AS324</f>
        <v>70.419591650000001</v>
      </c>
      <c r="AQ462" s="6">
        <f>[1]Results!AT324</f>
        <v>71.107616800000002</v>
      </c>
      <c r="AR462" s="6">
        <f>[1]Results!AU324</f>
        <v>71.801559740000002</v>
      </c>
      <c r="AS462" s="6">
        <f>[1]Results!AV324</f>
        <v>72.502267509999996</v>
      </c>
      <c r="AT462" s="6">
        <f>[1]Results!AW324</f>
        <v>73.210424029999999</v>
      </c>
      <c r="AU462" s="6">
        <f>[1]Results!AX324</f>
        <v>73.926553339999998</v>
      </c>
      <c r="AV462" s="6">
        <f>[1]Results!AY324</f>
        <v>74.651039170000004</v>
      </c>
      <c r="AW462" s="6">
        <f>[1]Results!AZ324</f>
        <v>75.385560960000007</v>
      </c>
      <c r="AX462" s="6">
        <f>[1]Results!BA324</f>
        <v>76.129668150000001</v>
      </c>
      <c r="AY462" s="6">
        <f>[1]Results!BB324</f>
        <v>76.883308349999993</v>
      </c>
      <c r="AZ462" s="6">
        <f>[1]Results!BC324</f>
        <v>77.646438540000005</v>
      </c>
      <c r="BA462" s="6">
        <f>[1]Results!BD324</f>
        <v>78.419003610000004</v>
      </c>
      <c r="BB462" s="6">
        <f>[1]Results!BE324</f>
        <v>79.200960050000006</v>
      </c>
      <c r="BC462" s="6">
        <f>[1]Results!BF324</f>
        <v>79.992287129999994</v>
      </c>
      <c r="BD462" s="6">
        <f>[1]Results!BG324</f>
        <v>80.792989120000001</v>
      </c>
      <c r="BE462" s="6">
        <f>[1]Results!BH324</f>
        <v>81.603093599999994</v>
      </c>
      <c r="BF462" s="6">
        <f>[1]Results!BI324</f>
        <v>82.42264788</v>
      </c>
    </row>
    <row r="463" spans="1:58" x14ac:dyDescent="0.35">
      <c r="B463" s="6" t="str">
        <f>[1]Results!E327</f>
        <v>CF_toe_cfuh_0</v>
      </c>
      <c r="C463" s="6">
        <f>[1]Results!F327</f>
        <v>14.83425304</v>
      </c>
      <c r="D463" s="6">
        <f>[1]Results!G327</f>
        <v>14.924954290000001</v>
      </c>
      <c r="E463" s="6">
        <f>[1]Results!H327</f>
        <v>14.99378463</v>
      </c>
      <c r="F463" s="6">
        <f>[1]Results!I327</f>
        <v>15.06078102</v>
      </c>
      <c r="G463" s="6">
        <f>[1]Results!J327</f>
        <v>15.13222142</v>
      </c>
      <c r="H463" s="6">
        <f>[1]Results!K327</f>
        <v>15.21755424</v>
      </c>
      <c r="I463" s="6">
        <f>[1]Results!L327</f>
        <v>15.312203970000001</v>
      </c>
      <c r="J463" s="6">
        <f>[1]Results!M327</f>
        <v>15.41807865</v>
      </c>
      <c r="K463" s="6">
        <f>[1]Results!N327</f>
        <v>15.533432960000001</v>
      </c>
      <c r="L463" s="6">
        <f>[1]Results!O327</f>
        <v>15.6559632</v>
      </c>
      <c r="M463" s="6">
        <f>[1]Results!P327</f>
        <v>15.79562039</v>
      </c>
      <c r="N463" s="6">
        <f>[1]Results!Q327</f>
        <v>15.93284195</v>
      </c>
      <c r="O463" s="6">
        <f>[1]Results!R327</f>
        <v>16.07097147</v>
      </c>
      <c r="P463" s="6">
        <f>[1]Results!S327</f>
        <v>16.210606569999999</v>
      </c>
      <c r="Q463" s="6">
        <f>[1]Results!T327</f>
        <v>16.351777429999999</v>
      </c>
      <c r="R463" s="6">
        <f>[1]Results!U327</f>
        <v>16.494440109999999</v>
      </c>
      <c r="S463" s="6">
        <f>[1]Results!V327</f>
        <v>16.638578209999999</v>
      </c>
      <c r="T463" s="6">
        <f>[1]Results!W327</f>
        <v>16.784214460000001</v>
      </c>
      <c r="U463" s="6">
        <f>[1]Results!X327</f>
        <v>16.931403169999999</v>
      </c>
      <c r="V463" s="6">
        <f>[1]Results!Y327</f>
        <v>17.08022077</v>
      </c>
      <c r="W463" s="6">
        <f>[1]Results!Z327</f>
        <v>17.222231829999998</v>
      </c>
      <c r="X463" s="6">
        <f>[1]Results!AA327</f>
        <v>17.370690190000001</v>
      </c>
      <c r="Y463" s="6">
        <f>[1]Results!AB327</f>
        <v>17.522647460000002</v>
      </c>
      <c r="Z463" s="6">
        <f>[1]Results!AC327</f>
        <v>17.6773834</v>
      </c>
      <c r="AA463" s="6">
        <f>[1]Results!AD327</f>
        <v>17.83472789</v>
      </c>
      <c r="AB463" s="6">
        <f>[1]Results!AE327</f>
        <v>17.970351820000001</v>
      </c>
      <c r="AC463" s="6">
        <f>[1]Results!AF327</f>
        <v>18.110230810000001</v>
      </c>
      <c r="AD463" s="6">
        <f>[1]Results!AG327</f>
        <v>18.251800280000001</v>
      </c>
      <c r="AE463" s="6">
        <f>[1]Results!AH327</f>
        <v>18.394817379999999</v>
      </c>
      <c r="AF463" s="6">
        <f>[1]Results!AI327</f>
        <v>18.53946256</v>
      </c>
      <c r="AG463" s="6">
        <f>[1]Results!AJ327</f>
        <v>18.685984449999999</v>
      </c>
      <c r="AH463" s="6">
        <f>[1]Results!AK327</f>
        <v>18.834621630000001</v>
      </c>
      <c r="AI463" s="6">
        <f>[1]Results!AL327</f>
        <v>18.985565560000001</v>
      </c>
      <c r="AJ463" s="6">
        <f>[1]Results!AM327</f>
        <v>19.138955970000001</v>
      </c>
      <c r="AK463" s="6">
        <f>[1]Results!AN327</f>
        <v>19.2948871</v>
      </c>
      <c r="AL463" s="6">
        <f>[1]Results!AO327</f>
        <v>19.453417309999999</v>
      </c>
      <c r="AM463" s="6">
        <f>[1]Results!AP327</f>
        <v>19.6088588</v>
      </c>
      <c r="AN463" s="6">
        <f>[1]Results!AQ327</f>
        <v>19.76426493</v>
      </c>
      <c r="AO463" s="6">
        <f>[1]Results!AR327</f>
        <v>19.92065079</v>
      </c>
      <c r="AP463" s="6">
        <f>[1]Results!AS327</f>
        <v>20.0784974</v>
      </c>
      <c r="AQ463" s="6">
        <f>[1]Results!AT327</f>
        <v>20.238113970000001</v>
      </c>
      <c r="AR463" s="6">
        <f>[1]Results!AU327</f>
        <v>20.399728979999999</v>
      </c>
      <c r="AS463" s="6">
        <f>[1]Results!AV327</f>
        <v>20.563513690000001</v>
      </c>
      <c r="AT463" s="6">
        <f>[1]Results!AW327</f>
        <v>20.729584689999999</v>
      </c>
      <c r="AU463" s="6">
        <f>[1]Results!AX327</f>
        <v>20.897988739999999</v>
      </c>
      <c r="AV463" s="6">
        <f>[1]Results!AY327</f>
        <v>21.068633089999999</v>
      </c>
      <c r="AW463" s="6">
        <f>[1]Results!AZ327</f>
        <v>21.241442620000001</v>
      </c>
      <c r="AX463" s="6">
        <f>[1]Results!BA327</f>
        <v>21.416190619999998</v>
      </c>
      <c r="AY463" s="6">
        <f>[1]Results!BB327</f>
        <v>21.59245194</v>
      </c>
      <c r="AZ463" s="6">
        <f>[1]Results!BC327</f>
        <v>21.771222980000001</v>
      </c>
      <c r="BA463" s="6">
        <f>[1]Results!BD327</f>
        <v>21.953295950000001</v>
      </c>
      <c r="BB463" s="6">
        <f>[1]Results!BE327</f>
        <v>22.138866480000001</v>
      </c>
      <c r="BC463" s="6">
        <f>[1]Results!BF327</f>
        <v>22.327818730000001</v>
      </c>
      <c r="BD463" s="6">
        <f>[1]Results!BG327</f>
        <v>22.519964340000001</v>
      </c>
      <c r="BE463" s="6">
        <f>[1]Results!BH327</f>
        <v>22.715151089999999</v>
      </c>
      <c r="BF463" s="6">
        <f>[1]Results!BI327</f>
        <v>22.913291229999999</v>
      </c>
    </row>
    <row r="464" spans="1:58" x14ac:dyDescent="0.35">
      <c r="B464" s="6" t="str">
        <f>[1]Results!E329</f>
        <v>CF_toe_cgas_0</v>
      </c>
      <c r="C464" s="6">
        <f>[1]Results!F329</f>
        <v>34.455909929999997</v>
      </c>
      <c r="D464" s="6">
        <f>[1]Results!G329</f>
        <v>34.735827729999997</v>
      </c>
      <c r="E464" s="6">
        <f>[1]Results!H329</f>
        <v>34.995736540000003</v>
      </c>
      <c r="F464" s="6">
        <f>[1]Results!I329</f>
        <v>35.262800059999996</v>
      </c>
      <c r="G464" s="6">
        <f>[1]Results!J329</f>
        <v>35.54540737</v>
      </c>
      <c r="H464" s="6">
        <f>[1]Results!K329</f>
        <v>35.859706240000001</v>
      </c>
      <c r="I464" s="6">
        <f>[1]Results!L329</f>
        <v>36.189815840000001</v>
      </c>
      <c r="J464" s="6">
        <f>[1]Results!M329</f>
        <v>36.543720530000002</v>
      </c>
      <c r="K464" s="6">
        <f>[1]Results!N329</f>
        <v>36.918847040000003</v>
      </c>
      <c r="L464" s="6">
        <f>[1]Results!O329</f>
        <v>37.31092039</v>
      </c>
      <c r="M464" s="6">
        <f>[1]Results!P329</f>
        <v>37.750746650000004</v>
      </c>
      <c r="N464" s="6">
        <f>[1]Results!Q329</f>
        <v>38.181040979999999</v>
      </c>
      <c r="O464" s="6">
        <f>[1]Results!R329</f>
        <v>38.61398234</v>
      </c>
      <c r="P464" s="6">
        <f>[1]Results!S329</f>
        <v>39.051442809999998</v>
      </c>
      <c r="Q464" s="6">
        <f>[1]Results!T329</f>
        <v>39.493438840000003</v>
      </c>
      <c r="R464" s="6">
        <f>[1]Results!U329</f>
        <v>39.939729460000002</v>
      </c>
      <c r="S464" s="6">
        <f>[1]Results!V329</f>
        <v>40.390138090000001</v>
      </c>
      <c r="T464" s="6">
        <f>[1]Results!W329</f>
        <v>40.844607400000001</v>
      </c>
      <c r="U464" s="6">
        <f>[1]Results!X329</f>
        <v>41.303192789999997</v>
      </c>
      <c r="V464" s="6">
        <f>[1]Results!Y329</f>
        <v>41.766041950000002</v>
      </c>
      <c r="W464" s="6">
        <f>[1]Results!Z329</f>
        <v>42.20831707</v>
      </c>
      <c r="X464" s="6">
        <f>[1]Results!AA329</f>
        <v>42.66986034</v>
      </c>
      <c r="Y464" s="6">
        <f>[1]Results!AB329</f>
        <v>43.140639149999998</v>
      </c>
      <c r="Z464" s="6">
        <f>[1]Results!AC329</f>
        <v>43.618656739999999</v>
      </c>
      <c r="AA464" s="6">
        <f>[1]Results!AD329</f>
        <v>44.103556339999997</v>
      </c>
      <c r="AB464" s="6">
        <f>[1]Results!AE329</f>
        <v>44.5238005</v>
      </c>
      <c r="AC464" s="6">
        <f>[1]Results!AF329</f>
        <v>44.958608820000002</v>
      </c>
      <c r="AD464" s="6">
        <f>[1]Results!AG329</f>
        <v>45.397820119999999</v>
      </c>
      <c r="AE464" s="6">
        <f>[1]Results!AH329</f>
        <v>45.840496799999997</v>
      </c>
      <c r="AF464" s="6">
        <f>[1]Results!AI329</f>
        <v>46.287105910000001</v>
      </c>
      <c r="AG464" s="6">
        <f>[1]Results!AJ329</f>
        <v>46.738403920000003</v>
      </c>
      <c r="AH464" s="6">
        <f>[1]Results!AK329</f>
        <v>47.195129999999999</v>
      </c>
      <c r="AI464" s="6">
        <f>[1]Results!AL329</f>
        <v>47.65790724</v>
      </c>
      <c r="AJ464" s="6">
        <f>[1]Results!AM329</f>
        <v>48.127221910000003</v>
      </c>
      <c r="AK464" s="6">
        <f>[1]Results!AN329</f>
        <v>48.603430539999998</v>
      </c>
      <c r="AL464" s="6">
        <f>[1]Results!AO329</f>
        <v>49.086777939999997</v>
      </c>
      <c r="AM464" s="6">
        <f>[1]Results!AP329</f>
        <v>49.560524800000003</v>
      </c>
      <c r="AN464" s="6">
        <f>[1]Results!AQ329</f>
        <v>50.034354639999997</v>
      </c>
      <c r="AO464" s="6">
        <f>[1]Results!AR329</f>
        <v>50.510984720000003</v>
      </c>
      <c r="AP464" s="6">
        <f>[1]Results!AS329</f>
        <v>50.991610729999998</v>
      </c>
      <c r="AQ464" s="6">
        <f>[1]Results!AT329</f>
        <v>51.476987549999997</v>
      </c>
      <c r="AR464" s="6">
        <f>[1]Results!AU329</f>
        <v>51.967675669999998</v>
      </c>
      <c r="AS464" s="6">
        <f>[1]Results!AV329</f>
        <v>52.464104069999998</v>
      </c>
      <c r="AT464" s="6">
        <f>[1]Results!AW329</f>
        <v>52.966582770000002</v>
      </c>
      <c r="AU464" s="6">
        <f>[1]Results!AX329</f>
        <v>53.475287020000003</v>
      </c>
      <c r="AV464" s="6">
        <f>[1]Results!AY329</f>
        <v>53.990182799999999</v>
      </c>
      <c r="AW464" s="6">
        <f>[1]Results!AZ329</f>
        <v>54.512204799999999</v>
      </c>
      <c r="AX464" s="6">
        <f>[1]Results!BA329</f>
        <v>55.039883420000002</v>
      </c>
      <c r="AY464" s="6">
        <f>[1]Results!BB329</f>
        <v>55.57055124</v>
      </c>
      <c r="AZ464" s="6">
        <f>[1]Results!BC329</f>
        <v>56.107931260000001</v>
      </c>
      <c r="BA464" s="6">
        <f>[1]Results!BD329</f>
        <v>56.65502729</v>
      </c>
      <c r="BB464" s="6">
        <f>[1]Results!BE329</f>
        <v>57.212583930000001</v>
      </c>
      <c r="BC464" s="6">
        <f>[1]Results!BF329</f>
        <v>57.78021777</v>
      </c>
      <c r="BD464" s="6">
        <f>[1]Results!BG329</f>
        <v>58.357289119999997</v>
      </c>
      <c r="BE464" s="6">
        <f>[1]Results!BH329</f>
        <v>58.943272460000003</v>
      </c>
      <c r="BF464" s="6">
        <f>[1]Results!BI329</f>
        <v>59.537846909999999</v>
      </c>
    </row>
    <row r="465" spans="1:58" x14ac:dyDescent="0.35">
      <c r="B465" s="6" t="str">
        <f>[1]Results!E335</f>
        <v>CF_toe_cele_0</v>
      </c>
      <c r="C465" s="6">
        <f>[1]Results!F335</f>
        <v>37.992390440000001</v>
      </c>
      <c r="D465" s="6">
        <f>[1]Results!G335</f>
        <v>38.276743850000003</v>
      </c>
      <c r="E465" s="6">
        <f>[1]Results!H335</f>
        <v>38.530684659999999</v>
      </c>
      <c r="F465" s="6">
        <f>[1]Results!I335</f>
        <v>38.797107590000003</v>
      </c>
      <c r="G465" s="6">
        <f>[1]Results!J335</f>
        <v>39.089575879999998</v>
      </c>
      <c r="H465" s="6">
        <f>[1]Results!K335</f>
        <v>39.418549560000002</v>
      </c>
      <c r="I465" s="6">
        <f>[1]Results!L335</f>
        <v>39.764851989999997</v>
      </c>
      <c r="J465" s="6">
        <f>[1]Results!M335</f>
        <v>40.133085790000003</v>
      </c>
      <c r="K465" s="6">
        <f>[1]Results!N335</f>
        <v>40.519239079999998</v>
      </c>
      <c r="L465" s="6">
        <f>[1]Results!O335</f>
        <v>40.918433110000002</v>
      </c>
      <c r="M465" s="6">
        <f>[1]Results!P335</f>
        <v>41.360046449999999</v>
      </c>
      <c r="N465" s="6">
        <f>[1]Results!Q335</f>
        <v>41.789856239999999</v>
      </c>
      <c r="O465" s="6">
        <f>[1]Results!R335</f>
        <v>42.218939630000001</v>
      </c>
      <c r="P465" s="6">
        <f>[1]Results!S335</f>
        <v>42.649196609999997</v>
      </c>
      <c r="Q465" s="6">
        <f>[1]Results!T335</f>
        <v>43.080938510000003</v>
      </c>
      <c r="R465" s="6">
        <f>[1]Results!U335</f>
        <v>43.514363189999997</v>
      </c>
      <c r="S465" s="6">
        <f>[1]Results!V335</f>
        <v>43.949823160000001</v>
      </c>
      <c r="T465" s="6">
        <f>[1]Results!W335</f>
        <v>44.387842929999998</v>
      </c>
      <c r="U465" s="6">
        <f>[1]Results!X335</f>
        <v>44.829082409999998</v>
      </c>
      <c r="V465" s="6">
        <f>[1]Results!Y335</f>
        <v>45.274291079999998</v>
      </c>
      <c r="W465" s="6">
        <f>[1]Results!Z335</f>
        <v>45.70000924</v>
      </c>
      <c r="X465" s="6">
        <f>[1]Results!AA335</f>
        <v>46.14484367</v>
      </c>
      <c r="Y465" s="6">
        <f>[1]Results!AB335</f>
        <v>46.600240429999999</v>
      </c>
      <c r="Z465" s="6">
        <f>[1]Results!AC335</f>
        <v>47.064854609999998</v>
      </c>
      <c r="AA465" s="6">
        <f>[1]Results!AD335</f>
        <v>47.538761289999997</v>
      </c>
      <c r="AB465" s="6">
        <f>[1]Results!AE335</f>
        <v>47.952820389999999</v>
      </c>
      <c r="AC465" s="6">
        <f>[1]Results!AF335</f>
        <v>48.38259798</v>
      </c>
      <c r="AD465" s="6">
        <f>[1]Results!AG335</f>
        <v>48.819584149999997</v>
      </c>
      <c r="AE465" s="6">
        <f>[1]Results!AH335</f>
        <v>49.263543400000003</v>
      </c>
      <c r="AF465" s="6">
        <f>[1]Results!AI335</f>
        <v>49.715632079999999</v>
      </c>
      <c r="AG465" s="6">
        <f>[1]Results!AJ335</f>
        <v>50.177029169999997</v>
      </c>
      <c r="AH465" s="6">
        <f>[1]Results!AK335</f>
        <v>50.648656260000003</v>
      </c>
      <c r="AI465" s="6">
        <f>[1]Results!AL335</f>
        <v>51.131139730000001</v>
      </c>
      <c r="AJ465" s="6">
        <f>[1]Results!AM335</f>
        <v>51.624838250000003</v>
      </c>
      <c r="AK465" s="6">
        <f>[1]Results!AN335</f>
        <v>52.129891090000001</v>
      </c>
      <c r="AL465" s="6">
        <f>[1]Results!AO335</f>
        <v>52.646271650000003</v>
      </c>
      <c r="AM465" s="6">
        <f>[1]Results!AP335</f>
        <v>53.157286360000001</v>
      </c>
      <c r="AN465" s="6">
        <f>[1]Results!AQ335</f>
        <v>53.671763210000002</v>
      </c>
      <c r="AO465" s="6">
        <f>[1]Results!AR335</f>
        <v>54.192208280000003</v>
      </c>
      <c r="AP465" s="6">
        <f>[1]Results!AS335</f>
        <v>54.7197478</v>
      </c>
      <c r="AQ465" s="6">
        <f>[1]Results!AT335</f>
        <v>55.255125990000003</v>
      </c>
      <c r="AR465" s="6">
        <f>[1]Results!AU335</f>
        <v>55.7989076</v>
      </c>
      <c r="AS465" s="6">
        <f>[1]Results!AV335</f>
        <v>56.351518759999998</v>
      </c>
      <c r="AT465" s="6">
        <f>[1]Results!AW335</f>
        <v>56.913262000000003</v>
      </c>
      <c r="AU465" s="6">
        <f>[1]Results!AX335</f>
        <v>57.484299839999998</v>
      </c>
      <c r="AV465" s="6">
        <f>[1]Results!AY335</f>
        <v>58.064578140000002</v>
      </c>
      <c r="AW465" s="6">
        <f>[1]Results!AZ335</f>
        <v>58.65489693</v>
      </c>
      <c r="AX465" s="6">
        <f>[1]Results!BA335</f>
        <v>59.254107359999999</v>
      </c>
      <c r="AY465" s="6">
        <f>[1]Results!BB335</f>
        <v>59.861396640000002</v>
      </c>
      <c r="AZ465" s="6">
        <f>[1]Results!BC335</f>
        <v>60.477901840000001</v>
      </c>
      <c r="BA465" s="6">
        <f>[1]Results!BD335</f>
        <v>61.104611460000001</v>
      </c>
      <c r="BB465" s="6">
        <f>[1]Results!BE335</f>
        <v>61.74176568</v>
      </c>
      <c r="BC465" s="6">
        <f>[1]Results!BF335</f>
        <v>62.38919945</v>
      </c>
      <c r="BD465" s="6">
        <f>[1]Results!BG335</f>
        <v>63.046672119999997</v>
      </c>
      <c r="BE465" s="6">
        <f>[1]Results!BH335</f>
        <v>63.714026439999998</v>
      </c>
      <c r="BF465" s="6">
        <f>[1]Results!BI335</f>
        <v>64.391228699999999</v>
      </c>
    </row>
    <row r="466" spans="1:58" x14ac:dyDescent="0.35">
      <c r="B466" s="6" t="s">
        <v>75</v>
      </c>
      <c r="C466" s="6">
        <f>SUM(C467:C469)</f>
        <v>22.078645743999999</v>
      </c>
      <c r="D466" s="6">
        <f t="shared" ref="D466:AL466" si="278">SUM(D467:D469)</f>
        <v>22.270430365999999</v>
      </c>
      <c r="E466" s="6">
        <f t="shared" si="278"/>
        <v>22.456198663000002</v>
      </c>
      <c r="F466" s="6">
        <f t="shared" si="278"/>
        <v>22.649220166999999</v>
      </c>
      <c r="G466" s="6">
        <f t="shared" si="278"/>
        <v>22.853726764000001</v>
      </c>
      <c r="H466" s="6">
        <f t="shared" si="278"/>
        <v>23.067920987000001</v>
      </c>
      <c r="I466" s="6">
        <f t="shared" si="278"/>
        <v>23.277889746</v>
      </c>
      <c r="J466" s="6">
        <f t="shared" si="278"/>
        <v>23.492637039000002</v>
      </c>
      <c r="K466" s="6">
        <f t="shared" si="278"/>
        <v>23.713659628999999</v>
      </c>
      <c r="L466" s="6">
        <f t="shared" si="278"/>
        <v>23.940446197</v>
      </c>
      <c r="M466" s="6">
        <f t="shared" si="278"/>
        <v>24.197038409999998</v>
      </c>
      <c r="N466" s="6">
        <f t="shared" si="278"/>
        <v>24.441766066</v>
      </c>
      <c r="O466" s="6">
        <f t="shared" si="278"/>
        <v>24.685427894</v>
      </c>
      <c r="P466" s="6">
        <f t="shared" si="278"/>
        <v>24.930408094000001</v>
      </c>
      <c r="Q466" s="6">
        <f t="shared" si="278"/>
        <v>25.177385762</v>
      </c>
      <c r="R466" s="6">
        <f t="shared" si="278"/>
        <v>25.426656643999998</v>
      </c>
      <c r="S466" s="6">
        <f t="shared" si="278"/>
        <v>25.678449165</v>
      </c>
      <c r="T466" s="6">
        <f t="shared" si="278"/>
        <v>25.933006026999998</v>
      </c>
      <c r="U466" s="6">
        <f t="shared" si="278"/>
        <v>26.190597368999999</v>
      </c>
      <c r="V466" s="6">
        <f t="shared" si="278"/>
        <v>26.45151224</v>
      </c>
      <c r="W466" s="6">
        <f t="shared" si="278"/>
        <v>26.698265933000002</v>
      </c>
      <c r="X466" s="6">
        <f t="shared" si="278"/>
        <v>26.960392909999996</v>
      </c>
      <c r="Y466" s="6">
        <f t="shared" si="278"/>
        <v>27.229960666</v>
      </c>
      <c r="Z466" s="6">
        <f t="shared" si="278"/>
        <v>27.505289426000001</v>
      </c>
      <c r="AA466" s="6">
        <f t="shared" si="278"/>
        <v>27.785997061</v>
      </c>
      <c r="AB466" s="6">
        <f t="shared" si="278"/>
        <v>28.021588509000001</v>
      </c>
      <c r="AC466" s="6">
        <f t="shared" si="278"/>
        <v>28.271214382</v>
      </c>
      <c r="AD466" s="6">
        <f t="shared" si="278"/>
        <v>28.526711806000002</v>
      </c>
      <c r="AE466" s="6">
        <f t="shared" si="278"/>
        <v>28.786944437000002</v>
      </c>
      <c r="AF466" s="6">
        <f t="shared" si="278"/>
        <v>29.051958687000003</v>
      </c>
      <c r="AG466" s="6">
        <f t="shared" si="278"/>
        <v>29.321995018999999</v>
      </c>
      <c r="AH466" s="6">
        <f t="shared" si="278"/>
        <v>29.597269468999997</v>
      </c>
      <c r="AI466" s="6">
        <f t="shared" si="278"/>
        <v>29.877922830999999</v>
      </c>
      <c r="AJ466" s="6">
        <f t="shared" si="278"/>
        <v>30.164017170000001</v>
      </c>
      <c r="AK466" s="6">
        <f t="shared" si="278"/>
        <v>30.455549328</v>
      </c>
      <c r="AL466" s="6">
        <f t="shared" si="278"/>
        <v>30.752469941000001</v>
      </c>
      <c r="AM466" s="6">
        <f t="shared" ref="AM466:BC466" si="279">SUM(AM467:AM469)</f>
        <v>31.042924747999997</v>
      </c>
      <c r="AN466" s="6">
        <f t="shared" si="279"/>
        <v>31.334350205</v>
      </c>
      <c r="AO466" s="6">
        <f t="shared" si="279"/>
        <v>31.628731655999999</v>
      </c>
      <c r="AP466" s="6">
        <f t="shared" si="279"/>
        <v>31.926835781999998</v>
      </c>
      <c r="AQ466" s="6">
        <f t="shared" si="279"/>
        <v>32.229077726</v>
      </c>
      <c r="AR466" s="6">
        <f t="shared" si="279"/>
        <v>32.535743205999999</v>
      </c>
      <c r="AS466" s="6">
        <f t="shared" si="279"/>
        <v>32.847058865000001</v>
      </c>
      <c r="AT466" s="6">
        <f t="shared" si="279"/>
        <v>33.163219026</v>
      </c>
      <c r="AU466" s="6">
        <f t="shared" si="279"/>
        <v>33.484404368</v>
      </c>
      <c r="AV466" s="6">
        <f t="shared" si="279"/>
        <v>33.810801803000004</v>
      </c>
      <c r="AW466" s="6">
        <f t="shared" si="279"/>
        <v>34.143587279999998</v>
      </c>
      <c r="AX466" s="6">
        <f t="shared" si="279"/>
        <v>34.479454493999995</v>
      </c>
      <c r="AY466" s="6">
        <f t="shared" si="279"/>
        <v>34.818111700000003</v>
      </c>
      <c r="AZ466" s="6">
        <f t="shared" si="279"/>
        <v>35.160043657999999</v>
      </c>
      <c r="BA466" s="6">
        <f t="shared" si="279"/>
        <v>35.505885968000001</v>
      </c>
      <c r="BB466" s="6">
        <f t="shared" si="279"/>
        <v>35.856060964000001</v>
      </c>
      <c r="BC466" s="6">
        <f t="shared" si="279"/>
        <v>36.210759214999996</v>
      </c>
      <c r="BD466" s="6">
        <f t="shared" ref="BD466:BF466" si="280">SUM(BD467:BD469)</f>
        <v>36.570044225000004</v>
      </c>
      <c r="BE466" s="6">
        <f t="shared" si="280"/>
        <v>36.933942353999996</v>
      </c>
      <c r="BF466" s="6">
        <f t="shared" si="280"/>
        <v>37.302488511999996</v>
      </c>
    </row>
    <row r="467" spans="1:58" x14ac:dyDescent="0.35">
      <c r="B467" s="6" t="str">
        <f>[1]Results!E345</f>
        <v>CF_toe_chea_0</v>
      </c>
      <c r="C467" s="6">
        <f>[1]Results!F345</f>
        <v>5.141788762</v>
      </c>
      <c r="D467" s="6">
        <f>[1]Results!G345</f>
        <v>5.2038577220000004</v>
      </c>
      <c r="E467" s="6">
        <f>[1]Results!H345</f>
        <v>5.272784723</v>
      </c>
      <c r="F467" s="6">
        <f>[1]Results!I345</f>
        <v>5.3464468939999996</v>
      </c>
      <c r="G467" s="6">
        <f>[1]Results!J345</f>
        <v>5.4244188009999998</v>
      </c>
      <c r="H467" s="6">
        <f>[1]Results!K345</f>
        <v>5.4986044500000002</v>
      </c>
      <c r="I467" s="6">
        <f>[1]Results!L345</f>
        <v>5.5637983950000001</v>
      </c>
      <c r="J467" s="6">
        <f>[1]Results!M345</f>
        <v>5.6246720999999997</v>
      </c>
      <c r="K467" s="6">
        <f>[1]Results!N345</f>
        <v>5.6838613320000002</v>
      </c>
      <c r="L467" s="6">
        <f>[1]Results!O345</f>
        <v>5.7427184630000001</v>
      </c>
      <c r="M467" s="6">
        <f>[1]Results!P345</f>
        <v>5.8100617410000002</v>
      </c>
      <c r="N467" s="6">
        <f>[1]Results!Q345</f>
        <v>5.8729796179999996</v>
      </c>
      <c r="O467" s="6">
        <f>[1]Results!R345</f>
        <v>5.9345830260000003</v>
      </c>
      <c r="P467" s="6">
        <f>[1]Results!S345</f>
        <v>5.9959337350000004</v>
      </c>
      <c r="Q467" s="6">
        <f>[1]Results!T345</f>
        <v>6.0574305739999996</v>
      </c>
      <c r="R467" s="6">
        <f>[1]Results!U345</f>
        <v>6.1192296129999999</v>
      </c>
      <c r="S467" s="6">
        <f>[1]Results!V345</f>
        <v>6.1813979530000003</v>
      </c>
      <c r="T467" s="6">
        <f>[1]Results!W345</f>
        <v>6.2439747270000003</v>
      </c>
      <c r="U467" s="6">
        <f>[1]Results!X345</f>
        <v>6.3069945299999999</v>
      </c>
      <c r="V467" s="6">
        <f>[1]Results!Y345</f>
        <v>6.3704948769999996</v>
      </c>
      <c r="W467" s="6">
        <f>[1]Results!Z345</f>
        <v>6.4288669470000004</v>
      </c>
      <c r="X467" s="6">
        <f>[1]Results!AA345</f>
        <v>6.4912066299999998</v>
      </c>
      <c r="Y467" s="6">
        <f>[1]Results!AB345</f>
        <v>6.555427581</v>
      </c>
      <c r="Z467" s="6">
        <f>[1]Results!AC345</f>
        <v>6.6208422320000002</v>
      </c>
      <c r="AA467" s="6">
        <f>[1]Results!AD345</f>
        <v>6.687201387</v>
      </c>
      <c r="AB467" s="6">
        <f>[1]Results!AE345</f>
        <v>6.7386794639999996</v>
      </c>
      <c r="AC467" s="6">
        <f>[1]Results!AF345</f>
        <v>6.7930565270000001</v>
      </c>
      <c r="AD467" s="6">
        <f>[1]Results!AG345</f>
        <v>6.8487941259999996</v>
      </c>
      <c r="AE467" s="6">
        <f>[1]Results!AH345</f>
        <v>6.9055178890000004</v>
      </c>
      <c r="AF467" s="6">
        <f>[1]Results!AI345</f>
        <v>6.963121524</v>
      </c>
      <c r="AG467" s="6">
        <f>[1]Results!AJ345</f>
        <v>7.0215934549999997</v>
      </c>
      <c r="AH467" s="6">
        <f>[1]Results!AK345</f>
        <v>7.0809500200000004</v>
      </c>
      <c r="AI467" s="6">
        <f>[1]Results!AL345</f>
        <v>7.1412106319999999</v>
      </c>
      <c r="AJ467" s="6">
        <f>[1]Results!AM345</f>
        <v>7.2023888789999999</v>
      </c>
      <c r="AK467" s="6">
        <f>[1]Results!AN345</f>
        <v>7.2644908130000001</v>
      </c>
      <c r="AL467" s="6">
        <f>[1]Results!AO345</f>
        <v>7.3275164479999999</v>
      </c>
      <c r="AM467" s="6">
        <f>[1]Results!AP345</f>
        <v>7.3879447669999996</v>
      </c>
      <c r="AN467" s="6">
        <f>[1]Results!AQ345</f>
        <v>7.4478830030000003</v>
      </c>
      <c r="AO467" s="6">
        <f>[1]Results!AR345</f>
        <v>7.5081002889999997</v>
      </c>
      <c r="AP467" s="6">
        <f>[1]Results!AS345</f>
        <v>7.5689295550000004</v>
      </c>
      <c r="AQ467" s="6">
        <f>[1]Results!AT345</f>
        <v>7.6305429059999996</v>
      </c>
      <c r="AR467" s="6">
        <f>[1]Results!AU345</f>
        <v>7.6930538850000003</v>
      </c>
      <c r="AS467" s="6">
        <f>[1]Results!AV345</f>
        <v>7.7565623219999997</v>
      </c>
      <c r="AT467" s="6">
        <f>[1]Results!AW345</f>
        <v>7.8211817039999998</v>
      </c>
      <c r="AU467" s="6">
        <f>[1]Results!AX345</f>
        <v>7.8870722439999996</v>
      </c>
      <c r="AV467" s="6">
        <f>[1]Results!AY345</f>
        <v>7.9545178600000002</v>
      </c>
      <c r="AW467" s="6">
        <f>[1]Results!AZ345</f>
        <v>8.0245126889999998</v>
      </c>
      <c r="AX467" s="6">
        <f>[1]Results!BA345</f>
        <v>8.0941614479999995</v>
      </c>
      <c r="AY467" s="6">
        <f>[1]Results!BB345</f>
        <v>8.1630874510000009</v>
      </c>
      <c r="AZ467" s="6">
        <f>[1]Results!BC345</f>
        <v>8.2315352159999993</v>
      </c>
      <c r="BA467" s="6">
        <f>[1]Results!BD345</f>
        <v>8.2999362029999997</v>
      </c>
      <c r="BB467" s="6">
        <f>[1]Results!BE345</f>
        <v>8.3686502580000006</v>
      </c>
      <c r="BC467" s="6">
        <f>[1]Results!BF345</f>
        <v>8.4378963389999999</v>
      </c>
      <c r="BD467" s="6">
        <f>[1]Results!BG345</f>
        <v>8.5077865020000001</v>
      </c>
      <c r="BE467" s="6">
        <f>[1]Results!BH345</f>
        <v>8.5783745420000006</v>
      </c>
      <c r="BF467" s="6">
        <f>[1]Results!BI345</f>
        <v>8.6496890289999993</v>
      </c>
    </row>
    <row r="468" spans="1:58" x14ac:dyDescent="0.35">
      <c r="B468" s="6" t="str">
        <f>[1]Results!E347</f>
        <v>CF_toe_cbio_0</v>
      </c>
      <c r="C468" s="6">
        <f>[1]Results!F347</f>
        <v>8.2066322189999994</v>
      </c>
      <c r="D468" s="6">
        <f>[1]Results!G347</f>
        <v>8.2272731690000001</v>
      </c>
      <c r="E468" s="6">
        <f>[1]Results!H347</f>
        <v>8.2228348679999996</v>
      </c>
      <c r="F468" s="6">
        <f>[1]Results!I347</f>
        <v>8.2111086919999998</v>
      </c>
      <c r="G468" s="6">
        <f>[1]Results!J347</f>
        <v>8.1980360670000003</v>
      </c>
      <c r="H468" s="6">
        <f>[1]Results!K347</f>
        <v>8.1912228710000008</v>
      </c>
      <c r="I468" s="6">
        <f>[1]Results!L347</f>
        <v>8.1896895839999999</v>
      </c>
      <c r="J468" s="6">
        <f>[1]Results!M347</f>
        <v>8.1943002400000005</v>
      </c>
      <c r="K468" s="6">
        <f>[1]Results!N347</f>
        <v>8.2038736439999997</v>
      </c>
      <c r="L468" s="6">
        <f>[1]Results!O347</f>
        <v>8.2169014390000008</v>
      </c>
      <c r="M468" s="6">
        <f>[1]Results!P347</f>
        <v>8.2375590889999994</v>
      </c>
      <c r="N468" s="6">
        <f>[1]Results!Q347</f>
        <v>8.2567148180000007</v>
      </c>
      <c r="O468" s="6">
        <f>[1]Results!R347</f>
        <v>8.2757273080000004</v>
      </c>
      <c r="P468" s="6">
        <f>[1]Results!S347</f>
        <v>8.2949545189999991</v>
      </c>
      <c r="Q468" s="6">
        <f>[1]Results!T347</f>
        <v>8.3144870379999993</v>
      </c>
      <c r="R468" s="6">
        <f>[1]Results!U347</f>
        <v>8.334349521</v>
      </c>
      <c r="S468" s="6">
        <f>[1]Results!V347</f>
        <v>8.3545609420000009</v>
      </c>
      <c r="T468" s="6">
        <f>[1]Results!W347</f>
        <v>8.3751510800000002</v>
      </c>
      <c r="U468" s="6">
        <f>[1]Results!X347</f>
        <v>8.3961620690000007</v>
      </c>
      <c r="V468" s="6">
        <f>[1]Results!Y347</f>
        <v>8.4176451130000007</v>
      </c>
      <c r="W468" s="6">
        <f>[1]Results!Z347</f>
        <v>8.4359667060000003</v>
      </c>
      <c r="X468" s="6">
        <f>[1]Results!AA347</f>
        <v>8.4569724399999995</v>
      </c>
      <c r="Y468" s="6">
        <f>[1]Results!AB347</f>
        <v>8.4794336050000005</v>
      </c>
      <c r="Z468" s="6">
        <f>[1]Results!AC347</f>
        <v>8.5029590339999999</v>
      </c>
      <c r="AA468" s="6">
        <f>[1]Results!AD347</f>
        <v>8.5274204939999994</v>
      </c>
      <c r="AB468" s="6">
        <f>[1]Results!AE347</f>
        <v>8.5424752650000002</v>
      </c>
      <c r="AC468" s="6">
        <f>[1]Results!AF347</f>
        <v>8.5594171150000005</v>
      </c>
      <c r="AD468" s="6">
        <f>[1]Results!AG347</f>
        <v>8.5773864199999998</v>
      </c>
      <c r="AE468" s="6">
        <f>[1]Results!AH347</f>
        <v>8.5962145680000006</v>
      </c>
      <c r="AF468" s="6">
        <f>[1]Results!AI347</f>
        <v>8.6159032930000006</v>
      </c>
      <c r="AG468" s="6">
        <f>[1]Results!AJ347</f>
        <v>8.6364932640000003</v>
      </c>
      <c r="AH468" s="6">
        <f>[1]Results!AK347</f>
        <v>8.6580247589999999</v>
      </c>
      <c r="AI468" s="6">
        <f>[1]Results!AL347</f>
        <v>8.6805255890000002</v>
      </c>
      <c r="AJ468" s="6">
        <f>[1]Results!AM347</f>
        <v>8.7040090709999998</v>
      </c>
      <c r="AK468" s="6">
        <f>[1]Results!AN347</f>
        <v>8.7284761050000004</v>
      </c>
      <c r="AL468" s="6">
        <f>[1]Results!AO347</f>
        <v>8.7539186230000006</v>
      </c>
      <c r="AM468" s="6">
        <f>[1]Results!AP347</f>
        <v>8.7779996009999994</v>
      </c>
      <c r="AN468" s="6">
        <f>[1]Results!AQ347</f>
        <v>8.8020076419999995</v>
      </c>
      <c r="AO468" s="6">
        <f>[1]Results!AR347</f>
        <v>8.8264244769999998</v>
      </c>
      <c r="AP468" s="6">
        <f>[1]Results!AS347</f>
        <v>8.8514643769999992</v>
      </c>
      <c r="AQ468" s="6">
        <f>[1]Results!AT347</f>
        <v>8.8772394999999999</v>
      </c>
      <c r="AR468" s="6">
        <f>[1]Results!AU347</f>
        <v>8.9038171009999996</v>
      </c>
      <c r="AS468" s="6">
        <f>[1]Results!AV347</f>
        <v>8.9312391830000006</v>
      </c>
      <c r="AT468" s="6">
        <f>[1]Results!AW347</f>
        <v>8.959522582</v>
      </c>
      <c r="AU468" s="6">
        <f>[1]Results!AX347</f>
        <v>8.9886436140000008</v>
      </c>
      <c r="AV468" s="6">
        <f>[1]Results!AY347</f>
        <v>9.0184773529999998</v>
      </c>
      <c r="AW468" s="6">
        <f>[1]Results!AZ347</f>
        <v>9.0486460009999998</v>
      </c>
      <c r="AX468" s="6">
        <f>[1]Results!BA347</f>
        <v>9.0791002560000003</v>
      </c>
      <c r="AY468" s="6">
        <f>[1]Results!BB347</f>
        <v>9.1099882290000007</v>
      </c>
      <c r="AZ468" s="6">
        <f>[1]Results!BC347</f>
        <v>9.1415748319999999</v>
      </c>
      <c r="BA468" s="6">
        <f>[1]Results!BD347</f>
        <v>9.1740776650000004</v>
      </c>
      <c r="BB468" s="6">
        <f>[1]Results!BE347</f>
        <v>9.2075599859999997</v>
      </c>
      <c r="BC468" s="6">
        <f>[1]Results!BF347</f>
        <v>9.2419809060000002</v>
      </c>
      <c r="BD468" s="6">
        <f>[1]Results!BG347</f>
        <v>9.2772670829999999</v>
      </c>
      <c r="BE468" s="6">
        <f>[1]Results!BH347</f>
        <v>9.3133553520000003</v>
      </c>
      <c r="BF468" s="6">
        <f>[1]Results!BI347</f>
        <v>9.3502069730000006</v>
      </c>
    </row>
    <row r="469" spans="1:58" x14ac:dyDescent="0.35">
      <c r="B469" s="6" t="str">
        <f>[1]Results!E350</f>
        <v>CF_toe_cote_0</v>
      </c>
      <c r="C469" s="6">
        <f>[1]Results!F350</f>
        <v>8.7302247630000007</v>
      </c>
      <c r="D469" s="6">
        <f>[1]Results!G350</f>
        <v>8.8392994750000007</v>
      </c>
      <c r="E469" s="6">
        <f>[1]Results!H350</f>
        <v>8.9605790719999998</v>
      </c>
      <c r="F469" s="6">
        <f>[1]Results!I350</f>
        <v>9.0916645809999999</v>
      </c>
      <c r="G469" s="6">
        <f>[1]Results!J350</f>
        <v>9.2312718960000009</v>
      </c>
      <c r="H469" s="6">
        <f>[1]Results!K350</f>
        <v>9.3780936659999998</v>
      </c>
      <c r="I469" s="6">
        <f>[1]Results!L350</f>
        <v>9.5244017670000005</v>
      </c>
      <c r="J469" s="6">
        <f>[1]Results!M350</f>
        <v>9.6736646989999997</v>
      </c>
      <c r="K469" s="6">
        <f>[1]Results!N350</f>
        <v>9.8259246529999995</v>
      </c>
      <c r="L469" s="6">
        <f>[1]Results!O350</f>
        <v>9.980826295</v>
      </c>
      <c r="M469" s="6">
        <f>[1]Results!P350</f>
        <v>10.14941758</v>
      </c>
      <c r="N469" s="6">
        <f>[1]Results!Q350</f>
        <v>10.31207163</v>
      </c>
      <c r="O469" s="6">
        <f>[1]Results!R350</f>
        <v>10.475117559999999</v>
      </c>
      <c r="P469" s="6">
        <f>[1]Results!S350</f>
        <v>10.63951984</v>
      </c>
      <c r="Q469" s="6">
        <f>[1]Results!T350</f>
        <v>10.805468149999999</v>
      </c>
      <c r="R469" s="6">
        <f>[1]Results!U350</f>
        <v>10.97307751</v>
      </c>
      <c r="S469" s="6">
        <f>[1]Results!V350</f>
        <v>11.14249027</v>
      </c>
      <c r="T469" s="6">
        <f>[1]Results!W350</f>
        <v>11.31388022</v>
      </c>
      <c r="U469" s="6">
        <f>[1]Results!X350</f>
        <v>11.487440769999999</v>
      </c>
      <c r="V469" s="6">
        <f>[1]Results!Y350</f>
        <v>11.66337225</v>
      </c>
      <c r="W469" s="6">
        <f>[1]Results!Z350</f>
        <v>11.83343228</v>
      </c>
      <c r="X469" s="6">
        <f>[1]Results!AA350</f>
        <v>12.012213839999999</v>
      </c>
      <c r="Y469" s="6">
        <f>[1]Results!AB350</f>
        <v>12.19509948</v>
      </c>
      <c r="Z469" s="6">
        <f>[1]Results!AC350</f>
        <v>12.38148816</v>
      </c>
      <c r="AA469" s="6">
        <f>[1]Results!AD350</f>
        <v>12.57137518</v>
      </c>
      <c r="AB469" s="6">
        <f>[1]Results!AE350</f>
        <v>12.74043378</v>
      </c>
      <c r="AC469" s="6">
        <f>[1]Results!AF350</f>
        <v>12.91874074</v>
      </c>
      <c r="AD469" s="6">
        <f>[1]Results!AG350</f>
        <v>13.10053126</v>
      </c>
      <c r="AE469" s="6">
        <f>[1]Results!AH350</f>
        <v>13.28521198</v>
      </c>
      <c r="AF469" s="6">
        <f>[1]Results!AI350</f>
        <v>13.47293387</v>
      </c>
      <c r="AG469" s="6">
        <f>[1]Results!AJ350</f>
        <v>13.663908299999999</v>
      </c>
      <c r="AH469" s="6">
        <f>[1]Results!AK350</f>
        <v>13.858294689999999</v>
      </c>
      <c r="AI469" s="6">
        <f>[1]Results!AL350</f>
        <v>14.056186609999999</v>
      </c>
      <c r="AJ469" s="6">
        <f>[1]Results!AM350</f>
        <v>14.25761922</v>
      </c>
      <c r="AK469" s="6">
        <f>[1]Results!AN350</f>
        <v>14.46258241</v>
      </c>
      <c r="AL469" s="6">
        <f>[1]Results!AO350</f>
        <v>14.67103487</v>
      </c>
      <c r="AM469" s="6">
        <f>[1]Results!AP350</f>
        <v>14.876980379999999</v>
      </c>
      <c r="AN469" s="6">
        <f>[1]Results!AQ350</f>
        <v>15.084459560000001</v>
      </c>
      <c r="AO469" s="6">
        <f>[1]Results!AR350</f>
        <v>15.29420689</v>
      </c>
      <c r="AP469" s="6">
        <f>[1]Results!AS350</f>
        <v>15.50644185</v>
      </c>
      <c r="AQ469" s="6">
        <f>[1]Results!AT350</f>
        <v>15.721295319999999</v>
      </c>
      <c r="AR469" s="6">
        <f>[1]Results!AU350</f>
        <v>15.93887222</v>
      </c>
      <c r="AS469" s="6">
        <f>[1]Results!AV350</f>
        <v>16.159257360000002</v>
      </c>
      <c r="AT469" s="6">
        <f>[1]Results!AW350</f>
        <v>16.382514740000001</v>
      </c>
      <c r="AU469" s="6">
        <f>[1]Results!AX350</f>
        <v>16.60868851</v>
      </c>
      <c r="AV469" s="6">
        <f>[1]Results!AY350</f>
        <v>16.83780659</v>
      </c>
      <c r="AW469" s="6">
        <f>[1]Results!AZ350</f>
        <v>17.070428589999999</v>
      </c>
      <c r="AX469" s="6">
        <f>[1]Results!BA350</f>
        <v>17.306192790000001</v>
      </c>
      <c r="AY469" s="6">
        <f>[1]Results!BB350</f>
        <v>17.545036020000001</v>
      </c>
      <c r="AZ469" s="6">
        <f>[1]Results!BC350</f>
        <v>17.786933609999998</v>
      </c>
      <c r="BA469" s="6">
        <f>[1]Results!BD350</f>
        <v>18.031872100000001</v>
      </c>
      <c r="BB469" s="6">
        <f>[1]Results!BE350</f>
        <v>18.279850719999999</v>
      </c>
      <c r="BC469" s="6">
        <f>[1]Results!BF350</f>
        <v>18.530881969999999</v>
      </c>
      <c r="BD469" s="6">
        <f>[1]Results!BG350</f>
        <v>18.78499064</v>
      </c>
      <c r="BE469" s="6">
        <f>[1]Results!BH350</f>
        <v>19.042212459999998</v>
      </c>
      <c r="BF469" s="6">
        <f>[1]Results!BI350</f>
        <v>19.30259251</v>
      </c>
    </row>
    <row r="471" spans="1:58" x14ac:dyDescent="0.35">
      <c r="C471" s="2">
        <v>42005</v>
      </c>
      <c r="D471" s="2">
        <v>42370</v>
      </c>
      <c r="E471" s="2">
        <v>42736</v>
      </c>
      <c r="F471" s="2">
        <v>43101</v>
      </c>
      <c r="G471" s="2">
        <v>43466</v>
      </c>
      <c r="H471" s="2">
        <v>43831</v>
      </c>
      <c r="I471" s="2">
        <v>44197</v>
      </c>
      <c r="J471" s="2">
        <v>44562</v>
      </c>
      <c r="K471" s="2">
        <v>44927</v>
      </c>
      <c r="L471" s="2">
        <v>45292</v>
      </c>
      <c r="M471" s="2">
        <v>45658</v>
      </c>
      <c r="N471" s="2">
        <v>46023</v>
      </c>
      <c r="O471" s="2">
        <v>46388</v>
      </c>
      <c r="P471" s="2">
        <v>46753</v>
      </c>
      <c r="Q471" s="2">
        <v>47119</v>
      </c>
      <c r="R471" s="2">
        <v>47484</v>
      </c>
      <c r="S471" s="2">
        <v>47849</v>
      </c>
      <c r="T471" s="2">
        <v>48214</v>
      </c>
      <c r="U471" s="2">
        <v>48580</v>
      </c>
      <c r="V471" s="2">
        <v>48945</v>
      </c>
      <c r="W471" s="2">
        <v>49310</v>
      </c>
      <c r="X471" s="2">
        <v>49675</v>
      </c>
      <c r="Y471" s="2">
        <v>50041</v>
      </c>
      <c r="Z471" s="2">
        <v>50406</v>
      </c>
      <c r="AA471" s="2">
        <v>50771</v>
      </c>
      <c r="AB471" s="2">
        <v>51136</v>
      </c>
      <c r="AC471" s="2">
        <v>51502</v>
      </c>
      <c r="AD471" s="2">
        <v>51867</v>
      </c>
      <c r="AE471" s="2">
        <v>52232</v>
      </c>
      <c r="AF471" s="2">
        <v>52597</v>
      </c>
      <c r="AG471" s="2">
        <v>52963</v>
      </c>
      <c r="AH471" s="2">
        <v>53328</v>
      </c>
      <c r="AI471" s="2">
        <v>53693</v>
      </c>
      <c r="AJ471" s="2">
        <v>54058</v>
      </c>
      <c r="AK471" s="2">
        <v>54424</v>
      </c>
      <c r="AL471" s="2">
        <v>54789</v>
      </c>
      <c r="AM471" s="2">
        <v>54790</v>
      </c>
      <c r="AN471" s="2">
        <v>54791</v>
      </c>
      <c r="AO471" s="2">
        <v>54792</v>
      </c>
      <c r="AP471" s="2">
        <v>54793</v>
      </c>
      <c r="AQ471" s="2">
        <v>54794</v>
      </c>
      <c r="AR471" s="2">
        <v>54795</v>
      </c>
      <c r="AS471" s="2">
        <v>54796</v>
      </c>
      <c r="AT471" s="2">
        <v>54797</v>
      </c>
      <c r="AU471" s="2">
        <v>54798</v>
      </c>
      <c r="AV471" s="2">
        <v>54799</v>
      </c>
      <c r="AW471" s="2">
        <v>54800</v>
      </c>
      <c r="AX471" s="2">
        <v>54801</v>
      </c>
      <c r="AY471" s="2">
        <v>54802</v>
      </c>
      <c r="AZ471" s="2">
        <v>54803</v>
      </c>
      <c r="BA471" s="2">
        <v>54804</v>
      </c>
      <c r="BB471" s="2">
        <v>54805</v>
      </c>
      <c r="BC471" s="2">
        <v>54806</v>
      </c>
      <c r="BD471" s="2">
        <v>54807</v>
      </c>
      <c r="BE471" s="2">
        <v>54808</v>
      </c>
      <c r="BF471" s="2">
        <v>54809</v>
      </c>
    </row>
    <row r="472" spans="1:58" x14ac:dyDescent="0.35">
      <c r="A472" s="12" t="s">
        <v>93</v>
      </c>
      <c r="B472" t="s">
        <v>77</v>
      </c>
      <c r="C472" s="4">
        <f>C445/C458-1</f>
        <v>-1.4354150585221603E-2</v>
      </c>
      <c r="D472" s="4">
        <f t="shared" ref="D472:AL472" si="281">D445/D458-1</f>
        <v>-1.9756982496042075E-2</v>
      </c>
      <c r="E472" s="4">
        <f t="shared" si="281"/>
        <v>-2.3453703941677451E-2</v>
      </c>
      <c r="F472" s="4">
        <f t="shared" si="281"/>
        <v>-2.6455368735066931E-2</v>
      </c>
      <c r="G472" s="4">
        <f t="shared" si="281"/>
        <v>-2.8858427273428577E-2</v>
      </c>
      <c r="H472" s="4">
        <f t="shared" si="281"/>
        <v>-3.0895629592729401E-2</v>
      </c>
      <c r="I472" s="4">
        <f t="shared" si="281"/>
        <v>-3.276439582507451E-2</v>
      </c>
      <c r="J472" s="4">
        <f t="shared" si="281"/>
        <v>-3.4465731669093613E-2</v>
      </c>
      <c r="K472" s="4">
        <f t="shared" si="281"/>
        <v>-3.5965227836387781E-2</v>
      </c>
      <c r="L472" s="4">
        <f t="shared" si="281"/>
        <v>-3.7259354055783067E-2</v>
      </c>
      <c r="M472" s="4">
        <f t="shared" si="281"/>
        <v>-3.8382303426024555E-2</v>
      </c>
      <c r="N472" s="4">
        <f t="shared" si="281"/>
        <v>-3.9421686265640909E-2</v>
      </c>
      <c r="O472" s="4">
        <f t="shared" si="281"/>
        <v>-4.0385374088252601E-2</v>
      </c>
      <c r="P472" s="4">
        <f t="shared" si="281"/>
        <v>-4.1302218192908469E-2</v>
      </c>
      <c r="Q472" s="4">
        <f t="shared" si="281"/>
        <v>-4.2201096446873976E-2</v>
      </c>
      <c r="R472" s="4">
        <f t="shared" si="281"/>
        <v>-4.3102915529051433E-2</v>
      </c>
      <c r="S472" s="4">
        <f t="shared" si="281"/>
        <v>-4.4074748482753945E-2</v>
      </c>
      <c r="T472" s="4">
        <f t="shared" si="281"/>
        <v>-4.5086956003590584E-2</v>
      </c>
      <c r="U472" s="4">
        <f t="shared" si="281"/>
        <v>-4.6137690388346586E-2</v>
      </c>
      <c r="V472" s="4">
        <f t="shared" si="281"/>
        <v>-4.7227356685296984E-2</v>
      </c>
      <c r="W472" s="4">
        <f t="shared" si="281"/>
        <v>-4.8351737228686575E-2</v>
      </c>
      <c r="X472" s="4">
        <f t="shared" si="281"/>
        <v>-4.9515069660718058E-2</v>
      </c>
      <c r="Y472" s="4">
        <f t="shared" si="281"/>
        <v>-5.0711331786052027E-2</v>
      </c>
      <c r="Z472" s="4">
        <f t="shared" si="281"/>
        <v>-5.1937542272062487E-2</v>
      </c>
      <c r="AA472" s="4">
        <f t="shared" si="281"/>
        <v>-5.3190089326190959E-2</v>
      </c>
      <c r="AB472" s="4">
        <f t="shared" si="281"/>
        <v>-5.4453104431276933E-2</v>
      </c>
      <c r="AC472" s="4">
        <f t="shared" si="281"/>
        <v>-5.5719396022808954E-2</v>
      </c>
      <c r="AD472" s="4">
        <f t="shared" si="281"/>
        <v>-5.6992364831900288E-2</v>
      </c>
      <c r="AE472" s="4">
        <f t="shared" si="281"/>
        <v>-5.8270116838938235E-2</v>
      </c>
      <c r="AF472" s="4">
        <f t="shared" si="281"/>
        <v>-5.9548930177544701E-2</v>
      </c>
      <c r="AG472" s="4">
        <f t="shared" si="281"/>
        <v>-6.0826536952325871E-2</v>
      </c>
      <c r="AH472" s="4">
        <f t="shared" si="281"/>
        <v>-6.2089844701099461E-2</v>
      </c>
      <c r="AI472" s="4">
        <f t="shared" si="281"/>
        <v>-6.3342438057279793E-2</v>
      </c>
      <c r="AJ472" s="4">
        <f t="shared" si="281"/>
        <v>-6.4581813665047449E-2</v>
      </c>
      <c r="AK472" s="4">
        <f t="shared" si="281"/>
        <v>-6.5804859736812271E-2</v>
      </c>
      <c r="AL472" s="4">
        <f t="shared" si="281"/>
        <v>-6.7008984555967155E-2</v>
      </c>
      <c r="AM472" s="4">
        <f t="shared" ref="AM472:BC472" si="282">AM445/AM458-1</f>
        <v>-6.8106663542474855E-2</v>
      </c>
      <c r="AN472" s="4">
        <f t="shared" si="282"/>
        <v>-6.9161279848570123E-2</v>
      </c>
      <c r="AO472" s="4">
        <f t="shared" si="282"/>
        <v>-7.018366574675805E-2</v>
      </c>
      <c r="AP472" s="4">
        <f t="shared" si="282"/>
        <v>-7.1178319249211808E-2</v>
      </c>
      <c r="AQ472" s="4">
        <f t="shared" si="282"/>
        <v>-7.2149937445912249E-2</v>
      </c>
      <c r="AR472" s="4">
        <f t="shared" si="282"/>
        <v>-7.3091076073239059E-2</v>
      </c>
      <c r="AS472" s="4">
        <f t="shared" si="282"/>
        <v>-7.4015954276713702E-2</v>
      </c>
      <c r="AT472" s="4">
        <f t="shared" si="282"/>
        <v>-7.4930900853245941E-2</v>
      </c>
      <c r="AU472" s="4">
        <f t="shared" si="282"/>
        <v>-7.5840361844079052E-2</v>
      </c>
      <c r="AV472" s="4">
        <f t="shared" si="282"/>
        <v>-7.6746690745224111E-2</v>
      </c>
      <c r="AW472" s="4">
        <f t="shared" si="282"/>
        <v>-7.760020245189303E-2</v>
      </c>
      <c r="AX472" s="4">
        <f t="shared" si="282"/>
        <v>-7.8410460028804807E-2</v>
      </c>
      <c r="AY472" s="4">
        <f t="shared" si="282"/>
        <v>-7.9165022799515872E-2</v>
      </c>
      <c r="AZ472" s="4">
        <f t="shared" si="282"/>
        <v>-7.9886920062428923E-2</v>
      </c>
      <c r="BA472" s="4">
        <f t="shared" si="282"/>
        <v>-8.0597092618568955E-2</v>
      </c>
      <c r="BB472" s="4">
        <f t="shared" si="282"/>
        <v>-8.1280222601148089E-2</v>
      </c>
      <c r="BC472" s="4">
        <f t="shared" si="282"/>
        <v>-8.1955498998725784E-2</v>
      </c>
      <c r="BD472" s="4">
        <f t="shared" ref="BD472:BF472" si="283">BD445/BD458-1</f>
        <v>-8.2625804839505657E-2</v>
      </c>
      <c r="BE472" s="4">
        <f t="shared" si="283"/>
        <v>-8.3292230615128027E-2</v>
      </c>
      <c r="BF472" s="4">
        <f t="shared" si="283"/>
        <v>-8.3956388306771101E-2</v>
      </c>
    </row>
    <row r="473" spans="1:58" x14ac:dyDescent="0.35">
      <c r="A473" t="s">
        <v>88</v>
      </c>
      <c r="B473" t="s">
        <v>76</v>
      </c>
      <c r="C473" s="4">
        <f>(C446-C459)/C$458</f>
        <v>-1.0712166806890648E-3</v>
      </c>
      <c r="D473" s="4">
        <f t="shared" ref="D473:AL473" si="284">(D446-D459)/D$458</f>
        <v>-1.3863793990293088E-3</v>
      </c>
      <c r="E473" s="4">
        <f t="shared" si="284"/>
        <v>-1.5567991530889597E-3</v>
      </c>
      <c r="F473" s="4">
        <f t="shared" si="284"/>
        <v>-1.689069661604783E-3</v>
      </c>
      <c r="G473" s="4">
        <f t="shared" si="284"/>
        <v>-1.8038278687868348E-3</v>
      </c>
      <c r="H473" s="4">
        <f t="shared" si="284"/>
        <v>-1.9067910825906152E-3</v>
      </c>
      <c r="I473" s="4">
        <f t="shared" si="284"/>
        <v>-2.001375820823451E-3</v>
      </c>
      <c r="J473" s="4">
        <f t="shared" si="284"/>
        <v>-2.0890145811879065E-3</v>
      </c>
      <c r="K473" s="4">
        <f t="shared" si="284"/>
        <v>-2.171296181178211E-3</v>
      </c>
      <c r="L473" s="4">
        <f t="shared" si="284"/>
        <v>-2.2498288244720654E-3</v>
      </c>
      <c r="M473" s="4">
        <f t="shared" si="284"/>
        <v>-2.3267537413060018E-3</v>
      </c>
      <c r="N473" s="4">
        <f t="shared" si="284"/>
        <v>-2.4061018502714222E-3</v>
      </c>
      <c r="O473" s="4">
        <f t="shared" si="284"/>
        <v>-2.4862465270836663E-3</v>
      </c>
      <c r="P473" s="4">
        <f t="shared" si="284"/>
        <v>-2.5673387148415663E-3</v>
      </c>
      <c r="Q473" s="4">
        <f t="shared" si="284"/>
        <v>-2.6496800328043055E-3</v>
      </c>
      <c r="R473" s="4">
        <f t="shared" si="284"/>
        <v>-2.733458570080477E-3</v>
      </c>
      <c r="S473" s="4">
        <f t="shared" si="284"/>
        <v>-2.8226682402826032E-3</v>
      </c>
      <c r="T473" s="4">
        <f t="shared" si="284"/>
        <v>-2.9140821785008605E-3</v>
      </c>
      <c r="U473" s="4">
        <f t="shared" si="284"/>
        <v>-3.0069620055044937E-3</v>
      </c>
      <c r="V473" s="4">
        <f t="shared" si="284"/>
        <v>-3.100989117102861E-3</v>
      </c>
      <c r="W473" s="4">
        <f t="shared" si="284"/>
        <v>-3.1954013724699343E-3</v>
      </c>
      <c r="X473" s="4">
        <f t="shared" si="284"/>
        <v>-3.2909322214469731E-3</v>
      </c>
      <c r="Y473" s="4">
        <f t="shared" si="284"/>
        <v>-3.3868549480839923E-3</v>
      </c>
      <c r="Z473" s="4">
        <f t="shared" si="284"/>
        <v>-3.4828891622092099E-3</v>
      </c>
      <c r="AA473" s="4">
        <f t="shared" si="284"/>
        <v>-3.5788247436106067E-3</v>
      </c>
      <c r="AB473" s="4">
        <f t="shared" si="284"/>
        <v>-3.6729265662319823E-3</v>
      </c>
      <c r="AC473" s="4">
        <f t="shared" si="284"/>
        <v>-3.7660081411699038E-3</v>
      </c>
      <c r="AD473" s="4">
        <f t="shared" si="284"/>
        <v>-3.8583133793135449E-3</v>
      </c>
      <c r="AE473" s="4">
        <f t="shared" si="284"/>
        <v>-3.9497538546231356E-3</v>
      </c>
      <c r="AF473" s="4">
        <f t="shared" si="284"/>
        <v>-4.0402076079370207E-3</v>
      </c>
      <c r="AG473" s="4">
        <f t="shared" si="284"/>
        <v>-4.129557712242795E-3</v>
      </c>
      <c r="AH473" s="4">
        <f t="shared" si="284"/>
        <v>-4.2169461883970263E-3</v>
      </c>
      <c r="AI473" s="4">
        <f t="shared" si="284"/>
        <v>-4.3028739185076974E-3</v>
      </c>
      <c r="AJ473" s="4">
        <f t="shared" si="284"/>
        <v>-4.3873763982624978E-3</v>
      </c>
      <c r="AK473" s="4">
        <f t="shared" si="284"/>
        <v>-4.4704197183910018E-3</v>
      </c>
      <c r="AL473" s="4">
        <f t="shared" si="284"/>
        <v>-4.5519711225085729E-3</v>
      </c>
      <c r="AM473" s="4">
        <f t="shared" ref="AM473:BC473" si="285">(AM446-AM459)/AM$458</f>
        <v>-4.6253320502150771E-3</v>
      </c>
      <c r="AN473" s="4">
        <f t="shared" si="285"/>
        <v>-4.6959261741311145E-3</v>
      </c>
      <c r="AO473" s="4">
        <f t="shared" si="285"/>
        <v>-4.764731488292131E-3</v>
      </c>
      <c r="AP473" s="4">
        <f t="shared" si="285"/>
        <v>-4.8319826280533128E-3</v>
      </c>
      <c r="AQ473" s="4">
        <f t="shared" si="285"/>
        <v>-4.8978042107937847E-3</v>
      </c>
      <c r="AR473" s="4">
        <f t="shared" si="285"/>
        <v>-4.9613437126499087E-3</v>
      </c>
      <c r="AS473" s="4">
        <f t="shared" si="285"/>
        <v>-5.0234483787845435E-3</v>
      </c>
      <c r="AT473" s="4">
        <f t="shared" si="285"/>
        <v>-5.0843568881012088E-3</v>
      </c>
      <c r="AU473" s="4">
        <f t="shared" si="285"/>
        <v>-5.1441970254499916E-3</v>
      </c>
      <c r="AV473" s="4">
        <f t="shared" si="285"/>
        <v>-5.2030731194469219E-3</v>
      </c>
      <c r="AW473" s="4">
        <f t="shared" si="285"/>
        <v>-5.2580011118072466E-3</v>
      </c>
      <c r="AX473" s="4">
        <f t="shared" si="285"/>
        <v>-5.3115127684213318E-3</v>
      </c>
      <c r="AY473" s="4">
        <f t="shared" si="285"/>
        <v>-5.3641999461569757E-3</v>
      </c>
      <c r="AZ473" s="4">
        <f t="shared" si="285"/>
        <v>-5.4160913428908499E-3</v>
      </c>
      <c r="BA473" s="4">
        <f t="shared" si="285"/>
        <v>-5.4671817627782544E-3</v>
      </c>
      <c r="BB473" s="4">
        <f t="shared" si="285"/>
        <v>-5.5156932759737624E-3</v>
      </c>
      <c r="BC473" s="4">
        <f t="shared" si="285"/>
        <v>-5.5631488321743906E-3</v>
      </c>
      <c r="BD473" s="4">
        <f t="shared" ref="BD473:BF473" si="286">(BD446-BD459)/BD$458</f>
        <v>-5.6099290843663625E-3</v>
      </c>
      <c r="BE473" s="4">
        <f t="shared" si="286"/>
        <v>-5.6562056165918523E-3</v>
      </c>
      <c r="BF473" s="4">
        <f t="shared" si="286"/>
        <v>-5.7020979293089464E-3</v>
      </c>
    </row>
    <row r="474" spans="1:58" x14ac:dyDescent="0.35">
      <c r="B474" t="s">
        <v>74</v>
      </c>
      <c r="C474" s="4">
        <f>(C447-C460)/C$458</f>
        <v>-4.3359086396116209E-3</v>
      </c>
      <c r="D474" s="4">
        <f t="shared" ref="D474:AL474" si="287">(D447-D460)/D$458</f>
        <v>-6.1175441403423193E-3</v>
      </c>
      <c r="E474" s="4">
        <f t="shared" si="287"/>
        <v>-7.4700078681156686E-3</v>
      </c>
      <c r="F474" s="4">
        <f t="shared" si="287"/>
        <v>-8.6681314339727578E-3</v>
      </c>
      <c r="G474" s="4">
        <f t="shared" si="287"/>
        <v>-9.7168746949871185E-3</v>
      </c>
      <c r="H474" s="4">
        <f t="shared" si="287"/>
        <v>-1.0657608431910328E-2</v>
      </c>
      <c r="I474" s="4">
        <f t="shared" si="287"/>
        <v>-1.1522886979326288E-2</v>
      </c>
      <c r="J474" s="4">
        <f t="shared" si="287"/>
        <v>-1.2302704723070493E-2</v>
      </c>
      <c r="K474" s="4">
        <f t="shared" si="287"/>
        <v>-1.2986834313130144E-2</v>
      </c>
      <c r="L474" s="4">
        <f t="shared" si="287"/>
        <v>-1.3577464409970518E-2</v>
      </c>
      <c r="M474" s="4">
        <f t="shared" si="287"/>
        <v>-1.4086394721096705E-2</v>
      </c>
      <c r="N474" s="4">
        <f t="shared" si="287"/>
        <v>-1.4546797536052022E-2</v>
      </c>
      <c r="O474" s="4">
        <f t="shared" si="287"/>
        <v>-1.4963080211864013E-2</v>
      </c>
      <c r="P474" s="4">
        <f t="shared" si="287"/>
        <v>-1.5346170967980778E-2</v>
      </c>
      <c r="Q474" s="4">
        <f t="shared" si="287"/>
        <v>-1.5706644719407185E-2</v>
      </c>
      <c r="R474" s="4">
        <f t="shared" si="287"/>
        <v>-1.6052894572506839E-2</v>
      </c>
      <c r="S474" s="4">
        <f t="shared" si="287"/>
        <v>-1.6407558361863091E-2</v>
      </c>
      <c r="T474" s="4">
        <f t="shared" si="287"/>
        <v>-1.6763821599105326E-2</v>
      </c>
      <c r="U474" s="4">
        <f t="shared" si="287"/>
        <v>-1.7122838343402443E-2</v>
      </c>
      <c r="V474" s="4">
        <f t="shared" si="287"/>
        <v>-1.7486337087684184E-2</v>
      </c>
      <c r="W474" s="4">
        <f t="shared" si="287"/>
        <v>-1.7855812142036801E-2</v>
      </c>
      <c r="X474" s="4">
        <f t="shared" si="287"/>
        <v>-1.8231526312824563E-2</v>
      </c>
      <c r="Y474" s="4">
        <f t="shared" si="287"/>
        <v>-1.8613851363313207E-2</v>
      </c>
      <c r="Z474" s="4">
        <f t="shared" si="287"/>
        <v>-1.9003263938192558E-2</v>
      </c>
      <c r="AA474" s="4">
        <f t="shared" si="287"/>
        <v>-1.9399743147644036E-2</v>
      </c>
      <c r="AB474" s="4">
        <f t="shared" si="287"/>
        <v>-1.9802791684687984E-2</v>
      </c>
      <c r="AC474" s="4">
        <f t="shared" si="287"/>
        <v>-2.0205601411058996E-2</v>
      </c>
      <c r="AD474" s="4">
        <f t="shared" si="287"/>
        <v>-2.0610599325537236E-2</v>
      </c>
      <c r="AE474" s="4">
        <f t="shared" si="287"/>
        <v>-2.1017926186973047E-2</v>
      </c>
      <c r="AF474" s="4">
        <f t="shared" si="287"/>
        <v>-2.142700852361815E-2</v>
      </c>
      <c r="AG474" s="4">
        <f t="shared" si="287"/>
        <v>-2.1837416307145217E-2</v>
      </c>
      <c r="AH474" s="4">
        <f t="shared" si="287"/>
        <v>-2.2245281142136749E-2</v>
      </c>
      <c r="AI474" s="4">
        <f t="shared" si="287"/>
        <v>-2.2651741694338978E-2</v>
      </c>
      <c r="AJ474" s="4">
        <f t="shared" si="287"/>
        <v>-2.3056130580104122E-2</v>
      </c>
      <c r="AK474" s="4">
        <f t="shared" si="287"/>
        <v>-2.3457583486754342E-2</v>
      </c>
      <c r="AL474" s="4">
        <f t="shared" si="287"/>
        <v>-2.3855386457618227E-2</v>
      </c>
      <c r="AM474" s="4">
        <f t="shared" ref="AM474:BC474" si="288">(AM447-AM460)/AM$458</f>
        <v>-2.4223047277620639E-2</v>
      </c>
      <c r="AN474" s="4">
        <f t="shared" si="288"/>
        <v>-2.4578554543877428E-2</v>
      </c>
      <c r="AO474" s="4">
        <f t="shared" si="288"/>
        <v>-2.4925274204150794E-2</v>
      </c>
      <c r="AP474" s="4">
        <f t="shared" si="288"/>
        <v>-2.5264866514743255E-2</v>
      </c>
      <c r="AQ474" s="4">
        <f t="shared" si="288"/>
        <v>-2.5599062200852493E-2</v>
      </c>
      <c r="AR474" s="4">
        <f t="shared" si="288"/>
        <v>-2.5925772485572048E-2</v>
      </c>
      <c r="AS474" s="4">
        <f t="shared" si="288"/>
        <v>-2.624952786466779E-2</v>
      </c>
      <c r="AT474" s="4">
        <f t="shared" si="288"/>
        <v>-2.6572575208238705E-2</v>
      </c>
      <c r="AU474" s="4">
        <f t="shared" si="288"/>
        <v>-2.689660174141879E-2</v>
      </c>
      <c r="AV474" s="4">
        <f t="shared" si="288"/>
        <v>-2.7222657953070977E-2</v>
      </c>
      <c r="AW474" s="4">
        <f t="shared" si="288"/>
        <v>-2.7535273155475007E-2</v>
      </c>
      <c r="AX474" s="4">
        <f t="shared" si="288"/>
        <v>-2.784186836823898E-2</v>
      </c>
      <c r="AY474" s="4">
        <f t="shared" si="288"/>
        <v>-2.8141821104820119E-2</v>
      </c>
      <c r="AZ474" s="4">
        <f t="shared" si="288"/>
        <v>-2.8438543585887356E-2</v>
      </c>
      <c r="BA474" s="4">
        <f t="shared" si="288"/>
        <v>-2.8735360542645468E-2</v>
      </c>
      <c r="BB474" s="4">
        <f t="shared" si="288"/>
        <v>-2.9026737588073327E-2</v>
      </c>
      <c r="BC474" s="4">
        <f t="shared" si="288"/>
        <v>-2.931908004748426E-2</v>
      </c>
      <c r="BD474" s="4">
        <f t="shared" ref="BD474:BF474" si="289">(BD447-BD460)/BD$458</f>
        <v>-2.961447130622899E-2</v>
      </c>
      <c r="BE474" s="4">
        <f t="shared" si="289"/>
        <v>-2.9914417716128291E-2</v>
      </c>
      <c r="BF474" s="4">
        <f t="shared" si="289"/>
        <v>-3.0220377092266354E-2</v>
      </c>
    </row>
    <row r="475" spans="1:58" x14ac:dyDescent="0.35">
      <c r="B475" t="s">
        <v>54</v>
      </c>
      <c r="C475" s="4">
        <f>(C451-C464)/C$458</f>
        <v>-3.145522240174023E-3</v>
      </c>
      <c r="D475" s="4">
        <f t="shared" ref="D475:AL475" si="290">(D451-D464)/D$458</f>
        <v>-4.4380432234045562E-3</v>
      </c>
      <c r="E475" s="4">
        <f t="shared" si="290"/>
        <v>-5.3672007952593427E-3</v>
      </c>
      <c r="F475" s="4">
        <f t="shared" si="290"/>
        <v>-6.1272965135809321E-3</v>
      </c>
      <c r="G475" s="4">
        <f t="shared" si="290"/>
        <v>-6.721889150442615E-3</v>
      </c>
      <c r="H475" s="4">
        <f t="shared" si="290"/>
        <v>-7.248255308339965E-3</v>
      </c>
      <c r="I475" s="4">
        <f t="shared" si="290"/>
        <v>-7.7725615425076576E-3</v>
      </c>
      <c r="J475" s="4">
        <f t="shared" si="290"/>
        <v>-8.261728087201237E-3</v>
      </c>
      <c r="K475" s="4">
        <f t="shared" si="290"/>
        <v>-8.6981020546344646E-3</v>
      </c>
      <c r="L475" s="4">
        <f t="shared" si="290"/>
        <v>-9.0779808182578289E-3</v>
      </c>
      <c r="M475" s="4">
        <f t="shared" si="290"/>
        <v>-9.4082826458813749E-3</v>
      </c>
      <c r="N475" s="4">
        <f t="shared" si="290"/>
        <v>-9.7066431389659733E-3</v>
      </c>
      <c r="O475" s="4">
        <f t="shared" si="290"/>
        <v>-9.9761904241429718E-3</v>
      </c>
      <c r="P475" s="4">
        <f t="shared" si="290"/>
        <v>-1.0224470792326279E-2</v>
      </c>
      <c r="Q475" s="4">
        <f t="shared" si="290"/>
        <v>-1.0460666525807343E-2</v>
      </c>
      <c r="R475" s="4">
        <f t="shared" si="290"/>
        <v>-1.0690973937312371E-2</v>
      </c>
      <c r="S475" s="4">
        <f t="shared" si="290"/>
        <v>-1.0930656170543984E-2</v>
      </c>
      <c r="T475" s="4">
        <f t="shared" si="290"/>
        <v>-1.1174343107774288E-2</v>
      </c>
      <c r="U475" s="4">
        <f t="shared" si="290"/>
        <v>-1.1422419414175638E-2</v>
      </c>
      <c r="V475" s="4">
        <f t="shared" si="290"/>
        <v>-1.1675590291795197E-2</v>
      </c>
      <c r="W475" s="4">
        <f t="shared" si="290"/>
        <v>-1.1932925867998172E-2</v>
      </c>
      <c r="X475" s="4">
        <f t="shared" si="290"/>
        <v>-1.2196591148882795E-2</v>
      </c>
      <c r="Y475" s="4">
        <f t="shared" si="290"/>
        <v>-1.2465339064603786E-2</v>
      </c>
      <c r="Z475" s="4">
        <f t="shared" si="290"/>
        <v>-1.2738758955971815E-2</v>
      </c>
      <c r="AA475" s="4">
        <f t="shared" si="290"/>
        <v>-1.3016317449509528E-2</v>
      </c>
      <c r="AB475" s="4">
        <f t="shared" si="290"/>
        <v>-1.3293458722957232E-2</v>
      </c>
      <c r="AC475" s="4">
        <f t="shared" si="290"/>
        <v>-1.3570495784368742E-2</v>
      </c>
      <c r="AD475" s="4">
        <f t="shared" si="290"/>
        <v>-1.3847845318216275E-2</v>
      </c>
      <c r="AE475" s="4">
        <f t="shared" si="290"/>
        <v>-1.4125006792792924E-2</v>
      </c>
      <c r="AF475" s="4">
        <f t="shared" si="290"/>
        <v>-1.4400604127762602E-2</v>
      </c>
      <c r="AG475" s="4">
        <f t="shared" si="290"/>
        <v>-1.467451228534431E-2</v>
      </c>
      <c r="AH475" s="4">
        <f t="shared" si="290"/>
        <v>-1.4944177265657598E-2</v>
      </c>
      <c r="AI475" s="4">
        <f t="shared" si="290"/>
        <v>-1.5210440366279157E-2</v>
      </c>
      <c r="AJ475" s="4">
        <f t="shared" si="290"/>
        <v>-1.5472792918081337E-2</v>
      </c>
      <c r="AK475" s="4">
        <f t="shared" si="290"/>
        <v>-1.5730585558442561E-2</v>
      </c>
      <c r="AL475" s="4">
        <f t="shared" si="290"/>
        <v>-1.5983275017862231E-2</v>
      </c>
      <c r="AM475" s="4">
        <f t="shared" ref="AM475:BC475" si="291">(AM451-AM464)/AM$458</f>
        <v>-1.6212464514699647E-2</v>
      </c>
      <c r="AN475" s="4">
        <f t="shared" si="291"/>
        <v>-1.643152893971166E-2</v>
      </c>
      <c r="AO475" s="4">
        <f t="shared" si="291"/>
        <v>-1.6642313477166205E-2</v>
      </c>
      <c r="AP475" s="4">
        <f t="shared" si="291"/>
        <v>-1.6845393667436457E-2</v>
      </c>
      <c r="AQ475" s="4">
        <f t="shared" si="291"/>
        <v>-1.7041517887622003E-2</v>
      </c>
      <c r="AR475" s="4">
        <f t="shared" si="291"/>
        <v>-1.7229050844351838E-2</v>
      </c>
      <c r="AS475" s="4">
        <f t="shared" si="291"/>
        <v>-1.7410877243702726E-2</v>
      </c>
      <c r="AT475" s="4">
        <f t="shared" si="291"/>
        <v>-1.7588146451819203E-2</v>
      </c>
      <c r="AU475" s="4">
        <f t="shared" si="291"/>
        <v>-1.7761512763918387E-2</v>
      </c>
      <c r="AV475" s="4">
        <f t="shared" si="291"/>
        <v>-1.7930956219189241E-2</v>
      </c>
      <c r="AW475" s="4">
        <f t="shared" si="291"/>
        <v>-1.8085110983542482E-2</v>
      </c>
      <c r="AX475" s="4">
        <f t="shared" si="291"/>
        <v>-1.8226133660923089E-2</v>
      </c>
      <c r="AY475" s="4">
        <f t="shared" si="291"/>
        <v>-1.834444155757119E-2</v>
      </c>
      <c r="AZ475" s="4">
        <f t="shared" si="291"/>
        <v>-1.8454014804228629E-2</v>
      </c>
      <c r="BA475" s="4">
        <f t="shared" si="291"/>
        <v>-1.8566169980974451E-2</v>
      </c>
      <c r="BB475" s="4">
        <f t="shared" si="291"/>
        <v>-1.8679180696133359E-2</v>
      </c>
      <c r="BC475" s="4">
        <f t="shared" si="291"/>
        <v>-1.8795792537511201E-2</v>
      </c>
      <c r="BD475" s="4">
        <f t="shared" ref="BD475:BF475" si="292">(BD451-BD464)/BD$458</f>
        <v>-1.8914739852610989E-2</v>
      </c>
      <c r="BE475" s="4">
        <f t="shared" si="292"/>
        <v>-1.9034724938720795E-2</v>
      </c>
      <c r="BF475" s="4">
        <f t="shared" si="292"/>
        <v>-1.9155072137231565E-2</v>
      </c>
    </row>
    <row r="476" spans="1:58" x14ac:dyDescent="0.35">
      <c r="B476" t="s">
        <v>11</v>
      </c>
      <c r="C476" s="4">
        <f>(C452-C465)/C$458</f>
        <v>-3.3439331426400216E-3</v>
      </c>
      <c r="D476" s="4">
        <f t="shared" ref="D476:AL476" si="293">(D452-D465)/D$458</f>
        <v>-4.6735555210628988E-3</v>
      </c>
      <c r="E476" s="4">
        <f t="shared" si="293"/>
        <v>-5.5358995285262466E-3</v>
      </c>
      <c r="F476" s="4">
        <f t="shared" si="293"/>
        <v>-6.1570789093106596E-3</v>
      </c>
      <c r="G476" s="4">
        <f t="shared" si="293"/>
        <v>-6.5733650012484608E-3</v>
      </c>
      <c r="H476" s="4">
        <f t="shared" si="293"/>
        <v>-6.8738988538459625E-3</v>
      </c>
      <c r="I476" s="4">
        <f t="shared" si="293"/>
        <v>-7.1281908996468921E-3</v>
      </c>
      <c r="J476" s="4">
        <f t="shared" si="293"/>
        <v>-7.347525337824061E-3</v>
      </c>
      <c r="K476" s="4">
        <f t="shared" si="293"/>
        <v>-7.5213899143411799E-3</v>
      </c>
      <c r="L476" s="4">
        <f t="shared" si="293"/>
        <v>-7.6484229119437247E-3</v>
      </c>
      <c r="M476" s="4">
        <f t="shared" si="293"/>
        <v>-7.7403057745110658E-3</v>
      </c>
      <c r="N476" s="4">
        <f t="shared" si="293"/>
        <v>-7.8222273934234216E-3</v>
      </c>
      <c r="O476" s="4">
        <f t="shared" si="293"/>
        <v>-7.8997053097035232E-3</v>
      </c>
      <c r="P476" s="4">
        <f t="shared" si="293"/>
        <v>-7.9817643624247921E-3</v>
      </c>
      <c r="Q476" s="4">
        <f t="shared" si="293"/>
        <v>-8.0756687326968713E-3</v>
      </c>
      <c r="R476" s="4">
        <f t="shared" si="293"/>
        <v>-8.1863556343535829E-3</v>
      </c>
      <c r="S476" s="4">
        <f t="shared" si="293"/>
        <v>-8.3290918316568513E-3</v>
      </c>
      <c r="T476" s="4">
        <f t="shared" si="293"/>
        <v>-8.4966438641827045E-3</v>
      </c>
      <c r="U476" s="4">
        <f t="shared" si="293"/>
        <v>-8.6875098858779313E-3</v>
      </c>
      <c r="V476" s="4">
        <f t="shared" si="293"/>
        <v>-8.9005122862020891E-3</v>
      </c>
      <c r="W476" s="4">
        <f t="shared" si="293"/>
        <v>-9.1335808209968075E-3</v>
      </c>
      <c r="X476" s="4">
        <f t="shared" si="293"/>
        <v>-9.3857161874024136E-3</v>
      </c>
      <c r="Y476" s="4">
        <f t="shared" si="293"/>
        <v>-9.6544646151938505E-3</v>
      </c>
      <c r="Z476" s="4">
        <f t="shared" si="293"/>
        <v>-9.9378037348286357E-3</v>
      </c>
      <c r="AA476" s="4">
        <f t="shared" si="293"/>
        <v>-1.0233536868660287E-2</v>
      </c>
      <c r="AB476" s="4">
        <f t="shared" si="293"/>
        <v>-1.053755299359398E-2</v>
      </c>
      <c r="AC476" s="4">
        <f t="shared" si="293"/>
        <v>-1.0845551369412808E-2</v>
      </c>
      <c r="AD476" s="4">
        <f t="shared" si="293"/>
        <v>-1.1157728822766952E-2</v>
      </c>
      <c r="AE476" s="4">
        <f t="shared" si="293"/>
        <v>-1.1472924310173577E-2</v>
      </c>
      <c r="AF476" s="4">
        <f t="shared" si="293"/>
        <v>-1.1789868601177863E-2</v>
      </c>
      <c r="AG476" s="4">
        <f t="shared" si="293"/>
        <v>-1.2107224435649823E-2</v>
      </c>
      <c r="AH476" s="4">
        <f t="shared" si="293"/>
        <v>-1.2421235710999208E-2</v>
      </c>
      <c r="AI476" s="4">
        <f t="shared" si="293"/>
        <v>-1.2731948613369803E-2</v>
      </c>
      <c r="AJ476" s="4">
        <f t="shared" si="293"/>
        <v>-1.3038118587778855E-2</v>
      </c>
      <c r="AK476" s="4">
        <f t="shared" si="293"/>
        <v>-1.3338442280458468E-2</v>
      </c>
      <c r="AL476" s="4">
        <f t="shared" si="293"/>
        <v>-1.3631849353192303E-2</v>
      </c>
      <c r="AM476" s="4">
        <f t="shared" ref="AM476:BC476" si="294">(AM452-AM465)/AM$458</f>
        <v>-1.3898174548507017E-2</v>
      </c>
      <c r="AN476" s="4">
        <f t="shared" si="294"/>
        <v>-1.4151040228502236E-2</v>
      </c>
      <c r="AO476" s="4">
        <f t="shared" si="294"/>
        <v>-1.4393040579874417E-2</v>
      </c>
      <c r="AP476" s="4">
        <f t="shared" si="294"/>
        <v>-1.4625553183419978E-2</v>
      </c>
      <c r="AQ476" s="4">
        <f t="shared" si="294"/>
        <v>-1.4850110012789759E-2</v>
      </c>
      <c r="AR476" s="4">
        <f t="shared" si="294"/>
        <v>-1.5065461330937176E-2</v>
      </c>
      <c r="AS476" s="4">
        <f t="shared" si="294"/>
        <v>-1.5275166306990455E-2</v>
      </c>
      <c r="AT476" s="4">
        <f t="shared" si="294"/>
        <v>-1.5480977923233772E-2</v>
      </c>
      <c r="AU476" s="4">
        <f t="shared" si="294"/>
        <v>-1.56840799166954E-2</v>
      </c>
      <c r="AV476" s="4">
        <f t="shared" si="294"/>
        <v>-1.5884857040698315E-2</v>
      </c>
      <c r="AW476" s="4">
        <f t="shared" si="294"/>
        <v>-1.6069680001916616E-2</v>
      </c>
      <c r="AX476" s="4">
        <f t="shared" si="294"/>
        <v>-1.624077905611895E-2</v>
      </c>
      <c r="AY476" s="4">
        <f t="shared" si="294"/>
        <v>-1.6394843366522964E-2</v>
      </c>
      <c r="AZ476" s="4">
        <f t="shared" si="294"/>
        <v>-1.6535497013868247E-2</v>
      </c>
      <c r="BA476" s="4">
        <f t="shared" si="294"/>
        <v>-1.6666633584253739E-2</v>
      </c>
      <c r="BB476" s="4">
        <f t="shared" si="294"/>
        <v>-1.6784550160531979E-2</v>
      </c>
      <c r="BC476" s="4">
        <f t="shared" si="294"/>
        <v>-1.6893533031925975E-2</v>
      </c>
      <c r="BD476" s="4">
        <f t="shared" ref="BD476:BF476" si="295">(BD452-BD465)/BD$458</f>
        <v>-1.6994355049952198E-2</v>
      </c>
      <c r="BE476" s="4">
        <f t="shared" si="295"/>
        <v>-1.7087409653727667E-2</v>
      </c>
      <c r="BF476" s="4">
        <f t="shared" si="295"/>
        <v>-1.7173184605864325E-2</v>
      </c>
    </row>
    <row r="477" spans="1:58" x14ac:dyDescent="0.35">
      <c r="B477" t="s">
        <v>75</v>
      </c>
      <c r="C477" s="4">
        <f>(C453-C466)/C$458</f>
        <v>-2.4575698747142066E-3</v>
      </c>
      <c r="D477" s="4">
        <f t="shared" ref="D477:AL477" si="296">(D453-D466)/D$458</f>
        <v>-3.1414602054715638E-3</v>
      </c>
      <c r="E477" s="4">
        <f t="shared" si="296"/>
        <v>-3.5237966532561714E-3</v>
      </c>
      <c r="F477" s="4">
        <f t="shared" si="296"/>
        <v>-3.8137921664447749E-3</v>
      </c>
      <c r="G477" s="4">
        <f t="shared" si="296"/>
        <v>-4.042470813443568E-3</v>
      </c>
      <c r="H477" s="4">
        <f t="shared" si="296"/>
        <v>-4.2090762733945214E-3</v>
      </c>
      <c r="I477" s="4">
        <f t="shared" si="296"/>
        <v>-4.3393805480052648E-3</v>
      </c>
      <c r="J477" s="4">
        <f t="shared" si="296"/>
        <v>-4.4647586818593E-3</v>
      </c>
      <c r="K477" s="4">
        <f t="shared" si="296"/>
        <v>-4.5876054089247897E-3</v>
      </c>
      <c r="L477" s="4">
        <f t="shared" si="296"/>
        <v>-4.7056572026387506E-3</v>
      </c>
      <c r="M477" s="4">
        <f t="shared" si="296"/>
        <v>-4.8205667173494638E-3</v>
      </c>
      <c r="N477" s="4">
        <f t="shared" si="296"/>
        <v>-4.9399163290364785E-3</v>
      </c>
      <c r="O477" s="4">
        <f t="shared" si="296"/>
        <v>-5.060151856011887E-3</v>
      </c>
      <c r="P477" s="4">
        <f t="shared" si="296"/>
        <v>-5.1824734280807522E-3</v>
      </c>
      <c r="Q477" s="4">
        <f t="shared" si="296"/>
        <v>-5.3084365881804528E-3</v>
      </c>
      <c r="R477" s="4">
        <f t="shared" si="296"/>
        <v>-5.439232666032752E-3</v>
      </c>
      <c r="S477" s="4">
        <f t="shared" si="296"/>
        <v>-5.584773683613594E-3</v>
      </c>
      <c r="T477" s="4">
        <f t="shared" si="296"/>
        <v>-5.7380653749817762E-3</v>
      </c>
      <c r="U477" s="4">
        <f t="shared" si="296"/>
        <v>-5.8979606756758233E-3</v>
      </c>
      <c r="V477" s="4">
        <f t="shared" si="296"/>
        <v>-6.0639279558015553E-3</v>
      </c>
      <c r="W477" s="4">
        <f t="shared" si="296"/>
        <v>-6.2340170474994875E-3</v>
      </c>
      <c r="X477" s="4">
        <f t="shared" si="296"/>
        <v>-6.4103037128828786E-3</v>
      </c>
      <c r="Y477" s="4">
        <f t="shared" si="296"/>
        <v>-6.5908217988289997E-3</v>
      </c>
      <c r="Z477" s="4">
        <f t="shared" si="296"/>
        <v>-6.7748264312519789E-3</v>
      </c>
      <c r="AA477" s="4">
        <f t="shared" si="296"/>
        <v>-6.9616675429014421E-3</v>
      </c>
      <c r="AB477" s="4">
        <f t="shared" si="296"/>
        <v>-7.1463747112163519E-3</v>
      </c>
      <c r="AC477" s="4">
        <f t="shared" si="296"/>
        <v>-7.3317391189535661E-3</v>
      </c>
      <c r="AD477" s="4">
        <f t="shared" si="296"/>
        <v>-7.5178780143961748E-3</v>
      </c>
      <c r="AE477" s="4">
        <f t="shared" si="296"/>
        <v>-7.704505555485788E-3</v>
      </c>
      <c r="AF477" s="4">
        <f t="shared" si="296"/>
        <v>-7.8912416769208807E-3</v>
      </c>
      <c r="AG477" s="4">
        <f t="shared" si="296"/>
        <v>-8.0778262587308768E-3</v>
      </c>
      <c r="AH477" s="4">
        <f t="shared" si="296"/>
        <v>-8.2622045297329558E-3</v>
      </c>
      <c r="AI477" s="4">
        <f t="shared" si="296"/>
        <v>-8.4454334958233377E-3</v>
      </c>
      <c r="AJ477" s="4">
        <f t="shared" si="296"/>
        <v>-8.6273952890620117E-3</v>
      </c>
      <c r="AK477" s="4">
        <f t="shared" si="296"/>
        <v>-8.8078287734777005E-3</v>
      </c>
      <c r="AL477" s="4">
        <f t="shared" si="296"/>
        <v>-8.9865028637338643E-3</v>
      </c>
      <c r="AM477" s="4">
        <f t="shared" ref="AM477:BC477" si="297">(AM453-AM466)/AM$458</f>
        <v>-9.1476451890554877E-3</v>
      </c>
      <c r="AN477" s="4">
        <f t="shared" si="297"/>
        <v>-9.3042300235938059E-3</v>
      </c>
      <c r="AO477" s="4">
        <f t="shared" si="297"/>
        <v>-9.4583059298285182E-3</v>
      </c>
      <c r="AP477" s="4">
        <f t="shared" si="297"/>
        <v>-9.6105232148070239E-3</v>
      </c>
      <c r="AQ477" s="4">
        <f t="shared" si="297"/>
        <v>-9.761443149249642E-3</v>
      </c>
      <c r="AR477" s="4">
        <f t="shared" si="297"/>
        <v>-9.9094477005522569E-3</v>
      </c>
      <c r="AS477" s="4">
        <f t="shared" si="297"/>
        <v>-1.0056934254429644E-2</v>
      </c>
      <c r="AT477" s="4">
        <f t="shared" si="297"/>
        <v>-1.0204844632842693E-2</v>
      </c>
      <c r="AU477" s="4">
        <f t="shared" si="297"/>
        <v>-1.0353970412606399E-2</v>
      </c>
      <c r="AV477" s="4">
        <f t="shared" si="297"/>
        <v>-1.0505146268549148E-2</v>
      </c>
      <c r="AW477" s="4">
        <f t="shared" si="297"/>
        <v>-1.0652136930315803E-2</v>
      </c>
      <c r="AX477" s="4">
        <f t="shared" si="297"/>
        <v>-1.0790166388836047E-2</v>
      </c>
      <c r="AY477" s="4">
        <f t="shared" si="297"/>
        <v>-1.0919716669375214E-2</v>
      </c>
      <c r="AZ477" s="4">
        <f t="shared" si="297"/>
        <v>-1.104277331593485E-2</v>
      </c>
      <c r="BA477" s="4">
        <f t="shared" si="297"/>
        <v>-1.1161746422373936E-2</v>
      </c>
      <c r="BB477" s="4">
        <f t="shared" si="297"/>
        <v>-1.1274060895001069E-2</v>
      </c>
      <c r="BC477" s="4">
        <f t="shared" si="297"/>
        <v>-1.1383944662768606E-2</v>
      </c>
      <c r="BD477" s="4">
        <f t="shared" ref="BD477:BF477" si="298">(BD453-BD466)/BD$458</f>
        <v>-1.1492309377976651E-2</v>
      </c>
      <c r="BE477" s="4">
        <f t="shared" si="298"/>
        <v>-1.1599472975841839E-2</v>
      </c>
      <c r="BF477" s="4">
        <f t="shared" si="298"/>
        <v>-1.1705656220728094E-2</v>
      </c>
    </row>
    <row r="479" spans="1:58" x14ac:dyDescent="0.35">
      <c r="A479" s="12" t="s">
        <v>94</v>
      </c>
      <c r="B479" s="3" t="str">
        <f>[1]Results!E205</f>
        <v>YG_toe_2</v>
      </c>
      <c r="C479" s="3">
        <f>[1]Results!F205</f>
        <v>145.53472439999999</v>
      </c>
      <c r="D479" s="3">
        <f>[1]Results!G205</f>
        <v>145.99079760000001</v>
      </c>
      <c r="E479" s="3">
        <f>[1]Results!H205</f>
        <v>146.57395439999999</v>
      </c>
      <c r="F479" s="3">
        <f>[1]Results!I205</f>
        <v>147.3124277</v>
      </c>
      <c r="G479" s="3">
        <f>[1]Results!J205</f>
        <v>148.23586270000001</v>
      </c>
      <c r="H479" s="3">
        <f>[1]Results!K205</f>
        <v>149.3312099</v>
      </c>
      <c r="I479" s="3">
        <f>[1]Results!L205</f>
        <v>150.4790935</v>
      </c>
      <c r="J479" s="3">
        <f>[1]Results!M205</f>
        <v>151.7117461</v>
      </c>
      <c r="K479" s="3">
        <f>[1]Results!N205</f>
        <v>153.02190669999999</v>
      </c>
      <c r="L479" s="3">
        <f>[1]Results!O205</f>
        <v>154.39717640000001</v>
      </c>
      <c r="M479" s="3">
        <f>[1]Results!P205</f>
        <v>155.96483420000001</v>
      </c>
      <c r="N479" s="3">
        <f>[1]Results!Q205</f>
        <v>157.4599331</v>
      </c>
      <c r="O479" s="3">
        <f>[1]Results!R205</f>
        <v>158.96304749999999</v>
      </c>
      <c r="P479" s="3">
        <f>[1]Results!S205</f>
        <v>160.4771179</v>
      </c>
      <c r="Q479" s="3">
        <f>[1]Results!T205</f>
        <v>161.99995000000001</v>
      </c>
      <c r="R479" s="3">
        <f>[1]Results!U205</f>
        <v>163.52948939999999</v>
      </c>
      <c r="S479" s="3">
        <f>[1]Results!V205</f>
        <v>165.0508844</v>
      </c>
      <c r="T479" s="3">
        <f>[1]Results!W205</f>
        <v>166.5760075</v>
      </c>
      <c r="U479" s="3">
        <f>[1]Results!X205</f>
        <v>168.10664700000001</v>
      </c>
      <c r="V479" s="3">
        <f>[1]Results!Y205</f>
        <v>169.6444702</v>
      </c>
      <c r="W479" s="3">
        <f>[1]Results!Z205</f>
        <v>171.09004730000001</v>
      </c>
      <c r="X479" s="3">
        <f>[1]Results!AA205</f>
        <v>172.61715369999999</v>
      </c>
      <c r="Y479" s="3">
        <f>[1]Results!AB205</f>
        <v>174.17067259999999</v>
      </c>
      <c r="Z479" s="3">
        <f>[1]Results!AC205</f>
        <v>175.74588370000001</v>
      </c>
      <c r="AA479" s="3">
        <f>[1]Results!AD205</f>
        <v>177.3426441</v>
      </c>
      <c r="AB479" s="3">
        <f>[1]Results!AE205</f>
        <v>178.67476250000001</v>
      </c>
      <c r="AC479" s="3">
        <f>[1]Results!AF205</f>
        <v>180.0995029</v>
      </c>
      <c r="AD479" s="3">
        <f>[1]Results!AG205</f>
        <v>181.54356250000001</v>
      </c>
      <c r="AE479" s="3">
        <f>[1]Results!AH205</f>
        <v>183.00549419999999</v>
      </c>
      <c r="AF479" s="3">
        <f>[1]Results!AI205</f>
        <v>184.4879851</v>
      </c>
      <c r="AG479" s="3">
        <f>[1]Results!AJ205</f>
        <v>185.9940096</v>
      </c>
      <c r="AH479" s="3">
        <f>[1]Results!AK205</f>
        <v>187.52929900000001</v>
      </c>
      <c r="AI479" s="3">
        <f>[1]Results!AL205</f>
        <v>189.09335730000001</v>
      </c>
      <c r="AJ479" s="3">
        <f>[1]Results!AM205</f>
        <v>190.68752069999999</v>
      </c>
      <c r="AK479" s="3">
        <f>[1]Results!AN205</f>
        <v>192.31273640000001</v>
      </c>
      <c r="AL479" s="3">
        <f>[1]Results!AO205</f>
        <v>193.96951039999999</v>
      </c>
      <c r="AM479" s="3">
        <f>[1]Results!AP205</f>
        <v>195.61781930000001</v>
      </c>
      <c r="AN479" s="3">
        <f>[1]Results!AQ205</f>
        <v>197.28026209999999</v>
      </c>
      <c r="AO479" s="3">
        <f>[1]Results!AR205</f>
        <v>198.9628439</v>
      </c>
      <c r="AP479" s="3">
        <f>[1]Results!AS205</f>
        <v>200.6682984</v>
      </c>
      <c r="AQ479" s="3">
        <f>[1]Results!AT205</f>
        <v>202.39804129999999</v>
      </c>
      <c r="AR479" s="3">
        <f>[1]Results!AU205</f>
        <v>204.1571519</v>
      </c>
      <c r="AS479" s="3">
        <f>[1]Results!AV205</f>
        <v>205.94239780000001</v>
      </c>
      <c r="AT479" s="3">
        <f>[1]Results!AW205</f>
        <v>207.75362100000001</v>
      </c>
      <c r="AU479" s="3">
        <f>[1]Results!AX205</f>
        <v>209.5906463</v>
      </c>
      <c r="AV479" s="3">
        <f>[1]Results!AY205</f>
        <v>211.4532165</v>
      </c>
      <c r="AW479" s="3">
        <f>[1]Results!AZ205</f>
        <v>213.36248620000001</v>
      </c>
      <c r="AX479" s="3">
        <f>[1]Results!BA205</f>
        <v>215.3035788</v>
      </c>
      <c r="AY479" s="3">
        <f>[1]Results!BB205</f>
        <v>217.27612930000001</v>
      </c>
      <c r="AZ479" s="3">
        <f>[1]Results!BC205</f>
        <v>219.2802509</v>
      </c>
      <c r="BA479" s="3">
        <f>[1]Results!BD205</f>
        <v>221.31571500000001</v>
      </c>
      <c r="BB479" s="3">
        <f>[1]Results!BE205</f>
        <v>223.39109690000001</v>
      </c>
      <c r="BC479" s="3">
        <f>[1]Results!BF205</f>
        <v>225.49818529999999</v>
      </c>
      <c r="BD479" s="3">
        <f>[1]Results!BG205</f>
        <v>227.63586559999999</v>
      </c>
      <c r="BE479" s="3">
        <f>[1]Results!BH205</f>
        <v>229.8035409</v>
      </c>
      <c r="BF479" s="3">
        <f>[1]Results!BI205</f>
        <v>232.00082040000001</v>
      </c>
    </row>
    <row r="480" spans="1:58" x14ac:dyDescent="0.35">
      <c r="A480" t="s">
        <v>39</v>
      </c>
      <c r="B480" s="3" t="str">
        <f>[1]Results!E206</f>
        <v>YG_toe_ccoa_2</v>
      </c>
      <c r="C480" s="3">
        <f>[1]Results!F206</f>
        <v>2.3165270769999999</v>
      </c>
      <c r="D480" s="3">
        <f>[1]Results!G206</f>
        <v>2.3196937989999999</v>
      </c>
      <c r="E480" s="3">
        <f>[1]Results!H206</f>
        <v>2.3349223960000001</v>
      </c>
      <c r="F480" s="3">
        <f>[1]Results!I206</f>
        <v>2.3547564780000001</v>
      </c>
      <c r="G480" s="3">
        <f>[1]Results!J206</f>
        <v>2.377738865</v>
      </c>
      <c r="H480" s="3">
        <f>[1]Results!K206</f>
        <v>2.403290154</v>
      </c>
      <c r="I480" s="3">
        <f>[1]Results!L206</f>
        <v>2.4294898210000002</v>
      </c>
      <c r="J480" s="3">
        <f>[1]Results!M206</f>
        <v>2.457065359</v>
      </c>
      <c r="K480" s="3">
        <f>[1]Results!N206</f>
        <v>2.485962716</v>
      </c>
      <c r="L480" s="3">
        <f>[1]Results!O206</f>
        <v>2.5159975339999998</v>
      </c>
      <c r="M480" s="3">
        <f>[1]Results!P206</f>
        <v>2.5494297160000001</v>
      </c>
      <c r="N480" s="3">
        <f>[1]Results!Q206</f>
        <v>2.58166304</v>
      </c>
      <c r="O480" s="3">
        <f>[1]Results!R206</f>
        <v>2.614151906</v>
      </c>
      <c r="P480" s="3">
        <f>[1]Results!S206</f>
        <v>2.6471174560000001</v>
      </c>
      <c r="Q480" s="3">
        <f>[1]Results!T206</f>
        <v>2.6805578470000002</v>
      </c>
      <c r="R480" s="3">
        <f>[1]Results!U206</f>
        <v>2.7144492260000002</v>
      </c>
      <c r="S480" s="3">
        <f>[1]Results!V206</f>
        <v>2.7484430620000002</v>
      </c>
      <c r="T480" s="3">
        <f>[1]Results!W206</f>
        <v>2.7828129750000001</v>
      </c>
      <c r="U480" s="3">
        <f>[1]Results!X206</f>
        <v>2.817624098</v>
      </c>
      <c r="V480" s="3">
        <f>[1]Results!Y206</f>
        <v>2.8529055290000001</v>
      </c>
      <c r="W480" s="3">
        <f>[1]Results!Z206</f>
        <v>2.8869122090000001</v>
      </c>
      <c r="X480" s="3">
        <f>[1]Results!AA206</f>
        <v>2.9226551459999999</v>
      </c>
      <c r="Y480" s="3">
        <f>[1]Results!AB206</f>
        <v>2.9592064499999999</v>
      </c>
      <c r="Z480" s="3">
        <f>[1]Results!AC206</f>
        <v>2.9963990389999999</v>
      </c>
      <c r="AA480" s="3">
        <f>[1]Results!AD206</f>
        <v>3.0342149169999999</v>
      </c>
      <c r="AB480" s="3">
        <f>[1]Results!AE206</f>
        <v>3.0676091670000001</v>
      </c>
      <c r="AC480" s="3">
        <f>[1]Results!AF206</f>
        <v>3.102847658</v>
      </c>
      <c r="AD480" s="3">
        <f>[1]Results!AG206</f>
        <v>3.1387343219999999</v>
      </c>
      <c r="AE480" s="3">
        <f>[1]Results!AH206</f>
        <v>3.175073604</v>
      </c>
      <c r="AF480" s="3">
        <f>[1]Results!AI206</f>
        <v>3.211866133</v>
      </c>
      <c r="AG480" s="3">
        <f>[1]Results!AJ206</f>
        <v>3.2491431569999998</v>
      </c>
      <c r="AH480" s="3">
        <f>[1]Results!AK206</f>
        <v>3.287010166</v>
      </c>
      <c r="AI480" s="3">
        <f>[1]Results!AL206</f>
        <v>3.3254299289999998</v>
      </c>
      <c r="AJ480" s="3">
        <f>[1]Results!AM206</f>
        <v>3.364404446</v>
      </c>
      <c r="AK480" s="3">
        <f>[1]Results!AN206</f>
        <v>3.4039371009999999</v>
      </c>
      <c r="AL480" s="3">
        <f>[1]Results!AO206</f>
        <v>3.4440269959999998</v>
      </c>
      <c r="AM480" s="3">
        <f>[1]Results!AP206</f>
        <v>3.4841308139999998</v>
      </c>
      <c r="AN480" s="3">
        <f>[1]Results!AQ206</f>
        <v>3.5245228119999998</v>
      </c>
      <c r="AO480" s="3">
        <f>[1]Results!AR206</f>
        <v>3.5652716180000001</v>
      </c>
      <c r="AP480" s="3">
        <f>[1]Results!AS206</f>
        <v>3.606400109</v>
      </c>
      <c r="AQ480" s="3">
        <f>[1]Results!AT206</f>
        <v>3.647921384</v>
      </c>
      <c r="AR480" s="3">
        <f>[1]Results!AU206</f>
        <v>3.6899522820000001</v>
      </c>
      <c r="AS480" s="3">
        <f>[1]Results!AV206</f>
        <v>3.7324193540000001</v>
      </c>
      <c r="AT480" s="3">
        <f>[1]Results!AW206</f>
        <v>3.7753132090000001</v>
      </c>
      <c r="AU480" s="3">
        <f>[1]Results!AX206</f>
        <v>3.818634174</v>
      </c>
      <c r="AV480" s="3">
        <f>[1]Results!AY206</f>
        <v>3.8623825940000001</v>
      </c>
      <c r="AW480" s="3">
        <f>[1]Results!AZ206</f>
        <v>3.9070311910000002</v>
      </c>
      <c r="AX480" s="3">
        <f>[1]Results!BA206</f>
        <v>3.952237797</v>
      </c>
      <c r="AY480" s="3">
        <f>[1]Results!BB206</f>
        <v>3.997937657</v>
      </c>
      <c r="AZ480" s="3">
        <f>[1]Results!BC206</f>
        <v>4.0441157969999999</v>
      </c>
      <c r="BA480" s="3">
        <f>[1]Results!BD206</f>
        <v>4.090765019</v>
      </c>
      <c r="BB480" s="3">
        <f>[1]Results!BE206</f>
        <v>4.1381045490000004</v>
      </c>
      <c r="BC480" s="3">
        <f>[1]Results!BF206</f>
        <v>4.1859569900000002</v>
      </c>
      <c r="BD480" s="3">
        <f>[1]Results!BG206</f>
        <v>4.234285195</v>
      </c>
      <c r="BE480" s="3">
        <f>[1]Results!BH206</f>
        <v>4.2830790509999996</v>
      </c>
      <c r="BF480" s="3">
        <f>[1]Results!BI206</f>
        <v>4.3323346740000002</v>
      </c>
    </row>
    <row r="481" spans="1:58" x14ac:dyDescent="0.35">
      <c r="B481" s="3" t="s">
        <v>74</v>
      </c>
      <c r="C481" s="3">
        <f>SUM(C482:C484)</f>
        <v>50.353146273999997</v>
      </c>
      <c r="D481" s="3">
        <f t="shared" ref="D481:AL481" si="299">SUM(D482:D484)</f>
        <v>50.433644611999995</v>
      </c>
      <c r="E481" s="3">
        <f t="shared" si="299"/>
        <v>50.542293614999998</v>
      </c>
      <c r="F481" s="3">
        <f t="shared" si="299"/>
        <v>50.718493851000005</v>
      </c>
      <c r="G481" s="3">
        <f t="shared" si="299"/>
        <v>50.978715125999997</v>
      </c>
      <c r="H481" s="3">
        <f t="shared" si="299"/>
        <v>51.318001738</v>
      </c>
      <c r="I481" s="3">
        <f t="shared" si="299"/>
        <v>51.697707432000001</v>
      </c>
      <c r="J481" s="3">
        <f t="shared" si="299"/>
        <v>52.123850792000006</v>
      </c>
      <c r="K481" s="3">
        <f t="shared" si="299"/>
        <v>52.589278870000001</v>
      </c>
      <c r="L481" s="3">
        <f t="shared" si="299"/>
        <v>53.086811230999999</v>
      </c>
      <c r="M481" s="3">
        <f t="shared" si="299"/>
        <v>53.652712397000002</v>
      </c>
      <c r="N481" s="3">
        <f t="shared" si="299"/>
        <v>54.205850107000003</v>
      </c>
      <c r="O481" s="3">
        <f t="shared" si="299"/>
        <v>54.770515087</v>
      </c>
      <c r="P481" s="3">
        <f t="shared" si="299"/>
        <v>55.345878729999995</v>
      </c>
      <c r="Q481" s="3">
        <f t="shared" si="299"/>
        <v>55.930051531000004</v>
      </c>
      <c r="R481" s="3">
        <f t="shared" si="299"/>
        <v>56.521460961999999</v>
      </c>
      <c r="S481" s="3">
        <f t="shared" si="299"/>
        <v>57.114335738000001</v>
      </c>
      <c r="T481" s="3">
        <f t="shared" si="299"/>
        <v>57.711975787999997</v>
      </c>
      <c r="U481" s="3">
        <f t="shared" si="299"/>
        <v>58.31428947900001</v>
      </c>
      <c r="V481" s="3">
        <f t="shared" si="299"/>
        <v>58.921165909999999</v>
      </c>
      <c r="W481" s="3">
        <f t="shared" si="299"/>
        <v>59.501802892999997</v>
      </c>
      <c r="X481" s="3">
        <f t="shared" si="299"/>
        <v>60.108026401000004</v>
      </c>
      <c r="Y481" s="3">
        <f t="shared" si="299"/>
        <v>60.722219316000007</v>
      </c>
      <c r="Z481" s="3">
        <f t="shared" si="299"/>
        <v>61.343100781000004</v>
      </c>
      <c r="AA481" s="3">
        <f t="shared" si="299"/>
        <v>61.970558883999999</v>
      </c>
      <c r="AB481" s="3">
        <f t="shared" si="299"/>
        <v>62.516941719000002</v>
      </c>
      <c r="AC481" s="3">
        <f t="shared" si="299"/>
        <v>63.090054694999999</v>
      </c>
      <c r="AD481" s="3">
        <f t="shared" si="299"/>
        <v>63.665501159999998</v>
      </c>
      <c r="AE481" s="3">
        <f t="shared" si="299"/>
        <v>64.243198836000005</v>
      </c>
      <c r="AF481" s="3">
        <f t="shared" si="299"/>
        <v>64.824378201000002</v>
      </c>
      <c r="AG481" s="3">
        <f t="shared" si="299"/>
        <v>65.410306953000003</v>
      </c>
      <c r="AH481" s="3">
        <f t="shared" si="299"/>
        <v>66.003121898000003</v>
      </c>
      <c r="AI481" s="3">
        <f t="shared" si="299"/>
        <v>66.602809989000008</v>
      </c>
      <c r="AJ481" s="3">
        <f t="shared" si="299"/>
        <v>67.209957451999998</v>
      </c>
      <c r="AK481" s="3">
        <f t="shared" si="299"/>
        <v>67.825011524999994</v>
      </c>
      <c r="AL481" s="3">
        <f t="shared" si="299"/>
        <v>68.448273458000003</v>
      </c>
      <c r="AM481" s="3">
        <f t="shared" ref="AM481:BC481" si="300">SUM(AM482:AM484)</f>
        <v>69.068372134000001</v>
      </c>
      <c r="AN481" s="3">
        <f t="shared" si="300"/>
        <v>69.691466919000007</v>
      </c>
      <c r="AO481" s="3">
        <f t="shared" si="300"/>
        <v>70.319029588999996</v>
      </c>
      <c r="AP481" s="3">
        <f t="shared" si="300"/>
        <v>70.951903006000009</v>
      </c>
      <c r="AQ481" s="3">
        <f t="shared" si="300"/>
        <v>71.590705370999999</v>
      </c>
      <c r="AR481" s="3">
        <f t="shared" si="300"/>
        <v>72.237378093000004</v>
      </c>
      <c r="AS481" s="3">
        <f t="shared" si="300"/>
        <v>72.89104994600001</v>
      </c>
      <c r="AT481" s="3">
        <f t="shared" si="300"/>
        <v>73.551861882999987</v>
      </c>
      <c r="AU481" s="3">
        <f t="shared" si="300"/>
        <v>74.219909545999997</v>
      </c>
      <c r="AV481" s="3">
        <f t="shared" si="300"/>
        <v>74.895214522000003</v>
      </c>
      <c r="AW481" s="3">
        <f t="shared" si="300"/>
        <v>75.584761479999997</v>
      </c>
      <c r="AX481" s="3">
        <f t="shared" si="300"/>
        <v>76.283483975999999</v>
      </c>
      <c r="AY481" s="3">
        <f t="shared" si="300"/>
        <v>76.991114668999998</v>
      </c>
      <c r="AZ481" s="3">
        <f t="shared" si="300"/>
        <v>77.707546278999999</v>
      </c>
      <c r="BA481" s="3">
        <f t="shared" si="300"/>
        <v>78.432590599999997</v>
      </c>
      <c r="BB481" s="3">
        <f t="shared" si="300"/>
        <v>79.169067636999998</v>
      </c>
      <c r="BC481" s="3">
        <f t="shared" si="300"/>
        <v>79.914111180999996</v>
      </c>
      <c r="BD481" s="3">
        <f t="shared" ref="BD481:BF481" si="301">SUM(BD482:BD484)</f>
        <v>80.667241266000005</v>
      </c>
      <c r="BE481" s="3">
        <f t="shared" si="301"/>
        <v>81.428133206999988</v>
      </c>
      <c r="BF481" s="3">
        <f t="shared" si="301"/>
        <v>82.196510602000004</v>
      </c>
    </row>
    <row r="482" spans="1:58" x14ac:dyDescent="0.35">
      <c r="B482" s="3" t="str">
        <f>[1]Results!E209</f>
        <v>YG_toe_ccoi_2</v>
      </c>
      <c r="C482" s="3">
        <f>[1]Results!F209</f>
        <v>1.0712190429999999</v>
      </c>
      <c r="D482" s="3">
        <f>[1]Results!G209</f>
        <v>1.0714434909999999</v>
      </c>
      <c r="E482" s="3">
        <f>[1]Results!H209</f>
        <v>1.074265077</v>
      </c>
      <c r="F482" s="3">
        <f>[1]Results!I209</f>
        <v>1.0786828429999999</v>
      </c>
      <c r="G482" s="3">
        <f>[1]Results!J209</f>
        <v>1.084784381</v>
      </c>
      <c r="H482" s="3">
        <f>[1]Results!K209</f>
        <v>1.0924590789999999</v>
      </c>
      <c r="I482" s="3">
        <f>[1]Results!L209</f>
        <v>1.100884041</v>
      </c>
      <c r="J482" s="3">
        <f>[1]Results!M209</f>
        <v>1.110174923</v>
      </c>
      <c r="K482" s="3">
        <f>[1]Results!N209</f>
        <v>1.1202323510000001</v>
      </c>
      <c r="L482" s="3">
        <f>[1]Results!O209</f>
        <v>1.1309211560000001</v>
      </c>
      <c r="M482" s="3">
        <f>[1]Results!P209</f>
        <v>1.143035067</v>
      </c>
      <c r="N482" s="3">
        <f>[1]Results!Q209</f>
        <v>1.1548684490000001</v>
      </c>
      <c r="O482" s="3">
        <f>[1]Results!R209</f>
        <v>1.166837852</v>
      </c>
      <c r="P482" s="3">
        <f>[1]Results!S209</f>
        <v>1.17899895</v>
      </c>
      <c r="Q482" s="3">
        <f>[1]Results!T209</f>
        <v>1.1913304199999999</v>
      </c>
      <c r="R482" s="3">
        <f>[1]Results!U209</f>
        <v>1.2038057689999999</v>
      </c>
      <c r="S482" s="3">
        <f>[1]Results!V209</f>
        <v>1.21629459</v>
      </c>
      <c r="T482" s="3">
        <f>[1]Results!W209</f>
        <v>1.2288728200000001</v>
      </c>
      <c r="U482" s="3">
        <f>[1]Results!X209</f>
        <v>1.241553602</v>
      </c>
      <c r="V482" s="3">
        <f>[1]Results!Y209</f>
        <v>1.2543397489999999</v>
      </c>
      <c r="W482" s="3">
        <f>[1]Results!Z209</f>
        <v>1.2665709999999999</v>
      </c>
      <c r="X482" s="3">
        <f>[1]Results!AA209</f>
        <v>1.2793304729999999</v>
      </c>
      <c r="Y482" s="3">
        <f>[1]Results!AB209</f>
        <v>1.2923230699999999</v>
      </c>
      <c r="Z482" s="3">
        <f>[1]Results!AC209</f>
        <v>1.305481882</v>
      </c>
      <c r="AA482" s="3">
        <f>[1]Results!AD209</f>
        <v>1.3187969690000001</v>
      </c>
      <c r="AB482" s="3">
        <f>[1]Results!AE209</f>
        <v>1.3303825220000001</v>
      </c>
      <c r="AC482" s="3">
        <f>[1]Results!AF209</f>
        <v>1.3424616819999999</v>
      </c>
      <c r="AD482" s="3">
        <f>[1]Results!AG209</f>
        <v>1.3546959160000001</v>
      </c>
      <c r="AE482" s="3">
        <f>[1]Results!AH209</f>
        <v>1.3670257480000001</v>
      </c>
      <c r="AF482" s="3">
        <f>[1]Results!AI209</f>
        <v>1.3794611290000001</v>
      </c>
      <c r="AG482" s="3">
        <f>[1]Results!AJ209</f>
        <v>1.3920226579999999</v>
      </c>
      <c r="AH482" s="3">
        <f>[1]Results!AK209</f>
        <v>1.4047549580000001</v>
      </c>
      <c r="AI482" s="3">
        <f>[1]Results!AL209</f>
        <v>1.4176550269999999</v>
      </c>
      <c r="AJ482" s="3">
        <f>[1]Results!AM209</f>
        <v>1.430731129</v>
      </c>
      <c r="AK482" s="3">
        <f>[1]Results!AN209</f>
        <v>1.4439910929999999</v>
      </c>
      <c r="AL482" s="3">
        <f>[1]Results!AO209</f>
        <v>1.4574402580000001</v>
      </c>
      <c r="AM482" s="3">
        <f>[1]Results!AP209</f>
        <v>1.4708559139999999</v>
      </c>
      <c r="AN482" s="3">
        <f>[1]Results!AQ209</f>
        <v>1.4843438790000001</v>
      </c>
      <c r="AO482" s="3">
        <f>[1]Results!AR209</f>
        <v>1.497944199</v>
      </c>
      <c r="AP482" s="3">
        <f>[1]Results!AS209</f>
        <v>1.511675326</v>
      </c>
      <c r="AQ482" s="3">
        <f>[1]Results!AT209</f>
        <v>1.525548701</v>
      </c>
      <c r="AR482" s="3">
        <f>[1]Results!AU209</f>
        <v>1.5396075330000001</v>
      </c>
      <c r="AS482" s="3">
        <f>[1]Results!AV209</f>
        <v>1.553831086</v>
      </c>
      <c r="AT482" s="3">
        <f>[1]Results!AW209</f>
        <v>1.568217553</v>
      </c>
      <c r="AU482" s="3">
        <f>[1]Results!AX209</f>
        <v>1.5827675059999999</v>
      </c>
      <c r="AV482" s="3">
        <f>[1]Results!AY209</f>
        <v>1.597480802</v>
      </c>
      <c r="AW482" s="3">
        <f>[1]Results!AZ209</f>
        <v>1.61251966</v>
      </c>
      <c r="AX482" s="3">
        <f>[1]Results!BA209</f>
        <v>1.627777456</v>
      </c>
      <c r="AY482" s="3">
        <f>[1]Results!BB209</f>
        <v>1.6432351890000001</v>
      </c>
      <c r="AZ482" s="3">
        <f>[1]Results!BC209</f>
        <v>1.6588895189999999</v>
      </c>
      <c r="BA482" s="3">
        <f>[1]Results!BD209</f>
        <v>1.6747373400000001</v>
      </c>
      <c r="BB482" s="3">
        <f>[1]Results!BE209</f>
        <v>1.6908479169999999</v>
      </c>
      <c r="BC482" s="3">
        <f>[1]Results!BF209</f>
        <v>1.7071599710000001</v>
      </c>
      <c r="BD482" s="3">
        <f>[1]Results!BG209</f>
        <v>1.723656426</v>
      </c>
      <c r="BE482" s="3">
        <f>[1]Results!BH209</f>
        <v>1.740329647</v>
      </c>
      <c r="BF482" s="3">
        <f>[1]Results!BI209</f>
        <v>1.7571741320000001</v>
      </c>
    </row>
    <row r="483" spans="1:58" x14ac:dyDescent="0.35">
      <c r="B483" s="3" t="str">
        <f>[1]Results!E212</f>
        <v>YG_toe_cfut_2</v>
      </c>
      <c r="C483" s="3">
        <f>[1]Results!F212</f>
        <v>41.452837279999997</v>
      </c>
      <c r="D483" s="3">
        <f>[1]Results!G212</f>
        <v>41.514928449999999</v>
      </c>
      <c r="E483" s="3">
        <f>[1]Results!H212</f>
        <v>41.599777060000001</v>
      </c>
      <c r="F483" s="3">
        <f>[1]Results!I212</f>
        <v>41.745330520000003</v>
      </c>
      <c r="G483" s="3">
        <f>[1]Results!J212</f>
        <v>41.96570517</v>
      </c>
      <c r="H483" s="3">
        <f>[1]Results!K212</f>
        <v>42.25612555</v>
      </c>
      <c r="I483" s="3">
        <f>[1]Results!L212</f>
        <v>42.584288090000001</v>
      </c>
      <c r="J483" s="3">
        <f>[1]Results!M212</f>
        <v>42.953657990000004</v>
      </c>
      <c r="K483" s="3">
        <f>[1]Results!N212</f>
        <v>43.356371850000002</v>
      </c>
      <c r="L483" s="3">
        <f>[1]Results!O212</f>
        <v>43.7855475</v>
      </c>
      <c r="M483" s="3">
        <f>[1]Results!P212</f>
        <v>44.270716180000001</v>
      </c>
      <c r="N483" s="3">
        <f>[1]Results!Q212</f>
        <v>44.744337010000002</v>
      </c>
      <c r="O483" s="3">
        <f>[1]Results!R212</f>
        <v>45.227852810000002</v>
      </c>
      <c r="P483" s="3">
        <f>[1]Results!S212</f>
        <v>45.720375099999998</v>
      </c>
      <c r="Q483" s="3">
        <f>[1]Results!T212</f>
        <v>46.220363949999999</v>
      </c>
      <c r="R483" s="3">
        <f>[1]Results!U212</f>
        <v>46.726571720000003</v>
      </c>
      <c r="S483" s="3">
        <f>[1]Results!V212</f>
        <v>47.234035040000002</v>
      </c>
      <c r="T483" s="3">
        <f>[1]Results!W212</f>
        <v>47.745718459999999</v>
      </c>
      <c r="U483" s="3">
        <f>[1]Results!X212</f>
        <v>48.261518090000003</v>
      </c>
      <c r="V483" s="3">
        <f>[1]Results!Y212</f>
        <v>48.781322189999997</v>
      </c>
      <c r="W483" s="3">
        <f>[1]Results!Z212</f>
        <v>49.279719139999997</v>
      </c>
      <c r="X483" s="3">
        <f>[1]Results!AA212</f>
        <v>49.799843240000001</v>
      </c>
      <c r="Y483" s="3">
        <f>[1]Results!AB212</f>
        <v>50.326384160000003</v>
      </c>
      <c r="Z483" s="3">
        <f>[1]Results!AC212</f>
        <v>50.858495920000003</v>
      </c>
      <c r="AA483" s="3">
        <f>[1]Results!AD212</f>
        <v>51.396147499999998</v>
      </c>
      <c r="AB483" s="3">
        <f>[1]Results!AE212</f>
        <v>51.867016560000003</v>
      </c>
      <c r="AC483" s="3">
        <f>[1]Results!AF212</f>
        <v>52.36133684</v>
      </c>
      <c r="AD483" s="3">
        <f>[1]Results!AG212</f>
        <v>52.857242679999999</v>
      </c>
      <c r="AE483" s="3">
        <f>[1]Results!AH212</f>
        <v>53.35484271</v>
      </c>
      <c r="AF483" s="3">
        <f>[1]Results!AI212</f>
        <v>53.855221790000002</v>
      </c>
      <c r="AG483" s="3">
        <f>[1]Results!AJ212</f>
        <v>54.359478129999999</v>
      </c>
      <c r="AH483" s="3">
        <f>[1]Results!AK212</f>
        <v>54.86942904</v>
      </c>
      <c r="AI483" s="3">
        <f>[1]Results!AL212</f>
        <v>55.384981459999999</v>
      </c>
      <c r="AJ483" s="3">
        <f>[1]Results!AM212</f>
        <v>55.906576029999997</v>
      </c>
      <c r="AK483" s="3">
        <f>[1]Results!AN212</f>
        <v>56.434530369999997</v>
      </c>
      <c r="AL483" s="3">
        <f>[1]Results!AO212</f>
        <v>56.969046200000001</v>
      </c>
      <c r="AM483" s="3">
        <f>[1]Results!AP212</f>
        <v>57.501112499999998</v>
      </c>
      <c r="AN483" s="3">
        <f>[1]Results!AQ212</f>
        <v>58.0356375</v>
      </c>
      <c r="AO483" s="3">
        <f>[1]Results!AR212</f>
        <v>58.573663879999998</v>
      </c>
      <c r="AP483" s="3">
        <f>[1]Results!AS212</f>
        <v>59.11584766</v>
      </c>
      <c r="AQ483" s="3">
        <f>[1]Results!AT212</f>
        <v>59.662716969999998</v>
      </c>
      <c r="AR483" s="3">
        <f>[1]Results!AU212</f>
        <v>60.215987339999998</v>
      </c>
      <c r="AS483" s="3">
        <f>[1]Results!AV212</f>
        <v>60.774919310000001</v>
      </c>
      <c r="AT483" s="3">
        <f>[1]Results!AW212</f>
        <v>61.339691549999998</v>
      </c>
      <c r="AU483" s="3">
        <f>[1]Results!AX212</f>
        <v>61.910439029999999</v>
      </c>
      <c r="AV483" s="3">
        <f>[1]Results!AY212</f>
        <v>62.487223329999999</v>
      </c>
      <c r="AW483" s="3">
        <f>[1]Results!AZ212</f>
        <v>63.0758911</v>
      </c>
      <c r="AX483" s="3">
        <f>[1]Results!BA212</f>
        <v>63.671709040000003</v>
      </c>
      <c r="AY483" s="3">
        <f>[1]Results!BB212</f>
        <v>64.274249350000005</v>
      </c>
      <c r="AZ483" s="3">
        <f>[1]Results!BC212</f>
        <v>64.883282829999999</v>
      </c>
      <c r="BA483" s="3">
        <f>[1]Results!BD212</f>
        <v>65.498597860000004</v>
      </c>
      <c r="BB483" s="3">
        <f>[1]Results!BE212</f>
        <v>66.122674410000002</v>
      </c>
      <c r="BC483" s="3">
        <f>[1]Results!BF212</f>
        <v>66.753030359999997</v>
      </c>
      <c r="BD483" s="3">
        <f>[1]Results!BG212</f>
        <v>67.389335160000002</v>
      </c>
      <c r="BE483" s="3">
        <f>[1]Results!BH212</f>
        <v>68.031378419999996</v>
      </c>
      <c r="BF483" s="3">
        <f>[1]Results!BI212</f>
        <v>68.678978999999998</v>
      </c>
    </row>
    <row r="484" spans="1:58" x14ac:dyDescent="0.35">
      <c r="B484" s="3" t="str">
        <f>[1]Results!E215</f>
        <v>YG_toe_cfuh_2</v>
      </c>
      <c r="C484" s="3">
        <f>[1]Results!F215</f>
        <v>7.8290899510000003</v>
      </c>
      <c r="D484" s="3">
        <f>[1]Results!G215</f>
        <v>7.8472726709999998</v>
      </c>
      <c r="E484" s="3">
        <f>[1]Results!H215</f>
        <v>7.8682514780000004</v>
      </c>
      <c r="F484" s="3">
        <f>[1]Results!I215</f>
        <v>7.8944804880000001</v>
      </c>
      <c r="G484" s="3">
        <f>[1]Results!J215</f>
        <v>7.9282255749999999</v>
      </c>
      <c r="H484" s="3">
        <f>[1]Results!K215</f>
        <v>7.9694171090000001</v>
      </c>
      <c r="I484" s="3">
        <f>[1]Results!L215</f>
        <v>8.0125353009999998</v>
      </c>
      <c r="J484" s="3">
        <f>[1]Results!M215</f>
        <v>8.0600178790000001</v>
      </c>
      <c r="K484" s="3">
        <f>[1]Results!N215</f>
        <v>8.1126746690000004</v>
      </c>
      <c r="L484" s="3">
        <f>[1]Results!O215</f>
        <v>8.1703425749999994</v>
      </c>
      <c r="M484" s="3">
        <f>[1]Results!P215</f>
        <v>8.2389611499999997</v>
      </c>
      <c r="N484" s="3">
        <f>[1]Results!Q215</f>
        <v>8.3066446480000007</v>
      </c>
      <c r="O484" s="3">
        <f>[1]Results!R215</f>
        <v>8.3758244249999994</v>
      </c>
      <c r="P484" s="3">
        <f>[1]Results!S215</f>
        <v>8.4465046800000003</v>
      </c>
      <c r="Q484" s="3">
        <f>[1]Results!T215</f>
        <v>8.5183571610000008</v>
      </c>
      <c r="R484" s="3">
        <f>[1]Results!U215</f>
        <v>8.5910834729999994</v>
      </c>
      <c r="S484" s="3">
        <f>[1]Results!V215</f>
        <v>8.6640061080000006</v>
      </c>
      <c r="T484" s="3">
        <f>[1]Results!W215</f>
        <v>8.7373845079999999</v>
      </c>
      <c r="U484" s="3">
        <f>[1]Results!X215</f>
        <v>8.8112177870000004</v>
      </c>
      <c r="V484" s="3">
        <f>[1]Results!Y215</f>
        <v>8.8855039710000003</v>
      </c>
      <c r="W484" s="3">
        <f>[1]Results!Z215</f>
        <v>8.9555127530000007</v>
      </c>
      <c r="X484" s="3">
        <f>[1]Results!AA215</f>
        <v>9.0288526880000006</v>
      </c>
      <c r="Y484" s="3">
        <f>[1]Results!AB215</f>
        <v>9.1035120860000003</v>
      </c>
      <c r="Z484" s="3">
        <f>[1]Results!AC215</f>
        <v>9.1791229790000006</v>
      </c>
      <c r="AA484" s="3">
        <f>[1]Results!AD215</f>
        <v>9.2556144150000002</v>
      </c>
      <c r="AB484" s="3">
        <f>[1]Results!AE215</f>
        <v>9.3195426369999996</v>
      </c>
      <c r="AC484" s="3">
        <f>[1]Results!AF215</f>
        <v>9.3862561729999996</v>
      </c>
      <c r="AD484" s="3">
        <f>[1]Results!AG215</f>
        <v>9.4535625640000003</v>
      </c>
      <c r="AE484" s="3">
        <f>[1]Results!AH215</f>
        <v>9.521330378</v>
      </c>
      <c r="AF484" s="3">
        <f>[1]Results!AI215</f>
        <v>9.5896952819999992</v>
      </c>
      <c r="AG484" s="3">
        <f>[1]Results!AJ215</f>
        <v>9.6588061649999997</v>
      </c>
      <c r="AH484" s="3">
        <f>[1]Results!AK215</f>
        <v>9.7289379</v>
      </c>
      <c r="AI484" s="3">
        <f>[1]Results!AL215</f>
        <v>9.8001735019999998</v>
      </c>
      <c r="AJ484" s="3">
        <f>[1]Results!AM215</f>
        <v>9.8726502929999995</v>
      </c>
      <c r="AK484" s="3">
        <f>[1]Results!AN215</f>
        <v>9.9464900620000005</v>
      </c>
      <c r="AL484" s="3">
        <f>[1]Results!AO215</f>
        <v>10.021787</v>
      </c>
      <c r="AM484" s="3">
        <f>[1]Results!AP215</f>
        <v>10.09640372</v>
      </c>
      <c r="AN484" s="3">
        <f>[1]Results!AQ215</f>
        <v>10.171485540000001</v>
      </c>
      <c r="AO484" s="3">
        <f>[1]Results!AR215</f>
        <v>10.247421510000001</v>
      </c>
      <c r="AP484" s="3">
        <f>[1]Results!AS215</f>
        <v>10.32438002</v>
      </c>
      <c r="AQ484" s="3">
        <f>[1]Results!AT215</f>
        <v>10.4024397</v>
      </c>
      <c r="AR484" s="3">
        <f>[1]Results!AU215</f>
        <v>10.481783220000001</v>
      </c>
      <c r="AS484" s="3">
        <f>[1]Results!AV215</f>
        <v>10.562299550000001</v>
      </c>
      <c r="AT484" s="3">
        <f>[1]Results!AW215</f>
        <v>10.643952779999999</v>
      </c>
      <c r="AU484" s="3">
        <f>[1]Results!AX215</f>
        <v>10.72670301</v>
      </c>
      <c r="AV484" s="3">
        <f>[1]Results!AY215</f>
        <v>10.810510389999999</v>
      </c>
      <c r="AW484" s="3">
        <f>[1]Results!AZ215</f>
        <v>10.896350719999999</v>
      </c>
      <c r="AX484" s="3">
        <f>[1]Results!BA215</f>
        <v>10.983997479999999</v>
      </c>
      <c r="AY484" s="3">
        <f>[1]Results!BB215</f>
        <v>11.07363013</v>
      </c>
      <c r="AZ484" s="3">
        <f>[1]Results!BC215</f>
        <v>11.165373929999999</v>
      </c>
      <c r="BA484" s="3">
        <f>[1]Results!BD215</f>
        <v>11.259255400000001</v>
      </c>
      <c r="BB484" s="3">
        <f>[1]Results!BE215</f>
        <v>11.35554531</v>
      </c>
      <c r="BC484" s="3">
        <f>[1]Results!BF215</f>
        <v>11.453920849999999</v>
      </c>
      <c r="BD484" s="3">
        <f>[1]Results!BG215</f>
        <v>11.55424968</v>
      </c>
      <c r="BE484" s="3">
        <f>[1]Results!BH215</f>
        <v>11.65642514</v>
      </c>
      <c r="BF484" s="3">
        <f>[1]Results!BI215</f>
        <v>11.760357470000001</v>
      </c>
    </row>
    <row r="485" spans="1:58" x14ac:dyDescent="0.35">
      <c r="B485" s="3" t="str">
        <f>[1]Results!E217</f>
        <v>YG_toe_cgas_2</v>
      </c>
      <c r="C485" s="3">
        <f>[1]Results!F217</f>
        <v>6.386705525</v>
      </c>
      <c r="D485" s="3">
        <f>[1]Results!G217</f>
        <v>6.4475412140000001</v>
      </c>
      <c r="E485" s="3">
        <f>[1]Results!H217</f>
        <v>6.4713402269999998</v>
      </c>
      <c r="F485" s="3">
        <f>[1]Results!I217</f>
        <v>6.47905306</v>
      </c>
      <c r="G485" s="3">
        <f>[1]Results!J217</f>
        <v>6.4774850649999998</v>
      </c>
      <c r="H485" s="3">
        <f>[1]Results!K217</f>
        <v>6.468376739</v>
      </c>
      <c r="I485" s="3">
        <f>[1]Results!L217</f>
        <v>6.4467862589999996</v>
      </c>
      <c r="J485" s="3">
        <f>[1]Results!M217</f>
        <v>6.4225541120000003</v>
      </c>
      <c r="K485" s="3">
        <f>[1]Results!N217</f>
        <v>6.3982459650000001</v>
      </c>
      <c r="L485" s="3">
        <f>[1]Results!O217</f>
        <v>6.3749906960000002</v>
      </c>
      <c r="M485" s="3">
        <f>[1]Results!P217</f>
        <v>6.3603603739999999</v>
      </c>
      <c r="N485" s="3">
        <f>[1]Results!Q217</f>
        <v>6.3383168559999996</v>
      </c>
      <c r="O485" s="3">
        <f>[1]Results!R217</f>
        <v>6.3177968340000001</v>
      </c>
      <c r="P485" s="3">
        <f>[1]Results!S217</f>
        <v>6.2986228950000003</v>
      </c>
      <c r="Q485" s="3">
        <f>[1]Results!T217</f>
        <v>6.2806715439999996</v>
      </c>
      <c r="R485" s="3">
        <f>[1]Results!U217</f>
        <v>6.2638939469999997</v>
      </c>
      <c r="S485" s="3">
        <f>[1]Results!V217</f>
        <v>6.2473268700000002</v>
      </c>
      <c r="T485" s="3">
        <f>[1]Results!W217</f>
        <v>6.2320142719999998</v>
      </c>
      <c r="U485" s="3">
        <f>[1]Results!X217</f>
        <v>6.2177818839999999</v>
      </c>
      <c r="V485" s="3">
        <f>[1]Results!Y217</f>
        <v>6.2045046360000002</v>
      </c>
      <c r="W485" s="3">
        <f>[1]Results!Z217</f>
        <v>6.1872041490000003</v>
      </c>
      <c r="X485" s="3">
        <f>[1]Results!AA217</f>
        <v>6.1761124890000003</v>
      </c>
      <c r="Y485" s="3">
        <f>[1]Results!AB217</f>
        <v>6.1654838239999998</v>
      </c>
      <c r="Z485" s="3">
        <f>[1]Results!AC217</f>
        <v>6.1552361959999997</v>
      </c>
      <c r="AA485" s="3">
        <f>[1]Results!AD217</f>
        <v>6.1451605450000004</v>
      </c>
      <c r="AB485" s="3">
        <f>[1]Results!AE217</f>
        <v>6.1216875179999999</v>
      </c>
      <c r="AC485" s="3">
        <f>[1]Results!AF217</f>
        <v>6.107697784</v>
      </c>
      <c r="AD485" s="3">
        <f>[1]Results!AG217</f>
        <v>6.0941092079999999</v>
      </c>
      <c r="AE485" s="3">
        <f>[1]Results!AH217</f>
        <v>6.0809681219999998</v>
      </c>
      <c r="AF485" s="3">
        <f>[1]Results!AI217</f>
        <v>6.0679527269999998</v>
      </c>
      <c r="AG485" s="3">
        <f>[1]Results!AJ217</f>
        <v>6.0546994170000001</v>
      </c>
      <c r="AH485" s="3">
        <f>[1]Results!AK217</f>
        <v>6.0412135349999998</v>
      </c>
      <c r="AI485" s="3">
        <f>[1]Results!AL217</f>
        <v>6.0271629679999998</v>
      </c>
      <c r="AJ485" s="3">
        <f>[1]Results!AM217</f>
        <v>6.0125600459999999</v>
      </c>
      <c r="AK485" s="3">
        <f>[1]Results!AN217</f>
        <v>5.9974495130000003</v>
      </c>
      <c r="AL485" s="3">
        <f>[1]Results!AO217</f>
        <v>5.9818968200000002</v>
      </c>
      <c r="AM485" s="3">
        <f>[1]Results!AP217</f>
        <v>5.9648078370000004</v>
      </c>
      <c r="AN485" s="3">
        <f>[1]Results!AQ217</f>
        <v>5.9475912380000002</v>
      </c>
      <c r="AO485" s="3">
        <f>[1]Results!AR217</f>
        <v>5.9303438130000004</v>
      </c>
      <c r="AP485" s="3">
        <f>[1]Results!AS217</f>
        <v>5.913086195</v>
      </c>
      <c r="AQ485" s="3">
        <f>[1]Results!AT217</f>
        <v>5.8957679660000002</v>
      </c>
      <c r="AR485" s="3">
        <f>[1]Results!AU217</f>
        <v>5.8786034430000003</v>
      </c>
      <c r="AS485" s="3">
        <f>[1]Results!AV217</f>
        <v>5.8611671870000004</v>
      </c>
      <c r="AT485" s="3">
        <f>[1]Results!AW217</f>
        <v>5.8434131359999997</v>
      </c>
      <c r="AU485" s="3">
        <f>[1]Results!AX217</f>
        <v>5.8252888880000002</v>
      </c>
      <c r="AV485" s="3">
        <f>[1]Results!AY217</f>
        <v>5.8067612979999996</v>
      </c>
      <c r="AW485" s="3">
        <f>[1]Results!AZ217</f>
        <v>5.7892787720000003</v>
      </c>
      <c r="AX485" s="3">
        <f>[1]Results!BA217</f>
        <v>5.7717097449999999</v>
      </c>
      <c r="AY485" s="3">
        <f>[1]Results!BB217</f>
        <v>5.7544507219999996</v>
      </c>
      <c r="AZ485" s="3">
        <f>[1]Results!BC217</f>
        <v>5.7377116849999998</v>
      </c>
      <c r="BA485" s="3">
        <f>[1]Results!BD217</f>
        <v>5.7215888379999997</v>
      </c>
      <c r="BB485" s="3">
        <f>[1]Results!BE217</f>
        <v>5.7067201269999996</v>
      </c>
      <c r="BC485" s="3">
        <f>[1]Results!BF217</f>
        <v>5.6923532979999996</v>
      </c>
      <c r="BD485" s="3">
        <f>[1]Results!BG217</f>
        <v>5.6784853130000004</v>
      </c>
      <c r="BE485" s="3">
        <f>[1]Results!BH217</f>
        <v>5.6650606789999998</v>
      </c>
      <c r="BF485" s="3">
        <f>[1]Results!BI217</f>
        <v>5.6520211270000003</v>
      </c>
    </row>
    <row r="486" spans="1:58" x14ac:dyDescent="0.35">
      <c r="B486" s="3" t="str">
        <f>[1]Results!E223</f>
        <v>YG_toe_cele_2</v>
      </c>
      <c r="C486" s="3">
        <f>[1]Results!F223</f>
        <v>56.380323850000003</v>
      </c>
      <c r="D486" s="3">
        <f>[1]Results!G223</f>
        <v>56.553622330000003</v>
      </c>
      <c r="E486" s="3">
        <f>[1]Results!H223</f>
        <v>56.803358459999998</v>
      </c>
      <c r="F486" s="3">
        <f>[1]Results!I223</f>
        <v>57.126094899999998</v>
      </c>
      <c r="G486" s="3">
        <f>[1]Results!J223</f>
        <v>57.52905423</v>
      </c>
      <c r="H486" s="3">
        <f>[1]Results!K223</f>
        <v>58.004425310000002</v>
      </c>
      <c r="I486" s="3">
        <f>[1]Results!L223</f>
        <v>58.503443799999999</v>
      </c>
      <c r="J486" s="3">
        <f>[1]Results!M223</f>
        <v>59.035146179999998</v>
      </c>
      <c r="K486" s="3">
        <f>[1]Results!N223</f>
        <v>59.596441730000002</v>
      </c>
      <c r="L486" s="3">
        <f>[1]Results!O223</f>
        <v>60.181507189999998</v>
      </c>
      <c r="M486" s="3">
        <f>[1]Results!P223</f>
        <v>60.837195090000002</v>
      </c>
      <c r="N486" s="3">
        <f>[1]Results!Q223</f>
        <v>61.463460140000002</v>
      </c>
      <c r="O486" s="3">
        <f>[1]Results!R223</f>
        <v>62.086390999999999</v>
      </c>
      <c r="P486" s="3">
        <f>[1]Results!S223</f>
        <v>62.70688801</v>
      </c>
      <c r="Q486" s="3">
        <f>[1]Results!T223</f>
        <v>63.324078370000002</v>
      </c>
      <c r="R486" s="3">
        <f>[1]Results!U223</f>
        <v>63.937378680000002</v>
      </c>
      <c r="S486" s="3">
        <f>[1]Results!V223</f>
        <v>64.541838400000003</v>
      </c>
      <c r="T486" s="3">
        <f>[1]Results!W223</f>
        <v>65.142069950000007</v>
      </c>
      <c r="U486" s="3">
        <f>[1]Results!X223</f>
        <v>65.739569880000005</v>
      </c>
      <c r="V486" s="3">
        <f>[1]Results!Y223</f>
        <v>66.335822039999996</v>
      </c>
      <c r="W486" s="3">
        <f>[1]Results!Z223</f>
        <v>66.893348610000004</v>
      </c>
      <c r="X486" s="3">
        <f>[1]Results!AA223</f>
        <v>67.478449330000004</v>
      </c>
      <c r="Y486" s="3">
        <f>[1]Results!AB223</f>
        <v>68.072979480000001</v>
      </c>
      <c r="Z486" s="3">
        <f>[1]Results!AC223</f>
        <v>68.675670479999994</v>
      </c>
      <c r="AA486" s="3">
        <f>[1]Results!AD223</f>
        <v>69.287163980000003</v>
      </c>
      <c r="AB486" s="3">
        <f>[1]Results!AE223</f>
        <v>69.797476470000007</v>
      </c>
      <c r="AC486" s="3">
        <f>[1]Results!AF223</f>
        <v>70.34046841</v>
      </c>
      <c r="AD486" s="3">
        <f>[1]Results!AG223</f>
        <v>70.892916690000007</v>
      </c>
      <c r="AE486" s="3">
        <f>[1]Results!AH223</f>
        <v>71.454786960000007</v>
      </c>
      <c r="AF486" s="3">
        <f>[1]Results!AI223</f>
        <v>72.027803219999996</v>
      </c>
      <c r="AG486" s="3">
        <f>[1]Results!AJ223</f>
        <v>72.613752340000005</v>
      </c>
      <c r="AH486" s="3">
        <f>[1]Results!AK223</f>
        <v>73.215222139999995</v>
      </c>
      <c r="AI486" s="3">
        <f>[1]Results!AL223</f>
        <v>73.832475990000006</v>
      </c>
      <c r="AJ486" s="3">
        <f>[1]Results!AM223</f>
        <v>74.466213490000001</v>
      </c>
      <c r="AK486" s="3">
        <f>[1]Results!AN223</f>
        <v>75.116881800000002</v>
      </c>
      <c r="AL486" s="3">
        <f>[1]Results!AO223</f>
        <v>75.784660950000003</v>
      </c>
      <c r="AM486" s="3">
        <f>[1]Results!AP223</f>
        <v>76.453010789999993</v>
      </c>
      <c r="AN486" s="3">
        <f>[1]Results!AQ223</f>
        <v>77.130634369999996</v>
      </c>
      <c r="AO486" s="3">
        <f>[1]Results!AR223</f>
        <v>77.8199671</v>
      </c>
      <c r="AP486" s="3">
        <f>[1]Results!AS223</f>
        <v>78.522016109999996</v>
      </c>
      <c r="AQ486" s="3">
        <f>[1]Results!AT223</f>
        <v>79.237215770000006</v>
      </c>
      <c r="AR486" s="3">
        <f>[1]Results!AU223</f>
        <v>79.96725386</v>
      </c>
      <c r="AS486" s="3">
        <f>[1]Results!AV223</f>
        <v>80.710912460000003</v>
      </c>
      <c r="AT486" s="3">
        <f>[1]Results!AW223</f>
        <v>81.467949340000004</v>
      </c>
      <c r="AU486" s="3">
        <f>[1]Results!AX223</f>
        <v>82.238129330000007</v>
      </c>
      <c r="AV486" s="3">
        <f>[1]Results!AY223</f>
        <v>83.021207320000002</v>
      </c>
      <c r="AW486" s="3">
        <f>[1]Results!AZ223</f>
        <v>83.825247630000007</v>
      </c>
      <c r="AX486" s="3">
        <f>[1]Results!BA223</f>
        <v>84.645731179999999</v>
      </c>
      <c r="AY486" s="3">
        <f>[1]Results!BB223</f>
        <v>85.48284271</v>
      </c>
      <c r="AZ486" s="3">
        <f>[1]Results!BC223</f>
        <v>86.336806170000003</v>
      </c>
      <c r="BA486" s="3">
        <f>[1]Results!BD223</f>
        <v>87.207550350000005</v>
      </c>
      <c r="BB486" s="3">
        <f>[1]Results!BE223</f>
        <v>88.098045679999998</v>
      </c>
      <c r="BC486" s="3">
        <f>[1]Results!BF223</f>
        <v>89.005440590000006</v>
      </c>
      <c r="BD486" s="3">
        <f>[1]Results!BG223</f>
        <v>89.929226600000007</v>
      </c>
      <c r="BE486" s="3">
        <f>[1]Results!BH223</f>
        <v>90.869155969999994</v>
      </c>
      <c r="BF486" s="3">
        <f>[1]Results!BI223</f>
        <v>91.825112489999995</v>
      </c>
    </row>
    <row r="487" spans="1:58" x14ac:dyDescent="0.35">
      <c r="B487" s="3" t="s">
        <v>75</v>
      </c>
      <c r="C487" s="3">
        <f>SUM(C488:C490)</f>
        <v>30.098021686000003</v>
      </c>
      <c r="D487" s="3">
        <f t="shared" ref="D487:AL487" si="302">SUM(D488:D490)</f>
        <v>30.236295664</v>
      </c>
      <c r="E487" s="3">
        <f t="shared" si="302"/>
        <v>30.422039754000004</v>
      </c>
      <c r="F487" s="3">
        <f t="shared" si="302"/>
        <v>30.634029446</v>
      </c>
      <c r="G487" s="3">
        <f t="shared" si="302"/>
        <v>30.872869375000001</v>
      </c>
      <c r="H487" s="3">
        <f t="shared" si="302"/>
        <v>31.137115967</v>
      </c>
      <c r="I487" s="3">
        <f t="shared" si="302"/>
        <v>31.401666151000001</v>
      </c>
      <c r="J487" s="3">
        <f t="shared" si="302"/>
        <v>31.673129702000001</v>
      </c>
      <c r="K487" s="3">
        <f t="shared" si="302"/>
        <v>31.951977421999999</v>
      </c>
      <c r="L487" s="3">
        <f t="shared" si="302"/>
        <v>32.237869711000002</v>
      </c>
      <c r="M487" s="3">
        <f t="shared" si="302"/>
        <v>32.565136656999996</v>
      </c>
      <c r="N487" s="3">
        <f t="shared" si="302"/>
        <v>32.870642922000002</v>
      </c>
      <c r="O487" s="3">
        <f t="shared" si="302"/>
        <v>33.174192693999998</v>
      </c>
      <c r="P487" s="3">
        <f t="shared" si="302"/>
        <v>33.478610787999997</v>
      </c>
      <c r="Q487" s="3">
        <f t="shared" si="302"/>
        <v>33.784590714000004</v>
      </c>
      <c r="R487" s="3">
        <f t="shared" si="302"/>
        <v>34.092306589000003</v>
      </c>
      <c r="S487" s="3">
        <f t="shared" si="302"/>
        <v>34.398940334000002</v>
      </c>
      <c r="T487" s="3">
        <f t="shared" si="302"/>
        <v>34.707134531999998</v>
      </c>
      <c r="U487" s="3">
        <f t="shared" si="302"/>
        <v>35.017381635</v>
      </c>
      <c r="V487" s="3">
        <f t="shared" si="302"/>
        <v>35.330072080000001</v>
      </c>
      <c r="W487" s="3">
        <f t="shared" si="302"/>
        <v>35.620779424000006</v>
      </c>
      <c r="X487" s="3">
        <f t="shared" si="302"/>
        <v>35.931910367</v>
      </c>
      <c r="Y487" s="3">
        <f t="shared" si="302"/>
        <v>36.250783553000005</v>
      </c>
      <c r="Z487" s="3">
        <f t="shared" si="302"/>
        <v>36.575477169999999</v>
      </c>
      <c r="AA487" s="3">
        <f t="shared" si="302"/>
        <v>36.905545773</v>
      </c>
      <c r="AB487" s="3">
        <f t="shared" si="302"/>
        <v>37.171047594000001</v>
      </c>
      <c r="AC487" s="3">
        <f t="shared" si="302"/>
        <v>37.458434390999997</v>
      </c>
      <c r="AD487" s="3">
        <f t="shared" si="302"/>
        <v>37.752301141000004</v>
      </c>
      <c r="AE487" s="3">
        <f t="shared" si="302"/>
        <v>38.051466646999998</v>
      </c>
      <c r="AF487" s="3">
        <f t="shared" si="302"/>
        <v>38.355984778</v>
      </c>
      <c r="AG487" s="3">
        <f t="shared" si="302"/>
        <v>38.666107752000002</v>
      </c>
      <c r="AH487" s="3">
        <f t="shared" si="302"/>
        <v>38.982731283</v>
      </c>
      <c r="AI487" s="3">
        <f t="shared" si="302"/>
        <v>39.305478424</v>
      </c>
      <c r="AJ487" s="3">
        <f t="shared" si="302"/>
        <v>39.634385232</v>
      </c>
      <c r="AK487" s="3">
        <f t="shared" si="302"/>
        <v>39.969456455</v>
      </c>
      <c r="AL487" s="3">
        <f t="shared" si="302"/>
        <v>40.310652129999994</v>
      </c>
      <c r="AM487" s="3">
        <f t="shared" ref="AM487:BC487" si="303">SUM(AM488:AM490)</f>
        <v>40.647497728999994</v>
      </c>
      <c r="AN487" s="3">
        <f t="shared" si="303"/>
        <v>40.986046732999995</v>
      </c>
      <c r="AO487" s="3">
        <f t="shared" si="303"/>
        <v>41.328231756000001</v>
      </c>
      <c r="AP487" s="3">
        <f t="shared" si="303"/>
        <v>41.674892986000003</v>
      </c>
      <c r="AQ487" s="3">
        <f t="shared" si="303"/>
        <v>42.026430830999999</v>
      </c>
      <c r="AR487" s="3">
        <f t="shared" si="303"/>
        <v>42.383964194000001</v>
      </c>
      <c r="AS487" s="3">
        <f t="shared" si="303"/>
        <v>42.746848851999999</v>
      </c>
      <c r="AT487" s="3">
        <f t="shared" si="303"/>
        <v>43.115083424999995</v>
      </c>
      <c r="AU487" s="3">
        <f t="shared" si="303"/>
        <v>43.488684339999999</v>
      </c>
      <c r="AV487" s="3">
        <f t="shared" si="303"/>
        <v>43.867650733000005</v>
      </c>
      <c r="AW487" s="3">
        <f t="shared" si="303"/>
        <v>44.256167157000007</v>
      </c>
      <c r="AX487" s="3">
        <f t="shared" si="303"/>
        <v>44.650416067000002</v>
      </c>
      <c r="AY487" s="3">
        <f t="shared" si="303"/>
        <v>45.049783568999999</v>
      </c>
      <c r="AZ487" s="3">
        <f t="shared" si="303"/>
        <v>45.454070928</v>
      </c>
      <c r="BA487" s="3">
        <f t="shared" si="303"/>
        <v>45.863220182000006</v>
      </c>
      <c r="BB487" s="3">
        <f t="shared" si="303"/>
        <v>46.279158933999994</v>
      </c>
      <c r="BC487" s="3">
        <f t="shared" si="303"/>
        <v>46.700323210999997</v>
      </c>
      <c r="BD487" s="3">
        <f t="shared" ref="BD487:BF487" si="304">SUM(BD488:BD490)</f>
        <v>47.126627200999998</v>
      </c>
      <c r="BE487" s="3">
        <f t="shared" si="304"/>
        <v>47.558111941999996</v>
      </c>
      <c r="BF487" s="3">
        <f t="shared" si="304"/>
        <v>47.994841554000004</v>
      </c>
    </row>
    <row r="488" spans="1:58" x14ac:dyDescent="0.35">
      <c r="B488" s="3" t="str">
        <f>[1]Results!E233</f>
        <v>YG_toe_chea_2</v>
      </c>
      <c r="C488" s="3">
        <f>[1]Results!F233</f>
        <v>5.653696676</v>
      </c>
      <c r="D488" s="3">
        <f>[1]Results!G233</f>
        <v>5.6998161439999997</v>
      </c>
      <c r="E488" s="3">
        <f>[1]Results!H233</f>
        <v>5.7600115939999998</v>
      </c>
      <c r="F488" s="3">
        <f>[1]Results!I233</f>
        <v>5.8268110159999997</v>
      </c>
      <c r="G488" s="3">
        <f>[1]Results!J233</f>
        <v>5.8988713349999999</v>
      </c>
      <c r="H488" s="3">
        <f>[1]Results!K233</f>
        <v>5.9762408870000003</v>
      </c>
      <c r="I488" s="3">
        <f>[1]Results!L233</f>
        <v>6.0539503610000001</v>
      </c>
      <c r="J488" s="3">
        <f>[1]Results!M233</f>
        <v>6.1306822619999997</v>
      </c>
      <c r="K488" s="3">
        <f>[1]Results!N233</f>
        <v>6.2054175520000001</v>
      </c>
      <c r="L488" s="3">
        <f>[1]Results!O233</f>
        <v>6.2780441810000003</v>
      </c>
      <c r="M488" s="3">
        <f>[1]Results!P233</f>
        <v>6.3579416970000002</v>
      </c>
      <c r="N488" s="3">
        <f>[1]Results!Q233</f>
        <v>6.4311047720000003</v>
      </c>
      <c r="O488" s="3">
        <f>[1]Results!R233</f>
        <v>6.5015184240000004</v>
      </c>
      <c r="P488" s="3">
        <f>[1]Results!S233</f>
        <v>6.570774718</v>
      </c>
      <c r="Q488" s="3">
        <f>[1]Results!T233</f>
        <v>6.6396234239999998</v>
      </c>
      <c r="R488" s="3">
        <f>[1]Results!U233</f>
        <v>6.7084498090000002</v>
      </c>
      <c r="S488" s="3">
        <f>[1]Results!V233</f>
        <v>6.7772058839999998</v>
      </c>
      <c r="T488" s="3">
        <f>[1]Results!W233</f>
        <v>6.8462279019999999</v>
      </c>
      <c r="U488" s="3">
        <f>[1]Results!X233</f>
        <v>6.9156837649999998</v>
      </c>
      <c r="V488" s="3">
        <f>[1]Results!Y233</f>
        <v>6.9857098000000004</v>
      </c>
      <c r="W488" s="3">
        <f>[1]Results!Z233</f>
        <v>7.0503065840000003</v>
      </c>
      <c r="X488" s="3">
        <f>[1]Results!AA233</f>
        <v>7.1194327770000001</v>
      </c>
      <c r="Y488" s="3">
        <f>[1]Results!AB233</f>
        <v>7.1909190330000001</v>
      </c>
      <c r="Z488" s="3">
        <f>[1]Results!AC233</f>
        <v>7.2640628899999999</v>
      </c>
      <c r="AA488" s="3">
        <f>[1]Results!AD233</f>
        <v>7.3386021430000001</v>
      </c>
      <c r="AB488" s="3">
        <f>[1]Results!AE233</f>
        <v>7.3974215540000001</v>
      </c>
      <c r="AC488" s="3">
        <f>[1]Results!AF233</f>
        <v>7.4598520009999998</v>
      </c>
      <c r="AD488" s="3">
        <f>[1]Results!AG233</f>
        <v>7.5242493010000002</v>
      </c>
      <c r="AE488" s="3">
        <f>[1]Results!AH233</f>
        <v>7.5902301369999998</v>
      </c>
      <c r="AF488" s="3">
        <f>[1]Results!AI233</f>
        <v>7.6576840779999999</v>
      </c>
      <c r="AG488" s="3">
        <f>[1]Results!AJ233</f>
        <v>7.7265281320000003</v>
      </c>
      <c r="AH488" s="3">
        <f>[1]Results!AK233</f>
        <v>7.7967250229999996</v>
      </c>
      <c r="AI488" s="3">
        <f>[1]Results!AL233</f>
        <v>7.8681102239999996</v>
      </c>
      <c r="AJ488" s="3">
        <f>[1]Results!AM233</f>
        <v>7.9405264420000004</v>
      </c>
      <c r="AK488" s="3">
        <f>[1]Results!AN233</f>
        <v>8.0138160450000004</v>
      </c>
      <c r="AL488" s="3">
        <f>[1]Results!AO233</f>
        <v>8.0878390099999997</v>
      </c>
      <c r="AM488" s="3">
        <f>[1]Results!AP233</f>
        <v>8.159210839</v>
      </c>
      <c r="AN488" s="3">
        <f>[1]Results!AQ233</f>
        <v>8.2298056129999999</v>
      </c>
      <c r="AO488" s="3">
        <f>[1]Results!AR233</f>
        <v>8.3004216159999995</v>
      </c>
      <c r="AP488" s="3">
        <f>[1]Results!AS233</f>
        <v>8.3714548860000004</v>
      </c>
      <c r="AQ488" s="3">
        <f>[1]Results!AT233</f>
        <v>8.4431384909999991</v>
      </c>
      <c r="AR488" s="3">
        <f>[1]Results!AU233</f>
        <v>8.5157176040000007</v>
      </c>
      <c r="AS488" s="3">
        <f>[1]Results!AV233</f>
        <v>8.5892820319999998</v>
      </c>
      <c r="AT488" s="3">
        <f>[1]Results!AW233</f>
        <v>8.6639575149999999</v>
      </c>
      <c r="AU488" s="3">
        <f>[1]Results!AX233</f>
        <v>8.7398689899999997</v>
      </c>
      <c r="AV488" s="3">
        <f>[1]Results!AY233</f>
        <v>8.8171143930000007</v>
      </c>
      <c r="AW488" s="3">
        <f>[1]Results!AZ233</f>
        <v>8.8957064070000005</v>
      </c>
      <c r="AX488" s="3">
        <f>[1]Results!BA233</f>
        <v>8.9744795370000006</v>
      </c>
      <c r="AY488" s="3">
        <f>[1]Results!BB233</f>
        <v>9.0527077390000006</v>
      </c>
      <c r="AZ488" s="3">
        <f>[1]Results!BC233</f>
        <v>9.1300222879999993</v>
      </c>
      <c r="BA488" s="3">
        <f>[1]Results!BD233</f>
        <v>9.2063302520000008</v>
      </c>
      <c r="BB488" s="3">
        <f>[1]Results!BE233</f>
        <v>9.2818755540000009</v>
      </c>
      <c r="BC488" s="3">
        <f>[1]Results!BF233</f>
        <v>9.3567191110000003</v>
      </c>
      <c r="BD488" s="3">
        <f>[1]Results!BG233</f>
        <v>9.4310560409999997</v>
      </c>
      <c r="BE488" s="3">
        <f>[1]Results!BH233</f>
        <v>9.5050966619999997</v>
      </c>
      <c r="BF488" s="3">
        <f>[1]Results!BI233</f>
        <v>9.5790324840000007</v>
      </c>
    </row>
    <row r="489" spans="1:58" x14ac:dyDescent="0.35">
      <c r="B489" s="3" t="str">
        <f>[1]Results!E235</f>
        <v>YG_toe_cbio_2</v>
      </c>
      <c r="C489" s="3">
        <f>[1]Results!F235</f>
        <v>11.094189999999999</v>
      </c>
      <c r="D489" s="3">
        <f>[1]Results!G235</f>
        <v>11.11657039</v>
      </c>
      <c r="E489" s="3">
        <f>[1]Results!H235</f>
        <v>11.12619218</v>
      </c>
      <c r="F489" s="3">
        <f>[1]Results!I235</f>
        <v>11.13650088</v>
      </c>
      <c r="G489" s="3">
        <f>[1]Results!J235</f>
        <v>11.15335342</v>
      </c>
      <c r="H489" s="3">
        <f>[1]Results!K235</f>
        <v>11.177340320000001</v>
      </c>
      <c r="I489" s="3">
        <f>[1]Results!L235</f>
        <v>11.20109328</v>
      </c>
      <c r="J489" s="3">
        <f>[1]Results!M235</f>
        <v>11.2263713</v>
      </c>
      <c r="K489" s="3">
        <f>[1]Results!N235</f>
        <v>11.25537214</v>
      </c>
      <c r="L489" s="3">
        <f>[1]Results!O235</f>
        <v>11.288882340000001</v>
      </c>
      <c r="M489" s="3">
        <f>[1]Results!P235</f>
        <v>11.33535661</v>
      </c>
      <c r="N489" s="3">
        <f>[1]Results!Q235</f>
        <v>11.37971967</v>
      </c>
      <c r="O489" s="3">
        <f>[1]Results!R235</f>
        <v>11.424331159999999</v>
      </c>
      <c r="P489" s="3">
        <f>[1]Results!S235</f>
        <v>11.46955608</v>
      </c>
      <c r="Q489" s="3">
        <f>[1]Results!T235</f>
        <v>11.51527345</v>
      </c>
      <c r="R489" s="3">
        <f>[1]Results!U235</f>
        <v>11.561270970000001</v>
      </c>
      <c r="S489" s="3">
        <f>[1]Results!V235</f>
        <v>11.606986859999999</v>
      </c>
      <c r="T489" s="3">
        <f>[1]Results!W235</f>
        <v>11.65256237</v>
      </c>
      <c r="U489" s="3">
        <f>[1]Results!X235</f>
        <v>11.69797881</v>
      </c>
      <c r="V489" s="3">
        <f>[1]Results!Y235</f>
        <v>11.74325125</v>
      </c>
      <c r="W489" s="3">
        <f>[1]Results!Z235</f>
        <v>11.782299200000001</v>
      </c>
      <c r="X489" s="3">
        <f>[1]Results!AA235</f>
        <v>11.824808129999999</v>
      </c>
      <c r="Y489" s="3">
        <f>[1]Results!AB235</f>
        <v>11.868750220000001</v>
      </c>
      <c r="Z489" s="3">
        <f>[1]Results!AC235</f>
        <v>11.91346925</v>
      </c>
      <c r="AA489" s="3">
        <f>[1]Results!AD235</f>
        <v>11.9587752</v>
      </c>
      <c r="AB489" s="3">
        <f>[1]Results!AE235</f>
        <v>11.98757809</v>
      </c>
      <c r="AC489" s="3">
        <f>[1]Results!AF235</f>
        <v>12.018840109999999</v>
      </c>
      <c r="AD489" s="3">
        <f>[1]Results!AG235</f>
        <v>12.051128520000001</v>
      </c>
      <c r="AE489" s="3">
        <f>[1]Results!AH235</f>
        <v>12.08417302</v>
      </c>
      <c r="AF489" s="3">
        <f>[1]Results!AI235</f>
        <v>12.11797831</v>
      </c>
      <c r="AG489" s="3">
        <f>[1]Results!AJ235</f>
        <v>12.15265174</v>
      </c>
      <c r="AH489" s="3">
        <f>[1]Results!AK235</f>
        <v>12.188434089999999</v>
      </c>
      <c r="AI489" s="3">
        <f>[1]Results!AL235</f>
        <v>12.22543815</v>
      </c>
      <c r="AJ489" s="3">
        <f>[1]Results!AM235</f>
        <v>12.263825860000001</v>
      </c>
      <c r="AK489" s="3">
        <f>[1]Results!AN235</f>
        <v>12.303744760000001</v>
      </c>
      <c r="AL489" s="3">
        <f>[1]Results!AO235</f>
        <v>12.34530799</v>
      </c>
      <c r="AM489" s="3">
        <f>[1]Results!AP235</f>
        <v>12.38547983</v>
      </c>
      <c r="AN489" s="3">
        <f>[1]Results!AQ235</f>
        <v>12.425876089999999</v>
      </c>
      <c r="AO489" s="3">
        <f>[1]Results!AR235</f>
        <v>12.46719126</v>
      </c>
      <c r="AP489" s="3">
        <f>[1]Results!AS235</f>
        <v>12.50968256</v>
      </c>
      <c r="AQ489" s="3">
        <f>[1]Results!AT235</f>
        <v>12.55340597</v>
      </c>
      <c r="AR489" s="3">
        <f>[1]Results!AU235</f>
        <v>12.59844245</v>
      </c>
      <c r="AS489" s="3">
        <f>[1]Results!AV235</f>
        <v>12.644623620000001</v>
      </c>
      <c r="AT489" s="3">
        <f>[1]Results!AW235</f>
        <v>12.691831049999999</v>
      </c>
      <c r="AU489" s="3">
        <f>[1]Results!AX235</f>
        <v>12.73994091</v>
      </c>
      <c r="AV489" s="3">
        <f>[1]Results!AY235</f>
        <v>12.78884547</v>
      </c>
      <c r="AW489" s="3">
        <f>[1]Results!AZ235</f>
        <v>12.83956573</v>
      </c>
      <c r="AX489" s="3">
        <f>[1]Results!BA235</f>
        <v>12.8921695</v>
      </c>
      <c r="AY489" s="3">
        <f>[1]Results!BB235</f>
        <v>12.947034410000001</v>
      </c>
      <c r="AZ489" s="3">
        <f>[1]Results!BC235</f>
        <v>13.00440794</v>
      </c>
      <c r="BA489" s="3">
        <f>[1]Results!BD235</f>
        <v>13.06435901</v>
      </c>
      <c r="BB489" s="3">
        <f>[1]Results!BE235</f>
        <v>13.12707541</v>
      </c>
      <c r="BC489" s="3">
        <f>[1]Results!BF235</f>
        <v>13.19224309</v>
      </c>
      <c r="BD489" s="3">
        <f>[1]Results!BG235</f>
        <v>13.259671640000001</v>
      </c>
      <c r="BE489" s="3">
        <f>[1]Results!BH235</f>
        <v>13.32918883</v>
      </c>
      <c r="BF489" s="3">
        <f>[1]Results!BI235</f>
        <v>13.400641569999999</v>
      </c>
    </row>
    <row r="490" spans="1:58" x14ac:dyDescent="0.35">
      <c r="B490" s="3" t="str">
        <f>[1]Results!E238</f>
        <v>YG_toe_cote_2</v>
      </c>
      <c r="C490" s="3">
        <f>[1]Results!F238</f>
        <v>13.350135010000001</v>
      </c>
      <c r="D490" s="3">
        <f>[1]Results!G238</f>
        <v>13.419909130000001</v>
      </c>
      <c r="E490" s="3">
        <f>[1]Results!H238</f>
        <v>13.53583598</v>
      </c>
      <c r="F490" s="3">
        <f>[1]Results!I238</f>
        <v>13.670717550000001</v>
      </c>
      <c r="G490" s="3">
        <f>[1]Results!J238</f>
        <v>13.820644619999999</v>
      </c>
      <c r="H490" s="3">
        <f>[1]Results!K238</f>
        <v>13.98353476</v>
      </c>
      <c r="I490" s="3">
        <f>[1]Results!L238</f>
        <v>14.14662251</v>
      </c>
      <c r="J490" s="3">
        <f>[1]Results!M238</f>
        <v>14.31607614</v>
      </c>
      <c r="K490" s="3">
        <f>[1]Results!N238</f>
        <v>14.49118773</v>
      </c>
      <c r="L490" s="3">
        <f>[1]Results!O238</f>
        <v>14.670943189999999</v>
      </c>
      <c r="M490" s="3">
        <f>[1]Results!P238</f>
        <v>14.871838350000001</v>
      </c>
      <c r="N490" s="3">
        <f>[1]Results!Q238</f>
        <v>15.059818480000001</v>
      </c>
      <c r="O490" s="3">
        <f>[1]Results!R238</f>
        <v>15.24834311</v>
      </c>
      <c r="P490" s="3">
        <f>[1]Results!S238</f>
        <v>15.43827999</v>
      </c>
      <c r="Q490" s="3">
        <f>[1]Results!T238</f>
        <v>15.62969384</v>
      </c>
      <c r="R490" s="3">
        <f>[1]Results!U238</f>
        <v>15.82258581</v>
      </c>
      <c r="S490" s="3">
        <f>[1]Results!V238</f>
        <v>16.014747589999999</v>
      </c>
      <c r="T490" s="3">
        <f>[1]Results!W238</f>
        <v>16.208344260000001</v>
      </c>
      <c r="U490" s="3">
        <f>[1]Results!X238</f>
        <v>16.40371906</v>
      </c>
      <c r="V490" s="3">
        <f>[1]Results!Y238</f>
        <v>16.601111029999998</v>
      </c>
      <c r="W490" s="3">
        <f>[1]Results!Z238</f>
        <v>16.78817364</v>
      </c>
      <c r="X490" s="3">
        <f>[1]Results!AA238</f>
        <v>16.987669459999999</v>
      </c>
      <c r="Y490" s="3">
        <f>[1]Results!AB238</f>
        <v>17.191114299999999</v>
      </c>
      <c r="Z490" s="3">
        <f>[1]Results!AC238</f>
        <v>17.397945029999999</v>
      </c>
      <c r="AA490" s="3">
        <f>[1]Results!AD238</f>
        <v>17.608168429999999</v>
      </c>
      <c r="AB490" s="3">
        <f>[1]Results!AE238</f>
        <v>17.78604795</v>
      </c>
      <c r="AC490" s="3">
        <f>[1]Results!AF238</f>
        <v>17.97974228</v>
      </c>
      <c r="AD490" s="3">
        <f>[1]Results!AG238</f>
        <v>18.17692332</v>
      </c>
      <c r="AE490" s="3">
        <f>[1]Results!AH238</f>
        <v>18.377063490000001</v>
      </c>
      <c r="AF490" s="3">
        <f>[1]Results!AI238</f>
        <v>18.580322389999999</v>
      </c>
      <c r="AG490" s="3">
        <f>[1]Results!AJ238</f>
        <v>18.78692788</v>
      </c>
      <c r="AH490" s="3">
        <f>[1]Results!AK238</f>
        <v>18.997572170000002</v>
      </c>
      <c r="AI490" s="3">
        <f>[1]Results!AL238</f>
        <v>19.211930049999999</v>
      </c>
      <c r="AJ490" s="3">
        <f>[1]Results!AM238</f>
        <v>19.430032929999999</v>
      </c>
      <c r="AK490" s="3">
        <f>[1]Results!AN238</f>
        <v>19.65189565</v>
      </c>
      <c r="AL490" s="3">
        <f>[1]Results!AO238</f>
        <v>19.877505129999999</v>
      </c>
      <c r="AM490" s="3">
        <f>[1]Results!AP238</f>
        <v>20.10280706</v>
      </c>
      <c r="AN490" s="3">
        <f>[1]Results!AQ238</f>
        <v>20.330365029999999</v>
      </c>
      <c r="AO490" s="3">
        <f>[1]Results!AR238</f>
        <v>20.56061888</v>
      </c>
      <c r="AP490" s="3">
        <f>[1]Results!AS238</f>
        <v>20.793755539999999</v>
      </c>
      <c r="AQ490" s="3">
        <f>[1]Results!AT238</f>
        <v>21.02988637</v>
      </c>
      <c r="AR490" s="3">
        <f>[1]Results!AU238</f>
        <v>21.269804140000002</v>
      </c>
      <c r="AS490" s="3">
        <f>[1]Results!AV238</f>
        <v>21.512943199999999</v>
      </c>
      <c r="AT490" s="3">
        <f>[1]Results!AW238</f>
        <v>21.759294860000001</v>
      </c>
      <c r="AU490" s="3">
        <f>[1]Results!AX238</f>
        <v>22.00887444</v>
      </c>
      <c r="AV490" s="3">
        <f>[1]Results!AY238</f>
        <v>22.261690869999999</v>
      </c>
      <c r="AW490" s="3">
        <f>[1]Results!AZ238</f>
        <v>22.520895020000001</v>
      </c>
      <c r="AX490" s="3">
        <f>[1]Results!BA238</f>
        <v>22.78376703</v>
      </c>
      <c r="AY490" s="3">
        <f>[1]Results!BB238</f>
        <v>23.050041419999999</v>
      </c>
      <c r="AZ490" s="3">
        <f>[1]Results!BC238</f>
        <v>23.319640700000001</v>
      </c>
      <c r="BA490" s="3">
        <f>[1]Results!BD238</f>
        <v>23.592530920000002</v>
      </c>
      <c r="BB490" s="3">
        <f>[1]Results!BE238</f>
        <v>23.870207969999999</v>
      </c>
      <c r="BC490" s="3">
        <f>[1]Results!BF238</f>
        <v>24.151361009999999</v>
      </c>
      <c r="BD490" s="3">
        <f>[1]Results!BG238</f>
        <v>24.43589952</v>
      </c>
      <c r="BE490" s="3">
        <f>[1]Results!BH238</f>
        <v>24.723826450000001</v>
      </c>
      <c r="BF490" s="3">
        <f>[1]Results!BI238</f>
        <v>25.0151675</v>
      </c>
    </row>
    <row r="491" spans="1:58" x14ac:dyDescent="0.35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</row>
    <row r="492" spans="1:58" x14ac:dyDescent="0.35">
      <c r="A492" s="12" t="s">
        <v>94</v>
      </c>
      <c r="B492" s="3" t="str">
        <f>[1]Results!E241</f>
        <v>YG_toe_0</v>
      </c>
      <c r="C492" s="3">
        <f>[1]Results!F241</f>
        <v>148.7539031</v>
      </c>
      <c r="D492" s="3">
        <f>[1]Results!G241</f>
        <v>149.9412342</v>
      </c>
      <c r="E492" s="3">
        <f>[1]Results!H241</f>
        <v>151.04358999999999</v>
      </c>
      <c r="F492" s="3">
        <f>[1]Results!I241</f>
        <v>152.21546219999999</v>
      </c>
      <c r="G492" s="3">
        <f>[1]Results!J241</f>
        <v>153.5049545</v>
      </c>
      <c r="H492" s="3">
        <f>[1]Results!K241</f>
        <v>154.92799429999999</v>
      </c>
      <c r="I492" s="3">
        <f>[1]Results!L241</f>
        <v>156.39043939999999</v>
      </c>
      <c r="J492" s="3">
        <f>[1]Results!M241</f>
        <v>157.9308772</v>
      </c>
      <c r="K492" s="3">
        <f>[1]Results!N241</f>
        <v>159.53738480000001</v>
      </c>
      <c r="L492" s="3">
        <f>[1]Results!O241</f>
        <v>161.19526310000001</v>
      </c>
      <c r="M492" s="3">
        <f>[1]Results!P241</f>
        <v>163.04248129999999</v>
      </c>
      <c r="N492" s="3">
        <f>[1]Results!Q241</f>
        <v>164.8173654</v>
      </c>
      <c r="O492" s="3">
        <f>[1]Results!R241</f>
        <v>166.59956070000001</v>
      </c>
      <c r="P492" s="3">
        <f>[1]Results!S241</f>
        <v>168.3956168</v>
      </c>
      <c r="Q492" s="3">
        <f>[1]Results!T241</f>
        <v>170.2067754</v>
      </c>
      <c r="R492" s="3">
        <f>[1]Results!U241</f>
        <v>172.03351119999999</v>
      </c>
      <c r="S492" s="3">
        <f>[1]Results!V241</f>
        <v>173.8765477</v>
      </c>
      <c r="T492" s="3">
        <f>[1]Results!W241</f>
        <v>175.7370109</v>
      </c>
      <c r="U492" s="3">
        <f>[1]Results!X241</f>
        <v>177.61636419999999</v>
      </c>
      <c r="V492" s="3">
        <f>[1]Results!Y241</f>
        <v>179.5162977</v>
      </c>
      <c r="W492" s="3">
        <f>[1]Results!Z241</f>
        <v>181.32944330000001</v>
      </c>
      <c r="X492" s="3">
        <f>[1]Results!AA241</f>
        <v>183.24304280000001</v>
      </c>
      <c r="Y492" s="3">
        <f>[1]Results!AB241</f>
        <v>185.19625590000001</v>
      </c>
      <c r="Z492" s="3">
        <f>[1]Results!AC241</f>
        <v>187.1837563</v>
      </c>
      <c r="AA492" s="3">
        <f>[1]Results!AD241</f>
        <v>189.20489850000001</v>
      </c>
      <c r="AB492" s="3">
        <f>[1]Results!AE241</f>
        <v>190.94736270000001</v>
      </c>
      <c r="AC492" s="3">
        <f>[1]Results!AF241</f>
        <v>192.79503120000001</v>
      </c>
      <c r="AD492" s="3">
        <f>[1]Results!AG241</f>
        <v>194.67020919999999</v>
      </c>
      <c r="AE492" s="3">
        <f>[1]Results!AH241</f>
        <v>196.5711537</v>
      </c>
      <c r="AF492" s="3">
        <f>[1]Results!AI241</f>
        <v>198.50022480000001</v>
      </c>
      <c r="AG492" s="3">
        <f>[1]Results!AJ241</f>
        <v>200.46024969999999</v>
      </c>
      <c r="AH492" s="3">
        <f>[1]Results!AK241</f>
        <v>202.45359400000001</v>
      </c>
      <c r="AI492" s="3">
        <f>[1]Results!AL241</f>
        <v>204.48195250000001</v>
      </c>
      <c r="AJ492" s="3">
        <f>[1]Results!AM241</f>
        <v>206.54637719999999</v>
      </c>
      <c r="AK492" s="3">
        <f>[1]Results!AN241</f>
        <v>208.64738969999999</v>
      </c>
      <c r="AL492" s="3">
        <f>[1]Results!AO241</f>
        <v>210.7851163</v>
      </c>
      <c r="AM492" s="3">
        <f>[1]Results!AP241</f>
        <v>212.884883</v>
      </c>
      <c r="AN492" s="3">
        <f>[1]Results!AQ241</f>
        <v>214.99802639999999</v>
      </c>
      <c r="AO492" s="3">
        <f>[1]Results!AR241</f>
        <v>217.13294880000001</v>
      </c>
      <c r="AP492" s="3">
        <f>[1]Results!AS241</f>
        <v>219.2934745</v>
      </c>
      <c r="AQ492" s="3">
        <f>[1]Results!AT241</f>
        <v>221.48204670000001</v>
      </c>
      <c r="AR492" s="3">
        <f>[1]Results!AU241</f>
        <v>223.7005106</v>
      </c>
      <c r="AS492" s="3">
        <f>[1]Results!AV241</f>
        <v>225.9503133</v>
      </c>
      <c r="AT492" s="3">
        <f>[1]Results!AW241</f>
        <v>228.23256789999999</v>
      </c>
      <c r="AU492" s="3">
        <f>[1]Results!AX241</f>
        <v>230.54804909999999</v>
      </c>
      <c r="AV492" s="3">
        <f>[1]Results!AY241</f>
        <v>232.89707250000001</v>
      </c>
      <c r="AW492" s="3">
        <f>[1]Results!AZ241</f>
        <v>235.28533630000001</v>
      </c>
      <c r="AX492" s="3">
        <f>[1]Results!BA241</f>
        <v>237.70370310000001</v>
      </c>
      <c r="AY492" s="3">
        <f>[1]Results!BB241</f>
        <v>240.1489444</v>
      </c>
      <c r="AZ492" s="3">
        <f>[1]Results!BC241</f>
        <v>242.62557419999999</v>
      </c>
      <c r="BA492" s="3">
        <f>[1]Results!BD241</f>
        <v>245.13779260000001</v>
      </c>
      <c r="BB492" s="3">
        <f>[1]Results!BE241</f>
        <v>247.68709290000001</v>
      </c>
      <c r="BC492" s="3">
        <f>[1]Results!BF241</f>
        <v>250.2733551</v>
      </c>
      <c r="BD492" s="3">
        <f>[1]Results!BG241</f>
        <v>252.89599620000001</v>
      </c>
      <c r="BE492" s="3">
        <f>[1]Results!BH241</f>
        <v>255.55456190000001</v>
      </c>
      <c r="BF492" s="3">
        <f>[1]Results!BI241</f>
        <v>258.24891050000002</v>
      </c>
    </row>
    <row r="493" spans="1:58" x14ac:dyDescent="0.35">
      <c r="A493" t="s">
        <v>38</v>
      </c>
      <c r="B493" s="3" t="str">
        <f>[1]Results!E242</f>
        <v>YG_toe_ccoa_0</v>
      </c>
      <c r="C493" s="3">
        <f>[1]Results!F242</f>
        <v>2.395310383</v>
      </c>
      <c r="D493" s="3">
        <f>[1]Results!G242</f>
        <v>2.4206345919999999</v>
      </c>
      <c r="E493" s="3">
        <f>[1]Results!H242</f>
        <v>2.447536323</v>
      </c>
      <c r="F493" s="3">
        <f>[1]Results!I242</f>
        <v>2.4770827469999999</v>
      </c>
      <c r="G493" s="3">
        <f>[1]Results!J242</f>
        <v>2.5093666809999999</v>
      </c>
      <c r="H493" s="3">
        <f>[1]Results!K242</f>
        <v>2.5441740340000001</v>
      </c>
      <c r="I493" s="3">
        <f>[1]Results!L242</f>
        <v>2.579616256</v>
      </c>
      <c r="J493" s="3">
        <f>[1]Results!M242</f>
        <v>2.6163531619999998</v>
      </c>
      <c r="K493" s="3">
        <f>[1]Results!N242</f>
        <v>2.654317823</v>
      </c>
      <c r="L493" s="3">
        <f>[1]Results!O242</f>
        <v>2.6933564510000001</v>
      </c>
      <c r="M493" s="3">
        <f>[1]Results!P242</f>
        <v>2.7359851509999999</v>
      </c>
      <c r="N493" s="3">
        <f>[1]Results!Q242</f>
        <v>2.7776421340000002</v>
      </c>
      <c r="O493" s="3">
        <f>[1]Results!R242</f>
        <v>2.8196814469999998</v>
      </c>
      <c r="P493" s="3">
        <f>[1]Results!S242</f>
        <v>2.8623338170000001</v>
      </c>
      <c r="Q493" s="3">
        <f>[1]Results!T242</f>
        <v>2.9056221450000002</v>
      </c>
      <c r="R493" s="3">
        <f>[1]Results!U242</f>
        <v>2.949542348</v>
      </c>
      <c r="S493" s="3">
        <f>[1]Results!V242</f>
        <v>2.9940955389999999</v>
      </c>
      <c r="T493" s="3">
        <f>[1]Results!W242</f>
        <v>3.0392911690000002</v>
      </c>
      <c r="U493" s="3">
        <f>[1]Results!X242</f>
        <v>3.085144799</v>
      </c>
      <c r="V493" s="3">
        <f>[1]Results!Y242</f>
        <v>3.131675371</v>
      </c>
      <c r="W493" s="3">
        <f>[1]Results!Z242</f>
        <v>3.1769283769999999</v>
      </c>
      <c r="X493" s="3">
        <f>[1]Results!AA242</f>
        <v>3.2242513709999998</v>
      </c>
      <c r="Y493" s="3">
        <f>[1]Results!AB242</f>
        <v>3.2726041100000001</v>
      </c>
      <c r="Z493" s="3">
        <f>[1]Results!AC242</f>
        <v>3.3217969959999998</v>
      </c>
      <c r="AA493" s="3">
        <f>[1]Results!AD242</f>
        <v>3.37180568</v>
      </c>
      <c r="AB493" s="3">
        <f>[1]Results!AE242</f>
        <v>3.416912124</v>
      </c>
      <c r="AC493" s="3">
        <f>[1]Results!AF242</f>
        <v>3.464040877</v>
      </c>
      <c r="AD493" s="3">
        <f>[1]Results!AG242</f>
        <v>3.5119538719999999</v>
      </c>
      <c r="AE493" s="3">
        <f>[1]Results!AH242</f>
        <v>3.5604472070000002</v>
      </c>
      <c r="AF493" s="3">
        <f>[1]Results!AI242</f>
        <v>3.6095196430000001</v>
      </c>
      <c r="AG493" s="3">
        <f>[1]Results!AJ242</f>
        <v>3.6592028239999999</v>
      </c>
      <c r="AH493" s="3">
        <f>[1]Results!AK242</f>
        <v>3.7095267629999999</v>
      </c>
      <c r="AI493" s="3">
        <f>[1]Results!AL242</f>
        <v>3.7605126769999999</v>
      </c>
      <c r="AJ493" s="3">
        <f>[1]Results!AM242</f>
        <v>3.8121724709999998</v>
      </c>
      <c r="AK493" s="3">
        <f>[1]Results!AN242</f>
        <v>3.8645102649999998</v>
      </c>
      <c r="AL493" s="3">
        <f>[1]Results!AO242</f>
        <v>3.917524539</v>
      </c>
      <c r="AM493" s="3">
        <f>[1]Results!AP242</f>
        <v>3.9698140780000002</v>
      </c>
      <c r="AN493" s="3">
        <f>[1]Results!AQ242</f>
        <v>4.0223101979999996</v>
      </c>
      <c r="AO493" s="3">
        <f>[1]Results!AR242</f>
        <v>4.0752093870000001</v>
      </c>
      <c r="AP493" s="3">
        <f>[1]Results!AS242</f>
        <v>4.1285652610000003</v>
      </c>
      <c r="AQ493" s="3">
        <f>[1]Results!AT242</f>
        <v>4.182405191</v>
      </c>
      <c r="AR493" s="3">
        <f>[1]Results!AU242</f>
        <v>4.236751452</v>
      </c>
      <c r="AS493" s="3">
        <f>[1]Results!AV242</f>
        <v>4.2916239159999998</v>
      </c>
      <c r="AT493" s="3">
        <f>[1]Results!AW242</f>
        <v>4.3470395000000002</v>
      </c>
      <c r="AU493" s="3">
        <f>[1]Results!AX242</f>
        <v>4.403011556</v>
      </c>
      <c r="AV493" s="3">
        <f>[1]Results!AY242</f>
        <v>4.4595492129999998</v>
      </c>
      <c r="AW493" s="3">
        <f>[1]Results!AZ242</f>
        <v>4.516782128</v>
      </c>
      <c r="AX493" s="3">
        <f>[1]Results!BA242</f>
        <v>4.5746674589999996</v>
      </c>
      <c r="AY493" s="3">
        <f>[1]Results!BB242</f>
        <v>4.63320139</v>
      </c>
      <c r="AZ493" s="3">
        <f>[1]Results!BC242</f>
        <v>4.6923859229999998</v>
      </c>
      <c r="BA493" s="3">
        <f>[1]Results!BD242</f>
        <v>4.7522222899999997</v>
      </c>
      <c r="BB493" s="3">
        <f>[1]Results!BE242</f>
        <v>4.8127135250000004</v>
      </c>
      <c r="BC493" s="3">
        <f>[1]Results!BF242</f>
        <v>4.8738662279999998</v>
      </c>
      <c r="BD493" s="3">
        <f>[1]Results!BG242</f>
        <v>4.9356901879999997</v>
      </c>
      <c r="BE493" s="3">
        <f>[1]Results!BH242</f>
        <v>4.998197491</v>
      </c>
      <c r="BF493" s="3">
        <f>[1]Results!BI242</f>
        <v>5.0614018769999998</v>
      </c>
    </row>
    <row r="494" spans="1:58" x14ac:dyDescent="0.35">
      <c r="B494" s="3" t="s">
        <v>74</v>
      </c>
      <c r="C494" s="3">
        <f>SUM(C495:C497)</f>
        <v>51.443955967000001</v>
      </c>
      <c r="D494" s="3">
        <f t="shared" ref="D494:AL494" si="305">SUM(D495:D497)</f>
        <v>51.777455492999998</v>
      </c>
      <c r="E494" s="3">
        <f t="shared" si="305"/>
        <v>52.083240107000002</v>
      </c>
      <c r="F494" s="3">
        <f t="shared" si="305"/>
        <v>52.441258489999996</v>
      </c>
      <c r="G494" s="3">
        <f t="shared" si="305"/>
        <v>52.871554482999997</v>
      </c>
      <c r="H494" s="3">
        <f t="shared" si="305"/>
        <v>53.372867653</v>
      </c>
      <c r="I494" s="3">
        <f t="shared" si="305"/>
        <v>53.908570965000003</v>
      </c>
      <c r="J494" s="3">
        <f t="shared" si="305"/>
        <v>54.484149896000005</v>
      </c>
      <c r="K494" s="3">
        <f t="shared" si="305"/>
        <v>55.091570060000002</v>
      </c>
      <c r="L494" s="3">
        <f t="shared" si="305"/>
        <v>55.723795979999991</v>
      </c>
      <c r="M494" s="3">
        <f t="shared" si="305"/>
        <v>56.421206042000009</v>
      </c>
      <c r="N494" s="3">
        <f t="shared" si="305"/>
        <v>57.103365837000005</v>
      </c>
      <c r="O494" s="3">
        <f t="shared" si="305"/>
        <v>57.794246720999993</v>
      </c>
      <c r="P494" s="3">
        <f t="shared" si="305"/>
        <v>58.494115563999998</v>
      </c>
      <c r="Q494" s="3">
        <f t="shared" si="305"/>
        <v>59.202143182999997</v>
      </c>
      <c r="R494" s="3">
        <f t="shared" si="305"/>
        <v>59.917625541999996</v>
      </c>
      <c r="S494" s="3">
        <f t="shared" si="305"/>
        <v>60.640150034999998</v>
      </c>
      <c r="T494" s="3">
        <f t="shared" si="305"/>
        <v>61.36955337900001</v>
      </c>
      <c r="U494" s="3">
        <f t="shared" si="305"/>
        <v>62.105853193000002</v>
      </c>
      <c r="V494" s="3">
        <f t="shared" si="305"/>
        <v>62.849190290999999</v>
      </c>
      <c r="W494" s="3">
        <f t="shared" si="305"/>
        <v>63.566048752</v>
      </c>
      <c r="X494" s="3">
        <f t="shared" si="305"/>
        <v>64.313545438000006</v>
      </c>
      <c r="Y494" s="3">
        <f t="shared" si="305"/>
        <v>65.072193829</v>
      </c>
      <c r="Z494" s="3">
        <f t="shared" si="305"/>
        <v>65.840746265000007</v>
      </c>
      <c r="AA494" s="3">
        <f t="shared" si="305"/>
        <v>66.619160968000003</v>
      </c>
      <c r="AB494" s="3">
        <f t="shared" si="305"/>
        <v>67.310332795000008</v>
      </c>
      <c r="AC494" s="3">
        <f t="shared" si="305"/>
        <v>68.032300466999999</v>
      </c>
      <c r="AD494" s="3">
        <f t="shared" si="305"/>
        <v>68.759059058000005</v>
      </c>
      <c r="AE494" s="3">
        <f t="shared" si="305"/>
        <v>69.490555604000008</v>
      </c>
      <c r="AF494" s="3">
        <f t="shared" si="305"/>
        <v>70.228052251999998</v>
      </c>
      <c r="AG494" s="3">
        <f t="shared" si="305"/>
        <v>70.97286973300001</v>
      </c>
      <c r="AH494" s="3">
        <f t="shared" si="305"/>
        <v>71.726112137000001</v>
      </c>
      <c r="AI494" s="3">
        <f t="shared" si="305"/>
        <v>72.488619274000001</v>
      </c>
      <c r="AJ494" s="3">
        <f t="shared" si="305"/>
        <v>73.260992023</v>
      </c>
      <c r="AK494" s="3">
        <f t="shared" si="305"/>
        <v>74.043639113000012</v>
      </c>
      <c r="AL494" s="3">
        <f t="shared" si="305"/>
        <v>74.836826475000009</v>
      </c>
      <c r="AM494" s="3">
        <f t="shared" ref="AM494:BC494" si="306">SUM(AM495:AM497)</f>
        <v>75.617290557999993</v>
      </c>
      <c r="AN494" s="3">
        <f t="shared" si="306"/>
        <v>76.401084948000005</v>
      </c>
      <c r="AO494" s="3">
        <f t="shared" si="306"/>
        <v>77.190491663000003</v>
      </c>
      <c r="AP494" s="3">
        <f t="shared" si="306"/>
        <v>77.986700118000002</v>
      </c>
      <c r="AQ494" s="3">
        <f t="shared" si="306"/>
        <v>78.790638096999999</v>
      </c>
      <c r="AR494" s="3">
        <f t="shared" si="306"/>
        <v>79.603105775000003</v>
      </c>
      <c r="AS494" s="3">
        <f t="shared" si="306"/>
        <v>80.424778923000005</v>
      </c>
      <c r="AT494" s="3">
        <f t="shared" si="306"/>
        <v>81.256199985000009</v>
      </c>
      <c r="AU494" s="3">
        <f t="shared" si="306"/>
        <v>82.097772425000002</v>
      </c>
      <c r="AV494" s="3">
        <f t="shared" si="306"/>
        <v>82.94973902400001</v>
      </c>
      <c r="AW494" s="3">
        <f t="shared" si="306"/>
        <v>83.814141667999991</v>
      </c>
      <c r="AX494" s="3">
        <f t="shared" si="306"/>
        <v>84.689672080000008</v>
      </c>
      <c r="AY494" s="3">
        <f t="shared" si="306"/>
        <v>85.576072745999994</v>
      </c>
      <c r="AZ494" s="3">
        <f t="shared" si="306"/>
        <v>86.473852138000012</v>
      </c>
      <c r="BA494" s="3">
        <f t="shared" si="306"/>
        <v>87.383431624000011</v>
      </c>
      <c r="BB494" s="3">
        <f t="shared" si="306"/>
        <v>88.304937066999997</v>
      </c>
      <c r="BC494" s="3">
        <f t="shared" si="306"/>
        <v>89.238342971999984</v>
      </c>
      <c r="BD494" s="3">
        <f t="shared" ref="BD494:BF494" si="307">SUM(BD495:BD497)</f>
        <v>90.183598369999984</v>
      </c>
      <c r="BE494" s="3">
        <f t="shared" si="307"/>
        <v>91.140684608000001</v>
      </c>
      <c r="BF494" s="3">
        <f t="shared" si="307"/>
        <v>92.109629544000015</v>
      </c>
    </row>
    <row r="495" spans="1:58" x14ac:dyDescent="0.35">
      <c r="B495" s="3" t="str">
        <f>[1]Results!E245</f>
        <v>YG_toe_ccoi_0</v>
      </c>
      <c r="C495" s="3">
        <f>[1]Results!F245</f>
        <v>1.097368924</v>
      </c>
      <c r="D495" s="3">
        <f>[1]Results!G245</f>
        <v>1.1057038960000001</v>
      </c>
      <c r="E495" s="3">
        <f>[1]Results!H245</f>
        <v>1.1130509319999999</v>
      </c>
      <c r="F495" s="3">
        <f>[1]Results!I245</f>
        <v>1.121294832</v>
      </c>
      <c r="G495" s="3">
        <f>[1]Results!J245</f>
        <v>1.130973078</v>
      </c>
      <c r="H495" s="3">
        <f>[1]Results!K245</f>
        <v>1.1421154529999999</v>
      </c>
      <c r="I495" s="3">
        <f>[1]Results!L245</f>
        <v>1.153956024</v>
      </c>
      <c r="J495" s="3">
        <f>[1]Results!M245</f>
        <v>1.166592182</v>
      </c>
      <c r="K495" s="3">
        <f>[1]Results!N245</f>
        <v>1.179891311</v>
      </c>
      <c r="L495" s="3">
        <f>[1]Results!O245</f>
        <v>1.1937072639999999</v>
      </c>
      <c r="M495" s="3">
        <f>[1]Results!P245</f>
        <v>1.2089186700000001</v>
      </c>
      <c r="N495" s="3">
        <f>[1]Results!Q245</f>
        <v>1.223835301</v>
      </c>
      <c r="O495" s="3">
        <f>[1]Results!R245</f>
        <v>1.2388558940000001</v>
      </c>
      <c r="P495" s="3">
        <f>[1]Results!S245</f>
        <v>1.2540528419999999</v>
      </c>
      <c r="Q495" s="3">
        <f>[1]Results!T245</f>
        <v>1.2694263589999999</v>
      </c>
      <c r="R495" s="3">
        <f>[1]Results!U245</f>
        <v>1.2849680990000001</v>
      </c>
      <c r="S495" s="3">
        <f>[1]Results!V245</f>
        <v>1.3006731840000001</v>
      </c>
      <c r="T495" s="3">
        <f>[1]Results!W245</f>
        <v>1.3165411570000001</v>
      </c>
      <c r="U495" s="3">
        <f>[1]Results!X245</f>
        <v>1.332574946</v>
      </c>
      <c r="V495" s="3">
        <f>[1]Results!Y245</f>
        <v>1.3487797370000001</v>
      </c>
      <c r="W495" s="3">
        <f>[1]Results!Z245</f>
        <v>1.3644293789999999</v>
      </c>
      <c r="X495" s="3">
        <f>[1]Results!AA245</f>
        <v>1.380725043</v>
      </c>
      <c r="Y495" s="3">
        <f>[1]Results!AB245</f>
        <v>1.397337923</v>
      </c>
      <c r="Z495" s="3">
        <f>[1]Results!AC245</f>
        <v>1.414195976</v>
      </c>
      <c r="AA495" s="3">
        <f>[1]Results!AD245</f>
        <v>1.431289265</v>
      </c>
      <c r="AB495" s="3">
        <f>[1]Results!AE245</f>
        <v>1.446507502</v>
      </c>
      <c r="AC495" s="3">
        <f>[1]Results!AF245</f>
        <v>1.462297044</v>
      </c>
      <c r="AD495" s="3">
        <f>[1]Results!AG245</f>
        <v>1.478307088</v>
      </c>
      <c r="AE495" s="3">
        <f>[1]Results!AH245</f>
        <v>1.494476084</v>
      </c>
      <c r="AF495" s="3">
        <f>[1]Results!AI245</f>
        <v>1.510813642</v>
      </c>
      <c r="AG495" s="3">
        <f>[1]Results!AJ245</f>
        <v>1.527341163</v>
      </c>
      <c r="AH495" s="3">
        <f>[1]Results!AK245</f>
        <v>1.5440784569999999</v>
      </c>
      <c r="AI495" s="3">
        <f>[1]Results!AL245</f>
        <v>1.5610409240000001</v>
      </c>
      <c r="AJ495" s="3">
        <f>[1]Results!AM245</f>
        <v>1.5782395229999999</v>
      </c>
      <c r="AK495" s="3">
        <f>[1]Results!AN245</f>
        <v>1.5956815129999999</v>
      </c>
      <c r="AL495" s="3">
        <f>[1]Results!AO245</f>
        <v>1.6133713750000001</v>
      </c>
      <c r="AM495" s="3">
        <f>[1]Results!AP245</f>
        <v>1.6308022280000001</v>
      </c>
      <c r="AN495" s="3">
        <f>[1]Results!AQ245</f>
        <v>1.6482932180000001</v>
      </c>
      <c r="AO495" s="3">
        <f>[1]Results!AR245</f>
        <v>1.6659295030000001</v>
      </c>
      <c r="AP495" s="3">
        <f>[1]Results!AS245</f>
        <v>1.6837411179999999</v>
      </c>
      <c r="AQ495" s="3">
        <f>[1]Results!AT245</f>
        <v>1.701746067</v>
      </c>
      <c r="AR495" s="3">
        <f>[1]Results!AU245</f>
        <v>1.7199588050000001</v>
      </c>
      <c r="AS495" s="3">
        <f>[1]Results!AV245</f>
        <v>1.7383914629999999</v>
      </c>
      <c r="AT495" s="3">
        <f>[1]Results!AW245</f>
        <v>1.7570538149999999</v>
      </c>
      <c r="AU495" s="3">
        <f>[1]Results!AX245</f>
        <v>1.775953085</v>
      </c>
      <c r="AV495" s="3">
        <f>[1]Results!AY245</f>
        <v>1.795093324</v>
      </c>
      <c r="AW495" s="3">
        <f>[1]Results!AZ245</f>
        <v>1.8145177779999999</v>
      </c>
      <c r="AX495" s="3">
        <f>[1]Results!BA245</f>
        <v>1.8341973600000001</v>
      </c>
      <c r="AY495" s="3">
        <f>[1]Results!BB245</f>
        <v>1.854120346</v>
      </c>
      <c r="AZ495" s="3">
        <f>[1]Results!BC245</f>
        <v>1.8742991579999999</v>
      </c>
      <c r="BA495" s="3">
        <f>[1]Results!BD245</f>
        <v>1.894746694</v>
      </c>
      <c r="BB495" s="3">
        <f>[1]Results!BE245</f>
        <v>1.915467797</v>
      </c>
      <c r="BC495" s="3">
        <f>[1]Results!BF245</f>
        <v>1.9364622119999999</v>
      </c>
      <c r="BD495" s="3">
        <f>[1]Results!BG245</f>
        <v>1.95772831</v>
      </c>
      <c r="BE495" s="3">
        <f>[1]Results!BH245</f>
        <v>1.979265048</v>
      </c>
      <c r="BF495" s="3">
        <f>[1]Results!BI245</f>
        <v>2.0010725740000002</v>
      </c>
    </row>
    <row r="496" spans="1:58" x14ac:dyDescent="0.35">
      <c r="B496" s="3" t="str">
        <f>[1]Results!E248</f>
        <v>YG_toe_cfut_0</v>
      </c>
      <c r="C496" s="3">
        <f>[1]Results!F248</f>
        <v>42.403763159999997</v>
      </c>
      <c r="D496" s="3">
        <f>[1]Results!G248</f>
        <v>42.671330259999998</v>
      </c>
      <c r="E496" s="3">
        <f>[1]Results!H248</f>
        <v>42.920814280000002</v>
      </c>
      <c r="F496" s="3">
        <f>[1]Results!I248</f>
        <v>43.221645619999997</v>
      </c>
      <c r="G496" s="3">
        <f>[1]Results!J248</f>
        <v>43.590534470000001</v>
      </c>
      <c r="H496" s="3">
        <f>[1]Results!K248</f>
        <v>44.022083279999997</v>
      </c>
      <c r="I496" s="3">
        <f>[1]Results!L248</f>
        <v>44.483522020000002</v>
      </c>
      <c r="J496" s="3">
        <f>[1]Results!M248</f>
        <v>44.978733210000001</v>
      </c>
      <c r="K496" s="3">
        <f>[1]Results!N248</f>
        <v>45.500559780000003</v>
      </c>
      <c r="L496" s="3">
        <f>[1]Results!O248</f>
        <v>46.043145789999997</v>
      </c>
      <c r="M496" s="3">
        <f>[1]Results!P248</f>
        <v>46.639897910000002</v>
      </c>
      <c r="N496" s="3">
        <f>[1]Results!Q248</f>
        <v>47.223769060000002</v>
      </c>
      <c r="O496" s="3">
        <f>[1]Results!R248</f>
        <v>47.81572371</v>
      </c>
      <c r="P496" s="3">
        <f>[1]Results!S248</f>
        <v>48.415613700000002</v>
      </c>
      <c r="Q496" s="3">
        <f>[1]Results!T248</f>
        <v>49.022576489999999</v>
      </c>
      <c r="R496" s="3">
        <f>[1]Results!U248</f>
        <v>49.635924350000003</v>
      </c>
      <c r="S496" s="3">
        <f>[1]Results!V248</f>
        <v>50.255243350000001</v>
      </c>
      <c r="T496" s="3">
        <f>[1]Results!W248</f>
        <v>50.880344450000003</v>
      </c>
      <c r="U496" s="3">
        <f>[1]Results!X248</f>
        <v>51.511200580000001</v>
      </c>
      <c r="V496" s="3">
        <f>[1]Results!Y248</f>
        <v>52.147895470000002</v>
      </c>
      <c r="W496" s="3">
        <f>[1]Results!Z248</f>
        <v>52.762622989999997</v>
      </c>
      <c r="X496" s="3">
        <f>[1]Results!AA248</f>
        <v>53.403172920000003</v>
      </c>
      <c r="Y496" s="3">
        <f>[1]Results!AB248</f>
        <v>54.052528619999997</v>
      </c>
      <c r="Z496" s="3">
        <f>[1]Results!AC248</f>
        <v>54.709884340000002</v>
      </c>
      <c r="AA496" s="3">
        <f>[1]Results!AD248</f>
        <v>55.37528906</v>
      </c>
      <c r="AB496" s="3">
        <f>[1]Results!AE248</f>
        <v>55.968175440000003</v>
      </c>
      <c r="AC496" s="3">
        <f>[1]Results!AF248</f>
        <v>56.58789024</v>
      </c>
      <c r="AD496" s="3">
        <f>[1]Results!AG248</f>
        <v>57.21105927</v>
      </c>
      <c r="AE496" s="3">
        <f>[1]Results!AH248</f>
        <v>57.837820020000002</v>
      </c>
      <c r="AF496" s="3">
        <f>[1]Results!AI248</f>
        <v>58.469319259999999</v>
      </c>
      <c r="AG496" s="3">
        <f>[1]Results!AJ248</f>
        <v>59.106717510000003</v>
      </c>
      <c r="AH496" s="3">
        <f>[1]Results!AK248</f>
        <v>59.750971749999998</v>
      </c>
      <c r="AI496" s="3">
        <f>[1]Results!AL248</f>
        <v>60.402807979999999</v>
      </c>
      <c r="AJ496" s="3">
        <f>[1]Results!AM248</f>
        <v>61.062747119999997</v>
      </c>
      <c r="AK496" s="3">
        <f>[1]Results!AN248</f>
        <v>61.731146350000003</v>
      </c>
      <c r="AL496" s="3">
        <f>[1]Results!AO248</f>
        <v>62.408241510000003</v>
      </c>
      <c r="AM496" s="3">
        <f>[1]Results!AP248</f>
        <v>63.07468274</v>
      </c>
      <c r="AN496" s="3">
        <f>[1]Results!AQ248</f>
        <v>63.744179350000003</v>
      </c>
      <c r="AO496" s="3">
        <f>[1]Results!AR248</f>
        <v>64.418396830000006</v>
      </c>
      <c r="AP496" s="3">
        <f>[1]Results!AS248</f>
        <v>65.09824399</v>
      </c>
      <c r="AQ496" s="3">
        <f>[1]Results!AT248</f>
        <v>65.784468090000004</v>
      </c>
      <c r="AR496" s="3">
        <f>[1]Results!AU248</f>
        <v>66.477733459999996</v>
      </c>
      <c r="AS496" s="3">
        <f>[1]Results!AV248</f>
        <v>67.178612040000004</v>
      </c>
      <c r="AT496" s="3">
        <f>[1]Results!AW248</f>
        <v>67.887572980000002</v>
      </c>
      <c r="AU496" s="3">
        <f>[1]Results!AX248</f>
        <v>68.604983430000004</v>
      </c>
      <c r="AV496" s="3">
        <f>[1]Results!AY248</f>
        <v>69.331117419999998</v>
      </c>
      <c r="AW496" s="3">
        <f>[1]Results!AZ248</f>
        <v>70.067921830000003</v>
      </c>
      <c r="AX496" s="3">
        <f>[1]Results!BA248</f>
        <v>70.814276669999998</v>
      </c>
      <c r="AY496" s="3">
        <f>[1]Results!BB248</f>
        <v>71.570129679999994</v>
      </c>
      <c r="AZ496" s="3">
        <f>[1]Results!BC248</f>
        <v>72.335539350000005</v>
      </c>
      <c r="BA496" s="3">
        <f>[1]Results!BD248</f>
        <v>73.11056542</v>
      </c>
      <c r="BB496" s="3">
        <f>[1]Results!BE248</f>
        <v>73.895242319999994</v>
      </c>
      <c r="BC496" s="3">
        <f>[1]Results!BF248</f>
        <v>74.689594619999994</v>
      </c>
      <c r="BD496" s="3">
        <f>[1]Results!BG248</f>
        <v>75.493653769999995</v>
      </c>
      <c r="BE496" s="3">
        <f>[1]Results!BH248</f>
        <v>76.307466199999993</v>
      </c>
      <c r="BF496" s="3">
        <f>[1]Results!BI248</f>
        <v>77.131094500000003</v>
      </c>
    </row>
    <row r="497" spans="1:58" x14ac:dyDescent="0.35">
      <c r="B497" s="3" t="str">
        <f>[1]Results!E251</f>
        <v>YG_toe_cfuh_0</v>
      </c>
      <c r="C497" s="3">
        <f>[1]Results!F251</f>
        <v>7.942823883</v>
      </c>
      <c r="D497" s="3">
        <f>[1]Results!G251</f>
        <v>8.0004213370000006</v>
      </c>
      <c r="E497" s="3">
        <f>[1]Results!H251</f>
        <v>8.0493748949999997</v>
      </c>
      <c r="F497" s="3">
        <f>[1]Results!I251</f>
        <v>8.0983180380000004</v>
      </c>
      <c r="G497" s="3">
        <f>[1]Results!J251</f>
        <v>8.1500469350000007</v>
      </c>
      <c r="H497" s="3">
        <f>[1]Results!K251</f>
        <v>8.2086689199999991</v>
      </c>
      <c r="I497" s="3">
        <f>[1]Results!L251</f>
        <v>8.2710929209999993</v>
      </c>
      <c r="J497" s="3">
        <f>[1]Results!M251</f>
        <v>8.3388245039999997</v>
      </c>
      <c r="K497" s="3">
        <f>[1]Results!N251</f>
        <v>8.4111189690000003</v>
      </c>
      <c r="L497" s="3">
        <f>[1]Results!O251</f>
        <v>8.4869429259999993</v>
      </c>
      <c r="M497" s="3">
        <f>[1]Results!P251</f>
        <v>8.5723894620000003</v>
      </c>
      <c r="N497" s="3">
        <f>[1]Results!Q251</f>
        <v>8.6557614760000003</v>
      </c>
      <c r="O497" s="3">
        <f>[1]Results!R251</f>
        <v>8.7396671169999998</v>
      </c>
      <c r="P497" s="3">
        <f>[1]Results!S251</f>
        <v>8.8244490219999996</v>
      </c>
      <c r="Q497" s="3">
        <f>[1]Results!T251</f>
        <v>8.9101403339999994</v>
      </c>
      <c r="R497" s="3">
        <f>[1]Results!U251</f>
        <v>8.9967330929999996</v>
      </c>
      <c r="S497" s="3">
        <f>[1]Results!V251</f>
        <v>9.0842335009999999</v>
      </c>
      <c r="T497" s="3">
        <f>[1]Results!W251</f>
        <v>9.1726677720000005</v>
      </c>
      <c r="U497" s="3">
        <f>[1]Results!X251</f>
        <v>9.2620776669999998</v>
      </c>
      <c r="V497" s="3">
        <f>[1]Results!Y251</f>
        <v>9.3525150840000002</v>
      </c>
      <c r="W497" s="3">
        <f>[1]Results!Z251</f>
        <v>9.4389963829999992</v>
      </c>
      <c r="X497" s="3">
        <f>[1]Results!AA251</f>
        <v>9.5296474750000009</v>
      </c>
      <c r="Y497" s="3">
        <f>[1]Results!AB251</f>
        <v>9.6223272860000009</v>
      </c>
      <c r="Z497" s="3">
        <f>[1]Results!AC251</f>
        <v>9.7166659489999994</v>
      </c>
      <c r="AA497" s="3">
        <f>[1]Results!AD251</f>
        <v>9.8125826430000007</v>
      </c>
      <c r="AB497" s="3">
        <f>[1]Results!AE251</f>
        <v>9.8956498530000001</v>
      </c>
      <c r="AC497" s="3">
        <f>[1]Results!AF251</f>
        <v>9.9821131829999992</v>
      </c>
      <c r="AD497" s="3">
        <f>[1]Results!AG251</f>
        <v>10.069692699999999</v>
      </c>
      <c r="AE497" s="3">
        <f>[1]Results!AH251</f>
        <v>10.1582595</v>
      </c>
      <c r="AF497" s="3">
        <f>[1]Results!AI251</f>
        <v>10.24791935</v>
      </c>
      <c r="AG497" s="3">
        <f>[1]Results!AJ251</f>
        <v>10.338811059999999</v>
      </c>
      <c r="AH497" s="3">
        <f>[1]Results!AK251</f>
        <v>10.43106193</v>
      </c>
      <c r="AI497" s="3">
        <f>[1]Results!AL251</f>
        <v>10.524770370000001</v>
      </c>
      <c r="AJ497" s="3">
        <f>[1]Results!AM251</f>
        <v>10.62000538</v>
      </c>
      <c r="AK497" s="3">
        <f>[1]Results!AN251</f>
        <v>10.716811249999999</v>
      </c>
      <c r="AL497" s="3">
        <f>[1]Results!AO251</f>
        <v>10.815213590000001</v>
      </c>
      <c r="AM497" s="3">
        <f>[1]Results!AP251</f>
        <v>10.91180559</v>
      </c>
      <c r="AN497" s="3">
        <f>[1]Results!AQ251</f>
        <v>11.008612380000001</v>
      </c>
      <c r="AO497" s="3">
        <f>[1]Results!AR251</f>
        <v>11.10616533</v>
      </c>
      <c r="AP497" s="3">
        <f>[1]Results!AS251</f>
        <v>11.204715009999999</v>
      </c>
      <c r="AQ497" s="3">
        <f>[1]Results!AT251</f>
        <v>11.30442394</v>
      </c>
      <c r="AR497" s="3">
        <f>[1]Results!AU251</f>
        <v>11.405413510000001</v>
      </c>
      <c r="AS497" s="3">
        <f>[1]Results!AV251</f>
        <v>11.50777542</v>
      </c>
      <c r="AT497" s="3">
        <f>[1]Results!AW251</f>
        <v>11.61157319</v>
      </c>
      <c r="AU497" s="3">
        <f>[1]Results!AX251</f>
        <v>11.71683591</v>
      </c>
      <c r="AV497" s="3">
        <f>[1]Results!AY251</f>
        <v>11.82352828</v>
      </c>
      <c r="AW497" s="3">
        <f>[1]Results!AZ251</f>
        <v>11.931702059999999</v>
      </c>
      <c r="AX497" s="3">
        <f>[1]Results!BA251</f>
        <v>12.04119805</v>
      </c>
      <c r="AY497" s="3">
        <f>[1]Results!BB251</f>
        <v>12.15182272</v>
      </c>
      <c r="AZ497" s="3">
        <f>[1]Results!BC251</f>
        <v>12.264013630000001</v>
      </c>
      <c r="BA497" s="3">
        <f>[1]Results!BD251</f>
        <v>12.378119509999999</v>
      </c>
      <c r="BB497" s="3">
        <f>[1]Results!BE251</f>
        <v>12.49422695</v>
      </c>
      <c r="BC497" s="3">
        <f>[1]Results!BF251</f>
        <v>12.61228614</v>
      </c>
      <c r="BD497" s="3">
        <f>[1]Results!BG251</f>
        <v>12.73221629</v>
      </c>
      <c r="BE497" s="3">
        <f>[1]Results!BH251</f>
        <v>12.85395336</v>
      </c>
      <c r="BF497" s="3">
        <f>[1]Results!BI251</f>
        <v>12.977462470000001</v>
      </c>
    </row>
    <row r="498" spans="1:58" x14ac:dyDescent="0.35">
      <c r="B498" s="3" t="str">
        <f>[1]Results!E253</f>
        <v>YG_toe_cgas_0</v>
      </c>
      <c r="C498" s="3">
        <f>[1]Results!F253</f>
        <v>6.6062603229999999</v>
      </c>
      <c r="D498" s="3">
        <f>[1]Results!G253</f>
        <v>6.6480353149999996</v>
      </c>
      <c r="E498" s="3">
        <f>[1]Results!H253</f>
        <v>6.6704480950000002</v>
      </c>
      <c r="F498" s="3">
        <f>[1]Results!I253</f>
        <v>6.6792893109999998</v>
      </c>
      <c r="G498" s="3">
        <f>[1]Results!J253</f>
        <v>6.6778001089999997</v>
      </c>
      <c r="H498" s="3">
        <f>[1]Results!K253</f>
        <v>6.675258253</v>
      </c>
      <c r="I498" s="3">
        <f>[1]Results!L253</f>
        <v>6.6708197609999997</v>
      </c>
      <c r="J498" s="3">
        <f>[1]Results!M253</f>
        <v>6.6697477479999998</v>
      </c>
      <c r="K498" s="3">
        <f>[1]Results!N253</f>
        <v>6.6711559329999996</v>
      </c>
      <c r="L498" s="3">
        <f>[1]Results!O253</f>
        <v>6.674164116</v>
      </c>
      <c r="M498" s="3">
        <f>[1]Results!P253</f>
        <v>6.6860735189999998</v>
      </c>
      <c r="N498" s="3">
        <f>[1]Results!Q253</f>
        <v>6.6900411950000001</v>
      </c>
      <c r="O498" s="3">
        <f>[1]Results!R253</f>
        <v>6.6946569379999996</v>
      </c>
      <c r="P498" s="3">
        <f>[1]Results!S253</f>
        <v>6.6998824199999998</v>
      </c>
      <c r="Q498" s="3">
        <f>[1]Results!T253</f>
        <v>6.7059279729999997</v>
      </c>
      <c r="R498" s="3">
        <f>[1]Results!U253</f>
        <v>6.7129278540000001</v>
      </c>
      <c r="S498" s="3">
        <f>[1]Results!V253</f>
        <v>6.7209333200000003</v>
      </c>
      <c r="T498" s="3">
        <f>[1]Results!W253</f>
        <v>6.72993796</v>
      </c>
      <c r="U498" s="3">
        <f>[1]Results!X253</f>
        <v>6.739898642</v>
      </c>
      <c r="V498" s="3">
        <f>[1]Results!Y253</f>
        <v>6.7507501840000002</v>
      </c>
      <c r="W498" s="3">
        <f>[1]Results!Z253</f>
        <v>6.7568754569999996</v>
      </c>
      <c r="X498" s="3">
        <f>[1]Results!AA253</f>
        <v>6.7699868399999996</v>
      </c>
      <c r="Y498" s="3">
        <f>[1]Results!AB253</f>
        <v>6.7836348549999999</v>
      </c>
      <c r="Z498" s="3">
        <f>[1]Results!AC253</f>
        <v>6.7978218930000001</v>
      </c>
      <c r="AA498" s="3">
        <f>[1]Results!AD253</f>
        <v>6.8123806780000002</v>
      </c>
      <c r="AB498" s="3">
        <f>[1]Results!AE253</f>
        <v>6.8115622650000001</v>
      </c>
      <c r="AC498" s="3">
        <f>[1]Results!AF253</f>
        <v>6.8214316029999997</v>
      </c>
      <c r="AD498" s="3">
        <f>[1]Results!AG253</f>
        <v>6.8320571040000004</v>
      </c>
      <c r="AE498" s="3">
        <f>[1]Results!AH253</f>
        <v>6.8435382860000002</v>
      </c>
      <c r="AF498" s="3">
        <f>[1]Results!AI253</f>
        <v>6.8554909449999997</v>
      </c>
      <c r="AG498" s="3">
        <f>[1]Results!AJ253</f>
        <v>6.8675970959999999</v>
      </c>
      <c r="AH498" s="3">
        <f>[1]Results!AK253</f>
        <v>6.8796483850000003</v>
      </c>
      <c r="AI498" s="3">
        <f>[1]Results!AL253</f>
        <v>6.8915221930000001</v>
      </c>
      <c r="AJ498" s="3">
        <f>[1]Results!AM253</f>
        <v>6.903159016</v>
      </c>
      <c r="AK498" s="3">
        <f>[1]Results!AN253</f>
        <v>6.9145443889999996</v>
      </c>
      <c r="AL498" s="3">
        <f>[1]Results!AO253</f>
        <v>6.9256947139999996</v>
      </c>
      <c r="AM498" s="3">
        <f>[1]Results!AP253</f>
        <v>6.9330359670000004</v>
      </c>
      <c r="AN498" s="3">
        <f>[1]Results!AQ253</f>
        <v>6.940804923</v>
      </c>
      <c r="AO498" s="3">
        <f>[1]Results!AR253</f>
        <v>6.9489016159999997</v>
      </c>
      <c r="AP498" s="3">
        <f>[1]Results!AS253</f>
        <v>6.9573271830000003</v>
      </c>
      <c r="AQ498" s="3">
        <f>[1]Results!AT253</f>
        <v>6.9660339210000002</v>
      </c>
      <c r="AR498" s="3">
        <f>[1]Results!AU253</f>
        <v>6.9749455210000004</v>
      </c>
      <c r="AS498" s="3">
        <f>[1]Results!AV253</f>
        <v>6.9839789579999998</v>
      </c>
      <c r="AT498" s="3">
        <f>[1]Results!AW253</f>
        <v>6.99305003</v>
      </c>
      <c r="AU498" s="3">
        <f>[1]Results!AX253</f>
        <v>7.0020594880000004</v>
      </c>
      <c r="AV498" s="3">
        <f>[1]Results!AY253</f>
        <v>7.0108418270000001</v>
      </c>
      <c r="AW498" s="3">
        <f>[1]Results!AZ253</f>
        <v>7.0192826620000002</v>
      </c>
      <c r="AX498" s="3">
        <f>[1]Results!BA253</f>
        <v>7.0268421859999997</v>
      </c>
      <c r="AY498" s="3">
        <f>[1]Results!BB253</f>
        <v>7.0323414419999999</v>
      </c>
      <c r="AZ498" s="3">
        <f>[1]Results!BC253</f>
        <v>7.0376311950000003</v>
      </c>
      <c r="BA498" s="3">
        <f>[1]Results!BD253</f>
        <v>7.0441854089999998</v>
      </c>
      <c r="BB498" s="3">
        <f>[1]Results!BE253</f>
        <v>7.0523597540000003</v>
      </c>
      <c r="BC498" s="3">
        <f>[1]Results!BF253</f>
        <v>7.0619507050000001</v>
      </c>
      <c r="BD498" s="3">
        <f>[1]Results!BG253</f>
        <v>7.072622162</v>
      </c>
      <c r="BE498" s="3">
        <f>[1]Results!BH253</f>
        <v>7.0840846280000003</v>
      </c>
      <c r="BF498" s="3">
        <f>[1]Results!BI253</f>
        <v>7.0961378990000004</v>
      </c>
    </row>
    <row r="499" spans="1:58" x14ac:dyDescent="0.35">
      <c r="B499" s="3" t="str">
        <f>[1]Results!E259</f>
        <v>YG_toe_cele_0</v>
      </c>
      <c r="C499" s="3">
        <f>[1]Results!F259</f>
        <v>57.529655939999998</v>
      </c>
      <c r="D499" s="3">
        <f>[1]Results!G259</f>
        <v>58.024710339999999</v>
      </c>
      <c r="E499" s="3">
        <f>[1]Results!H259</f>
        <v>58.486192180000003</v>
      </c>
      <c r="F499" s="3">
        <f>[1]Results!I259</f>
        <v>58.965917330000003</v>
      </c>
      <c r="G499" s="3">
        <f>[1]Results!J259</f>
        <v>59.48201091</v>
      </c>
      <c r="H499" s="3">
        <f>[1]Results!K259</f>
        <v>60.047209180000003</v>
      </c>
      <c r="I499" s="3">
        <f>[1]Results!L259</f>
        <v>60.628122220000002</v>
      </c>
      <c r="J499" s="3">
        <f>[1]Results!M259</f>
        <v>61.237200270000002</v>
      </c>
      <c r="K499" s="3">
        <f>[1]Results!N259</f>
        <v>61.869040759999997</v>
      </c>
      <c r="L499" s="3">
        <f>[1]Results!O259</f>
        <v>62.517182910000002</v>
      </c>
      <c r="M499" s="3">
        <f>[1]Results!P259</f>
        <v>63.233221010000001</v>
      </c>
      <c r="N499" s="3">
        <f>[1]Results!Q259</f>
        <v>63.920640859999999</v>
      </c>
      <c r="O499" s="3">
        <f>[1]Results!R259</f>
        <v>64.606280620000007</v>
      </c>
      <c r="P499" s="3">
        <f>[1]Results!S259</f>
        <v>65.293249959999997</v>
      </c>
      <c r="Q499" s="3">
        <f>[1]Results!T259</f>
        <v>65.982451819999994</v>
      </c>
      <c r="R499" s="3">
        <f>[1]Results!U259</f>
        <v>66.674545120000005</v>
      </c>
      <c r="S499" s="3">
        <f>[1]Results!V259</f>
        <v>67.370347199999998</v>
      </c>
      <c r="T499" s="3">
        <f>[1]Results!W259</f>
        <v>68.070875330000007</v>
      </c>
      <c r="U499" s="3">
        <f>[1]Results!X259</f>
        <v>68.777303099999997</v>
      </c>
      <c r="V499" s="3">
        <f>[1]Results!Y259</f>
        <v>69.490899290000002</v>
      </c>
      <c r="W499" s="3">
        <f>[1]Results!Z259</f>
        <v>70.171593729999998</v>
      </c>
      <c r="X499" s="3">
        <f>[1]Results!AA259</f>
        <v>70.889139819999997</v>
      </c>
      <c r="Y499" s="3">
        <f>[1]Results!AB259</f>
        <v>71.623619559999995</v>
      </c>
      <c r="Z499" s="3">
        <f>[1]Results!AC259</f>
        <v>72.373229800000004</v>
      </c>
      <c r="AA499" s="3">
        <f>[1]Results!AD259</f>
        <v>73.138100559999998</v>
      </c>
      <c r="AB499" s="3">
        <f>[1]Results!AE259</f>
        <v>73.800083610000001</v>
      </c>
      <c r="AC499" s="3">
        <f>[1]Results!AF259</f>
        <v>74.499691310000003</v>
      </c>
      <c r="AD499" s="3">
        <f>[1]Results!AG259</f>
        <v>75.212717720000001</v>
      </c>
      <c r="AE499" s="3">
        <f>[1]Results!AH259</f>
        <v>75.938829440000006</v>
      </c>
      <c r="AF499" s="3">
        <f>[1]Results!AI259</f>
        <v>76.679497209999994</v>
      </c>
      <c r="AG499" s="3">
        <f>[1]Results!AJ259</f>
        <v>77.436238630000005</v>
      </c>
      <c r="AH499" s="3">
        <f>[1]Results!AK259</f>
        <v>78.210221849999996</v>
      </c>
      <c r="AI499" s="3">
        <f>[1]Results!AL259</f>
        <v>79.002206419999993</v>
      </c>
      <c r="AJ499" s="3">
        <f>[1]Results!AM259</f>
        <v>79.812580879999999</v>
      </c>
      <c r="AK499" s="3">
        <f>[1]Results!AN259</f>
        <v>80.641432269999996</v>
      </c>
      <c r="AL499" s="3">
        <f>[1]Results!AO259</f>
        <v>81.488623759999996</v>
      </c>
      <c r="AM499" s="3">
        <f>[1]Results!AP259</f>
        <v>82.325474249999999</v>
      </c>
      <c r="AN499" s="3">
        <f>[1]Results!AQ259</f>
        <v>83.169913179999995</v>
      </c>
      <c r="AO499" s="3">
        <f>[1]Results!AR259</f>
        <v>84.025416989999997</v>
      </c>
      <c r="AP499" s="3">
        <f>[1]Results!AS259</f>
        <v>84.893519420000004</v>
      </c>
      <c r="AQ499" s="3">
        <f>[1]Results!AT259</f>
        <v>85.775187349999996</v>
      </c>
      <c r="AR499" s="3">
        <f>[1]Results!AU259</f>
        <v>86.6711296</v>
      </c>
      <c r="AS499" s="3">
        <f>[1]Results!AV259</f>
        <v>87.581865379999996</v>
      </c>
      <c r="AT499" s="3">
        <f>[1]Results!AW259</f>
        <v>88.507748730000003</v>
      </c>
      <c r="AU499" s="3">
        <f>[1]Results!AX259</f>
        <v>89.448949139999996</v>
      </c>
      <c r="AV499" s="3">
        <f>[1]Results!AY259</f>
        <v>90.405353039999994</v>
      </c>
      <c r="AW499" s="3">
        <f>[1]Results!AZ259</f>
        <v>91.378581740000001</v>
      </c>
      <c r="AX499" s="3">
        <f>[1]Results!BA259</f>
        <v>92.366398910000001</v>
      </c>
      <c r="AY499" s="3">
        <f>[1]Results!BB259</f>
        <v>93.367647050000002</v>
      </c>
      <c r="AZ499" s="3">
        <f>[1]Results!BC259</f>
        <v>94.383784559999995</v>
      </c>
      <c r="BA499" s="3">
        <f>[1]Results!BD259</f>
        <v>95.416139610000002</v>
      </c>
      <c r="BB499" s="3">
        <f>[1]Results!BE259</f>
        <v>96.465049030000003</v>
      </c>
      <c r="BC499" s="3">
        <f>[1]Results!BF259</f>
        <v>97.530291090000006</v>
      </c>
      <c r="BD499" s="3">
        <f>[1]Results!BG259</f>
        <v>98.611535910000001</v>
      </c>
      <c r="BE499" s="3">
        <f>[1]Results!BH259</f>
        <v>99.708569609999998</v>
      </c>
      <c r="BF499" s="3">
        <f>[1]Results!BI259</f>
        <v>100.8213521</v>
      </c>
    </row>
    <row r="500" spans="1:58" x14ac:dyDescent="0.35">
      <c r="B500" s="3" t="s">
        <v>75</v>
      </c>
      <c r="C500" s="3">
        <f>SUM(C501:C503)</f>
        <v>30.778720490000001</v>
      </c>
      <c r="D500" s="3">
        <f t="shared" ref="D500:AL500" si="308">SUM(D501:D503)</f>
        <v>31.070398473999997</v>
      </c>
      <c r="E500" s="3">
        <f t="shared" si="308"/>
        <v>31.356173279000004</v>
      </c>
      <c r="F500" s="3">
        <f t="shared" si="308"/>
        <v>31.651914335999997</v>
      </c>
      <c r="G500" s="3">
        <f t="shared" si="308"/>
        <v>31.964222320000001</v>
      </c>
      <c r="H500" s="3">
        <f t="shared" si="308"/>
        <v>32.288485182000002</v>
      </c>
      <c r="I500" s="3">
        <f t="shared" si="308"/>
        <v>32.603310149999999</v>
      </c>
      <c r="J500" s="3">
        <f t="shared" si="308"/>
        <v>32.923426145000001</v>
      </c>
      <c r="K500" s="3">
        <f t="shared" si="308"/>
        <v>33.251300196999999</v>
      </c>
      <c r="L500" s="3">
        <f t="shared" si="308"/>
        <v>33.586763625000003</v>
      </c>
      <c r="M500" s="3">
        <f t="shared" si="308"/>
        <v>33.965995617000004</v>
      </c>
      <c r="N500" s="3">
        <f t="shared" si="308"/>
        <v>34.325675404000002</v>
      </c>
      <c r="O500" s="3">
        <f t="shared" si="308"/>
        <v>34.684694977000007</v>
      </c>
      <c r="P500" s="3">
        <f t="shared" si="308"/>
        <v>35.046034989999995</v>
      </c>
      <c r="Q500" s="3">
        <f t="shared" si="308"/>
        <v>35.410630322000003</v>
      </c>
      <c r="R500" s="3">
        <f t="shared" si="308"/>
        <v>35.778870316999999</v>
      </c>
      <c r="S500" s="3">
        <f t="shared" si="308"/>
        <v>36.151021612000001</v>
      </c>
      <c r="T500" s="3">
        <f t="shared" si="308"/>
        <v>36.527353044999998</v>
      </c>
      <c r="U500" s="3">
        <f t="shared" si="308"/>
        <v>36.908164448999997</v>
      </c>
      <c r="V500" s="3">
        <f t="shared" si="308"/>
        <v>37.293782581000002</v>
      </c>
      <c r="W500" s="3">
        <f t="shared" si="308"/>
        <v>37.657997002000002</v>
      </c>
      <c r="X500" s="3">
        <f t="shared" si="308"/>
        <v>38.046119347999998</v>
      </c>
      <c r="Y500" s="3">
        <f t="shared" si="308"/>
        <v>38.444203522000002</v>
      </c>
      <c r="Z500" s="3">
        <f t="shared" si="308"/>
        <v>38.850161337999999</v>
      </c>
      <c r="AA500" s="3">
        <f t="shared" si="308"/>
        <v>39.263450648999999</v>
      </c>
      <c r="AB500" s="3">
        <f t="shared" si="308"/>
        <v>39.608471897999998</v>
      </c>
      <c r="AC500" s="3">
        <f t="shared" si="308"/>
        <v>39.977566955</v>
      </c>
      <c r="AD500" s="3">
        <f t="shared" si="308"/>
        <v>40.354421392000006</v>
      </c>
      <c r="AE500" s="3">
        <f t="shared" si="308"/>
        <v>40.737783178000001</v>
      </c>
      <c r="AF500" s="3">
        <f t="shared" si="308"/>
        <v>41.127664766999999</v>
      </c>
      <c r="AG500" s="3">
        <f t="shared" si="308"/>
        <v>41.524341370000002</v>
      </c>
      <c r="AH500" s="3">
        <f t="shared" si="308"/>
        <v>41.928084874</v>
      </c>
      <c r="AI500" s="3">
        <f t="shared" si="308"/>
        <v>42.339091905000004</v>
      </c>
      <c r="AJ500" s="3">
        <f t="shared" si="308"/>
        <v>42.757472790000001</v>
      </c>
      <c r="AK500" s="3">
        <f t="shared" si="308"/>
        <v>43.183263699999998</v>
      </c>
      <c r="AL500" s="3">
        <f t="shared" si="308"/>
        <v>43.616446852999999</v>
      </c>
      <c r="AM500" s="3">
        <f t="shared" ref="AM500:BC500" si="309">SUM(AM501:AM503)</f>
        <v>44.039268175000004</v>
      </c>
      <c r="AN500" s="3">
        <f t="shared" si="309"/>
        <v>44.46391311</v>
      </c>
      <c r="AO500" s="3">
        <f t="shared" si="309"/>
        <v>44.892929097999996</v>
      </c>
      <c r="AP500" s="3">
        <f t="shared" si="309"/>
        <v>45.327362551999997</v>
      </c>
      <c r="AQ500" s="3">
        <f t="shared" si="309"/>
        <v>45.767782144999998</v>
      </c>
      <c r="AR500" s="3">
        <f t="shared" si="309"/>
        <v>46.214578273000001</v>
      </c>
      <c r="AS500" s="3">
        <f t="shared" si="309"/>
        <v>46.668066081999996</v>
      </c>
      <c r="AT500" s="3">
        <f t="shared" si="309"/>
        <v>47.128529626000002</v>
      </c>
      <c r="AU500" s="3">
        <f t="shared" si="309"/>
        <v>47.596256463000003</v>
      </c>
      <c r="AV500" s="3">
        <f t="shared" si="309"/>
        <v>48.071589391000003</v>
      </c>
      <c r="AW500" s="3">
        <f t="shared" si="309"/>
        <v>48.556548055999997</v>
      </c>
      <c r="AX500" s="3">
        <f t="shared" si="309"/>
        <v>49.04612247</v>
      </c>
      <c r="AY500" s="3">
        <f t="shared" si="309"/>
        <v>49.539681744000006</v>
      </c>
      <c r="AZ500" s="3">
        <f t="shared" si="309"/>
        <v>50.037920427000003</v>
      </c>
      <c r="BA500" s="3">
        <f t="shared" si="309"/>
        <v>50.541813687000001</v>
      </c>
      <c r="BB500" s="3">
        <f t="shared" si="309"/>
        <v>51.052033512999998</v>
      </c>
      <c r="BC500" s="3">
        <f t="shared" si="309"/>
        <v>51.568904101000001</v>
      </c>
      <c r="BD500" s="3">
        <f t="shared" ref="BD500:BF500" si="310">SUM(BD501:BD503)</f>
        <v>52.092549528000006</v>
      </c>
      <c r="BE500" s="3">
        <f t="shared" si="310"/>
        <v>52.623025506000005</v>
      </c>
      <c r="BF500" s="3">
        <f t="shared" si="310"/>
        <v>53.160389154999997</v>
      </c>
    </row>
    <row r="501" spans="1:58" x14ac:dyDescent="0.35">
      <c r="B501" s="3" t="str">
        <f>[1]Results!E269</f>
        <v>YG_toe_chea_0</v>
      </c>
      <c r="C501" s="3">
        <f>[1]Results!F269</f>
        <v>5.7131595600000002</v>
      </c>
      <c r="D501" s="3">
        <f>[1]Results!G269</f>
        <v>5.7821035439999999</v>
      </c>
      <c r="E501" s="3">
        <f>[1]Results!H269</f>
        <v>5.8586526790000004</v>
      </c>
      <c r="F501" s="3">
        <f>[1]Results!I269</f>
        <v>5.9404580559999998</v>
      </c>
      <c r="G501" s="3">
        <f>[1]Results!J269</f>
        <v>6.0270499600000003</v>
      </c>
      <c r="H501" s="3">
        <f>[1]Results!K269</f>
        <v>6.1094408720000004</v>
      </c>
      <c r="I501" s="3">
        <f>[1]Results!L269</f>
        <v>6.1818491199999999</v>
      </c>
      <c r="J501" s="3">
        <f>[1]Results!M269</f>
        <v>6.2494611750000004</v>
      </c>
      <c r="K501" s="3">
        <f>[1]Results!N269</f>
        <v>6.315203887</v>
      </c>
      <c r="L501" s="3">
        <f>[1]Results!O269</f>
        <v>6.380578775</v>
      </c>
      <c r="M501" s="3">
        <f>[1]Results!P269</f>
        <v>6.4553792169999999</v>
      </c>
      <c r="N501" s="3">
        <f>[1]Results!Q269</f>
        <v>6.5252664439999997</v>
      </c>
      <c r="O501" s="3">
        <f>[1]Results!R269</f>
        <v>6.5936934269999998</v>
      </c>
      <c r="P501" s="3">
        <f>[1]Results!S269</f>
        <v>6.6618395499999998</v>
      </c>
      <c r="Q501" s="3">
        <f>[1]Results!T269</f>
        <v>6.7301479019999997</v>
      </c>
      <c r="R501" s="3">
        <f>[1]Results!U269</f>
        <v>6.7987918870000001</v>
      </c>
      <c r="S501" s="3">
        <f>[1]Results!V269</f>
        <v>6.8678460719999999</v>
      </c>
      <c r="T501" s="3">
        <f>[1]Results!W269</f>
        <v>6.9373539549999998</v>
      </c>
      <c r="U501" s="3">
        <f>[1]Results!X269</f>
        <v>7.0073539990000002</v>
      </c>
      <c r="V501" s="3">
        <f>[1]Results!Y269</f>
        <v>7.0778879110000004</v>
      </c>
      <c r="W501" s="3">
        <f>[1]Results!Z269</f>
        <v>7.1427263920000001</v>
      </c>
      <c r="X501" s="3">
        <f>[1]Results!AA269</f>
        <v>7.2119707679999996</v>
      </c>
      <c r="Y501" s="3">
        <f>[1]Results!AB269</f>
        <v>7.2833052619999998</v>
      </c>
      <c r="Z501" s="3">
        <f>[1]Results!AC269</f>
        <v>7.3559661079999996</v>
      </c>
      <c r="AA501" s="3">
        <f>[1]Results!AD269</f>
        <v>7.4296764489999996</v>
      </c>
      <c r="AB501" s="3">
        <f>[1]Results!AE269</f>
        <v>7.4868597680000004</v>
      </c>
      <c r="AC501" s="3">
        <f>[1]Results!AF269</f>
        <v>7.5472607150000002</v>
      </c>
      <c r="AD501" s="3">
        <f>[1]Results!AG269</f>
        <v>7.6091731920000001</v>
      </c>
      <c r="AE501" s="3">
        <f>[1]Results!AH269</f>
        <v>7.6721814979999996</v>
      </c>
      <c r="AF501" s="3">
        <f>[1]Results!AI269</f>
        <v>7.7361675769999998</v>
      </c>
      <c r="AG501" s="3">
        <f>[1]Results!AJ269</f>
        <v>7.8011185899999997</v>
      </c>
      <c r="AH501" s="3">
        <f>[1]Results!AK269</f>
        <v>7.8670527039999998</v>
      </c>
      <c r="AI501" s="3">
        <f>[1]Results!AL269</f>
        <v>7.9339914949999999</v>
      </c>
      <c r="AJ501" s="3">
        <f>[1]Results!AM269</f>
        <v>8.0019500600000004</v>
      </c>
      <c r="AK501" s="3">
        <f>[1]Results!AN269</f>
        <v>8.0709351199999997</v>
      </c>
      <c r="AL501" s="3">
        <f>[1]Results!AO269</f>
        <v>8.1409466829999992</v>
      </c>
      <c r="AM501" s="3">
        <f>[1]Results!AP269</f>
        <v>8.2080741150000005</v>
      </c>
      <c r="AN501" s="3">
        <f>[1]Results!AQ269</f>
        <v>8.2746572199999999</v>
      </c>
      <c r="AO501" s="3">
        <f>[1]Results!AR269</f>
        <v>8.3415504879999993</v>
      </c>
      <c r="AP501" s="3">
        <f>[1]Results!AS269</f>
        <v>8.4091238320000006</v>
      </c>
      <c r="AQ501" s="3">
        <f>[1]Results!AT269</f>
        <v>8.4775684649999992</v>
      </c>
      <c r="AR501" s="3">
        <f>[1]Results!AU269</f>
        <v>8.5470105230000009</v>
      </c>
      <c r="AS501" s="3">
        <f>[1]Results!AV269</f>
        <v>8.6175608920000002</v>
      </c>
      <c r="AT501" s="3">
        <f>[1]Results!AW269</f>
        <v>8.6893456059999998</v>
      </c>
      <c r="AU501" s="3">
        <f>[1]Results!AX269</f>
        <v>8.7625425729999993</v>
      </c>
      <c r="AV501" s="3">
        <f>[1]Results!AY269</f>
        <v>8.837467041</v>
      </c>
      <c r="AW501" s="3">
        <f>[1]Results!AZ269</f>
        <v>8.9152228759999996</v>
      </c>
      <c r="AX501" s="3">
        <f>[1]Results!BA269</f>
        <v>8.9925952999999996</v>
      </c>
      <c r="AY501" s="3">
        <f>[1]Results!BB269</f>
        <v>9.0691655739999995</v>
      </c>
      <c r="AZ501" s="3">
        <f>[1]Results!BC269</f>
        <v>9.1452052770000005</v>
      </c>
      <c r="BA501" s="3">
        <f>[1]Results!BD269</f>
        <v>9.2211936869999995</v>
      </c>
      <c r="BB501" s="3">
        <f>[1]Results!BE269</f>
        <v>9.297530493</v>
      </c>
      <c r="BC501" s="3">
        <f>[1]Results!BF269</f>
        <v>9.3744588610000008</v>
      </c>
      <c r="BD501" s="3">
        <f>[1]Results!BG269</f>
        <v>9.4521032080000005</v>
      </c>
      <c r="BE501" s="3">
        <f>[1]Results!BH269</f>
        <v>9.5305232459999996</v>
      </c>
      <c r="BF501" s="3">
        <f>[1]Results!BI269</f>
        <v>9.6097506849999998</v>
      </c>
    </row>
    <row r="502" spans="1:58" x14ac:dyDescent="0.35">
      <c r="B502" s="3" t="str">
        <f>[1]Results!E271</f>
        <v>YG_toe_cbio_0</v>
      </c>
      <c r="C502" s="3">
        <f>[1]Results!F271</f>
        <v>11.183799690000001</v>
      </c>
      <c r="D502" s="3">
        <f>[1]Results!G271</f>
        <v>11.237025859999999</v>
      </c>
      <c r="E502" s="3">
        <f>[1]Results!H271</f>
        <v>11.265660370000001</v>
      </c>
      <c r="F502" s="3">
        <f>[1]Results!I271</f>
        <v>11.28854005</v>
      </c>
      <c r="G502" s="3">
        <f>[1]Results!J271</f>
        <v>11.31207498</v>
      </c>
      <c r="H502" s="3">
        <f>[1]Results!K271</f>
        <v>11.341818249999999</v>
      </c>
      <c r="I502" s="3">
        <f>[1]Results!L271</f>
        <v>11.37427126</v>
      </c>
      <c r="J502" s="3">
        <f>[1]Results!M271</f>
        <v>11.41184642</v>
      </c>
      <c r="K502" s="3">
        <f>[1]Results!N271</f>
        <v>11.45415463</v>
      </c>
      <c r="L502" s="3">
        <f>[1]Results!O271</f>
        <v>11.5000468</v>
      </c>
      <c r="M502" s="3">
        <f>[1]Results!P271</f>
        <v>11.55755795</v>
      </c>
      <c r="N502" s="3">
        <f>[1]Results!Q271</f>
        <v>11.611723700000001</v>
      </c>
      <c r="O502" s="3">
        <f>[1]Results!R271</f>
        <v>11.66516631</v>
      </c>
      <c r="P502" s="3">
        <f>[1]Results!S271</f>
        <v>11.71869152</v>
      </c>
      <c r="Q502" s="3">
        <f>[1]Results!T271</f>
        <v>11.772583239999999</v>
      </c>
      <c r="R502" s="3">
        <f>[1]Results!U271</f>
        <v>11.826953019999999</v>
      </c>
      <c r="S502" s="3">
        <f>[1]Results!V271</f>
        <v>11.881870190000001</v>
      </c>
      <c r="T502" s="3">
        <f>[1]Results!W271</f>
        <v>11.937405719999999</v>
      </c>
      <c r="U502" s="3">
        <f>[1]Results!X271</f>
        <v>11.99364325</v>
      </c>
      <c r="V502" s="3">
        <f>[1]Results!Y271</f>
        <v>12.05067809</v>
      </c>
      <c r="W502" s="3">
        <f>[1]Results!Z271</f>
        <v>12.102291660000001</v>
      </c>
      <c r="X502" s="3">
        <f>[1]Results!AA271</f>
        <v>12.158527919999999</v>
      </c>
      <c r="Y502" s="3">
        <f>[1]Results!AB271</f>
        <v>12.21727669</v>
      </c>
      <c r="Z502" s="3">
        <f>[1]Results!AC271</f>
        <v>12.27787094</v>
      </c>
      <c r="AA502" s="3">
        <f>[1]Results!AD271</f>
        <v>12.340083249999999</v>
      </c>
      <c r="AB502" s="3">
        <f>[1]Results!AE271</f>
        <v>12.386129090000001</v>
      </c>
      <c r="AC502" s="3">
        <f>[1]Results!AF271</f>
        <v>12.43552251</v>
      </c>
      <c r="AD502" s="3">
        <f>[1]Results!AG271</f>
        <v>12.48676874</v>
      </c>
      <c r="AE502" s="3">
        <f>[1]Results!AH271</f>
        <v>12.53959148</v>
      </c>
      <c r="AF502" s="3">
        <f>[1]Results!AI271</f>
        <v>12.593969700000001</v>
      </c>
      <c r="AG502" s="3">
        <f>[1]Results!AJ271</f>
        <v>12.64995981</v>
      </c>
      <c r="AH502" s="3">
        <f>[1]Results!AK271</f>
        <v>12.70762467</v>
      </c>
      <c r="AI502" s="3">
        <f>[1]Results!AL271</f>
        <v>12.767009399999999</v>
      </c>
      <c r="AJ502" s="3">
        <f>[1]Results!AM271</f>
        <v>12.82813588</v>
      </c>
      <c r="AK502" s="3">
        <f>[1]Results!AN271</f>
        <v>12.89100526</v>
      </c>
      <c r="AL502" s="3">
        <f>[1]Results!AO271</f>
        <v>12.95560337</v>
      </c>
      <c r="AM502" s="3">
        <f>[1]Results!AP271</f>
        <v>13.01787685</v>
      </c>
      <c r="AN502" s="3">
        <f>[1]Results!AQ271</f>
        <v>13.0800915</v>
      </c>
      <c r="AO502" s="3">
        <f>[1]Results!AR271</f>
        <v>13.14308451</v>
      </c>
      <c r="AP502" s="3">
        <f>[1]Results!AS271</f>
        <v>13.207230750000001</v>
      </c>
      <c r="AQ502" s="3">
        <f>[1]Results!AT271</f>
        <v>13.27272352</v>
      </c>
      <c r="AR502" s="3">
        <f>[1]Results!AU271</f>
        <v>13.339680449999999</v>
      </c>
      <c r="AS502" s="3">
        <f>[1]Results!AV271</f>
        <v>13.408183230000001</v>
      </c>
      <c r="AT502" s="3">
        <f>[1]Results!AW271</f>
        <v>13.47828857</v>
      </c>
      <c r="AU502" s="3">
        <f>[1]Results!AX271</f>
        <v>13.550023210000001</v>
      </c>
      <c r="AV502" s="3">
        <f>[1]Results!AY271</f>
        <v>13.62334452</v>
      </c>
      <c r="AW502" s="3">
        <f>[1]Results!AZ271</f>
        <v>13.69821462</v>
      </c>
      <c r="AX502" s="3">
        <f>[1]Results!BA271</f>
        <v>13.77371363</v>
      </c>
      <c r="AY502" s="3">
        <f>[1]Results!BB271</f>
        <v>13.849749900000001</v>
      </c>
      <c r="AZ502" s="3">
        <f>[1]Results!BC271</f>
        <v>13.92667881</v>
      </c>
      <c r="BA502" s="3">
        <f>[1]Results!BD271</f>
        <v>14.00489497</v>
      </c>
      <c r="BB502" s="3">
        <f>[1]Results!BE271</f>
        <v>14.0845968</v>
      </c>
      <c r="BC502" s="3">
        <f>[1]Results!BF271</f>
        <v>14.16581534</v>
      </c>
      <c r="BD502" s="3">
        <f>[1]Results!BG271</f>
        <v>14.24850711</v>
      </c>
      <c r="BE502" s="3">
        <f>[1]Results!BH271</f>
        <v>14.332619940000001</v>
      </c>
      <c r="BF502" s="3">
        <f>[1]Results!BI271</f>
        <v>14.41812122</v>
      </c>
    </row>
    <row r="503" spans="1:58" x14ac:dyDescent="0.35">
      <c r="B503" s="3" t="str">
        <f>[1]Results!E274</f>
        <v>YG_toe_cote_0</v>
      </c>
      <c r="C503" s="3">
        <f>[1]Results!F274</f>
        <v>13.881761239999999</v>
      </c>
      <c r="D503" s="3">
        <f>[1]Results!G274</f>
        <v>14.05126907</v>
      </c>
      <c r="E503" s="3">
        <f>[1]Results!H274</f>
        <v>14.231860230000001</v>
      </c>
      <c r="F503" s="3">
        <f>[1]Results!I274</f>
        <v>14.42291623</v>
      </c>
      <c r="G503" s="3">
        <f>[1]Results!J274</f>
        <v>14.62509738</v>
      </c>
      <c r="H503" s="3">
        <f>[1]Results!K274</f>
        <v>14.837226060000001</v>
      </c>
      <c r="I503" s="3">
        <f>[1]Results!L274</f>
        <v>15.047189769999999</v>
      </c>
      <c r="J503" s="3">
        <f>[1]Results!M274</f>
        <v>15.26211855</v>
      </c>
      <c r="K503" s="3">
        <f>[1]Results!N274</f>
        <v>15.48194168</v>
      </c>
      <c r="L503" s="3">
        <f>[1]Results!O274</f>
        <v>15.70613805</v>
      </c>
      <c r="M503" s="3">
        <f>[1]Results!P274</f>
        <v>15.95305845</v>
      </c>
      <c r="N503" s="3">
        <f>[1]Results!Q274</f>
        <v>16.18868526</v>
      </c>
      <c r="O503" s="3">
        <f>[1]Results!R274</f>
        <v>16.425835240000001</v>
      </c>
      <c r="P503" s="3">
        <f>[1]Results!S274</f>
        <v>16.665503919999999</v>
      </c>
      <c r="Q503" s="3">
        <f>[1]Results!T274</f>
        <v>16.907899180000001</v>
      </c>
      <c r="R503" s="3">
        <f>[1]Results!U274</f>
        <v>17.153125410000001</v>
      </c>
      <c r="S503" s="3">
        <f>[1]Results!V274</f>
        <v>17.401305350000001</v>
      </c>
      <c r="T503" s="3">
        <f>[1]Results!W274</f>
        <v>17.652593370000002</v>
      </c>
      <c r="U503" s="3">
        <f>[1]Results!X274</f>
        <v>17.9071672</v>
      </c>
      <c r="V503" s="3">
        <f>[1]Results!Y274</f>
        <v>18.165216579999999</v>
      </c>
      <c r="W503" s="3">
        <f>[1]Results!Z274</f>
        <v>18.412978949999999</v>
      </c>
      <c r="X503" s="3">
        <f>[1]Results!AA274</f>
        <v>18.67562066</v>
      </c>
      <c r="Y503" s="3">
        <f>[1]Results!AB274</f>
        <v>18.943621570000001</v>
      </c>
      <c r="Z503" s="3">
        <f>[1]Results!AC274</f>
        <v>19.216324289999999</v>
      </c>
      <c r="AA503" s="3">
        <f>[1]Results!AD274</f>
        <v>19.493690950000001</v>
      </c>
      <c r="AB503" s="3">
        <f>[1]Results!AE274</f>
        <v>19.735483039999998</v>
      </c>
      <c r="AC503" s="3">
        <f>[1]Results!AF274</f>
        <v>19.994783730000002</v>
      </c>
      <c r="AD503" s="3">
        <f>[1]Results!AG274</f>
        <v>20.25847946</v>
      </c>
      <c r="AE503" s="3">
        <f>[1]Results!AH274</f>
        <v>20.526010200000002</v>
      </c>
      <c r="AF503" s="3">
        <f>[1]Results!AI274</f>
        <v>20.79752749</v>
      </c>
      <c r="AG503" s="3">
        <f>[1]Results!AJ274</f>
        <v>21.073262969999998</v>
      </c>
      <c r="AH503" s="3">
        <f>[1]Results!AK274</f>
        <v>21.353407499999999</v>
      </c>
      <c r="AI503" s="3">
        <f>[1]Results!AL274</f>
        <v>21.63809101</v>
      </c>
      <c r="AJ503" s="3">
        <f>[1]Results!AM274</f>
        <v>21.927386850000001</v>
      </c>
      <c r="AK503" s="3">
        <f>[1]Results!AN274</f>
        <v>22.22132332</v>
      </c>
      <c r="AL503" s="3">
        <f>[1]Results!AO274</f>
        <v>22.519896800000001</v>
      </c>
      <c r="AM503" s="3">
        <f>[1]Results!AP274</f>
        <v>22.813317210000001</v>
      </c>
      <c r="AN503" s="3">
        <f>[1]Results!AQ274</f>
        <v>23.10916439</v>
      </c>
      <c r="AO503" s="3">
        <f>[1]Results!AR274</f>
        <v>23.408294099999999</v>
      </c>
      <c r="AP503" s="3">
        <f>[1]Results!AS274</f>
        <v>23.711007970000001</v>
      </c>
      <c r="AQ503" s="3">
        <f>[1]Results!AT274</f>
        <v>24.017490160000001</v>
      </c>
      <c r="AR503" s="3">
        <f>[1]Results!AU274</f>
        <v>24.3278873</v>
      </c>
      <c r="AS503" s="3">
        <f>[1]Results!AV274</f>
        <v>24.64232196</v>
      </c>
      <c r="AT503" s="3">
        <f>[1]Results!AW274</f>
        <v>24.960895449999999</v>
      </c>
      <c r="AU503" s="3">
        <f>[1]Results!AX274</f>
        <v>25.283690679999999</v>
      </c>
      <c r="AV503" s="3">
        <f>[1]Results!AY274</f>
        <v>25.61077783</v>
      </c>
      <c r="AW503" s="3">
        <f>[1]Results!AZ274</f>
        <v>25.943110560000001</v>
      </c>
      <c r="AX503" s="3">
        <f>[1]Results!BA274</f>
        <v>26.279813539999999</v>
      </c>
      <c r="AY503" s="3">
        <f>[1]Results!BB274</f>
        <v>26.620766270000001</v>
      </c>
      <c r="AZ503" s="3">
        <f>[1]Results!BC274</f>
        <v>26.966036339999999</v>
      </c>
      <c r="BA503" s="3">
        <f>[1]Results!BD274</f>
        <v>27.315725029999999</v>
      </c>
      <c r="BB503" s="3">
        <f>[1]Results!BE274</f>
        <v>27.669906220000001</v>
      </c>
      <c r="BC503" s="3">
        <f>[1]Results!BF274</f>
        <v>28.028629899999999</v>
      </c>
      <c r="BD503" s="3">
        <f>[1]Results!BG274</f>
        <v>28.39193921</v>
      </c>
      <c r="BE503" s="3">
        <f>[1]Results!BH274</f>
        <v>28.759882319999999</v>
      </c>
      <c r="BF503" s="3">
        <f>[1]Results!BI274</f>
        <v>29.132517249999999</v>
      </c>
    </row>
    <row r="504" spans="1:58" x14ac:dyDescent="0.35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</row>
    <row r="505" spans="1:58" x14ac:dyDescent="0.35">
      <c r="A505" s="12" t="s">
        <v>94</v>
      </c>
      <c r="C505" s="2">
        <v>42005</v>
      </c>
      <c r="D505" s="2">
        <v>42370</v>
      </c>
      <c r="E505" s="2">
        <v>42736</v>
      </c>
      <c r="F505" s="2">
        <v>43101</v>
      </c>
      <c r="G505" s="2">
        <v>43466</v>
      </c>
      <c r="H505" s="2">
        <v>43831</v>
      </c>
      <c r="I505" s="2">
        <v>44197</v>
      </c>
      <c r="J505" s="2">
        <v>44562</v>
      </c>
      <c r="K505" s="2">
        <v>44927</v>
      </c>
      <c r="L505" s="2">
        <v>45292</v>
      </c>
      <c r="M505" s="2">
        <v>45658</v>
      </c>
      <c r="N505" s="2">
        <v>46023</v>
      </c>
      <c r="O505" s="2">
        <v>46388</v>
      </c>
      <c r="P505" s="2">
        <v>46753</v>
      </c>
      <c r="Q505" s="2">
        <v>47119</v>
      </c>
      <c r="R505" s="2">
        <v>47484</v>
      </c>
      <c r="S505" s="2">
        <v>47849</v>
      </c>
      <c r="T505" s="2">
        <v>48214</v>
      </c>
      <c r="U505" s="2">
        <v>48580</v>
      </c>
      <c r="V505" s="2">
        <v>48945</v>
      </c>
      <c r="W505" s="2">
        <v>49310</v>
      </c>
      <c r="X505" s="2">
        <v>49675</v>
      </c>
      <c r="Y505" s="2">
        <v>50041</v>
      </c>
      <c r="Z505" s="2">
        <v>50406</v>
      </c>
      <c r="AA505" s="2">
        <v>50771</v>
      </c>
      <c r="AB505" s="2">
        <v>51136</v>
      </c>
      <c r="AC505" s="2">
        <v>51502</v>
      </c>
      <c r="AD505" s="2">
        <v>51867</v>
      </c>
      <c r="AE505" s="2">
        <v>52232</v>
      </c>
      <c r="AF505" s="2">
        <v>52597</v>
      </c>
      <c r="AG505" s="2">
        <v>52963</v>
      </c>
      <c r="AH505" s="2">
        <v>53328</v>
      </c>
      <c r="AI505" s="2">
        <v>53693</v>
      </c>
      <c r="AJ505" s="2">
        <v>54058</v>
      </c>
      <c r="AK505" s="2">
        <v>54424</v>
      </c>
      <c r="AL505" s="2">
        <v>54789</v>
      </c>
      <c r="AM505" s="2">
        <v>54790</v>
      </c>
      <c r="AN505" s="2">
        <v>54791</v>
      </c>
      <c r="AO505" s="2">
        <v>54792</v>
      </c>
      <c r="AP505" s="2">
        <v>54793</v>
      </c>
      <c r="AQ505" s="2">
        <v>54794</v>
      </c>
      <c r="AR505" s="2">
        <v>54795</v>
      </c>
      <c r="AS505" s="2">
        <v>54796</v>
      </c>
      <c r="AT505" s="2">
        <v>54797</v>
      </c>
      <c r="AU505" s="2">
        <v>54798</v>
      </c>
      <c r="AV505" s="2">
        <v>54799</v>
      </c>
      <c r="AW505" s="2">
        <v>54800</v>
      </c>
      <c r="AX505" s="2">
        <v>54801</v>
      </c>
      <c r="AY505" s="2">
        <v>54802</v>
      </c>
      <c r="AZ505" s="2">
        <v>54803</v>
      </c>
      <c r="BA505" s="2">
        <v>54804</v>
      </c>
      <c r="BB505" s="2">
        <v>54805</v>
      </c>
      <c r="BC505" s="2">
        <v>54806</v>
      </c>
      <c r="BD505" s="2">
        <v>54807</v>
      </c>
      <c r="BE505" s="2">
        <v>54808</v>
      </c>
      <c r="BF505" s="2">
        <v>54809</v>
      </c>
    </row>
    <row r="506" spans="1:58" x14ac:dyDescent="0.35">
      <c r="A506" t="s">
        <v>95</v>
      </c>
      <c r="B506" t="s">
        <v>94</v>
      </c>
      <c r="C506" s="4">
        <f>C479/C492-1</f>
        <v>-2.164096963449702E-2</v>
      </c>
      <c r="D506" s="4">
        <f t="shared" ref="D506" si="311">D479/D492-1</f>
        <v>-2.6346565846794845E-2</v>
      </c>
      <c r="E506" s="4">
        <f t="shared" ref="E506:AL506" si="312">E479/E492-1</f>
        <v>-2.959169336480949E-2</v>
      </c>
      <c r="F506" s="4">
        <f t="shared" si="312"/>
        <v>-3.2211146155163628E-2</v>
      </c>
      <c r="G506" s="4">
        <f t="shared" si="312"/>
        <v>-3.4325223033761953E-2</v>
      </c>
      <c r="H506" s="4">
        <f t="shared" si="312"/>
        <v>-3.6125068457043774E-2</v>
      </c>
      <c r="I506" s="4">
        <f t="shared" si="312"/>
        <v>-3.7798639882841711E-2</v>
      </c>
      <c r="J506" s="4">
        <f t="shared" si="312"/>
        <v>-3.9378816924598214E-2</v>
      </c>
      <c r="K506" s="4">
        <f t="shared" si="312"/>
        <v>-4.0839820134747629E-2</v>
      </c>
      <c r="L506" s="4">
        <f t="shared" si="312"/>
        <v>-4.2172992985424762E-2</v>
      </c>
      <c r="M506" s="4">
        <f t="shared" si="312"/>
        <v>-4.3409834317824414E-2</v>
      </c>
      <c r="N506" s="4">
        <f t="shared" si="312"/>
        <v>-4.463990964874387E-2</v>
      </c>
      <c r="O506" s="4">
        <f t="shared" si="312"/>
        <v>-4.5837535032588028E-2</v>
      </c>
      <c r="P506" s="4">
        <f t="shared" si="312"/>
        <v>-4.7023188907610591E-2</v>
      </c>
      <c r="Q506" s="4">
        <f t="shared" si="312"/>
        <v>-4.8216796192238953E-2</v>
      </c>
      <c r="R506" s="4">
        <f t="shared" si="312"/>
        <v>-4.9432356176893566E-2</v>
      </c>
      <c r="S506" s="4">
        <f t="shared" si="312"/>
        <v>-5.0758215623348257E-2</v>
      </c>
      <c r="T506" s="4">
        <f t="shared" si="312"/>
        <v>-5.2129049840348718E-2</v>
      </c>
      <c r="U506" s="4">
        <f t="shared" si="312"/>
        <v>-5.3540771667253795E-2</v>
      </c>
      <c r="V506" s="4">
        <f t="shared" si="312"/>
        <v>-5.4991260551158327E-2</v>
      </c>
      <c r="W506" s="4">
        <f t="shared" si="312"/>
        <v>-5.6468468736538546E-2</v>
      </c>
      <c r="X506" s="4">
        <f t="shared" si="312"/>
        <v>-5.7987953799684577E-2</v>
      </c>
      <c r="Y506" s="4">
        <f t="shared" si="312"/>
        <v>-5.9534590731431858E-2</v>
      </c>
      <c r="Z506" s="4">
        <f t="shared" si="312"/>
        <v>-6.1105048996177191E-2</v>
      </c>
      <c r="AA506" s="4">
        <f t="shared" si="312"/>
        <v>-6.2695281644624123E-2</v>
      </c>
      <c r="AB506" s="4">
        <f t="shared" si="312"/>
        <v>-6.4272163943325356E-2</v>
      </c>
      <c r="AC506" s="4">
        <f t="shared" si="312"/>
        <v>-6.5849872898591566E-2</v>
      </c>
      <c r="AD506" s="4">
        <f t="shared" si="312"/>
        <v>-6.7430177190152096E-2</v>
      </c>
      <c r="AE506" s="4">
        <f t="shared" si="312"/>
        <v>-6.901144570125195E-2</v>
      </c>
      <c r="AF506" s="4">
        <f t="shared" si="312"/>
        <v>-7.059054826823552E-2</v>
      </c>
      <c r="AG506" s="4">
        <f t="shared" si="312"/>
        <v>-7.2165130601451022E-2</v>
      </c>
      <c r="AH506" s="4">
        <f t="shared" si="312"/>
        <v>-7.3717115636880215E-2</v>
      </c>
      <c r="AI506" s="4">
        <f t="shared" si="312"/>
        <v>-7.5256495802484058E-2</v>
      </c>
      <c r="AJ506" s="4">
        <f t="shared" si="312"/>
        <v>-7.678109253227805E-2</v>
      </c>
      <c r="AK506" s="4">
        <f t="shared" si="312"/>
        <v>-7.8288318504662224E-2</v>
      </c>
      <c r="AL506" s="4">
        <f t="shared" si="312"/>
        <v>-7.9776059122064313E-2</v>
      </c>
      <c r="AM506" s="4">
        <f t="shared" ref="AM506:BC506" si="313">AM479/AM492-1</f>
        <v>-8.1109863023951734E-2</v>
      </c>
      <c r="AN506" s="4">
        <f t="shared" si="313"/>
        <v>-8.2408962522457885E-2</v>
      </c>
      <c r="AO506" s="4">
        <f t="shared" si="313"/>
        <v>-8.3681933121704133E-2</v>
      </c>
      <c r="AP506" s="4">
        <f t="shared" si="313"/>
        <v>-8.4932650834532719E-2</v>
      </c>
      <c r="AQ506" s="4">
        <f t="shared" si="313"/>
        <v>-8.616502188030406E-2</v>
      </c>
      <c r="AR506" s="4">
        <f t="shared" si="313"/>
        <v>-8.7363943191643312E-2</v>
      </c>
      <c r="AS506" s="4">
        <f t="shared" si="313"/>
        <v>-8.8550067524956089E-2</v>
      </c>
      <c r="AT506" s="4">
        <f t="shared" si="313"/>
        <v>-8.972841645006957E-2</v>
      </c>
      <c r="AU506" s="4">
        <f t="shared" si="313"/>
        <v>-9.0902538025423585E-2</v>
      </c>
      <c r="AV506" s="4">
        <f t="shared" si="313"/>
        <v>-9.2074390501409198E-2</v>
      </c>
      <c r="AW506" s="4">
        <f t="shared" si="313"/>
        <v>-9.3175590305582534E-2</v>
      </c>
      <c r="AX506" s="4">
        <f t="shared" si="313"/>
        <v>-9.4235487322536393E-2</v>
      </c>
      <c r="AY506" s="4">
        <f t="shared" si="313"/>
        <v>-9.5244287486445423E-2</v>
      </c>
      <c r="AZ506" s="4">
        <f t="shared" si="313"/>
        <v>-9.6219548895353002E-2</v>
      </c>
      <c r="BA506" s="4">
        <f t="shared" si="313"/>
        <v>-9.7178314887053419E-2</v>
      </c>
      <c r="BB506" s="4">
        <f t="shared" si="313"/>
        <v>-9.8091490014819427E-2</v>
      </c>
      <c r="BC506" s="4">
        <f t="shared" si="313"/>
        <v>-9.8992438847917974E-2</v>
      </c>
      <c r="BD506" s="4">
        <f t="shared" ref="BD506:BF506" si="314">BD479/BD492-1</f>
        <v>-9.9883473758213714E-2</v>
      </c>
      <c r="BE506" s="4">
        <f t="shared" si="314"/>
        <v>-0.10076525657983182</v>
      </c>
      <c r="BF506" s="4">
        <f t="shared" si="314"/>
        <v>-0.1016387254032578</v>
      </c>
    </row>
    <row r="507" spans="1:58" x14ac:dyDescent="0.35">
      <c r="B507" t="s">
        <v>76</v>
      </c>
      <c r="C507" s="4">
        <f>(C480-C493)/C$492</f>
        <v>-5.296217736689428E-4</v>
      </c>
      <c r="D507" s="4">
        <f>(D480-D493)/D$492</f>
        <v>-6.7320236183570053E-4</v>
      </c>
      <c r="E507" s="4">
        <f t="shared" ref="E507:AL507" si="315">(E480-E493)/E$492</f>
        <v>-7.4557236755296897E-4</v>
      </c>
      <c r="F507" s="4">
        <f t="shared" si="315"/>
        <v>-8.0363891573164879E-4</v>
      </c>
      <c r="G507" s="4">
        <f t="shared" si="315"/>
        <v>-8.5748252509986551E-4</v>
      </c>
      <c r="H507" s="4">
        <f t="shared" si="315"/>
        <v>-9.0935069957205324E-4</v>
      </c>
      <c r="I507" s="4">
        <f t="shared" si="315"/>
        <v>-9.5994637252742312E-4</v>
      </c>
      <c r="J507" s="4">
        <f t="shared" si="315"/>
        <v>-1.0085918968099025E-3</v>
      </c>
      <c r="K507" s="4">
        <f t="shared" si="315"/>
        <v>-1.0552705700363216E-3</v>
      </c>
      <c r="L507" s="4">
        <f t="shared" si="315"/>
        <v>-1.1002737523991193E-3</v>
      </c>
      <c r="M507" s="4">
        <f t="shared" si="315"/>
        <v>-1.1442136645156654E-3</v>
      </c>
      <c r="N507" s="4">
        <f t="shared" si="315"/>
        <v>-1.1890682363740789E-3</v>
      </c>
      <c r="O507" s="4">
        <f t="shared" si="315"/>
        <v>-1.2336739673047634E-3</v>
      </c>
      <c r="P507" s="4">
        <f t="shared" si="315"/>
        <v>-1.2780401597721393E-3</v>
      </c>
      <c r="Q507" s="4">
        <f t="shared" si="315"/>
        <v>-1.3222992884453643E-3</v>
      </c>
      <c r="R507" s="4">
        <f t="shared" si="315"/>
        <v>-1.3665542274882074E-3</v>
      </c>
      <c r="S507" s="4">
        <f t="shared" si="315"/>
        <v>-1.4127982194806349E-3</v>
      </c>
      <c r="T507" s="4">
        <f t="shared" si="315"/>
        <v>-1.459443248104091E-3</v>
      </c>
      <c r="U507" s="4">
        <f t="shared" si="315"/>
        <v>-1.506171473585428E-3</v>
      </c>
      <c r="V507" s="4">
        <f t="shared" si="315"/>
        <v>-1.5528943364566726E-3</v>
      </c>
      <c r="W507" s="4">
        <f t="shared" si="315"/>
        <v>-1.5993881783455501E-3</v>
      </c>
      <c r="X507" s="4">
        <f t="shared" si="315"/>
        <v>-1.645880904352675E-3</v>
      </c>
      <c r="Y507" s="4">
        <f t="shared" si="315"/>
        <v>-1.6922461983746838E-3</v>
      </c>
      <c r="Z507" s="4">
        <f t="shared" si="315"/>
        <v>-1.738387793001031E-3</v>
      </c>
      <c r="AA507" s="4">
        <f t="shared" si="315"/>
        <v>-1.7842601627991153E-3</v>
      </c>
      <c r="AB507" s="4">
        <f t="shared" si="315"/>
        <v>-1.8293154304979563E-3</v>
      </c>
      <c r="AC507" s="4">
        <f t="shared" si="315"/>
        <v>-1.8734570945726737E-3</v>
      </c>
      <c r="AD507" s="4">
        <f t="shared" si="315"/>
        <v>-1.9171888268562048E-3</v>
      </c>
      <c r="AE507" s="4">
        <f t="shared" si="315"/>
        <v>-1.9604789194458501E-3</v>
      </c>
      <c r="AF507" s="4">
        <f t="shared" si="315"/>
        <v>-2.0032899731003227E-3</v>
      </c>
      <c r="AG507" s="4">
        <f t="shared" si="315"/>
        <v>-2.0455909219592281E-3</v>
      </c>
      <c r="AH507" s="4">
        <f t="shared" si="315"/>
        <v>-2.0869799772485144E-3</v>
      </c>
      <c r="AI507" s="4">
        <f t="shared" si="315"/>
        <v>-2.1277317762309618E-3</v>
      </c>
      <c r="AJ507" s="4">
        <f t="shared" si="315"/>
        <v>-2.1678812820155329E-3</v>
      </c>
      <c r="AK507" s="4">
        <f t="shared" si="315"/>
        <v>-2.2074235611680886E-3</v>
      </c>
      <c r="AL507" s="4">
        <f t="shared" si="315"/>
        <v>-2.2463518834322941E-3</v>
      </c>
      <c r="AM507" s="4">
        <f t="shared" ref="AM507:BC507" si="316">(AM480-AM493)/AM$492</f>
        <v>-2.2814361318459629E-3</v>
      </c>
      <c r="AN507" s="4">
        <f t="shared" si="316"/>
        <v>-2.3153114209238145E-3</v>
      </c>
      <c r="AO507" s="4">
        <f t="shared" si="316"/>
        <v>-2.3485047839040814E-3</v>
      </c>
      <c r="AP507" s="4">
        <f t="shared" si="316"/>
        <v>-2.3811248975399873E-3</v>
      </c>
      <c r="AQ507" s="4">
        <f t="shared" si="316"/>
        <v>-2.4132150436733343E-3</v>
      </c>
      <c r="AR507" s="4">
        <f t="shared" si="316"/>
        <v>-2.4443358154766764E-3</v>
      </c>
      <c r="AS507" s="4">
        <f t="shared" si="316"/>
        <v>-2.4749005824901403E-3</v>
      </c>
      <c r="AT507" s="4">
        <f t="shared" si="316"/>
        <v>-2.5050162483844186E-3</v>
      </c>
      <c r="AU507" s="4">
        <f t="shared" si="316"/>
        <v>-2.5347314118738299E-3</v>
      </c>
      <c r="AV507" s="4">
        <f t="shared" si="316"/>
        <v>-2.5640795420474845E-3</v>
      </c>
      <c r="AW507" s="4">
        <f t="shared" si="316"/>
        <v>-2.5915382003345007E-3</v>
      </c>
      <c r="AX507" s="4">
        <f t="shared" si="316"/>
        <v>-2.6185105822190261E-3</v>
      </c>
      <c r="AY507" s="4">
        <f t="shared" si="316"/>
        <v>-2.6452905491097379E-3</v>
      </c>
      <c r="AZ507" s="4">
        <f t="shared" si="316"/>
        <v>-2.6718952778886401E-3</v>
      </c>
      <c r="BA507" s="4">
        <f t="shared" si="316"/>
        <v>-2.6983080168275927E-3</v>
      </c>
      <c r="BB507" s="4">
        <f t="shared" si="316"/>
        <v>-2.723633953232934E-3</v>
      </c>
      <c r="BC507" s="4">
        <f t="shared" si="316"/>
        <v>-2.7486315421996737E-3</v>
      </c>
      <c r="BD507" s="4">
        <f t="shared" ref="BD507:BF507" si="317">(BD480-BD493)/BD$492</f>
        <v>-2.7734918841708402E-3</v>
      </c>
      <c r="BE507" s="4">
        <f t="shared" si="317"/>
        <v>-2.7983004282264795E-3</v>
      </c>
      <c r="BF507" s="4">
        <f t="shared" si="317"/>
        <v>-2.8231182140843903E-3</v>
      </c>
    </row>
    <row r="508" spans="1:58" x14ac:dyDescent="0.35">
      <c r="B508" t="s">
        <v>74</v>
      </c>
      <c r="C508" s="4">
        <f>(C481-C494)/C$493</f>
        <v>-0.45539388162039468</v>
      </c>
      <c r="D508" s="4">
        <f>(D481-D494)/D$492</f>
        <v>-8.9622503654168476E-3</v>
      </c>
      <c r="E508" s="4">
        <f t="shared" ref="E508:AL508" si="318">(E481-E494)/E$492</f>
        <v>-1.0201998588619374E-2</v>
      </c>
      <c r="F508" s="4">
        <f t="shared" si="318"/>
        <v>-1.1317934552117995E-2</v>
      </c>
      <c r="G508" s="4">
        <f t="shared" si="318"/>
        <v>-1.2330803023038581E-2</v>
      </c>
      <c r="H508" s="4">
        <f t="shared" si="318"/>
        <v>-1.3263360984464772E-2</v>
      </c>
      <c r="I508" s="4">
        <f t="shared" si="318"/>
        <v>-1.4136820265241875E-2</v>
      </c>
      <c r="J508" s="4">
        <f t="shared" si="318"/>
        <v>-1.4945140214797713E-2</v>
      </c>
      <c r="K508" s="4">
        <f t="shared" si="318"/>
        <v>-1.5684669728897305E-2</v>
      </c>
      <c r="L508" s="4">
        <f t="shared" si="318"/>
        <v>-1.6358946896374356E-2</v>
      </c>
      <c r="M508" s="4">
        <f t="shared" si="318"/>
        <v>-1.6980198184704681E-2</v>
      </c>
      <c r="N508" s="4">
        <f t="shared" si="318"/>
        <v>-1.7580160458019321E-2</v>
      </c>
      <c r="O508" s="4">
        <f t="shared" si="318"/>
        <v>-1.8149697521981482E-2</v>
      </c>
      <c r="P508" s="4">
        <f t="shared" si="318"/>
        <v>-1.8695479691369272E-2</v>
      </c>
      <c r="Q508" s="4">
        <f t="shared" si="318"/>
        <v>-1.9224215042616882E-2</v>
      </c>
      <c r="R508" s="4">
        <f t="shared" si="318"/>
        <v>-1.9741296659647536E-2</v>
      </c>
      <c r="S508" s="4">
        <f t="shared" si="318"/>
        <v>-2.0277687495172166E-2</v>
      </c>
      <c r="T508" s="4">
        <f t="shared" si="318"/>
        <v>-2.0812790500239545E-2</v>
      </c>
      <c r="U508" s="4">
        <f t="shared" si="318"/>
        <v>-2.1346927863755878E-2</v>
      </c>
      <c r="V508" s="4">
        <f t="shared" si="318"/>
        <v>-2.1881157484454964E-2</v>
      </c>
      <c r="W508" s="4">
        <f t="shared" si="318"/>
        <v>-2.2413601371267227E-2</v>
      </c>
      <c r="X508" s="4">
        <f t="shared" si="318"/>
        <v>-2.2950497725526754E-2</v>
      </c>
      <c r="Y508" s="4">
        <f t="shared" si="318"/>
        <v>-2.3488458186481036E-2</v>
      </c>
      <c r="Z508" s="4">
        <f t="shared" si="318"/>
        <v>-2.402796894828637E-2</v>
      </c>
      <c r="AA508" s="4">
        <f t="shared" si="318"/>
        <v>-2.4569142347020172E-2</v>
      </c>
      <c r="AB508" s="4">
        <f t="shared" si="318"/>
        <v>-2.5103206497441747E-2</v>
      </c>
      <c r="AC508" s="4">
        <f t="shared" si="318"/>
        <v>-2.5634715486381267E-2</v>
      </c>
      <c r="AD508" s="4">
        <f t="shared" si="318"/>
        <v>-2.6165060996913993E-2</v>
      </c>
      <c r="AE508" s="4">
        <f t="shared" si="318"/>
        <v>-2.6694439490385934E-2</v>
      </c>
      <c r="AF508" s="4">
        <f t="shared" si="318"/>
        <v>-2.7222508470428671E-2</v>
      </c>
      <c r="AG508" s="4">
        <f t="shared" si="318"/>
        <v>-2.7748956655120876E-2</v>
      </c>
      <c r="AH508" s="4">
        <f t="shared" si="318"/>
        <v>-2.8268158277298835E-2</v>
      </c>
      <c r="AI508" s="4">
        <f t="shared" si="318"/>
        <v>-2.8784003737444719E-2</v>
      </c>
      <c r="AJ508" s="4">
        <f t="shared" si="318"/>
        <v>-2.9296251297309138E-2</v>
      </c>
      <c r="AK508" s="4">
        <f t="shared" si="318"/>
        <v>-2.980448304165877E-2</v>
      </c>
      <c r="AL508" s="4">
        <f t="shared" si="318"/>
        <v>-3.0308368679634365E-2</v>
      </c>
      <c r="AM508" s="4">
        <f t="shared" ref="AM508:BC508" si="319">(AM481-AM494)/AM$492</f>
        <v>-3.076272176639237E-2</v>
      </c>
      <c r="AN508" s="4">
        <f t="shared" si="319"/>
        <v>-3.1207812189479701E-2</v>
      </c>
      <c r="AO508" s="4">
        <f t="shared" si="319"/>
        <v>-3.1646335169192928E-2</v>
      </c>
      <c r="AP508" s="4">
        <f t="shared" si="319"/>
        <v>-3.2079372758535923E-2</v>
      </c>
      <c r="AQ508" s="4">
        <f t="shared" si="319"/>
        <v>-3.2507974498503671E-2</v>
      </c>
      <c r="AR508" s="4">
        <f t="shared" si="319"/>
        <v>-3.2926736118053364E-2</v>
      </c>
      <c r="AS508" s="4">
        <f t="shared" si="319"/>
        <v>-3.3342414387349271E-2</v>
      </c>
      <c r="AT508" s="4">
        <f t="shared" si="319"/>
        <v>-3.3756523763846337E-2</v>
      </c>
      <c r="AU508" s="4">
        <f t="shared" si="319"/>
        <v>-3.4170156328596782E-2</v>
      </c>
      <c r="AV508" s="4">
        <f t="shared" si="319"/>
        <v>-3.4584052154627259E-2</v>
      </c>
      <c r="AW508" s="4">
        <f t="shared" si="319"/>
        <v>-3.4976171135064453E-2</v>
      </c>
      <c r="AX508" s="4">
        <f t="shared" si="319"/>
        <v>-3.5364144497419099E-2</v>
      </c>
      <c r="AY508" s="4">
        <f t="shared" si="319"/>
        <v>-3.5748473092184853E-2</v>
      </c>
      <c r="AZ508" s="4">
        <f t="shared" si="319"/>
        <v>-3.6131005100780565E-2</v>
      </c>
      <c r="BA508" s="4">
        <f t="shared" si="319"/>
        <v>-3.6513509112833596E-2</v>
      </c>
      <c r="BB508" s="4">
        <f t="shared" si="319"/>
        <v>-3.688472145655354E-2</v>
      </c>
      <c r="BC508" s="4">
        <f t="shared" si="319"/>
        <v>-3.725619048529704E-2</v>
      </c>
      <c r="BD508" s="4">
        <f t="shared" ref="BD508:BF508" si="320">(BD481-BD494)/BD$492</f>
        <v>-3.7629528529483217E-2</v>
      </c>
      <c r="BE508" s="4">
        <f t="shared" si="320"/>
        <v>-3.8005783691705694E-2</v>
      </c>
      <c r="BF508" s="4">
        <f t="shared" si="320"/>
        <v>-3.8385908086919149E-2</v>
      </c>
    </row>
    <row r="509" spans="1:58" x14ac:dyDescent="0.35">
      <c r="B509" t="s">
        <v>54</v>
      </c>
      <c r="C509" s="4">
        <f>(C485-C498)/C$492</f>
        <v>-1.4759599138209091E-3</v>
      </c>
      <c r="D509" s="4">
        <f>(D485-D498)/D$492</f>
        <v>-1.3371511983992954E-3</v>
      </c>
      <c r="E509" s="4">
        <f t="shared" ref="E509:AL509" si="321">(E485-E498)/E$492</f>
        <v>-1.3182146160588507E-3</v>
      </c>
      <c r="F509" s="4">
        <f t="shared" si="321"/>
        <v>-1.3154790459914247E-3</v>
      </c>
      <c r="G509" s="4">
        <f t="shared" si="321"/>
        <v>-1.3049418805566948E-3</v>
      </c>
      <c r="H509" s="4">
        <f t="shared" si="321"/>
        <v>-1.3353397811334087E-3</v>
      </c>
      <c r="I509" s="4">
        <f t="shared" si="321"/>
        <v>-1.4325268402564522E-3</v>
      </c>
      <c r="J509" s="4">
        <f t="shared" si="321"/>
        <v>-1.5652014373792103E-3</v>
      </c>
      <c r="K509" s="4">
        <f t="shared" si="321"/>
        <v>-1.7106333311287898E-3</v>
      </c>
      <c r="L509" s="4">
        <f t="shared" si="321"/>
        <v>-1.8559690542172005E-3</v>
      </c>
      <c r="M509" s="4">
        <f t="shared" si="321"/>
        <v>-1.9977195047754708E-3</v>
      </c>
      <c r="N509" s="4">
        <f t="shared" si="321"/>
        <v>-2.1340247621747291E-3</v>
      </c>
      <c r="O509" s="4">
        <f t="shared" si="321"/>
        <v>-2.2620714149338057E-3</v>
      </c>
      <c r="P509" s="4">
        <f t="shared" si="321"/>
        <v>-2.382838298437228E-3</v>
      </c>
      <c r="Q509" s="4">
        <f t="shared" si="321"/>
        <v>-2.4984694528206192E-3</v>
      </c>
      <c r="R509" s="4">
        <f t="shared" si="321"/>
        <v>-2.6101537070761156E-3</v>
      </c>
      <c r="S509" s="4">
        <f t="shared" si="321"/>
        <v>-2.7238086807264122E-3</v>
      </c>
      <c r="T509" s="4">
        <f t="shared" si="321"/>
        <v>-2.833345608019558E-3</v>
      </c>
      <c r="U509" s="4">
        <f t="shared" si="321"/>
        <v>-2.9395757555992137E-3</v>
      </c>
      <c r="V509" s="4">
        <f t="shared" si="321"/>
        <v>-3.0428744074973194E-3</v>
      </c>
      <c r="W509" s="4">
        <f t="shared" si="321"/>
        <v>-3.1416371088588638E-3</v>
      </c>
      <c r="X509" s="4">
        <f t="shared" si="321"/>
        <v>-3.2409107703378483E-3</v>
      </c>
      <c r="Y509" s="4">
        <f t="shared" si="321"/>
        <v>-3.3378160265495949E-3</v>
      </c>
      <c r="Z509" s="4">
        <f t="shared" si="321"/>
        <v>-3.4329137832351552E-3</v>
      </c>
      <c r="AA509" s="4">
        <f t="shared" si="321"/>
        <v>-3.5264421708405174E-3</v>
      </c>
      <c r="AB509" s="4">
        <f t="shared" si="321"/>
        <v>-3.6129053433635095E-3</v>
      </c>
      <c r="AC509" s="4">
        <f t="shared" si="321"/>
        <v>-3.7020343032574989E-3</v>
      </c>
      <c r="AD509" s="4">
        <f t="shared" si="321"/>
        <v>-3.7907592488476177E-3</v>
      </c>
      <c r="AE509" s="4">
        <f t="shared" si="321"/>
        <v>-3.8793594565955914E-3</v>
      </c>
      <c r="AF509" s="4">
        <f t="shared" si="321"/>
        <v>-3.9674424489619005E-3</v>
      </c>
      <c r="AG509" s="4">
        <f t="shared" si="321"/>
        <v>-4.0551564722509665E-3</v>
      </c>
      <c r="AH509" s="4">
        <f t="shared" si="321"/>
        <v>-4.1413680707490944E-3</v>
      </c>
      <c r="AI509" s="4">
        <f t="shared" si="321"/>
        <v>-4.2270685233211491E-3</v>
      </c>
      <c r="AJ509" s="4">
        <f t="shared" si="321"/>
        <v>-4.3118595546104794E-3</v>
      </c>
      <c r="AK509" s="4">
        <f t="shared" si="321"/>
        <v>-4.3954294243442405E-3</v>
      </c>
      <c r="AL509" s="4">
        <f t="shared" si="321"/>
        <v>-4.4775357509433383E-3</v>
      </c>
      <c r="AM509" s="4">
        <f t="shared" ref="AM509:BC509" si="322">(AM485-AM498)/AM$492</f>
        <v>-4.5481300332630946E-3</v>
      </c>
      <c r="AN509" s="4">
        <f t="shared" si="322"/>
        <v>-4.6196409410388887E-3</v>
      </c>
      <c r="AO509" s="4">
        <f t="shared" si="322"/>
        <v>-4.690940774438556E-3</v>
      </c>
      <c r="AP509" s="4">
        <f t="shared" si="322"/>
        <v>-4.7618425052588613E-3</v>
      </c>
      <c r="AQ509" s="4">
        <f t="shared" si="322"/>
        <v>-4.8322921471359147E-3</v>
      </c>
      <c r="AR509" s="4">
        <f t="shared" si="322"/>
        <v>-4.9009368599983883E-3</v>
      </c>
      <c r="AS509" s="4">
        <f t="shared" si="322"/>
        <v>-4.9692861877523205E-3</v>
      </c>
      <c r="AT509" s="4">
        <f t="shared" si="322"/>
        <v>-5.0371290328018094E-3</v>
      </c>
      <c r="AU509" s="4">
        <f t="shared" si="322"/>
        <v>-5.1042314371941497E-3</v>
      </c>
      <c r="AV509" s="4">
        <f t="shared" si="322"/>
        <v>-5.1700114392807597E-3</v>
      </c>
      <c r="AW509" s="4">
        <f t="shared" si="322"/>
        <v>-5.2277116344882895E-3</v>
      </c>
      <c r="AX509" s="4">
        <f t="shared" si="322"/>
        <v>-5.2802393258130093E-3</v>
      </c>
      <c r="AY509" s="4">
        <f t="shared" si="322"/>
        <v>-5.321242294829759E-3</v>
      </c>
      <c r="AZ509" s="4">
        <f t="shared" si="322"/>
        <v>-5.3577184280188738E-3</v>
      </c>
      <c r="BA509" s="4">
        <f t="shared" si="322"/>
        <v>-5.3953189223586084E-3</v>
      </c>
      <c r="BB509" s="4">
        <f t="shared" si="322"/>
        <v>-5.4328209485799998E-3</v>
      </c>
      <c r="BC509" s="4">
        <f t="shared" si="322"/>
        <v>-5.4724059876560165E-3</v>
      </c>
      <c r="BD509" s="4">
        <f t="shared" ref="BD509:BF509" si="323">(BD485-BD498)/BD$492</f>
        <v>-5.5126884962522771E-3</v>
      </c>
      <c r="BE509" s="4">
        <f t="shared" si="323"/>
        <v>-5.5527239993284601E-3</v>
      </c>
      <c r="BF509" s="4">
        <f t="shared" si="323"/>
        <v>-5.5919568806854659E-3</v>
      </c>
    </row>
    <row r="510" spans="1:58" x14ac:dyDescent="0.35">
      <c r="B510" t="s">
        <v>11</v>
      </c>
      <c r="C510" s="4">
        <f>(C486-C499)/C$493</f>
        <v>-0.47982595414650042</v>
      </c>
      <c r="D510" s="4">
        <f>(D486-D499)/D$492</f>
        <v>-9.8110971131381789E-3</v>
      </c>
      <c r="E510" s="4">
        <f t="shared" ref="E510:AL510" si="324">(E486-E499)/E$492</f>
        <v>-1.1141377929377904E-2</v>
      </c>
      <c r="F510" s="4">
        <f t="shared" si="324"/>
        <v>-1.2086961491353704E-2</v>
      </c>
      <c r="G510" s="4">
        <f t="shared" si="324"/>
        <v>-1.2722434180455067E-2</v>
      </c>
      <c r="H510" s="4">
        <f t="shared" si="324"/>
        <v>-1.3185376078931147E-2</v>
      </c>
      <c r="I510" s="4">
        <f t="shared" si="324"/>
        <v>-1.3585730867893464E-2</v>
      </c>
      <c r="J510" s="4">
        <f t="shared" si="324"/>
        <v>-1.3943151137008973E-2</v>
      </c>
      <c r="K510" s="4">
        <f t="shared" si="324"/>
        <v>-1.4244930947369991E-2</v>
      </c>
      <c r="L510" s="4">
        <f t="shared" si="324"/>
        <v>-1.4489729258055379E-2</v>
      </c>
      <c r="M510" s="4">
        <f t="shared" si="324"/>
        <v>-1.4695715502460276E-2</v>
      </c>
      <c r="N510" s="4">
        <f t="shared" si="324"/>
        <v>-1.4908506236806991E-2</v>
      </c>
      <c r="O510" s="4">
        <f t="shared" si="324"/>
        <v>-1.5125427758706015E-2</v>
      </c>
      <c r="P510" s="4">
        <f t="shared" si="324"/>
        <v>-1.5358843651327135E-2</v>
      </c>
      <c r="Q510" s="4">
        <f t="shared" si="324"/>
        <v>-1.5618493704217088E-2</v>
      </c>
      <c r="R510" s="4">
        <f t="shared" si="324"/>
        <v>-1.5910658457804022E-2</v>
      </c>
      <c r="S510" s="4">
        <f t="shared" si="324"/>
        <v>-1.626733931294861E-2</v>
      </c>
      <c r="T510" s="4">
        <f t="shared" si="324"/>
        <v>-1.6665842698704966E-2</v>
      </c>
      <c r="U510" s="4">
        <f t="shared" si="324"/>
        <v>-1.7102777853168064E-2</v>
      </c>
      <c r="V510" s="4">
        <f t="shared" si="324"/>
        <v>-1.7575436271934686E-2</v>
      </c>
      <c r="W510" s="4">
        <f t="shared" si="324"/>
        <v>-1.8078945483642778E-2</v>
      </c>
      <c r="X510" s="4">
        <f t="shared" si="324"/>
        <v>-1.8612933063562907E-2</v>
      </c>
      <c r="Y510" s="4">
        <f t="shared" si="324"/>
        <v>-1.9172310275631189E-2</v>
      </c>
      <c r="Z510" s="4">
        <f t="shared" si="324"/>
        <v>-1.9753633504789384E-2</v>
      </c>
      <c r="AA510" s="4">
        <f t="shared" si="324"/>
        <v>-2.035326046275697E-2</v>
      </c>
      <c r="AB510" s="4">
        <f t="shared" si="324"/>
        <v>-2.0961835153955728E-2</v>
      </c>
      <c r="AC510" s="4">
        <f t="shared" si="324"/>
        <v>-2.157328886596328E-2</v>
      </c>
      <c r="AD510" s="4">
        <f t="shared" si="324"/>
        <v>-2.219035489689089E-2</v>
      </c>
      <c r="AE510" s="4">
        <f t="shared" si="324"/>
        <v>-2.2811294513962042E-2</v>
      </c>
      <c r="AF510" s="4">
        <f t="shared" si="324"/>
        <v>-2.3434200110789991E-2</v>
      </c>
      <c r="AG510" s="4">
        <f t="shared" si="324"/>
        <v>-2.4057070153395109E-2</v>
      </c>
      <c r="AH510" s="4">
        <f t="shared" si="324"/>
        <v>-2.4672319277275964E-2</v>
      </c>
      <c r="AI510" s="4">
        <f t="shared" si="324"/>
        <v>-2.5282086593925626E-2</v>
      </c>
      <c r="AJ510" s="4">
        <f t="shared" si="324"/>
        <v>-2.5884585643557816E-2</v>
      </c>
      <c r="AK510" s="4">
        <f t="shared" si="324"/>
        <v>-2.6477927559713892E-2</v>
      </c>
      <c r="AL510" s="4">
        <f t="shared" si="324"/>
        <v>-2.7060557738250484E-2</v>
      </c>
      <c r="AM510" s="4">
        <f t="shared" ref="AM510:BC510" si="325">(AM486-AM499)/AM$492</f>
        <v>-2.7585159534319802E-2</v>
      </c>
      <c r="AN510" s="4">
        <f t="shared" si="325"/>
        <v>-2.8089926736183282E-2</v>
      </c>
      <c r="AO510" s="4">
        <f t="shared" si="325"/>
        <v>-2.8579033832934326E-2</v>
      </c>
      <c r="AP510" s="4">
        <f t="shared" si="325"/>
        <v>-2.9054687215510411E-2</v>
      </c>
      <c r="AQ510" s="4">
        <f t="shared" si="325"/>
        <v>-2.9519194342897452E-2</v>
      </c>
      <c r="AR510" s="4">
        <f t="shared" si="325"/>
        <v>-2.9968084212320976E-2</v>
      </c>
      <c r="AS510" s="4">
        <f t="shared" si="325"/>
        <v>-3.0409132077091894E-2</v>
      </c>
      <c r="AT510" s="4">
        <f t="shared" si="325"/>
        <v>-3.0844850297984134E-2</v>
      </c>
      <c r="AU510" s="4">
        <f t="shared" si="325"/>
        <v>-3.1276863274918902E-2</v>
      </c>
      <c r="AV510" s="4">
        <f t="shared" si="325"/>
        <v>-3.1705618455122452E-2</v>
      </c>
      <c r="AW510" s="4">
        <f t="shared" si="325"/>
        <v>-3.2102868069810921E-2</v>
      </c>
      <c r="AX510" s="4">
        <f t="shared" si="325"/>
        <v>-3.2480216459867185E-2</v>
      </c>
      <c r="AY510" s="4">
        <f t="shared" si="325"/>
        <v>-3.2832975217525054E-2</v>
      </c>
      <c r="AZ510" s="4">
        <f t="shared" si="325"/>
        <v>-3.3166241508270453E-2</v>
      </c>
      <c r="BA510" s="4">
        <f t="shared" si="325"/>
        <v>-3.3485613021710776E-2</v>
      </c>
      <c r="BB510" s="4">
        <f t="shared" si="325"/>
        <v>-3.3780538388320694E-2</v>
      </c>
      <c r="BC510" s="4">
        <f t="shared" si="325"/>
        <v>-3.406215774185703E-2</v>
      </c>
      <c r="BD510" s="4">
        <f t="shared" ref="BD510:BF510" si="326">(BD486-BD499)/BD$492</f>
        <v>-3.4331541188709389E-2</v>
      </c>
      <c r="BE510" s="4">
        <f t="shared" si="326"/>
        <v>-3.4589144385764936E-2</v>
      </c>
      <c r="BF510" s="4">
        <f t="shared" si="326"/>
        <v>-3.483553751526864E-2</v>
      </c>
    </row>
    <row r="511" spans="1:58" x14ac:dyDescent="0.35">
      <c r="B511" t="s">
        <v>75</v>
      </c>
      <c r="C511" s="4">
        <f>(C487-C500)/C$494</f>
        <v>-1.3231851851297161E-2</v>
      </c>
      <c r="D511" s="4">
        <f>(D487-D500)/D$492</f>
        <v>-5.5628647746584804E-3</v>
      </c>
      <c r="E511" s="4">
        <f t="shared" ref="E511:AL511" si="327">(E487-E500)/E$492</f>
        <v>-6.1845294129992548E-3</v>
      </c>
      <c r="F511" s="4">
        <f t="shared" si="327"/>
        <v>-6.6871320120065816E-3</v>
      </c>
      <c r="G511" s="4">
        <f t="shared" si="327"/>
        <v>-7.1095616982186759E-3</v>
      </c>
      <c r="H511" s="4">
        <f t="shared" si="327"/>
        <v>-7.4316408742148322E-3</v>
      </c>
      <c r="I511" s="4">
        <f t="shared" si="327"/>
        <v>-7.6836154665858563E-3</v>
      </c>
      <c r="J511" s="4">
        <f t="shared" si="327"/>
        <v>-7.9167320866372036E-3</v>
      </c>
      <c r="K511" s="4">
        <f t="shared" si="327"/>
        <v>-8.1443153692713662E-3</v>
      </c>
      <c r="L511" s="4">
        <f t="shared" si="327"/>
        <v>-8.3680741484518303E-3</v>
      </c>
      <c r="M511" s="4">
        <f t="shared" si="327"/>
        <v>-8.5919874920353523E-3</v>
      </c>
      <c r="N511" s="4">
        <f t="shared" si="327"/>
        <v>-8.8281503497446394E-3</v>
      </c>
      <c r="O511" s="4">
        <f t="shared" si="327"/>
        <v>-9.0666642616183558E-3</v>
      </c>
      <c r="P511" s="4">
        <f t="shared" si="327"/>
        <v>-9.3079869404296637E-3</v>
      </c>
      <c r="Q511" s="4">
        <f t="shared" si="327"/>
        <v>-9.5533189215216124E-3</v>
      </c>
      <c r="R511" s="4">
        <f t="shared" si="327"/>
        <v>-9.8036929911827324E-3</v>
      </c>
      <c r="S511" s="4">
        <f t="shared" si="327"/>
        <v>-1.0076581926522794E-2</v>
      </c>
      <c r="T511" s="4">
        <f t="shared" si="327"/>
        <v>-1.0357627591809691E-2</v>
      </c>
      <c r="U511" s="4">
        <f t="shared" si="327"/>
        <v>-1.0645318760555949E-2</v>
      </c>
      <c r="V511" s="4">
        <f t="shared" si="327"/>
        <v>-1.0938898173366247E-2</v>
      </c>
      <c r="W511" s="4">
        <f t="shared" si="327"/>
        <v>-1.1234896776413344E-2</v>
      </c>
      <c r="X511" s="4">
        <f t="shared" si="327"/>
        <v>-1.1537731248588486E-2</v>
      </c>
      <c r="Y511" s="4">
        <f t="shared" si="327"/>
        <v>-1.1843759790610309E-2</v>
      </c>
      <c r="Z511" s="4">
        <f t="shared" si="327"/>
        <v>-1.2152145105766319E-2</v>
      </c>
      <c r="AA511" s="4">
        <f t="shared" si="327"/>
        <v>-1.2462176691477145E-2</v>
      </c>
      <c r="AB511" s="4">
        <f t="shared" si="327"/>
        <v>-1.2764901643755442E-2</v>
      </c>
      <c r="AC511" s="4">
        <f t="shared" si="327"/>
        <v>-1.3066377013558651E-2</v>
      </c>
      <c r="AD511" s="4">
        <f t="shared" si="327"/>
        <v>-1.3366812835376572E-2</v>
      </c>
      <c r="AE511" s="4">
        <f t="shared" si="327"/>
        <v>-1.3665873554874511E-2</v>
      </c>
      <c r="AF511" s="4">
        <f t="shared" si="327"/>
        <v>-1.3963107557145693E-2</v>
      </c>
      <c r="AG511" s="4">
        <f t="shared" si="327"/>
        <v>-1.4258356069482636E-2</v>
      </c>
      <c r="AH511" s="4">
        <f t="shared" si="327"/>
        <v>-1.4548289970095565E-2</v>
      </c>
      <c r="AI511" s="4">
        <f t="shared" si="327"/>
        <v>-1.4835605019958929E-2</v>
      </c>
      <c r="AJ511" s="4">
        <f t="shared" si="327"/>
        <v>-1.5120514822566454E-2</v>
      </c>
      <c r="AK511" s="4">
        <f t="shared" si="327"/>
        <v>-1.5403055123866706E-2</v>
      </c>
      <c r="AL511" s="4">
        <f t="shared" si="327"/>
        <v>-1.568324548254646E-2</v>
      </c>
      <c r="AM511" s="4">
        <f t="shared" ref="AM511:BC511" si="328">(AM487-AM500)/AM$492</f>
        <v>-1.5932415670867572E-2</v>
      </c>
      <c r="AN511" s="4">
        <f t="shared" si="328"/>
        <v>-1.6176271174366489E-2</v>
      </c>
      <c r="AO511" s="4">
        <f t="shared" si="328"/>
        <v>-1.6417118459913786E-2</v>
      </c>
      <c r="AP511" s="4">
        <f t="shared" si="328"/>
        <v>-1.6655623585370267E-2</v>
      </c>
      <c r="AQ511" s="4">
        <f t="shared" si="328"/>
        <v>-1.689234576682282E-2</v>
      </c>
      <c r="AR511" s="4">
        <f t="shared" si="328"/>
        <v>-1.7123850404836761E-2</v>
      </c>
      <c r="AS511" s="4">
        <f t="shared" si="328"/>
        <v>-1.7354334113242394E-2</v>
      </c>
      <c r="AT511" s="4">
        <f t="shared" si="328"/>
        <v>-1.7584897010660187E-2</v>
      </c>
      <c r="AU511" s="4">
        <f t="shared" si="328"/>
        <v>-1.7816555546815098E-2</v>
      </c>
      <c r="AV511" s="4">
        <f t="shared" si="328"/>
        <v>-1.805062903055597E-2</v>
      </c>
      <c r="AW511" s="4">
        <f t="shared" si="328"/>
        <v>-1.8277300942872186E-2</v>
      </c>
      <c r="AX511" s="4">
        <f t="shared" si="328"/>
        <v>-1.849237662549481E-2</v>
      </c>
      <c r="AY511" s="4">
        <f t="shared" si="328"/>
        <v>-1.8696306103771522E-2</v>
      </c>
      <c r="AZ511" s="4">
        <f t="shared" si="328"/>
        <v>-1.8892688926606994E-2</v>
      </c>
      <c r="BA511" s="4">
        <f t="shared" si="328"/>
        <v>-1.9085565939782369E-2</v>
      </c>
      <c r="BB511" s="4">
        <f t="shared" si="328"/>
        <v>-1.9269775114712905E-2</v>
      </c>
      <c r="BC511" s="4">
        <f t="shared" si="328"/>
        <v>-1.9453053194794543E-2</v>
      </c>
      <c r="BD511" s="4">
        <f t="shared" ref="BD511:BF511" si="329">(BD487-BD500)/BD$492</f>
        <v>-1.9636223592376541E-2</v>
      </c>
      <c r="BE511" s="4">
        <f t="shared" si="329"/>
        <v>-1.9819304051327945E-2</v>
      </c>
      <c r="BF511" s="4">
        <f t="shared" si="329"/>
        <v>-2.0002204814722705E-2</v>
      </c>
    </row>
    <row r="513" spans="2:58" x14ac:dyDescent="0.35">
      <c r="B513" s="6" t="str">
        <f>[1]Macro!A100</f>
        <v>y_toe_2</v>
      </c>
      <c r="C513" s="6">
        <f>[1]Macro!B100</f>
        <v>136.60229330000001</v>
      </c>
      <c r="D513" s="6">
        <f>[1]Macro!C100</f>
        <v>137.01288349999999</v>
      </c>
      <c r="E513" s="6">
        <f>[1]Macro!D100</f>
        <v>137.55301069999999</v>
      </c>
      <c r="F513" s="6">
        <f>[1]Macro!E100</f>
        <v>138.24542389999999</v>
      </c>
      <c r="G513" s="6">
        <f>[1]Macro!F100</f>
        <v>139.11688899999999</v>
      </c>
      <c r="H513" s="6">
        <f>[1]Macro!G100</f>
        <v>140.1545984</v>
      </c>
      <c r="I513" s="6">
        <f>[1]Macro!H100</f>
        <v>141.246737</v>
      </c>
      <c r="J513" s="6">
        <f>[1]Macro!I100</f>
        <v>142.42111879999999</v>
      </c>
      <c r="K513" s="6">
        <f>[1]Macro!J100</f>
        <v>143.6700299</v>
      </c>
      <c r="L513" s="6">
        <f>[1]Macro!K100</f>
        <v>144.98131470000001</v>
      </c>
      <c r="M513" s="6">
        <f>[1]Macro!L100</f>
        <v>146.47341789999999</v>
      </c>
      <c r="N513" s="6">
        <f>[1]Macro!M100</f>
        <v>147.8995899</v>
      </c>
      <c r="O513" s="6">
        <f>[1]Macro!N100</f>
        <v>149.33381460000001</v>
      </c>
      <c r="P513" s="6">
        <f>[1]Macro!O100</f>
        <v>150.77882210000001</v>
      </c>
      <c r="Q513" s="6">
        <f>[1]Macro!P100</f>
        <v>152.23247610000001</v>
      </c>
      <c r="R513" s="6">
        <f>[1]Macro!Q100</f>
        <v>153.69276199999999</v>
      </c>
      <c r="S513" s="6">
        <f>[1]Macro!R100</f>
        <v>155.1457436</v>
      </c>
      <c r="T513" s="6">
        <f>[1]Macro!S100</f>
        <v>156.60236</v>
      </c>
      <c r="U513" s="6">
        <f>[1]Macro!T100</f>
        <v>158.06428360000001</v>
      </c>
      <c r="V513" s="6">
        <f>[1]Macro!U100</f>
        <v>159.5330562</v>
      </c>
      <c r="W513" s="6">
        <f>[1]Macro!V100</f>
        <v>160.91576610000001</v>
      </c>
      <c r="X513" s="6">
        <f>[1]Macro!W100</f>
        <v>162.37419800000001</v>
      </c>
      <c r="Y513" s="6">
        <f>[1]Macro!X100</f>
        <v>163.85756910000001</v>
      </c>
      <c r="Z513" s="6">
        <f>[1]Macro!Y100</f>
        <v>165.361403</v>
      </c>
      <c r="AA513" s="6">
        <f>[1]Macro!Z100</f>
        <v>166.8855915</v>
      </c>
      <c r="AB513" s="6">
        <f>[1]Macro!AA100</f>
        <v>168.1626397</v>
      </c>
      <c r="AC513" s="6">
        <f>[1]Macro!AB100</f>
        <v>169.5248272</v>
      </c>
      <c r="AD513" s="6">
        <f>[1]Macro!AC100</f>
        <v>170.90494100000001</v>
      </c>
      <c r="AE513" s="6">
        <f>[1]Macro!AD100</f>
        <v>172.3015752</v>
      </c>
      <c r="AF513" s="6">
        <f>[1]Macro!AE100</f>
        <v>173.7173607</v>
      </c>
      <c r="AG513" s="6">
        <f>[1]Macro!AF100</f>
        <v>175.1552193</v>
      </c>
      <c r="AH513" s="6">
        <f>[1]Macro!AG100</f>
        <v>176.6205999</v>
      </c>
      <c r="AI513" s="6">
        <f>[1]Macro!AH100</f>
        <v>178.11312269999999</v>
      </c>
      <c r="AJ513" s="6">
        <f>[1]Macro!AI100</f>
        <v>179.63406309999999</v>
      </c>
      <c r="AK513" s="6">
        <f>[1]Macro!AJ100</f>
        <v>181.18432250000001</v>
      </c>
      <c r="AL513" s="6">
        <f>[1]Macro!AK100</f>
        <v>182.76437960000001</v>
      </c>
      <c r="AM513" s="6">
        <f>[1]Macro!AL100</f>
        <v>184.336727</v>
      </c>
      <c r="AN513" s="6">
        <f>[1]Macro!AM100</f>
        <v>185.9223255</v>
      </c>
      <c r="AO513" s="6">
        <f>[1]Macro!AN100</f>
        <v>187.52680789999999</v>
      </c>
      <c r="AP513" s="6">
        <f>[1]Macro!AO100</f>
        <v>189.15275399999999</v>
      </c>
      <c r="AQ513" s="6">
        <f>[1]Macro!AP100</f>
        <v>190.80152620000001</v>
      </c>
      <c r="AR513" s="6">
        <f>[1]Macro!AQ100</f>
        <v>192.4779078</v>
      </c>
      <c r="AS513" s="6">
        <f>[1]Macro!AR100</f>
        <v>194.17894749999999</v>
      </c>
      <c r="AT513" s="6">
        <f>[1]Macro!AS100</f>
        <v>195.90451530000001</v>
      </c>
      <c r="AU513" s="6">
        <f>[1]Macro!AT100</f>
        <v>197.65446489999999</v>
      </c>
      <c r="AV513" s="6">
        <f>[1]Macro!AU100</f>
        <v>199.4285653</v>
      </c>
      <c r="AW513" s="6">
        <f>[1]Macro!AV100</f>
        <v>201.24654649999999</v>
      </c>
      <c r="AX513" s="6">
        <f>[1]Macro!AW100</f>
        <v>203.09458789999999</v>
      </c>
      <c r="AY513" s="6">
        <f>[1]Macro!AX100</f>
        <v>204.97224779999999</v>
      </c>
      <c r="AZ513" s="6">
        <f>[1]Macro!AY100</f>
        <v>206.8795824</v>
      </c>
      <c r="BA513" s="6">
        <f>[1]Macro!AZ100</f>
        <v>208.8163471</v>
      </c>
      <c r="BB513" s="6">
        <f>[1]Macro!BA100</f>
        <v>210.79052139999999</v>
      </c>
      <c r="BC513" s="6">
        <f>[1]Macro!BB100</f>
        <v>212.79448210000001</v>
      </c>
      <c r="BD513" s="6">
        <f>[1]Macro!BC100</f>
        <v>214.82715110000001</v>
      </c>
      <c r="BE513" s="6">
        <f>[1]Macro!BD100</f>
        <v>216.8879551</v>
      </c>
      <c r="BF513" s="6">
        <f>[1]Macro!BE100</f>
        <v>218.97651640000001</v>
      </c>
    </row>
    <row r="514" spans="2:58" x14ac:dyDescent="0.35">
      <c r="B514" s="6" t="str">
        <f>[1]Macro!A101</f>
        <v>m_toe_2</v>
      </c>
      <c r="C514" s="6">
        <f>[1]Macro!B101</f>
        <v>148.00377810000001</v>
      </c>
      <c r="D514" s="6">
        <f>[1]Macro!C101</f>
        <v>148.23336979999999</v>
      </c>
      <c r="E514" s="6">
        <f>[1]Macro!D101</f>
        <v>148.74927589999999</v>
      </c>
      <c r="F514" s="6">
        <f>[1]Macro!E101</f>
        <v>149.47106489999999</v>
      </c>
      <c r="G514" s="6">
        <f>[1]Macro!F101</f>
        <v>150.4158529</v>
      </c>
      <c r="H514" s="6">
        <f>[1]Macro!G101</f>
        <v>151.57193229999999</v>
      </c>
      <c r="I514" s="6">
        <f>[1]Macro!H101</f>
        <v>152.8213729</v>
      </c>
      <c r="J514" s="6">
        <f>[1]Macro!I101</f>
        <v>154.19228029999999</v>
      </c>
      <c r="K514" s="6">
        <f>[1]Macro!J101</f>
        <v>155.6729622</v>
      </c>
      <c r="L514" s="6">
        <f>[1]Macro!K101</f>
        <v>157.24569360000001</v>
      </c>
      <c r="M514" s="6">
        <f>[1]Macro!L101</f>
        <v>159.0342531</v>
      </c>
      <c r="N514" s="6">
        <f>[1]Macro!M101</f>
        <v>160.7792034</v>
      </c>
      <c r="O514" s="6">
        <f>[1]Macro!N101</f>
        <v>162.54713839999999</v>
      </c>
      <c r="P514" s="6">
        <f>[1]Macro!O101</f>
        <v>164.3423635</v>
      </c>
      <c r="Q514" s="6">
        <f>[1]Macro!P101</f>
        <v>166.16081159999999</v>
      </c>
      <c r="R514" s="6">
        <f>[1]Macro!Q101</f>
        <v>167.99839979999999</v>
      </c>
      <c r="S514" s="6">
        <f>[1]Macro!R101</f>
        <v>169.83788290000001</v>
      </c>
      <c r="T514" s="6">
        <f>[1]Macro!S101</f>
        <v>171.6890741</v>
      </c>
      <c r="U514" s="6">
        <f>[1]Macro!T101</f>
        <v>173.5530578</v>
      </c>
      <c r="V514" s="6">
        <f>[1]Macro!U101</f>
        <v>175.43029390000001</v>
      </c>
      <c r="W514" s="6">
        <f>[1]Macro!V101</f>
        <v>177.21941229999999</v>
      </c>
      <c r="X514" s="6">
        <f>[1]Macro!W101</f>
        <v>179.08809679999999</v>
      </c>
      <c r="Y514" s="6">
        <f>[1]Macro!X101</f>
        <v>180.9884509</v>
      </c>
      <c r="Z514" s="6">
        <f>[1]Macro!Y101</f>
        <v>182.91308660000001</v>
      </c>
      <c r="AA514" s="6">
        <f>[1]Macro!Z101</f>
        <v>184.86118490000001</v>
      </c>
      <c r="AB514" s="6">
        <f>[1]Macro!AA101</f>
        <v>186.542631</v>
      </c>
      <c r="AC514" s="6">
        <f>[1]Macro!AB101</f>
        <v>188.30041940000001</v>
      </c>
      <c r="AD514" s="6">
        <f>[1]Macro!AC101</f>
        <v>190.07618629999999</v>
      </c>
      <c r="AE514" s="6">
        <f>[1]Macro!AD101</f>
        <v>191.8654995</v>
      </c>
      <c r="AF514" s="6">
        <f>[1]Macro!AE101</f>
        <v>193.67122950000001</v>
      </c>
      <c r="AG514" s="6">
        <f>[1]Macro!AF101</f>
        <v>195.496951</v>
      </c>
      <c r="AH514" s="6">
        <f>[1]Macro!AG101</f>
        <v>197.34914979999999</v>
      </c>
      <c r="AI514" s="6">
        <f>[1]Macro!AH101</f>
        <v>199.2279978</v>
      </c>
      <c r="AJ514" s="6">
        <f>[1]Macro!AI101</f>
        <v>201.13517340000001</v>
      </c>
      <c r="AK514" s="6">
        <f>[1]Macro!AJ101</f>
        <v>203.07205669999999</v>
      </c>
      <c r="AL514" s="6">
        <f>[1]Macro!AK101</f>
        <v>205.03957260000001</v>
      </c>
      <c r="AM514" s="6">
        <f>[1]Macro!AL101</f>
        <v>206.9978591</v>
      </c>
      <c r="AN514" s="6">
        <f>[1]Macro!AM101</f>
        <v>208.9673483</v>
      </c>
      <c r="AO514" s="6">
        <f>[1]Macro!AN101</f>
        <v>210.95476070000001</v>
      </c>
      <c r="AP514" s="6">
        <f>[1]Macro!AO101</f>
        <v>212.96340570000001</v>
      </c>
      <c r="AQ514" s="6">
        <f>[1]Macro!AP101</f>
        <v>214.99532629999999</v>
      </c>
      <c r="AR514" s="6">
        <f>[1]Macro!AQ101</f>
        <v>217.05638429999999</v>
      </c>
      <c r="AS514" s="6">
        <f>[1]Macro!AR101</f>
        <v>219.1440455</v>
      </c>
      <c r="AT514" s="6">
        <f>[1]Macro!AS101</f>
        <v>221.25840349999999</v>
      </c>
      <c r="AU514" s="6">
        <f>[1]Macro!AT101</f>
        <v>223.39964499999999</v>
      </c>
      <c r="AV514" s="6">
        <f>[1]Macro!AU101</f>
        <v>225.56779900000001</v>
      </c>
      <c r="AW514" s="6">
        <f>[1]Macro!AV101</f>
        <v>227.78455310000001</v>
      </c>
      <c r="AX514" s="6">
        <f>[1]Macro!AW101</f>
        <v>230.03530409999999</v>
      </c>
      <c r="AY514" s="6">
        <f>[1]Macro!AX101</f>
        <v>232.31827809999999</v>
      </c>
      <c r="AZ514" s="6">
        <f>[1]Macro!AY101</f>
        <v>234.6331309</v>
      </c>
      <c r="BA514" s="6">
        <f>[1]Macro!AZ101</f>
        <v>236.97944089999999</v>
      </c>
      <c r="BB514" s="6">
        <f>[1]Macro!BA101</f>
        <v>239.36599939999999</v>
      </c>
      <c r="BC514" s="6">
        <f>[1]Macro!BB101</f>
        <v>241.784828</v>
      </c>
      <c r="BD514" s="6">
        <f>[1]Macro!BC101</f>
        <v>244.23428390000001</v>
      </c>
      <c r="BE514" s="6">
        <f>[1]Macro!BD101</f>
        <v>246.7136308</v>
      </c>
      <c r="BF514" s="6">
        <f>[1]Macro!BE101</f>
        <v>249.22235470000001</v>
      </c>
    </row>
    <row r="515" spans="2:58" x14ac:dyDescent="0.35">
      <c r="B515" s="6" t="str">
        <f>[1]Macro!A102</f>
        <v>ci_toe_2</v>
      </c>
      <c r="C515" s="6">
        <f>[1]Macro!B102</f>
        <v>188.8633944</v>
      </c>
      <c r="D515" s="6">
        <f>[1]Macro!C102</f>
        <v>189.2222725</v>
      </c>
      <c r="E515" s="6">
        <f>[1]Macro!D102</f>
        <v>190.16766699999999</v>
      </c>
      <c r="F515" s="6">
        <f>[1]Macro!E102</f>
        <v>191.4629869</v>
      </c>
      <c r="G515" s="6">
        <f>[1]Macro!F102</f>
        <v>193.08870709999999</v>
      </c>
      <c r="H515" s="6">
        <f>[1]Macro!G102</f>
        <v>195.016694</v>
      </c>
      <c r="I515" s="6">
        <f>[1]Macro!H102</f>
        <v>197.08821420000001</v>
      </c>
      <c r="J515" s="6">
        <f>[1]Macro!I102</f>
        <v>199.32061010000001</v>
      </c>
      <c r="K515" s="6">
        <f>[1]Macro!J102</f>
        <v>201.6912246</v>
      </c>
      <c r="L515" s="6">
        <f>[1]Macro!K102</f>
        <v>204.1726319</v>
      </c>
      <c r="M515" s="6">
        <f>[1]Macro!L102</f>
        <v>206.92826339999999</v>
      </c>
      <c r="N515" s="6">
        <f>[1]Macro!M102</f>
        <v>209.6216982</v>
      </c>
      <c r="O515" s="6">
        <f>[1]Macro!N102</f>
        <v>212.32769959999999</v>
      </c>
      <c r="P515" s="6">
        <f>[1]Macro!O102</f>
        <v>215.05447459999999</v>
      </c>
      <c r="Q515" s="6">
        <f>[1]Macro!P102</f>
        <v>217.7983692</v>
      </c>
      <c r="R515" s="6">
        <f>[1]Macro!Q102</f>
        <v>220.55549690000001</v>
      </c>
      <c r="S515" s="6">
        <f>[1]Macro!R102</f>
        <v>223.30515919999999</v>
      </c>
      <c r="T515" s="6">
        <f>[1]Macro!S102</f>
        <v>226.060574</v>
      </c>
      <c r="U515" s="6">
        <f>[1]Macro!T102</f>
        <v>228.8254647</v>
      </c>
      <c r="V515" s="6">
        <f>[1]Macro!U102</f>
        <v>231.60254660000001</v>
      </c>
      <c r="W515" s="6">
        <f>[1]Macro!V102</f>
        <v>234.2575319</v>
      </c>
      <c r="X515" s="6">
        <f>[1]Macro!W102</f>
        <v>237.01124160000001</v>
      </c>
      <c r="Y515" s="6">
        <f>[1]Macro!X102</f>
        <v>239.81045800000001</v>
      </c>
      <c r="Z515" s="6">
        <f>[1]Macro!Y102</f>
        <v>242.64587560000001</v>
      </c>
      <c r="AA515" s="6">
        <f>[1]Macro!Z102</f>
        <v>245.51766610000001</v>
      </c>
      <c r="AB515" s="6">
        <f>[1]Macro!AA102</f>
        <v>248.03581249999999</v>
      </c>
      <c r="AC515" s="6">
        <f>[1]Macro!AB102</f>
        <v>250.64395909999999</v>
      </c>
      <c r="AD515" s="6">
        <f>[1]Macro!AC102</f>
        <v>253.28254219999999</v>
      </c>
      <c r="AE515" s="6">
        <f>[1]Macro!AD102</f>
        <v>255.9463155</v>
      </c>
      <c r="AF515" s="6">
        <f>[1]Macro!AE102</f>
        <v>258.64076019999999</v>
      </c>
      <c r="AG515" s="6">
        <f>[1]Macro!AF102</f>
        <v>261.37223119999999</v>
      </c>
      <c r="AH515" s="6">
        <f>[1]Macro!AG102</f>
        <v>264.15011390000001</v>
      </c>
      <c r="AI515" s="6">
        <f>[1]Macro!AH102</f>
        <v>266.97533970000001</v>
      </c>
      <c r="AJ515" s="6">
        <f>[1]Macro!AI102</f>
        <v>269.84996840000002</v>
      </c>
      <c r="AK515" s="6">
        <f>[1]Macro!AJ102</f>
        <v>272.77542260000001</v>
      </c>
      <c r="AL515" s="6">
        <f>[1]Macro!AK102</f>
        <v>275.75236030000002</v>
      </c>
      <c r="AM515" s="6">
        <f>[1]Macro!AL102</f>
        <v>278.72396850000001</v>
      </c>
      <c r="AN515" s="6">
        <f>[1]Macro!AM102</f>
        <v>281.7163946</v>
      </c>
      <c r="AO515" s="6">
        <f>[1]Macro!AN102</f>
        <v>284.7392246</v>
      </c>
      <c r="AP515" s="6">
        <f>[1]Macro!AO102</f>
        <v>287.79713709999999</v>
      </c>
      <c r="AQ515" s="6">
        <f>[1]Macro!AP102</f>
        <v>290.893057</v>
      </c>
      <c r="AR515" s="6">
        <f>[1]Macro!AQ102</f>
        <v>294.03473279999997</v>
      </c>
      <c r="AS515" s="6">
        <f>[1]Macro!AR102</f>
        <v>297.21944020000001</v>
      </c>
      <c r="AT515" s="6">
        <f>[1]Macro!AS102</f>
        <v>300.44728550000002</v>
      </c>
      <c r="AU515" s="6">
        <f>[1]Macro!AT102</f>
        <v>303.7185255</v>
      </c>
      <c r="AV515" s="6">
        <f>[1]Macro!AU102</f>
        <v>307.03316150000001</v>
      </c>
      <c r="AW515" s="6">
        <f>[1]Macro!AV102</f>
        <v>310.41864440000001</v>
      </c>
      <c r="AX515" s="6">
        <f>[1]Macro!AW102</f>
        <v>313.85629369999998</v>
      </c>
      <c r="AY515" s="6">
        <f>[1]Macro!AX102</f>
        <v>317.34206460000001</v>
      </c>
      <c r="AZ515" s="6">
        <f>[1]Macro!AY102</f>
        <v>320.87453520000003</v>
      </c>
      <c r="BA515" s="6">
        <f>[1]Macro!AZ102</f>
        <v>324.45267109999998</v>
      </c>
      <c r="BB515" s="6">
        <f>[1]Macro!BA102</f>
        <v>328.087602</v>
      </c>
      <c r="BC515" s="6">
        <f>[1]Macro!BB102</f>
        <v>331.7699667</v>
      </c>
      <c r="BD515" s="6">
        <f>[1]Macro!BC102</f>
        <v>335.49771470000002</v>
      </c>
      <c r="BE515" s="6">
        <f>[1]Macro!BD102</f>
        <v>339.27024979999999</v>
      </c>
      <c r="BF515" s="6">
        <f>[1]Macro!BE102</f>
        <v>343.08735009999998</v>
      </c>
    </row>
    <row r="516" spans="2:58" x14ac:dyDescent="0.35">
      <c r="B516" s="6" t="str">
        <f>[1]Macro!A103</f>
        <v>ch_toe_2</v>
      </c>
      <c r="C516" s="6">
        <f>[1]Macro!B103</f>
        <v>64.301440170000006</v>
      </c>
      <c r="D516" s="6">
        <f>[1]Macro!C103</f>
        <v>64.22072695</v>
      </c>
      <c r="E516" s="6">
        <f>[1]Macro!D103</f>
        <v>63.922664949999998</v>
      </c>
      <c r="F516" s="6">
        <f>[1]Macro!E103</f>
        <v>63.619772910000002</v>
      </c>
      <c r="G516" s="6">
        <f>[1]Macro!F103</f>
        <v>63.377791629999997</v>
      </c>
      <c r="H516" s="6">
        <f>[1]Macro!G103</f>
        <v>63.202465400000001</v>
      </c>
      <c r="I516" s="6">
        <f>[1]Macro!H103</f>
        <v>63.058966820000002</v>
      </c>
      <c r="J516" s="6">
        <f>[1]Macro!I103</f>
        <v>62.953107009999997</v>
      </c>
      <c r="K516" s="6">
        <f>[1]Macro!J103</f>
        <v>62.888777130000001</v>
      </c>
      <c r="L516" s="6">
        <f>[1]Macro!K103</f>
        <v>62.863858239999999</v>
      </c>
      <c r="M516" s="6">
        <f>[1]Macro!L103</f>
        <v>62.901636799999999</v>
      </c>
      <c r="N516" s="6">
        <f>[1]Macro!M103</f>
        <v>62.951887190000001</v>
      </c>
      <c r="O516" s="6">
        <f>[1]Macro!N103</f>
        <v>63.016270300000002</v>
      </c>
      <c r="P516" s="6">
        <f>[1]Macro!O103</f>
        <v>63.09334681</v>
      </c>
      <c r="Q516" s="6">
        <f>[1]Macro!P103</f>
        <v>63.180248659999997</v>
      </c>
      <c r="R516" s="6">
        <f>[1]Macro!Q103</f>
        <v>63.274416410000001</v>
      </c>
      <c r="S516" s="6">
        <f>[1]Macro!R103</f>
        <v>63.373734919999997</v>
      </c>
      <c r="T516" s="6">
        <f>[1]Macro!S103</f>
        <v>63.4765041</v>
      </c>
      <c r="U516" s="6">
        <f>[1]Macro!T103</f>
        <v>63.581382480000002</v>
      </c>
      <c r="V516" s="6">
        <f>[1]Macro!U103</f>
        <v>63.687294690000002</v>
      </c>
      <c r="W516" s="6">
        <f>[1]Macro!V103</f>
        <v>63.773940289999999</v>
      </c>
      <c r="X516" s="6">
        <f>[1]Macro!W103</f>
        <v>63.869491019999998</v>
      </c>
      <c r="Y516" s="6">
        <f>[1]Macro!X103</f>
        <v>63.968244200000001</v>
      </c>
      <c r="Z516" s="6">
        <f>[1]Macro!Y103</f>
        <v>64.06739528</v>
      </c>
      <c r="AA516" s="6">
        <f>[1]Macro!Z103</f>
        <v>64.165623670000002</v>
      </c>
      <c r="AB516" s="6">
        <f>[1]Macro!AA103</f>
        <v>64.209194229999994</v>
      </c>
      <c r="AC516" s="6">
        <f>[1]Macro!AB103</f>
        <v>64.252018840000005</v>
      </c>
      <c r="AD516" s="6">
        <f>[1]Macro!AC103</f>
        <v>64.292273789999996</v>
      </c>
      <c r="AE516" s="6">
        <f>[1]Macro!AD103</f>
        <v>64.329214690000001</v>
      </c>
      <c r="AF516" s="6">
        <f>[1]Macro!AE103</f>
        <v>64.362750090000006</v>
      </c>
      <c r="AG516" s="6">
        <f>[1]Macro!AF103</f>
        <v>64.392941219999997</v>
      </c>
      <c r="AH516" s="6">
        <f>[1]Macro!AG103</f>
        <v>64.420329839999994</v>
      </c>
      <c r="AI516" s="6">
        <f>[1]Macro!AH103</f>
        <v>64.445711810000006</v>
      </c>
      <c r="AJ516" s="6">
        <f>[1]Macro!AI103</f>
        <v>64.469975489999996</v>
      </c>
      <c r="AK516" s="6">
        <f>[1]Macro!AJ103</f>
        <v>64.493987559999994</v>
      </c>
      <c r="AL516" s="6">
        <f>[1]Macro!AK103</f>
        <v>64.518509190000003</v>
      </c>
      <c r="AM516" s="6">
        <f>[1]Macro!AL103</f>
        <v>64.532800010000003</v>
      </c>
      <c r="AN516" s="6">
        <f>[1]Macro!AM103</f>
        <v>64.542817850000006</v>
      </c>
      <c r="AO516" s="6">
        <f>[1]Macro!AN103</f>
        <v>64.551316069999999</v>
      </c>
      <c r="AP516" s="6">
        <f>[1]Macro!AO103</f>
        <v>64.559496039999999</v>
      </c>
      <c r="AQ516" s="6">
        <f>[1]Macro!AP103</f>
        <v>64.567824169999994</v>
      </c>
      <c r="AR516" s="6">
        <f>[1]Macro!AQ103</f>
        <v>64.576426600000005</v>
      </c>
      <c r="AS516" s="6">
        <f>[1]Macro!AR103</f>
        <v>64.585244560000007</v>
      </c>
      <c r="AT516" s="6">
        <f>[1]Macro!AS103</f>
        <v>64.594099139999997</v>
      </c>
      <c r="AU516" s="6">
        <f>[1]Macro!AT103</f>
        <v>64.602731919999997</v>
      </c>
      <c r="AV516" s="6">
        <f>[1]Macro!AU103</f>
        <v>64.6108914</v>
      </c>
      <c r="AW516" s="6">
        <f>[1]Macro!AV103</f>
        <v>64.620784700000002</v>
      </c>
      <c r="AX516" s="6">
        <f>[1]Macro!AW103</f>
        <v>64.634201219999994</v>
      </c>
      <c r="AY516" s="6">
        <f>[1]Macro!AX103</f>
        <v>64.652930810000001</v>
      </c>
      <c r="AZ516" s="6">
        <f>[1]Macro!AY103</f>
        <v>64.678061749999998</v>
      </c>
      <c r="BA516" s="6">
        <f>[1]Macro!AZ103</f>
        <v>64.709902819999996</v>
      </c>
      <c r="BB516" s="6">
        <f>[1]Macro!BA103</f>
        <v>64.748205549999994</v>
      </c>
      <c r="BC516" s="6">
        <f>[1]Macro!BB103</f>
        <v>64.792382880000005</v>
      </c>
      <c r="BD516" s="6">
        <f>[1]Macro!BC103</f>
        <v>64.841665149999997</v>
      </c>
      <c r="BE516" s="6">
        <f>[1]Macro!BD103</f>
        <v>64.895230900000001</v>
      </c>
      <c r="BF516" s="6">
        <f>[1]Macro!BE103</f>
        <v>64.952292700000001</v>
      </c>
    </row>
    <row r="517" spans="2:58" x14ac:dyDescent="0.35">
      <c r="B517" s="6" t="str">
        <f>[1]Macro!A104</f>
        <v>x_toe_2</v>
      </c>
      <c r="C517" s="6">
        <f>[1]Macro!B104</f>
        <v>31.441236790000001</v>
      </c>
      <c r="D517" s="6">
        <f>[1]Macro!C104</f>
        <v>31.803253869999999</v>
      </c>
      <c r="E517" s="6">
        <f>[1]Macro!D104</f>
        <v>32.211954730000002</v>
      </c>
      <c r="F517" s="6">
        <f>[1]Macro!E104</f>
        <v>32.63372897</v>
      </c>
      <c r="G517" s="6">
        <f>[1]Macro!F104</f>
        <v>33.066243159999999</v>
      </c>
      <c r="H517" s="6">
        <f>[1]Macro!G104</f>
        <v>33.507371249999998</v>
      </c>
      <c r="I517" s="6">
        <f>[1]Macro!H104</f>
        <v>33.920928920000001</v>
      </c>
      <c r="J517" s="6">
        <f>[1]Macro!I104</f>
        <v>34.339681970000001</v>
      </c>
      <c r="K517" s="6">
        <f>[1]Macro!J104</f>
        <v>34.762990340000002</v>
      </c>
      <c r="L517" s="6">
        <f>[1]Macro!K104</f>
        <v>35.1905182</v>
      </c>
      <c r="M517" s="6">
        <f>[1]Macro!L104</f>
        <v>35.67777083</v>
      </c>
      <c r="N517" s="6">
        <f>[1]Macro!M104</f>
        <v>36.105207960000001</v>
      </c>
      <c r="O517" s="6">
        <f>[1]Macro!N104</f>
        <v>36.5369831</v>
      </c>
      <c r="P517" s="6">
        <f>[1]Macro!O104</f>
        <v>36.973364189999998</v>
      </c>
      <c r="Q517" s="6">
        <f>[1]Macro!P104</f>
        <v>37.414669920000001</v>
      </c>
      <c r="R517" s="6">
        <f>[1]Macro!Q104</f>
        <v>37.861248500000002</v>
      </c>
      <c r="S517" s="6">
        <f>[1]Macro!R104</f>
        <v>38.30473233</v>
      </c>
      <c r="T517" s="6">
        <f>[1]Macro!S104</f>
        <v>38.75435607</v>
      </c>
      <c r="U517" s="6">
        <f>[1]Macro!T104</f>
        <v>39.210494300000001</v>
      </c>
      <c r="V517" s="6">
        <f>[1]Macro!U104</f>
        <v>39.673508830000003</v>
      </c>
      <c r="W517" s="6">
        <f>[1]Macro!V104</f>
        <v>40.103706209999999</v>
      </c>
      <c r="X517" s="6">
        <f>[1]Macro!W104</f>
        <v>40.581562140000003</v>
      </c>
      <c r="Y517" s="6">
        <f>[1]Macro!X104</f>
        <v>41.067317709999998</v>
      </c>
      <c r="Z517" s="6">
        <f>[1]Macro!Y104</f>
        <v>41.56121864</v>
      </c>
      <c r="AA517" s="6">
        <f>[1]Macro!Z104</f>
        <v>42.06348663</v>
      </c>
      <c r="AB517" s="6">
        <f>[1]Macro!AA104</f>
        <v>42.460264010000003</v>
      </c>
      <c r="AC517" s="6">
        <f>[1]Macro!AB104</f>
        <v>42.929268540000002</v>
      </c>
      <c r="AD517" s="6">
        <f>[1]Macro!AC104</f>
        <v>43.406311289999998</v>
      </c>
      <c r="AE517" s="6">
        <f>[1]Macro!AD104</f>
        <v>43.891544500000002</v>
      </c>
      <c r="AF517" s="6">
        <f>[1]Macro!AE104</f>
        <v>44.385079939999997</v>
      </c>
      <c r="AG517" s="6">
        <f>[1]Macro!AF104</f>
        <v>44.886997950000001</v>
      </c>
      <c r="AH517" s="6">
        <f>[1]Macro!AG104</f>
        <v>45.399306000000003</v>
      </c>
      <c r="AI517" s="6">
        <f>[1]Macro!AH104</f>
        <v>45.920068950000001</v>
      </c>
      <c r="AJ517" s="6">
        <f>[1]Macro!AI104</f>
        <v>46.449292720000003</v>
      </c>
      <c r="AK517" s="6">
        <f>[1]Macro!AJ104</f>
        <v>46.986969119999998</v>
      </c>
      <c r="AL517" s="6">
        <f>[1]Macro!AK104</f>
        <v>47.533082720000003</v>
      </c>
      <c r="AM517" s="6">
        <f>[1]Macro!AL104</f>
        <v>48.077817680000003</v>
      </c>
      <c r="AN517" s="6">
        <f>[1]Macro!AM104</f>
        <v>48.630461310000001</v>
      </c>
      <c r="AO517" s="6">
        <f>[1]Macro!AN104</f>
        <v>49.191027920000003</v>
      </c>
      <c r="AP517" s="6">
        <f>[1]Macro!AO104</f>
        <v>49.759526649999998</v>
      </c>
      <c r="AQ517" s="6">
        <f>[1]Macro!AP104</f>
        <v>50.335971319999999</v>
      </c>
      <c r="AR517" s="6">
        <f>[1]Macro!AQ104</f>
        <v>50.923132729999999</v>
      </c>
      <c r="AS517" s="6">
        <f>[1]Macro!AR104</f>
        <v>51.518308259999998</v>
      </c>
      <c r="AT517" s="6">
        <f>[1]Macro!AS104</f>
        <v>52.121534150000002</v>
      </c>
      <c r="AU517" s="6">
        <f>[1]Macro!AT104</f>
        <v>52.732852479999998</v>
      </c>
      <c r="AV517" s="6">
        <f>[1]Macro!AU104</f>
        <v>53.352311460000003</v>
      </c>
      <c r="AW517" s="6">
        <f>[1]Macro!AV104</f>
        <v>53.991670499999998</v>
      </c>
      <c r="AX517" s="6">
        <f>[1]Macro!AW104</f>
        <v>54.639397049999999</v>
      </c>
      <c r="AY517" s="6">
        <f>[1]Macro!AX104</f>
        <v>55.295530530000001</v>
      </c>
      <c r="AZ517" s="6">
        <f>[1]Macro!AY104</f>
        <v>55.960116280000001</v>
      </c>
      <c r="BA517" s="6">
        <f>[1]Macro!AZ104</f>
        <v>56.63321406</v>
      </c>
      <c r="BB517" s="6">
        <f>[1]Macro!BA104</f>
        <v>57.3207132</v>
      </c>
      <c r="BC517" s="6">
        <f>[1]Macro!BB104</f>
        <v>58.016960509999997</v>
      </c>
      <c r="BD517" s="6">
        <f>[1]Macro!BC104</f>
        <v>58.72205512</v>
      </c>
      <c r="BE517" s="6">
        <f>[1]Macro!BD104</f>
        <v>59.436105150000003</v>
      </c>
      <c r="BF517" s="6">
        <f>[1]Macro!BE104</f>
        <v>60.159228300000002</v>
      </c>
    </row>
    <row r="518" spans="2:58" x14ac:dyDescent="0.35"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</row>
    <row r="519" spans="2:58" x14ac:dyDescent="0.35">
      <c r="B519" s="6" t="str">
        <f>[1]Macro!A105</f>
        <v>y_toe_0</v>
      </c>
      <c r="C519" s="6">
        <f>[1]Macro!B105</f>
        <v>139.60539019999999</v>
      </c>
      <c r="D519" s="6">
        <f>[1]Macro!C105</f>
        <v>140.71595590000001</v>
      </c>
      <c r="E519" s="6">
        <f>[1]Macro!D105</f>
        <v>141.75063510000001</v>
      </c>
      <c r="F519" s="6">
        <f>[1]Macro!E105</f>
        <v>142.85682270000001</v>
      </c>
      <c r="G519" s="6">
        <f>[1]Macro!F105</f>
        <v>144.07966590000001</v>
      </c>
      <c r="H519" s="6">
        <f>[1]Macro!G105</f>
        <v>145.43149600000001</v>
      </c>
      <c r="I519" s="6">
        <f>[1]Macro!H105</f>
        <v>146.82281549999999</v>
      </c>
      <c r="J519" s="6">
        <f>[1]Macro!I105</f>
        <v>148.2883832</v>
      </c>
      <c r="K519" s="6">
        <f>[1]Macro!J105</f>
        <v>149.81685490000001</v>
      </c>
      <c r="L519" s="6">
        <f>[1]Macro!K105</f>
        <v>151.39436660000001</v>
      </c>
      <c r="M519" s="6">
        <f>[1]Macro!L105</f>
        <v>153.14956749999999</v>
      </c>
      <c r="N519" s="6">
        <f>[1]Macro!M105</f>
        <v>154.83893979999999</v>
      </c>
      <c r="O519" s="6">
        <f>[1]Macro!N105</f>
        <v>156.5356572</v>
      </c>
      <c r="P519" s="6">
        <f>[1]Macro!O105</f>
        <v>158.2458244</v>
      </c>
      <c r="Q519" s="6">
        <f>[1]Macro!P105</f>
        <v>159.9704705</v>
      </c>
      <c r="R519" s="6">
        <f>[1]Macro!Q105</f>
        <v>161.70993780000001</v>
      </c>
      <c r="S519" s="6">
        <f>[1]Macro!R105</f>
        <v>163.4648397</v>
      </c>
      <c r="T519" s="6">
        <f>[1]Macro!S105</f>
        <v>165.23619350000001</v>
      </c>
      <c r="U519" s="6">
        <f>[1]Macro!T105</f>
        <v>167.025351</v>
      </c>
      <c r="V519" s="6">
        <f>[1]Macro!U105</f>
        <v>168.83388780000001</v>
      </c>
      <c r="W519" s="6">
        <f>[1]Macro!V105</f>
        <v>170.56150790000001</v>
      </c>
      <c r="X519" s="6">
        <f>[1]Macro!W105</f>
        <v>172.38250149999999</v>
      </c>
      <c r="Y519" s="6">
        <f>[1]Macro!X105</f>
        <v>174.24083590000001</v>
      </c>
      <c r="Z519" s="6">
        <f>[1]Macro!Y105</f>
        <v>176.13146159999999</v>
      </c>
      <c r="AA519" s="6">
        <f>[1]Macro!Z105</f>
        <v>178.0538071</v>
      </c>
      <c r="AB519" s="6">
        <f>[1]Macro!AA105</f>
        <v>179.7160299</v>
      </c>
      <c r="AC519" s="6">
        <f>[1]Macro!AB105</f>
        <v>181.47503710000001</v>
      </c>
      <c r="AD519" s="6">
        <f>[1]Macro!AC105</f>
        <v>183.25965260000001</v>
      </c>
      <c r="AE519" s="6">
        <f>[1]Macro!AD105</f>
        <v>185.06819039999999</v>
      </c>
      <c r="AF519" s="6">
        <f>[1]Macro!AE105</f>
        <v>186.9030022</v>
      </c>
      <c r="AG519" s="6">
        <f>[1]Macro!AF105</f>
        <v>188.7668664</v>
      </c>
      <c r="AH519" s="6">
        <f>[1]Macro!AG105</f>
        <v>190.66209520000001</v>
      </c>
      <c r="AI519" s="6">
        <f>[1]Macro!AH105</f>
        <v>192.59034270000001</v>
      </c>
      <c r="AJ519" s="6">
        <f>[1]Macro!AI105</f>
        <v>194.5526381</v>
      </c>
      <c r="AK519" s="6">
        <f>[1]Macro!AJ105</f>
        <v>196.5494971</v>
      </c>
      <c r="AL519" s="6">
        <f>[1]Macro!AK105</f>
        <v>198.58105380000001</v>
      </c>
      <c r="AM519" s="6">
        <f>[1]Macro!AL105</f>
        <v>200.57748309999999</v>
      </c>
      <c r="AN519" s="6">
        <f>[1]Macro!AM105</f>
        <v>202.58635150000001</v>
      </c>
      <c r="AO519" s="6">
        <f>[1]Macro!AN105</f>
        <v>204.6156344</v>
      </c>
      <c r="AP519" s="6">
        <f>[1]Macro!AO105</f>
        <v>206.66895460000001</v>
      </c>
      <c r="AQ519" s="6">
        <f>[1]Macro!AP105</f>
        <v>208.748649</v>
      </c>
      <c r="AR519" s="6">
        <f>[1]Macro!AQ105</f>
        <v>210.85650039999999</v>
      </c>
      <c r="AS519" s="6">
        <f>[1]Macro!AR105</f>
        <v>212.9939171</v>
      </c>
      <c r="AT519" s="6">
        <f>[1]Macro!AS105</f>
        <v>215.16199</v>
      </c>
      <c r="AU519" s="6">
        <f>[1]Macro!AT105</f>
        <v>217.36149069999999</v>
      </c>
      <c r="AV519" s="6">
        <f>[1]Macro!AU105</f>
        <v>219.59277059999999</v>
      </c>
      <c r="AW519" s="6">
        <f>[1]Macro!AV105</f>
        <v>221.86126369999999</v>
      </c>
      <c r="AX519" s="6">
        <f>[1]Macro!AW105</f>
        <v>224.1585915</v>
      </c>
      <c r="AY519" s="6">
        <f>[1]Macro!AX105</f>
        <v>226.4820991</v>
      </c>
      <c r="AZ519" s="6">
        <f>[1]Macro!AY105</f>
        <v>228.8354774</v>
      </c>
      <c r="BA519" s="6">
        <f>[1]Macro!AZ105</f>
        <v>231.22222669999999</v>
      </c>
      <c r="BB519" s="6">
        <f>[1]Macro!BA105</f>
        <v>233.64364029999999</v>
      </c>
      <c r="BC519" s="6">
        <f>[1]Macro!BB105</f>
        <v>236.0996663</v>
      </c>
      <c r="BD519" s="6">
        <f>[1]Macro!BC105</f>
        <v>238.5898588</v>
      </c>
      <c r="BE519" s="6">
        <f>[1]Macro!BD105</f>
        <v>241.11387880000001</v>
      </c>
      <c r="BF519" s="6">
        <f>[1]Macro!BE105</f>
        <v>243.67165399999999</v>
      </c>
    </row>
    <row r="520" spans="2:58" x14ac:dyDescent="0.35">
      <c r="B520" s="6" t="str">
        <f>[1]Macro!A106</f>
        <v>m_toe_0</v>
      </c>
      <c r="C520" s="6">
        <f>[1]Macro!B106</f>
        <v>151.4012845</v>
      </c>
      <c r="D520" s="6">
        <f>[1]Macro!C106</f>
        <v>152.663352</v>
      </c>
      <c r="E520" s="6">
        <f>[1]Macro!D106</f>
        <v>153.86342780000001</v>
      </c>
      <c r="F520" s="6">
        <f>[1]Macro!E106</f>
        <v>155.1746109</v>
      </c>
      <c r="G520" s="6">
        <f>[1]Macro!F106</f>
        <v>156.64782070000001</v>
      </c>
      <c r="H520" s="6">
        <f>[1]Macro!G106</f>
        <v>158.29523259999999</v>
      </c>
      <c r="I520" s="6">
        <f>[1]Macro!H106</f>
        <v>160.0151419</v>
      </c>
      <c r="J520" s="6">
        <f>[1]Macro!I106</f>
        <v>161.835871</v>
      </c>
      <c r="K520" s="6">
        <f>[1]Macro!J106</f>
        <v>163.7439234</v>
      </c>
      <c r="L520" s="6">
        <f>[1]Macro!K106</f>
        <v>165.72227570000001</v>
      </c>
      <c r="M520" s="6">
        <f>[1]Macro!L106</f>
        <v>167.9078428</v>
      </c>
      <c r="N520" s="6">
        <f>[1]Macro!M106</f>
        <v>170.04404049999999</v>
      </c>
      <c r="O520" s="6">
        <f>[1]Macro!N106</f>
        <v>172.19674860000001</v>
      </c>
      <c r="P520" s="6">
        <f>[1]Macro!O106</f>
        <v>174.37371049999999</v>
      </c>
      <c r="Q520" s="6">
        <f>[1]Macro!P106</f>
        <v>176.57467489999999</v>
      </c>
      <c r="R520" s="6">
        <f>[1]Macro!Q106</f>
        <v>178.7985434</v>
      </c>
      <c r="S520" s="6">
        <f>[1]Macro!R106</f>
        <v>181.044724</v>
      </c>
      <c r="T520" s="6">
        <f>[1]Macro!S106</f>
        <v>183.3132512</v>
      </c>
      <c r="U520" s="6">
        <f>[1]Macro!T106</f>
        <v>185.6046652</v>
      </c>
      <c r="V520" s="6">
        <f>[1]Macro!U106</f>
        <v>187.9198682</v>
      </c>
      <c r="W520" s="6">
        <f>[1]Macro!V106</f>
        <v>190.14875330000001</v>
      </c>
      <c r="X520" s="6">
        <f>[1]Macro!W106</f>
        <v>192.47440370000001</v>
      </c>
      <c r="Y520" s="6">
        <f>[1]Macro!X106</f>
        <v>194.84393600000001</v>
      </c>
      <c r="Z520" s="6">
        <f>[1]Macro!Y106</f>
        <v>197.24937940000001</v>
      </c>
      <c r="AA520" s="6">
        <f>[1]Macro!Z106</f>
        <v>199.6897558</v>
      </c>
      <c r="AB520" s="6">
        <f>[1]Macro!AA106</f>
        <v>201.84526389999999</v>
      </c>
      <c r="AC520" s="6">
        <f>[1]Macro!AB106</f>
        <v>204.0881096</v>
      </c>
      <c r="AD520" s="6">
        <f>[1]Macro!AC106</f>
        <v>206.35688210000001</v>
      </c>
      <c r="AE520" s="6">
        <f>[1]Macro!AD106</f>
        <v>208.64680139999999</v>
      </c>
      <c r="AF520" s="6">
        <f>[1]Macro!AE106</f>
        <v>210.96048010000001</v>
      </c>
      <c r="AG520" s="6">
        <f>[1]Macro!AF106</f>
        <v>213.30156600000001</v>
      </c>
      <c r="AH520" s="6">
        <f>[1]Macro!AG106</f>
        <v>215.67330000000001</v>
      </c>
      <c r="AI520" s="6">
        <f>[1]Macro!AH106</f>
        <v>218.07820229999999</v>
      </c>
      <c r="AJ520" s="6">
        <f>[1]Macro!AI106</f>
        <v>220.51808389999999</v>
      </c>
      <c r="AK520" s="6">
        <f>[1]Macro!AJ106</f>
        <v>222.9941561</v>
      </c>
      <c r="AL520" s="6">
        <f>[1]Macro!AK106</f>
        <v>225.50716499999999</v>
      </c>
      <c r="AM520" s="6">
        <f>[1]Macro!AL106</f>
        <v>227.980616</v>
      </c>
      <c r="AN520" s="6">
        <f>[1]Macro!AM106</f>
        <v>230.46287820000001</v>
      </c>
      <c r="AO520" s="6">
        <f>[1]Macro!AN106</f>
        <v>232.96484580000001</v>
      </c>
      <c r="AP520" s="6">
        <f>[1]Macro!AO106</f>
        <v>235.4910606</v>
      </c>
      <c r="AQ520" s="6">
        <f>[1]Macro!AP106</f>
        <v>238.04450850000001</v>
      </c>
      <c r="AR520" s="6">
        <f>[1]Macro!AQ106</f>
        <v>240.62758629999999</v>
      </c>
      <c r="AS520" s="6">
        <f>[1]Macro!AR106</f>
        <v>243.2422718</v>
      </c>
      <c r="AT520" s="6">
        <f>[1]Macro!AS106</f>
        <v>245.8901473</v>
      </c>
      <c r="AU520" s="6">
        <f>[1]Macro!AT106</f>
        <v>248.57239150000001</v>
      </c>
      <c r="AV520" s="6">
        <f>[1]Macro!AU106</f>
        <v>251.28969799999999</v>
      </c>
      <c r="AW520" s="6">
        <f>[1]Macro!AV106</f>
        <v>254.04866910000001</v>
      </c>
      <c r="AX520" s="6">
        <f>[1]Macro!AW106</f>
        <v>256.8432828</v>
      </c>
      <c r="AY520" s="6">
        <f>[1]Macro!AX106</f>
        <v>259.67027380000002</v>
      </c>
      <c r="AZ520" s="6">
        <f>[1]Macro!AY106</f>
        <v>262.53378809999998</v>
      </c>
      <c r="BA520" s="6">
        <f>[1]Macro!AZ106</f>
        <v>265.43757290000002</v>
      </c>
      <c r="BB520" s="6">
        <f>[1]Macro!BA106</f>
        <v>268.382902</v>
      </c>
      <c r="BC520" s="6">
        <f>[1]Macro!BB106</f>
        <v>271.3696678</v>
      </c>
      <c r="BD520" s="6">
        <f>[1]Macro!BC106</f>
        <v>274.39740549999999</v>
      </c>
      <c r="BE520" s="6">
        <f>[1]Macro!BD106</f>
        <v>277.46578520000003</v>
      </c>
      <c r="BF520" s="6">
        <f>[1]Macro!BE106</f>
        <v>280.57475599999998</v>
      </c>
    </row>
    <row r="521" spans="2:58" x14ac:dyDescent="0.35">
      <c r="B521" s="6" t="str">
        <f>[1]Macro!A107</f>
        <v>ci_toe_0</v>
      </c>
      <c r="C521" s="6">
        <f>[1]Macro!B107</f>
        <v>193.20841820000001</v>
      </c>
      <c r="D521" s="6">
        <f>[1]Macro!C107</f>
        <v>195.11808260000001</v>
      </c>
      <c r="E521" s="6">
        <f>[1]Macro!D107</f>
        <v>197.05250889999999</v>
      </c>
      <c r="F521" s="6">
        <f>[1]Macro!E107</f>
        <v>199.16416559999999</v>
      </c>
      <c r="G521" s="6">
        <f>[1]Macro!F107</f>
        <v>201.49791909999999</v>
      </c>
      <c r="H521" s="6">
        <f>[1]Macro!G107</f>
        <v>204.0466088</v>
      </c>
      <c r="I521" s="6">
        <f>[1]Macro!H107</f>
        <v>206.67011199999999</v>
      </c>
      <c r="J521" s="6">
        <f>[1]Macro!I107</f>
        <v>209.40289189999999</v>
      </c>
      <c r="K521" s="6">
        <f>[1]Macro!J107</f>
        <v>212.2338766</v>
      </c>
      <c r="L521" s="6">
        <f>[1]Macro!K107</f>
        <v>215.14567460000001</v>
      </c>
      <c r="M521" s="6">
        <f>[1]Macro!L107</f>
        <v>218.3232538</v>
      </c>
      <c r="N521" s="6">
        <f>[1]Macro!M107</f>
        <v>221.43877380000001</v>
      </c>
      <c r="O521" s="6">
        <f>[1]Macro!N107</f>
        <v>224.56729010000001</v>
      </c>
      <c r="P521" s="6">
        <f>[1]Macro!O107</f>
        <v>227.72169120000001</v>
      </c>
      <c r="Q521" s="6">
        <f>[1]Macro!P107</f>
        <v>230.9027519</v>
      </c>
      <c r="R521" s="6">
        <f>[1]Macro!Q107</f>
        <v>234.10998169999999</v>
      </c>
      <c r="S521" s="6">
        <f>[1]Macro!R107</f>
        <v>237.34366800000001</v>
      </c>
      <c r="T521" s="6">
        <f>[1]Macro!S107</f>
        <v>240.6050444</v>
      </c>
      <c r="U521" s="6">
        <f>[1]Macro!T107</f>
        <v>243.8960893</v>
      </c>
      <c r="V521" s="6">
        <f>[1]Macro!U107</f>
        <v>247.2192853</v>
      </c>
      <c r="W521" s="6">
        <f>[1]Macro!V107</f>
        <v>250.4293131</v>
      </c>
      <c r="X521" s="6">
        <f>[1]Macro!W107</f>
        <v>253.76360310000001</v>
      </c>
      <c r="Y521" s="6">
        <f>[1]Macro!X107</f>
        <v>257.16320259999998</v>
      </c>
      <c r="Z521" s="6">
        <f>[1]Macro!Y107</f>
        <v>260.61725730000001</v>
      </c>
      <c r="AA521" s="6">
        <f>[1]Macro!Z107</f>
        <v>264.12507399999998</v>
      </c>
      <c r="AB521" s="6">
        <f>[1]Macro!AA107</f>
        <v>267.26079920000001</v>
      </c>
      <c r="AC521" s="6">
        <f>[1]Macro!AB107</f>
        <v>270.49915820000001</v>
      </c>
      <c r="AD521" s="6">
        <f>[1]Macro!AC107</f>
        <v>273.77822839999999</v>
      </c>
      <c r="AE521" s="6">
        <f>[1]Macro!AD107</f>
        <v>277.09190969999997</v>
      </c>
      <c r="AF521" s="6">
        <f>[1]Macro!AE107</f>
        <v>280.44524610000002</v>
      </c>
      <c r="AG521" s="6">
        <f>[1]Macro!AF107</f>
        <v>283.84438560000001</v>
      </c>
      <c r="AH521" s="6">
        <f>[1]Macro!AG107</f>
        <v>287.29442770000003</v>
      </c>
      <c r="AI521" s="6">
        <f>[1]Macro!AH107</f>
        <v>290.79906699999998</v>
      </c>
      <c r="AJ521" s="6">
        <f>[1]Macro!AI107</f>
        <v>294.3606992</v>
      </c>
      <c r="AK521" s="6">
        <f>[1]Macro!AJ107</f>
        <v>297.98065800000001</v>
      </c>
      <c r="AL521" s="6">
        <f>[1]Macro!AK107</f>
        <v>301.65947649999998</v>
      </c>
      <c r="AM521" s="6">
        <f>[1]Macro!AL107</f>
        <v>305.29415310000002</v>
      </c>
      <c r="AN521" s="6">
        <f>[1]Macro!AM107</f>
        <v>308.9434329</v>
      </c>
      <c r="AO521" s="6">
        <f>[1]Macro!AN107</f>
        <v>312.62324869999998</v>
      </c>
      <c r="AP521" s="6">
        <f>[1]Macro!AO107</f>
        <v>316.34017799999998</v>
      </c>
      <c r="AQ521" s="6">
        <f>[1]Macro!AP107</f>
        <v>320.09856739999998</v>
      </c>
      <c r="AR521" s="6">
        <f>[1]Macro!AQ107</f>
        <v>323.90191019999997</v>
      </c>
      <c r="AS521" s="6">
        <f>[1]Macro!AR107</f>
        <v>327.75306760000001</v>
      </c>
      <c r="AT521" s="6">
        <f>[1]Macro!AS107</f>
        <v>331.654313</v>
      </c>
      <c r="AU521" s="6">
        <f>[1]Macro!AT107</f>
        <v>335.60737649999999</v>
      </c>
      <c r="AV521" s="6">
        <f>[1]Macro!AU107</f>
        <v>339.61350210000001</v>
      </c>
      <c r="AW521" s="6">
        <f>[1]Macro!AV107</f>
        <v>343.6826926</v>
      </c>
      <c r="AX521" s="6">
        <f>[1]Macro!AW107</f>
        <v>347.80749029999998</v>
      </c>
      <c r="AY521" s="6">
        <f>[1]Macro!AX107</f>
        <v>351.98570810000001</v>
      </c>
      <c r="AZ521" s="6">
        <f>[1]Macro!AY107</f>
        <v>356.21853879999998</v>
      </c>
      <c r="BA521" s="6">
        <f>[1]Macro!AZ107</f>
        <v>360.50754460000002</v>
      </c>
      <c r="BB521" s="6">
        <f>[1]Macro!BA107</f>
        <v>364.8535114</v>
      </c>
      <c r="BC521" s="6">
        <f>[1]Macro!BB107</f>
        <v>369.25668569999999</v>
      </c>
      <c r="BD521" s="6">
        <f>[1]Macro!BC107</f>
        <v>373.71720479999999</v>
      </c>
      <c r="BE521" s="6">
        <f>[1]Macro!BD107</f>
        <v>378.23535390000001</v>
      </c>
      <c r="BF521" s="6">
        <f>[1]Macro!BE107</f>
        <v>382.81165049999998</v>
      </c>
    </row>
    <row r="522" spans="2:58" x14ac:dyDescent="0.35">
      <c r="B522" s="6" t="str">
        <f>[1]Macro!A108</f>
        <v>ch_toe_0</v>
      </c>
      <c r="C522" s="6">
        <f>[1]Macro!B108</f>
        <v>64.301440170000006</v>
      </c>
      <c r="D522" s="6">
        <f>[1]Macro!C108</f>
        <v>64.244438369999997</v>
      </c>
      <c r="E522" s="6">
        <f>[1]Macro!D108</f>
        <v>63.979054079999997</v>
      </c>
      <c r="F522" s="6">
        <f>[1]Macro!E108</f>
        <v>63.707653299999997</v>
      </c>
      <c r="G522" s="6">
        <f>[1]Macro!F108</f>
        <v>63.482470339999999</v>
      </c>
      <c r="H522" s="6">
        <f>[1]Macro!G108</f>
        <v>63.336263180000003</v>
      </c>
      <c r="I522" s="6">
        <f>[1]Macro!H108</f>
        <v>63.253989920000002</v>
      </c>
      <c r="J522" s="6">
        <f>[1]Macro!I108</f>
        <v>63.230666970000001</v>
      </c>
      <c r="K522" s="6">
        <f>[1]Macro!J108</f>
        <v>63.25270673</v>
      </c>
      <c r="L522" s="6">
        <f>[1]Macro!K108</f>
        <v>63.306551419999998</v>
      </c>
      <c r="M522" s="6">
        <f>[1]Macro!L108</f>
        <v>63.411263310000002</v>
      </c>
      <c r="N522" s="6">
        <f>[1]Macro!M108</f>
        <v>63.516182149999999</v>
      </c>
      <c r="O522" s="6">
        <f>[1]Macro!N108</f>
        <v>63.624458709999999</v>
      </c>
      <c r="P522" s="6">
        <f>[1]Macro!O108</f>
        <v>63.736656179999997</v>
      </c>
      <c r="Q522" s="6">
        <f>[1]Macro!P108</f>
        <v>63.852380940000003</v>
      </c>
      <c r="R522" s="6">
        <f>[1]Macro!Q108</f>
        <v>63.970977120000001</v>
      </c>
      <c r="S522" s="6">
        <f>[1]Macro!R108</f>
        <v>64.091795520000005</v>
      </c>
      <c r="T522" s="6">
        <f>[1]Macro!S108</f>
        <v>64.214278820000004</v>
      </c>
      <c r="U522" s="6">
        <f>[1]Macro!T108</f>
        <v>64.337974070000001</v>
      </c>
      <c r="V522" s="6">
        <f>[1]Macro!U108</f>
        <v>64.462521510000002</v>
      </c>
      <c r="W522" s="6">
        <f>[1]Macro!V108</f>
        <v>64.56813957</v>
      </c>
      <c r="X522" s="6">
        <f>[1]Macro!W108</f>
        <v>64.683683909999999</v>
      </c>
      <c r="Y522" s="6">
        <f>[1]Macro!X108</f>
        <v>64.80393067</v>
      </c>
      <c r="Z522" s="6">
        <f>[1]Macro!Y108</f>
        <v>64.926449239999997</v>
      </c>
      <c r="AA522" s="6">
        <f>[1]Macro!Z108</f>
        <v>65.050136899999998</v>
      </c>
      <c r="AB522" s="6">
        <f>[1]Macro!AA108</f>
        <v>65.121097919999997</v>
      </c>
      <c r="AC522" s="6">
        <f>[1]Macro!AB108</f>
        <v>65.193553410000007</v>
      </c>
      <c r="AD522" s="6">
        <f>[1]Macro!AC108</f>
        <v>65.265840319999995</v>
      </c>
      <c r="AE522" s="6">
        <f>[1]Macro!AD108</f>
        <v>65.337381640000004</v>
      </c>
      <c r="AF522" s="6">
        <f>[1]Macro!AE108</f>
        <v>65.407922859999999</v>
      </c>
      <c r="AG522" s="6">
        <f>[1]Macro!AF108</f>
        <v>65.477596989999995</v>
      </c>
      <c r="AH522" s="6">
        <f>[1]Macro!AG108</f>
        <v>65.546739970000004</v>
      </c>
      <c r="AI522" s="6">
        <f>[1]Macro!AH108</f>
        <v>65.615738300000004</v>
      </c>
      <c r="AJ522" s="6">
        <f>[1]Macro!AI108</f>
        <v>65.684962839999997</v>
      </c>
      <c r="AK522" s="6">
        <f>[1]Macro!AJ108</f>
        <v>65.754746539999999</v>
      </c>
      <c r="AL522" s="6">
        <f>[1]Macro!AK108</f>
        <v>65.825382790000006</v>
      </c>
      <c r="AM522" s="6">
        <f>[1]Macro!AL108</f>
        <v>65.885648000000003</v>
      </c>
      <c r="AN522" s="6">
        <f>[1]Macro!AM108</f>
        <v>65.941298040000007</v>
      </c>
      <c r="AO522" s="6">
        <f>[1]Macro!AN108</f>
        <v>65.995158930000002</v>
      </c>
      <c r="AP522" s="6">
        <f>[1]Macro!AO108</f>
        <v>66.048712100000003</v>
      </c>
      <c r="AQ522" s="6">
        <f>[1]Macro!AP108</f>
        <v>66.102831510000001</v>
      </c>
      <c r="AR522" s="6">
        <f>[1]Macro!AQ108</f>
        <v>66.158103350000005</v>
      </c>
      <c r="AS522" s="6">
        <f>[1]Macro!AR108</f>
        <v>66.214953399999999</v>
      </c>
      <c r="AT522" s="6">
        <f>[1]Macro!AS108</f>
        <v>66.273683890000001</v>
      </c>
      <c r="AU522" s="6">
        <f>[1]Macro!AT108</f>
        <v>66.334418209999995</v>
      </c>
      <c r="AV522" s="6">
        <f>[1]Macro!AU108</f>
        <v>66.396859359999993</v>
      </c>
      <c r="AW522" s="6">
        <f>[1]Macro!AV108</f>
        <v>66.46001579</v>
      </c>
      <c r="AX522" s="6">
        <f>[1]Macro!AW108</f>
        <v>66.519687910000002</v>
      </c>
      <c r="AY522" s="6">
        <f>[1]Macro!AX108</f>
        <v>66.57202839</v>
      </c>
      <c r="AZ522" s="6">
        <f>[1]Macro!AY108</f>
        <v>66.623567769999994</v>
      </c>
      <c r="BA522" s="6">
        <f>[1]Macro!AZ108</f>
        <v>66.679880150000002</v>
      </c>
      <c r="BB522" s="6">
        <f>[1]Macro!BA108</f>
        <v>66.742631790000004</v>
      </c>
      <c r="BC522" s="6">
        <f>[1]Macro!BB108</f>
        <v>66.811291710000006</v>
      </c>
      <c r="BD522" s="6">
        <f>[1]Macro!BC108</f>
        <v>66.884671749999995</v>
      </c>
      <c r="BE522" s="6">
        <f>[1]Macro!BD108</f>
        <v>66.961664510000006</v>
      </c>
      <c r="BF522" s="6">
        <f>[1]Macro!BE108</f>
        <v>67.041464809999994</v>
      </c>
    </row>
    <row r="523" spans="2:58" x14ac:dyDescent="0.35">
      <c r="B523" s="6" t="str">
        <f>[1]Macro!A109</f>
        <v>x_toe_0</v>
      </c>
      <c r="C523" s="6">
        <f>[1]Macro!B109</f>
        <v>33.496816299999999</v>
      </c>
      <c r="D523" s="6">
        <f>[1]Macro!C109</f>
        <v>34.016786949999997</v>
      </c>
      <c r="E523" s="6">
        <f>[1]Macro!D109</f>
        <v>34.582499839999997</v>
      </c>
      <c r="F523" s="6">
        <f>[1]Macro!E109</f>
        <v>35.159614650000002</v>
      </c>
      <c r="G523" s="6">
        <f>[1]Macro!F109</f>
        <v>35.747097170000004</v>
      </c>
      <c r="H523" s="6">
        <f>[1]Macro!G109</f>
        <v>36.343856619999997</v>
      </c>
      <c r="I523" s="6">
        <f>[1]Macro!H109</f>
        <v>36.913855400000003</v>
      </c>
      <c r="J523" s="6">
        <f>[1]Macro!I109</f>
        <v>37.49069531</v>
      </c>
      <c r="K523" s="6">
        <f>[1]Macro!J109</f>
        <v>38.074194919999997</v>
      </c>
      <c r="L523" s="6">
        <f>[1]Macro!K109</f>
        <v>38.664416269999997</v>
      </c>
      <c r="M523" s="6">
        <f>[1]Macro!L109</f>
        <v>39.32289317</v>
      </c>
      <c r="N523" s="6">
        <f>[1]Macro!M109</f>
        <v>39.928024350000001</v>
      </c>
      <c r="O523" s="6">
        <f>[1]Macro!N109</f>
        <v>40.54065705</v>
      </c>
      <c r="P523" s="6">
        <f>[1]Macro!O109</f>
        <v>41.161187560000002</v>
      </c>
      <c r="Q523" s="6">
        <f>[1]Macro!P109</f>
        <v>41.79001263</v>
      </c>
      <c r="R523" s="6">
        <f>[1]Macro!Q109</f>
        <v>42.427522430000003</v>
      </c>
      <c r="S523" s="6">
        <f>[1]Macro!R109</f>
        <v>43.074100119999997</v>
      </c>
      <c r="T523" s="6">
        <f>[1]Macro!S109</f>
        <v>43.730121420000003</v>
      </c>
      <c r="U523" s="6">
        <f>[1]Macro!T109</f>
        <v>44.395952880000003</v>
      </c>
      <c r="V523" s="6">
        <f>[1]Macro!U109</f>
        <v>45.071949150000002</v>
      </c>
      <c r="W523" s="6">
        <f>[1]Macro!V109</f>
        <v>45.712808459999998</v>
      </c>
      <c r="X523" s="6">
        <f>[1]Macro!W109</f>
        <v>46.409618139999999</v>
      </c>
      <c r="Y523" s="6">
        <f>[1]Macro!X109</f>
        <v>47.117638640000003</v>
      </c>
      <c r="Z523" s="6">
        <f>[1]Macro!Y109</f>
        <v>47.837134489999997</v>
      </c>
      <c r="AA523" s="6">
        <f>[1]Macro!Z109</f>
        <v>48.568352060000002</v>
      </c>
      <c r="AB523" s="6">
        <f>[1]Macro!AA109</f>
        <v>49.179396740000001</v>
      </c>
      <c r="AC523" s="6">
        <f>[1]Macro!AB109</f>
        <v>49.870435120000003</v>
      </c>
      <c r="AD523" s="6">
        <f>[1]Macro!AC109</f>
        <v>50.572466069999997</v>
      </c>
      <c r="AE523" s="6">
        <f>[1]Macro!AD109</f>
        <v>51.285700499999997</v>
      </c>
      <c r="AF523" s="6">
        <f>[1]Macro!AE109</f>
        <v>52.010313369999999</v>
      </c>
      <c r="AG523" s="6">
        <f>[1]Macro!AF109</f>
        <v>52.746449820000002</v>
      </c>
      <c r="AH523" s="6">
        <f>[1]Macro!AG109</f>
        <v>53.494227520000003</v>
      </c>
      <c r="AI523" s="6">
        <f>[1]Macro!AH109</f>
        <v>54.253739690000003</v>
      </c>
      <c r="AJ523" s="6">
        <f>[1]Macro!AI109</f>
        <v>55.025059939999998</v>
      </c>
      <c r="AK523" s="6">
        <f>[1]Macro!AJ109</f>
        <v>55.808248630000001</v>
      </c>
      <c r="AL523" s="6">
        <f>[1]Macro!AK109</f>
        <v>56.603359509999997</v>
      </c>
      <c r="AM523" s="6">
        <f>[1]Macro!AL109</f>
        <v>57.378297979999999</v>
      </c>
      <c r="AN523" s="6">
        <f>[1]Macro!AM109</f>
        <v>58.164498799999997</v>
      </c>
      <c r="AO523" s="6">
        <f>[1]Macro!AN109</f>
        <v>58.962072640000002</v>
      </c>
      <c r="AP523" s="6">
        <f>[1]Macro!AO109</f>
        <v>59.771125150000003</v>
      </c>
      <c r="AQ523" s="6">
        <f>[1]Macro!AP109</f>
        <v>60.591758560000002</v>
      </c>
      <c r="AR523" s="6">
        <f>[1]Macro!AQ109</f>
        <v>61.42407317</v>
      </c>
      <c r="AS523" s="6">
        <f>[1]Macro!AR109</f>
        <v>62.26816788</v>
      </c>
      <c r="AT523" s="6">
        <f>[1]Macro!AS109</f>
        <v>63.124140330000003</v>
      </c>
      <c r="AU523" s="6">
        <f>[1]Macro!AT109</f>
        <v>63.992087470000001</v>
      </c>
      <c r="AV523" s="6">
        <f>[1]Macro!AU109</f>
        <v>64.872107110000002</v>
      </c>
      <c r="AW523" s="6">
        <f>[1]Macro!AV109</f>
        <v>65.767224470000002</v>
      </c>
      <c r="AX523" s="6">
        <f>[1]Macro!AW109</f>
        <v>66.674696109999999</v>
      </c>
      <c r="AY523" s="6">
        <f>[1]Macro!AX109</f>
        <v>67.594636339999994</v>
      </c>
      <c r="AZ523" s="6">
        <f>[1]Macro!AY109</f>
        <v>68.527158940000007</v>
      </c>
      <c r="BA523" s="6">
        <f>[1]Macro!AZ109</f>
        <v>69.472374950000003</v>
      </c>
      <c r="BB523" s="6">
        <f>[1]Macro!BA109</f>
        <v>70.430399039999998</v>
      </c>
      <c r="BC523" s="6">
        <f>[1]Macro!BB109</f>
        <v>71.401356710000002</v>
      </c>
      <c r="BD523" s="6">
        <f>[1]Macro!BC109</f>
        <v>72.38538776</v>
      </c>
      <c r="BE523" s="6">
        <f>[1]Macro!BD109</f>
        <v>73.382645620000005</v>
      </c>
      <c r="BF523" s="6">
        <f>[1]Macro!BE109</f>
        <v>74.393294560000001</v>
      </c>
    </row>
    <row r="525" spans="2:58" x14ac:dyDescent="0.35">
      <c r="C525" s="2">
        <v>42005</v>
      </c>
      <c r="D525" s="2">
        <v>42370</v>
      </c>
      <c r="E525" s="2">
        <v>42736</v>
      </c>
      <c r="F525" s="2">
        <v>43101</v>
      </c>
      <c r="G525" s="2">
        <v>43466</v>
      </c>
      <c r="H525" s="2">
        <v>43831</v>
      </c>
      <c r="I525" s="2">
        <v>44197</v>
      </c>
      <c r="J525" s="2">
        <v>44562</v>
      </c>
      <c r="K525" s="2">
        <v>44927</v>
      </c>
      <c r="L525" s="2">
        <v>45292</v>
      </c>
      <c r="M525" s="2">
        <v>45658</v>
      </c>
      <c r="N525" s="2">
        <v>46023</v>
      </c>
      <c r="O525" s="2">
        <v>46388</v>
      </c>
      <c r="P525" s="2">
        <v>46753</v>
      </c>
      <c r="Q525" s="2">
        <v>47119</v>
      </c>
      <c r="R525" s="2">
        <v>47484</v>
      </c>
      <c r="S525" s="2">
        <v>47849</v>
      </c>
      <c r="T525" s="2">
        <v>48214</v>
      </c>
      <c r="U525" s="2">
        <v>48580</v>
      </c>
      <c r="V525" s="2">
        <v>48945</v>
      </c>
      <c r="W525" s="2">
        <v>49310</v>
      </c>
      <c r="X525" s="2">
        <v>49675</v>
      </c>
      <c r="Y525" s="2">
        <v>50041</v>
      </c>
      <c r="Z525" s="2">
        <v>50406</v>
      </c>
      <c r="AA525" s="2">
        <v>50771</v>
      </c>
      <c r="AB525" s="2">
        <v>51136</v>
      </c>
      <c r="AC525" s="2">
        <v>51502</v>
      </c>
      <c r="AD525" s="2">
        <v>51867</v>
      </c>
      <c r="AE525" s="2">
        <v>52232</v>
      </c>
      <c r="AF525" s="2">
        <v>52597</v>
      </c>
      <c r="AG525" s="2">
        <v>52963</v>
      </c>
      <c r="AH525" s="2">
        <v>53328</v>
      </c>
      <c r="AI525" s="2">
        <v>53693</v>
      </c>
      <c r="AJ525" s="2">
        <v>54058</v>
      </c>
      <c r="AK525" s="2">
        <v>54424</v>
      </c>
      <c r="AL525" s="2">
        <v>54789</v>
      </c>
      <c r="AM525" s="2">
        <v>54790</v>
      </c>
      <c r="AN525" s="2">
        <v>54791</v>
      </c>
      <c r="AO525" s="2">
        <v>54792</v>
      </c>
      <c r="AP525" s="2">
        <v>54793</v>
      </c>
      <c r="AQ525" s="2">
        <v>54794</v>
      </c>
      <c r="AR525" s="2">
        <v>54795</v>
      </c>
      <c r="AS525" s="2">
        <v>54796</v>
      </c>
      <c r="AT525" s="2">
        <v>54797</v>
      </c>
      <c r="AU525" s="2">
        <v>54798</v>
      </c>
      <c r="AV525" s="2">
        <v>54799</v>
      </c>
      <c r="AW525" s="2">
        <v>54800</v>
      </c>
      <c r="AX525" s="2">
        <v>54801</v>
      </c>
      <c r="AY525" s="2">
        <v>54802</v>
      </c>
      <c r="AZ525" s="2">
        <v>54803</v>
      </c>
      <c r="BA525" s="2">
        <v>54804</v>
      </c>
      <c r="BB525" s="2">
        <v>54805</v>
      </c>
      <c r="BC525" s="2">
        <v>54806</v>
      </c>
      <c r="BD525" s="2">
        <v>54807</v>
      </c>
      <c r="BE525" s="2">
        <v>54808</v>
      </c>
      <c r="BF525" s="2">
        <v>54809</v>
      </c>
    </row>
    <row r="526" spans="2:58" x14ac:dyDescent="0.35">
      <c r="B526" t="s">
        <v>105</v>
      </c>
      <c r="C526" s="9">
        <f>C513/C519-1</f>
        <v>-2.1511324854274649E-2</v>
      </c>
      <c r="D526" s="9">
        <f t="shared" ref="D526:AL526" si="330">D513/D519-1</f>
        <v>-2.6315938205555112E-2</v>
      </c>
      <c r="E526" s="9">
        <f t="shared" si="330"/>
        <v>-2.9612737869137207E-2</v>
      </c>
      <c r="F526" s="9">
        <f t="shared" si="330"/>
        <v>-3.2279863942403231E-2</v>
      </c>
      <c r="G526" s="9">
        <f t="shared" si="330"/>
        <v>-3.4444672459502335E-2</v>
      </c>
      <c r="H526" s="9">
        <f t="shared" si="330"/>
        <v>-3.62844208107439E-2</v>
      </c>
      <c r="I526" s="9">
        <f t="shared" si="330"/>
        <v>-3.7978283422851256E-2</v>
      </c>
      <c r="J526" s="9">
        <f t="shared" si="330"/>
        <v>-3.9566581504140497E-2</v>
      </c>
      <c r="K526" s="9">
        <f t="shared" si="330"/>
        <v>-4.1028928314527091E-2</v>
      </c>
      <c r="L526" s="9">
        <f t="shared" si="330"/>
        <v>-4.2359911032515241E-2</v>
      </c>
      <c r="M526" s="9">
        <f t="shared" si="330"/>
        <v>-4.3592350334257457E-2</v>
      </c>
      <c r="N526" s="9">
        <f t="shared" si="330"/>
        <v>-4.4816568164076198E-2</v>
      </c>
      <c r="O526" s="9">
        <f t="shared" si="330"/>
        <v>-4.6007681117653965E-2</v>
      </c>
      <c r="P526" s="9">
        <f t="shared" si="330"/>
        <v>-4.7186093714078337E-2</v>
      </c>
      <c r="Q526" s="9">
        <f t="shared" si="330"/>
        <v>-4.8371392393948054E-2</v>
      </c>
      <c r="R526" s="9">
        <f t="shared" si="330"/>
        <v>-4.957750840220787E-2</v>
      </c>
      <c r="S526" s="9">
        <f t="shared" si="330"/>
        <v>-5.0892265977611317E-2</v>
      </c>
      <c r="T526" s="9">
        <f t="shared" si="330"/>
        <v>-5.2251466928158297E-2</v>
      </c>
      <c r="U526" s="9">
        <f t="shared" si="330"/>
        <v>-5.3650941886061343E-2</v>
      </c>
      <c r="V526" s="9">
        <f t="shared" si="330"/>
        <v>-5.5088653831260159E-2</v>
      </c>
      <c r="W526" s="9">
        <f t="shared" si="330"/>
        <v>-5.6552864235084543E-2</v>
      </c>
      <c r="X526" s="9">
        <f t="shared" si="330"/>
        <v>-5.8058697448476138E-2</v>
      </c>
      <c r="Y526" s="9">
        <f t="shared" si="330"/>
        <v>-5.9591465722531045E-2</v>
      </c>
      <c r="Z526" s="9">
        <f t="shared" si="330"/>
        <v>-6.1147840948819976E-2</v>
      </c>
      <c r="AA526" s="9">
        <f t="shared" si="330"/>
        <v>-6.2723823668244361E-2</v>
      </c>
      <c r="AB526" s="9">
        <f t="shared" si="330"/>
        <v>-6.428692090754895E-2</v>
      </c>
      <c r="AC526" s="9">
        <f t="shared" si="330"/>
        <v>-6.5850433706840739E-2</v>
      </c>
      <c r="AD526" s="9">
        <f t="shared" si="330"/>
        <v>-6.7416430320134779E-2</v>
      </c>
      <c r="AE526" s="9">
        <f t="shared" si="330"/>
        <v>-6.8983303788763828E-2</v>
      </c>
      <c r="AF526" s="9">
        <f t="shared" si="330"/>
        <v>-7.054804548238558E-2</v>
      </c>
      <c r="AG526" s="9">
        <f t="shared" si="330"/>
        <v>-7.2108243144518247E-2</v>
      </c>
      <c r="AH526" s="9">
        <f t="shared" si="330"/>
        <v>-7.3645971871182936E-2</v>
      </c>
      <c r="AI526" s="9">
        <f t="shared" si="330"/>
        <v>-7.5171058927660406E-2</v>
      </c>
      <c r="AJ526" s="9">
        <f t="shared" si="330"/>
        <v>-7.6681432571126917E-2</v>
      </c>
      <c r="AK526" s="9">
        <f t="shared" si="330"/>
        <v>-7.8174581093853113E-2</v>
      </c>
      <c r="AL526" s="9">
        <f t="shared" si="330"/>
        <v>-7.9648455365382897E-2</v>
      </c>
      <c r="AM526" s="9">
        <f t="shared" ref="AM526:BC526" si="331">AM513/AM519-1</f>
        <v>-8.0969986505928015E-2</v>
      </c>
      <c r="AN526" s="9">
        <f t="shared" si="331"/>
        <v>-8.2256410052382045E-2</v>
      </c>
      <c r="AO526" s="9">
        <f t="shared" si="331"/>
        <v>-8.3516719287409447E-2</v>
      </c>
      <c r="AP526" s="9">
        <f t="shared" si="331"/>
        <v>-8.4754871063735582E-2</v>
      </c>
      <c r="AQ526" s="9">
        <f t="shared" si="331"/>
        <v>-8.5974797374616774E-2</v>
      </c>
      <c r="AR526" s="9">
        <f t="shared" si="331"/>
        <v>-8.7161612590246684E-2</v>
      </c>
      <c r="AS526" s="9">
        <f t="shared" si="331"/>
        <v>-8.8335713320706888E-2</v>
      </c>
      <c r="AT526" s="9">
        <f t="shared" si="331"/>
        <v>-8.9502215052017275E-2</v>
      </c>
      <c r="AU526" s="9">
        <f t="shared" si="331"/>
        <v>-9.0664752696232753E-2</v>
      </c>
      <c r="AV526" s="9">
        <f t="shared" si="331"/>
        <v>-9.1825451470486597E-2</v>
      </c>
      <c r="AW526" s="9">
        <f t="shared" si="331"/>
        <v>-9.2917153973643418E-2</v>
      </c>
      <c r="AX526" s="9">
        <f t="shared" si="331"/>
        <v>-9.396920037303147E-2</v>
      </c>
      <c r="AY526" s="9">
        <f t="shared" si="331"/>
        <v>-9.4973736933189778E-2</v>
      </c>
      <c r="AZ526" s="9">
        <f t="shared" si="331"/>
        <v>-9.5946202264876601E-2</v>
      </c>
      <c r="BA526" s="9">
        <f t="shared" si="331"/>
        <v>-9.6901928157064998E-2</v>
      </c>
      <c r="BB526" s="9">
        <f t="shared" si="331"/>
        <v>-9.7811859422565206E-2</v>
      </c>
      <c r="BC526" s="9">
        <f t="shared" si="331"/>
        <v>-9.8709094194090241E-2</v>
      </c>
      <c r="BD526" s="9">
        <f t="shared" ref="BD526:BF526" si="332">BD513/BD519-1</f>
        <v>-9.9596469940154808E-2</v>
      </c>
      <c r="BE526" s="9">
        <f t="shared" si="332"/>
        <v>-0.10047502790204377</v>
      </c>
      <c r="BF526" s="9">
        <f t="shared" si="332"/>
        <v>-0.10134595959200077</v>
      </c>
    </row>
    <row r="527" spans="2:58" x14ac:dyDescent="0.35">
      <c r="B527" t="s">
        <v>103</v>
      </c>
      <c r="C527" s="9">
        <f>(C516-C522)/C519</f>
        <v>0</v>
      </c>
      <c r="D527" s="9">
        <f t="shared" ref="D527:AL527" si="333">(D516-D522)/D519</f>
        <v>-1.6850555324975715E-4</v>
      </c>
      <c r="E527" s="9">
        <f t="shared" si="333"/>
        <v>-3.9780513124487195E-4</v>
      </c>
      <c r="F527" s="9">
        <f t="shared" si="333"/>
        <v>-6.1516410864424981E-4</v>
      </c>
      <c r="G527" s="9">
        <f t="shared" si="333"/>
        <v>-7.2653354202427899E-4</v>
      </c>
      <c r="H527" s="9">
        <f t="shared" si="333"/>
        <v>-9.2000552617571823E-4</v>
      </c>
      <c r="I527" s="9">
        <f t="shared" si="333"/>
        <v>-1.3282887903753641E-3</v>
      </c>
      <c r="J527" s="9">
        <f t="shared" si="333"/>
        <v>-1.8717579490070597E-3</v>
      </c>
      <c r="K527" s="9">
        <f t="shared" si="333"/>
        <v>-2.4291632623239558E-3</v>
      </c>
      <c r="L527" s="9">
        <f t="shared" si="333"/>
        <v>-2.9241060281301056E-3</v>
      </c>
      <c r="M527" s="9">
        <f t="shared" si="333"/>
        <v>-3.3276392373749533E-3</v>
      </c>
      <c r="N527" s="9">
        <f t="shared" si="333"/>
        <v>-3.6443995336630304E-3</v>
      </c>
      <c r="O527" s="9">
        <f t="shared" si="333"/>
        <v>-3.8853026899994818E-3</v>
      </c>
      <c r="P527" s="9">
        <f t="shared" si="333"/>
        <v>-4.0652533641197123E-3</v>
      </c>
      <c r="Q527" s="9">
        <f t="shared" si="333"/>
        <v>-4.2016021950751631E-3</v>
      </c>
      <c r="R527" s="9">
        <f t="shared" si="333"/>
        <v>-4.3074700261247637E-3</v>
      </c>
      <c r="S527" s="9">
        <f t="shared" si="333"/>
        <v>-4.3927526024424212E-3</v>
      </c>
      <c r="T527" s="9">
        <f t="shared" si="333"/>
        <v>-4.4649704424473101E-3</v>
      </c>
      <c r="U527" s="9">
        <f t="shared" si="333"/>
        <v>-4.5298009282435173E-3</v>
      </c>
      <c r="V527" s="9">
        <f t="shared" si="333"/>
        <v>-4.5916541406564723E-3</v>
      </c>
      <c r="W527" s="9">
        <f t="shared" si="333"/>
        <v>-4.6563805033058153E-3</v>
      </c>
      <c r="X527" s="9">
        <f t="shared" si="333"/>
        <v>-4.7231759773482644E-3</v>
      </c>
      <c r="Y527" s="9">
        <f t="shared" si="333"/>
        <v>-4.7961573742656659E-3</v>
      </c>
      <c r="Z527" s="9">
        <f t="shared" si="333"/>
        <v>-4.8773453203433655E-3</v>
      </c>
      <c r="AA527" s="9">
        <f t="shared" si="333"/>
        <v>-4.9676737858417638E-3</v>
      </c>
      <c r="AB527" s="9">
        <f t="shared" si="333"/>
        <v>-5.0741366282541197E-3</v>
      </c>
      <c r="AC527" s="9">
        <f t="shared" si="333"/>
        <v>-5.1882318639845685E-3</v>
      </c>
      <c r="AD527" s="9">
        <f t="shared" si="333"/>
        <v>-5.3124979567924779E-3</v>
      </c>
      <c r="AE527" s="9">
        <f t="shared" si="333"/>
        <v>-5.4475431343494847E-3</v>
      </c>
      <c r="AF527" s="9">
        <f t="shared" si="333"/>
        <v>-5.5920598262064383E-3</v>
      </c>
      <c r="AG527" s="9">
        <f t="shared" si="333"/>
        <v>-5.7460071816925482E-3</v>
      </c>
      <c r="AH527" s="9">
        <f t="shared" si="333"/>
        <v>-5.9078870858858086E-3</v>
      </c>
      <c r="AI527" s="9">
        <f t="shared" si="333"/>
        <v>-6.0752085156344547E-3</v>
      </c>
      <c r="AJ527" s="9">
        <f t="shared" si="333"/>
        <v>-6.2450314828190511E-3</v>
      </c>
      <c r="AK527" s="9">
        <f t="shared" si="333"/>
        <v>-6.4144604723082024E-3</v>
      </c>
      <c r="AL527" s="9">
        <f t="shared" si="333"/>
        <v>-6.5810588421804563E-3</v>
      </c>
      <c r="AM527" s="9">
        <f t="shared" ref="AM527:BC527" si="334">(AM516-AM522)/AM519</f>
        <v>-6.7447650109634903E-3</v>
      </c>
      <c r="AN527" s="9">
        <f t="shared" si="334"/>
        <v>-6.9031313296542621E-3</v>
      </c>
      <c r="AO527" s="9">
        <f t="shared" si="334"/>
        <v>-7.0563662656268839E-3</v>
      </c>
      <c r="AP527" s="9">
        <f t="shared" si="334"/>
        <v>-7.2058043883868562E-3</v>
      </c>
      <c r="AQ527" s="9">
        <f t="shared" si="334"/>
        <v>-7.3533761648440993E-3</v>
      </c>
      <c r="AR527" s="9">
        <f t="shared" si="334"/>
        <v>-7.5011998539268173E-3</v>
      </c>
      <c r="AS527" s="9">
        <f t="shared" si="334"/>
        <v>-7.6514337225642402E-3</v>
      </c>
      <c r="AT527" s="9">
        <f t="shared" si="334"/>
        <v>-7.806140619911554E-3</v>
      </c>
      <c r="AU527" s="9">
        <f t="shared" si="334"/>
        <v>-7.9668495298923659E-3</v>
      </c>
      <c r="AV527" s="9">
        <f t="shared" si="334"/>
        <v>-8.1330908805428304E-3</v>
      </c>
      <c r="AW527" s="9">
        <f t="shared" si="334"/>
        <v>-8.2900054715590189E-3</v>
      </c>
      <c r="AX527" s="9">
        <f t="shared" si="334"/>
        <v>-8.4113960450184558E-3</v>
      </c>
      <c r="AY527" s="9">
        <f t="shared" si="334"/>
        <v>-8.4735066816589693E-3</v>
      </c>
      <c r="AZ527" s="9">
        <f t="shared" si="334"/>
        <v>-8.5017674798706557E-3</v>
      </c>
      <c r="BA527" s="9">
        <f t="shared" si="334"/>
        <v>-8.5198441262135209E-3</v>
      </c>
      <c r="BB527" s="9">
        <f t="shared" si="334"/>
        <v>-8.5361888619743861E-3</v>
      </c>
      <c r="BC527" s="9">
        <f t="shared" si="334"/>
        <v>-8.5510871812697724E-3</v>
      </c>
      <c r="BD527" s="9">
        <f t="shared" ref="BD527:BF527" si="335">(BD516-BD522)/BD519</f>
        <v>-8.5628392182107212E-3</v>
      </c>
      <c r="BE527" s="9">
        <f t="shared" si="335"/>
        <v>-8.5703635986631738E-3</v>
      </c>
      <c r="BF527" s="9">
        <f t="shared" si="335"/>
        <v>-8.5737182626912881E-3</v>
      </c>
    </row>
    <row r="528" spans="2:58" x14ac:dyDescent="0.35">
      <c r="B528" t="s">
        <v>104</v>
      </c>
      <c r="C528" s="9">
        <f>(C515-C521)/C519</f>
        <v>-3.1123610583912879E-2</v>
      </c>
      <c r="D528" s="9">
        <f t="shared" ref="D528:AL528" si="336">(D515-D521)/D519</f>
        <v>-4.1898660761611646E-2</v>
      </c>
      <c r="E528" s="9">
        <f t="shared" si="336"/>
        <v>-4.8570095612926092E-2</v>
      </c>
      <c r="F528" s="9">
        <f t="shared" si="336"/>
        <v>-5.3908371714051745E-2</v>
      </c>
      <c r="G528" s="9">
        <f t="shared" si="336"/>
        <v>-5.8365015961631239E-2</v>
      </c>
      <c r="H528" s="9">
        <f t="shared" si="336"/>
        <v>-6.2090503421624706E-2</v>
      </c>
      <c r="I528" s="9">
        <f t="shared" si="336"/>
        <v>-6.5261640483934041E-2</v>
      </c>
      <c r="J528" s="9">
        <f t="shared" si="336"/>
        <v>-6.7991042740022101E-2</v>
      </c>
      <c r="K528" s="9">
        <f t="shared" si="336"/>
        <v>-7.0370266463256281E-2</v>
      </c>
      <c r="L528" s="9">
        <f t="shared" si="336"/>
        <v>-7.2479861347760396E-2</v>
      </c>
      <c r="M528" s="9">
        <f t="shared" si="336"/>
        <v>-7.4404326345877611E-2</v>
      </c>
      <c r="N528" s="9">
        <f t="shared" si="336"/>
        <v>-7.6318499824809635E-2</v>
      </c>
      <c r="O528" s="9">
        <f t="shared" si="336"/>
        <v>-7.8190430978687067E-2</v>
      </c>
      <c r="P528" s="9">
        <f t="shared" si="336"/>
        <v>-8.0047714674486015E-2</v>
      </c>
      <c r="Q528" s="9">
        <f t="shared" si="336"/>
        <v>-8.191751051954306E-2</v>
      </c>
      <c r="R528" s="9">
        <f t="shared" si="336"/>
        <v>-8.3819739123045925E-2</v>
      </c>
      <c r="S528" s="9">
        <f t="shared" si="336"/>
        <v>-8.588090763594354E-2</v>
      </c>
      <c r="T528" s="9">
        <f t="shared" si="336"/>
        <v>-8.8022303660729107E-2</v>
      </c>
      <c r="U528" s="9">
        <f t="shared" si="336"/>
        <v>-9.0229564013908303E-2</v>
      </c>
      <c r="V528" s="9">
        <f t="shared" si="336"/>
        <v>-9.2497654964265916E-2</v>
      </c>
      <c r="W528" s="9">
        <f t="shared" si="336"/>
        <v>-9.4814952090371371E-2</v>
      </c>
      <c r="X528" s="9">
        <f t="shared" si="336"/>
        <v>-9.7181334266691843E-2</v>
      </c>
      <c r="Y528" s="9">
        <f t="shared" si="336"/>
        <v>-9.9590572499084096E-2</v>
      </c>
      <c r="Z528" s="9">
        <f t="shared" si="336"/>
        <v>-0.10203390999396553</v>
      </c>
      <c r="AA528" s="9">
        <f t="shared" si="336"/>
        <v>-0.1045044091056673</v>
      </c>
      <c r="AB528" s="9">
        <f t="shared" si="336"/>
        <v>-0.10697424548437577</v>
      </c>
      <c r="AC528" s="9">
        <f t="shared" si="336"/>
        <v>-0.10941008425891112</v>
      </c>
      <c r="AD528" s="9">
        <f t="shared" si="336"/>
        <v>-0.11183959976578059</v>
      </c>
      <c r="AE528" s="9">
        <f t="shared" si="336"/>
        <v>-0.11425839391575948</v>
      </c>
      <c r="AF528" s="9">
        <f t="shared" si="336"/>
        <v>-0.11666204203968657</v>
      </c>
      <c r="AG528" s="9">
        <f t="shared" si="336"/>
        <v>-0.11904713379296751</v>
      </c>
      <c r="AH528" s="9">
        <f t="shared" si="336"/>
        <v>-0.1213891716427546</v>
      </c>
      <c r="AI528" s="9">
        <f t="shared" si="336"/>
        <v>-0.12370156761759567</v>
      </c>
      <c r="AJ528" s="9">
        <f t="shared" si="336"/>
        <v>-0.12598508578126535</v>
      </c>
      <c r="AK528" s="9">
        <f t="shared" si="336"/>
        <v>-0.12823861557466174</v>
      </c>
      <c r="AL528" s="9">
        <f t="shared" si="336"/>
        <v>-0.13046116789214038</v>
      </c>
      <c r="AM528" s="9">
        <f t="shared" ref="AM528:BC528" si="337">(AM515-AM521)/AM519</f>
        <v>-0.13246843159734517</v>
      </c>
      <c r="AN528" s="9">
        <f t="shared" si="337"/>
        <v>-0.13439719950729259</v>
      </c>
      <c r="AO528" s="9">
        <f t="shared" si="337"/>
        <v>-0.136275139393747</v>
      </c>
      <c r="AP528" s="9">
        <f t="shared" si="337"/>
        <v>-0.13810995925945421</v>
      </c>
      <c r="AQ528" s="9">
        <f t="shared" si="337"/>
        <v>-0.13990754210821255</v>
      </c>
      <c r="AR528" s="9">
        <f t="shared" si="337"/>
        <v>-0.14164693686626323</v>
      </c>
      <c r="AS528" s="9">
        <f t="shared" si="337"/>
        <v>-0.14335445732783322</v>
      </c>
      <c r="AT528" s="9">
        <f t="shared" si="337"/>
        <v>-0.14503968614530838</v>
      </c>
      <c r="AU528" s="9">
        <f t="shared" si="337"/>
        <v>-0.14670883465743542</v>
      </c>
      <c r="AV528" s="9">
        <f t="shared" si="337"/>
        <v>-0.14836709109767024</v>
      </c>
      <c r="AW528" s="9">
        <f t="shared" si="337"/>
        <v>-0.14993175304806483</v>
      </c>
      <c r="AX528" s="9">
        <f t="shared" si="337"/>
        <v>-0.15146060819176768</v>
      </c>
      <c r="AY528" s="9">
        <f t="shared" si="337"/>
        <v>-0.15296415759862583</v>
      </c>
      <c r="AZ528" s="9">
        <f t="shared" si="337"/>
        <v>-0.15445159116748017</v>
      </c>
      <c r="BA528" s="9">
        <f t="shared" si="337"/>
        <v>-0.15593169400093854</v>
      </c>
      <c r="BB528" s="9">
        <f t="shared" si="337"/>
        <v>-0.15735891356936713</v>
      </c>
      <c r="BC528" s="9">
        <f t="shared" si="337"/>
        <v>-0.15877497663367088</v>
      </c>
      <c r="BD528" s="9">
        <f t="shared" ref="BD528:BF528" si="338">(BD515-BD521)/BD519</f>
        <v>-0.160189080509234</v>
      </c>
      <c r="BE528" s="9">
        <f t="shared" si="338"/>
        <v>-0.16160456749286062</v>
      </c>
      <c r="BF528" s="9">
        <f t="shared" si="338"/>
        <v>-0.16302388787495162</v>
      </c>
    </row>
    <row r="529" spans="2:58" x14ac:dyDescent="0.35">
      <c r="B529" t="s">
        <v>20</v>
      </c>
      <c r="C529" s="9">
        <f>(C517-C514-(C523-C520))/C519</f>
        <v>9.6122856580074696E-3</v>
      </c>
      <c r="D529" s="9">
        <f t="shared" ref="D529:AL529" si="339">(D517-D514-(D523-D520))/D519</f>
        <v>1.5751228109306452E-2</v>
      </c>
      <c r="E529" s="9">
        <f t="shared" si="339"/>
        <v>1.9355164003776865E-2</v>
      </c>
      <c r="F529" s="9">
        <f t="shared" si="339"/>
        <v>2.2243672090293529E-2</v>
      </c>
      <c r="G529" s="9">
        <f t="shared" si="339"/>
        <v>2.464687690534131E-2</v>
      </c>
      <c r="H529" s="9">
        <f t="shared" si="339"/>
        <v>2.6726087793252251E-2</v>
      </c>
      <c r="I529" s="9">
        <f t="shared" si="339"/>
        <v>2.8611646668769915E-2</v>
      </c>
      <c r="J529" s="9">
        <f t="shared" si="339"/>
        <v>3.0296219184888912E-2</v>
      </c>
      <c r="K529" s="9">
        <f t="shared" si="339"/>
        <v>3.1770501544549537E-2</v>
      </c>
      <c r="L529" s="9">
        <f t="shared" si="339"/>
        <v>3.304405667363846E-2</v>
      </c>
      <c r="M529" s="9">
        <f t="shared" si="339"/>
        <v>3.4139615575473188E-2</v>
      </c>
      <c r="N529" s="9">
        <f t="shared" si="339"/>
        <v>3.5146331517312605E-2</v>
      </c>
      <c r="O529" s="9">
        <f t="shared" si="339"/>
        <v>3.6068052167733317E-2</v>
      </c>
      <c r="P529" s="9">
        <f t="shared" si="339"/>
        <v>3.692687407175578E-2</v>
      </c>
      <c r="Q529" s="9">
        <f t="shared" si="339"/>
        <v>3.7747720383181534E-2</v>
      </c>
      <c r="R529" s="9">
        <f t="shared" si="339"/>
        <v>3.854970049960664E-2</v>
      </c>
      <c r="S529" s="9">
        <f t="shared" si="339"/>
        <v>3.9381394321949724E-2</v>
      </c>
      <c r="T529" s="9">
        <f t="shared" si="339"/>
        <v>4.0235807961770668E-2</v>
      </c>
      <c r="U529" s="9">
        <f t="shared" si="339"/>
        <v>4.1108423235703774E-2</v>
      </c>
      <c r="V529" s="9">
        <f t="shared" si="339"/>
        <v>4.2000655629041282E-2</v>
      </c>
      <c r="W529" s="9">
        <f t="shared" si="339"/>
        <v>4.291846876900187E-2</v>
      </c>
      <c r="X529" s="9">
        <f t="shared" si="339"/>
        <v>4.3845812853574466E-2</v>
      </c>
      <c r="Y529" s="9">
        <f t="shared" si="339"/>
        <v>4.4795263576900758E-2</v>
      </c>
      <c r="Z529" s="9">
        <f t="shared" si="339"/>
        <v>4.5763413740955439E-2</v>
      </c>
      <c r="AA529" s="9">
        <f t="shared" si="339"/>
        <v>4.6748258886288051E-2</v>
      </c>
      <c r="AB529" s="9">
        <f t="shared" si="339"/>
        <v>4.7761461093794214E-2</v>
      </c>
      <c r="AC529" s="9">
        <f t="shared" si="339"/>
        <v>4.8747881589494925E-2</v>
      </c>
      <c r="AD529" s="9">
        <f t="shared" si="339"/>
        <v>4.9735666802197237E-2</v>
      </c>
      <c r="AE529" s="9">
        <f t="shared" si="339"/>
        <v>5.0722632991174521E-2</v>
      </c>
      <c r="AF529" s="9">
        <f t="shared" si="339"/>
        <v>5.1706056383507323E-2</v>
      </c>
      <c r="AG529" s="9">
        <f t="shared" si="339"/>
        <v>5.2684898147994035E-2</v>
      </c>
      <c r="AH529" s="9">
        <f t="shared" si="339"/>
        <v>5.3651087119701416E-2</v>
      </c>
      <c r="AI529" s="9">
        <f t="shared" si="339"/>
        <v>5.4605717049798816E-2</v>
      </c>
      <c r="AJ529" s="9">
        <f t="shared" si="339"/>
        <v>5.5548685361157091E-2</v>
      </c>
      <c r="AK529" s="9">
        <f t="shared" si="339"/>
        <v>5.6478495512772273E-2</v>
      </c>
      <c r="AL529" s="9">
        <f t="shared" si="339"/>
        <v>5.7393771419295352E-2</v>
      </c>
      <c r="AM529" s="9">
        <f t="shared" ref="AM529:BC529" si="340">(AM517-AM514-(AM523-AM520))/AM519</f>
        <v>5.82432106507971E-2</v>
      </c>
      <c r="AN529" s="9">
        <f t="shared" si="340"/>
        <v>5.9043920389671628E-2</v>
      </c>
      <c r="AO529" s="9">
        <f t="shared" si="340"/>
        <v>5.9814785980987606E-2</v>
      </c>
      <c r="AP529" s="9">
        <f t="shared" si="340"/>
        <v>6.0560892777651705E-2</v>
      </c>
      <c r="AQ529" s="9">
        <f t="shared" si="340"/>
        <v>6.1286120994248926E-2</v>
      </c>
      <c r="AR529" s="9">
        <f t="shared" si="340"/>
        <v>6.1986524177368822E-2</v>
      </c>
      <c r="AS529" s="9">
        <f t="shared" si="340"/>
        <v>6.2670177917489453E-2</v>
      </c>
      <c r="AT529" s="9">
        <f t="shared" si="340"/>
        <v>6.3343612038538943E-2</v>
      </c>
      <c r="AU529" s="9">
        <f t="shared" si="340"/>
        <v>6.4010931583107736E-2</v>
      </c>
      <c r="AV529" s="9">
        <f t="shared" si="340"/>
        <v>6.4674730917575973E-2</v>
      </c>
      <c r="AW529" s="9">
        <f t="shared" si="340"/>
        <v>6.5304604275541217E-2</v>
      </c>
      <c r="AX529" s="9">
        <f t="shared" si="340"/>
        <v>6.5902803640698185E-2</v>
      </c>
      <c r="AY529" s="9">
        <f t="shared" si="340"/>
        <v>6.646392783278493E-2</v>
      </c>
      <c r="AZ529" s="9">
        <f t="shared" si="340"/>
        <v>6.7007156032878254E-2</v>
      </c>
      <c r="BA529" s="9">
        <f t="shared" si="340"/>
        <v>6.7549609451105677E-2</v>
      </c>
      <c r="BB529" s="9">
        <f t="shared" si="340"/>
        <v>6.8083243094376716E-2</v>
      </c>
      <c r="BC529" s="9">
        <f t="shared" si="340"/>
        <v>6.8616969493785221E-2</v>
      </c>
      <c r="BD529" s="9">
        <f t="shared" ref="BD529:BF529" si="341">(BD517-BD514-(BD523-BD520))/BD519</f>
        <v>6.9155449619638071E-2</v>
      </c>
      <c r="BE529" s="9">
        <f t="shared" si="341"/>
        <v>6.9699902857686596E-2</v>
      </c>
      <c r="BF529" s="9">
        <f t="shared" si="341"/>
        <v>7.0251647079146717E-2</v>
      </c>
    </row>
  </sheetData>
  <mergeCells count="2">
    <mergeCell ref="A61:A62"/>
    <mergeCell ref="A64:A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21</vt:i4>
      </vt:variant>
    </vt:vector>
  </HeadingPairs>
  <TitlesOfParts>
    <vt:vector size="22" baseType="lpstr">
      <vt:lpstr>Données</vt:lpstr>
      <vt:lpstr>Gr Macro</vt:lpstr>
      <vt:lpstr>Gr inflation</vt:lpstr>
      <vt:lpstr>Gr émissions</vt:lpstr>
      <vt:lpstr>Gr conso éner</vt:lpstr>
      <vt:lpstr>GR macro ener</vt:lpstr>
      <vt:lpstr>Gr éner prim</vt:lpstr>
      <vt:lpstr>BUIL (class,base)</vt:lpstr>
      <vt:lpstr>BUIL (class,shock)</vt:lpstr>
      <vt:lpstr>Auto (class,base)</vt:lpstr>
      <vt:lpstr>Auto (class,shock)</vt:lpstr>
      <vt:lpstr>Auto (ener,shock)</vt:lpstr>
      <vt:lpstr>Auto (ener,base)</vt:lpstr>
      <vt:lpstr>Employment</vt:lpstr>
      <vt:lpstr>Investment</vt:lpstr>
      <vt:lpstr>Firms' emissions</vt:lpstr>
      <vt:lpstr>Capital intensity</vt:lpstr>
      <vt:lpstr>Energy intensity</vt:lpstr>
      <vt:lpstr>Gr VA secteurs (% dev)</vt:lpstr>
      <vt:lpstr>Gr VA secteurs (% share)</vt:lpstr>
      <vt:lpstr>Gr Y secteurs (% dev)</vt:lpstr>
      <vt:lpstr>Gr Y secteurs (% share)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JACQUETIN Florian</dc:creator>
  <cp:lastModifiedBy>JACQUETIN Florian</cp:lastModifiedBy>
  <dcterms:created xsi:type="dcterms:W3CDTF">2021-11-04T11:19:34Z</dcterms:created>
  <dcterms:modified xsi:type="dcterms:W3CDTF">2022-02-25T17:11:58Z</dcterms:modified>
</cp:coreProperties>
</file>