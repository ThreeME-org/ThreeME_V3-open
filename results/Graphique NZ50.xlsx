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chartsheets/sheet22.xml" ContentType="application/vnd.openxmlformats-officedocument.spreadsheetml.chartsheet+xml"/>
  <Override PartName="/xl/chartsheets/sheet23.xml" ContentType="application/vnd.openxmlformats-officedocument.spreadsheetml.chartsheet+xml"/>
  <Override PartName="/xl/chartsheets/sheet24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2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3.xml" ContentType="application/vnd.openxmlformats-officedocument.drawingml.chartshapes+xml"/>
  <Override PartName="/xl/drawings/drawing24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5.xml" ContentType="application/vnd.openxmlformats-officedocument.drawingml.chartshapes+xml"/>
  <Override PartName="/xl/drawings/drawing26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726"/>
  <workbookPr/>
  <mc:AlternateContent xmlns:mc="http://schemas.openxmlformats.org/markup-compatibility/2006">
    <mc:Choice Requires="x15">
      <x15ac:absPath xmlns:x15ac="http://schemas.microsoft.com/office/spreadsheetml/2010/11/ac" url="C:\Users\flori\Documents\Github\ThreeME_V3-ADEME\results\"/>
    </mc:Choice>
  </mc:AlternateContent>
  <xr:revisionPtr revIDLastSave="0" documentId="13_ncr:1_{334894A5-43BB-4371-ACC3-DB3454800233}" xr6:coauthVersionLast="47" xr6:coauthVersionMax="47" xr10:uidLastSave="{00000000-0000-0000-0000-000000000000}"/>
  <bookViews>
    <workbookView xWindow="-110" yWindow="-110" windowWidth="19420" windowHeight="10300" firstSheet="15" activeTab="16" xr2:uid="{00000000-000D-0000-FFFF-FFFF00000000}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base)" sheetId="22" r:id="rId12"/>
    <sheet name="Auto (ener,shock)" sheetId="21" r:id="rId13"/>
    <sheet name="Employment" sheetId="16" r:id="rId14"/>
    <sheet name="Investissement" sheetId="31" r:id="rId15"/>
    <sheet name="Investissement ctrb" sheetId="32" r:id="rId16"/>
    <sheet name="Firms' emissions" sheetId="27" r:id="rId17"/>
    <sheet name="Capital intensity" sheetId="17" r:id="rId18"/>
    <sheet name="Energy intensity" sheetId="18" r:id="rId19"/>
    <sheet name="Gr VA secteurs (% dev)" sheetId="12" r:id="rId20"/>
    <sheet name="Gr VA secteurs (% dev2)" sheetId="33" r:id="rId21"/>
    <sheet name="Gr VA secteurs (% share)" sheetId="13" r:id="rId22"/>
    <sheet name="Gr Y secteurs (% dev)" sheetId="14" r:id="rId23"/>
    <sheet name="Gr Y secteurs ctrb" sheetId="34" r:id="rId24"/>
    <sheet name="Gr Y secteurs (% share)" sheetId="15" r:id="rId25"/>
  </sheets>
  <externalReferences>
    <externalReference r:id="rId2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L583" i="2" l="1"/>
  <c r="AK583" i="2"/>
  <c r="AJ583" i="2"/>
  <c r="AI583" i="2"/>
  <c r="AH583" i="2"/>
  <c r="AG583" i="2"/>
  <c r="AF583" i="2"/>
  <c r="AE583" i="2"/>
  <c r="AD583" i="2"/>
  <c r="AC583" i="2"/>
  <c r="AB583" i="2"/>
  <c r="AA583" i="2"/>
  <c r="Z583" i="2"/>
  <c r="Y583" i="2"/>
  <c r="X583" i="2"/>
  <c r="W583" i="2"/>
  <c r="V583" i="2"/>
  <c r="U583" i="2"/>
  <c r="T583" i="2"/>
  <c r="S583" i="2"/>
  <c r="R583" i="2"/>
  <c r="Q583" i="2"/>
  <c r="P583" i="2"/>
  <c r="O583" i="2"/>
  <c r="N583" i="2"/>
  <c r="M583" i="2"/>
  <c r="L583" i="2"/>
  <c r="K583" i="2"/>
  <c r="J583" i="2"/>
  <c r="I583" i="2"/>
  <c r="H583" i="2"/>
  <c r="G583" i="2"/>
  <c r="F583" i="2"/>
  <c r="E583" i="2"/>
  <c r="D583" i="2"/>
  <c r="AL582" i="2"/>
  <c r="AK582" i="2"/>
  <c r="AJ582" i="2"/>
  <c r="AI582" i="2"/>
  <c r="AH582" i="2"/>
  <c r="AG582" i="2"/>
  <c r="AF582" i="2"/>
  <c r="AE582" i="2"/>
  <c r="AD582" i="2"/>
  <c r="AC582" i="2"/>
  <c r="AB582" i="2"/>
  <c r="AA582" i="2"/>
  <c r="Z582" i="2"/>
  <c r="Y582" i="2"/>
  <c r="X582" i="2"/>
  <c r="W582" i="2"/>
  <c r="V582" i="2"/>
  <c r="U582" i="2"/>
  <c r="T582" i="2"/>
  <c r="S582" i="2"/>
  <c r="R582" i="2"/>
  <c r="Q582" i="2"/>
  <c r="P582" i="2"/>
  <c r="O582" i="2"/>
  <c r="N582" i="2"/>
  <c r="M582" i="2"/>
  <c r="L582" i="2"/>
  <c r="K582" i="2"/>
  <c r="J582" i="2"/>
  <c r="I582" i="2"/>
  <c r="H582" i="2"/>
  <c r="G582" i="2"/>
  <c r="F582" i="2"/>
  <c r="E582" i="2"/>
  <c r="D582" i="2"/>
  <c r="AL581" i="2"/>
  <c r="AK581" i="2"/>
  <c r="AJ581" i="2"/>
  <c r="AI581" i="2"/>
  <c r="AH581" i="2"/>
  <c r="AG581" i="2"/>
  <c r="AF581" i="2"/>
  <c r="AE581" i="2"/>
  <c r="AD581" i="2"/>
  <c r="AC581" i="2"/>
  <c r="AB581" i="2"/>
  <c r="AA581" i="2"/>
  <c r="Z581" i="2"/>
  <c r="Y581" i="2"/>
  <c r="X581" i="2"/>
  <c r="W581" i="2"/>
  <c r="V581" i="2"/>
  <c r="U581" i="2"/>
  <c r="T581" i="2"/>
  <c r="S581" i="2"/>
  <c r="R581" i="2"/>
  <c r="Q581" i="2"/>
  <c r="P581" i="2"/>
  <c r="O581" i="2"/>
  <c r="N581" i="2"/>
  <c r="M581" i="2"/>
  <c r="L581" i="2"/>
  <c r="K581" i="2"/>
  <c r="J581" i="2"/>
  <c r="I581" i="2"/>
  <c r="H581" i="2"/>
  <c r="G581" i="2"/>
  <c r="F581" i="2"/>
  <c r="E581" i="2"/>
  <c r="D581" i="2"/>
  <c r="AL580" i="2"/>
  <c r="AK580" i="2"/>
  <c r="AJ580" i="2"/>
  <c r="AI580" i="2"/>
  <c r="AH580" i="2"/>
  <c r="AG580" i="2"/>
  <c r="AF580" i="2"/>
  <c r="AE580" i="2"/>
  <c r="AD580" i="2"/>
  <c r="AC580" i="2"/>
  <c r="AB580" i="2"/>
  <c r="AA580" i="2"/>
  <c r="Z580" i="2"/>
  <c r="Y580" i="2"/>
  <c r="X580" i="2"/>
  <c r="W580" i="2"/>
  <c r="V580" i="2"/>
  <c r="U580" i="2"/>
  <c r="T580" i="2"/>
  <c r="S580" i="2"/>
  <c r="R580" i="2"/>
  <c r="Q580" i="2"/>
  <c r="P580" i="2"/>
  <c r="O580" i="2"/>
  <c r="N580" i="2"/>
  <c r="M580" i="2"/>
  <c r="L580" i="2"/>
  <c r="K580" i="2"/>
  <c r="J580" i="2"/>
  <c r="I580" i="2"/>
  <c r="H580" i="2"/>
  <c r="G580" i="2"/>
  <c r="F580" i="2"/>
  <c r="E580" i="2"/>
  <c r="D580" i="2"/>
  <c r="AL579" i="2"/>
  <c r="AK579" i="2"/>
  <c r="AJ579" i="2"/>
  <c r="AI579" i="2"/>
  <c r="AH579" i="2"/>
  <c r="AG579" i="2"/>
  <c r="AF579" i="2"/>
  <c r="AE579" i="2"/>
  <c r="AD579" i="2"/>
  <c r="AC579" i="2"/>
  <c r="AB579" i="2"/>
  <c r="AA579" i="2"/>
  <c r="Z579" i="2"/>
  <c r="Y579" i="2"/>
  <c r="X579" i="2"/>
  <c r="W579" i="2"/>
  <c r="V579" i="2"/>
  <c r="U579" i="2"/>
  <c r="T579" i="2"/>
  <c r="S579" i="2"/>
  <c r="R579" i="2"/>
  <c r="Q579" i="2"/>
  <c r="P579" i="2"/>
  <c r="O579" i="2"/>
  <c r="N579" i="2"/>
  <c r="M579" i="2"/>
  <c r="L579" i="2"/>
  <c r="K579" i="2"/>
  <c r="J579" i="2"/>
  <c r="I579" i="2"/>
  <c r="H579" i="2"/>
  <c r="G579" i="2"/>
  <c r="F579" i="2"/>
  <c r="E579" i="2"/>
  <c r="D579" i="2"/>
  <c r="AL578" i="2"/>
  <c r="AK578" i="2"/>
  <c r="AJ578" i="2"/>
  <c r="AI578" i="2"/>
  <c r="AH578" i="2"/>
  <c r="AG578" i="2"/>
  <c r="AF578" i="2"/>
  <c r="AE578" i="2"/>
  <c r="AD578" i="2"/>
  <c r="AC578" i="2"/>
  <c r="AB578" i="2"/>
  <c r="AA578" i="2"/>
  <c r="Z578" i="2"/>
  <c r="Y578" i="2"/>
  <c r="X578" i="2"/>
  <c r="W578" i="2"/>
  <c r="V578" i="2"/>
  <c r="U578" i="2"/>
  <c r="T578" i="2"/>
  <c r="S578" i="2"/>
  <c r="R578" i="2"/>
  <c r="Q578" i="2"/>
  <c r="P578" i="2"/>
  <c r="O578" i="2"/>
  <c r="N578" i="2"/>
  <c r="M578" i="2"/>
  <c r="L578" i="2"/>
  <c r="K578" i="2"/>
  <c r="J578" i="2"/>
  <c r="I578" i="2"/>
  <c r="H578" i="2"/>
  <c r="G578" i="2"/>
  <c r="F578" i="2"/>
  <c r="E578" i="2"/>
  <c r="D578" i="2"/>
  <c r="AL577" i="2"/>
  <c r="AK577" i="2"/>
  <c r="AJ577" i="2"/>
  <c r="AI577" i="2"/>
  <c r="AH577" i="2"/>
  <c r="AG577" i="2"/>
  <c r="AF577" i="2"/>
  <c r="AE577" i="2"/>
  <c r="AD577" i="2"/>
  <c r="AC577" i="2"/>
  <c r="AB577" i="2"/>
  <c r="AA577" i="2"/>
  <c r="Z577" i="2"/>
  <c r="Y577" i="2"/>
  <c r="X577" i="2"/>
  <c r="W577" i="2"/>
  <c r="V577" i="2"/>
  <c r="U577" i="2"/>
  <c r="T577" i="2"/>
  <c r="S577" i="2"/>
  <c r="R577" i="2"/>
  <c r="Q577" i="2"/>
  <c r="P577" i="2"/>
  <c r="O577" i="2"/>
  <c r="N577" i="2"/>
  <c r="M577" i="2"/>
  <c r="L577" i="2"/>
  <c r="K577" i="2"/>
  <c r="J577" i="2"/>
  <c r="I577" i="2"/>
  <c r="H577" i="2"/>
  <c r="G577" i="2"/>
  <c r="F577" i="2"/>
  <c r="E577" i="2"/>
  <c r="D577" i="2"/>
  <c r="AL576" i="2"/>
  <c r="AK576" i="2"/>
  <c r="AJ576" i="2"/>
  <c r="AI576" i="2"/>
  <c r="AH576" i="2"/>
  <c r="AG576" i="2"/>
  <c r="AF576" i="2"/>
  <c r="AE576" i="2"/>
  <c r="AD576" i="2"/>
  <c r="AC576" i="2"/>
  <c r="AB576" i="2"/>
  <c r="AA576" i="2"/>
  <c r="Z576" i="2"/>
  <c r="Y576" i="2"/>
  <c r="X576" i="2"/>
  <c r="W576" i="2"/>
  <c r="V576" i="2"/>
  <c r="U576" i="2"/>
  <c r="T576" i="2"/>
  <c r="S576" i="2"/>
  <c r="R576" i="2"/>
  <c r="Q576" i="2"/>
  <c r="P576" i="2"/>
  <c r="O576" i="2"/>
  <c r="N576" i="2"/>
  <c r="M576" i="2"/>
  <c r="L576" i="2"/>
  <c r="K576" i="2"/>
  <c r="J576" i="2"/>
  <c r="I576" i="2"/>
  <c r="H576" i="2"/>
  <c r="G576" i="2"/>
  <c r="F576" i="2"/>
  <c r="E576" i="2"/>
  <c r="D576" i="2"/>
  <c r="AL575" i="2"/>
  <c r="AK575" i="2"/>
  <c r="AJ575" i="2"/>
  <c r="AI575" i="2"/>
  <c r="AH575" i="2"/>
  <c r="AG575" i="2"/>
  <c r="AF575" i="2"/>
  <c r="AE575" i="2"/>
  <c r="AD575" i="2"/>
  <c r="AC575" i="2"/>
  <c r="AB575" i="2"/>
  <c r="AA575" i="2"/>
  <c r="Z575" i="2"/>
  <c r="Y575" i="2"/>
  <c r="X575" i="2"/>
  <c r="W575" i="2"/>
  <c r="V575" i="2"/>
  <c r="U575" i="2"/>
  <c r="T575" i="2"/>
  <c r="S575" i="2"/>
  <c r="R575" i="2"/>
  <c r="Q575" i="2"/>
  <c r="P575" i="2"/>
  <c r="O575" i="2"/>
  <c r="N575" i="2"/>
  <c r="M575" i="2"/>
  <c r="L575" i="2"/>
  <c r="K575" i="2"/>
  <c r="J575" i="2"/>
  <c r="I575" i="2"/>
  <c r="H575" i="2"/>
  <c r="G575" i="2"/>
  <c r="F575" i="2"/>
  <c r="E575" i="2"/>
  <c r="D575" i="2"/>
  <c r="AL574" i="2"/>
  <c r="AK574" i="2"/>
  <c r="AJ574" i="2"/>
  <c r="AI574" i="2"/>
  <c r="AH574" i="2"/>
  <c r="AG574" i="2"/>
  <c r="AF574" i="2"/>
  <c r="AE574" i="2"/>
  <c r="AD574" i="2"/>
  <c r="AC574" i="2"/>
  <c r="AB574" i="2"/>
  <c r="AA574" i="2"/>
  <c r="Z574" i="2"/>
  <c r="Y574" i="2"/>
  <c r="X574" i="2"/>
  <c r="W574" i="2"/>
  <c r="V574" i="2"/>
  <c r="U574" i="2"/>
  <c r="T574" i="2"/>
  <c r="S574" i="2"/>
  <c r="R574" i="2"/>
  <c r="Q574" i="2"/>
  <c r="P574" i="2"/>
  <c r="O574" i="2"/>
  <c r="N574" i="2"/>
  <c r="M574" i="2"/>
  <c r="L574" i="2"/>
  <c r="K574" i="2"/>
  <c r="J574" i="2"/>
  <c r="I574" i="2"/>
  <c r="H574" i="2"/>
  <c r="G574" i="2"/>
  <c r="F574" i="2"/>
  <c r="E574" i="2"/>
  <c r="D574" i="2"/>
  <c r="AL573" i="2"/>
  <c r="AK573" i="2"/>
  <c r="AJ573" i="2"/>
  <c r="AI573" i="2"/>
  <c r="AH573" i="2"/>
  <c r="AG573" i="2"/>
  <c r="AF573" i="2"/>
  <c r="AE573" i="2"/>
  <c r="AD573" i="2"/>
  <c r="AC573" i="2"/>
  <c r="AB573" i="2"/>
  <c r="AA573" i="2"/>
  <c r="Z573" i="2"/>
  <c r="Y573" i="2"/>
  <c r="X573" i="2"/>
  <c r="W573" i="2"/>
  <c r="V573" i="2"/>
  <c r="U573" i="2"/>
  <c r="T573" i="2"/>
  <c r="S573" i="2"/>
  <c r="R573" i="2"/>
  <c r="Q573" i="2"/>
  <c r="P573" i="2"/>
  <c r="O573" i="2"/>
  <c r="N573" i="2"/>
  <c r="M573" i="2"/>
  <c r="L573" i="2"/>
  <c r="K573" i="2"/>
  <c r="J573" i="2"/>
  <c r="I573" i="2"/>
  <c r="H573" i="2"/>
  <c r="G573" i="2"/>
  <c r="F573" i="2"/>
  <c r="E573" i="2"/>
  <c r="D573" i="2"/>
  <c r="AL572" i="2"/>
  <c r="AK572" i="2"/>
  <c r="AJ572" i="2"/>
  <c r="AI572" i="2"/>
  <c r="AH572" i="2"/>
  <c r="AG572" i="2"/>
  <c r="AF572" i="2"/>
  <c r="AE572" i="2"/>
  <c r="AD572" i="2"/>
  <c r="AC572" i="2"/>
  <c r="AB572" i="2"/>
  <c r="AA572" i="2"/>
  <c r="Z572" i="2"/>
  <c r="Y572" i="2"/>
  <c r="X572" i="2"/>
  <c r="W572" i="2"/>
  <c r="V572" i="2"/>
  <c r="U572" i="2"/>
  <c r="T572" i="2"/>
  <c r="S572" i="2"/>
  <c r="R572" i="2"/>
  <c r="Q572" i="2"/>
  <c r="P572" i="2"/>
  <c r="O572" i="2"/>
  <c r="N572" i="2"/>
  <c r="M572" i="2"/>
  <c r="L572" i="2"/>
  <c r="K572" i="2"/>
  <c r="J572" i="2"/>
  <c r="I572" i="2"/>
  <c r="H572" i="2"/>
  <c r="G572" i="2"/>
  <c r="F572" i="2"/>
  <c r="E572" i="2"/>
  <c r="D572" i="2"/>
  <c r="C572" i="2"/>
  <c r="C573" i="2"/>
  <c r="C574" i="2"/>
  <c r="C575" i="2"/>
  <c r="C576" i="2"/>
  <c r="C577" i="2"/>
  <c r="C581" i="2"/>
  <c r="C580" i="2"/>
  <c r="AL571" i="2"/>
  <c r="AK571" i="2"/>
  <c r="AJ571" i="2"/>
  <c r="AI571" i="2"/>
  <c r="AH571" i="2"/>
  <c r="AG571" i="2"/>
  <c r="AF571" i="2"/>
  <c r="AE571" i="2"/>
  <c r="AD571" i="2"/>
  <c r="AC571" i="2"/>
  <c r="AB571" i="2"/>
  <c r="AA571" i="2"/>
  <c r="Z571" i="2"/>
  <c r="Y571" i="2"/>
  <c r="X571" i="2"/>
  <c r="W571" i="2"/>
  <c r="V571" i="2"/>
  <c r="U571" i="2"/>
  <c r="T571" i="2"/>
  <c r="S571" i="2"/>
  <c r="R571" i="2"/>
  <c r="Q571" i="2"/>
  <c r="P571" i="2"/>
  <c r="O571" i="2"/>
  <c r="N571" i="2"/>
  <c r="M571" i="2"/>
  <c r="L571" i="2"/>
  <c r="K571" i="2"/>
  <c r="J571" i="2"/>
  <c r="I571" i="2"/>
  <c r="H571" i="2"/>
  <c r="G571" i="2"/>
  <c r="F571" i="2"/>
  <c r="E571" i="2"/>
  <c r="D571" i="2"/>
  <c r="C571" i="2"/>
  <c r="AL569" i="2"/>
  <c r="AK569" i="2"/>
  <c r="AJ569" i="2"/>
  <c r="AI569" i="2"/>
  <c r="AH569" i="2"/>
  <c r="AG569" i="2"/>
  <c r="AF569" i="2"/>
  <c r="AE569" i="2"/>
  <c r="AD569" i="2"/>
  <c r="AC569" i="2"/>
  <c r="AB569" i="2"/>
  <c r="AA569" i="2"/>
  <c r="Z569" i="2"/>
  <c r="Y569" i="2"/>
  <c r="X569" i="2"/>
  <c r="W569" i="2"/>
  <c r="V569" i="2"/>
  <c r="U569" i="2"/>
  <c r="T569" i="2"/>
  <c r="S569" i="2"/>
  <c r="R569" i="2"/>
  <c r="Q569" i="2"/>
  <c r="P569" i="2"/>
  <c r="O569" i="2"/>
  <c r="N569" i="2"/>
  <c r="M569" i="2"/>
  <c r="L569" i="2"/>
  <c r="K569" i="2"/>
  <c r="J569" i="2"/>
  <c r="I569" i="2"/>
  <c r="H569" i="2"/>
  <c r="G569" i="2"/>
  <c r="F569" i="2"/>
  <c r="E569" i="2"/>
  <c r="D569" i="2"/>
  <c r="C569" i="2"/>
  <c r="B569" i="2"/>
  <c r="AL568" i="2"/>
  <c r="AK568" i="2"/>
  <c r="AJ568" i="2"/>
  <c r="AI568" i="2"/>
  <c r="AH568" i="2"/>
  <c r="AG568" i="2"/>
  <c r="AF568" i="2"/>
  <c r="AE568" i="2"/>
  <c r="AD568" i="2"/>
  <c r="AC568" i="2"/>
  <c r="AB568" i="2"/>
  <c r="AA568" i="2"/>
  <c r="Z568" i="2"/>
  <c r="Y568" i="2"/>
  <c r="X568" i="2"/>
  <c r="W568" i="2"/>
  <c r="V568" i="2"/>
  <c r="U568" i="2"/>
  <c r="T568" i="2"/>
  <c r="S568" i="2"/>
  <c r="R568" i="2"/>
  <c r="Q568" i="2"/>
  <c r="P568" i="2"/>
  <c r="O568" i="2"/>
  <c r="N568" i="2"/>
  <c r="M568" i="2"/>
  <c r="L568" i="2"/>
  <c r="K568" i="2"/>
  <c r="J568" i="2"/>
  <c r="I568" i="2"/>
  <c r="H568" i="2"/>
  <c r="G568" i="2"/>
  <c r="F568" i="2"/>
  <c r="E568" i="2"/>
  <c r="D568" i="2"/>
  <c r="C568" i="2"/>
  <c r="B568" i="2"/>
  <c r="AL567" i="2"/>
  <c r="AK567" i="2"/>
  <c r="AJ567" i="2"/>
  <c r="AI567" i="2"/>
  <c r="AH567" i="2"/>
  <c r="AG567" i="2"/>
  <c r="AF567" i="2"/>
  <c r="AE567" i="2"/>
  <c r="AD567" i="2"/>
  <c r="AC567" i="2"/>
  <c r="AB567" i="2"/>
  <c r="AA567" i="2"/>
  <c r="Z567" i="2"/>
  <c r="Y567" i="2"/>
  <c r="X567" i="2"/>
  <c r="W567" i="2"/>
  <c r="V567" i="2"/>
  <c r="U567" i="2"/>
  <c r="T567" i="2"/>
  <c r="S567" i="2"/>
  <c r="R567" i="2"/>
  <c r="Q567" i="2"/>
  <c r="P567" i="2"/>
  <c r="O567" i="2"/>
  <c r="N567" i="2"/>
  <c r="M567" i="2"/>
  <c r="L567" i="2"/>
  <c r="K567" i="2"/>
  <c r="J567" i="2"/>
  <c r="I567" i="2"/>
  <c r="H567" i="2"/>
  <c r="G567" i="2"/>
  <c r="F567" i="2"/>
  <c r="E567" i="2"/>
  <c r="D567" i="2"/>
  <c r="C567" i="2"/>
  <c r="B567" i="2"/>
  <c r="AL566" i="2"/>
  <c r="AK566" i="2"/>
  <c r="AJ566" i="2"/>
  <c r="AI566" i="2"/>
  <c r="AH566" i="2"/>
  <c r="AG566" i="2"/>
  <c r="AF566" i="2"/>
  <c r="AE566" i="2"/>
  <c r="AD566" i="2"/>
  <c r="AC566" i="2"/>
  <c r="AB566" i="2"/>
  <c r="AA566" i="2"/>
  <c r="Z566" i="2"/>
  <c r="Y566" i="2"/>
  <c r="X566" i="2"/>
  <c r="W566" i="2"/>
  <c r="V566" i="2"/>
  <c r="U566" i="2"/>
  <c r="T566" i="2"/>
  <c r="S566" i="2"/>
  <c r="R566" i="2"/>
  <c r="Q566" i="2"/>
  <c r="P566" i="2"/>
  <c r="O566" i="2"/>
  <c r="N566" i="2"/>
  <c r="M566" i="2"/>
  <c r="L566" i="2"/>
  <c r="K566" i="2"/>
  <c r="J566" i="2"/>
  <c r="I566" i="2"/>
  <c r="H566" i="2"/>
  <c r="G566" i="2"/>
  <c r="F566" i="2"/>
  <c r="E566" i="2"/>
  <c r="D566" i="2"/>
  <c r="C566" i="2"/>
  <c r="B566" i="2"/>
  <c r="AL565" i="2"/>
  <c r="AK565" i="2"/>
  <c r="AJ565" i="2"/>
  <c r="AI565" i="2"/>
  <c r="AH565" i="2"/>
  <c r="AG565" i="2"/>
  <c r="AF565" i="2"/>
  <c r="AE565" i="2"/>
  <c r="AD565" i="2"/>
  <c r="AC565" i="2"/>
  <c r="AB565" i="2"/>
  <c r="AA565" i="2"/>
  <c r="Z565" i="2"/>
  <c r="Y565" i="2"/>
  <c r="X565" i="2"/>
  <c r="W565" i="2"/>
  <c r="V565" i="2"/>
  <c r="U565" i="2"/>
  <c r="T565" i="2"/>
  <c r="S565" i="2"/>
  <c r="R565" i="2"/>
  <c r="Q565" i="2"/>
  <c r="P565" i="2"/>
  <c r="O565" i="2"/>
  <c r="N565" i="2"/>
  <c r="M565" i="2"/>
  <c r="L565" i="2"/>
  <c r="K565" i="2"/>
  <c r="J565" i="2"/>
  <c r="I565" i="2"/>
  <c r="H565" i="2"/>
  <c r="G565" i="2"/>
  <c r="F565" i="2"/>
  <c r="E565" i="2"/>
  <c r="D565" i="2"/>
  <c r="C565" i="2"/>
  <c r="B565" i="2"/>
  <c r="AL564" i="2"/>
  <c r="AK564" i="2"/>
  <c r="AJ564" i="2"/>
  <c r="AI564" i="2"/>
  <c r="AH564" i="2"/>
  <c r="AG564" i="2"/>
  <c r="AF564" i="2"/>
  <c r="AE564" i="2"/>
  <c r="AD564" i="2"/>
  <c r="AC564" i="2"/>
  <c r="AB564" i="2"/>
  <c r="AA564" i="2"/>
  <c r="Z564" i="2"/>
  <c r="Y564" i="2"/>
  <c r="X564" i="2"/>
  <c r="W564" i="2"/>
  <c r="V564" i="2"/>
  <c r="U564" i="2"/>
  <c r="T564" i="2"/>
  <c r="S564" i="2"/>
  <c r="R564" i="2"/>
  <c r="Q564" i="2"/>
  <c r="P564" i="2"/>
  <c r="O564" i="2"/>
  <c r="N564" i="2"/>
  <c r="M564" i="2"/>
  <c r="L564" i="2"/>
  <c r="K564" i="2"/>
  <c r="J564" i="2"/>
  <c r="I564" i="2"/>
  <c r="H564" i="2"/>
  <c r="G564" i="2"/>
  <c r="F564" i="2"/>
  <c r="E564" i="2"/>
  <c r="D564" i="2"/>
  <c r="C564" i="2"/>
  <c r="B564" i="2"/>
  <c r="AL563" i="2"/>
  <c r="AK563" i="2"/>
  <c r="AJ563" i="2"/>
  <c r="AI563" i="2"/>
  <c r="AH563" i="2"/>
  <c r="AG563" i="2"/>
  <c r="AF563" i="2"/>
  <c r="AE563" i="2"/>
  <c r="AD563" i="2"/>
  <c r="AC563" i="2"/>
  <c r="AB563" i="2"/>
  <c r="AA563" i="2"/>
  <c r="Z563" i="2"/>
  <c r="Y563" i="2"/>
  <c r="X563" i="2"/>
  <c r="W563" i="2"/>
  <c r="V563" i="2"/>
  <c r="U563" i="2"/>
  <c r="T563" i="2"/>
  <c r="S563" i="2"/>
  <c r="R563" i="2"/>
  <c r="Q563" i="2"/>
  <c r="P563" i="2"/>
  <c r="O563" i="2"/>
  <c r="N563" i="2"/>
  <c r="M563" i="2"/>
  <c r="L563" i="2"/>
  <c r="K563" i="2"/>
  <c r="J563" i="2"/>
  <c r="I563" i="2"/>
  <c r="H563" i="2"/>
  <c r="G563" i="2"/>
  <c r="F563" i="2"/>
  <c r="E563" i="2"/>
  <c r="D563" i="2"/>
  <c r="C563" i="2"/>
  <c r="B563" i="2"/>
  <c r="AL562" i="2"/>
  <c r="AK562" i="2"/>
  <c r="AJ562" i="2"/>
  <c r="AI562" i="2"/>
  <c r="AH562" i="2"/>
  <c r="AG562" i="2"/>
  <c r="AF562" i="2"/>
  <c r="AE562" i="2"/>
  <c r="AD562" i="2"/>
  <c r="AC562" i="2"/>
  <c r="AB562" i="2"/>
  <c r="AA562" i="2"/>
  <c r="Z562" i="2"/>
  <c r="Y562" i="2"/>
  <c r="X562" i="2"/>
  <c r="W562" i="2"/>
  <c r="V562" i="2"/>
  <c r="U562" i="2"/>
  <c r="T562" i="2"/>
  <c r="S562" i="2"/>
  <c r="R562" i="2"/>
  <c r="Q562" i="2"/>
  <c r="P562" i="2"/>
  <c r="O562" i="2"/>
  <c r="N562" i="2"/>
  <c r="M562" i="2"/>
  <c r="L562" i="2"/>
  <c r="K562" i="2"/>
  <c r="J562" i="2"/>
  <c r="I562" i="2"/>
  <c r="H562" i="2"/>
  <c r="G562" i="2"/>
  <c r="F562" i="2"/>
  <c r="E562" i="2"/>
  <c r="D562" i="2"/>
  <c r="C562" i="2"/>
  <c r="B562" i="2"/>
  <c r="AL561" i="2"/>
  <c r="AK561" i="2"/>
  <c r="AJ561" i="2"/>
  <c r="AI561" i="2"/>
  <c r="AH561" i="2"/>
  <c r="AG561" i="2"/>
  <c r="AF561" i="2"/>
  <c r="AE561" i="2"/>
  <c r="AD561" i="2"/>
  <c r="AC561" i="2"/>
  <c r="AB561" i="2"/>
  <c r="AA561" i="2"/>
  <c r="Z561" i="2"/>
  <c r="Y561" i="2"/>
  <c r="X561" i="2"/>
  <c r="W561" i="2"/>
  <c r="V561" i="2"/>
  <c r="U561" i="2"/>
  <c r="T561" i="2"/>
  <c r="S561" i="2"/>
  <c r="R561" i="2"/>
  <c r="Q561" i="2"/>
  <c r="P561" i="2"/>
  <c r="O561" i="2"/>
  <c r="N561" i="2"/>
  <c r="M561" i="2"/>
  <c r="L561" i="2"/>
  <c r="K561" i="2"/>
  <c r="J561" i="2"/>
  <c r="I561" i="2"/>
  <c r="H561" i="2"/>
  <c r="G561" i="2"/>
  <c r="F561" i="2"/>
  <c r="E561" i="2"/>
  <c r="D561" i="2"/>
  <c r="C561" i="2"/>
  <c r="B561" i="2"/>
  <c r="AL560" i="2"/>
  <c r="AK560" i="2"/>
  <c r="AJ560" i="2"/>
  <c r="AI560" i="2"/>
  <c r="AH560" i="2"/>
  <c r="AG560" i="2"/>
  <c r="AF560" i="2"/>
  <c r="AE560" i="2"/>
  <c r="AD560" i="2"/>
  <c r="AC560" i="2"/>
  <c r="AB560" i="2"/>
  <c r="AA560" i="2"/>
  <c r="Z560" i="2"/>
  <c r="Y560" i="2"/>
  <c r="X560" i="2"/>
  <c r="W560" i="2"/>
  <c r="V560" i="2"/>
  <c r="U560" i="2"/>
  <c r="T560" i="2"/>
  <c r="S560" i="2"/>
  <c r="R560" i="2"/>
  <c r="Q560" i="2"/>
  <c r="P560" i="2"/>
  <c r="O560" i="2"/>
  <c r="N560" i="2"/>
  <c r="M560" i="2"/>
  <c r="L560" i="2"/>
  <c r="K560" i="2"/>
  <c r="J560" i="2"/>
  <c r="I560" i="2"/>
  <c r="H560" i="2"/>
  <c r="G560" i="2"/>
  <c r="F560" i="2"/>
  <c r="E560" i="2"/>
  <c r="D560" i="2"/>
  <c r="C560" i="2"/>
  <c r="B560" i="2"/>
  <c r="AL559" i="2"/>
  <c r="AK559" i="2"/>
  <c r="AJ559" i="2"/>
  <c r="AI559" i="2"/>
  <c r="AH559" i="2"/>
  <c r="AG559" i="2"/>
  <c r="AF559" i="2"/>
  <c r="AE559" i="2"/>
  <c r="AD559" i="2"/>
  <c r="AC559" i="2"/>
  <c r="AB559" i="2"/>
  <c r="AA559" i="2"/>
  <c r="Z559" i="2"/>
  <c r="Y559" i="2"/>
  <c r="X559" i="2"/>
  <c r="W559" i="2"/>
  <c r="V559" i="2"/>
  <c r="U559" i="2"/>
  <c r="T559" i="2"/>
  <c r="S559" i="2"/>
  <c r="R559" i="2"/>
  <c r="Q559" i="2"/>
  <c r="P559" i="2"/>
  <c r="O559" i="2"/>
  <c r="N559" i="2"/>
  <c r="M559" i="2"/>
  <c r="L559" i="2"/>
  <c r="K559" i="2"/>
  <c r="J559" i="2"/>
  <c r="I559" i="2"/>
  <c r="H559" i="2"/>
  <c r="G559" i="2"/>
  <c r="F559" i="2"/>
  <c r="E559" i="2"/>
  <c r="D559" i="2"/>
  <c r="C559" i="2"/>
  <c r="B559" i="2"/>
  <c r="AL558" i="2"/>
  <c r="AK558" i="2"/>
  <c r="AJ558" i="2"/>
  <c r="AI558" i="2"/>
  <c r="AH558" i="2"/>
  <c r="AG558" i="2"/>
  <c r="AF558" i="2"/>
  <c r="AE558" i="2"/>
  <c r="AD558" i="2"/>
  <c r="AC558" i="2"/>
  <c r="AB558" i="2"/>
  <c r="AA558" i="2"/>
  <c r="Z558" i="2"/>
  <c r="Y558" i="2"/>
  <c r="X558" i="2"/>
  <c r="W558" i="2"/>
  <c r="V558" i="2"/>
  <c r="U558" i="2"/>
  <c r="T558" i="2"/>
  <c r="S558" i="2"/>
  <c r="R558" i="2"/>
  <c r="Q558" i="2"/>
  <c r="P558" i="2"/>
  <c r="O558" i="2"/>
  <c r="N558" i="2"/>
  <c r="M558" i="2"/>
  <c r="L558" i="2"/>
  <c r="K558" i="2"/>
  <c r="J558" i="2"/>
  <c r="I558" i="2"/>
  <c r="H558" i="2"/>
  <c r="G558" i="2"/>
  <c r="F558" i="2"/>
  <c r="E558" i="2"/>
  <c r="D558" i="2"/>
  <c r="C558" i="2"/>
  <c r="B558" i="2"/>
  <c r="AL557" i="2"/>
  <c r="AK557" i="2"/>
  <c r="AJ557" i="2"/>
  <c r="AI557" i="2"/>
  <c r="AH557" i="2"/>
  <c r="AG557" i="2"/>
  <c r="AF557" i="2"/>
  <c r="AE557" i="2"/>
  <c r="AD557" i="2"/>
  <c r="AC557" i="2"/>
  <c r="AB557" i="2"/>
  <c r="AA557" i="2"/>
  <c r="Z557" i="2"/>
  <c r="Y557" i="2"/>
  <c r="X557" i="2"/>
  <c r="W557" i="2"/>
  <c r="V557" i="2"/>
  <c r="U557" i="2"/>
  <c r="T557" i="2"/>
  <c r="S557" i="2"/>
  <c r="R557" i="2"/>
  <c r="Q557" i="2"/>
  <c r="P557" i="2"/>
  <c r="O557" i="2"/>
  <c r="N557" i="2"/>
  <c r="M557" i="2"/>
  <c r="L557" i="2"/>
  <c r="K557" i="2"/>
  <c r="J557" i="2"/>
  <c r="I557" i="2"/>
  <c r="H557" i="2"/>
  <c r="G557" i="2"/>
  <c r="F557" i="2"/>
  <c r="E557" i="2"/>
  <c r="D557" i="2"/>
  <c r="C557" i="2"/>
  <c r="B557" i="2"/>
  <c r="AL556" i="2"/>
  <c r="AK556" i="2"/>
  <c r="AJ556" i="2"/>
  <c r="AI556" i="2"/>
  <c r="AH556" i="2"/>
  <c r="AG556" i="2"/>
  <c r="AF556" i="2"/>
  <c r="AE556" i="2"/>
  <c r="AD556" i="2"/>
  <c r="AC556" i="2"/>
  <c r="AB556" i="2"/>
  <c r="AA556" i="2"/>
  <c r="Z556" i="2"/>
  <c r="Y556" i="2"/>
  <c r="X556" i="2"/>
  <c r="W556" i="2"/>
  <c r="V556" i="2"/>
  <c r="U556" i="2"/>
  <c r="T556" i="2"/>
  <c r="S556" i="2"/>
  <c r="R556" i="2"/>
  <c r="Q556" i="2"/>
  <c r="P556" i="2"/>
  <c r="O556" i="2"/>
  <c r="N556" i="2"/>
  <c r="M556" i="2"/>
  <c r="L556" i="2"/>
  <c r="K556" i="2"/>
  <c r="J556" i="2"/>
  <c r="I556" i="2"/>
  <c r="H556" i="2"/>
  <c r="G556" i="2"/>
  <c r="F556" i="2"/>
  <c r="E556" i="2"/>
  <c r="D556" i="2"/>
  <c r="C556" i="2"/>
  <c r="B556" i="2"/>
  <c r="AL555" i="2"/>
  <c r="AK555" i="2"/>
  <c r="AJ555" i="2"/>
  <c r="AI555" i="2"/>
  <c r="AH555" i="2"/>
  <c r="AG555" i="2"/>
  <c r="AF555" i="2"/>
  <c r="AE555" i="2"/>
  <c r="AD555" i="2"/>
  <c r="AC555" i="2"/>
  <c r="AB555" i="2"/>
  <c r="AA555" i="2"/>
  <c r="Z555" i="2"/>
  <c r="Y555" i="2"/>
  <c r="X555" i="2"/>
  <c r="W555" i="2"/>
  <c r="V555" i="2"/>
  <c r="U555" i="2"/>
  <c r="T555" i="2"/>
  <c r="S555" i="2"/>
  <c r="R555" i="2"/>
  <c r="Q555" i="2"/>
  <c r="P555" i="2"/>
  <c r="O555" i="2"/>
  <c r="N555" i="2"/>
  <c r="M555" i="2"/>
  <c r="L555" i="2"/>
  <c r="K555" i="2"/>
  <c r="J555" i="2"/>
  <c r="I555" i="2"/>
  <c r="H555" i="2"/>
  <c r="G555" i="2"/>
  <c r="F555" i="2"/>
  <c r="E555" i="2"/>
  <c r="D555" i="2"/>
  <c r="C555" i="2"/>
  <c r="B555" i="2"/>
  <c r="AL554" i="2"/>
  <c r="AK554" i="2"/>
  <c r="AJ554" i="2"/>
  <c r="AI554" i="2"/>
  <c r="AH554" i="2"/>
  <c r="AG554" i="2"/>
  <c r="AF554" i="2"/>
  <c r="AE554" i="2"/>
  <c r="AD554" i="2"/>
  <c r="AC554" i="2"/>
  <c r="AB554" i="2"/>
  <c r="AA554" i="2"/>
  <c r="Z554" i="2"/>
  <c r="Y554" i="2"/>
  <c r="X554" i="2"/>
  <c r="W554" i="2"/>
  <c r="V554" i="2"/>
  <c r="U554" i="2"/>
  <c r="T554" i="2"/>
  <c r="S554" i="2"/>
  <c r="R554" i="2"/>
  <c r="Q554" i="2"/>
  <c r="P554" i="2"/>
  <c r="O554" i="2"/>
  <c r="N554" i="2"/>
  <c r="M554" i="2"/>
  <c r="L554" i="2"/>
  <c r="K554" i="2"/>
  <c r="J554" i="2"/>
  <c r="I554" i="2"/>
  <c r="H554" i="2"/>
  <c r="G554" i="2"/>
  <c r="F554" i="2"/>
  <c r="E554" i="2"/>
  <c r="D554" i="2"/>
  <c r="C554" i="2"/>
  <c r="B554" i="2"/>
  <c r="AL553" i="2"/>
  <c r="AK553" i="2"/>
  <c r="AJ553" i="2"/>
  <c r="AI553" i="2"/>
  <c r="AH553" i="2"/>
  <c r="AG553" i="2"/>
  <c r="AF553" i="2"/>
  <c r="AE553" i="2"/>
  <c r="AD553" i="2"/>
  <c r="AC553" i="2"/>
  <c r="AB553" i="2"/>
  <c r="AA553" i="2"/>
  <c r="Z553" i="2"/>
  <c r="Y553" i="2"/>
  <c r="X553" i="2"/>
  <c r="W553" i="2"/>
  <c r="V553" i="2"/>
  <c r="U553" i="2"/>
  <c r="T553" i="2"/>
  <c r="S553" i="2"/>
  <c r="R553" i="2"/>
  <c r="Q553" i="2"/>
  <c r="P553" i="2"/>
  <c r="O553" i="2"/>
  <c r="N553" i="2"/>
  <c r="M553" i="2"/>
  <c r="L553" i="2"/>
  <c r="K553" i="2"/>
  <c r="J553" i="2"/>
  <c r="I553" i="2"/>
  <c r="H553" i="2"/>
  <c r="G553" i="2"/>
  <c r="F553" i="2"/>
  <c r="E553" i="2"/>
  <c r="D553" i="2"/>
  <c r="C553" i="2"/>
  <c r="B553" i="2"/>
  <c r="AL552" i="2"/>
  <c r="AK552" i="2"/>
  <c r="AJ552" i="2"/>
  <c r="AI552" i="2"/>
  <c r="AH552" i="2"/>
  <c r="AG552" i="2"/>
  <c r="AF552" i="2"/>
  <c r="AE552" i="2"/>
  <c r="AD552" i="2"/>
  <c r="AC552" i="2"/>
  <c r="AB552" i="2"/>
  <c r="AA552" i="2"/>
  <c r="Z552" i="2"/>
  <c r="Y552" i="2"/>
  <c r="X552" i="2"/>
  <c r="W552" i="2"/>
  <c r="V552" i="2"/>
  <c r="U552" i="2"/>
  <c r="T552" i="2"/>
  <c r="S552" i="2"/>
  <c r="R552" i="2"/>
  <c r="Q552" i="2"/>
  <c r="P552" i="2"/>
  <c r="O552" i="2"/>
  <c r="N552" i="2"/>
  <c r="M552" i="2"/>
  <c r="L552" i="2"/>
  <c r="K552" i="2"/>
  <c r="J552" i="2"/>
  <c r="I552" i="2"/>
  <c r="H552" i="2"/>
  <c r="G552" i="2"/>
  <c r="F552" i="2"/>
  <c r="E552" i="2"/>
  <c r="D552" i="2"/>
  <c r="C552" i="2"/>
  <c r="B552" i="2"/>
  <c r="AL551" i="2"/>
  <c r="AK551" i="2"/>
  <c r="AJ551" i="2"/>
  <c r="AI551" i="2"/>
  <c r="AH551" i="2"/>
  <c r="AG551" i="2"/>
  <c r="AF551" i="2"/>
  <c r="AE551" i="2"/>
  <c r="AD551" i="2"/>
  <c r="AC551" i="2"/>
  <c r="AB551" i="2"/>
  <c r="AA551" i="2"/>
  <c r="Z551" i="2"/>
  <c r="Y551" i="2"/>
  <c r="X551" i="2"/>
  <c r="W551" i="2"/>
  <c r="V551" i="2"/>
  <c r="U551" i="2"/>
  <c r="T551" i="2"/>
  <c r="S551" i="2"/>
  <c r="R551" i="2"/>
  <c r="Q551" i="2"/>
  <c r="P551" i="2"/>
  <c r="O551" i="2"/>
  <c r="N551" i="2"/>
  <c r="M551" i="2"/>
  <c r="L551" i="2"/>
  <c r="K551" i="2"/>
  <c r="J551" i="2"/>
  <c r="I551" i="2"/>
  <c r="H551" i="2"/>
  <c r="G551" i="2"/>
  <c r="F551" i="2"/>
  <c r="E551" i="2"/>
  <c r="D551" i="2"/>
  <c r="C551" i="2"/>
  <c r="B551" i="2"/>
  <c r="AL550" i="2"/>
  <c r="AK550" i="2"/>
  <c r="AJ550" i="2"/>
  <c r="AI550" i="2"/>
  <c r="AH550" i="2"/>
  <c r="AG550" i="2"/>
  <c r="AF550" i="2"/>
  <c r="AE550" i="2"/>
  <c r="AD550" i="2"/>
  <c r="AC550" i="2"/>
  <c r="AB550" i="2"/>
  <c r="AA550" i="2"/>
  <c r="Z550" i="2"/>
  <c r="Y550" i="2"/>
  <c r="X550" i="2"/>
  <c r="W550" i="2"/>
  <c r="V550" i="2"/>
  <c r="U550" i="2"/>
  <c r="T550" i="2"/>
  <c r="S550" i="2"/>
  <c r="R550" i="2"/>
  <c r="Q550" i="2"/>
  <c r="P550" i="2"/>
  <c r="O550" i="2"/>
  <c r="N550" i="2"/>
  <c r="M550" i="2"/>
  <c r="L550" i="2"/>
  <c r="K550" i="2"/>
  <c r="J550" i="2"/>
  <c r="I550" i="2"/>
  <c r="H550" i="2"/>
  <c r="G550" i="2"/>
  <c r="F550" i="2"/>
  <c r="E550" i="2"/>
  <c r="D550" i="2"/>
  <c r="C550" i="2"/>
  <c r="B550" i="2"/>
  <c r="AL549" i="2"/>
  <c r="AK549" i="2"/>
  <c r="AJ549" i="2"/>
  <c r="AI549" i="2"/>
  <c r="AH549" i="2"/>
  <c r="AG549" i="2"/>
  <c r="AF549" i="2"/>
  <c r="AE549" i="2"/>
  <c r="AD549" i="2"/>
  <c r="AC549" i="2"/>
  <c r="AB549" i="2"/>
  <c r="AA549" i="2"/>
  <c r="Z549" i="2"/>
  <c r="Y549" i="2"/>
  <c r="X549" i="2"/>
  <c r="W549" i="2"/>
  <c r="V549" i="2"/>
  <c r="U549" i="2"/>
  <c r="T549" i="2"/>
  <c r="S549" i="2"/>
  <c r="R549" i="2"/>
  <c r="Q549" i="2"/>
  <c r="P549" i="2"/>
  <c r="O549" i="2"/>
  <c r="N549" i="2"/>
  <c r="M549" i="2"/>
  <c r="L549" i="2"/>
  <c r="K549" i="2"/>
  <c r="J549" i="2"/>
  <c r="I549" i="2"/>
  <c r="H549" i="2"/>
  <c r="G549" i="2"/>
  <c r="F549" i="2"/>
  <c r="E549" i="2"/>
  <c r="D549" i="2"/>
  <c r="C549" i="2"/>
  <c r="B549" i="2"/>
  <c r="AL548" i="2"/>
  <c r="AK548" i="2"/>
  <c r="AJ548" i="2"/>
  <c r="AI548" i="2"/>
  <c r="AH548" i="2"/>
  <c r="AG548" i="2"/>
  <c r="AF548" i="2"/>
  <c r="AE548" i="2"/>
  <c r="AD548" i="2"/>
  <c r="AC548" i="2"/>
  <c r="AB548" i="2"/>
  <c r="AA548" i="2"/>
  <c r="Z548" i="2"/>
  <c r="Y548" i="2"/>
  <c r="X548" i="2"/>
  <c r="W548" i="2"/>
  <c r="V548" i="2"/>
  <c r="U548" i="2"/>
  <c r="T548" i="2"/>
  <c r="S548" i="2"/>
  <c r="R548" i="2"/>
  <c r="Q548" i="2"/>
  <c r="P548" i="2"/>
  <c r="O548" i="2"/>
  <c r="N548" i="2"/>
  <c r="M548" i="2"/>
  <c r="L548" i="2"/>
  <c r="K548" i="2"/>
  <c r="J548" i="2"/>
  <c r="I548" i="2"/>
  <c r="H548" i="2"/>
  <c r="G548" i="2"/>
  <c r="F548" i="2"/>
  <c r="E548" i="2"/>
  <c r="D548" i="2"/>
  <c r="C548" i="2"/>
  <c r="B548" i="2"/>
  <c r="AL547" i="2"/>
  <c r="AK547" i="2"/>
  <c r="AJ547" i="2"/>
  <c r="AI547" i="2"/>
  <c r="AH547" i="2"/>
  <c r="AG547" i="2"/>
  <c r="AF547" i="2"/>
  <c r="AE547" i="2"/>
  <c r="AD547" i="2"/>
  <c r="AC547" i="2"/>
  <c r="AB547" i="2"/>
  <c r="AA547" i="2"/>
  <c r="Z547" i="2"/>
  <c r="Y547" i="2"/>
  <c r="X547" i="2"/>
  <c r="W547" i="2"/>
  <c r="V547" i="2"/>
  <c r="U547" i="2"/>
  <c r="T547" i="2"/>
  <c r="S547" i="2"/>
  <c r="R547" i="2"/>
  <c r="Q547" i="2"/>
  <c r="P547" i="2"/>
  <c r="O547" i="2"/>
  <c r="N547" i="2"/>
  <c r="M547" i="2"/>
  <c r="L547" i="2"/>
  <c r="K547" i="2"/>
  <c r="J547" i="2"/>
  <c r="I547" i="2"/>
  <c r="H547" i="2"/>
  <c r="G547" i="2"/>
  <c r="F547" i="2"/>
  <c r="E547" i="2"/>
  <c r="D547" i="2"/>
  <c r="C547" i="2"/>
  <c r="B547" i="2"/>
  <c r="AL546" i="2"/>
  <c r="AK546" i="2"/>
  <c r="AJ546" i="2"/>
  <c r="AI546" i="2"/>
  <c r="AH546" i="2"/>
  <c r="AG546" i="2"/>
  <c r="AF546" i="2"/>
  <c r="AE546" i="2"/>
  <c r="AD546" i="2"/>
  <c r="AC546" i="2"/>
  <c r="AB546" i="2"/>
  <c r="AA546" i="2"/>
  <c r="Z546" i="2"/>
  <c r="Y546" i="2"/>
  <c r="X546" i="2"/>
  <c r="W546" i="2"/>
  <c r="V546" i="2"/>
  <c r="U546" i="2"/>
  <c r="T546" i="2"/>
  <c r="S546" i="2"/>
  <c r="R546" i="2"/>
  <c r="Q546" i="2"/>
  <c r="P546" i="2"/>
  <c r="O546" i="2"/>
  <c r="N546" i="2"/>
  <c r="M546" i="2"/>
  <c r="L546" i="2"/>
  <c r="K546" i="2"/>
  <c r="J546" i="2"/>
  <c r="I546" i="2"/>
  <c r="H546" i="2"/>
  <c r="G546" i="2"/>
  <c r="F546" i="2"/>
  <c r="E546" i="2"/>
  <c r="D546" i="2"/>
  <c r="C546" i="2"/>
  <c r="B546" i="2"/>
  <c r="AL545" i="2"/>
  <c r="AK545" i="2"/>
  <c r="AJ545" i="2"/>
  <c r="AI545" i="2"/>
  <c r="AH545" i="2"/>
  <c r="AG545" i="2"/>
  <c r="AF545" i="2"/>
  <c r="AE545" i="2"/>
  <c r="AD545" i="2"/>
  <c r="AC545" i="2"/>
  <c r="AB545" i="2"/>
  <c r="AA545" i="2"/>
  <c r="Z545" i="2"/>
  <c r="Y545" i="2"/>
  <c r="X545" i="2"/>
  <c r="W545" i="2"/>
  <c r="V545" i="2"/>
  <c r="U545" i="2"/>
  <c r="T545" i="2"/>
  <c r="S545" i="2"/>
  <c r="R545" i="2"/>
  <c r="Q545" i="2"/>
  <c r="P545" i="2"/>
  <c r="O545" i="2"/>
  <c r="N545" i="2"/>
  <c r="M545" i="2"/>
  <c r="L545" i="2"/>
  <c r="K545" i="2"/>
  <c r="J545" i="2"/>
  <c r="I545" i="2"/>
  <c r="H545" i="2"/>
  <c r="G545" i="2"/>
  <c r="F545" i="2"/>
  <c r="E545" i="2"/>
  <c r="D545" i="2"/>
  <c r="C545" i="2"/>
  <c r="B545" i="2"/>
  <c r="AL544" i="2"/>
  <c r="AK544" i="2"/>
  <c r="AJ544" i="2"/>
  <c r="AI544" i="2"/>
  <c r="AH544" i="2"/>
  <c r="AG544" i="2"/>
  <c r="AF544" i="2"/>
  <c r="AE544" i="2"/>
  <c r="AD544" i="2"/>
  <c r="AC544" i="2"/>
  <c r="AB544" i="2"/>
  <c r="AA544" i="2"/>
  <c r="Z544" i="2"/>
  <c r="Y544" i="2"/>
  <c r="X544" i="2"/>
  <c r="W544" i="2"/>
  <c r="V544" i="2"/>
  <c r="U544" i="2"/>
  <c r="T544" i="2"/>
  <c r="S544" i="2"/>
  <c r="R544" i="2"/>
  <c r="Q544" i="2"/>
  <c r="P544" i="2"/>
  <c r="O544" i="2"/>
  <c r="N544" i="2"/>
  <c r="M544" i="2"/>
  <c r="L544" i="2"/>
  <c r="K544" i="2"/>
  <c r="J544" i="2"/>
  <c r="I544" i="2"/>
  <c r="H544" i="2"/>
  <c r="G544" i="2"/>
  <c r="F544" i="2"/>
  <c r="E544" i="2"/>
  <c r="D544" i="2"/>
  <c r="C544" i="2"/>
  <c r="B544" i="2"/>
  <c r="AL543" i="2"/>
  <c r="AK543" i="2"/>
  <c r="AJ543" i="2"/>
  <c r="AI543" i="2"/>
  <c r="AH543" i="2"/>
  <c r="AG543" i="2"/>
  <c r="AF543" i="2"/>
  <c r="AE543" i="2"/>
  <c r="AD543" i="2"/>
  <c r="AC543" i="2"/>
  <c r="AB543" i="2"/>
  <c r="AA543" i="2"/>
  <c r="Z543" i="2"/>
  <c r="Y543" i="2"/>
  <c r="X543" i="2"/>
  <c r="W543" i="2"/>
  <c r="V543" i="2"/>
  <c r="U543" i="2"/>
  <c r="T543" i="2"/>
  <c r="S543" i="2"/>
  <c r="R543" i="2"/>
  <c r="Q543" i="2"/>
  <c r="P543" i="2"/>
  <c r="O543" i="2"/>
  <c r="N543" i="2"/>
  <c r="M543" i="2"/>
  <c r="L543" i="2"/>
  <c r="K543" i="2"/>
  <c r="J543" i="2"/>
  <c r="I543" i="2"/>
  <c r="H543" i="2"/>
  <c r="G543" i="2"/>
  <c r="F543" i="2"/>
  <c r="E543" i="2"/>
  <c r="D543" i="2"/>
  <c r="C543" i="2"/>
  <c r="B543" i="2"/>
  <c r="AL542" i="2"/>
  <c r="AK542" i="2"/>
  <c r="AJ542" i="2"/>
  <c r="AI542" i="2"/>
  <c r="AH542" i="2"/>
  <c r="AG542" i="2"/>
  <c r="AF542" i="2"/>
  <c r="AE542" i="2"/>
  <c r="AD542" i="2"/>
  <c r="AC542" i="2"/>
  <c r="AB542" i="2"/>
  <c r="AA542" i="2"/>
  <c r="Z542" i="2"/>
  <c r="Y542" i="2"/>
  <c r="X542" i="2"/>
  <c r="W542" i="2"/>
  <c r="V542" i="2"/>
  <c r="U542" i="2"/>
  <c r="T542" i="2"/>
  <c r="S542" i="2"/>
  <c r="R542" i="2"/>
  <c r="Q542" i="2"/>
  <c r="P542" i="2"/>
  <c r="O542" i="2"/>
  <c r="N542" i="2"/>
  <c r="M542" i="2"/>
  <c r="L542" i="2"/>
  <c r="K542" i="2"/>
  <c r="J542" i="2"/>
  <c r="I542" i="2"/>
  <c r="H542" i="2"/>
  <c r="G542" i="2"/>
  <c r="F542" i="2"/>
  <c r="E542" i="2"/>
  <c r="D542" i="2"/>
  <c r="C542" i="2"/>
  <c r="B542" i="2"/>
  <c r="AL541" i="2"/>
  <c r="AK541" i="2"/>
  <c r="AJ541" i="2"/>
  <c r="AI541" i="2"/>
  <c r="AH541" i="2"/>
  <c r="AG541" i="2"/>
  <c r="AF541" i="2"/>
  <c r="AE541" i="2"/>
  <c r="AD541" i="2"/>
  <c r="AC541" i="2"/>
  <c r="AB541" i="2"/>
  <c r="AA541" i="2"/>
  <c r="Z541" i="2"/>
  <c r="Y541" i="2"/>
  <c r="X541" i="2"/>
  <c r="W541" i="2"/>
  <c r="V541" i="2"/>
  <c r="U541" i="2"/>
  <c r="T541" i="2"/>
  <c r="S541" i="2"/>
  <c r="R541" i="2"/>
  <c r="Q541" i="2"/>
  <c r="P541" i="2"/>
  <c r="O541" i="2"/>
  <c r="N541" i="2"/>
  <c r="M541" i="2"/>
  <c r="L541" i="2"/>
  <c r="K541" i="2"/>
  <c r="J541" i="2"/>
  <c r="I541" i="2"/>
  <c r="H541" i="2"/>
  <c r="G541" i="2"/>
  <c r="F541" i="2"/>
  <c r="E541" i="2"/>
  <c r="D541" i="2"/>
  <c r="C541" i="2"/>
  <c r="B541" i="2"/>
  <c r="AL540" i="2"/>
  <c r="AK540" i="2"/>
  <c r="AJ540" i="2"/>
  <c r="AI540" i="2"/>
  <c r="AH540" i="2"/>
  <c r="AG540" i="2"/>
  <c r="AF540" i="2"/>
  <c r="AE540" i="2"/>
  <c r="AD540" i="2"/>
  <c r="AC540" i="2"/>
  <c r="AB540" i="2"/>
  <c r="AA540" i="2"/>
  <c r="Z540" i="2"/>
  <c r="Y540" i="2"/>
  <c r="X540" i="2"/>
  <c r="W540" i="2"/>
  <c r="V540" i="2"/>
  <c r="U540" i="2"/>
  <c r="T540" i="2"/>
  <c r="S540" i="2"/>
  <c r="R540" i="2"/>
  <c r="Q540" i="2"/>
  <c r="P540" i="2"/>
  <c r="O540" i="2"/>
  <c r="N540" i="2"/>
  <c r="M540" i="2"/>
  <c r="L540" i="2"/>
  <c r="K540" i="2"/>
  <c r="J540" i="2"/>
  <c r="I540" i="2"/>
  <c r="H540" i="2"/>
  <c r="G540" i="2"/>
  <c r="F540" i="2"/>
  <c r="E540" i="2"/>
  <c r="D540" i="2"/>
  <c r="C540" i="2"/>
  <c r="B540" i="2"/>
  <c r="AL539" i="2"/>
  <c r="AK539" i="2"/>
  <c r="AJ539" i="2"/>
  <c r="AI539" i="2"/>
  <c r="AH539" i="2"/>
  <c r="AG539" i="2"/>
  <c r="AF539" i="2"/>
  <c r="AE539" i="2"/>
  <c r="AD539" i="2"/>
  <c r="AC539" i="2"/>
  <c r="AB539" i="2"/>
  <c r="AA539" i="2"/>
  <c r="Z539" i="2"/>
  <c r="Y539" i="2"/>
  <c r="X539" i="2"/>
  <c r="W539" i="2"/>
  <c r="V539" i="2"/>
  <c r="U539" i="2"/>
  <c r="T539" i="2"/>
  <c r="S539" i="2"/>
  <c r="R539" i="2"/>
  <c r="Q539" i="2"/>
  <c r="P539" i="2"/>
  <c r="O539" i="2"/>
  <c r="N539" i="2"/>
  <c r="M539" i="2"/>
  <c r="L539" i="2"/>
  <c r="K539" i="2"/>
  <c r="J539" i="2"/>
  <c r="I539" i="2"/>
  <c r="H539" i="2"/>
  <c r="G539" i="2"/>
  <c r="F539" i="2"/>
  <c r="E539" i="2"/>
  <c r="D539" i="2"/>
  <c r="C539" i="2"/>
  <c r="B539" i="2"/>
  <c r="AL538" i="2"/>
  <c r="AK538" i="2"/>
  <c r="AJ538" i="2"/>
  <c r="AI538" i="2"/>
  <c r="AH538" i="2"/>
  <c r="AG538" i="2"/>
  <c r="AF538" i="2"/>
  <c r="AE538" i="2"/>
  <c r="AD538" i="2"/>
  <c r="AC538" i="2"/>
  <c r="AB538" i="2"/>
  <c r="AA538" i="2"/>
  <c r="Z538" i="2"/>
  <c r="Y538" i="2"/>
  <c r="X538" i="2"/>
  <c r="W538" i="2"/>
  <c r="V538" i="2"/>
  <c r="U538" i="2"/>
  <c r="T538" i="2"/>
  <c r="S538" i="2"/>
  <c r="R538" i="2"/>
  <c r="Q538" i="2"/>
  <c r="P538" i="2"/>
  <c r="O538" i="2"/>
  <c r="N538" i="2"/>
  <c r="M538" i="2"/>
  <c r="L538" i="2"/>
  <c r="K538" i="2"/>
  <c r="J538" i="2"/>
  <c r="I538" i="2"/>
  <c r="H538" i="2"/>
  <c r="G538" i="2"/>
  <c r="F538" i="2"/>
  <c r="E538" i="2"/>
  <c r="D538" i="2"/>
  <c r="C538" i="2"/>
  <c r="B538" i="2"/>
  <c r="AL537" i="2"/>
  <c r="AK537" i="2"/>
  <c r="AJ537" i="2"/>
  <c r="AI537" i="2"/>
  <c r="AH537" i="2"/>
  <c r="AG537" i="2"/>
  <c r="AF537" i="2"/>
  <c r="AE537" i="2"/>
  <c r="AD537" i="2"/>
  <c r="AC537" i="2"/>
  <c r="AB537" i="2"/>
  <c r="AA537" i="2"/>
  <c r="Z537" i="2"/>
  <c r="Y537" i="2"/>
  <c r="X537" i="2"/>
  <c r="W537" i="2"/>
  <c r="V537" i="2"/>
  <c r="U537" i="2"/>
  <c r="T537" i="2"/>
  <c r="S537" i="2"/>
  <c r="R537" i="2"/>
  <c r="Q537" i="2"/>
  <c r="P537" i="2"/>
  <c r="O537" i="2"/>
  <c r="N537" i="2"/>
  <c r="M537" i="2"/>
  <c r="L537" i="2"/>
  <c r="K537" i="2"/>
  <c r="J537" i="2"/>
  <c r="I537" i="2"/>
  <c r="H537" i="2"/>
  <c r="G537" i="2"/>
  <c r="F537" i="2"/>
  <c r="E537" i="2"/>
  <c r="D537" i="2"/>
  <c r="C537" i="2"/>
  <c r="B537" i="2"/>
  <c r="AL536" i="2"/>
  <c r="AK536" i="2"/>
  <c r="AJ536" i="2"/>
  <c r="AI536" i="2"/>
  <c r="AH536" i="2"/>
  <c r="AG536" i="2"/>
  <c r="AF536" i="2"/>
  <c r="AE536" i="2"/>
  <c r="AD536" i="2"/>
  <c r="AC536" i="2"/>
  <c r="AB536" i="2"/>
  <c r="AA536" i="2"/>
  <c r="Z536" i="2"/>
  <c r="Y536" i="2"/>
  <c r="X536" i="2"/>
  <c r="W536" i="2"/>
  <c r="V536" i="2"/>
  <c r="U536" i="2"/>
  <c r="T536" i="2"/>
  <c r="S536" i="2"/>
  <c r="R536" i="2"/>
  <c r="Q536" i="2"/>
  <c r="P536" i="2"/>
  <c r="O536" i="2"/>
  <c r="N536" i="2"/>
  <c r="M536" i="2"/>
  <c r="L536" i="2"/>
  <c r="K536" i="2"/>
  <c r="J536" i="2"/>
  <c r="I536" i="2"/>
  <c r="H536" i="2"/>
  <c r="G536" i="2"/>
  <c r="F536" i="2"/>
  <c r="E536" i="2"/>
  <c r="D536" i="2"/>
  <c r="C536" i="2"/>
  <c r="B536" i="2"/>
  <c r="AL535" i="2"/>
  <c r="AK535" i="2"/>
  <c r="AJ535" i="2"/>
  <c r="AI535" i="2"/>
  <c r="AH535" i="2"/>
  <c r="AG535" i="2"/>
  <c r="AF535" i="2"/>
  <c r="AE535" i="2"/>
  <c r="AD535" i="2"/>
  <c r="AC535" i="2"/>
  <c r="AB535" i="2"/>
  <c r="AA535" i="2"/>
  <c r="Z535" i="2"/>
  <c r="Y535" i="2"/>
  <c r="X535" i="2"/>
  <c r="W535" i="2"/>
  <c r="V535" i="2"/>
  <c r="U535" i="2"/>
  <c r="T535" i="2"/>
  <c r="S535" i="2"/>
  <c r="R535" i="2"/>
  <c r="Q535" i="2"/>
  <c r="P535" i="2"/>
  <c r="O535" i="2"/>
  <c r="N535" i="2"/>
  <c r="M535" i="2"/>
  <c r="L535" i="2"/>
  <c r="K535" i="2"/>
  <c r="J535" i="2"/>
  <c r="I535" i="2"/>
  <c r="H535" i="2"/>
  <c r="G535" i="2"/>
  <c r="F535" i="2"/>
  <c r="E535" i="2"/>
  <c r="D535" i="2"/>
  <c r="C535" i="2"/>
  <c r="B535" i="2"/>
  <c r="AL534" i="2"/>
  <c r="AK534" i="2"/>
  <c r="AJ534" i="2"/>
  <c r="AI534" i="2"/>
  <c r="AH534" i="2"/>
  <c r="AG534" i="2"/>
  <c r="AF534" i="2"/>
  <c r="AE534" i="2"/>
  <c r="AD534" i="2"/>
  <c r="AC534" i="2"/>
  <c r="AB534" i="2"/>
  <c r="AA534" i="2"/>
  <c r="Z534" i="2"/>
  <c r="Y534" i="2"/>
  <c r="X534" i="2"/>
  <c r="W534" i="2"/>
  <c r="V534" i="2"/>
  <c r="U534" i="2"/>
  <c r="T534" i="2"/>
  <c r="S534" i="2"/>
  <c r="R534" i="2"/>
  <c r="Q534" i="2"/>
  <c r="P534" i="2"/>
  <c r="O534" i="2"/>
  <c r="N534" i="2"/>
  <c r="M534" i="2"/>
  <c r="L534" i="2"/>
  <c r="K534" i="2"/>
  <c r="J534" i="2"/>
  <c r="I534" i="2"/>
  <c r="H534" i="2"/>
  <c r="G534" i="2"/>
  <c r="F534" i="2"/>
  <c r="E534" i="2"/>
  <c r="D534" i="2"/>
  <c r="C534" i="2"/>
  <c r="B534" i="2"/>
  <c r="AL533" i="2"/>
  <c r="AK533" i="2"/>
  <c r="AJ533" i="2"/>
  <c r="AI533" i="2"/>
  <c r="AH533" i="2"/>
  <c r="AG533" i="2"/>
  <c r="AF533" i="2"/>
  <c r="AE533" i="2"/>
  <c r="AD533" i="2"/>
  <c r="AC533" i="2"/>
  <c r="AB533" i="2"/>
  <c r="AA533" i="2"/>
  <c r="Z533" i="2"/>
  <c r="Y533" i="2"/>
  <c r="X533" i="2"/>
  <c r="W533" i="2"/>
  <c r="V533" i="2"/>
  <c r="U533" i="2"/>
  <c r="T533" i="2"/>
  <c r="S533" i="2"/>
  <c r="R533" i="2"/>
  <c r="Q533" i="2"/>
  <c r="P533" i="2"/>
  <c r="O533" i="2"/>
  <c r="N533" i="2"/>
  <c r="M533" i="2"/>
  <c r="L533" i="2"/>
  <c r="K533" i="2"/>
  <c r="J533" i="2"/>
  <c r="I533" i="2"/>
  <c r="H533" i="2"/>
  <c r="G533" i="2"/>
  <c r="F533" i="2"/>
  <c r="E533" i="2"/>
  <c r="D533" i="2"/>
  <c r="C533" i="2"/>
  <c r="B533" i="2"/>
  <c r="AL532" i="2"/>
  <c r="AK532" i="2"/>
  <c r="AJ532" i="2"/>
  <c r="AI532" i="2"/>
  <c r="AH532" i="2"/>
  <c r="AG532" i="2"/>
  <c r="AF532" i="2"/>
  <c r="AE532" i="2"/>
  <c r="AD532" i="2"/>
  <c r="AC532" i="2"/>
  <c r="AB532" i="2"/>
  <c r="AA532" i="2"/>
  <c r="Z532" i="2"/>
  <c r="Y532" i="2"/>
  <c r="X532" i="2"/>
  <c r="W532" i="2"/>
  <c r="V532" i="2"/>
  <c r="U532" i="2"/>
  <c r="T532" i="2"/>
  <c r="S532" i="2"/>
  <c r="R532" i="2"/>
  <c r="Q532" i="2"/>
  <c r="P532" i="2"/>
  <c r="O532" i="2"/>
  <c r="N532" i="2"/>
  <c r="M532" i="2"/>
  <c r="L532" i="2"/>
  <c r="K532" i="2"/>
  <c r="J532" i="2"/>
  <c r="I532" i="2"/>
  <c r="H532" i="2"/>
  <c r="G532" i="2"/>
  <c r="F532" i="2"/>
  <c r="E532" i="2"/>
  <c r="D532" i="2"/>
  <c r="C532" i="2"/>
  <c r="B532" i="2"/>
  <c r="AL531" i="2"/>
  <c r="AK531" i="2"/>
  <c r="AJ531" i="2"/>
  <c r="AI531" i="2"/>
  <c r="AH531" i="2"/>
  <c r="AG531" i="2"/>
  <c r="AF531" i="2"/>
  <c r="AE531" i="2"/>
  <c r="AD531" i="2"/>
  <c r="AC531" i="2"/>
  <c r="AB531" i="2"/>
  <c r="AA531" i="2"/>
  <c r="Z531" i="2"/>
  <c r="Y531" i="2"/>
  <c r="X531" i="2"/>
  <c r="W531" i="2"/>
  <c r="V531" i="2"/>
  <c r="U531" i="2"/>
  <c r="T531" i="2"/>
  <c r="S531" i="2"/>
  <c r="R531" i="2"/>
  <c r="Q531" i="2"/>
  <c r="P531" i="2"/>
  <c r="O531" i="2"/>
  <c r="N531" i="2"/>
  <c r="M531" i="2"/>
  <c r="L531" i="2"/>
  <c r="K531" i="2"/>
  <c r="J531" i="2"/>
  <c r="I531" i="2"/>
  <c r="H531" i="2"/>
  <c r="G531" i="2"/>
  <c r="F531" i="2"/>
  <c r="E531" i="2"/>
  <c r="D531" i="2"/>
  <c r="C531" i="2"/>
  <c r="B531" i="2"/>
  <c r="AL530" i="2"/>
  <c r="AK530" i="2"/>
  <c r="AJ530" i="2"/>
  <c r="AI530" i="2"/>
  <c r="AH530" i="2"/>
  <c r="AG530" i="2"/>
  <c r="AF530" i="2"/>
  <c r="AE530" i="2"/>
  <c r="AD530" i="2"/>
  <c r="AC530" i="2"/>
  <c r="AB530" i="2"/>
  <c r="AA530" i="2"/>
  <c r="Z530" i="2"/>
  <c r="Y530" i="2"/>
  <c r="X530" i="2"/>
  <c r="W530" i="2"/>
  <c r="V530" i="2"/>
  <c r="U530" i="2"/>
  <c r="T530" i="2"/>
  <c r="S530" i="2"/>
  <c r="R530" i="2"/>
  <c r="Q530" i="2"/>
  <c r="P530" i="2"/>
  <c r="O530" i="2"/>
  <c r="N530" i="2"/>
  <c r="M530" i="2"/>
  <c r="L530" i="2"/>
  <c r="K530" i="2"/>
  <c r="J530" i="2"/>
  <c r="I530" i="2"/>
  <c r="H530" i="2"/>
  <c r="G530" i="2"/>
  <c r="F530" i="2"/>
  <c r="E530" i="2"/>
  <c r="D530" i="2"/>
  <c r="C530" i="2"/>
  <c r="B530" i="2"/>
  <c r="AL529" i="2"/>
  <c r="AK529" i="2"/>
  <c r="AJ529" i="2"/>
  <c r="AI529" i="2"/>
  <c r="AH529" i="2"/>
  <c r="AG529" i="2"/>
  <c r="AF529" i="2"/>
  <c r="AE529" i="2"/>
  <c r="AD529" i="2"/>
  <c r="AC529" i="2"/>
  <c r="AB529" i="2"/>
  <c r="AA529" i="2"/>
  <c r="Z529" i="2"/>
  <c r="Y529" i="2"/>
  <c r="X529" i="2"/>
  <c r="W529" i="2"/>
  <c r="V529" i="2"/>
  <c r="U529" i="2"/>
  <c r="T529" i="2"/>
  <c r="S529" i="2"/>
  <c r="R529" i="2"/>
  <c r="Q529" i="2"/>
  <c r="P529" i="2"/>
  <c r="O529" i="2"/>
  <c r="N529" i="2"/>
  <c r="M529" i="2"/>
  <c r="L529" i="2"/>
  <c r="K529" i="2"/>
  <c r="J529" i="2"/>
  <c r="I529" i="2"/>
  <c r="H529" i="2"/>
  <c r="G529" i="2"/>
  <c r="F529" i="2"/>
  <c r="E529" i="2"/>
  <c r="D529" i="2"/>
  <c r="C529" i="2"/>
  <c r="B529" i="2"/>
  <c r="AL528" i="2"/>
  <c r="AK528" i="2"/>
  <c r="AJ528" i="2"/>
  <c r="AI528" i="2"/>
  <c r="AH528" i="2"/>
  <c r="AG528" i="2"/>
  <c r="AF528" i="2"/>
  <c r="AE528" i="2"/>
  <c r="AD528" i="2"/>
  <c r="AC528" i="2"/>
  <c r="AB528" i="2"/>
  <c r="AA528" i="2"/>
  <c r="Z528" i="2"/>
  <c r="Y528" i="2"/>
  <c r="X528" i="2"/>
  <c r="W528" i="2"/>
  <c r="V528" i="2"/>
  <c r="U528" i="2"/>
  <c r="T528" i="2"/>
  <c r="S528" i="2"/>
  <c r="R528" i="2"/>
  <c r="Q528" i="2"/>
  <c r="P528" i="2"/>
  <c r="O528" i="2"/>
  <c r="N528" i="2"/>
  <c r="M528" i="2"/>
  <c r="L528" i="2"/>
  <c r="K528" i="2"/>
  <c r="J528" i="2"/>
  <c r="I528" i="2"/>
  <c r="H528" i="2"/>
  <c r="G528" i="2"/>
  <c r="F528" i="2"/>
  <c r="E528" i="2"/>
  <c r="D528" i="2"/>
  <c r="C528" i="2"/>
  <c r="B528" i="2"/>
  <c r="AL527" i="2"/>
  <c r="AK527" i="2"/>
  <c r="AJ527" i="2"/>
  <c r="AI527" i="2"/>
  <c r="AH527" i="2"/>
  <c r="AG527" i="2"/>
  <c r="AF527" i="2"/>
  <c r="AE527" i="2"/>
  <c r="AD527" i="2"/>
  <c r="AC527" i="2"/>
  <c r="AB527" i="2"/>
  <c r="AA527" i="2"/>
  <c r="Z527" i="2"/>
  <c r="Y527" i="2"/>
  <c r="X527" i="2"/>
  <c r="W527" i="2"/>
  <c r="V527" i="2"/>
  <c r="U527" i="2"/>
  <c r="T527" i="2"/>
  <c r="S527" i="2"/>
  <c r="R527" i="2"/>
  <c r="Q527" i="2"/>
  <c r="P527" i="2"/>
  <c r="O527" i="2"/>
  <c r="N527" i="2"/>
  <c r="M527" i="2"/>
  <c r="L527" i="2"/>
  <c r="K527" i="2"/>
  <c r="J527" i="2"/>
  <c r="I527" i="2"/>
  <c r="H527" i="2"/>
  <c r="G527" i="2"/>
  <c r="F527" i="2"/>
  <c r="E527" i="2"/>
  <c r="D527" i="2"/>
  <c r="C527" i="2"/>
  <c r="B527" i="2"/>
  <c r="AL526" i="2"/>
  <c r="AK526" i="2"/>
  <c r="AJ526" i="2"/>
  <c r="AI526" i="2"/>
  <c r="AH526" i="2"/>
  <c r="AG526" i="2"/>
  <c r="AF526" i="2"/>
  <c r="AE526" i="2"/>
  <c r="AD526" i="2"/>
  <c r="AC526" i="2"/>
  <c r="AB526" i="2"/>
  <c r="AA526" i="2"/>
  <c r="Z526" i="2"/>
  <c r="Y526" i="2"/>
  <c r="X526" i="2"/>
  <c r="W526" i="2"/>
  <c r="V526" i="2"/>
  <c r="U526" i="2"/>
  <c r="T526" i="2"/>
  <c r="S526" i="2"/>
  <c r="R526" i="2"/>
  <c r="Q526" i="2"/>
  <c r="P526" i="2"/>
  <c r="O526" i="2"/>
  <c r="N526" i="2"/>
  <c r="M526" i="2"/>
  <c r="L526" i="2"/>
  <c r="K526" i="2"/>
  <c r="J526" i="2"/>
  <c r="I526" i="2"/>
  <c r="H526" i="2"/>
  <c r="G526" i="2"/>
  <c r="F526" i="2"/>
  <c r="E526" i="2"/>
  <c r="D526" i="2"/>
  <c r="C526" i="2"/>
  <c r="B526" i="2"/>
  <c r="AL525" i="2"/>
  <c r="AK525" i="2"/>
  <c r="AJ525" i="2"/>
  <c r="AI525" i="2"/>
  <c r="AH525" i="2"/>
  <c r="AG525" i="2"/>
  <c r="AF525" i="2"/>
  <c r="AE525" i="2"/>
  <c r="AD525" i="2"/>
  <c r="AC525" i="2"/>
  <c r="AB525" i="2"/>
  <c r="AA525" i="2"/>
  <c r="Z525" i="2"/>
  <c r="Y525" i="2"/>
  <c r="X525" i="2"/>
  <c r="W525" i="2"/>
  <c r="V525" i="2"/>
  <c r="U525" i="2"/>
  <c r="T525" i="2"/>
  <c r="S525" i="2"/>
  <c r="R525" i="2"/>
  <c r="Q525" i="2"/>
  <c r="P525" i="2"/>
  <c r="O525" i="2"/>
  <c r="N525" i="2"/>
  <c r="M525" i="2"/>
  <c r="L525" i="2"/>
  <c r="K525" i="2"/>
  <c r="J525" i="2"/>
  <c r="I525" i="2"/>
  <c r="H525" i="2"/>
  <c r="G525" i="2"/>
  <c r="F525" i="2"/>
  <c r="E525" i="2"/>
  <c r="D525" i="2"/>
  <c r="C525" i="2"/>
  <c r="B525" i="2"/>
  <c r="AL524" i="2"/>
  <c r="AK524" i="2"/>
  <c r="AJ524" i="2"/>
  <c r="AI524" i="2"/>
  <c r="AH524" i="2"/>
  <c r="AG524" i="2"/>
  <c r="AF524" i="2"/>
  <c r="AE524" i="2"/>
  <c r="AD524" i="2"/>
  <c r="AC524" i="2"/>
  <c r="AB524" i="2"/>
  <c r="AA524" i="2"/>
  <c r="Z524" i="2"/>
  <c r="Y524" i="2"/>
  <c r="X524" i="2"/>
  <c r="W524" i="2"/>
  <c r="V524" i="2"/>
  <c r="U524" i="2"/>
  <c r="T524" i="2"/>
  <c r="S524" i="2"/>
  <c r="R524" i="2"/>
  <c r="Q524" i="2"/>
  <c r="P524" i="2"/>
  <c r="O524" i="2"/>
  <c r="N524" i="2"/>
  <c r="M524" i="2"/>
  <c r="L524" i="2"/>
  <c r="K524" i="2"/>
  <c r="J524" i="2"/>
  <c r="I524" i="2"/>
  <c r="H524" i="2"/>
  <c r="G524" i="2"/>
  <c r="F524" i="2"/>
  <c r="E524" i="2"/>
  <c r="D524" i="2"/>
  <c r="C524" i="2"/>
  <c r="B524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AL518" i="2"/>
  <c r="AK518" i="2"/>
  <c r="AJ518" i="2"/>
  <c r="AI518" i="2"/>
  <c r="AH518" i="2"/>
  <c r="AG518" i="2"/>
  <c r="AF518" i="2"/>
  <c r="AE518" i="2"/>
  <c r="AD518" i="2"/>
  <c r="AC518" i="2"/>
  <c r="AB518" i="2"/>
  <c r="AA518" i="2"/>
  <c r="Z518" i="2"/>
  <c r="Y518" i="2"/>
  <c r="X518" i="2"/>
  <c r="W518" i="2"/>
  <c r="V518" i="2"/>
  <c r="U518" i="2"/>
  <c r="T518" i="2"/>
  <c r="S518" i="2"/>
  <c r="R518" i="2"/>
  <c r="Q518" i="2"/>
  <c r="P518" i="2"/>
  <c r="O518" i="2"/>
  <c r="N518" i="2"/>
  <c r="M518" i="2"/>
  <c r="L518" i="2"/>
  <c r="K518" i="2"/>
  <c r="J518" i="2"/>
  <c r="I518" i="2"/>
  <c r="H518" i="2"/>
  <c r="G518" i="2"/>
  <c r="F518" i="2"/>
  <c r="E518" i="2"/>
  <c r="D518" i="2"/>
  <c r="C518" i="2"/>
  <c r="B518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AL512" i="2"/>
  <c r="AK512" i="2"/>
  <c r="AJ512" i="2"/>
  <c r="AI512" i="2"/>
  <c r="AH512" i="2"/>
  <c r="AG512" i="2"/>
  <c r="AF512" i="2"/>
  <c r="AE512" i="2"/>
  <c r="AD512" i="2"/>
  <c r="AC512" i="2"/>
  <c r="AB512" i="2"/>
  <c r="AA512" i="2"/>
  <c r="Z512" i="2"/>
  <c r="Y512" i="2"/>
  <c r="X512" i="2"/>
  <c r="W512" i="2"/>
  <c r="V512" i="2"/>
  <c r="U512" i="2"/>
  <c r="T512" i="2"/>
  <c r="S512" i="2"/>
  <c r="R512" i="2"/>
  <c r="Q512" i="2"/>
  <c r="P512" i="2"/>
  <c r="O512" i="2"/>
  <c r="N512" i="2"/>
  <c r="M512" i="2"/>
  <c r="L512" i="2"/>
  <c r="K512" i="2"/>
  <c r="J512" i="2"/>
  <c r="I512" i="2"/>
  <c r="H512" i="2"/>
  <c r="G512" i="2"/>
  <c r="F512" i="2"/>
  <c r="E512" i="2"/>
  <c r="D512" i="2"/>
  <c r="C512" i="2"/>
  <c r="B512" i="2"/>
  <c r="AL511" i="2"/>
  <c r="AK511" i="2"/>
  <c r="AJ511" i="2"/>
  <c r="AI511" i="2"/>
  <c r="AH511" i="2"/>
  <c r="AG511" i="2"/>
  <c r="AF511" i="2"/>
  <c r="AE511" i="2"/>
  <c r="AD511" i="2"/>
  <c r="AC511" i="2"/>
  <c r="AB511" i="2"/>
  <c r="AA511" i="2"/>
  <c r="Z511" i="2"/>
  <c r="Y511" i="2"/>
  <c r="X511" i="2"/>
  <c r="W511" i="2"/>
  <c r="V511" i="2"/>
  <c r="U511" i="2"/>
  <c r="T511" i="2"/>
  <c r="S511" i="2"/>
  <c r="R511" i="2"/>
  <c r="Q511" i="2"/>
  <c r="P511" i="2"/>
  <c r="O511" i="2"/>
  <c r="N511" i="2"/>
  <c r="M511" i="2"/>
  <c r="L511" i="2"/>
  <c r="K511" i="2"/>
  <c r="J511" i="2"/>
  <c r="I511" i="2"/>
  <c r="H511" i="2"/>
  <c r="G511" i="2"/>
  <c r="F511" i="2"/>
  <c r="E511" i="2"/>
  <c r="D511" i="2"/>
  <c r="C511" i="2"/>
  <c r="B511" i="2"/>
  <c r="AL510" i="2"/>
  <c r="AK510" i="2"/>
  <c r="AJ510" i="2"/>
  <c r="AI510" i="2"/>
  <c r="AH510" i="2"/>
  <c r="AG510" i="2"/>
  <c r="AF510" i="2"/>
  <c r="AE510" i="2"/>
  <c r="AD510" i="2"/>
  <c r="AC510" i="2"/>
  <c r="AB510" i="2"/>
  <c r="AA510" i="2"/>
  <c r="Z510" i="2"/>
  <c r="Y510" i="2"/>
  <c r="X510" i="2"/>
  <c r="W510" i="2"/>
  <c r="V510" i="2"/>
  <c r="U510" i="2"/>
  <c r="T510" i="2"/>
  <c r="S510" i="2"/>
  <c r="R510" i="2"/>
  <c r="Q510" i="2"/>
  <c r="P510" i="2"/>
  <c r="O510" i="2"/>
  <c r="N510" i="2"/>
  <c r="M510" i="2"/>
  <c r="L510" i="2"/>
  <c r="K510" i="2"/>
  <c r="J510" i="2"/>
  <c r="I510" i="2"/>
  <c r="H510" i="2"/>
  <c r="G510" i="2"/>
  <c r="F510" i="2"/>
  <c r="E510" i="2"/>
  <c r="D510" i="2"/>
  <c r="C510" i="2"/>
  <c r="B510" i="2"/>
  <c r="AL509" i="2"/>
  <c r="AK509" i="2"/>
  <c r="AJ509" i="2"/>
  <c r="AI509" i="2"/>
  <c r="AH509" i="2"/>
  <c r="AG509" i="2"/>
  <c r="AF509" i="2"/>
  <c r="AE509" i="2"/>
  <c r="AD509" i="2"/>
  <c r="AC509" i="2"/>
  <c r="AB509" i="2"/>
  <c r="AA509" i="2"/>
  <c r="Z509" i="2"/>
  <c r="Y509" i="2"/>
  <c r="X509" i="2"/>
  <c r="W509" i="2"/>
  <c r="V509" i="2"/>
  <c r="U509" i="2"/>
  <c r="T509" i="2"/>
  <c r="S509" i="2"/>
  <c r="R509" i="2"/>
  <c r="Q509" i="2"/>
  <c r="P509" i="2"/>
  <c r="O509" i="2"/>
  <c r="N509" i="2"/>
  <c r="M509" i="2"/>
  <c r="L509" i="2"/>
  <c r="K509" i="2"/>
  <c r="J509" i="2"/>
  <c r="I509" i="2"/>
  <c r="H509" i="2"/>
  <c r="G509" i="2"/>
  <c r="F509" i="2"/>
  <c r="E509" i="2"/>
  <c r="D509" i="2"/>
  <c r="C509" i="2"/>
  <c r="B509" i="2"/>
  <c r="AL508" i="2"/>
  <c r="AK508" i="2"/>
  <c r="AJ508" i="2"/>
  <c r="AI508" i="2"/>
  <c r="AH508" i="2"/>
  <c r="AG508" i="2"/>
  <c r="AF508" i="2"/>
  <c r="AE508" i="2"/>
  <c r="AD508" i="2"/>
  <c r="AC508" i="2"/>
  <c r="AB508" i="2"/>
  <c r="AA508" i="2"/>
  <c r="Z508" i="2"/>
  <c r="Y508" i="2"/>
  <c r="X508" i="2"/>
  <c r="W508" i="2"/>
  <c r="V508" i="2"/>
  <c r="U508" i="2"/>
  <c r="T508" i="2"/>
  <c r="S508" i="2"/>
  <c r="R508" i="2"/>
  <c r="Q508" i="2"/>
  <c r="P508" i="2"/>
  <c r="O508" i="2"/>
  <c r="N508" i="2"/>
  <c r="M508" i="2"/>
  <c r="L508" i="2"/>
  <c r="K508" i="2"/>
  <c r="J508" i="2"/>
  <c r="I508" i="2"/>
  <c r="H508" i="2"/>
  <c r="G508" i="2"/>
  <c r="F508" i="2"/>
  <c r="E508" i="2"/>
  <c r="D508" i="2"/>
  <c r="C508" i="2"/>
  <c r="B508" i="2"/>
  <c r="AL507" i="2"/>
  <c r="AK507" i="2"/>
  <c r="AJ507" i="2"/>
  <c r="AI507" i="2"/>
  <c r="AH507" i="2"/>
  <c r="AG507" i="2"/>
  <c r="AF507" i="2"/>
  <c r="AE507" i="2"/>
  <c r="AD507" i="2"/>
  <c r="AC507" i="2"/>
  <c r="AB507" i="2"/>
  <c r="AA507" i="2"/>
  <c r="Z507" i="2"/>
  <c r="Y507" i="2"/>
  <c r="X507" i="2"/>
  <c r="W507" i="2"/>
  <c r="V507" i="2"/>
  <c r="U507" i="2"/>
  <c r="T507" i="2"/>
  <c r="S507" i="2"/>
  <c r="R507" i="2"/>
  <c r="Q507" i="2"/>
  <c r="P507" i="2"/>
  <c r="O507" i="2"/>
  <c r="N507" i="2"/>
  <c r="M507" i="2"/>
  <c r="L507" i="2"/>
  <c r="K507" i="2"/>
  <c r="J507" i="2"/>
  <c r="I507" i="2"/>
  <c r="H507" i="2"/>
  <c r="G507" i="2"/>
  <c r="F507" i="2"/>
  <c r="E507" i="2"/>
  <c r="D507" i="2"/>
  <c r="C507" i="2"/>
  <c r="B507" i="2"/>
  <c r="AL506" i="2"/>
  <c r="AK506" i="2"/>
  <c r="AJ506" i="2"/>
  <c r="AI506" i="2"/>
  <c r="AH506" i="2"/>
  <c r="AG506" i="2"/>
  <c r="AF506" i="2"/>
  <c r="AE506" i="2"/>
  <c r="AD506" i="2"/>
  <c r="AC506" i="2"/>
  <c r="AB506" i="2"/>
  <c r="AA506" i="2"/>
  <c r="Z506" i="2"/>
  <c r="Y506" i="2"/>
  <c r="X506" i="2"/>
  <c r="W506" i="2"/>
  <c r="V506" i="2"/>
  <c r="U506" i="2"/>
  <c r="T506" i="2"/>
  <c r="S506" i="2"/>
  <c r="R506" i="2"/>
  <c r="Q506" i="2"/>
  <c r="P506" i="2"/>
  <c r="O506" i="2"/>
  <c r="N506" i="2"/>
  <c r="M506" i="2"/>
  <c r="L506" i="2"/>
  <c r="K506" i="2"/>
  <c r="J506" i="2"/>
  <c r="I506" i="2"/>
  <c r="H506" i="2"/>
  <c r="G506" i="2"/>
  <c r="F506" i="2"/>
  <c r="E506" i="2"/>
  <c r="D506" i="2"/>
  <c r="C506" i="2"/>
  <c r="B506" i="2"/>
  <c r="AL505" i="2"/>
  <c r="AK505" i="2"/>
  <c r="AJ505" i="2"/>
  <c r="AI505" i="2"/>
  <c r="AH505" i="2"/>
  <c r="AG505" i="2"/>
  <c r="AF505" i="2"/>
  <c r="AE505" i="2"/>
  <c r="AD505" i="2"/>
  <c r="AC505" i="2"/>
  <c r="AB505" i="2"/>
  <c r="AA505" i="2"/>
  <c r="Z505" i="2"/>
  <c r="Y505" i="2"/>
  <c r="X505" i="2"/>
  <c r="W505" i="2"/>
  <c r="V505" i="2"/>
  <c r="U505" i="2"/>
  <c r="T505" i="2"/>
  <c r="S505" i="2"/>
  <c r="R505" i="2"/>
  <c r="Q505" i="2"/>
  <c r="P505" i="2"/>
  <c r="O505" i="2"/>
  <c r="N505" i="2"/>
  <c r="M505" i="2"/>
  <c r="L505" i="2"/>
  <c r="K505" i="2"/>
  <c r="J505" i="2"/>
  <c r="I505" i="2"/>
  <c r="H505" i="2"/>
  <c r="G505" i="2"/>
  <c r="F505" i="2"/>
  <c r="E505" i="2"/>
  <c r="D505" i="2"/>
  <c r="C505" i="2"/>
  <c r="B505" i="2"/>
  <c r="AL504" i="2"/>
  <c r="AK504" i="2"/>
  <c r="AJ504" i="2"/>
  <c r="AI504" i="2"/>
  <c r="AH504" i="2"/>
  <c r="AG504" i="2"/>
  <c r="AF504" i="2"/>
  <c r="AE504" i="2"/>
  <c r="AD504" i="2"/>
  <c r="AC504" i="2"/>
  <c r="AB504" i="2"/>
  <c r="AA504" i="2"/>
  <c r="Z504" i="2"/>
  <c r="Y504" i="2"/>
  <c r="X504" i="2"/>
  <c r="W504" i="2"/>
  <c r="V504" i="2"/>
  <c r="U504" i="2"/>
  <c r="T504" i="2"/>
  <c r="S504" i="2"/>
  <c r="R504" i="2"/>
  <c r="Q504" i="2"/>
  <c r="P504" i="2"/>
  <c r="O504" i="2"/>
  <c r="N504" i="2"/>
  <c r="M504" i="2"/>
  <c r="L504" i="2"/>
  <c r="K504" i="2"/>
  <c r="J504" i="2"/>
  <c r="I504" i="2"/>
  <c r="H504" i="2"/>
  <c r="G504" i="2"/>
  <c r="F504" i="2"/>
  <c r="E504" i="2"/>
  <c r="D504" i="2"/>
  <c r="C504" i="2"/>
  <c r="B504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AL500" i="2"/>
  <c r="AK500" i="2"/>
  <c r="AJ500" i="2"/>
  <c r="AI500" i="2"/>
  <c r="AH500" i="2"/>
  <c r="AG500" i="2"/>
  <c r="AF500" i="2"/>
  <c r="AE500" i="2"/>
  <c r="AD500" i="2"/>
  <c r="AC500" i="2"/>
  <c r="AB500" i="2"/>
  <c r="AA500" i="2"/>
  <c r="Z500" i="2"/>
  <c r="Y500" i="2"/>
  <c r="X500" i="2"/>
  <c r="W500" i="2"/>
  <c r="V500" i="2"/>
  <c r="U500" i="2"/>
  <c r="T500" i="2"/>
  <c r="S500" i="2"/>
  <c r="R500" i="2"/>
  <c r="Q500" i="2"/>
  <c r="P500" i="2"/>
  <c r="O500" i="2"/>
  <c r="N500" i="2"/>
  <c r="M500" i="2"/>
  <c r="L500" i="2"/>
  <c r="K500" i="2"/>
  <c r="J500" i="2"/>
  <c r="I500" i="2"/>
  <c r="H500" i="2"/>
  <c r="G500" i="2"/>
  <c r="F500" i="2"/>
  <c r="E500" i="2"/>
  <c r="D500" i="2"/>
  <c r="C500" i="2"/>
  <c r="B500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AL494" i="2"/>
  <c r="AK494" i="2"/>
  <c r="AJ494" i="2"/>
  <c r="AI494" i="2"/>
  <c r="AH494" i="2"/>
  <c r="AG494" i="2"/>
  <c r="AF494" i="2"/>
  <c r="AE494" i="2"/>
  <c r="AD494" i="2"/>
  <c r="AC494" i="2"/>
  <c r="AB494" i="2"/>
  <c r="AA494" i="2"/>
  <c r="Z494" i="2"/>
  <c r="Y494" i="2"/>
  <c r="X494" i="2"/>
  <c r="W494" i="2"/>
  <c r="V494" i="2"/>
  <c r="U494" i="2"/>
  <c r="T494" i="2"/>
  <c r="S494" i="2"/>
  <c r="R494" i="2"/>
  <c r="Q494" i="2"/>
  <c r="P494" i="2"/>
  <c r="O494" i="2"/>
  <c r="N494" i="2"/>
  <c r="M494" i="2"/>
  <c r="L494" i="2"/>
  <c r="K494" i="2"/>
  <c r="J494" i="2"/>
  <c r="I494" i="2"/>
  <c r="H494" i="2"/>
  <c r="G494" i="2"/>
  <c r="F494" i="2"/>
  <c r="E494" i="2"/>
  <c r="D494" i="2"/>
  <c r="C494" i="2"/>
  <c r="B494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AL487" i="2"/>
  <c r="AK487" i="2"/>
  <c r="AJ487" i="2"/>
  <c r="AI487" i="2"/>
  <c r="AH487" i="2"/>
  <c r="AG487" i="2"/>
  <c r="AF487" i="2"/>
  <c r="AE487" i="2"/>
  <c r="AD487" i="2"/>
  <c r="AC487" i="2"/>
  <c r="AB487" i="2"/>
  <c r="AA487" i="2"/>
  <c r="Z487" i="2"/>
  <c r="Y487" i="2"/>
  <c r="X487" i="2"/>
  <c r="W487" i="2"/>
  <c r="V487" i="2"/>
  <c r="U487" i="2"/>
  <c r="T487" i="2"/>
  <c r="S487" i="2"/>
  <c r="R487" i="2"/>
  <c r="Q487" i="2"/>
  <c r="P487" i="2"/>
  <c r="O487" i="2"/>
  <c r="N487" i="2"/>
  <c r="M487" i="2"/>
  <c r="L487" i="2"/>
  <c r="K487" i="2"/>
  <c r="J487" i="2"/>
  <c r="I487" i="2"/>
  <c r="H487" i="2"/>
  <c r="G487" i="2"/>
  <c r="F487" i="2"/>
  <c r="E487" i="2"/>
  <c r="D487" i="2"/>
  <c r="C487" i="2"/>
  <c r="B487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C583" i="2" s="1"/>
  <c r="B482" i="2"/>
  <c r="AL481" i="2"/>
  <c r="AK481" i="2"/>
  <c r="AJ481" i="2"/>
  <c r="AI481" i="2"/>
  <c r="AH481" i="2"/>
  <c r="AG481" i="2"/>
  <c r="AF481" i="2"/>
  <c r="AE481" i="2"/>
  <c r="AD481" i="2"/>
  <c r="AC481" i="2"/>
  <c r="AB481" i="2"/>
  <c r="AA481" i="2"/>
  <c r="Z481" i="2"/>
  <c r="Y481" i="2"/>
  <c r="X481" i="2"/>
  <c r="W481" i="2"/>
  <c r="V481" i="2"/>
  <c r="U481" i="2"/>
  <c r="T481" i="2"/>
  <c r="S481" i="2"/>
  <c r="R481" i="2"/>
  <c r="Q481" i="2"/>
  <c r="P481" i="2"/>
  <c r="O481" i="2"/>
  <c r="N481" i="2"/>
  <c r="M481" i="2"/>
  <c r="L481" i="2"/>
  <c r="K481" i="2"/>
  <c r="J481" i="2"/>
  <c r="I481" i="2"/>
  <c r="H481" i="2"/>
  <c r="G481" i="2"/>
  <c r="F481" i="2"/>
  <c r="E481" i="2"/>
  <c r="D481" i="2"/>
  <c r="C481" i="2"/>
  <c r="B481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AL478" i="2"/>
  <c r="AK478" i="2"/>
  <c r="AJ478" i="2"/>
  <c r="AI478" i="2"/>
  <c r="AH478" i="2"/>
  <c r="AG478" i="2"/>
  <c r="AF478" i="2"/>
  <c r="AE478" i="2"/>
  <c r="AD478" i="2"/>
  <c r="AC478" i="2"/>
  <c r="AB478" i="2"/>
  <c r="AA478" i="2"/>
  <c r="Z478" i="2"/>
  <c r="Y478" i="2"/>
  <c r="X478" i="2"/>
  <c r="W478" i="2"/>
  <c r="V478" i="2"/>
  <c r="U478" i="2"/>
  <c r="T478" i="2"/>
  <c r="S478" i="2"/>
  <c r="R478" i="2"/>
  <c r="Q478" i="2"/>
  <c r="P478" i="2"/>
  <c r="O478" i="2"/>
  <c r="N478" i="2"/>
  <c r="M478" i="2"/>
  <c r="L478" i="2"/>
  <c r="K478" i="2"/>
  <c r="J478" i="2"/>
  <c r="I478" i="2"/>
  <c r="H478" i="2"/>
  <c r="G478" i="2"/>
  <c r="F478" i="2"/>
  <c r="E478" i="2"/>
  <c r="D478" i="2"/>
  <c r="C478" i="2"/>
  <c r="B478" i="2"/>
  <c r="AL477" i="2"/>
  <c r="AK477" i="2"/>
  <c r="AJ477" i="2"/>
  <c r="AI477" i="2"/>
  <c r="AH477" i="2"/>
  <c r="AG477" i="2"/>
  <c r="AF477" i="2"/>
  <c r="AE477" i="2"/>
  <c r="AD477" i="2"/>
  <c r="AC477" i="2"/>
  <c r="AB477" i="2"/>
  <c r="AA477" i="2"/>
  <c r="Z477" i="2"/>
  <c r="Y477" i="2"/>
  <c r="X477" i="2"/>
  <c r="W477" i="2"/>
  <c r="V477" i="2"/>
  <c r="U477" i="2"/>
  <c r="T477" i="2"/>
  <c r="S477" i="2"/>
  <c r="R477" i="2"/>
  <c r="Q477" i="2"/>
  <c r="P477" i="2"/>
  <c r="O477" i="2"/>
  <c r="N477" i="2"/>
  <c r="M477" i="2"/>
  <c r="L477" i="2"/>
  <c r="K477" i="2"/>
  <c r="J477" i="2"/>
  <c r="I477" i="2"/>
  <c r="H477" i="2"/>
  <c r="G477" i="2"/>
  <c r="F477" i="2"/>
  <c r="E477" i="2"/>
  <c r="D477" i="2"/>
  <c r="C477" i="2"/>
  <c r="B477" i="2"/>
  <c r="AL476" i="2"/>
  <c r="AK476" i="2"/>
  <c r="AJ476" i="2"/>
  <c r="AI476" i="2"/>
  <c r="AH476" i="2"/>
  <c r="AG476" i="2"/>
  <c r="AF476" i="2"/>
  <c r="AE476" i="2"/>
  <c r="AD476" i="2"/>
  <c r="AC476" i="2"/>
  <c r="AB476" i="2"/>
  <c r="AA476" i="2"/>
  <c r="Z476" i="2"/>
  <c r="Y476" i="2"/>
  <c r="X476" i="2"/>
  <c r="W476" i="2"/>
  <c r="V476" i="2"/>
  <c r="U476" i="2"/>
  <c r="T476" i="2"/>
  <c r="S476" i="2"/>
  <c r="R476" i="2"/>
  <c r="Q476" i="2"/>
  <c r="P476" i="2"/>
  <c r="O476" i="2"/>
  <c r="N476" i="2"/>
  <c r="M476" i="2"/>
  <c r="L476" i="2"/>
  <c r="K476" i="2"/>
  <c r="J476" i="2"/>
  <c r="I476" i="2"/>
  <c r="H476" i="2"/>
  <c r="G476" i="2"/>
  <c r="F476" i="2"/>
  <c r="E476" i="2"/>
  <c r="D476" i="2"/>
  <c r="C476" i="2"/>
  <c r="B476" i="2"/>
  <c r="AL475" i="2"/>
  <c r="AK475" i="2"/>
  <c r="AJ475" i="2"/>
  <c r="AI475" i="2"/>
  <c r="AH475" i="2"/>
  <c r="AG475" i="2"/>
  <c r="AF475" i="2"/>
  <c r="AE475" i="2"/>
  <c r="AD475" i="2"/>
  <c r="AC475" i="2"/>
  <c r="AB475" i="2"/>
  <c r="AA475" i="2"/>
  <c r="Z475" i="2"/>
  <c r="Y475" i="2"/>
  <c r="X475" i="2"/>
  <c r="W475" i="2"/>
  <c r="V475" i="2"/>
  <c r="U475" i="2"/>
  <c r="T475" i="2"/>
  <c r="S475" i="2"/>
  <c r="R475" i="2"/>
  <c r="Q475" i="2"/>
  <c r="P475" i="2"/>
  <c r="O475" i="2"/>
  <c r="N475" i="2"/>
  <c r="M475" i="2"/>
  <c r="L475" i="2"/>
  <c r="K475" i="2"/>
  <c r="J475" i="2"/>
  <c r="I475" i="2"/>
  <c r="H475" i="2"/>
  <c r="G475" i="2"/>
  <c r="F475" i="2"/>
  <c r="E475" i="2"/>
  <c r="D475" i="2"/>
  <c r="C475" i="2"/>
  <c r="B475" i="2"/>
  <c r="AL474" i="2"/>
  <c r="AK474" i="2"/>
  <c r="AJ474" i="2"/>
  <c r="AI474" i="2"/>
  <c r="AH474" i="2"/>
  <c r="AG474" i="2"/>
  <c r="AF474" i="2"/>
  <c r="AE474" i="2"/>
  <c r="AD474" i="2"/>
  <c r="AC474" i="2"/>
  <c r="AB474" i="2"/>
  <c r="AA474" i="2"/>
  <c r="Z474" i="2"/>
  <c r="Y474" i="2"/>
  <c r="X474" i="2"/>
  <c r="W474" i="2"/>
  <c r="V474" i="2"/>
  <c r="U474" i="2"/>
  <c r="T474" i="2"/>
  <c r="S474" i="2"/>
  <c r="R474" i="2"/>
  <c r="Q474" i="2"/>
  <c r="P474" i="2"/>
  <c r="O474" i="2"/>
  <c r="N474" i="2"/>
  <c r="M474" i="2"/>
  <c r="L474" i="2"/>
  <c r="K474" i="2"/>
  <c r="J474" i="2"/>
  <c r="I474" i="2"/>
  <c r="H474" i="2"/>
  <c r="G474" i="2"/>
  <c r="F474" i="2"/>
  <c r="E474" i="2"/>
  <c r="D474" i="2"/>
  <c r="C474" i="2"/>
  <c r="B474" i="2"/>
  <c r="AL473" i="2"/>
  <c r="AK473" i="2"/>
  <c r="AJ473" i="2"/>
  <c r="AI473" i="2"/>
  <c r="AH473" i="2"/>
  <c r="AG473" i="2"/>
  <c r="AF473" i="2"/>
  <c r="AE473" i="2"/>
  <c r="AD473" i="2"/>
  <c r="AC473" i="2"/>
  <c r="AB473" i="2"/>
  <c r="AA473" i="2"/>
  <c r="Z473" i="2"/>
  <c r="Y473" i="2"/>
  <c r="X473" i="2"/>
  <c r="W473" i="2"/>
  <c r="V473" i="2"/>
  <c r="U473" i="2"/>
  <c r="T473" i="2"/>
  <c r="S473" i="2"/>
  <c r="R473" i="2"/>
  <c r="Q473" i="2"/>
  <c r="P473" i="2"/>
  <c r="O473" i="2"/>
  <c r="N473" i="2"/>
  <c r="M473" i="2"/>
  <c r="L473" i="2"/>
  <c r="K473" i="2"/>
  <c r="J473" i="2"/>
  <c r="I473" i="2"/>
  <c r="H473" i="2"/>
  <c r="G473" i="2"/>
  <c r="F473" i="2"/>
  <c r="E473" i="2"/>
  <c r="D473" i="2"/>
  <c r="C473" i="2"/>
  <c r="B473" i="2"/>
  <c r="AL472" i="2"/>
  <c r="AK472" i="2"/>
  <c r="AJ472" i="2"/>
  <c r="AI472" i="2"/>
  <c r="AH472" i="2"/>
  <c r="AG472" i="2"/>
  <c r="AF472" i="2"/>
  <c r="AE472" i="2"/>
  <c r="AD472" i="2"/>
  <c r="AC472" i="2"/>
  <c r="AB472" i="2"/>
  <c r="AA472" i="2"/>
  <c r="Z472" i="2"/>
  <c r="Y472" i="2"/>
  <c r="X472" i="2"/>
  <c r="W472" i="2"/>
  <c r="V472" i="2"/>
  <c r="U472" i="2"/>
  <c r="T472" i="2"/>
  <c r="S472" i="2"/>
  <c r="R472" i="2"/>
  <c r="Q472" i="2"/>
  <c r="P472" i="2"/>
  <c r="O472" i="2"/>
  <c r="N472" i="2"/>
  <c r="M472" i="2"/>
  <c r="L472" i="2"/>
  <c r="K472" i="2"/>
  <c r="J472" i="2"/>
  <c r="I472" i="2"/>
  <c r="H472" i="2"/>
  <c r="G472" i="2"/>
  <c r="F472" i="2"/>
  <c r="E472" i="2"/>
  <c r="D472" i="2"/>
  <c r="C472" i="2"/>
  <c r="B472" i="2"/>
  <c r="AL471" i="2"/>
  <c r="AK471" i="2"/>
  <c r="AJ471" i="2"/>
  <c r="AI471" i="2"/>
  <c r="AH471" i="2"/>
  <c r="AG471" i="2"/>
  <c r="AF471" i="2"/>
  <c r="AE471" i="2"/>
  <c r="AD471" i="2"/>
  <c r="AC471" i="2"/>
  <c r="AB471" i="2"/>
  <c r="AA471" i="2"/>
  <c r="Z471" i="2"/>
  <c r="Y471" i="2"/>
  <c r="X471" i="2"/>
  <c r="W471" i="2"/>
  <c r="V471" i="2"/>
  <c r="U471" i="2"/>
  <c r="T471" i="2"/>
  <c r="S471" i="2"/>
  <c r="R471" i="2"/>
  <c r="Q471" i="2"/>
  <c r="P471" i="2"/>
  <c r="O471" i="2"/>
  <c r="N471" i="2"/>
  <c r="M471" i="2"/>
  <c r="L471" i="2"/>
  <c r="K471" i="2"/>
  <c r="J471" i="2"/>
  <c r="I471" i="2"/>
  <c r="H471" i="2"/>
  <c r="G471" i="2"/>
  <c r="F471" i="2"/>
  <c r="E471" i="2"/>
  <c r="D471" i="2"/>
  <c r="C471" i="2"/>
  <c r="B471" i="2"/>
  <c r="AL470" i="2"/>
  <c r="AK470" i="2"/>
  <c r="AJ470" i="2"/>
  <c r="AI470" i="2"/>
  <c r="AH470" i="2"/>
  <c r="AG470" i="2"/>
  <c r="AF470" i="2"/>
  <c r="AE470" i="2"/>
  <c r="AD470" i="2"/>
  <c r="AC470" i="2"/>
  <c r="AB470" i="2"/>
  <c r="AA470" i="2"/>
  <c r="Z470" i="2"/>
  <c r="Y470" i="2"/>
  <c r="X470" i="2"/>
  <c r="W470" i="2"/>
  <c r="V470" i="2"/>
  <c r="U470" i="2"/>
  <c r="T470" i="2"/>
  <c r="S470" i="2"/>
  <c r="R470" i="2"/>
  <c r="Q470" i="2"/>
  <c r="P470" i="2"/>
  <c r="O470" i="2"/>
  <c r="N470" i="2"/>
  <c r="M470" i="2"/>
  <c r="L470" i="2"/>
  <c r="K470" i="2"/>
  <c r="J470" i="2"/>
  <c r="I470" i="2"/>
  <c r="H470" i="2"/>
  <c r="G470" i="2"/>
  <c r="F470" i="2"/>
  <c r="E470" i="2"/>
  <c r="D470" i="2"/>
  <c r="C470" i="2"/>
  <c r="B470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C582" i="2" s="1"/>
  <c r="B467" i="2"/>
  <c r="AL466" i="2"/>
  <c r="AK466" i="2"/>
  <c r="AJ466" i="2"/>
  <c r="AI466" i="2"/>
  <c r="AH466" i="2"/>
  <c r="AG466" i="2"/>
  <c r="AF466" i="2"/>
  <c r="AE466" i="2"/>
  <c r="AD466" i="2"/>
  <c r="AC466" i="2"/>
  <c r="AB466" i="2"/>
  <c r="AA466" i="2"/>
  <c r="Z466" i="2"/>
  <c r="Y466" i="2"/>
  <c r="X466" i="2"/>
  <c r="W466" i="2"/>
  <c r="V466" i="2"/>
  <c r="U466" i="2"/>
  <c r="T466" i="2"/>
  <c r="S466" i="2"/>
  <c r="R466" i="2"/>
  <c r="Q466" i="2"/>
  <c r="P466" i="2"/>
  <c r="O466" i="2"/>
  <c r="N466" i="2"/>
  <c r="M466" i="2"/>
  <c r="L466" i="2"/>
  <c r="K466" i="2"/>
  <c r="J466" i="2"/>
  <c r="I466" i="2"/>
  <c r="H466" i="2"/>
  <c r="G466" i="2"/>
  <c r="F466" i="2"/>
  <c r="E466" i="2"/>
  <c r="D466" i="2"/>
  <c r="C466" i="2"/>
  <c r="B466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AL460" i="2"/>
  <c r="AK460" i="2"/>
  <c r="AJ460" i="2"/>
  <c r="AI460" i="2"/>
  <c r="AH460" i="2"/>
  <c r="AG460" i="2"/>
  <c r="AF460" i="2"/>
  <c r="AE460" i="2"/>
  <c r="AD460" i="2"/>
  <c r="AC460" i="2"/>
  <c r="AB460" i="2"/>
  <c r="AA460" i="2"/>
  <c r="Z460" i="2"/>
  <c r="Y460" i="2"/>
  <c r="X460" i="2"/>
  <c r="W460" i="2"/>
  <c r="V460" i="2"/>
  <c r="U460" i="2"/>
  <c r="T460" i="2"/>
  <c r="S460" i="2"/>
  <c r="R460" i="2"/>
  <c r="Q460" i="2"/>
  <c r="P460" i="2"/>
  <c r="O460" i="2"/>
  <c r="N460" i="2"/>
  <c r="M460" i="2"/>
  <c r="L460" i="2"/>
  <c r="K460" i="2"/>
  <c r="J460" i="2"/>
  <c r="I460" i="2"/>
  <c r="H460" i="2"/>
  <c r="G460" i="2"/>
  <c r="F460" i="2"/>
  <c r="E460" i="2"/>
  <c r="D460" i="2"/>
  <c r="C460" i="2"/>
  <c r="B460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C579" i="2" s="1"/>
  <c r="B458" i="2"/>
  <c r="AL457" i="2"/>
  <c r="AK457" i="2"/>
  <c r="AJ457" i="2"/>
  <c r="AI457" i="2"/>
  <c r="AH457" i="2"/>
  <c r="AG457" i="2"/>
  <c r="AF457" i="2"/>
  <c r="AE457" i="2"/>
  <c r="AD457" i="2"/>
  <c r="AC457" i="2"/>
  <c r="AB457" i="2"/>
  <c r="AA457" i="2"/>
  <c r="Z457" i="2"/>
  <c r="Y457" i="2"/>
  <c r="X457" i="2"/>
  <c r="W457" i="2"/>
  <c r="V457" i="2"/>
  <c r="U457" i="2"/>
  <c r="T457" i="2"/>
  <c r="S457" i="2"/>
  <c r="R457" i="2"/>
  <c r="Q457" i="2"/>
  <c r="P457" i="2"/>
  <c r="O457" i="2"/>
  <c r="N457" i="2"/>
  <c r="M457" i="2"/>
  <c r="L457" i="2"/>
  <c r="K457" i="2"/>
  <c r="J457" i="2"/>
  <c r="I457" i="2"/>
  <c r="H457" i="2"/>
  <c r="G457" i="2"/>
  <c r="F457" i="2"/>
  <c r="E457" i="2"/>
  <c r="D457" i="2"/>
  <c r="C457" i="2"/>
  <c r="B457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AL453" i="2"/>
  <c r="AK453" i="2"/>
  <c r="AJ453" i="2"/>
  <c r="AI453" i="2"/>
  <c r="AH453" i="2"/>
  <c r="AG453" i="2"/>
  <c r="AF453" i="2"/>
  <c r="AE453" i="2"/>
  <c r="AD453" i="2"/>
  <c r="AC453" i="2"/>
  <c r="AB453" i="2"/>
  <c r="AA453" i="2"/>
  <c r="Z453" i="2"/>
  <c r="Y453" i="2"/>
  <c r="X453" i="2"/>
  <c r="W453" i="2"/>
  <c r="V453" i="2"/>
  <c r="U453" i="2"/>
  <c r="T453" i="2"/>
  <c r="S453" i="2"/>
  <c r="R453" i="2"/>
  <c r="Q453" i="2"/>
  <c r="P453" i="2"/>
  <c r="O453" i="2"/>
  <c r="N453" i="2"/>
  <c r="M453" i="2"/>
  <c r="L453" i="2"/>
  <c r="K453" i="2"/>
  <c r="J453" i="2"/>
  <c r="I453" i="2"/>
  <c r="H453" i="2"/>
  <c r="G453" i="2"/>
  <c r="F453" i="2"/>
  <c r="E453" i="2"/>
  <c r="D453" i="2"/>
  <c r="C453" i="2"/>
  <c r="B453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C578" i="2" s="1"/>
  <c r="B452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AL447" i="2"/>
  <c r="AK447" i="2"/>
  <c r="AJ447" i="2"/>
  <c r="AI447" i="2"/>
  <c r="AH447" i="2"/>
  <c r="AG447" i="2"/>
  <c r="AF447" i="2"/>
  <c r="AE447" i="2"/>
  <c r="AD447" i="2"/>
  <c r="AC447" i="2"/>
  <c r="AB447" i="2"/>
  <c r="AA447" i="2"/>
  <c r="Z447" i="2"/>
  <c r="Y447" i="2"/>
  <c r="X447" i="2"/>
  <c r="W447" i="2"/>
  <c r="V447" i="2"/>
  <c r="U447" i="2"/>
  <c r="T447" i="2"/>
  <c r="S447" i="2"/>
  <c r="R447" i="2"/>
  <c r="Q447" i="2"/>
  <c r="P447" i="2"/>
  <c r="O447" i="2"/>
  <c r="N447" i="2"/>
  <c r="M447" i="2"/>
  <c r="L447" i="2"/>
  <c r="K447" i="2"/>
  <c r="J447" i="2"/>
  <c r="I447" i="2"/>
  <c r="H447" i="2"/>
  <c r="G447" i="2"/>
  <c r="F447" i="2"/>
  <c r="E447" i="2"/>
  <c r="D447" i="2"/>
  <c r="C447" i="2"/>
  <c r="B447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445" i="2"/>
  <c r="AL444" i="2"/>
  <c r="AK444" i="2"/>
  <c r="AJ444" i="2"/>
  <c r="AI444" i="2"/>
  <c r="AH444" i="2"/>
  <c r="AG444" i="2"/>
  <c r="AF444" i="2"/>
  <c r="AE444" i="2"/>
  <c r="AD444" i="2"/>
  <c r="AC444" i="2"/>
  <c r="AB444" i="2"/>
  <c r="AA444" i="2"/>
  <c r="Z444" i="2"/>
  <c r="Y444" i="2"/>
  <c r="X444" i="2"/>
  <c r="W444" i="2"/>
  <c r="V444" i="2"/>
  <c r="U444" i="2"/>
  <c r="T444" i="2"/>
  <c r="S444" i="2"/>
  <c r="R444" i="2"/>
  <c r="Q444" i="2"/>
  <c r="P444" i="2"/>
  <c r="O444" i="2"/>
  <c r="N444" i="2"/>
  <c r="M444" i="2"/>
  <c r="L444" i="2"/>
  <c r="K444" i="2"/>
  <c r="J444" i="2"/>
  <c r="I444" i="2"/>
  <c r="H444" i="2"/>
  <c r="G444" i="2"/>
  <c r="F444" i="2"/>
  <c r="E444" i="2"/>
  <c r="D444" i="2"/>
  <c r="C444" i="2"/>
  <c r="B444" i="2"/>
  <c r="AL443" i="2"/>
  <c r="AK443" i="2"/>
  <c r="AJ443" i="2"/>
  <c r="AI443" i="2"/>
  <c r="AH443" i="2"/>
  <c r="AG443" i="2"/>
  <c r="AF443" i="2"/>
  <c r="AE443" i="2"/>
  <c r="AD443" i="2"/>
  <c r="AC443" i="2"/>
  <c r="AB443" i="2"/>
  <c r="AA443" i="2"/>
  <c r="Z443" i="2"/>
  <c r="Y443" i="2"/>
  <c r="X443" i="2"/>
  <c r="W443" i="2"/>
  <c r="V443" i="2"/>
  <c r="U443" i="2"/>
  <c r="T443" i="2"/>
  <c r="S443" i="2"/>
  <c r="R443" i="2"/>
  <c r="Q443" i="2"/>
  <c r="P443" i="2"/>
  <c r="O443" i="2"/>
  <c r="N443" i="2"/>
  <c r="M443" i="2"/>
  <c r="L443" i="2"/>
  <c r="K443" i="2"/>
  <c r="J443" i="2"/>
  <c r="I443" i="2"/>
  <c r="H443" i="2"/>
  <c r="G443" i="2"/>
  <c r="F443" i="2"/>
  <c r="E443" i="2"/>
  <c r="D443" i="2"/>
  <c r="C443" i="2"/>
  <c r="B443" i="2"/>
  <c r="AL442" i="2"/>
  <c r="AK442" i="2"/>
  <c r="AJ442" i="2"/>
  <c r="AI442" i="2"/>
  <c r="AH442" i="2"/>
  <c r="AG442" i="2"/>
  <c r="AF442" i="2"/>
  <c r="AE442" i="2"/>
  <c r="AD442" i="2"/>
  <c r="AC442" i="2"/>
  <c r="AB442" i="2"/>
  <c r="AA442" i="2"/>
  <c r="Z442" i="2"/>
  <c r="Y442" i="2"/>
  <c r="X442" i="2"/>
  <c r="W442" i="2"/>
  <c r="V442" i="2"/>
  <c r="U442" i="2"/>
  <c r="T442" i="2"/>
  <c r="S442" i="2"/>
  <c r="R442" i="2"/>
  <c r="Q442" i="2"/>
  <c r="P442" i="2"/>
  <c r="O442" i="2"/>
  <c r="N442" i="2"/>
  <c r="M442" i="2"/>
  <c r="L442" i="2"/>
  <c r="K442" i="2"/>
  <c r="J442" i="2"/>
  <c r="I442" i="2"/>
  <c r="H442" i="2"/>
  <c r="G442" i="2"/>
  <c r="F442" i="2"/>
  <c r="E442" i="2"/>
  <c r="D442" i="2"/>
  <c r="C442" i="2"/>
  <c r="B442" i="2"/>
  <c r="AL441" i="2"/>
  <c r="AK441" i="2"/>
  <c r="AJ441" i="2"/>
  <c r="AI441" i="2"/>
  <c r="AH441" i="2"/>
  <c r="AG441" i="2"/>
  <c r="AF441" i="2"/>
  <c r="AE441" i="2"/>
  <c r="AD441" i="2"/>
  <c r="AC441" i="2"/>
  <c r="AB441" i="2"/>
  <c r="AA441" i="2"/>
  <c r="Z441" i="2"/>
  <c r="Y441" i="2"/>
  <c r="X441" i="2"/>
  <c r="W441" i="2"/>
  <c r="V441" i="2"/>
  <c r="U441" i="2"/>
  <c r="T441" i="2"/>
  <c r="S441" i="2"/>
  <c r="R441" i="2"/>
  <c r="Q441" i="2"/>
  <c r="P441" i="2"/>
  <c r="O441" i="2"/>
  <c r="N441" i="2"/>
  <c r="M441" i="2"/>
  <c r="L441" i="2"/>
  <c r="K441" i="2"/>
  <c r="J441" i="2"/>
  <c r="I441" i="2"/>
  <c r="H441" i="2"/>
  <c r="G441" i="2"/>
  <c r="F441" i="2"/>
  <c r="E441" i="2"/>
  <c r="D441" i="2"/>
  <c r="C441" i="2"/>
  <c r="B441" i="2"/>
  <c r="AL440" i="2"/>
  <c r="AK440" i="2"/>
  <c r="AJ440" i="2"/>
  <c r="AI440" i="2"/>
  <c r="AH440" i="2"/>
  <c r="AG440" i="2"/>
  <c r="AF440" i="2"/>
  <c r="AE440" i="2"/>
  <c r="AD440" i="2"/>
  <c r="AC440" i="2"/>
  <c r="AB440" i="2"/>
  <c r="AA440" i="2"/>
  <c r="Z440" i="2"/>
  <c r="Y440" i="2"/>
  <c r="X440" i="2"/>
  <c r="W440" i="2"/>
  <c r="V440" i="2"/>
  <c r="U440" i="2"/>
  <c r="T440" i="2"/>
  <c r="S440" i="2"/>
  <c r="R440" i="2"/>
  <c r="Q440" i="2"/>
  <c r="P440" i="2"/>
  <c r="O440" i="2"/>
  <c r="N440" i="2"/>
  <c r="M440" i="2"/>
  <c r="L440" i="2"/>
  <c r="K440" i="2"/>
  <c r="J440" i="2"/>
  <c r="I440" i="2"/>
  <c r="H440" i="2"/>
  <c r="G440" i="2"/>
  <c r="F440" i="2"/>
  <c r="E440" i="2"/>
  <c r="D440" i="2"/>
  <c r="C440" i="2"/>
  <c r="B440" i="2"/>
  <c r="AL439" i="2"/>
  <c r="AK439" i="2"/>
  <c r="AJ439" i="2"/>
  <c r="AI439" i="2"/>
  <c r="AH439" i="2"/>
  <c r="AG439" i="2"/>
  <c r="AF439" i="2"/>
  <c r="AE439" i="2"/>
  <c r="AD439" i="2"/>
  <c r="AC439" i="2"/>
  <c r="AB439" i="2"/>
  <c r="AA439" i="2"/>
  <c r="Z439" i="2"/>
  <c r="Y439" i="2"/>
  <c r="X439" i="2"/>
  <c r="W439" i="2"/>
  <c r="V439" i="2"/>
  <c r="U439" i="2"/>
  <c r="T439" i="2"/>
  <c r="S439" i="2"/>
  <c r="R439" i="2"/>
  <c r="Q439" i="2"/>
  <c r="P439" i="2"/>
  <c r="O439" i="2"/>
  <c r="N439" i="2"/>
  <c r="M439" i="2"/>
  <c r="L439" i="2"/>
  <c r="K439" i="2"/>
  <c r="J439" i="2"/>
  <c r="I439" i="2"/>
  <c r="H439" i="2"/>
  <c r="G439" i="2"/>
  <c r="F439" i="2"/>
  <c r="E439" i="2"/>
  <c r="D439" i="2"/>
  <c r="C439" i="2"/>
  <c r="B439" i="2"/>
  <c r="AL438" i="2"/>
  <c r="AK438" i="2"/>
  <c r="AJ438" i="2"/>
  <c r="AI438" i="2"/>
  <c r="AH438" i="2"/>
  <c r="AG438" i="2"/>
  <c r="AF438" i="2"/>
  <c r="AE438" i="2"/>
  <c r="AD438" i="2"/>
  <c r="AC438" i="2"/>
  <c r="AB438" i="2"/>
  <c r="AA438" i="2"/>
  <c r="Z438" i="2"/>
  <c r="Y438" i="2"/>
  <c r="X438" i="2"/>
  <c r="W438" i="2"/>
  <c r="V438" i="2"/>
  <c r="U438" i="2"/>
  <c r="T438" i="2"/>
  <c r="S438" i="2"/>
  <c r="R438" i="2"/>
  <c r="Q438" i="2"/>
  <c r="P438" i="2"/>
  <c r="O438" i="2"/>
  <c r="N438" i="2"/>
  <c r="M438" i="2"/>
  <c r="L438" i="2"/>
  <c r="K438" i="2"/>
  <c r="J438" i="2"/>
  <c r="I438" i="2"/>
  <c r="H438" i="2"/>
  <c r="G438" i="2"/>
  <c r="F438" i="2"/>
  <c r="E438" i="2"/>
  <c r="D438" i="2"/>
  <c r="C438" i="2"/>
  <c r="B438" i="2"/>
  <c r="AL437" i="2"/>
  <c r="AK437" i="2"/>
  <c r="AJ437" i="2"/>
  <c r="AI437" i="2"/>
  <c r="AH437" i="2"/>
  <c r="AG437" i="2"/>
  <c r="AF437" i="2"/>
  <c r="AE437" i="2"/>
  <c r="AD437" i="2"/>
  <c r="AC437" i="2"/>
  <c r="AB437" i="2"/>
  <c r="AA437" i="2"/>
  <c r="Z437" i="2"/>
  <c r="Y437" i="2"/>
  <c r="X437" i="2"/>
  <c r="W437" i="2"/>
  <c r="V437" i="2"/>
  <c r="U437" i="2"/>
  <c r="T437" i="2"/>
  <c r="S437" i="2"/>
  <c r="R437" i="2"/>
  <c r="Q437" i="2"/>
  <c r="P437" i="2"/>
  <c r="O437" i="2"/>
  <c r="N437" i="2"/>
  <c r="M437" i="2"/>
  <c r="L437" i="2"/>
  <c r="K437" i="2"/>
  <c r="J437" i="2"/>
  <c r="I437" i="2"/>
  <c r="H437" i="2"/>
  <c r="G437" i="2"/>
  <c r="F437" i="2"/>
  <c r="E437" i="2"/>
  <c r="D437" i="2"/>
  <c r="C437" i="2"/>
  <c r="B437" i="2"/>
  <c r="AL436" i="2"/>
  <c r="AK436" i="2"/>
  <c r="AJ436" i="2"/>
  <c r="AI436" i="2"/>
  <c r="AH436" i="2"/>
  <c r="AG436" i="2"/>
  <c r="AF436" i="2"/>
  <c r="AE436" i="2"/>
  <c r="AD436" i="2"/>
  <c r="AC436" i="2"/>
  <c r="AB436" i="2"/>
  <c r="AA436" i="2"/>
  <c r="Z436" i="2"/>
  <c r="Y436" i="2"/>
  <c r="X436" i="2"/>
  <c r="W436" i="2"/>
  <c r="V436" i="2"/>
  <c r="U436" i="2"/>
  <c r="T436" i="2"/>
  <c r="S436" i="2"/>
  <c r="R436" i="2"/>
  <c r="Q436" i="2"/>
  <c r="P436" i="2"/>
  <c r="O436" i="2"/>
  <c r="N436" i="2"/>
  <c r="M436" i="2"/>
  <c r="L436" i="2"/>
  <c r="K436" i="2"/>
  <c r="J436" i="2"/>
  <c r="I436" i="2"/>
  <c r="H436" i="2"/>
  <c r="G436" i="2"/>
  <c r="F436" i="2"/>
  <c r="E436" i="2"/>
  <c r="D436" i="2"/>
  <c r="C436" i="2"/>
  <c r="B436" i="2"/>
  <c r="AL435" i="2"/>
  <c r="AK435" i="2"/>
  <c r="AJ435" i="2"/>
  <c r="AI435" i="2"/>
  <c r="AH435" i="2"/>
  <c r="AG435" i="2"/>
  <c r="AF435" i="2"/>
  <c r="AE435" i="2"/>
  <c r="AD435" i="2"/>
  <c r="AC435" i="2"/>
  <c r="AB435" i="2"/>
  <c r="AA435" i="2"/>
  <c r="Z435" i="2"/>
  <c r="Y435" i="2"/>
  <c r="X435" i="2"/>
  <c r="W435" i="2"/>
  <c r="V435" i="2"/>
  <c r="U435" i="2"/>
  <c r="T435" i="2"/>
  <c r="S435" i="2"/>
  <c r="R435" i="2"/>
  <c r="Q435" i="2"/>
  <c r="P435" i="2"/>
  <c r="O435" i="2"/>
  <c r="N435" i="2"/>
  <c r="M435" i="2"/>
  <c r="L435" i="2"/>
  <c r="K435" i="2"/>
  <c r="J435" i="2"/>
  <c r="I435" i="2"/>
  <c r="H435" i="2"/>
  <c r="G435" i="2"/>
  <c r="F435" i="2"/>
  <c r="E435" i="2"/>
  <c r="D435" i="2"/>
  <c r="C435" i="2"/>
  <c r="B435" i="2"/>
  <c r="AL434" i="2"/>
  <c r="AK434" i="2"/>
  <c r="AJ434" i="2"/>
  <c r="AI434" i="2"/>
  <c r="AH434" i="2"/>
  <c r="AG434" i="2"/>
  <c r="AF434" i="2"/>
  <c r="AE434" i="2"/>
  <c r="AD434" i="2"/>
  <c r="AC434" i="2"/>
  <c r="AB434" i="2"/>
  <c r="AA434" i="2"/>
  <c r="Z434" i="2"/>
  <c r="Y434" i="2"/>
  <c r="X434" i="2"/>
  <c r="W434" i="2"/>
  <c r="V434" i="2"/>
  <c r="U434" i="2"/>
  <c r="T434" i="2"/>
  <c r="S434" i="2"/>
  <c r="R434" i="2"/>
  <c r="Q434" i="2"/>
  <c r="P434" i="2"/>
  <c r="O434" i="2"/>
  <c r="N434" i="2"/>
  <c r="M434" i="2"/>
  <c r="L434" i="2"/>
  <c r="K434" i="2"/>
  <c r="J434" i="2"/>
  <c r="I434" i="2"/>
  <c r="H434" i="2"/>
  <c r="G434" i="2"/>
  <c r="F434" i="2"/>
  <c r="E434" i="2"/>
  <c r="D434" i="2"/>
  <c r="C434" i="2"/>
  <c r="B434" i="2"/>
  <c r="AL433" i="2"/>
  <c r="AK433" i="2"/>
  <c r="AJ433" i="2"/>
  <c r="AI433" i="2"/>
  <c r="AH433" i="2"/>
  <c r="AG433" i="2"/>
  <c r="AF433" i="2"/>
  <c r="AE433" i="2"/>
  <c r="AD433" i="2"/>
  <c r="AC433" i="2"/>
  <c r="AB433" i="2"/>
  <c r="AA433" i="2"/>
  <c r="Z433" i="2"/>
  <c r="Y433" i="2"/>
  <c r="X433" i="2"/>
  <c r="W433" i="2"/>
  <c r="V433" i="2"/>
  <c r="U433" i="2"/>
  <c r="T433" i="2"/>
  <c r="S433" i="2"/>
  <c r="R433" i="2"/>
  <c r="Q433" i="2"/>
  <c r="P433" i="2"/>
  <c r="O433" i="2"/>
  <c r="N433" i="2"/>
  <c r="M433" i="2"/>
  <c r="L433" i="2"/>
  <c r="K433" i="2"/>
  <c r="J433" i="2"/>
  <c r="I433" i="2"/>
  <c r="H433" i="2"/>
  <c r="G433" i="2"/>
  <c r="F433" i="2"/>
  <c r="E433" i="2"/>
  <c r="D433" i="2"/>
  <c r="C433" i="2"/>
  <c r="B433" i="2"/>
  <c r="AL432" i="2"/>
  <c r="AK432" i="2"/>
  <c r="AJ432" i="2"/>
  <c r="AI432" i="2"/>
  <c r="AH432" i="2"/>
  <c r="AG432" i="2"/>
  <c r="AF432" i="2"/>
  <c r="AE432" i="2"/>
  <c r="AD432" i="2"/>
  <c r="AC432" i="2"/>
  <c r="AB432" i="2"/>
  <c r="AA432" i="2"/>
  <c r="Z432" i="2"/>
  <c r="Y432" i="2"/>
  <c r="X432" i="2"/>
  <c r="W432" i="2"/>
  <c r="V432" i="2"/>
  <c r="U432" i="2"/>
  <c r="T432" i="2"/>
  <c r="S432" i="2"/>
  <c r="R432" i="2"/>
  <c r="Q432" i="2"/>
  <c r="P432" i="2"/>
  <c r="O432" i="2"/>
  <c r="N432" i="2"/>
  <c r="M432" i="2"/>
  <c r="L432" i="2"/>
  <c r="K432" i="2"/>
  <c r="J432" i="2"/>
  <c r="I432" i="2"/>
  <c r="H432" i="2"/>
  <c r="G432" i="2"/>
  <c r="F432" i="2"/>
  <c r="E432" i="2"/>
  <c r="D432" i="2"/>
  <c r="C432" i="2"/>
  <c r="B432" i="2"/>
  <c r="AL431" i="2"/>
  <c r="AK431" i="2"/>
  <c r="AJ431" i="2"/>
  <c r="AI431" i="2"/>
  <c r="AH431" i="2"/>
  <c r="AG431" i="2"/>
  <c r="AF431" i="2"/>
  <c r="AE431" i="2"/>
  <c r="AD431" i="2"/>
  <c r="AC431" i="2"/>
  <c r="AB431" i="2"/>
  <c r="AA431" i="2"/>
  <c r="Z431" i="2"/>
  <c r="Y431" i="2"/>
  <c r="X431" i="2"/>
  <c r="W431" i="2"/>
  <c r="V431" i="2"/>
  <c r="U431" i="2"/>
  <c r="T431" i="2"/>
  <c r="S431" i="2"/>
  <c r="R431" i="2"/>
  <c r="Q431" i="2"/>
  <c r="P431" i="2"/>
  <c r="O431" i="2"/>
  <c r="N431" i="2"/>
  <c r="M431" i="2"/>
  <c r="L431" i="2"/>
  <c r="K431" i="2"/>
  <c r="J431" i="2"/>
  <c r="I431" i="2"/>
  <c r="H431" i="2"/>
  <c r="G431" i="2"/>
  <c r="F431" i="2"/>
  <c r="E431" i="2"/>
  <c r="D431" i="2"/>
  <c r="C431" i="2"/>
  <c r="B431" i="2"/>
  <c r="AL430" i="2"/>
  <c r="AK430" i="2"/>
  <c r="AJ430" i="2"/>
  <c r="AI430" i="2"/>
  <c r="AH430" i="2"/>
  <c r="AG430" i="2"/>
  <c r="AF430" i="2"/>
  <c r="AE430" i="2"/>
  <c r="AD430" i="2"/>
  <c r="AC430" i="2"/>
  <c r="AB430" i="2"/>
  <c r="AA430" i="2"/>
  <c r="Z430" i="2"/>
  <c r="Y430" i="2"/>
  <c r="X430" i="2"/>
  <c r="W430" i="2"/>
  <c r="V430" i="2"/>
  <c r="U430" i="2"/>
  <c r="T430" i="2"/>
  <c r="S430" i="2"/>
  <c r="R430" i="2"/>
  <c r="Q430" i="2"/>
  <c r="P430" i="2"/>
  <c r="O430" i="2"/>
  <c r="N430" i="2"/>
  <c r="M430" i="2"/>
  <c r="L430" i="2"/>
  <c r="K430" i="2"/>
  <c r="J430" i="2"/>
  <c r="I430" i="2"/>
  <c r="H430" i="2"/>
  <c r="G430" i="2"/>
  <c r="F430" i="2"/>
  <c r="E430" i="2"/>
  <c r="D430" i="2"/>
  <c r="C430" i="2"/>
  <c r="B430" i="2"/>
  <c r="AL429" i="2"/>
  <c r="AK429" i="2"/>
  <c r="AJ429" i="2"/>
  <c r="AI429" i="2"/>
  <c r="AH429" i="2"/>
  <c r="AG429" i="2"/>
  <c r="AF429" i="2"/>
  <c r="AE429" i="2"/>
  <c r="AD429" i="2"/>
  <c r="AC429" i="2"/>
  <c r="AB429" i="2"/>
  <c r="AA429" i="2"/>
  <c r="Z429" i="2"/>
  <c r="Y429" i="2"/>
  <c r="X429" i="2"/>
  <c r="W429" i="2"/>
  <c r="V429" i="2"/>
  <c r="U429" i="2"/>
  <c r="T429" i="2"/>
  <c r="S429" i="2"/>
  <c r="R429" i="2"/>
  <c r="Q429" i="2"/>
  <c r="P429" i="2"/>
  <c r="O429" i="2"/>
  <c r="N429" i="2"/>
  <c r="M429" i="2"/>
  <c r="L429" i="2"/>
  <c r="K429" i="2"/>
  <c r="J429" i="2"/>
  <c r="I429" i="2"/>
  <c r="H429" i="2"/>
  <c r="G429" i="2"/>
  <c r="F429" i="2"/>
  <c r="E429" i="2"/>
  <c r="D429" i="2"/>
  <c r="C429" i="2"/>
  <c r="B429" i="2"/>
  <c r="AL428" i="2"/>
  <c r="AK428" i="2"/>
  <c r="AJ428" i="2"/>
  <c r="AI428" i="2"/>
  <c r="AH428" i="2"/>
  <c r="AG428" i="2"/>
  <c r="AF428" i="2"/>
  <c r="AE428" i="2"/>
  <c r="AD428" i="2"/>
  <c r="AC428" i="2"/>
  <c r="AB428" i="2"/>
  <c r="AA428" i="2"/>
  <c r="Z428" i="2"/>
  <c r="Y428" i="2"/>
  <c r="X428" i="2"/>
  <c r="W428" i="2"/>
  <c r="V428" i="2"/>
  <c r="U428" i="2"/>
  <c r="T428" i="2"/>
  <c r="S428" i="2"/>
  <c r="R428" i="2"/>
  <c r="Q428" i="2"/>
  <c r="P428" i="2"/>
  <c r="O428" i="2"/>
  <c r="N428" i="2"/>
  <c r="M428" i="2"/>
  <c r="L428" i="2"/>
  <c r="K428" i="2"/>
  <c r="J428" i="2"/>
  <c r="I428" i="2"/>
  <c r="H428" i="2"/>
  <c r="G428" i="2"/>
  <c r="F428" i="2"/>
  <c r="E428" i="2"/>
  <c r="D428" i="2"/>
  <c r="C428" i="2"/>
  <c r="B428" i="2"/>
  <c r="AL427" i="2"/>
  <c r="AK427" i="2"/>
  <c r="AJ427" i="2"/>
  <c r="AI427" i="2"/>
  <c r="AH427" i="2"/>
  <c r="AG427" i="2"/>
  <c r="AF427" i="2"/>
  <c r="AE427" i="2"/>
  <c r="AD427" i="2"/>
  <c r="AC427" i="2"/>
  <c r="AB427" i="2"/>
  <c r="AA427" i="2"/>
  <c r="Z427" i="2"/>
  <c r="Y427" i="2"/>
  <c r="X427" i="2"/>
  <c r="W427" i="2"/>
  <c r="V427" i="2"/>
  <c r="U427" i="2"/>
  <c r="T427" i="2"/>
  <c r="S427" i="2"/>
  <c r="R427" i="2"/>
  <c r="Q427" i="2"/>
  <c r="P427" i="2"/>
  <c r="O427" i="2"/>
  <c r="N427" i="2"/>
  <c r="M427" i="2"/>
  <c r="L427" i="2"/>
  <c r="K427" i="2"/>
  <c r="J427" i="2"/>
  <c r="I427" i="2"/>
  <c r="H427" i="2"/>
  <c r="G427" i="2"/>
  <c r="F427" i="2"/>
  <c r="E427" i="2"/>
  <c r="D427" i="2"/>
  <c r="C427" i="2"/>
  <c r="B427" i="2"/>
  <c r="AL426" i="2"/>
  <c r="AK426" i="2"/>
  <c r="AJ426" i="2"/>
  <c r="AI426" i="2"/>
  <c r="AH426" i="2"/>
  <c r="AG426" i="2"/>
  <c r="AF426" i="2"/>
  <c r="AE426" i="2"/>
  <c r="AD426" i="2"/>
  <c r="AC426" i="2"/>
  <c r="AB426" i="2"/>
  <c r="AA426" i="2"/>
  <c r="Z426" i="2"/>
  <c r="Y426" i="2"/>
  <c r="X426" i="2"/>
  <c r="W426" i="2"/>
  <c r="V426" i="2"/>
  <c r="U426" i="2"/>
  <c r="T426" i="2"/>
  <c r="S426" i="2"/>
  <c r="R426" i="2"/>
  <c r="Q426" i="2"/>
  <c r="P426" i="2"/>
  <c r="O426" i="2"/>
  <c r="N426" i="2"/>
  <c r="M426" i="2"/>
  <c r="L426" i="2"/>
  <c r="K426" i="2"/>
  <c r="J426" i="2"/>
  <c r="I426" i="2"/>
  <c r="H426" i="2"/>
  <c r="G426" i="2"/>
  <c r="F426" i="2"/>
  <c r="E426" i="2"/>
  <c r="D426" i="2"/>
  <c r="C426" i="2"/>
  <c r="B426" i="2"/>
  <c r="AL425" i="2"/>
  <c r="AK425" i="2"/>
  <c r="AJ425" i="2"/>
  <c r="AI425" i="2"/>
  <c r="AH425" i="2"/>
  <c r="AG425" i="2"/>
  <c r="AF425" i="2"/>
  <c r="AE425" i="2"/>
  <c r="AD425" i="2"/>
  <c r="AC425" i="2"/>
  <c r="AB425" i="2"/>
  <c r="AA425" i="2"/>
  <c r="Z425" i="2"/>
  <c r="Y425" i="2"/>
  <c r="X425" i="2"/>
  <c r="W425" i="2"/>
  <c r="V425" i="2"/>
  <c r="U425" i="2"/>
  <c r="T425" i="2"/>
  <c r="S425" i="2"/>
  <c r="R425" i="2"/>
  <c r="Q425" i="2"/>
  <c r="P425" i="2"/>
  <c r="O425" i="2"/>
  <c r="N425" i="2"/>
  <c r="M425" i="2"/>
  <c r="L425" i="2"/>
  <c r="K425" i="2"/>
  <c r="J425" i="2"/>
  <c r="I425" i="2"/>
  <c r="H425" i="2"/>
  <c r="G425" i="2"/>
  <c r="F425" i="2"/>
  <c r="E425" i="2"/>
  <c r="D425" i="2"/>
  <c r="C425" i="2"/>
  <c r="B425" i="2"/>
  <c r="AL424" i="2"/>
  <c r="AK424" i="2"/>
  <c r="AJ424" i="2"/>
  <c r="AI424" i="2"/>
  <c r="AH424" i="2"/>
  <c r="AG424" i="2"/>
  <c r="AF424" i="2"/>
  <c r="AE424" i="2"/>
  <c r="AD424" i="2"/>
  <c r="AC424" i="2"/>
  <c r="AB424" i="2"/>
  <c r="AA424" i="2"/>
  <c r="Z424" i="2"/>
  <c r="Y424" i="2"/>
  <c r="X424" i="2"/>
  <c r="W424" i="2"/>
  <c r="V424" i="2"/>
  <c r="U424" i="2"/>
  <c r="T424" i="2"/>
  <c r="S424" i="2"/>
  <c r="R424" i="2"/>
  <c r="Q424" i="2"/>
  <c r="P424" i="2"/>
  <c r="O424" i="2"/>
  <c r="N424" i="2"/>
  <c r="M424" i="2"/>
  <c r="L424" i="2"/>
  <c r="K424" i="2"/>
  <c r="J424" i="2"/>
  <c r="I424" i="2"/>
  <c r="H424" i="2"/>
  <c r="G424" i="2"/>
  <c r="F424" i="2"/>
  <c r="E424" i="2"/>
  <c r="D424" i="2"/>
  <c r="C424" i="2"/>
  <c r="B424" i="2"/>
  <c r="AL423" i="2"/>
  <c r="AK423" i="2"/>
  <c r="AJ423" i="2"/>
  <c r="AI423" i="2"/>
  <c r="AH423" i="2"/>
  <c r="AG423" i="2"/>
  <c r="AF423" i="2"/>
  <c r="AE423" i="2"/>
  <c r="AD423" i="2"/>
  <c r="AC423" i="2"/>
  <c r="AB423" i="2"/>
  <c r="AA423" i="2"/>
  <c r="Z423" i="2"/>
  <c r="Y423" i="2"/>
  <c r="X423" i="2"/>
  <c r="W423" i="2"/>
  <c r="V423" i="2"/>
  <c r="U423" i="2"/>
  <c r="T423" i="2"/>
  <c r="S423" i="2"/>
  <c r="R423" i="2"/>
  <c r="Q423" i="2"/>
  <c r="P423" i="2"/>
  <c r="O423" i="2"/>
  <c r="N423" i="2"/>
  <c r="M423" i="2"/>
  <c r="L423" i="2"/>
  <c r="K423" i="2"/>
  <c r="J423" i="2"/>
  <c r="I423" i="2"/>
  <c r="H423" i="2"/>
  <c r="G423" i="2"/>
  <c r="F423" i="2"/>
  <c r="E423" i="2"/>
  <c r="D423" i="2"/>
  <c r="C423" i="2"/>
  <c r="B423" i="2"/>
  <c r="AL422" i="2"/>
  <c r="AK422" i="2"/>
  <c r="AJ422" i="2"/>
  <c r="AI422" i="2"/>
  <c r="AH422" i="2"/>
  <c r="AG422" i="2"/>
  <c r="AF422" i="2"/>
  <c r="AE422" i="2"/>
  <c r="AD422" i="2"/>
  <c r="AC422" i="2"/>
  <c r="AB422" i="2"/>
  <c r="AA422" i="2"/>
  <c r="Z422" i="2"/>
  <c r="Y422" i="2"/>
  <c r="X422" i="2"/>
  <c r="W422" i="2"/>
  <c r="V422" i="2"/>
  <c r="U422" i="2"/>
  <c r="T422" i="2"/>
  <c r="S422" i="2"/>
  <c r="R422" i="2"/>
  <c r="Q422" i="2"/>
  <c r="P422" i="2"/>
  <c r="O422" i="2"/>
  <c r="N422" i="2"/>
  <c r="M422" i="2"/>
  <c r="L422" i="2"/>
  <c r="K422" i="2"/>
  <c r="J422" i="2"/>
  <c r="I422" i="2"/>
  <c r="H422" i="2"/>
  <c r="G422" i="2"/>
  <c r="F422" i="2"/>
  <c r="E422" i="2"/>
  <c r="D422" i="2"/>
  <c r="C422" i="2"/>
  <c r="B422" i="2"/>
  <c r="AL421" i="2"/>
  <c r="AK421" i="2"/>
  <c r="AJ421" i="2"/>
  <c r="AI421" i="2"/>
  <c r="AH421" i="2"/>
  <c r="AG421" i="2"/>
  <c r="AF421" i="2"/>
  <c r="AE421" i="2"/>
  <c r="AD421" i="2"/>
  <c r="AC421" i="2"/>
  <c r="AB421" i="2"/>
  <c r="AA421" i="2"/>
  <c r="Z421" i="2"/>
  <c r="Y421" i="2"/>
  <c r="X421" i="2"/>
  <c r="W421" i="2"/>
  <c r="V421" i="2"/>
  <c r="U421" i="2"/>
  <c r="T421" i="2"/>
  <c r="S421" i="2"/>
  <c r="R421" i="2"/>
  <c r="Q421" i="2"/>
  <c r="P421" i="2"/>
  <c r="O421" i="2"/>
  <c r="N421" i="2"/>
  <c r="M421" i="2"/>
  <c r="L421" i="2"/>
  <c r="K421" i="2"/>
  <c r="J421" i="2"/>
  <c r="I421" i="2"/>
  <c r="H421" i="2"/>
  <c r="G421" i="2"/>
  <c r="F421" i="2"/>
  <c r="E421" i="2"/>
  <c r="D421" i="2"/>
  <c r="C421" i="2"/>
  <c r="B421" i="2"/>
  <c r="AL420" i="2"/>
  <c r="AK420" i="2"/>
  <c r="AJ420" i="2"/>
  <c r="AI420" i="2"/>
  <c r="AH420" i="2"/>
  <c r="AG420" i="2"/>
  <c r="AF420" i="2"/>
  <c r="AE420" i="2"/>
  <c r="AD420" i="2"/>
  <c r="AC420" i="2"/>
  <c r="AB420" i="2"/>
  <c r="AA420" i="2"/>
  <c r="Z420" i="2"/>
  <c r="Y420" i="2"/>
  <c r="X420" i="2"/>
  <c r="W420" i="2"/>
  <c r="V420" i="2"/>
  <c r="U420" i="2"/>
  <c r="T420" i="2"/>
  <c r="S420" i="2"/>
  <c r="R420" i="2"/>
  <c r="Q420" i="2"/>
  <c r="P420" i="2"/>
  <c r="O420" i="2"/>
  <c r="N420" i="2"/>
  <c r="M420" i="2"/>
  <c r="L420" i="2"/>
  <c r="K420" i="2"/>
  <c r="J420" i="2"/>
  <c r="I420" i="2"/>
  <c r="H420" i="2"/>
  <c r="G420" i="2"/>
  <c r="F420" i="2"/>
  <c r="E420" i="2"/>
  <c r="D420" i="2"/>
  <c r="C420" i="2"/>
  <c r="B420" i="2"/>
  <c r="AL419" i="2"/>
  <c r="AK419" i="2"/>
  <c r="AJ419" i="2"/>
  <c r="AI419" i="2"/>
  <c r="AH419" i="2"/>
  <c r="AG419" i="2"/>
  <c r="AF419" i="2"/>
  <c r="AE419" i="2"/>
  <c r="AD419" i="2"/>
  <c r="AC419" i="2"/>
  <c r="AB419" i="2"/>
  <c r="AA419" i="2"/>
  <c r="Z419" i="2"/>
  <c r="Y419" i="2"/>
  <c r="X419" i="2"/>
  <c r="W419" i="2"/>
  <c r="V419" i="2"/>
  <c r="U419" i="2"/>
  <c r="T419" i="2"/>
  <c r="S419" i="2"/>
  <c r="R419" i="2"/>
  <c r="Q419" i="2"/>
  <c r="P419" i="2"/>
  <c r="O419" i="2"/>
  <c r="N419" i="2"/>
  <c r="M419" i="2"/>
  <c r="L419" i="2"/>
  <c r="K419" i="2"/>
  <c r="J419" i="2"/>
  <c r="I419" i="2"/>
  <c r="H419" i="2"/>
  <c r="G419" i="2"/>
  <c r="F419" i="2"/>
  <c r="E419" i="2"/>
  <c r="D419" i="2"/>
  <c r="C419" i="2"/>
  <c r="B419" i="2"/>
  <c r="AL418" i="2"/>
  <c r="AK418" i="2"/>
  <c r="AJ418" i="2"/>
  <c r="AI418" i="2"/>
  <c r="AH418" i="2"/>
  <c r="AG418" i="2"/>
  <c r="AF418" i="2"/>
  <c r="AE418" i="2"/>
  <c r="AD418" i="2"/>
  <c r="AC418" i="2"/>
  <c r="AB418" i="2"/>
  <c r="AA418" i="2"/>
  <c r="Z418" i="2"/>
  <c r="Y418" i="2"/>
  <c r="X418" i="2"/>
  <c r="W418" i="2"/>
  <c r="V418" i="2"/>
  <c r="U418" i="2"/>
  <c r="T418" i="2"/>
  <c r="S418" i="2"/>
  <c r="R418" i="2"/>
  <c r="Q418" i="2"/>
  <c r="P418" i="2"/>
  <c r="O418" i="2"/>
  <c r="N418" i="2"/>
  <c r="M418" i="2"/>
  <c r="L418" i="2"/>
  <c r="K418" i="2"/>
  <c r="J418" i="2"/>
  <c r="I418" i="2"/>
  <c r="H418" i="2"/>
  <c r="G418" i="2"/>
  <c r="F418" i="2"/>
  <c r="E418" i="2"/>
  <c r="D418" i="2"/>
  <c r="C418" i="2"/>
  <c r="B418" i="2"/>
  <c r="AL417" i="2"/>
  <c r="AK417" i="2"/>
  <c r="AJ417" i="2"/>
  <c r="AI417" i="2"/>
  <c r="AH417" i="2"/>
  <c r="AG417" i="2"/>
  <c r="AF417" i="2"/>
  <c r="AE417" i="2"/>
  <c r="AD417" i="2"/>
  <c r="AC417" i="2"/>
  <c r="AB417" i="2"/>
  <c r="AA417" i="2"/>
  <c r="Z417" i="2"/>
  <c r="Y417" i="2"/>
  <c r="X417" i="2"/>
  <c r="W417" i="2"/>
  <c r="V417" i="2"/>
  <c r="U417" i="2"/>
  <c r="T417" i="2"/>
  <c r="S417" i="2"/>
  <c r="R417" i="2"/>
  <c r="Q417" i="2"/>
  <c r="P417" i="2"/>
  <c r="O417" i="2"/>
  <c r="N417" i="2"/>
  <c r="M417" i="2"/>
  <c r="L417" i="2"/>
  <c r="K417" i="2"/>
  <c r="J417" i="2"/>
  <c r="I417" i="2"/>
  <c r="H417" i="2"/>
  <c r="G417" i="2"/>
  <c r="F417" i="2"/>
  <c r="E417" i="2"/>
  <c r="D417" i="2"/>
  <c r="C417" i="2"/>
  <c r="B417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AL677" i="2"/>
  <c r="AK677" i="2"/>
  <c r="AJ677" i="2"/>
  <c r="AI677" i="2"/>
  <c r="AH677" i="2"/>
  <c r="AG677" i="2"/>
  <c r="AF677" i="2"/>
  <c r="AE677" i="2"/>
  <c r="AD677" i="2"/>
  <c r="AC677" i="2"/>
  <c r="AB677" i="2"/>
  <c r="AA677" i="2"/>
  <c r="Z677" i="2"/>
  <c r="Y677" i="2"/>
  <c r="X677" i="2"/>
  <c r="W677" i="2"/>
  <c r="V677" i="2"/>
  <c r="U677" i="2"/>
  <c r="T677" i="2"/>
  <c r="S677" i="2"/>
  <c r="R677" i="2"/>
  <c r="Q677" i="2"/>
  <c r="P677" i="2"/>
  <c r="O677" i="2"/>
  <c r="N677" i="2"/>
  <c r="M677" i="2"/>
  <c r="L677" i="2"/>
  <c r="K677" i="2"/>
  <c r="J677" i="2"/>
  <c r="I677" i="2"/>
  <c r="H677" i="2"/>
  <c r="G677" i="2"/>
  <c r="F677" i="2"/>
  <c r="E677" i="2"/>
  <c r="D677" i="2"/>
  <c r="C677" i="2"/>
  <c r="B677" i="2"/>
  <c r="AL676" i="2"/>
  <c r="AK676" i="2"/>
  <c r="AJ676" i="2"/>
  <c r="AI676" i="2"/>
  <c r="AH676" i="2"/>
  <c r="AG676" i="2"/>
  <c r="AF676" i="2"/>
  <c r="AE676" i="2"/>
  <c r="AD676" i="2"/>
  <c r="AC676" i="2"/>
  <c r="AB676" i="2"/>
  <c r="AA676" i="2"/>
  <c r="Z676" i="2"/>
  <c r="Y676" i="2"/>
  <c r="X676" i="2"/>
  <c r="W676" i="2"/>
  <c r="V676" i="2"/>
  <c r="U676" i="2"/>
  <c r="T676" i="2"/>
  <c r="S676" i="2"/>
  <c r="R676" i="2"/>
  <c r="Q676" i="2"/>
  <c r="P676" i="2"/>
  <c r="O676" i="2"/>
  <c r="N676" i="2"/>
  <c r="M676" i="2"/>
  <c r="L676" i="2"/>
  <c r="K676" i="2"/>
  <c r="J676" i="2"/>
  <c r="I676" i="2"/>
  <c r="H676" i="2"/>
  <c r="G676" i="2"/>
  <c r="F676" i="2"/>
  <c r="E676" i="2"/>
  <c r="D676" i="2"/>
  <c r="C676" i="2"/>
  <c r="B676" i="2"/>
  <c r="AL675" i="2"/>
  <c r="AK675" i="2"/>
  <c r="AJ675" i="2"/>
  <c r="AI675" i="2"/>
  <c r="AH675" i="2"/>
  <c r="AG675" i="2"/>
  <c r="AF675" i="2"/>
  <c r="AE675" i="2"/>
  <c r="AD675" i="2"/>
  <c r="AC675" i="2"/>
  <c r="AB675" i="2"/>
  <c r="AA675" i="2"/>
  <c r="Z675" i="2"/>
  <c r="Y675" i="2"/>
  <c r="X675" i="2"/>
  <c r="W675" i="2"/>
  <c r="V675" i="2"/>
  <c r="U675" i="2"/>
  <c r="T675" i="2"/>
  <c r="S675" i="2"/>
  <c r="R675" i="2"/>
  <c r="Q675" i="2"/>
  <c r="P675" i="2"/>
  <c r="O675" i="2"/>
  <c r="N675" i="2"/>
  <c r="M675" i="2"/>
  <c r="L675" i="2"/>
  <c r="K675" i="2"/>
  <c r="J675" i="2"/>
  <c r="I675" i="2"/>
  <c r="H675" i="2"/>
  <c r="G675" i="2"/>
  <c r="F675" i="2"/>
  <c r="E675" i="2"/>
  <c r="D675" i="2"/>
  <c r="C675" i="2"/>
  <c r="B675" i="2"/>
  <c r="AL674" i="2"/>
  <c r="AK674" i="2"/>
  <c r="AJ674" i="2"/>
  <c r="AI674" i="2"/>
  <c r="AH674" i="2"/>
  <c r="AG674" i="2"/>
  <c r="AF674" i="2"/>
  <c r="AE674" i="2"/>
  <c r="AD674" i="2"/>
  <c r="AC674" i="2"/>
  <c r="AB674" i="2"/>
  <c r="AA674" i="2"/>
  <c r="Z674" i="2"/>
  <c r="Y674" i="2"/>
  <c r="X674" i="2"/>
  <c r="W674" i="2"/>
  <c r="V674" i="2"/>
  <c r="U674" i="2"/>
  <c r="T674" i="2"/>
  <c r="S674" i="2"/>
  <c r="R674" i="2"/>
  <c r="Q674" i="2"/>
  <c r="P674" i="2"/>
  <c r="O674" i="2"/>
  <c r="N674" i="2"/>
  <c r="M674" i="2"/>
  <c r="L674" i="2"/>
  <c r="K674" i="2"/>
  <c r="J674" i="2"/>
  <c r="I674" i="2"/>
  <c r="H674" i="2"/>
  <c r="G674" i="2"/>
  <c r="F674" i="2"/>
  <c r="E674" i="2"/>
  <c r="D674" i="2"/>
  <c r="C674" i="2"/>
  <c r="B674" i="2"/>
  <c r="AL673" i="2"/>
  <c r="AK673" i="2"/>
  <c r="AJ673" i="2"/>
  <c r="AI673" i="2"/>
  <c r="AH673" i="2"/>
  <c r="AG673" i="2"/>
  <c r="AF673" i="2"/>
  <c r="AE673" i="2"/>
  <c r="AD673" i="2"/>
  <c r="AC673" i="2"/>
  <c r="AB673" i="2"/>
  <c r="AA673" i="2"/>
  <c r="Z673" i="2"/>
  <c r="Y673" i="2"/>
  <c r="X673" i="2"/>
  <c r="W673" i="2"/>
  <c r="V673" i="2"/>
  <c r="U673" i="2"/>
  <c r="T673" i="2"/>
  <c r="S673" i="2"/>
  <c r="R673" i="2"/>
  <c r="Q673" i="2"/>
  <c r="P673" i="2"/>
  <c r="O673" i="2"/>
  <c r="N673" i="2"/>
  <c r="M673" i="2"/>
  <c r="L673" i="2"/>
  <c r="K673" i="2"/>
  <c r="J673" i="2"/>
  <c r="I673" i="2"/>
  <c r="H673" i="2"/>
  <c r="G673" i="2"/>
  <c r="F673" i="2"/>
  <c r="E673" i="2"/>
  <c r="D673" i="2"/>
  <c r="C673" i="2"/>
  <c r="B673" i="2"/>
  <c r="AL671" i="2"/>
  <c r="AK671" i="2"/>
  <c r="AJ671" i="2"/>
  <c r="AI671" i="2"/>
  <c r="AH671" i="2"/>
  <c r="AG671" i="2"/>
  <c r="AF671" i="2"/>
  <c r="AE671" i="2"/>
  <c r="AD671" i="2"/>
  <c r="AC671" i="2"/>
  <c r="AB671" i="2"/>
  <c r="AA671" i="2"/>
  <c r="Z671" i="2"/>
  <c r="Y671" i="2"/>
  <c r="X671" i="2"/>
  <c r="W671" i="2"/>
  <c r="V671" i="2"/>
  <c r="U671" i="2"/>
  <c r="T671" i="2"/>
  <c r="S671" i="2"/>
  <c r="R671" i="2"/>
  <c r="Q671" i="2"/>
  <c r="P671" i="2"/>
  <c r="O671" i="2"/>
  <c r="N671" i="2"/>
  <c r="M671" i="2"/>
  <c r="L671" i="2"/>
  <c r="K671" i="2"/>
  <c r="J671" i="2"/>
  <c r="I671" i="2"/>
  <c r="H671" i="2"/>
  <c r="G671" i="2"/>
  <c r="F671" i="2"/>
  <c r="E671" i="2"/>
  <c r="D671" i="2"/>
  <c r="C671" i="2"/>
  <c r="B671" i="2"/>
  <c r="AL670" i="2"/>
  <c r="AK670" i="2"/>
  <c r="AJ670" i="2"/>
  <c r="AI670" i="2"/>
  <c r="AH670" i="2"/>
  <c r="AG670" i="2"/>
  <c r="AF670" i="2"/>
  <c r="AE670" i="2"/>
  <c r="AD670" i="2"/>
  <c r="AC670" i="2"/>
  <c r="AB670" i="2"/>
  <c r="AA670" i="2"/>
  <c r="Z670" i="2"/>
  <c r="Y670" i="2"/>
  <c r="X670" i="2"/>
  <c r="W670" i="2"/>
  <c r="V670" i="2"/>
  <c r="U670" i="2"/>
  <c r="T670" i="2"/>
  <c r="S670" i="2"/>
  <c r="R670" i="2"/>
  <c r="Q670" i="2"/>
  <c r="P670" i="2"/>
  <c r="O670" i="2"/>
  <c r="N670" i="2"/>
  <c r="M670" i="2"/>
  <c r="L670" i="2"/>
  <c r="K670" i="2"/>
  <c r="J670" i="2"/>
  <c r="I670" i="2"/>
  <c r="H670" i="2"/>
  <c r="G670" i="2"/>
  <c r="F670" i="2"/>
  <c r="E670" i="2"/>
  <c r="D670" i="2"/>
  <c r="C670" i="2"/>
  <c r="B670" i="2"/>
  <c r="AL669" i="2"/>
  <c r="AK669" i="2"/>
  <c r="AJ669" i="2"/>
  <c r="AI669" i="2"/>
  <c r="AH669" i="2"/>
  <c r="AG669" i="2"/>
  <c r="AF669" i="2"/>
  <c r="AE669" i="2"/>
  <c r="AD669" i="2"/>
  <c r="AC669" i="2"/>
  <c r="AB669" i="2"/>
  <c r="AA669" i="2"/>
  <c r="Z669" i="2"/>
  <c r="Y669" i="2"/>
  <c r="X669" i="2"/>
  <c r="W669" i="2"/>
  <c r="V669" i="2"/>
  <c r="U669" i="2"/>
  <c r="T669" i="2"/>
  <c r="S669" i="2"/>
  <c r="R669" i="2"/>
  <c r="Q669" i="2"/>
  <c r="P669" i="2"/>
  <c r="O669" i="2"/>
  <c r="N669" i="2"/>
  <c r="M669" i="2"/>
  <c r="L669" i="2"/>
  <c r="K669" i="2"/>
  <c r="J669" i="2"/>
  <c r="I669" i="2"/>
  <c r="H669" i="2"/>
  <c r="G669" i="2"/>
  <c r="F669" i="2"/>
  <c r="E669" i="2"/>
  <c r="D669" i="2"/>
  <c r="C669" i="2"/>
  <c r="B669" i="2"/>
  <c r="AL668" i="2"/>
  <c r="AK668" i="2"/>
  <c r="AJ668" i="2"/>
  <c r="AI668" i="2"/>
  <c r="AH668" i="2"/>
  <c r="AG668" i="2"/>
  <c r="AF668" i="2"/>
  <c r="AE668" i="2"/>
  <c r="AD668" i="2"/>
  <c r="AC668" i="2"/>
  <c r="AB668" i="2"/>
  <c r="AA668" i="2"/>
  <c r="Z668" i="2"/>
  <c r="Y668" i="2"/>
  <c r="X668" i="2"/>
  <c r="W668" i="2"/>
  <c r="V668" i="2"/>
  <c r="U668" i="2"/>
  <c r="T668" i="2"/>
  <c r="S668" i="2"/>
  <c r="R668" i="2"/>
  <c r="Q668" i="2"/>
  <c r="P668" i="2"/>
  <c r="O668" i="2"/>
  <c r="N668" i="2"/>
  <c r="M668" i="2"/>
  <c r="L668" i="2"/>
  <c r="K668" i="2"/>
  <c r="J668" i="2"/>
  <c r="I668" i="2"/>
  <c r="H668" i="2"/>
  <c r="G668" i="2"/>
  <c r="F668" i="2"/>
  <c r="E668" i="2"/>
  <c r="D668" i="2"/>
  <c r="C668" i="2"/>
  <c r="B668" i="2"/>
  <c r="AL667" i="2"/>
  <c r="AK667" i="2"/>
  <c r="AJ667" i="2"/>
  <c r="AI667" i="2"/>
  <c r="AH667" i="2"/>
  <c r="AG667" i="2"/>
  <c r="AF667" i="2"/>
  <c r="AE667" i="2"/>
  <c r="AD667" i="2"/>
  <c r="AC667" i="2"/>
  <c r="AB667" i="2"/>
  <c r="AA667" i="2"/>
  <c r="Z667" i="2"/>
  <c r="Y667" i="2"/>
  <c r="X667" i="2"/>
  <c r="W667" i="2"/>
  <c r="V667" i="2"/>
  <c r="U667" i="2"/>
  <c r="T667" i="2"/>
  <c r="S667" i="2"/>
  <c r="R667" i="2"/>
  <c r="Q667" i="2"/>
  <c r="P667" i="2"/>
  <c r="O667" i="2"/>
  <c r="N667" i="2"/>
  <c r="M667" i="2"/>
  <c r="L667" i="2"/>
  <c r="K667" i="2"/>
  <c r="J667" i="2"/>
  <c r="I667" i="2"/>
  <c r="H667" i="2"/>
  <c r="G667" i="2"/>
  <c r="F667" i="2"/>
  <c r="E667" i="2"/>
  <c r="D667" i="2"/>
  <c r="C667" i="2"/>
  <c r="B667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AL379" i="2"/>
  <c r="AK379" i="2"/>
  <c r="AJ379" i="2"/>
  <c r="AI379" i="2"/>
  <c r="AH379" i="2"/>
  <c r="AG379" i="2"/>
  <c r="AF379" i="2"/>
  <c r="AE379" i="2"/>
  <c r="AD379" i="2"/>
  <c r="AC379" i="2"/>
  <c r="AB379" i="2"/>
  <c r="AA379" i="2"/>
  <c r="Z379" i="2"/>
  <c r="Y379" i="2"/>
  <c r="X379" i="2"/>
  <c r="W379" i="2"/>
  <c r="V379" i="2"/>
  <c r="U379" i="2"/>
  <c r="T379" i="2"/>
  <c r="S379" i="2"/>
  <c r="R379" i="2"/>
  <c r="Q379" i="2"/>
  <c r="P379" i="2"/>
  <c r="O379" i="2"/>
  <c r="N379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AL378" i="2"/>
  <c r="AK378" i="2"/>
  <c r="AJ378" i="2"/>
  <c r="AI378" i="2"/>
  <c r="AH378" i="2"/>
  <c r="AG378" i="2"/>
  <c r="AF378" i="2"/>
  <c r="AE378" i="2"/>
  <c r="AD378" i="2"/>
  <c r="AC378" i="2"/>
  <c r="AB378" i="2"/>
  <c r="AA378" i="2"/>
  <c r="Z378" i="2"/>
  <c r="Y378" i="2"/>
  <c r="X378" i="2"/>
  <c r="W378" i="2"/>
  <c r="V378" i="2"/>
  <c r="U378" i="2"/>
  <c r="T378" i="2"/>
  <c r="S378" i="2"/>
  <c r="R378" i="2"/>
  <c r="Q378" i="2"/>
  <c r="P378" i="2"/>
  <c r="O378" i="2"/>
  <c r="N378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371" i="2"/>
  <c r="AL370" i="2"/>
  <c r="AK370" i="2"/>
  <c r="AJ370" i="2"/>
  <c r="AI370" i="2"/>
  <c r="AH370" i="2"/>
  <c r="AG370" i="2"/>
  <c r="AF370" i="2"/>
  <c r="AE370" i="2"/>
  <c r="AD370" i="2"/>
  <c r="AC370" i="2"/>
  <c r="AB370" i="2"/>
  <c r="AA370" i="2"/>
  <c r="Z370" i="2"/>
  <c r="Y370" i="2"/>
  <c r="X370" i="2"/>
  <c r="W370" i="2"/>
  <c r="V370" i="2"/>
  <c r="U370" i="2"/>
  <c r="T370" i="2"/>
  <c r="S370" i="2"/>
  <c r="R370" i="2"/>
  <c r="Q370" i="2"/>
  <c r="P370" i="2"/>
  <c r="O370" i="2"/>
  <c r="N370" i="2"/>
  <c r="M370" i="2"/>
  <c r="L370" i="2"/>
  <c r="K370" i="2"/>
  <c r="J370" i="2"/>
  <c r="I370" i="2"/>
  <c r="H370" i="2"/>
  <c r="G370" i="2"/>
  <c r="F370" i="2"/>
  <c r="E370" i="2"/>
  <c r="D370" i="2"/>
  <c r="C370" i="2"/>
  <c r="B370" i="2"/>
  <c r="AL369" i="2"/>
  <c r="AK369" i="2"/>
  <c r="AJ369" i="2"/>
  <c r="AI369" i="2"/>
  <c r="AH369" i="2"/>
  <c r="AG369" i="2"/>
  <c r="AF369" i="2"/>
  <c r="AE369" i="2"/>
  <c r="AD369" i="2"/>
  <c r="AC369" i="2"/>
  <c r="AB369" i="2"/>
  <c r="AA369" i="2"/>
  <c r="Z369" i="2"/>
  <c r="Y369" i="2"/>
  <c r="X369" i="2"/>
  <c r="W369" i="2"/>
  <c r="V369" i="2"/>
  <c r="U369" i="2"/>
  <c r="T369" i="2"/>
  <c r="S369" i="2"/>
  <c r="R369" i="2"/>
  <c r="Q369" i="2"/>
  <c r="P369" i="2"/>
  <c r="O369" i="2"/>
  <c r="N369" i="2"/>
  <c r="M369" i="2"/>
  <c r="L369" i="2"/>
  <c r="K369" i="2"/>
  <c r="J369" i="2"/>
  <c r="I369" i="2"/>
  <c r="H369" i="2"/>
  <c r="G369" i="2"/>
  <c r="F369" i="2"/>
  <c r="E369" i="2"/>
  <c r="D369" i="2"/>
  <c r="C369" i="2"/>
  <c r="B369" i="2"/>
  <c r="AL368" i="2"/>
  <c r="AK368" i="2"/>
  <c r="AJ368" i="2"/>
  <c r="AI368" i="2"/>
  <c r="AH368" i="2"/>
  <c r="AG368" i="2"/>
  <c r="AF368" i="2"/>
  <c r="AE368" i="2"/>
  <c r="AD368" i="2"/>
  <c r="AC368" i="2"/>
  <c r="AB368" i="2"/>
  <c r="AA368" i="2"/>
  <c r="Z368" i="2"/>
  <c r="Y368" i="2"/>
  <c r="X368" i="2"/>
  <c r="W368" i="2"/>
  <c r="V368" i="2"/>
  <c r="U368" i="2"/>
  <c r="T368" i="2"/>
  <c r="S368" i="2"/>
  <c r="R368" i="2"/>
  <c r="Q368" i="2"/>
  <c r="P368" i="2"/>
  <c r="O368" i="2"/>
  <c r="N368" i="2"/>
  <c r="M368" i="2"/>
  <c r="L368" i="2"/>
  <c r="K368" i="2"/>
  <c r="J368" i="2"/>
  <c r="I368" i="2"/>
  <c r="H368" i="2"/>
  <c r="G368" i="2"/>
  <c r="F368" i="2"/>
  <c r="E368" i="2"/>
  <c r="D368" i="2"/>
  <c r="C368" i="2"/>
  <c r="B368" i="2"/>
  <c r="AL367" i="2"/>
  <c r="AK367" i="2"/>
  <c r="AJ367" i="2"/>
  <c r="AI367" i="2"/>
  <c r="AH367" i="2"/>
  <c r="AG367" i="2"/>
  <c r="AF367" i="2"/>
  <c r="AE367" i="2"/>
  <c r="AD367" i="2"/>
  <c r="AC367" i="2"/>
  <c r="AB367" i="2"/>
  <c r="AA367" i="2"/>
  <c r="Z367" i="2"/>
  <c r="Y367" i="2"/>
  <c r="X367" i="2"/>
  <c r="W367" i="2"/>
  <c r="V367" i="2"/>
  <c r="U367" i="2"/>
  <c r="T367" i="2"/>
  <c r="S367" i="2"/>
  <c r="R367" i="2"/>
  <c r="Q367" i="2"/>
  <c r="P367" i="2"/>
  <c r="O367" i="2"/>
  <c r="N367" i="2"/>
  <c r="M367" i="2"/>
  <c r="L367" i="2"/>
  <c r="K367" i="2"/>
  <c r="J367" i="2"/>
  <c r="I367" i="2"/>
  <c r="H367" i="2"/>
  <c r="G367" i="2"/>
  <c r="F367" i="2"/>
  <c r="E367" i="2"/>
  <c r="D367" i="2"/>
  <c r="C367" i="2"/>
  <c r="B367" i="2"/>
  <c r="AL366" i="2"/>
  <c r="AK366" i="2"/>
  <c r="AJ366" i="2"/>
  <c r="AI366" i="2"/>
  <c r="AH366" i="2"/>
  <c r="AG366" i="2"/>
  <c r="AF366" i="2"/>
  <c r="AE366" i="2"/>
  <c r="AD366" i="2"/>
  <c r="AC366" i="2"/>
  <c r="AB366" i="2"/>
  <c r="AA366" i="2"/>
  <c r="Z366" i="2"/>
  <c r="Y366" i="2"/>
  <c r="X366" i="2"/>
  <c r="W366" i="2"/>
  <c r="V366" i="2"/>
  <c r="U366" i="2"/>
  <c r="T366" i="2"/>
  <c r="S366" i="2"/>
  <c r="R366" i="2"/>
  <c r="Q366" i="2"/>
  <c r="P366" i="2"/>
  <c r="O366" i="2"/>
  <c r="N366" i="2"/>
  <c r="M366" i="2"/>
  <c r="L366" i="2"/>
  <c r="K366" i="2"/>
  <c r="J366" i="2"/>
  <c r="I366" i="2"/>
  <c r="H366" i="2"/>
  <c r="G366" i="2"/>
  <c r="F366" i="2"/>
  <c r="E366" i="2"/>
  <c r="D366" i="2"/>
  <c r="C366" i="2"/>
  <c r="B366" i="2"/>
  <c r="AL365" i="2"/>
  <c r="AK365" i="2"/>
  <c r="AJ365" i="2"/>
  <c r="AI365" i="2"/>
  <c r="AH365" i="2"/>
  <c r="AG365" i="2"/>
  <c r="AF365" i="2"/>
  <c r="AE365" i="2"/>
  <c r="AD365" i="2"/>
  <c r="AC365" i="2"/>
  <c r="AB365" i="2"/>
  <c r="AA365" i="2"/>
  <c r="Z365" i="2"/>
  <c r="Y365" i="2"/>
  <c r="X365" i="2"/>
  <c r="W365" i="2"/>
  <c r="V365" i="2"/>
  <c r="U365" i="2"/>
  <c r="T365" i="2"/>
  <c r="S365" i="2"/>
  <c r="R365" i="2"/>
  <c r="Q365" i="2"/>
  <c r="P365" i="2"/>
  <c r="O365" i="2"/>
  <c r="N365" i="2"/>
  <c r="M365" i="2"/>
  <c r="L365" i="2"/>
  <c r="K365" i="2"/>
  <c r="J365" i="2"/>
  <c r="I365" i="2"/>
  <c r="H365" i="2"/>
  <c r="G365" i="2"/>
  <c r="F365" i="2"/>
  <c r="E365" i="2"/>
  <c r="D365" i="2"/>
  <c r="C365" i="2"/>
  <c r="B365" i="2"/>
  <c r="AL364" i="2"/>
  <c r="AK364" i="2"/>
  <c r="AJ364" i="2"/>
  <c r="AI364" i="2"/>
  <c r="AH364" i="2"/>
  <c r="AG364" i="2"/>
  <c r="AF364" i="2"/>
  <c r="AE364" i="2"/>
  <c r="AD364" i="2"/>
  <c r="AC364" i="2"/>
  <c r="AB364" i="2"/>
  <c r="AA364" i="2"/>
  <c r="Z364" i="2"/>
  <c r="Y364" i="2"/>
  <c r="X364" i="2"/>
  <c r="W364" i="2"/>
  <c r="V364" i="2"/>
  <c r="U364" i="2"/>
  <c r="T364" i="2"/>
  <c r="S364" i="2"/>
  <c r="R364" i="2"/>
  <c r="Q364" i="2"/>
  <c r="P364" i="2"/>
  <c r="O364" i="2"/>
  <c r="N364" i="2"/>
  <c r="M364" i="2"/>
  <c r="L364" i="2"/>
  <c r="K364" i="2"/>
  <c r="J364" i="2"/>
  <c r="I364" i="2"/>
  <c r="H364" i="2"/>
  <c r="G364" i="2"/>
  <c r="F364" i="2"/>
  <c r="E364" i="2"/>
  <c r="D364" i="2"/>
  <c r="C364" i="2"/>
  <c r="B364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AL338" i="2"/>
  <c r="AK338" i="2"/>
  <c r="AJ338" i="2"/>
  <c r="AI338" i="2"/>
  <c r="AH338" i="2"/>
  <c r="AG338" i="2"/>
  <c r="AF338" i="2"/>
  <c r="AE338" i="2"/>
  <c r="AD338" i="2"/>
  <c r="AC338" i="2"/>
  <c r="AB338" i="2"/>
  <c r="AA338" i="2"/>
  <c r="Z338" i="2"/>
  <c r="Y338" i="2"/>
  <c r="X338" i="2"/>
  <c r="W338" i="2"/>
  <c r="V338" i="2"/>
  <c r="U338" i="2"/>
  <c r="T338" i="2"/>
  <c r="S338" i="2"/>
  <c r="R338" i="2"/>
  <c r="Q338" i="2"/>
  <c r="P338" i="2"/>
  <c r="O338" i="2"/>
  <c r="N338" i="2"/>
  <c r="M338" i="2"/>
  <c r="L338" i="2"/>
  <c r="K338" i="2"/>
  <c r="J338" i="2"/>
  <c r="I338" i="2"/>
  <c r="H338" i="2"/>
  <c r="G338" i="2"/>
  <c r="F338" i="2"/>
  <c r="E338" i="2"/>
  <c r="D338" i="2"/>
  <c r="C338" i="2"/>
  <c r="B338" i="2"/>
  <c r="AL337" i="2"/>
  <c r="AK337" i="2"/>
  <c r="AJ337" i="2"/>
  <c r="AI337" i="2"/>
  <c r="AH337" i="2"/>
  <c r="AG337" i="2"/>
  <c r="AF337" i="2"/>
  <c r="AE337" i="2"/>
  <c r="AD337" i="2"/>
  <c r="AC337" i="2"/>
  <c r="AB337" i="2"/>
  <c r="AA337" i="2"/>
  <c r="Z337" i="2"/>
  <c r="Y337" i="2"/>
  <c r="X337" i="2"/>
  <c r="W337" i="2"/>
  <c r="V337" i="2"/>
  <c r="U337" i="2"/>
  <c r="T337" i="2"/>
  <c r="S337" i="2"/>
  <c r="R337" i="2"/>
  <c r="Q337" i="2"/>
  <c r="P337" i="2"/>
  <c r="O337" i="2"/>
  <c r="N337" i="2"/>
  <c r="M337" i="2"/>
  <c r="L337" i="2"/>
  <c r="K337" i="2"/>
  <c r="J337" i="2"/>
  <c r="I337" i="2"/>
  <c r="H337" i="2"/>
  <c r="G337" i="2"/>
  <c r="F337" i="2"/>
  <c r="E337" i="2"/>
  <c r="D337" i="2"/>
  <c r="C337" i="2"/>
  <c r="B337" i="2"/>
  <c r="AL336" i="2"/>
  <c r="AK336" i="2"/>
  <c r="AJ336" i="2"/>
  <c r="AI336" i="2"/>
  <c r="AH336" i="2"/>
  <c r="AG336" i="2"/>
  <c r="AF336" i="2"/>
  <c r="AE336" i="2"/>
  <c r="AD336" i="2"/>
  <c r="AC336" i="2"/>
  <c r="AB336" i="2"/>
  <c r="AA336" i="2"/>
  <c r="Z336" i="2"/>
  <c r="Y336" i="2"/>
  <c r="X336" i="2"/>
  <c r="W336" i="2"/>
  <c r="V336" i="2"/>
  <c r="U336" i="2"/>
  <c r="T336" i="2"/>
  <c r="S336" i="2"/>
  <c r="R336" i="2"/>
  <c r="Q336" i="2"/>
  <c r="P336" i="2"/>
  <c r="O336" i="2"/>
  <c r="N336" i="2"/>
  <c r="M336" i="2"/>
  <c r="L336" i="2"/>
  <c r="K336" i="2"/>
  <c r="J336" i="2"/>
  <c r="I336" i="2"/>
  <c r="H336" i="2"/>
  <c r="G336" i="2"/>
  <c r="F336" i="2"/>
  <c r="E336" i="2"/>
  <c r="D336" i="2"/>
  <c r="C336" i="2"/>
  <c r="B336" i="2"/>
  <c r="AL335" i="2"/>
  <c r="AK335" i="2"/>
  <c r="AJ335" i="2"/>
  <c r="AI335" i="2"/>
  <c r="AH335" i="2"/>
  <c r="AG335" i="2"/>
  <c r="AF335" i="2"/>
  <c r="AE335" i="2"/>
  <c r="AD335" i="2"/>
  <c r="AC335" i="2"/>
  <c r="AB335" i="2"/>
  <c r="AA335" i="2"/>
  <c r="Z335" i="2"/>
  <c r="Y335" i="2"/>
  <c r="X335" i="2"/>
  <c r="W335" i="2"/>
  <c r="V335" i="2"/>
  <c r="U335" i="2"/>
  <c r="T335" i="2"/>
  <c r="S335" i="2"/>
  <c r="R335" i="2"/>
  <c r="Q335" i="2"/>
  <c r="P335" i="2"/>
  <c r="O335" i="2"/>
  <c r="N335" i="2"/>
  <c r="M335" i="2"/>
  <c r="L335" i="2"/>
  <c r="K335" i="2"/>
  <c r="J335" i="2"/>
  <c r="I335" i="2"/>
  <c r="H335" i="2"/>
  <c r="G335" i="2"/>
  <c r="F335" i="2"/>
  <c r="E335" i="2"/>
  <c r="D335" i="2"/>
  <c r="C335" i="2"/>
  <c r="B335" i="2"/>
  <c r="AL334" i="2"/>
  <c r="AK334" i="2"/>
  <c r="AJ334" i="2"/>
  <c r="AI334" i="2"/>
  <c r="AH334" i="2"/>
  <c r="AG334" i="2"/>
  <c r="AF334" i="2"/>
  <c r="AE334" i="2"/>
  <c r="AD334" i="2"/>
  <c r="AC334" i="2"/>
  <c r="AB334" i="2"/>
  <c r="AA334" i="2"/>
  <c r="Z334" i="2"/>
  <c r="Y334" i="2"/>
  <c r="X334" i="2"/>
  <c r="W334" i="2"/>
  <c r="V334" i="2"/>
  <c r="U334" i="2"/>
  <c r="T334" i="2"/>
  <c r="S334" i="2"/>
  <c r="R334" i="2"/>
  <c r="Q334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L333" i="2"/>
  <c r="AK333" i="2"/>
  <c r="AJ333" i="2"/>
  <c r="AI333" i="2"/>
  <c r="AH333" i="2"/>
  <c r="AG333" i="2"/>
  <c r="AF333" i="2"/>
  <c r="AE333" i="2"/>
  <c r="AD333" i="2"/>
  <c r="AC333" i="2"/>
  <c r="AB333" i="2"/>
  <c r="AA333" i="2"/>
  <c r="Z333" i="2"/>
  <c r="Y333" i="2"/>
  <c r="X333" i="2"/>
  <c r="W333" i="2"/>
  <c r="V333" i="2"/>
  <c r="U333" i="2"/>
  <c r="T333" i="2"/>
  <c r="S333" i="2"/>
  <c r="R333" i="2"/>
  <c r="Q333" i="2"/>
  <c r="P333" i="2"/>
  <c r="O333" i="2"/>
  <c r="N333" i="2"/>
  <c r="M333" i="2"/>
  <c r="L333" i="2"/>
  <c r="K333" i="2"/>
  <c r="J333" i="2"/>
  <c r="I333" i="2"/>
  <c r="H333" i="2"/>
  <c r="G333" i="2"/>
  <c r="F333" i="2"/>
  <c r="E333" i="2"/>
  <c r="D333" i="2"/>
  <c r="C333" i="2"/>
  <c r="B333" i="2"/>
  <c r="AL197" i="2"/>
  <c r="AK197" i="2"/>
  <c r="AJ197" i="2"/>
  <c r="AI197" i="2"/>
  <c r="AH197" i="2"/>
  <c r="AG197" i="2"/>
  <c r="AF197" i="2"/>
  <c r="AE197" i="2"/>
  <c r="AD197" i="2"/>
  <c r="AC197" i="2"/>
  <c r="AB197" i="2"/>
  <c r="AA197" i="2"/>
  <c r="Z197" i="2"/>
  <c r="Y197" i="2"/>
  <c r="X197" i="2"/>
  <c r="W197" i="2"/>
  <c r="V197" i="2"/>
  <c r="U197" i="2"/>
  <c r="T197" i="2"/>
  <c r="S197" i="2"/>
  <c r="R197" i="2"/>
  <c r="Q197" i="2"/>
  <c r="P197" i="2"/>
  <c r="O197" i="2"/>
  <c r="N197" i="2"/>
  <c r="M197" i="2"/>
  <c r="L197" i="2"/>
  <c r="K197" i="2"/>
  <c r="J197" i="2"/>
  <c r="I197" i="2"/>
  <c r="H197" i="2"/>
  <c r="G197" i="2"/>
  <c r="F197" i="2"/>
  <c r="E197" i="2"/>
  <c r="D197" i="2"/>
  <c r="C197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AL191" i="2"/>
  <c r="AK191" i="2"/>
  <c r="AJ191" i="2"/>
  <c r="AI191" i="2"/>
  <c r="AH191" i="2"/>
  <c r="AG191" i="2"/>
  <c r="AF191" i="2"/>
  <c r="AE191" i="2"/>
  <c r="AD191" i="2"/>
  <c r="AC191" i="2"/>
  <c r="AB191" i="2"/>
  <c r="AA191" i="2"/>
  <c r="Z191" i="2"/>
  <c r="Y191" i="2"/>
  <c r="X191" i="2"/>
  <c r="W191" i="2"/>
  <c r="V191" i="2"/>
  <c r="U191" i="2"/>
  <c r="T191" i="2"/>
  <c r="S191" i="2"/>
  <c r="R191" i="2"/>
  <c r="Q191" i="2"/>
  <c r="P191" i="2"/>
  <c r="O191" i="2"/>
  <c r="N191" i="2"/>
  <c r="M191" i="2"/>
  <c r="L191" i="2"/>
  <c r="K191" i="2"/>
  <c r="J191" i="2"/>
  <c r="I191" i="2"/>
  <c r="H191" i="2"/>
  <c r="G191" i="2"/>
  <c r="F191" i="2"/>
  <c r="E191" i="2"/>
  <c r="D191" i="2"/>
  <c r="C191" i="2"/>
  <c r="AL190" i="2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C190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C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C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C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84" i="2"/>
  <c r="AL183" i="2"/>
  <c r="AK183" i="2"/>
  <c r="AJ183" i="2"/>
  <c r="AI183" i="2"/>
  <c r="AH183" i="2"/>
  <c r="AG183" i="2"/>
  <c r="AF183" i="2"/>
  <c r="AE183" i="2"/>
  <c r="AD183" i="2"/>
  <c r="AC183" i="2"/>
  <c r="AB183" i="2"/>
  <c r="AA183" i="2"/>
  <c r="Z183" i="2"/>
  <c r="Y183" i="2"/>
  <c r="X183" i="2"/>
  <c r="W183" i="2"/>
  <c r="V183" i="2"/>
  <c r="U183" i="2"/>
  <c r="T183" i="2"/>
  <c r="S183" i="2"/>
  <c r="R183" i="2"/>
  <c r="Q183" i="2"/>
  <c r="P183" i="2"/>
  <c r="O183" i="2"/>
  <c r="N183" i="2"/>
  <c r="M183" i="2"/>
  <c r="L183" i="2"/>
  <c r="K183" i="2"/>
  <c r="J183" i="2"/>
  <c r="I183" i="2"/>
  <c r="H183" i="2"/>
  <c r="G183" i="2"/>
  <c r="F183" i="2"/>
  <c r="E183" i="2"/>
  <c r="D183" i="2"/>
  <c r="C183" i="2"/>
  <c r="AL182" i="2"/>
  <c r="AK182" i="2"/>
  <c r="AJ182" i="2"/>
  <c r="AI182" i="2"/>
  <c r="AH182" i="2"/>
  <c r="AG182" i="2"/>
  <c r="AF182" i="2"/>
  <c r="AE182" i="2"/>
  <c r="AD182" i="2"/>
  <c r="AC182" i="2"/>
  <c r="AB182" i="2"/>
  <c r="AA182" i="2"/>
  <c r="Z182" i="2"/>
  <c r="Y182" i="2"/>
  <c r="X182" i="2"/>
  <c r="W182" i="2"/>
  <c r="V182" i="2"/>
  <c r="U182" i="2"/>
  <c r="T182" i="2"/>
  <c r="S182" i="2"/>
  <c r="R182" i="2"/>
  <c r="Q182" i="2"/>
  <c r="P182" i="2"/>
  <c r="O182" i="2"/>
  <c r="N182" i="2"/>
  <c r="M182" i="2"/>
  <c r="L182" i="2"/>
  <c r="K182" i="2"/>
  <c r="J182" i="2"/>
  <c r="I182" i="2"/>
  <c r="H182" i="2"/>
  <c r="G182" i="2"/>
  <c r="F182" i="2"/>
  <c r="E182" i="2"/>
  <c r="D182" i="2"/>
  <c r="C182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AL148" i="2"/>
  <c r="AK148" i="2"/>
  <c r="AJ148" i="2"/>
  <c r="AI148" i="2"/>
  <c r="AH148" i="2"/>
  <c r="AG148" i="2"/>
  <c r="AF148" i="2"/>
  <c r="AE148" i="2"/>
  <c r="AD148" i="2"/>
  <c r="AC148" i="2"/>
  <c r="AB148" i="2"/>
  <c r="AA148" i="2"/>
  <c r="Z148" i="2"/>
  <c r="Y148" i="2"/>
  <c r="X148" i="2"/>
  <c r="W148" i="2"/>
  <c r="V148" i="2"/>
  <c r="U148" i="2"/>
  <c r="T148" i="2"/>
  <c r="S148" i="2"/>
  <c r="R148" i="2"/>
  <c r="Q148" i="2"/>
  <c r="P148" i="2"/>
  <c r="O148" i="2"/>
  <c r="N148" i="2"/>
  <c r="M148" i="2"/>
  <c r="L148" i="2"/>
  <c r="K148" i="2"/>
  <c r="J148" i="2"/>
  <c r="I148" i="2"/>
  <c r="H148" i="2"/>
  <c r="G148" i="2"/>
  <c r="F148" i="2"/>
  <c r="E148" i="2"/>
  <c r="D148" i="2"/>
  <c r="C148" i="2"/>
  <c r="AL147" i="2"/>
  <c r="AK147" i="2"/>
  <c r="AJ147" i="2"/>
  <c r="AI147" i="2"/>
  <c r="AH147" i="2"/>
  <c r="AG147" i="2"/>
  <c r="AF147" i="2"/>
  <c r="AE147" i="2"/>
  <c r="AD147" i="2"/>
  <c r="AC147" i="2"/>
  <c r="AB147" i="2"/>
  <c r="AA147" i="2"/>
  <c r="Z147" i="2"/>
  <c r="Y147" i="2"/>
  <c r="X147" i="2"/>
  <c r="W147" i="2"/>
  <c r="V147" i="2"/>
  <c r="U147" i="2"/>
  <c r="T147" i="2"/>
  <c r="S147" i="2"/>
  <c r="R147" i="2"/>
  <c r="Q147" i="2"/>
  <c r="P147" i="2"/>
  <c r="O147" i="2"/>
  <c r="N147" i="2"/>
  <c r="M147" i="2"/>
  <c r="L147" i="2"/>
  <c r="K147" i="2"/>
  <c r="J147" i="2"/>
  <c r="I147" i="2"/>
  <c r="H147" i="2"/>
  <c r="G147" i="2"/>
  <c r="F147" i="2"/>
  <c r="E147" i="2"/>
  <c r="D147" i="2"/>
  <c r="C147" i="2"/>
  <c r="AL146" i="2"/>
  <c r="AK146" i="2"/>
  <c r="AJ146" i="2"/>
  <c r="AI146" i="2"/>
  <c r="AH146" i="2"/>
  <c r="AG146" i="2"/>
  <c r="AF146" i="2"/>
  <c r="AE146" i="2"/>
  <c r="AD146" i="2"/>
  <c r="AC146" i="2"/>
  <c r="AB146" i="2"/>
  <c r="AA146" i="2"/>
  <c r="Z146" i="2"/>
  <c r="Y146" i="2"/>
  <c r="X146" i="2"/>
  <c r="W146" i="2"/>
  <c r="V146" i="2"/>
  <c r="U146" i="2"/>
  <c r="T146" i="2"/>
  <c r="S146" i="2"/>
  <c r="R146" i="2"/>
  <c r="Q146" i="2"/>
  <c r="P146" i="2"/>
  <c r="O146" i="2"/>
  <c r="N146" i="2"/>
  <c r="M146" i="2"/>
  <c r="L146" i="2"/>
  <c r="K146" i="2"/>
  <c r="J146" i="2"/>
  <c r="I146" i="2"/>
  <c r="H146" i="2"/>
  <c r="G146" i="2"/>
  <c r="F146" i="2"/>
  <c r="E146" i="2"/>
  <c r="D146" i="2"/>
  <c r="C146" i="2"/>
  <c r="AL145" i="2"/>
  <c r="AK145" i="2"/>
  <c r="AJ145" i="2"/>
  <c r="AI145" i="2"/>
  <c r="AH145" i="2"/>
  <c r="AG145" i="2"/>
  <c r="AF145" i="2"/>
  <c r="AE145" i="2"/>
  <c r="AD145" i="2"/>
  <c r="AC145" i="2"/>
  <c r="AB145" i="2"/>
  <c r="AA145" i="2"/>
  <c r="Z145" i="2"/>
  <c r="Y145" i="2"/>
  <c r="X145" i="2"/>
  <c r="W145" i="2"/>
  <c r="V145" i="2"/>
  <c r="U145" i="2"/>
  <c r="T145" i="2"/>
  <c r="S145" i="2"/>
  <c r="R145" i="2"/>
  <c r="Q145" i="2"/>
  <c r="P145" i="2"/>
  <c r="O145" i="2"/>
  <c r="N145" i="2"/>
  <c r="M145" i="2"/>
  <c r="L145" i="2"/>
  <c r="K145" i="2"/>
  <c r="J145" i="2"/>
  <c r="I145" i="2"/>
  <c r="H145" i="2"/>
  <c r="G145" i="2"/>
  <c r="F145" i="2"/>
  <c r="E145" i="2"/>
  <c r="D145" i="2"/>
  <c r="C145" i="2"/>
  <c r="AL144" i="2"/>
  <c r="AK144" i="2"/>
  <c r="AJ144" i="2"/>
  <c r="AI144" i="2"/>
  <c r="AH144" i="2"/>
  <c r="AG144" i="2"/>
  <c r="AF144" i="2"/>
  <c r="AE144" i="2"/>
  <c r="AD144" i="2"/>
  <c r="AC144" i="2"/>
  <c r="AB144" i="2"/>
  <c r="AA144" i="2"/>
  <c r="Z144" i="2"/>
  <c r="Y144" i="2"/>
  <c r="X144" i="2"/>
  <c r="W144" i="2"/>
  <c r="V144" i="2"/>
  <c r="U144" i="2"/>
  <c r="T144" i="2"/>
  <c r="S144" i="2"/>
  <c r="R144" i="2"/>
  <c r="Q144" i="2"/>
  <c r="P144" i="2"/>
  <c r="O144" i="2"/>
  <c r="N144" i="2"/>
  <c r="M144" i="2"/>
  <c r="L144" i="2"/>
  <c r="K144" i="2"/>
  <c r="J144" i="2"/>
  <c r="I144" i="2"/>
  <c r="H144" i="2"/>
  <c r="G144" i="2"/>
  <c r="F144" i="2"/>
  <c r="E144" i="2"/>
  <c r="D144" i="2"/>
  <c r="C144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AL135" i="2"/>
  <c r="AK135" i="2"/>
  <c r="AJ135" i="2"/>
  <c r="AI135" i="2"/>
  <c r="AH135" i="2"/>
  <c r="AG135" i="2"/>
  <c r="AF135" i="2"/>
  <c r="AE135" i="2"/>
  <c r="AD135" i="2"/>
  <c r="AC135" i="2"/>
  <c r="AB135" i="2"/>
  <c r="AA135" i="2"/>
  <c r="Z135" i="2"/>
  <c r="Y135" i="2"/>
  <c r="X135" i="2"/>
  <c r="W135" i="2"/>
  <c r="V135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AL134" i="2"/>
  <c r="AK134" i="2"/>
  <c r="AJ134" i="2"/>
  <c r="AI134" i="2"/>
  <c r="AH134" i="2"/>
  <c r="AG134" i="2"/>
  <c r="AF134" i="2"/>
  <c r="AE134" i="2"/>
  <c r="AD134" i="2"/>
  <c r="AC134" i="2"/>
  <c r="AB134" i="2"/>
  <c r="AA134" i="2"/>
  <c r="Z134" i="2"/>
  <c r="Y134" i="2"/>
  <c r="X134" i="2"/>
  <c r="W134" i="2"/>
  <c r="V134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AL133" i="2"/>
  <c r="AK133" i="2"/>
  <c r="AJ133" i="2"/>
  <c r="AI133" i="2"/>
  <c r="AH133" i="2"/>
  <c r="AG133" i="2"/>
  <c r="AF133" i="2"/>
  <c r="AE133" i="2"/>
  <c r="AD133" i="2"/>
  <c r="AC133" i="2"/>
  <c r="AB133" i="2"/>
  <c r="AA133" i="2"/>
  <c r="Z133" i="2"/>
  <c r="Y133" i="2"/>
  <c r="X133" i="2"/>
  <c r="W133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D133" i="2"/>
  <c r="C133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AL657" i="2"/>
  <c r="AK657" i="2"/>
  <c r="AJ657" i="2"/>
  <c r="AI657" i="2"/>
  <c r="AH657" i="2"/>
  <c r="AG657" i="2"/>
  <c r="AF657" i="2"/>
  <c r="AE657" i="2"/>
  <c r="AD657" i="2"/>
  <c r="AC657" i="2"/>
  <c r="AB657" i="2"/>
  <c r="AA657" i="2"/>
  <c r="Z657" i="2"/>
  <c r="Y657" i="2"/>
  <c r="X657" i="2"/>
  <c r="W657" i="2"/>
  <c r="V657" i="2"/>
  <c r="U657" i="2"/>
  <c r="T657" i="2"/>
  <c r="S657" i="2"/>
  <c r="R657" i="2"/>
  <c r="Q657" i="2"/>
  <c r="P657" i="2"/>
  <c r="O657" i="2"/>
  <c r="N657" i="2"/>
  <c r="M657" i="2"/>
  <c r="L657" i="2"/>
  <c r="K657" i="2"/>
  <c r="J657" i="2"/>
  <c r="I657" i="2"/>
  <c r="H657" i="2"/>
  <c r="G657" i="2"/>
  <c r="F657" i="2"/>
  <c r="E657" i="2"/>
  <c r="D657" i="2"/>
  <c r="C657" i="2"/>
  <c r="B657" i="2"/>
  <c r="AL656" i="2"/>
  <c r="AK656" i="2"/>
  <c r="AJ656" i="2"/>
  <c r="AI656" i="2"/>
  <c r="AH656" i="2"/>
  <c r="AG656" i="2"/>
  <c r="AF656" i="2"/>
  <c r="AE656" i="2"/>
  <c r="AD656" i="2"/>
  <c r="AC656" i="2"/>
  <c r="AB656" i="2"/>
  <c r="AA656" i="2"/>
  <c r="Z656" i="2"/>
  <c r="Y656" i="2"/>
  <c r="X656" i="2"/>
  <c r="W656" i="2"/>
  <c r="V656" i="2"/>
  <c r="U656" i="2"/>
  <c r="T656" i="2"/>
  <c r="S656" i="2"/>
  <c r="R656" i="2"/>
  <c r="Q656" i="2"/>
  <c r="P656" i="2"/>
  <c r="O656" i="2"/>
  <c r="N656" i="2"/>
  <c r="M656" i="2"/>
  <c r="L656" i="2"/>
  <c r="K656" i="2"/>
  <c r="J656" i="2"/>
  <c r="I656" i="2"/>
  <c r="H656" i="2"/>
  <c r="G656" i="2"/>
  <c r="F656" i="2"/>
  <c r="E656" i="2"/>
  <c r="D656" i="2"/>
  <c r="C656" i="2"/>
  <c r="B656" i="2"/>
  <c r="AL655" i="2"/>
  <c r="AK655" i="2"/>
  <c r="AJ655" i="2"/>
  <c r="AI655" i="2"/>
  <c r="AH655" i="2"/>
  <c r="AG655" i="2"/>
  <c r="AF655" i="2"/>
  <c r="AE655" i="2"/>
  <c r="AD655" i="2"/>
  <c r="AC655" i="2"/>
  <c r="AB655" i="2"/>
  <c r="AA655" i="2"/>
  <c r="Z655" i="2"/>
  <c r="Y655" i="2"/>
  <c r="X655" i="2"/>
  <c r="W655" i="2"/>
  <c r="V655" i="2"/>
  <c r="U655" i="2"/>
  <c r="T655" i="2"/>
  <c r="S655" i="2"/>
  <c r="R655" i="2"/>
  <c r="Q655" i="2"/>
  <c r="P655" i="2"/>
  <c r="O655" i="2"/>
  <c r="N655" i="2"/>
  <c r="M655" i="2"/>
  <c r="L655" i="2"/>
  <c r="K655" i="2"/>
  <c r="J655" i="2"/>
  <c r="I655" i="2"/>
  <c r="H655" i="2"/>
  <c r="G655" i="2"/>
  <c r="F655" i="2"/>
  <c r="E655" i="2"/>
  <c r="D655" i="2"/>
  <c r="C655" i="2"/>
  <c r="B655" i="2"/>
  <c r="AL653" i="2"/>
  <c r="AK653" i="2"/>
  <c r="AJ653" i="2"/>
  <c r="AI653" i="2"/>
  <c r="AH653" i="2"/>
  <c r="AG653" i="2"/>
  <c r="AF653" i="2"/>
  <c r="AE653" i="2"/>
  <c r="AD653" i="2"/>
  <c r="AC653" i="2"/>
  <c r="AB653" i="2"/>
  <c r="AA653" i="2"/>
  <c r="Z653" i="2"/>
  <c r="Y653" i="2"/>
  <c r="X653" i="2"/>
  <c r="W653" i="2"/>
  <c r="V653" i="2"/>
  <c r="U653" i="2"/>
  <c r="T653" i="2"/>
  <c r="S653" i="2"/>
  <c r="R653" i="2"/>
  <c r="Q653" i="2"/>
  <c r="P653" i="2"/>
  <c r="O653" i="2"/>
  <c r="N653" i="2"/>
  <c r="M653" i="2"/>
  <c r="L653" i="2"/>
  <c r="K653" i="2"/>
  <c r="J653" i="2"/>
  <c r="I653" i="2"/>
  <c r="H653" i="2"/>
  <c r="G653" i="2"/>
  <c r="F653" i="2"/>
  <c r="E653" i="2"/>
  <c r="D653" i="2"/>
  <c r="C653" i="2"/>
  <c r="B653" i="2"/>
  <c r="AL652" i="2"/>
  <c r="AK652" i="2"/>
  <c r="AJ652" i="2"/>
  <c r="AI652" i="2"/>
  <c r="AH652" i="2"/>
  <c r="AG652" i="2"/>
  <c r="AF652" i="2"/>
  <c r="AE652" i="2"/>
  <c r="AD652" i="2"/>
  <c r="AC652" i="2"/>
  <c r="AB652" i="2"/>
  <c r="AA652" i="2"/>
  <c r="Z652" i="2"/>
  <c r="Y652" i="2"/>
  <c r="X652" i="2"/>
  <c r="W652" i="2"/>
  <c r="V652" i="2"/>
  <c r="U652" i="2"/>
  <c r="T652" i="2"/>
  <c r="S652" i="2"/>
  <c r="R652" i="2"/>
  <c r="Q652" i="2"/>
  <c r="P652" i="2"/>
  <c r="O652" i="2"/>
  <c r="N652" i="2"/>
  <c r="M652" i="2"/>
  <c r="L652" i="2"/>
  <c r="K652" i="2"/>
  <c r="J652" i="2"/>
  <c r="I652" i="2"/>
  <c r="H652" i="2"/>
  <c r="G652" i="2"/>
  <c r="F652" i="2"/>
  <c r="E652" i="2"/>
  <c r="D652" i="2"/>
  <c r="C652" i="2"/>
  <c r="B652" i="2"/>
  <c r="AL651" i="2"/>
  <c r="AK651" i="2"/>
  <c r="AJ651" i="2"/>
  <c r="AI651" i="2"/>
  <c r="AH651" i="2"/>
  <c r="AG651" i="2"/>
  <c r="AF651" i="2"/>
  <c r="AE651" i="2"/>
  <c r="AD651" i="2"/>
  <c r="AC651" i="2"/>
  <c r="AB651" i="2"/>
  <c r="AA651" i="2"/>
  <c r="Z651" i="2"/>
  <c r="Y651" i="2"/>
  <c r="X651" i="2"/>
  <c r="W651" i="2"/>
  <c r="V651" i="2"/>
  <c r="U651" i="2"/>
  <c r="T651" i="2"/>
  <c r="S651" i="2"/>
  <c r="R651" i="2"/>
  <c r="Q651" i="2"/>
  <c r="P651" i="2"/>
  <c r="O651" i="2"/>
  <c r="N651" i="2"/>
  <c r="M651" i="2"/>
  <c r="L651" i="2"/>
  <c r="K651" i="2"/>
  <c r="J651" i="2"/>
  <c r="I651" i="2"/>
  <c r="H651" i="2"/>
  <c r="G651" i="2"/>
  <c r="F651" i="2"/>
  <c r="E651" i="2"/>
  <c r="D651" i="2"/>
  <c r="C651" i="2"/>
  <c r="B651" i="2"/>
  <c r="AL650" i="2"/>
  <c r="AK650" i="2"/>
  <c r="AJ650" i="2"/>
  <c r="AI650" i="2"/>
  <c r="AH650" i="2"/>
  <c r="AG650" i="2"/>
  <c r="AF650" i="2"/>
  <c r="AE650" i="2"/>
  <c r="AD650" i="2"/>
  <c r="AC650" i="2"/>
  <c r="AB650" i="2"/>
  <c r="AA650" i="2"/>
  <c r="Z650" i="2"/>
  <c r="Y650" i="2"/>
  <c r="X650" i="2"/>
  <c r="W650" i="2"/>
  <c r="V650" i="2"/>
  <c r="U650" i="2"/>
  <c r="T650" i="2"/>
  <c r="S650" i="2"/>
  <c r="R650" i="2"/>
  <c r="Q650" i="2"/>
  <c r="P650" i="2"/>
  <c r="O650" i="2"/>
  <c r="N650" i="2"/>
  <c r="M650" i="2"/>
  <c r="L650" i="2"/>
  <c r="K650" i="2"/>
  <c r="J650" i="2"/>
  <c r="I650" i="2"/>
  <c r="H650" i="2"/>
  <c r="G650" i="2"/>
  <c r="F650" i="2"/>
  <c r="E650" i="2"/>
  <c r="D650" i="2"/>
  <c r="C650" i="2"/>
  <c r="B650" i="2"/>
  <c r="AL649" i="2"/>
  <c r="AK649" i="2"/>
  <c r="AJ649" i="2"/>
  <c r="AI649" i="2"/>
  <c r="AH649" i="2"/>
  <c r="AG649" i="2"/>
  <c r="AF649" i="2"/>
  <c r="AE649" i="2"/>
  <c r="AD649" i="2"/>
  <c r="AC649" i="2"/>
  <c r="AB649" i="2"/>
  <c r="AA649" i="2"/>
  <c r="Z649" i="2"/>
  <c r="Y649" i="2"/>
  <c r="X649" i="2"/>
  <c r="W649" i="2"/>
  <c r="V649" i="2"/>
  <c r="U649" i="2"/>
  <c r="T649" i="2"/>
  <c r="S649" i="2"/>
  <c r="R649" i="2"/>
  <c r="Q649" i="2"/>
  <c r="P649" i="2"/>
  <c r="O649" i="2"/>
  <c r="N649" i="2"/>
  <c r="M649" i="2"/>
  <c r="L649" i="2"/>
  <c r="K649" i="2"/>
  <c r="J649" i="2"/>
  <c r="I649" i="2"/>
  <c r="H649" i="2"/>
  <c r="G649" i="2"/>
  <c r="F649" i="2"/>
  <c r="E649" i="2"/>
  <c r="D649" i="2"/>
  <c r="C649" i="2"/>
  <c r="B649" i="2"/>
  <c r="AL647" i="2"/>
  <c r="AK647" i="2"/>
  <c r="AJ647" i="2"/>
  <c r="AI647" i="2"/>
  <c r="AH647" i="2"/>
  <c r="AG647" i="2"/>
  <c r="AF647" i="2"/>
  <c r="AE647" i="2"/>
  <c r="AD647" i="2"/>
  <c r="AC647" i="2"/>
  <c r="AB647" i="2"/>
  <c r="AA647" i="2"/>
  <c r="Z647" i="2"/>
  <c r="Y647" i="2"/>
  <c r="X647" i="2"/>
  <c r="W647" i="2"/>
  <c r="V647" i="2"/>
  <c r="U647" i="2"/>
  <c r="T647" i="2"/>
  <c r="S647" i="2"/>
  <c r="R647" i="2"/>
  <c r="Q647" i="2"/>
  <c r="P647" i="2"/>
  <c r="O647" i="2"/>
  <c r="N647" i="2"/>
  <c r="M647" i="2"/>
  <c r="L647" i="2"/>
  <c r="K647" i="2"/>
  <c r="J647" i="2"/>
  <c r="I647" i="2"/>
  <c r="H647" i="2"/>
  <c r="G647" i="2"/>
  <c r="F647" i="2"/>
  <c r="E647" i="2"/>
  <c r="D647" i="2"/>
  <c r="C647" i="2"/>
  <c r="B647" i="2"/>
  <c r="AL646" i="2"/>
  <c r="AK646" i="2"/>
  <c r="AJ646" i="2"/>
  <c r="AI646" i="2"/>
  <c r="AH646" i="2"/>
  <c r="AG646" i="2"/>
  <c r="AF646" i="2"/>
  <c r="AE646" i="2"/>
  <c r="AD646" i="2"/>
  <c r="AC646" i="2"/>
  <c r="AB646" i="2"/>
  <c r="AA646" i="2"/>
  <c r="Z646" i="2"/>
  <c r="Y646" i="2"/>
  <c r="X646" i="2"/>
  <c r="W646" i="2"/>
  <c r="V646" i="2"/>
  <c r="U646" i="2"/>
  <c r="T646" i="2"/>
  <c r="S646" i="2"/>
  <c r="R646" i="2"/>
  <c r="Q646" i="2"/>
  <c r="P646" i="2"/>
  <c r="O646" i="2"/>
  <c r="N646" i="2"/>
  <c r="M646" i="2"/>
  <c r="L646" i="2"/>
  <c r="K646" i="2"/>
  <c r="J646" i="2"/>
  <c r="I646" i="2"/>
  <c r="H646" i="2"/>
  <c r="G646" i="2"/>
  <c r="F646" i="2"/>
  <c r="E646" i="2"/>
  <c r="D646" i="2"/>
  <c r="C646" i="2"/>
  <c r="B646" i="2"/>
  <c r="AL644" i="2"/>
  <c r="AK644" i="2"/>
  <c r="AJ644" i="2"/>
  <c r="AI644" i="2"/>
  <c r="AH644" i="2"/>
  <c r="AG644" i="2"/>
  <c r="AF644" i="2"/>
  <c r="AE644" i="2"/>
  <c r="AD644" i="2"/>
  <c r="AC644" i="2"/>
  <c r="AB644" i="2"/>
  <c r="AA644" i="2"/>
  <c r="Z644" i="2"/>
  <c r="Y644" i="2"/>
  <c r="X644" i="2"/>
  <c r="W644" i="2"/>
  <c r="V644" i="2"/>
  <c r="U644" i="2"/>
  <c r="T644" i="2"/>
  <c r="S644" i="2"/>
  <c r="R644" i="2"/>
  <c r="Q644" i="2"/>
  <c r="P644" i="2"/>
  <c r="O644" i="2"/>
  <c r="N644" i="2"/>
  <c r="M644" i="2"/>
  <c r="L644" i="2"/>
  <c r="K644" i="2"/>
  <c r="J644" i="2"/>
  <c r="I644" i="2"/>
  <c r="H644" i="2"/>
  <c r="G644" i="2"/>
  <c r="F644" i="2"/>
  <c r="E644" i="2"/>
  <c r="D644" i="2"/>
  <c r="C644" i="2"/>
  <c r="B644" i="2"/>
  <c r="AL643" i="2"/>
  <c r="AK643" i="2"/>
  <c r="AJ643" i="2"/>
  <c r="AI643" i="2"/>
  <c r="AH643" i="2"/>
  <c r="AG643" i="2"/>
  <c r="AF643" i="2"/>
  <c r="AE643" i="2"/>
  <c r="AD643" i="2"/>
  <c r="AC643" i="2"/>
  <c r="AB643" i="2"/>
  <c r="AA643" i="2"/>
  <c r="Z643" i="2"/>
  <c r="Y643" i="2"/>
  <c r="X643" i="2"/>
  <c r="W643" i="2"/>
  <c r="V643" i="2"/>
  <c r="U643" i="2"/>
  <c r="T643" i="2"/>
  <c r="S643" i="2"/>
  <c r="R643" i="2"/>
  <c r="Q643" i="2"/>
  <c r="P643" i="2"/>
  <c r="O643" i="2"/>
  <c r="N643" i="2"/>
  <c r="M643" i="2"/>
  <c r="L643" i="2"/>
  <c r="K643" i="2"/>
  <c r="J643" i="2"/>
  <c r="I643" i="2"/>
  <c r="H643" i="2"/>
  <c r="G643" i="2"/>
  <c r="F643" i="2"/>
  <c r="E643" i="2"/>
  <c r="D643" i="2"/>
  <c r="C643" i="2"/>
  <c r="B643" i="2"/>
  <c r="AL642" i="2"/>
  <c r="AK642" i="2"/>
  <c r="AJ642" i="2"/>
  <c r="AI642" i="2"/>
  <c r="AH642" i="2"/>
  <c r="AG642" i="2"/>
  <c r="AF642" i="2"/>
  <c r="AE642" i="2"/>
  <c r="AD642" i="2"/>
  <c r="AC642" i="2"/>
  <c r="AB642" i="2"/>
  <c r="AA642" i="2"/>
  <c r="Z642" i="2"/>
  <c r="Y642" i="2"/>
  <c r="X642" i="2"/>
  <c r="W642" i="2"/>
  <c r="V642" i="2"/>
  <c r="U642" i="2"/>
  <c r="T642" i="2"/>
  <c r="S642" i="2"/>
  <c r="R642" i="2"/>
  <c r="Q642" i="2"/>
  <c r="P642" i="2"/>
  <c r="O642" i="2"/>
  <c r="N642" i="2"/>
  <c r="M642" i="2"/>
  <c r="L642" i="2"/>
  <c r="K642" i="2"/>
  <c r="J642" i="2"/>
  <c r="I642" i="2"/>
  <c r="H642" i="2"/>
  <c r="G642" i="2"/>
  <c r="F642" i="2"/>
  <c r="E642" i="2"/>
  <c r="D642" i="2"/>
  <c r="C642" i="2"/>
  <c r="B642" i="2"/>
  <c r="AL640" i="2"/>
  <c r="AK640" i="2"/>
  <c r="AJ640" i="2"/>
  <c r="AI640" i="2"/>
  <c r="AH640" i="2"/>
  <c r="AG640" i="2"/>
  <c r="AF640" i="2"/>
  <c r="AE640" i="2"/>
  <c r="AD640" i="2"/>
  <c r="AC640" i="2"/>
  <c r="AB640" i="2"/>
  <c r="AA640" i="2"/>
  <c r="Z640" i="2"/>
  <c r="Y640" i="2"/>
  <c r="X640" i="2"/>
  <c r="W640" i="2"/>
  <c r="V640" i="2"/>
  <c r="U640" i="2"/>
  <c r="T640" i="2"/>
  <c r="S640" i="2"/>
  <c r="R640" i="2"/>
  <c r="Q640" i="2"/>
  <c r="P640" i="2"/>
  <c r="O640" i="2"/>
  <c r="N640" i="2"/>
  <c r="M640" i="2"/>
  <c r="L640" i="2"/>
  <c r="K640" i="2"/>
  <c r="J640" i="2"/>
  <c r="I640" i="2"/>
  <c r="H640" i="2"/>
  <c r="G640" i="2"/>
  <c r="F640" i="2"/>
  <c r="E640" i="2"/>
  <c r="D640" i="2"/>
  <c r="C640" i="2"/>
  <c r="B640" i="2"/>
  <c r="AL639" i="2"/>
  <c r="AK639" i="2"/>
  <c r="AJ639" i="2"/>
  <c r="AI639" i="2"/>
  <c r="AH639" i="2"/>
  <c r="AG639" i="2"/>
  <c r="AF639" i="2"/>
  <c r="AE639" i="2"/>
  <c r="AD639" i="2"/>
  <c r="AC639" i="2"/>
  <c r="AB639" i="2"/>
  <c r="AA639" i="2"/>
  <c r="Z639" i="2"/>
  <c r="Y639" i="2"/>
  <c r="X639" i="2"/>
  <c r="W639" i="2"/>
  <c r="V639" i="2"/>
  <c r="U639" i="2"/>
  <c r="T639" i="2"/>
  <c r="S639" i="2"/>
  <c r="R639" i="2"/>
  <c r="Q639" i="2"/>
  <c r="P639" i="2"/>
  <c r="O639" i="2"/>
  <c r="N639" i="2"/>
  <c r="M639" i="2"/>
  <c r="L639" i="2"/>
  <c r="K639" i="2"/>
  <c r="J639" i="2"/>
  <c r="I639" i="2"/>
  <c r="H639" i="2"/>
  <c r="G639" i="2"/>
  <c r="F639" i="2"/>
  <c r="E639" i="2"/>
  <c r="D639" i="2"/>
  <c r="C639" i="2"/>
  <c r="B639" i="2"/>
  <c r="AL638" i="2"/>
  <c r="AK638" i="2"/>
  <c r="AJ638" i="2"/>
  <c r="AI638" i="2"/>
  <c r="AH638" i="2"/>
  <c r="AG638" i="2"/>
  <c r="AF638" i="2"/>
  <c r="AE638" i="2"/>
  <c r="AD638" i="2"/>
  <c r="AC638" i="2"/>
  <c r="AB638" i="2"/>
  <c r="AA638" i="2"/>
  <c r="Z638" i="2"/>
  <c r="Y638" i="2"/>
  <c r="X638" i="2"/>
  <c r="W638" i="2"/>
  <c r="V638" i="2"/>
  <c r="U638" i="2"/>
  <c r="T638" i="2"/>
  <c r="S638" i="2"/>
  <c r="R638" i="2"/>
  <c r="Q638" i="2"/>
  <c r="P638" i="2"/>
  <c r="O638" i="2"/>
  <c r="N638" i="2"/>
  <c r="M638" i="2"/>
  <c r="L638" i="2"/>
  <c r="K638" i="2"/>
  <c r="J638" i="2"/>
  <c r="I638" i="2"/>
  <c r="H638" i="2"/>
  <c r="G638" i="2"/>
  <c r="F638" i="2"/>
  <c r="E638" i="2"/>
  <c r="D638" i="2"/>
  <c r="C638" i="2"/>
  <c r="B638" i="2"/>
  <c r="AL637" i="2"/>
  <c r="AK637" i="2"/>
  <c r="AJ637" i="2"/>
  <c r="AI637" i="2"/>
  <c r="AH637" i="2"/>
  <c r="AG637" i="2"/>
  <c r="AF637" i="2"/>
  <c r="AE637" i="2"/>
  <c r="AD637" i="2"/>
  <c r="AC637" i="2"/>
  <c r="AB637" i="2"/>
  <c r="AA637" i="2"/>
  <c r="Z637" i="2"/>
  <c r="Y637" i="2"/>
  <c r="X637" i="2"/>
  <c r="W637" i="2"/>
  <c r="V637" i="2"/>
  <c r="U637" i="2"/>
  <c r="T637" i="2"/>
  <c r="S637" i="2"/>
  <c r="R637" i="2"/>
  <c r="Q637" i="2"/>
  <c r="P637" i="2"/>
  <c r="O637" i="2"/>
  <c r="N637" i="2"/>
  <c r="M637" i="2"/>
  <c r="L637" i="2"/>
  <c r="K637" i="2"/>
  <c r="J637" i="2"/>
  <c r="I637" i="2"/>
  <c r="H637" i="2"/>
  <c r="G637" i="2"/>
  <c r="F637" i="2"/>
  <c r="E637" i="2"/>
  <c r="D637" i="2"/>
  <c r="C637" i="2"/>
  <c r="B637" i="2"/>
  <c r="AL636" i="2"/>
  <c r="AK636" i="2"/>
  <c r="AJ636" i="2"/>
  <c r="AI636" i="2"/>
  <c r="AH636" i="2"/>
  <c r="AG636" i="2"/>
  <c r="AF636" i="2"/>
  <c r="AE636" i="2"/>
  <c r="AD636" i="2"/>
  <c r="AC636" i="2"/>
  <c r="AB636" i="2"/>
  <c r="AA636" i="2"/>
  <c r="Z636" i="2"/>
  <c r="Y636" i="2"/>
  <c r="X636" i="2"/>
  <c r="W636" i="2"/>
  <c r="V636" i="2"/>
  <c r="U636" i="2"/>
  <c r="T636" i="2"/>
  <c r="S636" i="2"/>
  <c r="R636" i="2"/>
  <c r="Q636" i="2"/>
  <c r="P636" i="2"/>
  <c r="O636" i="2"/>
  <c r="N636" i="2"/>
  <c r="M636" i="2"/>
  <c r="L636" i="2"/>
  <c r="K636" i="2"/>
  <c r="J636" i="2"/>
  <c r="I636" i="2"/>
  <c r="H636" i="2"/>
  <c r="G636" i="2"/>
  <c r="F636" i="2"/>
  <c r="E636" i="2"/>
  <c r="D636" i="2"/>
  <c r="C636" i="2"/>
  <c r="B636" i="2"/>
  <c r="AL634" i="2"/>
  <c r="AK634" i="2"/>
  <c r="AJ634" i="2"/>
  <c r="AI634" i="2"/>
  <c r="AH634" i="2"/>
  <c r="AG634" i="2"/>
  <c r="AF634" i="2"/>
  <c r="AE634" i="2"/>
  <c r="AD634" i="2"/>
  <c r="AC634" i="2"/>
  <c r="AB634" i="2"/>
  <c r="AA634" i="2"/>
  <c r="Z634" i="2"/>
  <c r="Y634" i="2"/>
  <c r="X634" i="2"/>
  <c r="W634" i="2"/>
  <c r="V634" i="2"/>
  <c r="U634" i="2"/>
  <c r="T634" i="2"/>
  <c r="S634" i="2"/>
  <c r="R634" i="2"/>
  <c r="Q634" i="2"/>
  <c r="P634" i="2"/>
  <c r="O634" i="2"/>
  <c r="N634" i="2"/>
  <c r="M634" i="2"/>
  <c r="L634" i="2"/>
  <c r="K634" i="2"/>
  <c r="J634" i="2"/>
  <c r="I634" i="2"/>
  <c r="H634" i="2"/>
  <c r="G634" i="2"/>
  <c r="F634" i="2"/>
  <c r="E634" i="2"/>
  <c r="D634" i="2"/>
  <c r="C634" i="2"/>
  <c r="B634" i="2"/>
  <c r="AL633" i="2"/>
  <c r="AK633" i="2"/>
  <c r="AJ633" i="2"/>
  <c r="AI633" i="2"/>
  <c r="AH633" i="2"/>
  <c r="AG633" i="2"/>
  <c r="AF633" i="2"/>
  <c r="AE633" i="2"/>
  <c r="AD633" i="2"/>
  <c r="AC633" i="2"/>
  <c r="AB633" i="2"/>
  <c r="AA633" i="2"/>
  <c r="Z633" i="2"/>
  <c r="Y633" i="2"/>
  <c r="X633" i="2"/>
  <c r="W633" i="2"/>
  <c r="V633" i="2"/>
  <c r="U633" i="2"/>
  <c r="T633" i="2"/>
  <c r="S633" i="2"/>
  <c r="R633" i="2"/>
  <c r="Q633" i="2"/>
  <c r="P633" i="2"/>
  <c r="O633" i="2"/>
  <c r="N633" i="2"/>
  <c r="M633" i="2"/>
  <c r="L633" i="2"/>
  <c r="K633" i="2"/>
  <c r="J633" i="2"/>
  <c r="I633" i="2"/>
  <c r="H633" i="2"/>
  <c r="G633" i="2"/>
  <c r="F633" i="2"/>
  <c r="E633" i="2"/>
  <c r="D633" i="2"/>
  <c r="C633" i="2"/>
  <c r="B633" i="2"/>
  <c r="AL623" i="2"/>
  <c r="AK623" i="2"/>
  <c r="AJ623" i="2"/>
  <c r="AI623" i="2"/>
  <c r="AH623" i="2"/>
  <c r="AG623" i="2"/>
  <c r="AF623" i="2"/>
  <c r="AE623" i="2"/>
  <c r="AD623" i="2"/>
  <c r="AC623" i="2"/>
  <c r="AB623" i="2"/>
  <c r="AA623" i="2"/>
  <c r="Z623" i="2"/>
  <c r="Y623" i="2"/>
  <c r="X623" i="2"/>
  <c r="W623" i="2"/>
  <c r="V623" i="2"/>
  <c r="U623" i="2"/>
  <c r="T623" i="2"/>
  <c r="S623" i="2"/>
  <c r="R623" i="2"/>
  <c r="Q623" i="2"/>
  <c r="P623" i="2"/>
  <c r="O623" i="2"/>
  <c r="N623" i="2"/>
  <c r="M623" i="2"/>
  <c r="L623" i="2"/>
  <c r="K623" i="2"/>
  <c r="J623" i="2"/>
  <c r="I623" i="2"/>
  <c r="H623" i="2"/>
  <c r="G623" i="2"/>
  <c r="F623" i="2"/>
  <c r="E623" i="2"/>
  <c r="D623" i="2"/>
  <c r="C623" i="2"/>
  <c r="B623" i="2"/>
  <c r="AL622" i="2"/>
  <c r="AK622" i="2"/>
  <c r="AJ622" i="2"/>
  <c r="AI622" i="2"/>
  <c r="AH622" i="2"/>
  <c r="AG622" i="2"/>
  <c r="AF622" i="2"/>
  <c r="AE622" i="2"/>
  <c r="AD622" i="2"/>
  <c r="AC622" i="2"/>
  <c r="AB622" i="2"/>
  <c r="AA622" i="2"/>
  <c r="Z622" i="2"/>
  <c r="Y622" i="2"/>
  <c r="X622" i="2"/>
  <c r="W622" i="2"/>
  <c r="V622" i="2"/>
  <c r="U622" i="2"/>
  <c r="T622" i="2"/>
  <c r="S622" i="2"/>
  <c r="R622" i="2"/>
  <c r="Q622" i="2"/>
  <c r="P622" i="2"/>
  <c r="O622" i="2"/>
  <c r="N622" i="2"/>
  <c r="M622" i="2"/>
  <c r="L622" i="2"/>
  <c r="K622" i="2"/>
  <c r="J622" i="2"/>
  <c r="I622" i="2"/>
  <c r="H622" i="2"/>
  <c r="G622" i="2"/>
  <c r="F622" i="2"/>
  <c r="E622" i="2"/>
  <c r="D622" i="2"/>
  <c r="C622" i="2"/>
  <c r="B622" i="2"/>
  <c r="AL621" i="2"/>
  <c r="AK621" i="2"/>
  <c r="AJ621" i="2"/>
  <c r="AI621" i="2"/>
  <c r="AH621" i="2"/>
  <c r="AG621" i="2"/>
  <c r="AF621" i="2"/>
  <c r="AE621" i="2"/>
  <c r="AD621" i="2"/>
  <c r="AC621" i="2"/>
  <c r="AB621" i="2"/>
  <c r="AA621" i="2"/>
  <c r="Z621" i="2"/>
  <c r="Y621" i="2"/>
  <c r="X621" i="2"/>
  <c r="W621" i="2"/>
  <c r="V621" i="2"/>
  <c r="U621" i="2"/>
  <c r="T621" i="2"/>
  <c r="S621" i="2"/>
  <c r="R621" i="2"/>
  <c r="Q621" i="2"/>
  <c r="P621" i="2"/>
  <c r="O621" i="2"/>
  <c r="N621" i="2"/>
  <c r="M621" i="2"/>
  <c r="L621" i="2"/>
  <c r="K621" i="2"/>
  <c r="J621" i="2"/>
  <c r="I621" i="2"/>
  <c r="H621" i="2"/>
  <c r="G621" i="2"/>
  <c r="F621" i="2"/>
  <c r="E621" i="2"/>
  <c r="D621" i="2"/>
  <c r="C621" i="2"/>
  <c r="B621" i="2"/>
  <c r="AL619" i="2"/>
  <c r="AK619" i="2"/>
  <c r="AJ619" i="2"/>
  <c r="AI619" i="2"/>
  <c r="AH619" i="2"/>
  <c r="AG619" i="2"/>
  <c r="AF619" i="2"/>
  <c r="AE619" i="2"/>
  <c r="AD619" i="2"/>
  <c r="AC619" i="2"/>
  <c r="AB619" i="2"/>
  <c r="AA619" i="2"/>
  <c r="Z619" i="2"/>
  <c r="Y619" i="2"/>
  <c r="X619" i="2"/>
  <c r="W619" i="2"/>
  <c r="V619" i="2"/>
  <c r="U619" i="2"/>
  <c r="T619" i="2"/>
  <c r="S619" i="2"/>
  <c r="R619" i="2"/>
  <c r="Q619" i="2"/>
  <c r="P619" i="2"/>
  <c r="O619" i="2"/>
  <c r="N619" i="2"/>
  <c r="M619" i="2"/>
  <c r="L619" i="2"/>
  <c r="K619" i="2"/>
  <c r="J619" i="2"/>
  <c r="I619" i="2"/>
  <c r="H619" i="2"/>
  <c r="G619" i="2"/>
  <c r="F619" i="2"/>
  <c r="E619" i="2"/>
  <c r="D619" i="2"/>
  <c r="C619" i="2"/>
  <c r="B619" i="2"/>
  <c r="AL618" i="2"/>
  <c r="AK618" i="2"/>
  <c r="AJ618" i="2"/>
  <c r="AI618" i="2"/>
  <c r="AH618" i="2"/>
  <c r="AG618" i="2"/>
  <c r="AF618" i="2"/>
  <c r="AE618" i="2"/>
  <c r="AD618" i="2"/>
  <c r="AC618" i="2"/>
  <c r="AB618" i="2"/>
  <c r="AA618" i="2"/>
  <c r="Z618" i="2"/>
  <c r="Y618" i="2"/>
  <c r="X618" i="2"/>
  <c r="W618" i="2"/>
  <c r="V618" i="2"/>
  <c r="U618" i="2"/>
  <c r="T618" i="2"/>
  <c r="S618" i="2"/>
  <c r="R618" i="2"/>
  <c r="Q618" i="2"/>
  <c r="P618" i="2"/>
  <c r="O618" i="2"/>
  <c r="N618" i="2"/>
  <c r="M618" i="2"/>
  <c r="L618" i="2"/>
  <c r="K618" i="2"/>
  <c r="J618" i="2"/>
  <c r="I618" i="2"/>
  <c r="H618" i="2"/>
  <c r="G618" i="2"/>
  <c r="F618" i="2"/>
  <c r="E618" i="2"/>
  <c r="D618" i="2"/>
  <c r="C618" i="2"/>
  <c r="B618" i="2"/>
  <c r="AL617" i="2"/>
  <c r="AK617" i="2"/>
  <c r="AJ617" i="2"/>
  <c r="AI617" i="2"/>
  <c r="AH617" i="2"/>
  <c r="AG617" i="2"/>
  <c r="AF617" i="2"/>
  <c r="AE617" i="2"/>
  <c r="AD617" i="2"/>
  <c r="AC617" i="2"/>
  <c r="AB617" i="2"/>
  <c r="AA617" i="2"/>
  <c r="Z617" i="2"/>
  <c r="Y617" i="2"/>
  <c r="X617" i="2"/>
  <c r="W617" i="2"/>
  <c r="V617" i="2"/>
  <c r="U617" i="2"/>
  <c r="T617" i="2"/>
  <c r="S617" i="2"/>
  <c r="R617" i="2"/>
  <c r="Q617" i="2"/>
  <c r="P617" i="2"/>
  <c r="O617" i="2"/>
  <c r="N617" i="2"/>
  <c r="M617" i="2"/>
  <c r="L617" i="2"/>
  <c r="K617" i="2"/>
  <c r="J617" i="2"/>
  <c r="I617" i="2"/>
  <c r="H617" i="2"/>
  <c r="G617" i="2"/>
  <c r="F617" i="2"/>
  <c r="E617" i="2"/>
  <c r="D617" i="2"/>
  <c r="C617" i="2"/>
  <c r="B617" i="2"/>
  <c r="AL616" i="2"/>
  <c r="AK616" i="2"/>
  <c r="AJ616" i="2"/>
  <c r="AI616" i="2"/>
  <c r="AH616" i="2"/>
  <c r="AG616" i="2"/>
  <c r="AF616" i="2"/>
  <c r="AE616" i="2"/>
  <c r="AD616" i="2"/>
  <c r="AC616" i="2"/>
  <c r="AB616" i="2"/>
  <c r="AA616" i="2"/>
  <c r="Z616" i="2"/>
  <c r="Y616" i="2"/>
  <c r="X616" i="2"/>
  <c r="W616" i="2"/>
  <c r="V616" i="2"/>
  <c r="U616" i="2"/>
  <c r="T616" i="2"/>
  <c r="S616" i="2"/>
  <c r="R616" i="2"/>
  <c r="Q616" i="2"/>
  <c r="P616" i="2"/>
  <c r="O616" i="2"/>
  <c r="N616" i="2"/>
  <c r="M616" i="2"/>
  <c r="L616" i="2"/>
  <c r="K616" i="2"/>
  <c r="J616" i="2"/>
  <c r="I616" i="2"/>
  <c r="H616" i="2"/>
  <c r="G616" i="2"/>
  <c r="F616" i="2"/>
  <c r="E616" i="2"/>
  <c r="D616" i="2"/>
  <c r="C616" i="2"/>
  <c r="B616" i="2"/>
  <c r="AL615" i="2"/>
  <c r="AK615" i="2"/>
  <c r="AJ615" i="2"/>
  <c r="AI615" i="2"/>
  <c r="AH615" i="2"/>
  <c r="AG615" i="2"/>
  <c r="AF615" i="2"/>
  <c r="AE615" i="2"/>
  <c r="AD615" i="2"/>
  <c r="AC615" i="2"/>
  <c r="AB615" i="2"/>
  <c r="AA615" i="2"/>
  <c r="Z615" i="2"/>
  <c r="Y615" i="2"/>
  <c r="X615" i="2"/>
  <c r="W615" i="2"/>
  <c r="V615" i="2"/>
  <c r="U615" i="2"/>
  <c r="T615" i="2"/>
  <c r="S615" i="2"/>
  <c r="R615" i="2"/>
  <c r="Q615" i="2"/>
  <c r="P615" i="2"/>
  <c r="O615" i="2"/>
  <c r="N615" i="2"/>
  <c r="M615" i="2"/>
  <c r="L615" i="2"/>
  <c r="K615" i="2"/>
  <c r="J615" i="2"/>
  <c r="I615" i="2"/>
  <c r="H615" i="2"/>
  <c r="G615" i="2"/>
  <c r="F615" i="2"/>
  <c r="E615" i="2"/>
  <c r="D615" i="2"/>
  <c r="C615" i="2"/>
  <c r="B615" i="2"/>
  <c r="AL613" i="2"/>
  <c r="AK613" i="2"/>
  <c r="AJ613" i="2"/>
  <c r="AI613" i="2"/>
  <c r="AH613" i="2"/>
  <c r="AG613" i="2"/>
  <c r="AF613" i="2"/>
  <c r="AE613" i="2"/>
  <c r="AD613" i="2"/>
  <c r="AC613" i="2"/>
  <c r="AB613" i="2"/>
  <c r="AA613" i="2"/>
  <c r="Z613" i="2"/>
  <c r="Y613" i="2"/>
  <c r="X613" i="2"/>
  <c r="W613" i="2"/>
  <c r="V613" i="2"/>
  <c r="U613" i="2"/>
  <c r="T613" i="2"/>
  <c r="S613" i="2"/>
  <c r="R613" i="2"/>
  <c r="Q613" i="2"/>
  <c r="P613" i="2"/>
  <c r="O613" i="2"/>
  <c r="N613" i="2"/>
  <c r="M613" i="2"/>
  <c r="L613" i="2"/>
  <c r="K613" i="2"/>
  <c r="J613" i="2"/>
  <c r="I613" i="2"/>
  <c r="H613" i="2"/>
  <c r="G613" i="2"/>
  <c r="F613" i="2"/>
  <c r="E613" i="2"/>
  <c r="D613" i="2"/>
  <c r="C613" i="2"/>
  <c r="B613" i="2"/>
  <c r="AL612" i="2"/>
  <c r="AK612" i="2"/>
  <c r="AJ612" i="2"/>
  <c r="AI612" i="2"/>
  <c r="AH612" i="2"/>
  <c r="AG612" i="2"/>
  <c r="AF612" i="2"/>
  <c r="AE612" i="2"/>
  <c r="AD612" i="2"/>
  <c r="AC612" i="2"/>
  <c r="AB612" i="2"/>
  <c r="AA612" i="2"/>
  <c r="Z612" i="2"/>
  <c r="Y612" i="2"/>
  <c r="X612" i="2"/>
  <c r="W612" i="2"/>
  <c r="V612" i="2"/>
  <c r="U612" i="2"/>
  <c r="T612" i="2"/>
  <c r="S612" i="2"/>
  <c r="R612" i="2"/>
  <c r="Q612" i="2"/>
  <c r="P612" i="2"/>
  <c r="O612" i="2"/>
  <c r="N612" i="2"/>
  <c r="M612" i="2"/>
  <c r="L612" i="2"/>
  <c r="K612" i="2"/>
  <c r="J612" i="2"/>
  <c r="I612" i="2"/>
  <c r="H612" i="2"/>
  <c r="G612" i="2"/>
  <c r="F612" i="2"/>
  <c r="E612" i="2"/>
  <c r="D612" i="2"/>
  <c r="C612" i="2"/>
  <c r="B612" i="2"/>
  <c r="AL610" i="2"/>
  <c r="AK610" i="2"/>
  <c r="AJ610" i="2"/>
  <c r="AI610" i="2"/>
  <c r="AH610" i="2"/>
  <c r="AG610" i="2"/>
  <c r="AF610" i="2"/>
  <c r="AE610" i="2"/>
  <c r="AD610" i="2"/>
  <c r="AC610" i="2"/>
  <c r="AB610" i="2"/>
  <c r="AA610" i="2"/>
  <c r="Z610" i="2"/>
  <c r="Y610" i="2"/>
  <c r="X610" i="2"/>
  <c r="W610" i="2"/>
  <c r="V610" i="2"/>
  <c r="U610" i="2"/>
  <c r="T610" i="2"/>
  <c r="S610" i="2"/>
  <c r="R610" i="2"/>
  <c r="Q610" i="2"/>
  <c r="P610" i="2"/>
  <c r="O610" i="2"/>
  <c r="N610" i="2"/>
  <c r="M610" i="2"/>
  <c r="L610" i="2"/>
  <c r="K610" i="2"/>
  <c r="J610" i="2"/>
  <c r="I610" i="2"/>
  <c r="H610" i="2"/>
  <c r="G610" i="2"/>
  <c r="F610" i="2"/>
  <c r="E610" i="2"/>
  <c r="D610" i="2"/>
  <c r="C610" i="2"/>
  <c r="B610" i="2"/>
  <c r="AL609" i="2"/>
  <c r="AK609" i="2"/>
  <c r="AJ609" i="2"/>
  <c r="AI609" i="2"/>
  <c r="AH609" i="2"/>
  <c r="AG609" i="2"/>
  <c r="AF609" i="2"/>
  <c r="AE609" i="2"/>
  <c r="AD609" i="2"/>
  <c r="AC609" i="2"/>
  <c r="AB609" i="2"/>
  <c r="AA609" i="2"/>
  <c r="Z609" i="2"/>
  <c r="Y609" i="2"/>
  <c r="X609" i="2"/>
  <c r="W609" i="2"/>
  <c r="V609" i="2"/>
  <c r="U609" i="2"/>
  <c r="T609" i="2"/>
  <c r="S609" i="2"/>
  <c r="R609" i="2"/>
  <c r="Q609" i="2"/>
  <c r="P609" i="2"/>
  <c r="O609" i="2"/>
  <c r="N609" i="2"/>
  <c r="M609" i="2"/>
  <c r="L609" i="2"/>
  <c r="K609" i="2"/>
  <c r="J609" i="2"/>
  <c r="I609" i="2"/>
  <c r="H609" i="2"/>
  <c r="G609" i="2"/>
  <c r="F609" i="2"/>
  <c r="E609" i="2"/>
  <c r="D609" i="2"/>
  <c r="C609" i="2"/>
  <c r="B609" i="2"/>
  <c r="AL608" i="2"/>
  <c r="AK608" i="2"/>
  <c r="AJ608" i="2"/>
  <c r="AI608" i="2"/>
  <c r="AH608" i="2"/>
  <c r="AG608" i="2"/>
  <c r="AF608" i="2"/>
  <c r="AE608" i="2"/>
  <c r="AD608" i="2"/>
  <c r="AC608" i="2"/>
  <c r="AB608" i="2"/>
  <c r="AA608" i="2"/>
  <c r="Z608" i="2"/>
  <c r="Y608" i="2"/>
  <c r="X608" i="2"/>
  <c r="W608" i="2"/>
  <c r="V608" i="2"/>
  <c r="U608" i="2"/>
  <c r="T608" i="2"/>
  <c r="S608" i="2"/>
  <c r="R608" i="2"/>
  <c r="Q608" i="2"/>
  <c r="P608" i="2"/>
  <c r="O608" i="2"/>
  <c r="N608" i="2"/>
  <c r="M608" i="2"/>
  <c r="L608" i="2"/>
  <c r="K608" i="2"/>
  <c r="J608" i="2"/>
  <c r="I608" i="2"/>
  <c r="H608" i="2"/>
  <c r="G608" i="2"/>
  <c r="F608" i="2"/>
  <c r="E608" i="2"/>
  <c r="D608" i="2"/>
  <c r="C608" i="2"/>
  <c r="B608" i="2"/>
  <c r="AL606" i="2"/>
  <c r="AK606" i="2"/>
  <c r="AJ606" i="2"/>
  <c r="AI606" i="2"/>
  <c r="AH606" i="2"/>
  <c r="AG606" i="2"/>
  <c r="AF606" i="2"/>
  <c r="AE606" i="2"/>
  <c r="AD606" i="2"/>
  <c r="AC606" i="2"/>
  <c r="AB606" i="2"/>
  <c r="AA606" i="2"/>
  <c r="Z606" i="2"/>
  <c r="Y606" i="2"/>
  <c r="X606" i="2"/>
  <c r="W606" i="2"/>
  <c r="V606" i="2"/>
  <c r="U606" i="2"/>
  <c r="T606" i="2"/>
  <c r="S606" i="2"/>
  <c r="R606" i="2"/>
  <c r="Q606" i="2"/>
  <c r="P606" i="2"/>
  <c r="O606" i="2"/>
  <c r="N606" i="2"/>
  <c r="M606" i="2"/>
  <c r="L606" i="2"/>
  <c r="K606" i="2"/>
  <c r="J606" i="2"/>
  <c r="I606" i="2"/>
  <c r="H606" i="2"/>
  <c r="G606" i="2"/>
  <c r="F606" i="2"/>
  <c r="E606" i="2"/>
  <c r="D606" i="2"/>
  <c r="C606" i="2"/>
  <c r="B606" i="2"/>
  <c r="AL605" i="2"/>
  <c r="AK605" i="2"/>
  <c r="AJ605" i="2"/>
  <c r="AI605" i="2"/>
  <c r="AH605" i="2"/>
  <c r="AG605" i="2"/>
  <c r="AF605" i="2"/>
  <c r="AE605" i="2"/>
  <c r="AD605" i="2"/>
  <c r="AC605" i="2"/>
  <c r="AB605" i="2"/>
  <c r="AA605" i="2"/>
  <c r="Z605" i="2"/>
  <c r="Y605" i="2"/>
  <c r="X605" i="2"/>
  <c r="W605" i="2"/>
  <c r="V605" i="2"/>
  <c r="U605" i="2"/>
  <c r="T605" i="2"/>
  <c r="S605" i="2"/>
  <c r="R605" i="2"/>
  <c r="Q605" i="2"/>
  <c r="P605" i="2"/>
  <c r="O605" i="2"/>
  <c r="N605" i="2"/>
  <c r="M605" i="2"/>
  <c r="L605" i="2"/>
  <c r="K605" i="2"/>
  <c r="J605" i="2"/>
  <c r="I605" i="2"/>
  <c r="H605" i="2"/>
  <c r="G605" i="2"/>
  <c r="F605" i="2"/>
  <c r="E605" i="2"/>
  <c r="D605" i="2"/>
  <c r="C605" i="2"/>
  <c r="B605" i="2"/>
  <c r="AL604" i="2"/>
  <c r="AK604" i="2"/>
  <c r="AJ604" i="2"/>
  <c r="AI604" i="2"/>
  <c r="AH604" i="2"/>
  <c r="AG604" i="2"/>
  <c r="AF604" i="2"/>
  <c r="AE604" i="2"/>
  <c r="AD604" i="2"/>
  <c r="AC604" i="2"/>
  <c r="AB604" i="2"/>
  <c r="AA604" i="2"/>
  <c r="Z604" i="2"/>
  <c r="Y604" i="2"/>
  <c r="X604" i="2"/>
  <c r="W604" i="2"/>
  <c r="V604" i="2"/>
  <c r="U604" i="2"/>
  <c r="T604" i="2"/>
  <c r="S604" i="2"/>
  <c r="R604" i="2"/>
  <c r="Q604" i="2"/>
  <c r="P604" i="2"/>
  <c r="O604" i="2"/>
  <c r="N604" i="2"/>
  <c r="M604" i="2"/>
  <c r="L604" i="2"/>
  <c r="K604" i="2"/>
  <c r="J604" i="2"/>
  <c r="I604" i="2"/>
  <c r="H604" i="2"/>
  <c r="G604" i="2"/>
  <c r="F604" i="2"/>
  <c r="E604" i="2"/>
  <c r="D604" i="2"/>
  <c r="C604" i="2"/>
  <c r="B604" i="2"/>
  <c r="AL603" i="2"/>
  <c r="AK603" i="2"/>
  <c r="AJ603" i="2"/>
  <c r="AI603" i="2"/>
  <c r="AH603" i="2"/>
  <c r="AG603" i="2"/>
  <c r="AF603" i="2"/>
  <c r="AE603" i="2"/>
  <c r="AD603" i="2"/>
  <c r="AC603" i="2"/>
  <c r="AB603" i="2"/>
  <c r="AA603" i="2"/>
  <c r="Z603" i="2"/>
  <c r="Y603" i="2"/>
  <c r="X603" i="2"/>
  <c r="W603" i="2"/>
  <c r="V603" i="2"/>
  <c r="U603" i="2"/>
  <c r="T603" i="2"/>
  <c r="S603" i="2"/>
  <c r="R603" i="2"/>
  <c r="Q603" i="2"/>
  <c r="P603" i="2"/>
  <c r="O603" i="2"/>
  <c r="N603" i="2"/>
  <c r="M603" i="2"/>
  <c r="L603" i="2"/>
  <c r="K603" i="2"/>
  <c r="J603" i="2"/>
  <c r="I603" i="2"/>
  <c r="H603" i="2"/>
  <c r="G603" i="2"/>
  <c r="F603" i="2"/>
  <c r="E603" i="2"/>
  <c r="D603" i="2"/>
  <c r="C603" i="2"/>
  <c r="B603" i="2"/>
  <c r="AL602" i="2"/>
  <c r="AK602" i="2"/>
  <c r="AJ602" i="2"/>
  <c r="AI602" i="2"/>
  <c r="AH602" i="2"/>
  <c r="AG602" i="2"/>
  <c r="AF602" i="2"/>
  <c r="AE602" i="2"/>
  <c r="AD602" i="2"/>
  <c r="AC602" i="2"/>
  <c r="AB602" i="2"/>
  <c r="AA602" i="2"/>
  <c r="Z602" i="2"/>
  <c r="Y602" i="2"/>
  <c r="X602" i="2"/>
  <c r="W602" i="2"/>
  <c r="V602" i="2"/>
  <c r="U602" i="2"/>
  <c r="T602" i="2"/>
  <c r="S602" i="2"/>
  <c r="R602" i="2"/>
  <c r="Q602" i="2"/>
  <c r="P602" i="2"/>
  <c r="O602" i="2"/>
  <c r="N602" i="2"/>
  <c r="M602" i="2"/>
  <c r="L602" i="2"/>
  <c r="K602" i="2"/>
  <c r="J602" i="2"/>
  <c r="I602" i="2"/>
  <c r="H602" i="2"/>
  <c r="G602" i="2"/>
  <c r="F602" i="2"/>
  <c r="E602" i="2"/>
  <c r="D602" i="2"/>
  <c r="C602" i="2"/>
  <c r="B602" i="2"/>
  <c r="AL600" i="2"/>
  <c r="AK600" i="2"/>
  <c r="AJ600" i="2"/>
  <c r="AI600" i="2"/>
  <c r="AH600" i="2"/>
  <c r="AG600" i="2"/>
  <c r="AF600" i="2"/>
  <c r="AE600" i="2"/>
  <c r="AD600" i="2"/>
  <c r="AC600" i="2"/>
  <c r="AB600" i="2"/>
  <c r="AA600" i="2"/>
  <c r="Z600" i="2"/>
  <c r="Y600" i="2"/>
  <c r="X600" i="2"/>
  <c r="W600" i="2"/>
  <c r="V600" i="2"/>
  <c r="U600" i="2"/>
  <c r="T600" i="2"/>
  <c r="S600" i="2"/>
  <c r="R600" i="2"/>
  <c r="Q600" i="2"/>
  <c r="P600" i="2"/>
  <c r="O600" i="2"/>
  <c r="N600" i="2"/>
  <c r="M600" i="2"/>
  <c r="L600" i="2"/>
  <c r="K600" i="2"/>
  <c r="J600" i="2"/>
  <c r="I600" i="2"/>
  <c r="H600" i="2"/>
  <c r="G600" i="2"/>
  <c r="F600" i="2"/>
  <c r="E600" i="2"/>
  <c r="D600" i="2"/>
  <c r="C600" i="2"/>
  <c r="B600" i="2"/>
  <c r="AL599" i="2"/>
  <c r="AK599" i="2"/>
  <c r="AJ599" i="2"/>
  <c r="AI599" i="2"/>
  <c r="AH599" i="2"/>
  <c r="AG599" i="2"/>
  <c r="AF599" i="2"/>
  <c r="AE599" i="2"/>
  <c r="AD599" i="2"/>
  <c r="AC599" i="2"/>
  <c r="AB599" i="2"/>
  <c r="AA599" i="2"/>
  <c r="Z599" i="2"/>
  <c r="Y599" i="2"/>
  <c r="X599" i="2"/>
  <c r="W599" i="2"/>
  <c r="V599" i="2"/>
  <c r="U599" i="2"/>
  <c r="T599" i="2"/>
  <c r="S599" i="2"/>
  <c r="R599" i="2"/>
  <c r="Q599" i="2"/>
  <c r="P599" i="2"/>
  <c r="O599" i="2"/>
  <c r="N599" i="2"/>
  <c r="M599" i="2"/>
  <c r="L599" i="2"/>
  <c r="K599" i="2"/>
  <c r="J599" i="2"/>
  <c r="I599" i="2"/>
  <c r="H599" i="2"/>
  <c r="G599" i="2"/>
  <c r="F599" i="2"/>
  <c r="E599" i="2"/>
  <c r="D599" i="2"/>
  <c r="C599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AL331" i="2"/>
  <c r="AK331" i="2"/>
  <c r="AJ331" i="2"/>
  <c r="AI331" i="2"/>
  <c r="AH331" i="2"/>
  <c r="AG331" i="2"/>
  <c r="AF331" i="2"/>
  <c r="AE331" i="2"/>
  <c r="AD331" i="2"/>
  <c r="AC331" i="2"/>
  <c r="AB331" i="2"/>
  <c r="AA331" i="2"/>
  <c r="Z331" i="2"/>
  <c r="Y331" i="2"/>
  <c r="X331" i="2"/>
  <c r="W331" i="2"/>
  <c r="V331" i="2"/>
  <c r="U331" i="2"/>
  <c r="T331" i="2"/>
  <c r="S331" i="2"/>
  <c r="R331" i="2"/>
  <c r="Q331" i="2"/>
  <c r="P331" i="2"/>
  <c r="O331" i="2"/>
  <c r="N331" i="2"/>
  <c r="M331" i="2"/>
  <c r="L331" i="2"/>
  <c r="K331" i="2"/>
  <c r="J331" i="2"/>
  <c r="I331" i="2"/>
  <c r="H331" i="2"/>
  <c r="G331" i="2"/>
  <c r="F331" i="2"/>
  <c r="E331" i="2"/>
  <c r="D331" i="2"/>
  <c r="C331" i="2"/>
  <c r="AL330" i="2"/>
  <c r="AK330" i="2"/>
  <c r="AJ330" i="2"/>
  <c r="AI330" i="2"/>
  <c r="AH330" i="2"/>
  <c r="AG330" i="2"/>
  <c r="AF330" i="2"/>
  <c r="AE330" i="2"/>
  <c r="AD330" i="2"/>
  <c r="AC330" i="2"/>
  <c r="AB330" i="2"/>
  <c r="AA330" i="2"/>
  <c r="Z330" i="2"/>
  <c r="Y330" i="2"/>
  <c r="X330" i="2"/>
  <c r="W330" i="2"/>
  <c r="V330" i="2"/>
  <c r="U330" i="2"/>
  <c r="T330" i="2"/>
  <c r="S330" i="2"/>
  <c r="R330" i="2"/>
  <c r="Q330" i="2"/>
  <c r="P330" i="2"/>
  <c r="O330" i="2"/>
  <c r="N330" i="2"/>
  <c r="M330" i="2"/>
  <c r="L330" i="2"/>
  <c r="K330" i="2"/>
  <c r="J330" i="2"/>
  <c r="I330" i="2"/>
  <c r="H330" i="2"/>
  <c r="G330" i="2"/>
  <c r="F330" i="2"/>
  <c r="E330" i="2"/>
  <c r="D330" i="2"/>
  <c r="C330" i="2"/>
  <c r="AL329" i="2"/>
  <c r="AK329" i="2"/>
  <c r="AJ329" i="2"/>
  <c r="AI329" i="2"/>
  <c r="AH329" i="2"/>
  <c r="AG329" i="2"/>
  <c r="AF329" i="2"/>
  <c r="AE329" i="2"/>
  <c r="AD329" i="2"/>
  <c r="AC329" i="2"/>
  <c r="AB329" i="2"/>
  <c r="AA329" i="2"/>
  <c r="Z329" i="2"/>
  <c r="Y329" i="2"/>
  <c r="X329" i="2"/>
  <c r="W329" i="2"/>
  <c r="V329" i="2"/>
  <c r="U329" i="2"/>
  <c r="T329" i="2"/>
  <c r="S329" i="2"/>
  <c r="R329" i="2"/>
  <c r="Q329" i="2"/>
  <c r="P329" i="2"/>
  <c r="O329" i="2"/>
  <c r="N329" i="2"/>
  <c r="M329" i="2"/>
  <c r="L329" i="2"/>
  <c r="K329" i="2"/>
  <c r="J329" i="2"/>
  <c r="I329" i="2"/>
  <c r="H329" i="2"/>
  <c r="G329" i="2"/>
  <c r="F329" i="2"/>
  <c r="E329" i="2"/>
  <c r="D329" i="2"/>
  <c r="C329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AL290" i="2"/>
  <c r="AK290" i="2"/>
  <c r="AJ290" i="2"/>
  <c r="AI290" i="2"/>
  <c r="AH290" i="2"/>
  <c r="AG290" i="2"/>
  <c r="AF290" i="2"/>
  <c r="AE290" i="2"/>
  <c r="AD290" i="2"/>
  <c r="AC290" i="2"/>
  <c r="AB290" i="2"/>
  <c r="AA290" i="2"/>
  <c r="Z290" i="2"/>
  <c r="Y290" i="2"/>
  <c r="X290" i="2"/>
  <c r="W290" i="2"/>
  <c r="V290" i="2"/>
  <c r="U290" i="2"/>
  <c r="T290" i="2"/>
  <c r="S290" i="2"/>
  <c r="R290" i="2"/>
  <c r="Q290" i="2"/>
  <c r="P290" i="2"/>
  <c r="O290" i="2"/>
  <c r="N290" i="2"/>
  <c r="M290" i="2"/>
  <c r="L290" i="2"/>
  <c r="K290" i="2"/>
  <c r="J290" i="2"/>
  <c r="I290" i="2"/>
  <c r="H290" i="2"/>
  <c r="G290" i="2"/>
  <c r="F290" i="2"/>
  <c r="E290" i="2"/>
  <c r="D290" i="2"/>
  <c r="C290" i="2"/>
  <c r="AL289" i="2"/>
  <c r="AK289" i="2"/>
  <c r="AJ289" i="2"/>
  <c r="AI289" i="2"/>
  <c r="AH289" i="2"/>
  <c r="AG289" i="2"/>
  <c r="AF289" i="2"/>
  <c r="AE289" i="2"/>
  <c r="AD289" i="2"/>
  <c r="AC289" i="2"/>
  <c r="AB289" i="2"/>
  <c r="AA289" i="2"/>
  <c r="Z289" i="2"/>
  <c r="Y289" i="2"/>
  <c r="X289" i="2"/>
  <c r="W289" i="2"/>
  <c r="V289" i="2"/>
  <c r="U289" i="2"/>
  <c r="T289" i="2"/>
  <c r="S289" i="2"/>
  <c r="R289" i="2"/>
  <c r="Q289" i="2"/>
  <c r="P289" i="2"/>
  <c r="O289" i="2"/>
  <c r="N289" i="2"/>
  <c r="M289" i="2"/>
  <c r="L289" i="2"/>
  <c r="K289" i="2"/>
  <c r="J289" i="2"/>
  <c r="I289" i="2"/>
  <c r="H289" i="2"/>
  <c r="G289" i="2"/>
  <c r="F289" i="2"/>
  <c r="E289" i="2"/>
  <c r="D289" i="2"/>
  <c r="C289" i="2"/>
  <c r="AL288" i="2"/>
  <c r="AK288" i="2"/>
  <c r="AJ288" i="2"/>
  <c r="AI288" i="2"/>
  <c r="AH288" i="2"/>
  <c r="AG288" i="2"/>
  <c r="AF288" i="2"/>
  <c r="AE288" i="2"/>
  <c r="AD288" i="2"/>
  <c r="AC288" i="2"/>
  <c r="AB288" i="2"/>
  <c r="AA288" i="2"/>
  <c r="Z288" i="2"/>
  <c r="Y288" i="2"/>
  <c r="X288" i="2"/>
  <c r="W288" i="2"/>
  <c r="V288" i="2"/>
  <c r="U288" i="2"/>
  <c r="T288" i="2"/>
  <c r="S288" i="2"/>
  <c r="R288" i="2"/>
  <c r="Q288" i="2"/>
  <c r="P288" i="2"/>
  <c r="O288" i="2"/>
  <c r="N288" i="2"/>
  <c r="M288" i="2"/>
  <c r="L288" i="2"/>
  <c r="K288" i="2"/>
  <c r="J288" i="2"/>
  <c r="I288" i="2"/>
  <c r="H288" i="2"/>
  <c r="G288" i="2"/>
  <c r="F288" i="2"/>
  <c r="E288" i="2"/>
  <c r="D288" i="2"/>
  <c r="C288" i="2"/>
  <c r="AL287" i="2"/>
  <c r="AK287" i="2"/>
  <c r="AJ287" i="2"/>
  <c r="AI287" i="2"/>
  <c r="AH287" i="2"/>
  <c r="AG287" i="2"/>
  <c r="AF287" i="2"/>
  <c r="AE287" i="2"/>
  <c r="AD287" i="2"/>
  <c r="AC287" i="2"/>
  <c r="AB287" i="2"/>
  <c r="AA287" i="2"/>
  <c r="Z287" i="2"/>
  <c r="Y287" i="2"/>
  <c r="X287" i="2"/>
  <c r="W287" i="2"/>
  <c r="V287" i="2"/>
  <c r="U287" i="2"/>
  <c r="T287" i="2"/>
  <c r="S287" i="2"/>
  <c r="R287" i="2"/>
  <c r="Q287" i="2"/>
  <c r="P287" i="2"/>
  <c r="O287" i="2"/>
  <c r="N287" i="2"/>
  <c r="M287" i="2"/>
  <c r="L287" i="2"/>
  <c r="K287" i="2"/>
  <c r="J287" i="2"/>
  <c r="I287" i="2"/>
  <c r="H287" i="2"/>
  <c r="G287" i="2"/>
  <c r="F287" i="2"/>
  <c r="E287" i="2"/>
  <c r="D287" i="2"/>
  <c r="C287" i="2"/>
  <c r="AL286" i="2"/>
  <c r="AK286" i="2"/>
  <c r="AJ286" i="2"/>
  <c r="AI286" i="2"/>
  <c r="AH286" i="2"/>
  <c r="AG286" i="2"/>
  <c r="AF286" i="2"/>
  <c r="AE286" i="2"/>
  <c r="AD286" i="2"/>
  <c r="AC286" i="2"/>
  <c r="AB286" i="2"/>
  <c r="AA286" i="2"/>
  <c r="Z286" i="2"/>
  <c r="Y286" i="2"/>
  <c r="X286" i="2"/>
  <c r="W286" i="2"/>
  <c r="V286" i="2"/>
  <c r="U286" i="2"/>
  <c r="T286" i="2"/>
  <c r="S286" i="2"/>
  <c r="R286" i="2"/>
  <c r="Q286" i="2"/>
  <c r="P286" i="2"/>
  <c r="O286" i="2"/>
  <c r="N286" i="2"/>
  <c r="M286" i="2"/>
  <c r="L286" i="2"/>
  <c r="K286" i="2"/>
  <c r="J286" i="2"/>
  <c r="I286" i="2"/>
  <c r="H286" i="2"/>
  <c r="G286" i="2"/>
  <c r="F286" i="2"/>
  <c r="E286" i="2"/>
  <c r="D286" i="2"/>
  <c r="C286" i="2"/>
  <c r="AL285" i="2"/>
  <c r="AK285" i="2"/>
  <c r="AJ285" i="2"/>
  <c r="AI285" i="2"/>
  <c r="AH285" i="2"/>
  <c r="AG285" i="2"/>
  <c r="AF285" i="2"/>
  <c r="AE285" i="2"/>
  <c r="AD285" i="2"/>
  <c r="AC285" i="2"/>
  <c r="AB285" i="2"/>
  <c r="AA285" i="2"/>
  <c r="Z285" i="2"/>
  <c r="Y285" i="2"/>
  <c r="X285" i="2"/>
  <c r="W285" i="2"/>
  <c r="V285" i="2"/>
  <c r="U285" i="2"/>
  <c r="T285" i="2"/>
  <c r="S285" i="2"/>
  <c r="R285" i="2"/>
  <c r="Q285" i="2"/>
  <c r="P285" i="2"/>
  <c r="O285" i="2"/>
  <c r="N285" i="2"/>
  <c r="M285" i="2"/>
  <c r="L285" i="2"/>
  <c r="K285" i="2"/>
  <c r="J285" i="2"/>
  <c r="I285" i="2"/>
  <c r="H285" i="2"/>
  <c r="G285" i="2"/>
  <c r="F285" i="2"/>
  <c r="E285" i="2"/>
  <c r="D285" i="2"/>
  <c r="C285" i="2"/>
  <c r="AL284" i="2"/>
  <c r="AK284" i="2"/>
  <c r="AJ284" i="2"/>
  <c r="AI284" i="2"/>
  <c r="AH284" i="2"/>
  <c r="AG284" i="2"/>
  <c r="AF284" i="2"/>
  <c r="AE284" i="2"/>
  <c r="AD284" i="2"/>
  <c r="AC284" i="2"/>
  <c r="AB284" i="2"/>
  <c r="AA284" i="2"/>
  <c r="Z284" i="2"/>
  <c r="Y284" i="2"/>
  <c r="X284" i="2"/>
  <c r="W284" i="2"/>
  <c r="V284" i="2"/>
  <c r="U284" i="2"/>
  <c r="T284" i="2"/>
  <c r="S284" i="2"/>
  <c r="R284" i="2"/>
  <c r="Q284" i="2"/>
  <c r="P284" i="2"/>
  <c r="O284" i="2"/>
  <c r="N284" i="2"/>
  <c r="M284" i="2"/>
  <c r="L284" i="2"/>
  <c r="K284" i="2"/>
  <c r="J284" i="2"/>
  <c r="I284" i="2"/>
  <c r="H284" i="2"/>
  <c r="G284" i="2"/>
  <c r="F284" i="2"/>
  <c r="E284" i="2"/>
  <c r="D284" i="2"/>
  <c r="C284" i="2"/>
  <c r="AL283" i="2"/>
  <c r="AK283" i="2"/>
  <c r="AJ283" i="2"/>
  <c r="AI283" i="2"/>
  <c r="AH283" i="2"/>
  <c r="AG283" i="2"/>
  <c r="AF283" i="2"/>
  <c r="AE283" i="2"/>
  <c r="AD283" i="2"/>
  <c r="AC283" i="2"/>
  <c r="AB283" i="2"/>
  <c r="AA283" i="2"/>
  <c r="Z283" i="2"/>
  <c r="Y283" i="2"/>
  <c r="X283" i="2"/>
  <c r="W283" i="2"/>
  <c r="V283" i="2"/>
  <c r="U283" i="2"/>
  <c r="T283" i="2"/>
  <c r="S283" i="2"/>
  <c r="R283" i="2"/>
  <c r="Q283" i="2"/>
  <c r="P283" i="2"/>
  <c r="O283" i="2"/>
  <c r="N283" i="2"/>
  <c r="M283" i="2"/>
  <c r="L283" i="2"/>
  <c r="K283" i="2"/>
  <c r="J283" i="2"/>
  <c r="I283" i="2"/>
  <c r="H283" i="2"/>
  <c r="G283" i="2"/>
  <c r="F283" i="2"/>
  <c r="E283" i="2"/>
  <c r="D283" i="2"/>
  <c r="C283" i="2"/>
  <c r="AL281" i="2"/>
  <c r="AK281" i="2"/>
  <c r="AJ281" i="2"/>
  <c r="AI281" i="2"/>
  <c r="AH281" i="2"/>
  <c r="AG281" i="2"/>
  <c r="AF281" i="2"/>
  <c r="AE281" i="2"/>
  <c r="AD281" i="2"/>
  <c r="AC281" i="2"/>
  <c r="AB281" i="2"/>
  <c r="AA281" i="2"/>
  <c r="Z281" i="2"/>
  <c r="Y281" i="2"/>
  <c r="X281" i="2"/>
  <c r="W281" i="2"/>
  <c r="V281" i="2"/>
  <c r="U281" i="2"/>
  <c r="T281" i="2"/>
  <c r="S281" i="2"/>
  <c r="R281" i="2"/>
  <c r="Q281" i="2"/>
  <c r="P281" i="2"/>
  <c r="O281" i="2"/>
  <c r="N281" i="2"/>
  <c r="M281" i="2"/>
  <c r="L281" i="2"/>
  <c r="K281" i="2"/>
  <c r="J281" i="2"/>
  <c r="I281" i="2"/>
  <c r="H281" i="2"/>
  <c r="G281" i="2"/>
  <c r="F281" i="2"/>
  <c r="E281" i="2"/>
  <c r="D281" i="2"/>
  <c r="C281" i="2"/>
  <c r="AL280" i="2"/>
  <c r="AK280" i="2"/>
  <c r="AJ280" i="2"/>
  <c r="AI280" i="2"/>
  <c r="AH280" i="2"/>
  <c r="AG280" i="2"/>
  <c r="AF280" i="2"/>
  <c r="AE280" i="2"/>
  <c r="AD280" i="2"/>
  <c r="AC280" i="2"/>
  <c r="AB280" i="2"/>
  <c r="AA280" i="2"/>
  <c r="Z280" i="2"/>
  <c r="Y280" i="2"/>
  <c r="X280" i="2"/>
  <c r="W280" i="2"/>
  <c r="V280" i="2"/>
  <c r="U280" i="2"/>
  <c r="T280" i="2"/>
  <c r="S280" i="2"/>
  <c r="R280" i="2"/>
  <c r="Q280" i="2"/>
  <c r="P280" i="2"/>
  <c r="O280" i="2"/>
  <c r="N280" i="2"/>
  <c r="M280" i="2"/>
  <c r="L280" i="2"/>
  <c r="K280" i="2"/>
  <c r="J280" i="2"/>
  <c r="I280" i="2"/>
  <c r="H280" i="2"/>
  <c r="G280" i="2"/>
  <c r="F280" i="2"/>
  <c r="E280" i="2"/>
  <c r="D280" i="2"/>
  <c r="C280" i="2"/>
  <c r="AL279" i="2"/>
  <c r="AK279" i="2"/>
  <c r="AJ279" i="2"/>
  <c r="AI279" i="2"/>
  <c r="AH279" i="2"/>
  <c r="AG279" i="2"/>
  <c r="AF279" i="2"/>
  <c r="AE279" i="2"/>
  <c r="AD279" i="2"/>
  <c r="AC279" i="2"/>
  <c r="AB279" i="2"/>
  <c r="AA279" i="2"/>
  <c r="Z279" i="2"/>
  <c r="Y279" i="2"/>
  <c r="X279" i="2"/>
  <c r="W279" i="2"/>
  <c r="V279" i="2"/>
  <c r="U279" i="2"/>
  <c r="T279" i="2"/>
  <c r="S279" i="2"/>
  <c r="R279" i="2"/>
  <c r="Q279" i="2"/>
  <c r="P279" i="2"/>
  <c r="O279" i="2"/>
  <c r="N279" i="2"/>
  <c r="M279" i="2"/>
  <c r="L279" i="2"/>
  <c r="K279" i="2"/>
  <c r="J279" i="2"/>
  <c r="I279" i="2"/>
  <c r="H279" i="2"/>
  <c r="G279" i="2"/>
  <c r="F279" i="2"/>
  <c r="E279" i="2"/>
  <c r="D279" i="2"/>
  <c r="C279" i="2"/>
  <c r="AL278" i="2"/>
  <c r="AK278" i="2"/>
  <c r="AJ278" i="2"/>
  <c r="AI278" i="2"/>
  <c r="AH278" i="2"/>
  <c r="AG278" i="2"/>
  <c r="AF278" i="2"/>
  <c r="AE278" i="2"/>
  <c r="AD278" i="2"/>
  <c r="AC278" i="2"/>
  <c r="AB278" i="2"/>
  <c r="AA278" i="2"/>
  <c r="Z278" i="2"/>
  <c r="Y278" i="2"/>
  <c r="X278" i="2"/>
  <c r="W278" i="2"/>
  <c r="V278" i="2"/>
  <c r="U278" i="2"/>
  <c r="T278" i="2"/>
  <c r="S278" i="2"/>
  <c r="R278" i="2"/>
  <c r="Q278" i="2"/>
  <c r="P278" i="2"/>
  <c r="O278" i="2"/>
  <c r="N278" i="2"/>
  <c r="M278" i="2"/>
  <c r="L278" i="2"/>
  <c r="K278" i="2"/>
  <c r="J278" i="2"/>
  <c r="I278" i="2"/>
  <c r="H278" i="2"/>
  <c r="G278" i="2"/>
  <c r="F278" i="2"/>
  <c r="E278" i="2"/>
  <c r="D278" i="2"/>
  <c r="C278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AL262" i="2"/>
  <c r="AK262" i="2"/>
  <c r="AJ262" i="2"/>
  <c r="AI262" i="2"/>
  <c r="AH262" i="2"/>
  <c r="AG262" i="2"/>
  <c r="AF262" i="2"/>
  <c r="AE262" i="2"/>
  <c r="AD262" i="2"/>
  <c r="AC262" i="2"/>
  <c r="AB262" i="2"/>
  <c r="AA262" i="2"/>
  <c r="Z262" i="2"/>
  <c r="Y262" i="2"/>
  <c r="X262" i="2"/>
  <c r="W262" i="2"/>
  <c r="V262" i="2"/>
  <c r="U262" i="2"/>
  <c r="T262" i="2"/>
  <c r="S262" i="2"/>
  <c r="R262" i="2"/>
  <c r="Q262" i="2"/>
  <c r="P262" i="2"/>
  <c r="O262" i="2"/>
  <c r="N262" i="2"/>
  <c r="M262" i="2"/>
  <c r="L262" i="2"/>
  <c r="K262" i="2"/>
  <c r="J262" i="2"/>
  <c r="I262" i="2"/>
  <c r="H262" i="2"/>
  <c r="G262" i="2"/>
  <c r="F262" i="2"/>
  <c r="E262" i="2"/>
  <c r="D262" i="2"/>
  <c r="C262" i="2"/>
  <c r="AL261" i="2"/>
  <c r="AK261" i="2"/>
  <c r="AJ261" i="2"/>
  <c r="AI261" i="2"/>
  <c r="AH261" i="2"/>
  <c r="AG261" i="2"/>
  <c r="AF261" i="2"/>
  <c r="AE261" i="2"/>
  <c r="AD261" i="2"/>
  <c r="AC261" i="2"/>
  <c r="AB261" i="2"/>
  <c r="AA261" i="2"/>
  <c r="Z261" i="2"/>
  <c r="Y261" i="2"/>
  <c r="X261" i="2"/>
  <c r="W261" i="2"/>
  <c r="V261" i="2"/>
  <c r="U261" i="2"/>
  <c r="T261" i="2"/>
  <c r="S261" i="2"/>
  <c r="R261" i="2"/>
  <c r="Q261" i="2"/>
  <c r="P261" i="2"/>
  <c r="O261" i="2"/>
  <c r="N261" i="2"/>
  <c r="M261" i="2"/>
  <c r="L261" i="2"/>
  <c r="K261" i="2"/>
  <c r="J261" i="2"/>
  <c r="I261" i="2"/>
  <c r="H261" i="2"/>
  <c r="G261" i="2"/>
  <c r="F261" i="2"/>
  <c r="E261" i="2"/>
  <c r="D261" i="2"/>
  <c r="C261" i="2"/>
  <c r="AL260" i="2"/>
  <c r="AK260" i="2"/>
  <c r="AJ260" i="2"/>
  <c r="AI260" i="2"/>
  <c r="AH260" i="2"/>
  <c r="AG260" i="2"/>
  <c r="AF260" i="2"/>
  <c r="AE260" i="2"/>
  <c r="AD260" i="2"/>
  <c r="AC260" i="2"/>
  <c r="AB260" i="2"/>
  <c r="AA260" i="2"/>
  <c r="Z260" i="2"/>
  <c r="Y260" i="2"/>
  <c r="X260" i="2"/>
  <c r="W260" i="2"/>
  <c r="V260" i="2"/>
  <c r="U260" i="2"/>
  <c r="T260" i="2"/>
  <c r="S260" i="2"/>
  <c r="R260" i="2"/>
  <c r="Q260" i="2"/>
  <c r="P260" i="2"/>
  <c r="O260" i="2"/>
  <c r="N260" i="2"/>
  <c r="M260" i="2"/>
  <c r="L260" i="2"/>
  <c r="K260" i="2"/>
  <c r="J260" i="2"/>
  <c r="I260" i="2"/>
  <c r="H260" i="2"/>
  <c r="G260" i="2"/>
  <c r="F260" i="2"/>
  <c r="E260" i="2"/>
  <c r="D260" i="2"/>
  <c r="C260" i="2"/>
  <c r="AL259" i="2"/>
  <c r="AK259" i="2"/>
  <c r="AJ259" i="2"/>
  <c r="AI259" i="2"/>
  <c r="AH259" i="2"/>
  <c r="AG259" i="2"/>
  <c r="AF259" i="2"/>
  <c r="AE259" i="2"/>
  <c r="AD259" i="2"/>
  <c r="AC259" i="2"/>
  <c r="AB259" i="2"/>
  <c r="AA259" i="2"/>
  <c r="Z259" i="2"/>
  <c r="Y259" i="2"/>
  <c r="X259" i="2"/>
  <c r="W259" i="2"/>
  <c r="V259" i="2"/>
  <c r="U259" i="2"/>
  <c r="T259" i="2"/>
  <c r="S259" i="2"/>
  <c r="R259" i="2"/>
  <c r="Q259" i="2"/>
  <c r="P259" i="2"/>
  <c r="O259" i="2"/>
  <c r="N259" i="2"/>
  <c r="M259" i="2"/>
  <c r="L259" i="2"/>
  <c r="K259" i="2"/>
  <c r="J259" i="2"/>
  <c r="I259" i="2"/>
  <c r="H259" i="2"/>
  <c r="G259" i="2"/>
  <c r="F259" i="2"/>
  <c r="E259" i="2"/>
  <c r="D259" i="2"/>
  <c r="C259" i="2"/>
  <c r="AL258" i="2"/>
  <c r="AK258" i="2"/>
  <c r="AJ258" i="2"/>
  <c r="AI258" i="2"/>
  <c r="AH258" i="2"/>
  <c r="AG258" i="2"/>
  <c r="AF258" i="2"/>
  <c r="AE258" i="2"/>
  <c r="AD258" i="2"/>
  <c r="AC258" i="2"/>
  <c r="AB258" i="2"/>
  <c r="AA258" i="2"/>
  <c r="Z258" i="2"/>
  <c r="Y258" i="2"/>
  <c r="X258" i="2"/>
  <c r="W258" i="2"/>
  <c r="V258" i="2"/>
  <c r="U258" i="2"/>
  <c r="T258" i="2"/>
  <c r="S258" i="2"/>
  <c r="R258" i="2"/>
  <c r="Q258" i="2"/>
  <c r="P258" i="2"/>
  <c r="O258" i="2"/>
  <c r="N258" i="2"/>
  <c r="M258" i="2"/>
  <c r="L258" i="2"/>
  <c r="K258" i="2"/>
  <c r="J258" i="2"/>
  <c r="I258" i="2"/>
  <c r="H258" i="2"/>
  <c r="G258" i="2"/>
  <c r="F258" i="2"/>
  <c r="E258" i="2"/>
  <c r="D258" i="2"/>
  <c r="C258" i="2"/>
  <c r="AL257" i="2"/>
  <c r="AK257" i="2"/>
  <c r="AJ257" i="2"/>
  <c r="AI257" i="2"/>
  <c r="AH257" i="2"/>
  <c r="AG257" i="2"/>
  <c r="AF257" i="2"/>
  <c r="AE257" i="2"/>
  <c r="AD257" i="2"/>
  <c r="AC257" i="2"/>
  <c r="AB257" i="2"/>
  <c r="AA257" i="2"/>
  <c r="Z257" i="2"/>
  <c r="Y257" i="2"/>
  <c r="X257" i="2"/>
  <c r="W257" i="2"/>
  <c r="V257" i="2"/>
  <c r="U257" i="2"/>
  <c r="T257" i="2"/>
  <c r="S257" i="2"/>
  <c r="R257" i="2"/>
  <c r="Q257" i="2"/>
  <c r="P257" i="2"/>
  <c r="O257" i="2"/>
  <c r="N257" i="2"/>
  <c r="M257" i="2"/>
  <c r="L257" i="2"/>
  <c r="K257" i="2"/>
  <c r="J257" i="2"/>
  <c r="I257" i="2"/>
  <c r="H257" i="2"/>
  <c r="G257" i="2"/>
  <c r="F257" i="2"/>
  <c r="E257" i="2"/>
  <c r="D257" i="2"/>
  <c r="C257" i="2"/>
  <c r="AL256" i="2"/>
  <c r="AK256" i="2"/>
  <c r="AJ256" i="2"/>
  <c r="AI256" i="2"/>
  <c r="AH256" i="2"/>
  <c r="AG256" i="2"/>
  <c r="AF256" i="2"/>
  <c r="AE256" i="2"/>
  <c r="AD256" i="2"/>
  <c r="AC256" i="2"/>
  <c r="AB256" i="2"/>
  <c r="AA256" i="2"/>
  <c r="Z256" i="2"/>
  <c r="Y256" i="2"/>
  <c r="X256" i="2"/>
  <c r="W256" i="2"/>
  <c r="V256" i="2"/>
  <c r="U256" i="2"/>
  <c r="T256" i="2"/>
  <c r="S256" i="2"/>
  <c r="R256" i="2"/>
  <c r="Q256" i="2"/>
  <c r="P256" i="2"/>
  <c r="O256" i="2"/>
  <c r="N256" i="2"/>
  <c r="M256" i="2"/>
  <c r="L256" i="2"/>
  <c r="K256" i="2"/>
  <c r="J256" i="2"/>
  <c r="I256" i="2"/>
  <c r="H256" i="2"/>
  <c r="G256" i="2"/>
  <c r="F256" i="2"/>
  <c r="E256" i="2"/>
  <c r="D256" i="2"/>
  <c r="C256" i="2"/>
  <c r="AL253" i="2"/>
  <c r="AK253" i="2"/>
  <c r="AJ253" i="2"/>
  <c r="AI253" i="2"/>
  <c r="AH253" i="2"/>
  <c r="AG253" i="2"/>
  <c r="AF253" i="2"/>
  <c r="AE253" i="2"/>
  <c r="AD253" i="2"/>
  <c r="AC253" i="2"/>
  <c r="AB253" i="2"/>
  <c r="AA253" i="2"/>
  <c r="Z253" i="2"/>
  <c r="Y253" i="2"/>
  <c r="X253" i="2"/>
  <c r="W253" i="2"/>
  <c r="V253" i="2"/>
  <c r="U253" i="2"/>
  <c r="T253" i="2"/>
  <c r="S253" i="2"/>
  <c r="R253" i="2"/>
  <c r="Q253" i="2"/>
  <c r="P253" i="2"/>
  <c r="O253" i="2"/>
  <c r="N253" i="2"/>
  <c r="M253" i="2"/>
  <c r="L253" i="2"/>
  <c r="K253" i="2"/>
  <c r="J253" i="2"/>
  <c r="I253" i="2"/>
  <c r="H253" i="2"/>
  <c r="G253" i="2"/>
  <c r="F253" i="2"/>
  <c r="E253" i="2"/>
  <c r="D253" i="2"/>
  <c r="C253" i="2"/>
  <c r="AL252" i="2"/>
  <c r="AK252" i="2"/>
  <c r="AJ252" i="2"/>
  <c r="AI252" i="2"/>
  <c r="AH252" i="2"/>
  <c r="AG252" i="2"/>
  <c r="AF252" i="2"/>
  <c r="AE252" i="2"/>
  <c r="AD252" i="2"/>
  <c r="AC252" i="2"/>
  <c r="AB252" i="2"/>
  <c r="AA252" i="2"/>
  <c r="Z252" i="2"/>
  <c r="Y252" i="2"/>
  <c r="X252" i="2"/>
  <c r="W252" i="2"/>
  <c r="V252" i="2"/>
  <c r="U252" i="2"/>
  <c r="T252" i="2"/>
  <c r="S252" i="2"/>
  <c r="R252" i="2"/>
  <c r="Q252" i="2"/>
  <c r="P252" i="2"/>
  <c r="O252" i="2"/>
  <c r="N252" i="2"/>
  <c r="M252" i="2"/>
  <c r="L252" i="2"/>
  <c r="K252" i="2"/>
  <c r="J252" i="2"/>
  <c r="I252" i="2"/>
  <c r="H252" i="2"/>
  <c r="G252" i="2"/>
  <c r="F252" i="2"/>
  <c r="E252" i="2"/>
  <c r="D252" i="2"/>
  <c r="C252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AL225" i="2"/>
  <c r="AK225" i="2"/>
  <c r="AJ225" i="2"/>
  <c r="AI225" i="2"/>
  <c r="AH225" i="2"/>
  <c r="AG225" i="2"/>
  <c r="AF225" i="2"/>
  <c r="AE225" i="2"/>
  <c r="AD225" i="2"/>
  <c r="AC225" i="2"/>
  <c r="AB225" i="2"/>
  <c r="AA225" i="2"/>
  <c r="Z225" i="2"/>
  <c r="Y225" i="2"/>
  <c r="X225" i="2"/>
  <c r="W225" i="2"/>
  <c r="V225" i="2"/>
  <c r="U225" i="2"/>
  <c r="T225" i="2"/>
  <c r="S225" i="2"/>
  <c r="R225" i="2"/>
  <c r="Q225" i="2"/>
  <c r="P225" i="2"/>
  <c r="O225" i="2"/>
  <c r="N225" i="2"/>
  <c r="M225" i="2"/>
  <c r="L225" i="2"/>
  <c r="K225" i="2"/>
  <c r="J225" i="2"/>
  <c r="I225" i="2"/>
  <c r="H225" i="2"/>
  <c r="G225" i="2"/>
  <c r="F225" i="2"/>
  <c r="E225" i="2"/>
  <c r="D225" i="2"/>
  <c r="C225" i="2"/>
  <c r="AL224" i="2"/>
  <c r="AK224" i="2"/>
  <c r="AJ224" i="2"/>
  <c r="AI224" i="2"/>
  <c r="AH224" i="2"/>
  <c r="AG224" i="2"/>
  <c r="AF224" i="2"/>
  <c r="AE224" i="2"/>
  <c r="AD224" i="2"/>
  <c r="AC224" i="2"/>
  <c r="AB224" i="2"/>
  <c r="AA224" i="2"/>
  <c r="Z224" i="2"/>
  <c r="Y224" i="2"/>
  <c r="X224" i="2"/>
  <c r="W224" i="2"/>
  <c r="V224" i="2"/>
  <c r="U224" i="2"/>
  <c r="T224" i="2"/>
  <c r="S224" i="2"/>
  <c r="R224" i="2"/>
  <c r="Q224" i="2"/>
  <c r="P224" i="2"/>
  <c r="O224" i="2"/>
  <c r="N224" i="2"/>
  <c r="M224" i="2"/>
  <c r="L224" i="2"/>
  <c r="K224" i="2"/>
  <c r="J224" i="2"/>
  <c r="I224" i="2"/>
  <c r="H224" i="2"/>
  <c r="G224" i="2"/>
  <c r="F224" i="2"/>
  <c r="E224" i="2"/>
  <c r="D224" i="2"/>
  <c r="C224" i="2"/>
  <c r="AL223" i="2"/>
  <c r="AK223" i="2"/>
  <c r="AJ223" i="2"/>
  <c r="AI223" i="2"/>
  <c r="AH223" i="2"/>
  <c r="AG223" i="2"/>
  <c r="AF223" i="2"/>
  <c r="AE223" i="2"/>
  <c r="AD223" i="2"/>
  <c r="AC223" i="2"/>
  <c r="AB223" i="2"/>
  <c r="AA223" i="2"/>
  <c r="Z223" i="2"/>
  <c r="Y223" i="2"/>
  <c r="X223" i="2"/>
  <c r="W223" i="2"/>
  <c r="V223" i="2"/>
  <c r="U223" i="2"/>
  <c r="T223" i="2"/>
  <c r="S223" i="2"/>
  <c r="R223" i="2"/>
  <c r="Q223" i="2"/>
  <c r="P223" i="2"/>
  <c r="O223" i="2"/>
  <c r="N223" i="2"/>
  <c r="M223" i="2"/>
  <c r="L223" i="2"/>
  <c r="K223" i="2"/>
  <c r="J223" i="2"/>
  <c r="I223" i="2"/>
  <c r="H223" i="2"/>
  <c r="G223" i="2"/>
  <c r="F223" i="2"/>
  <c r="E223" i="2"/>
  <c r="D223" i="2"/>
  <c r="C223" i="2"/>
  <c r="AL222" i="2"/>
  <c r="AK222" i="2"/>
  <c r="AJ222" i="2"/>
  <c r="AI222" i="2"/>
  <c r="AH222" i="2"/>
  <c r="AG222" i="2"/>
  <c r="AF222" i="2"/>
  <c r="AE222" i="2"/>
  <c r="AD222" i="2"/>
  <c r="AC222" i="2"/>
  <c r="AB222" i="2"/>
  <c r="AA222" i="2"/>
  <c r="Z222" i="2"/>
  <c r="Y222" i="2"/>
  <c r="X222" i="2"/>
  <c r="W222" i="2"/>
  <c r="V222" i="2"/>
  <c r="U222" i="2"/>
  <c r="T222" i="2"/>
  <c r="S222" i="2"/>
  <c r="R222" i="2"/>
  <c r="Q222" i="2"/>
  <c r="P222" i="2"/>
  <c r="O222" i="2"/>
  <c r="N222" i="2"/>
  <c r="M222" i="2"/>
  <c r="L222" i="2"/>
  <c r="K222" i="2"/>
  <c r="J222" i="2"/>
  <c r="I222" i="2"/>
  <c r="H222" i="2"/>
  <c r="G222" i="2"/>
  <c r="F222" i="2"/>
  <c r="E222" i="2"/>
  <c r="D222" i="2"/>
  <c r="C222" i="2"/>
  <c r="AL221" i="2"/>
  <c r="AK221" i="2"/>
  <c r="AJ221" i="2"/>
  <c r="AI221" i="2"/>
  <c r="AH221" i="2"/>
  <c r="AG221" i="2"/>
  <c r="AF221" i="2"/>
  <c r="AE221" i="2"/>
  <c r="AD221" i="2"/>
  <c r="AC221" i="2"/>
  <c r="AB221" i="2"/>
  <c r="AA221" i="2"/>
  <c r="Z221" i="2"/>
  <c r="Y221" i="2"/>
  <c r="X221" i="2"/>
  <c r="W221" i="2"/>
  <c r="V221" i="2"/>
  <c r="U221" i="2"/>
  <c r="T221" i="2"/>
  <c r="S221" i="2"/>
  <c r="R221" i="2"/>
  <c r="Q221" i="2"/>
  <c r="P221" i="2"/>
  <c r="O221" i="2"/>
  <c r="N221" i="2"/>
  <c r="M221" i="2"/>
  <c r="L221" i="2"/>
  <c r="K221" i="2"/>
  <c r="J221" i="2"/>
  <c r="I221" i="2"/>
  <c r="H221" i="2"/>
  <c r="G221" i="2"/>
  <c r="F221" i="2"/>
  <c r="E221" i="2"/>
  <c r="D221" i="2"/>
  <c r="C221" i="2"/>
  <c r="AL220" i="2"/>
  <c r="AK220" i="2"/>
  <c r="AJ220" i="2"/>
  <c r="AI220" i="2"/>
  <c r="AH220" i="2"/>
  <c r="AG220" i="2"/>
  <c r="AF220" i="2"/>
  <c r="AE220" i="2"/>
  <c r="AD220" i="2"/>
  <c r="AC220" i="2"/>
  <c r="AB220" i="2"/>
  <c r="AA220" i="2"/>
  <c r="Z220" i="2"/>
  <c r="Y220" i="2"/>
  <c r="X220" i="2"/>
  <c r="W220" i="2"/>
  <c r="V220" i="2"/>
  <c r="U220" i="2"/>
  <c r="T220" i="2"/>
  <c r="S220" i="2"/>
  <c r="R220" i="2"/>
  <c r="Q220" i="2"/>
  <c r="P220" i="2"/>
  <c r="O220" i="2"/>
  <c r="N220" i="2"/>
  <c r="M220" i="2"/>
  <c r="L220" i="2"/>
  <c r="K220" i="2"/>
  <c r="J220" i="2"/>
  <c r="I220" i="2"/>
  <c r="H220" i="2"/>
  <c r="G220" i="2"/>
  <c r="F220" i="2"/>
  <c r="E220" i="2"/>
  <c r="D220" i="2"/>
  <c r="C220" i="2"/>
  <c r="AL219" i="2"/>
  <c r="AK219" i="2"/>
  <c r="AJ219" i="2"/>
  <c r="AI219" i="2"/>
  <c r="AH219" i="2"/>
  <c r="AG219" i="2"/>
  <c r="AF219" i="2"/>
  <c r="AE219" i="2"/>
  <c r="AD219" i="2"/>
  <c r="AC219" i="2"/>
  <c r="AB219" i="2"/>
  <c r="AA219" i="2"/>
  <c r="Z219" i="2"/>
  <c r="Y219" i="2"/>
  <c r="X219" i="2"/>
  <c r="W219" i="2"/>
  <c r="V219" i="2"/>
  <c r="U219" i="2"/>
  <c r="T219" i="2"/>
  <c r="S219" i="2"/>
  <c r="R219" i="2"/>
  <c r="Q219" i="2"/>
  <c r="P219" i="2"/>
  <c r="O219" i="2"/>
  <c r="N219" i="2"/>
  <c r="M219" i="2"/>
  <c r="L219" i="2"/>
  <c r="K219" i="2"/>
  <c r="J219" i="2"/>
  <c r="I219" i="2"/>
  <c r="H219" i="2"/>
  <c r="G219" i="2"/>
  <c r="F219" i="2"/>
  <c r="E219" i="2"/>
  <c r="D219" i="2"/>
  <c r="C219" i="2"/>
  <c r="AL218" i="2"/>
  <c r="AK218" i="2"/>
  <c r="AJ218" i="2"/>
  <c r="AI218" i="2"/>
  <c r="AH218" i="2"/>
  <c r="AG218" i="2"/>
  <c r="AF218" i="2"/>
  <c r="AE218" i="2"/>
  <c r="AD218" i="2"/>
  <c r="AC218" i="2"/>
  <c r="AB218" i="2"/>
  <c r="AA218" i="2"/>
  <c r="Z218" i="2"/>
  <c r="Y218" i="2"/>
  <c r="X218" i="2"/>
  <c r="W218" i="2"/>
  <c r="V218" i="2"/>
  <c r="U218" i="2"/>
  <c r="T218" i="2"/>
  <c r="S218" i="2"/>
  <c r="R218" i="2"/>
  <c r="Q218" i="2"/>
  <c r="P218" i="2"/>
  <c r="O218" i="2"/>
  <c r="N218" i="2"/>
  <c r="M218" i="2"/>
  <c r="L218" i="2"/>
  <c r="K218" i="2"/>
  <c r="J218" i="2"/>
  <c r="I218" i="2"/>
  <c r="H218" i="2"/>
  <c r="G218" i="2"/>
  <c r="F218" i="2"/>
  <c r="E218" i="2"/>
  <c r="D218" i="2"/>
  <c r="C218" i="2"/>
  <c r="AL216" i="2"/>
  <c r="AK216" i="2"/>
  <c r="AJ216" i="2"/>
  <c r="AI216" i="2"/>
  <c r="AH216" i="2"/>
  <c r="AG216" i="2"/>
  <c r="AF216" i="2"/>
  <c r="AE216" i="2"/>
  <c r="AD216" i="2"/>
  <c r="AC216" i="2"/>
  <c r="AB216" i="2"/>
  <c r="AA216" i="2"/>
  <c r="Z216" i="2"/>
  <c r="Y216" i="2"/>
  <c r="X216" i="2"/>
  <c r="W216" i="2"/>
  <c r="V216" i="2"/>
  <c r="U216" i="2"/>
  <c r="T216" i="2"/>
  <c r="S216" i="2"/>
  <c r="R216" i="2"/>
  <c r="Q216" i="2"/>
  <c r="P216" i="2"/>
  <c r="O216" i="2"/>
  <c r="N216" i="2"/>
  <c r="M216" i="2"/>
  <c r="L216" i="2"/>
  <c r="K216" i="2"/>
  <c r="J216" i="2"/>
  <c r="I216" i="2"/>
  <c r="H216" i="2"/>
  <c r="G216" i="2"/>
  <c r="F216" i="2"/>
  <c r="E216" i="2"/>
  <c r="D216" i="2"/>
  <c r="C216" i="2"/>
  <c r="AL215" i="2"/>
  <c r="AK215" i="2"/>
  <c r="AJ215" i="2"/>
  <c r="AI215" i="2"/>
  <c r="AH215" i="2"/>
  <c r="AG215" i="2"/>
  <c r="AF215" i="2"/>
  <c r="AE215" i="2"/>
  <c r="AD215" i="2"/>
  <c r="AC215" i="2"/>
  <c r="AB215" i="2"/>
  <c r="AA215" i="2"/>
  <c r="Z215" i="2"/>
  <c r="Y215" i="2"/>
  <c r="X215" i="2"/>
  <c r="W215" i="2"/>
  <c r="V215" i="2"/>
  <c r="U215" i="2"/>
  <c r="T215" i="2"/>
  <c r="S215" i="2"/>
  <c r="R215" i="2"/>
  <c r="Q215" i="2"/>
  <c r="P215" i="2"/>
  <c r="O215" i="2"/>
  <c r="N215" i="2"/>
  <c r="M215" i="2"/>
  <c r="L215" i="2"/>
  <c r="K215" i="2"/>
  <c r="J215" i="2"/>
  <c r="I215" i="2"/>
  <c r="H215" i="2"/>
  <c r="G215" i="2"/>
  <c r="F215" i="2"/>
  <c r="E215" i="2"/>
  <c r="D215" i="2"/>
  <c r="C215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AL210" i="2"/>
  <c r="AK210" i="2"/>
  <c r="AJ210" i="2"/>
  <c r="AI210" i="2"/>
  <c r="AH210" i="2"/>
  <c r="AG210" i="2"/>
  <c r="AF210" i="2"/>
  <c r="AE210" i="2"/>
  <c r="AD210" i="2"/>
  <c r="AC210" i="2"/>
  <c r="AB210" i="2"/>
  <c r="AA210" i="2"/>
  <c r="Z210" i="2"/>
  <c r="Y210" i="2"/>
  <c r="X210" i="2"/>
  <c r="W210" i="2"/>
  <c r="V210" i="2"/>
  <c r="U210" i="2"/>
  <c r="T210" i="2"/>
  <c r="S210" i="2"/>
  <c r="R210" i="2"/>
  <c r="Q210" i="2"/>
  <c r="P210" i="2"/>
  <c r="O210" i="2"/>
  <c r="N210" i="2"/>
  <c r="M210" i="2"/>
  <c r="L210" i="2"/>
  <c r="K210" i="2"/>
  <c r="J210" i="2"/>
  <c r="I210" i="2"/>
  <c r="H210" i="2"/>
  <c r="G210" i="2"/>
  <c r="F210" i="2"/>
  <c r="E210" i="2"/>
  <c r="D210" i="2"/>
  <c r="C210" i="2"/>
  <c r="AL209" i="2"/>
  <c r="AK209" i="2"/>
  <c r="AJ209" i="2"/>
  <c r="AI209" i="2"/>
  <c r="AH209" i="2"/>
  <c r="AG209" i="2"/>
  <c r="AF209" i="2"/>
  <c r="AE209" i="2"/>
  <c r="AD209" i="2"/>
  <c r="AC209" i="2"/>
  <c r="AB209" i="2"/>
  <c r="AA209" i="2"/>
  <c r="Z209" i="2"/>
  <c r="Y209" i="2"/>
  <c r="X209" i="2"/>
  <c r="W209" i="2"/>
  <c r="V209" i="2"/>
  <c r="U209" i="2"/>
  <c r="T209" i="2"/>
  <c r="S209" i="2"/>
  <c r="R209" i="2"/>
  <c r="Q209" i="2"/>
  <c r="P209" i="2"/>
  <c r="O209" i="2"/>
  <c r="N209" i="2"/>
  <c r="M209" i="2"/>
  <c r="L209" i="2"/>
  <c r="K209" i="2"/>
  <c r="J209" i="2"/>
  <c r="I209" i="2"/>
  <c r="H209" i="2"/>
  <c r="G209" i="2"/>
  <c r="F209" i="2"/>
  <c r="E209" i="2"/>
  <c r="D209" i="2"/>
  <c r="C209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AL92" i="2"/>
  <c r="AK92" i="2"/>
  <c r="AJ92" i="2"/>
  <c r="AI92" i="2"/>
  <c r="AH92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AL87" i="2"/>
  <c r="AK87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C87" i="2"/>
  <c r="AL86" i="2"/>
  <c r="AK86" i="2"/>
  <c r="AJ86" i="2"/>
  <c r="AI86" i="2"/>
  <c r="AH86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N86" i="2"/>
  <c r="M86" i="2"/>
  <c r="L86" i="2"/>
  <c r="K86" i="2"/>
  <c r="J86" i="2"/>
  <c r="I86" i="2"/>
  <c r="H86" i="2"/>
  <c r="G86" i="2"/>
  <c r="F86" i="2"/>
  <c r="E86" i="2"/>
  <c r="D86" i="2"/>
  <c r="C86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I319" i="2" l="1"/>
  <c r="H319" i="2"/>
  <c r="G319" i="2"/>
  <c r="I318" i="2"/>
  <c r="H318" i="2"/>
  <c r="G318" i="2"/>
  <c r="I317" i="2"/>
  <c r="H317" i="2"/>
  <c r="G317" i="2"/>
  <c r="I316" i="2"/>
  <c r="H316" i="2"/>
  <c r="G316" i="2"/>
  <c r="I315" i="2"/>
  <c r="H315" i="2"/>
  <c r="G315" i="2"/>
  <c r="I314" i="2"/>
  <c r="H314" i="2"/>
  <c r="G314" i="2"/>
  <c r="I313" i="2"/>
  <c r="H313" i="2"/>
  <c r="G313" i="2"/>
  <c r="C296" i="2"/>
  <c r="AK298" i="2" l="1"/>
  <c r="AI296" i="2"/>
  <c r="S296" i="2"/>
  <c r="E298" i="2"/>
  <c r="K296" i="2"/>
  <c r="U298" i="2"/>
  <c r="AA296" i="2"/>
  <c r="E293" i="2"/>
  <c r="M293" i="2"/>
  <c r="U293" i="2"/>
  <c r="AC293" i="2"/>
  <c r="AK293" i="2"/>
  <c r="J294" i="2"/>
  <c r="R294" i="2"/>
  <c r="C304" i="2" s="1"/>
  <c r="Z294" i="2"/>
  <c r="AH294" i="2"/>
  <c r="G295" i="2"/>
  <c r="O295" i="2"/>
  <c r="W295" i="2"/>
  <c r="AE295" i="2"/>
  <c r="D296" i="2"/>
  <c r="L296" i="2"/>
  <c r="T296" i="2"/>
  <c r="AB296" i="2"/>
  <c r="D306" i="2" s="1"/>
  <c r="AJ296" i="2"/>
  <c r="I297" i="2"/>
  <c r="Q297" i="2"/>
  <c r="Y297" i="2"/>
  <c r="AG297" i="2"/>
  <c r="F298" i="2"/>
  <c r="N298" i="2"/>
  <c r="V298" i="2"/>
  <c r="AD298" i="2"/>
  <c r="AL298" i="2"/>
  <c r="E308" i="2" s="1"/>
  <c r="K299" i="2"/>
  <c r="S299" i="2"/>
  <c r="AA299" i="2"/>
  <c r="AI299" i="2"/>
  <c r="AF293" i="2"/>
  <c r="O296" i="2"/>
  <c r="L297" i="2"/>
  <c r="Q298" i="2"/>
  <c r="N299" i="2"/>
  <c r="X293" i="2"/>
  <c r="Z295" i="2"/>
  <c r="G296" i="2"/>
  <c r="D297" i="2"/>
  <c r="I298" i="2"/>
  <c r="V299" i="2"/>
  <c r="H293" i="2"/>
  <c r="R295" i="2"/>
  <c r="C305" i="2" s="1"/>
  <c r="W296" i="2"/>
  <c r="T297" i="2"/>
  <c r="AJ297" i="2"/>
  <c r="AG298" i="2"/>
  <c r="AL299" i="2"/>
  <c r="E309" i="2" s="1"/>
  <c r="P293" i="2"/>
  <c r="J295" i="2"/>
  <c r="AH295" i="2"/>
  <c r="AE296" i="2"/>
  <c r="AB297" i="2"/>
  <c r="D307" i="2" s="1"/>
  <c r="Y298" i="2"/>
  <c r="F299" i="2"/>
  <c r="AD299" i="2"/>
  <c r="K294" i="2"/>
  <c r="S294" i="2"/>
  <c r="AA294" i="2"/>
  <c r="E296" i="2"/>
  <c r="AC296" i="2"/>
  <c r="AK296" i="2"/>
  <c r="O293" i="2"/>
  <c r="L294" i="2"/>
  <c r="I295" i="2"/>
  <c r="AL296" i="2"/>
  <c r="E306" i="2" s="1"/>
  <c r="AE293" i="2"/>
  <c r="AB294" i="2"/>
  <c r="D304" i="2" s="1"/>
  <c r="Y295" i="2"/>
  <c r="N296" i="2"/>
  <c r="W293" i="2"/>
  <c r="T294" i="2"/>
  <c r="Q295" i="2"/>
  <c r="AD296" i="2"/>
  <c r="G293" i="2"/>
  <c r="D294" i="2"/>
  <c r="AJ294" i="2"/>
  <c r="AG295" i="2"/>
  <c r="F296" i="2"/>
  <c r="V296" i="2"/>
  <c r="K297" i="2"/>
  <c r="S297" i="2"/>
  <c r="AA297" i="2"/>
  <c r="AI297" i="2"/>
  <c r="H298" i="2"/>
  <c r="P298" i="2"/>
  <c r="X298" i="2"/>
  <c r="AF298" i="2"/>
  <c r="E299" i="2"/>
  <c r="M299" i="2"/>
  <c r="U299" i="2"/>
  <c r="AC299" i="2"/>
  <c r="AK299" i="2"/>
  <c r="Y293" i="2"/>
  <c r="AD294" i="2"/>
  <c r="X296" i="2"/>
  <c r="AK297" i="2"/>
  <c r="AE299" i="2"/>
  <c r="G294" i="2"/>
  <c r="I296" i="2"/>
  <c r="Q293" i="2"/>
  <c r="V294" i="2"/>
  <c r="AI295" i="2"/>
  <c r="AC297" i="2"/>
  <c r="R298" i="2"/>
  <c r="C308" i="2" s="1"/>
  <c r="O299" i="2"/>
  <c r="Z293" i="2"/>
  <c r="W294" i="2"/>
  <c r="AB295" i="2"/>
  <c r="D305" i="2" s="1"/>
  <c r="AG296" i="2"/>
  <c r="V297" i="2"/>
  <c r="H299" i="2"/>
  <c r="K293" i="2"/>
  <c r="S293" i="2"/>
  <c r="AA293" i="2"/>
  <c r="AI293" i="2"/>
  <c r="H294" i="2"/>
  <c r="P294" i="2"/>
  <c r="X294" i="2"/>
  <c r="AF294" i="2"/>
  <c r="E295" i="2"/>
  <c r="M295" i="2"/>
  <c r="U295" i="2"/>
  <c r="AC295" i="2"/>
  <c r="AK295" i="2"/>
  <c r="J296" i="2"/>
  <c r="R296" i="2"/>
  <c r="C306" i="2" s="1"/>
  <c r="Z296" i="2"/>
  <c r="AH296" i="2"/>
  <c r="G297" i="2"/>
  <c r="O297" i="2"/>
  <c r="W297" i="2"/>
  <c r="AE297" i="2"/>
  <c r="D298" i="2"/>
  <c r="L298" i="2"/>
  <c r="T298" i="2"/>
  <c r="AB298" i="2"/>
  <c r="D308" i="2" s="1"/>
  <c r="AJ298" i="2"/>
  <c r="I299" i="2"/>
  <c r="Q299" i="2"/>
  <c r="Y299" i="2"/>
  <c r="AG299" i="2"/>
  <c r="M298" i="2"/>
  <c r="AC298" i="2"/>
  <c r="F294" i="2"/>
  <c r="K295" i="2"/>
  <c r="P296" i="2"/>
  <c r="E297" i="2"/>
  <c r="AH298" i="2"/>
  <c r="O294" i="2"/>
  <c r="T295" i="2"/>
  <c r="Q296" i="2"/>
  <c r="AL297" i="2"/>
  <c r="E307" i="2" s="1"/>
  <c r="S295" i="2"/>
  <c r="AF296" i="2"/>
  <c r="J298" i="2"/>
  <c r="W299" i="2"/>
  <c r="AH293" i="2"/>
  <c r="L295" i="2"/>
  <c r="Y296" i="2"/>
  <c r="AD297" i="2"/>
  <c r="X299" i="2"/>
  <c r="AI294" i="2"/>
  <c r="M296" i="2"/>
  <c r="U296" i="2"/>
  <c r="I293" i="2"/>
  <c r="N294" i="2"/>
  <c r="AA295" i="2"/>
  <c r="M297" i="2"/>
  <c r="Z298" i="2"/>
  <c r="J293" i="2"/>
  <c r="D295" i="2"/>
  <c r="N297" i="2"/>
  <c r="AF299" i="2"/>
  <c r="AG293" i="2"/>
  <c r="AL294" i="2"/>
  <c r="E304" i="2" s="1"/>
  <c r="H296" i="2"/>
  <c r="U297" i="2"/>
  <c r="G299" i="2"/>
  <c r="R293" i="2"/>
  <c r="C303" i="2" s="1"/>
  <c r="AE294" i="2"/>
  <c r="AJ295" i="2"/>
  <c r="F297" i="2"/>
  <c r="P299" i="2"/>
  <c r="D293" i="2"/>
  <c r="L293" i="2"/>
  <c r="T293" i="2"/>
  <c r="AB293" i="2"/>
  <c r="D303" i="2" s="1"/>
  <c r="AJ293" i="2"/>
  <c r="I294" i="2"/>
  <c r="Q294" i="2"/>
  <c r="Y294" i="2"/>
  <c r="AG294" i="2"/>
  <c r="F295" i="2"/>
  <c r="N295" i="2"/>
  <c r="V295" i="2"/>
  <c r="AD295" i="2"/>
  <c r="AL295" i="2"/>
  <c r="E305" i="2" s="1"/>
  <c r="H297" i="2"/>
  <c r="P297" i="2"/>
  <c r="X297" i="2"/>
  <c r="AF297" i="2"/>
  <c r="J299" i="2"/>
  <c r="R299" i="2"/>
  <c r="C309" i="2" s="1"/>
  <c r="Z299" i="2"/>
  <c r="AH299" i="2"/>
  <c r="AD293" i="2"/>
  <c r="P295" i="2"/>
  <c r="X295" i="2"/>
  <c r="AF295" i="2"/>
  <c r="J297" i="2"/>
  <c r="R297" i="2"/>
  <c r="C307" i="2" s="1"/>
  <c r="Z297" i="2"/>
  <c r="AH297" i="2"/>
  <c r="G298" i="2"/>
  <c r="O298" i="2"/>
  <c r="W298" i="2"/>
  <c r="AE298" i="2"/>
  <c r="D299" i="2"/>
  <c r="L299" i="2"/>
  <c r="T299" i="2"/>
  <c r="AB299" i="2"/>
  <c r="D309" i="2" s="1"/>
  <c r="AJ299" i="2"/>
  <c r="F293" i="2"/>
  <c r="AL293" i="2"/>
  <c r="E303" i="2" s="1"/>
  <c r="H295" i="2"/>
  <c r="E294" i="2"/>
  <c r="M294" i="2"/>
  <c r="U294" i="2"/>
  <c r="AC294" i="2"/>
  <c r="AK294" i="2"/>
  <c r="V293" i="2"/>
  <c r="N293" i="2"/>
  <c r="K298" i="2"/>
  <c r="S298" i="2"/>
  <c r="AA298" i="2"/>
  <c r="AI298" i="2"/>
  <c r="C294" i="2" l="1"/>
  <c r="I168" i="2"/>
  <c r="H168" i="2"/>
  <c r="G168" i="2"/>
  <c r="I167" i="2"/>
  <c r="H167" i="2"/>
  <c r="G167" i="2"/>
  <c r="I166" i="2"/>
  <c r="H166" i="2"/>
  <c r="G166" i="2"/>
  <c r="I165" i="2"/>
  <c r="H165" i="2"/>
  <c r="G165" i="2"/>
  <c r="I164" i="2"/>
  <c r="H164" i="2"/>
  <c r="G164" i="2"/>
  <c r="I163" i="2"/>
  <c r="H163" i="2"/>
  <c r="G163" i="2"/>
  <c r="I162" i="2"/>
  <c r="H162" i="2"/>
  <c r="G162" i="2"/>
  <c r="I117" i="2"/>
  <c r="H117" i="2"/>
  <c r="G117" i="2"/>
  <c r="I116" i="2"/>
  <c r="H116" i="2"/>
  <c r="G116" i="2"/>
  <c r="I115" i="2"/>
  <c r="H115" i="2"/>
  <c r="G115" i="2"/>
  <c r="I114" i="2"/>
  <c r="H114" i="2"/>
  <c r="G114" i="2"/>
  <c r="I113" i="2"/>
  <c r="H113" i="2"/>
  <c r="G113" i="2"/>
  <c r="I112" i="2"/>
  <c r="H112" i="2"/>
  <c r="G112" i="2"/>
  <c r="I111" i="2"/>
  <c r="H111" i="2"/>
  <c r="G111" i="2"/>
  <c r="AC228" i="2" l="1"/>
  <c r="AK228" i="2"/>
  <c r="U228" i="2"/>
  <c r="R229" i="2"/>
  <c r="C239" i="2" s="1"/>
  <c r="AH229" i="2"/>
  <c r="M228" i="2"/>
  <c r="J229" i="2"/>
  <c r="E228" i="2"/>
  <c r="Z229" i="2"/>
  <c r="X228" i="2"/>
  <c r="G231" i="2"/>
  <c r="D232" i="2"/>
  <c r="AB232" i="2"/>
  <c r="D242" i="2" s="1"/>
  <c r="Y233" i="2"/>
  <c r="V234" i="2"/>
  <c r="G230" i="2"/>
  <c r="O230" i="2"/>
  <c r="W230" i="2"/>
  <c r="AE230" i="2"/>
  <c r="D231" i="2"/>
  <c r="L231" i="2"/>
  <c r="T231" i="2"/>
  <c r="AB231" i="2"/>
  <c r="D241" i="2" s="1"/>
  <c r="AJ231" i="2"/>
  <c r="I232" i="2"/>
  <c r="Q232" i="2"/>
  <c r="Y232" i="2"/>
  <c r="AG232" i="2"/>
  <c r="F233" i="2"/>
  <c r="N233" i="2"/>
  <c r="V233" i="2"/>
  <c r="AD233" i="2"/>
  <c r="AL233" i="2"/>
  <c r="E243" i="2" s="1"/>
  <c r="K234" i="2"/>
  <c r="S234" i="2"/>
  <c r="AA234" i="2"/>
  <c r="AI234" i="2"/>
  <c r="O231" i="2"/>
  <c r="AG233" i="2"/>
  <c r="Z230" i="2"/>
  <c r="F234" i="2"/>
  <c r="P228" i="2"/>
  <c r="R230" i="2"/>
  <c r="C240" i="2" s="1"/>
  <c r="AE231" i="2"/>
  <c r="T232" i="2"/>
  <c r="AJ232" i="2"/>
  <c r="N234" i="2"/>
  <c r="AF228" i="2"/>
  <c r="AH230" i="2"/>
  <c r="L232" i="2"/>
  <c r="Q233" i="2"/>
  <c r="AL234" i="2"/>
  <c r="E244" i="2" s="1"/>
  <c r="H228" i="2"/>
  <c r="J230" i="2"/>
  <c r="W231" i="2"/>
  <c r="I233" i="2"/>
  <c r="AD234" i="2"/>
  <c r="K229" i="2"/>
  <c r="AI229" i="2"/>
  <c r="E231" i="2"/>
  <c r="I228" i="2"/>
  <c r="F229" i="2"/>
  <c r="AL229" i="2"/>
  <c r="E239" i="2" s="1"/>
  <c r="H231" i="2"/>
  <c r="AF231" i="2"/>
  <c r="K231" i="2"/>
  <c r="AI231" i="2"/>
  <c r="E233" i="2"/>
  <c r="M233" i="2"/>
  <c r="AC233" i="2"/>
  <c r="Q228" i="2"/>
  <c r="N229" i="2"/>
  <c r="K230" i="2"/>
  <c r="AI230" i="2"/>
  <c r="X231" i="2"/>
  <c r="AG228" i="2"/>
  <c r="AD229" i="2"/>
  <c r="AA230" i="2"/>
  <c r="E232" i="2"/>
  <c r="Y228" i="2"/>
  <c r="V229" i="2"/>
  <c r="S230" i="2"/>
  <c r="P231" i="2"/>
  <c r="S229" i="2"/>
  <c r="M231" i="2"/>
  <c r="AC231" i="2"/>
  <c r="AK231" i="2"/>
  <c r="G228" i="2"/>
  <c r="O228" i="2"/>
  <c r="W228" i="2"/>
  <c r="AE228" i="2"/>
  <c r="D229" i="2"/>
  <c r="L229" i="2"/>
  <c r="T229" i="2"/>
  <c r="AB229" i="2"/>
  <c r="D239" i="2" s="1"/>
  <c r="AJ229" i="2"/>
  <c r="I230" i="2"/>
  <c r="Q230" i="2"/>
  <c r="Y230" i="2"/>
  <c r="AG230" i="2"/>
  <c r="F231" i="2"/>
  <c r="N231" i="2"/>
  <c r="V231" i="2"/>
  <c r="AD231" i="2"/>
  <c r="AL231" i="2"/>
  <c r="E241" i="2" s="1"/>
  <c r="K232" i="2"/>
  <c r="S232" i="2"/>
  <c r="AA232" i="2"/>
  <c r="AI232" i="2"/>
  <c r="H233" i="2"/>
  <c r="P233" i="2"/>
  <c r="X233" i="2"/>
  <c r="AF233" i="2"/>
  <c r="E234" i="2"/>
  <c r="M234" i="2"/>
  <c r="U234" i="2"/>
  <c r="AC234" i="2"/>
  <c r="AK234" i="2"/>
  <c r="AA228" i="2"/>
  <c r="E230" i="2"/>
  <c r="R231" i="2"/>
  <c r="C241" i="2" s="1"/>
  <c r="D233" i="2"/>
  <c r="Y234" i="2"/>
  <c r="H229" i="2"/>
  <c r="U230" i="2"/>
  <c r="Z231" i="2"/>
  <c r="O232" i="2"/>
  <c r="T233" i="2"/>
  <c r="AJ233" i="2"/>
  <c r="M232" i="2"/>
  <c r="U232" i="2"/>
  <c r="AC232" i="2"/>
  <c r="AK232" i="2"/>
  <c r="J233" i="2"/>
  <c r="R233" i="2"/>
  <c r="C243" i="2" s="1"/>
  <c r="Z233" i="2"/>
  <c r="AH233" i="2"/>
  <c r="G234" i="2"/>
  <c r="O234" i="2"/>
  <c r="W234" i="2"/>
  <c r="AE234" i="2"/>
  <c r="C229" i="2"/>
  <c r="K233" i="2"/>
  <c r="S233" i="2"/>
  <c r="AA233" i="2"/>
  <c r="AI233" i="2"/>
  <c r="C231" i="2"/>
  <c r="AF229" i="2"/>
  <c r="J231" i="2"/>
  <c r="G232" i="2"/>
  <c r="AB233" i="2"/>
  <c r="D243" i="2" s="1"/>
  <c r="S231" i="2"/>
  <c r="AA231" i="2"/>
  <c r="U233" i="2"/>
  <c r="AK233" i="2"/>
  <c r="S228" i="2"/>
  <c r="X229" i="2"/>
  <c r="AK230" i="2"/>
  <c r="AE232" i="2"/>
  <c r="Q234" i="2"/>
  <c r="AA229" i="2"/>
  <c r="U231" i="2"/>
  <c r="K228" i="2"/>
  <c r="P229" i="2"/>
  <c r="AC230" i="2"/>
  <c r="W232" i="2"/>
  <c r="I234" i="2"/>
  <c r="AI228" i="2"/>
  <c r="M230" i="2"/>
  <c r="AH231" i="2"/>
  <c r="L233" i="2"/>
  <c r="AG234" i="2"/>
  <c r="D228" i="2"/>
  <c r="L228" i="2"/>
  <c r="T228" i="2"/>
  <c r="AB228" i="2"/>
  <c r="D238" i="2" s="1"/>
  <c r="AJ228" i="2"/>
  <c r="I229" i="2"/>
  <c r="Q229" i="2"/>
  <c r="Y229" i="2"/>
  <c r="AG229" i="2"/>
  <c r="F230" i="2"/>
  <c r="N230" i="2"/>
  <c r="V230" i="2"/>
  <c r="AD230" i="2"/>
  <c r="AL230" i="2"/>
  <c r="E240" i="2" s="1"/>
  <c r="H232" i="2"/>
  <c r="P232" i="2"/>
  <c r="X232" i="2"/>
  <c r="AF232" i="2"/>
  <c r="J234" i="2"/>
  <c r="R234" i="2"/>
  <c r="C244" i="2" s="1"/>
  <c r="Z234" i="2"/>
  <c r="AH234" i="2"/>
  <c r="F228" i="2"/>
  <c r="N228" i="2"/>
  <c r="V228" i="2"/>
  <c r="AD228" i="2"/>
  <c r="AL228" i="2"/>
  <c r="E238" i="2" s="1"/>
  <c r="H230" i="2"/>
  <c r="P230" i="2"/>
  <c r="X230" i="2"/>
  <c r="AF230" i="2"/>
  <c r="J232" i="2"/>
  <c r="R232" i="2"/>
  <c r="C242" i="2" s="1"/>
  <c r="Z232" i="2"/>
  <c r="AH232" i="2"/>
  <c r="G233" i="2"/>
  <c r="O233" i="2"/>
  <c r="W233" i="2"/>
  <c r="AE233" i="2"/>
  <c r="D234" i="2"/>
  <c r="L234" i="2"/>
  <c r="T234" i="2"/>
  <c r="AB234" i="2"/>
  <c r="D244" i="2" s="1"/>
  <c r="AJ234" i="2"/>
  <c r="E229" i="2"/>
  <c r="M229" i="2"/>
  <c r="U229" i="2"/>
  <c r="AC229" i="2"/>
  <c r="AK229" i="2"/>
  <c r="J228" i="2"/>
  <c r="R228" i="2"/>
  <c r="C238" i="2" s="1"/>
  <c r="Z228" i="2"/>
  <c r="AH228" i="2"/>
  <c r="G229" i="2"/>
  <c r="O229" i="2"/>
  <c r="W229" i="2"/>
  <c r="AE229" i="2"/>
  <c r="D230" i="2"/>
  <c r="L230" i="2"/>
  <c r="T230" i="2"/>
  <c r="AB230" i="2"/>
  <c r="D240" i="2" s="1"/>
  <c r="AJ230" i="2"/>
  <c r="I231" i="2"/>
  <c r="Q231" i="2"/>
  <c r="Y231" i="2"/>
  <c r="AG231" i="2"/>
  <c r="F232" i="2"/>
  <c r="N232" i="2"/>
  <c r="V232" i="2"/>
  <c r="AD232" i="2"/>
  <c r="AL232" i="2"/>
  <c r="E242" i="2" s="1"/>
  <c r="H234" i="2"/>
  <c r="P234" i="2"/>
  <c r="X234" i="2"/>
  <c r="AF234" i="2"/>
  <c r="T203" i="2"/>
  <c r="Q204" i="2"/>
  <c r="AG204" i="2"/>
  <c r="AA206" i="2"/>
  <c r="AI206" i="2"/>
  <c r="AG202" i="2"/>
  <c r="Q202" i="2"/>
  <c r="D201" i="2"/>
  <c r="W203" i="2"/>
  <c r="AJ201" i="2"/>
  <c r="L201" i="2"/>
  <c r="T201" i="2"/>
  <c r="AB201" i="2"/>
  <c r="Y202" i="2"/>
  <c r="K204" i="2"/>
  <c r="AA204" i="2"/>
  <c r="AI204" i="2"/>
  <c r="K202" i="2"/>
  <c r="S202" i="2"/>
  <c r="AA202" i="2"/>
  <c r="AI202" i="2"/>
  <c r="G203" i="2"/>
  <c r="O203" i="2"/>
  <c r="AE203" i="2"/>
  <c r="C202" i="2"/>
  <c r="G201" i="2"/>
  <c r="O201" i="2"/>
  <c r="W201" i="2"/>
  <c r="AE201" i="2"/>
  <c r="H206" i="2"/>
  <c r="P206" i="2"/>
  <c r="X206" i="2"/>
  <c r="Y204" i="2"/>
  <c r="I202" i="2"/>
  <c r="S204" i="2"/>
  <c r="D203" i="2"/>
  <c r="L203" i="2"/>
  <c r="AB203" i="2"/>
  <c r="AJ203" i="2"/>
  <c r="I204" i="2"/>
  <c r="K206" i="2"/>
  <c r="S206" i="2"/>
  <c r="AB202" i="2"/>
  <c r="Q203" i="2"/>
  <c r="N204" i="2"/>
  <c r="AD204" i="2"/>
  <c r="AL204" i="2"/>
  <c r="K205" i="2"/>
  <c r="S205" i="2"/>
  <c r="AA205" i="2"/>
  <c r="AI205" i="2"/>
  <c r="H204" i="2"/>
  <c r="P204" i="2"/>
  <c r="X204" i="2"/>
  <c r="AF204" i="2"/>
  <c r="E205" i="2"/>
  <c r="M205" i="2"/>
  <c r="U205" i="2"/>
  <c r="AC205" i="2"/>
  <c r="AK205" i="2"/>
  <c r="G207" i="2"/>
  <c r="O207" i="2"/>
  <c r="W207" i="2"/>
  <c r="AE207" i="2"/>
  <c r="C204" i="2"/>
  <c r="H202" i="2"/>
  <c r="P202" i="2"/>
  <c r="X202" i="2"/>
  <c r="AF202" i="2"/>
  <c r="E203" i="2"/>
  <c r="M203" i="2"/>
  <c r="U203" i="2"/>
  <c r="AC203" i="2"/>
  <c r="AK203" i="2"/>
  <c r="G205" i="2"/>
  <c r="O205" i="2"/>
  <c r="W205" i="2"/>
  <c r="AE205" i="2"/>
  <c r="H201" i="2"/>
  <c r="P201" i="2"/>
  <c r="X201" i="2"/>
  <c r="AF201" i="2"/>
  <c r="E202" i="2"/>
  <c r="M202" i="2"/>
  <c r="U202" i="2"/>
  <c r="AC202" i="2"/>
  <c r="AK202" i="2"/>
  <c r="J203" i="2"/>
  <c r="R203" i="2"/>
  <c r="Z203" i="2"/>
  <c r="AH203" i="2"/>
  <c r="G204" i="2"/>
  <c r="O204" i="2"/>
  <c r="W204" i="2"/>
  <c r="AE204" i="2"/>
  <c r="D205" i="2"/>
  <c r="L205" i="2"/>
  <c r="T205" i="2"/>
  <c r="AB205" i="2"/>
  <c r="AJ205" i="2"/>
  <c r="I206" i="2"/>
  <c r="Q206" i="2"/>
  <c r="Y206" i="2"/>
  <c r="AG206" i="2"/>
  <c r="F207" i="2"/>
  <c r="N207" i="2"/>
  <c r="V207" i="2"/>
  <c r="AD207" i="2"/>
  <c r="AL207" i="2"/>
  <c r="L202" i="2"/>
  <c r="Y203" i="2"/>
  <c r="I201" i="2"/>
  <c r="Q201" i="2"/>
  <c r="Y201" i="2"/>
  <c r="AG201" i="2"/>
  <c r="F202" i="2"/>
  <c r="N202" i="2"/>
  <c r="V202" i="2"/>
  <c r="AD202" i="2"/>
  <c r="AL202" i="2"/>
  <c r="K203" i="2"/>
  <c r="S203" i="2"/>
  <c r="AA203" i="2"/>
  <c r="AI203" i="2"/>
  <c r="J206" i="2"/>
  <c r="R206" i="2"/>
  <c r="Z206" i="2"/>
  <c r="AH206" i="2"/>
  <c r="T202" i="2"/>
  <c r="AG203" i="2"/>
  <c r="J201" i="2"/>
  <c r="R201" i="2"/>
  <c r="Z201" i="2"/>
  <c r="AH201" i="2"/>
  <c r="G202" i="2"/>
  <c r="O202" i="2"/>
  <c r="W202" i="2"/>
  <c r="AE202" i="2"/>
  <c r="F205" i="2"/>
  <c r="N205" i="2"/>
  <c r="V205" i="2"/>
  <c r="AD205" i="2"/>
  <c r="AL205" i="2"/>
  <c r="H207" i="2"/>
  <c r="P207" i="2"/>
  <c r="X207" i="2"/>
  <c r="AF207" i="2"/>
  <c r="AJ202" i="2"/>
  <c r="F204" i="2"/>
  <c r="K201" i="2"/>
  <c r="S201" i="2"/>
  <c r="AA201" i="2"/>
  <c r="AI201" i="2"/>
  <c r="J204" i="2"/>
  <c r="R204" i="2"/>
  <c r="Z204" i="2"/>
  <c r="AH204" i="2"/>
  <c r="D206" i="2"/>
  <c r="L206" i="2"/>
  <c r="T206" i="2"/>
  <c r="AB206" i="2"/>
  <c r="AJ206" i="2"/>
  <c r="I207" i="2"/>
  <c r="Q207" i="2"/>
  <c r="Y207" i="2"/>
  <c r="AG207" i="2"/>
  <c r="D202" i="2"/>
  <c r="I203" i="2"/>
  <c r="V204" i="2"/>
  <c r="F203" i="2"/>
  <c r="N203" i="2"/>
  <c r="V203" i="2"/>
  <c r="AD203" i="2"/>
  <c r="AL203" i="2"/>
  <c r="H205" i="2"/>
  <c r="P205" i="2"/>
  <c r="X205" i="2"/>
  <c r="AF205" i="2"/>
  <c r="E206" i="2"/>
  <c r="M206" i="2"/>
  <c r="U206" i="2"/>
  <c r="AC206" i="2"/>
  <c r="AK206" i="2"/>
  <c r="J207" i="2"/>
  <c r="R207" i="2"/>
  <c r="Z207" i="2"/>
  <c r="AH207" i="2"/>
  <c r="E201" i="2"/>
  <c r="M201" i="2"/>
  <c r="U201" i="2"/>
  <c r="AC201" i="2"/>
  <c r="AK201" i="2"/>
  <c r="J202" i="2"/>
  <c r="R202" i="2"/>
  <c r="Z202" i="2"/>
  <c r="AH202" i="2"/>
  <c r="D204" i="2"/>
  <c r="L204" i="2"/>
  <c r="T204" i="2"/>
  <c r="AB204" i="2"/>
  <c r="AJ204" i="2"/>
  <c r="I205" i="2"/>
  <c r="Q205" i="2"/>
  <c r="Y205" i="2"/>
  <c r="AG205" i="2"/>
  <c r="F206" i="2"/>
  <c r="N206" i="2"/>
  <c r="V206" i="2"/>
  <c r="AD206" i="2"/>
  <c r="AL206" i="2"/>
  <c r="K207" i="2"/>
  <c r="S207" i="2"/>
  <c r="AA207" i="2"/>
  <c r="AI207" i="2"/>
  <c r="AF206" i="2"/>
  <c r="E207" i="2"/>
  <c r="M207" i="2"/>
  <c r="U207" i="2"/>
  <c r="AC207" i="2"/>
  <c r="AK207" i="2"/>
  <c r="F201" i="2"/>
  <c r="N201" i="2"/>
  <c r="V201" i="2"/>
  <c r="AD201" i="2"/>
  <c r="AL201" i="2"/>
  <c r="H203" i="2"/>
  <c r="P203" i="2"/>
  <c r="X203" i="2"/>
  <c r="AF203" i="2"/>
  <c r="E204" i="2"/>
  <c r="M204" i="2"/>
  <c r="U204" i="2"/>
  <c r="AC204" i="2"/>
  <c r="AK204" i="2"/>
  <c r="J205" i="2"/>
  <c r="R205" i="2"/>
  <c r="Z205" i="2"/>
  <c r="AH205" i="2"/>
  <c r="G206" i="2"/>
  <c r="O206" i="2"/>
  <c r="W206" i="2"/>
  <c r="AE206" i="2"/>
  <c r="D207" i="2"/>
  <c r="L207" i="2"/>
  <c r="T207" i="2"/>
  <c r="AB207" i="2"/>
  <c r="AJ207" i="2"/>
  <c r="E155" i="2"/>
  <c r="E152" i="2"/>
  <c r="C156" i="2"/>
  <c r="D156" i="2"/>
  <c r="E158" i="2"/>
  <c r="C153" i="2"/>
  <c r="D155" i="2"/>
  <c r="E157" i="2"/>
  <c r="C157" i="2"/>
  <c r="E153" i="2"/>
  <c r="C155" i="2"/>
  <c r="D157" i="2"/>
  <c r="D152" i="2"/>
  <c r="E154" i="2"/>
  <c r="C158" i="2"/>
  <c r="D153" i="2"/>
  <c r="C154" i="2"/>
  <c r="C152" i="2"/>
  <c r="D154" i="2"/>
  <c r="E156" i="2"/>
  <c r="D158" i="2"/>
  <c r="E102" i="2"/>
  <c r="D102" i="2"/>
  <c r="E104" i="2"/>
  <c r="E105" i="2"/>
  <c r="D101" i="2"/>
  <c r="C104" i="2"/>
  <c r="C103" i="2"/>
  <c r="D105" i="2"/>
  <c r="C102" i="2"/>
  <c r="D104" i="2"/>
  <c r="E106" i="2"/>
  <c r="E101" i="2"/>
  <c r="C105" i="2"/>
  <c r="D107" i="2"/>
  <c r="E107" i="2"/>
  <c r="C106" i="2"/>
  <c r="C101" i="2"/>
  <c r="D103" i="2"/>
  <c r="D106" i="2"/>
  <c r="E103" i="2"/>
  <c r="C107" i="2"/>
  <c r="C232" i="2" l="1"/>
  <c r="I161" i="2" l="1"/>
  <c r="H161" i="2"/>
  <c r="G161" i="2"/>
  <c r="C295" i="2"/>
  <c r="C293" i="2"/>
  <c r="I312" i="2"/>
  <c r="H312" i="2"/>
  <c r="G312" i="2"/>
  <c r="C297" i="2"/>
  <c r="C298" i="2"/>
  <c r="C299" i="2"/>
  <c r="C234" i="2"/>
  <c r="I110" i="2"/>
  <c r="H110" i="2"/>
  <c r="G110" i="2"/>
  <c r="D319" i="2" l="1"/>
  <c r="D313" i="2"/>
  <c r="D314" i="2"/>
  <c r="D318" i="2"/>
  <c r="D315" i="2"/>
  <c r="D317" i="2"/>
  <c r="D316" i="2"/>
  <c r="E315" i="2"/>
  <c r="E313" i="2"/>
  <c r="E317" i="2"/>
  <c r="E319" i="2"/>
  <c r="E316" i="2"/>
  <c r="E318" i="2"/>
  <c r="E314" i="2"/>
  <c r="C319" i="2"/>
  <c r="C314" i="2"/>
  <c r="C313" i="2"/>
  <c r="C316" i="2"/>
  <c r="C317" i="2"/>
  <c r="C318" i="2"/>
  <c r="C315" i="2"/>
  <c r="D168" i="2"/>
  <c r="D165" i="2"/>
  <c r="D166" i="2"/>
  <c r="D164" i="2"/>
  <c r="D162" i="2"/>
  <c r="D163" i="2"/>
  <c r="D167" i="2"/>
  <c r="C162" i="2"/>
  <c r="C163" i="2"/>
  <c r="C165" i="2"/>
  <c r="C167" i="2"/>
  <c r="C164" i="2"/>
  <c r="C168" i="2"/>
  <c r="C166" i="2"/>
  <c r="E166" i="2"/>
  <c r="E168" i="2"/>
  <c r="E163" i="2"/>
  <c r="E162" i="2"/>
  <c r="E167" i="2"/>
  <c r="E164" i="2"/>
  <c r="E165" i="2"/>
  <c r="C113" i="2"/>
  <c r="C115" i="2"/>
  <c r="C111" i="2"/>
  <c r="C114" i="2"/>
  <c r="C112" i="2"/>
  <c r="C116" i="2"/>
  <c r="C117" i="2"/>
  <c r="D117" i="2"/>
  <c r="D115" i="2"/>
  <c r="D113" i="2"/>
  <c r="D114" i="2"/>
  <c r="D116" i="2"/>
  <c r="D111" i="2"/>
  <c r="D112" i="2"/>
  <c r="E113" i="2"/>
  <c r="E111" i="2"/>
  <c r="E117" i="2"/>
  <c r="E115" i="2"/>
  <c r="E112" i="2"/>
  <c r="E114" i="2"/>
  <c r="E116" i="2"/>
  <c r="I292" i="2"/>
  <c r="Q292" i="2"/>
  <c r="Y292" i="2"/>
  <c r="AG292" i="2"/>
  <c r="J292" i="2"/>
  <c r="R292" i="2"/>
  <c r="Z292" i="2"/>
  <c r="AH292" i="2"/>
  <c r="G292" i="2"/>
  <c r="O292" i="2"/>
  <c r="W292" i="2"/>
  <c r="AE292" i="2"/>
  <c r="F292" i="2"/>
  <c r="N292" i="2"/>
  <c r="V292" i="2"/>
  <c r="AD292" i="2"/>
  <c r="AL292" i="2"/>
  <c r="E292" i="2"/>
  <c r="M292" i="2"/>
  <c r="U292" i="2"/>
  <c r="AC292" i="2"/>
  <c r="AK292" i="2"/>
  <c r="K292" i="2"/>
  <c r="S292" i="2"/>
  <c r="AA292" i="2"/>
  <c r="AI292" i="2"/>
  <c r="D292" i="2"/>
  <c r="L292" i="2"/>
  <c r="T292" i="2"/>
  <c r="AB292" i="2"/>
  <c r="AJ292" i="2"/>
  <c r="H292" i="2"/>
  <c r="P292" i="2"/>
  <c r="X292" i="2"/>
  <c r="AF292" i="2"/>
  <c r="H227" i="2"/>
  <c r="P227" i="2"/>
  <c r="X227" i="2"/>
  <c r="I227" i="2"/>
  <c r="Q227" i="2"/>
  <c r="Y227" i="2"/>
  <c r="AG227" i="2"/>
  <c r="E227" i="2"/>
  <c r="M227" i="2"/>
  <c r="U227" i="2"/>
  <c r="AC227" i="2"/>
  <c r="AK227" i="2"/>
  <c r="AF227" i="2"/>
  <c r="K227" i="2"/>
  <c r="S227" i="2"/>
  <c r="AA227" i="2"/>
  <c r="AI227" i="2"/>
  <c r="G227" i="2"/>
  <c r="O227" i="2"/>
  <c r="W227" i="2"/>
  <c r="AE227" i="2"/>
  <c r="C228" i="2"/>
  <c r="C233" i="2"/>
  <c r="F227" i="2"/>
  <c r="N227" i="2"/>
  <c r="V227" i="2"/>
  <c r="AD227" i="2"/>
  <c r="AL227" i="2"/>
  <c r="J227" i="2"/>
  <c r="R227" i="2"/>
  <c r="Z227" i="2"/>
  <c r="AH227" i="2"/>
  <c r="D227" i="2"/>
  <c r="L227" i="2"/>
  <c r="T227" i="2"/>
  <c r="AB227" i="2"/>
  <c r="AJ227" i="2"/>
  <c r="C230" i="2"/>
  <c r="F200" i="2"/>
  <c r="N200" i="2"/>
  <c r="V200" i="2"/>
  <c r="AD200" i="2"/>
  <c r="AL200" i="2"/>
  <c r="C203" i="2"/>
  <c r="H200" i="2"/>
  <c r="P200" i="2"/>
  <c r="X200" i="2"/>
  <c r="AF200" i="2"/>
  <c r="C207" i="2"/>
  <c r="G200" i="2"/>
  <c r="O200" i="2"/>
  <c r="W200" i="2"/>
  <c r="AE200" i="2"/>
  <c r="C201" i="2"/>
  <c r="I200" i="2"/>
  <c r="Q200" i="2"/>
  <c r="Y200" i="2"/>
  <c r="AG200" i="2"/>
  <c r="C206" i="2"/>
  <c r="J200" i="2"/>
  <c r="R200" i="2"/>
  <c r="Z200" i="2"/>
  <c r="AH200" i="2"/>
  <c r="K200" i="2"/>
  <c r="S200" i="2"/>
  <c r="AA200" i="2"/>
  <c r="AI200" i="2"/>
  <c r="C205" i="2"/>
  <c r="D200" i="2"/>
  <c r="L200" i="2"/>
  <c r="T200" i="2"/>
  <c r="AB200" i="2"/>
  <c r="AJ200" i="2"/>
  <c r="E200" i="2"/>
  <c r="M200" i="2"/>
  <c r="U200" i="2"/>
  <c r="AC200" i="2"/>
  <c r="AK200" i="2"/>
  <c r="C227" i="2"/>
  <c r="E174" i="2"/>
  <c r="E172" i="2"/>
  <c r="E176" i="2"/>
  <c r="E173" i="2"/>
  <c r="E175" i="2"/>
  <c r="E177" i="2"/>
  <c r="C172" i="2"/>
  <c r="C175" i="2"/>
  <c r="C173" i="2"/>
  <c r="C174" i="2"/>
  <c r="C176" i="2"/>
  <c r="C177" i="2"/>
  <c r="D177" i="2"/>
  <c r="D176" i="2"/>
  <c r="D174" i="2"/>
  <c r="D172" i="2"/>
  <c r="D175" i="2"/>
  <c r="D173" i="2"/>
  <c r="C122" i="2"/>
  <c r="C125" i="2"/>
  <c r="C121" i="2"/>
  <c r="C124" i="2"/>
  <c r="C123" i="2"/>
  <c r="C126" i="2"/>
  <c r="D126" i="2"/>
  <c r="D122" i="2"/>
  <c r="D124" i="2"/>
  <c r="D123" i="2"/>
  <c r="D125" i="2"/>
  <c r="D121" i="2"/>
  <c r="E123" i="2"/>
  <c r="E122" i="2"/>
  <c r="E124" i="2"/>
  <c r="E121" i="2"/>
  <c r="E125" i="2"/>
  <c r="E126" i="2"/>
  <c r="C120" i="2"/>
  <c r="C100" i="2"/>
  <c r="C110" i="2" s="1"/>
  <c r="C171" i="2"/>
  <c r="D100" i="2"/>
  <c r="D110" i="2" s="1"/>
  <c r="D120" i="2"/>
  <c r="D171" i="2"/>
  <c r="E100" i="2"/>
  <c r="E110" i="2" s="1"/>
  <c r="E120" i="2"/>
  <c r="E171" i="2"/>
  <c r="C151" i="2"/>
  <c r="C161" i="2" s="1"/>
  <c r="D151" i="2"/>
  <c r="D161" i="2" s="1"/>
  <c r="I680" i="2"/>
  <c r="Q680" i="2"/>
  <c r="Y680" i="2"/>
  <c r="AG680" i="2"/>
  <c r="I682" i="2"/>
  <c r="Q682" i="2"/>
  <c r="Y682" i="2"/>
  <c r="AG682" i="2"/>
  <c r="E681" i="2"/>
  <c r="H681" i="2"/>
  <c r="M681" i="2"/>
  <c r="U681" i="2"/>
  <c r="AC681" i="2"/>
  <c r="AK681" i="2"/>
  <c r="AL682" i="2" l="1"/>
  <c r="AD682" i="2"/>
  <c r="V682" i="2"/>
  <c r="N682" i="2"/>
  <c r="F682" i="2"/>
  <c r="AL680" i="2"/>
  <c r="AD680" i="2"/>
  <c r="V680" i="2"/>
  <c r="N680" i="2"/>
  <c r="F680" i="2"/>
  <c r="AK682" i="2"/>
  <c r="AC682" i="2"/>
  <c r="U682" i="2"/>
  <c r="M682" i="2"/>
  <c r="E682" i="2"/>
  <c r="X681" i="2"/>
  <c r="AF681" i="2"/>
  <c r="P681" i="2"/>
  <c r="AI682" i="2"/>
  <c r="AA682" i="2"/>
  <c r="S682" i="2"/>
  <c r="K682" i="2"/>
  <c r="C682" i="2"/>
  <c r="AI680" i="2"/>
  <c r="AA680" i="2"/>
  <c r="S680" i="2"/>
  <c r="K680" i="2"/>
  <c r="C680" i="2"/>
  <c r="AF682" i="2"/>
  <c r="X682" i="2"/>
  <c r="P682" i="2"/>
  <c r="H682" i="2"/>
  <c r="AF680" i="2"/>
  <c r="X680" i="2"/>
  <c r="P680" i="2"/>
  <c r="H680" i="2"/>
  <c r="AJ683" i="2"/>
  <c r="AB683" i="2"/>
  <c r="T683" i="2"/>
  <c r="L683" i="2"/>
  <c r="D683" i="2"/>
  <c r="AJ682" i="2"/>
  <c r="AB682" i="2"/>
  <c r="T682" i="2"/>
  <c r="L682" i="2"/>
  <c r="D682" i="2"/>
  <c r="AJ680" i="2"/>
  <c r="AB680" i="2"/>
  <c r="T680" i="2"/>
  <c r="L680" i="2"/>
  <c r="D680" i="2"/>
  <c r="AI683" i="2"/>
  <c r="AA683" i="2"/>
  <c r="S683" i="2"/>
  <c r="K683" i="2"/>
  <c r="C683" i="2"/>
  <c r="AE681" i="2"/>
  <c r="W681" i="2"/>
  <c r="O681" i="2"/>
  <c r="G681" i="2"/>
  <c r="AH683" i="2"/>
  <c r="Z683" i="2"/>
  <c r="R683" i="2"/>
  <c r="J683" i="2"/>
  <c r="AL681" i="2"/>
  <c r="AD681" i="2"/>
  <c r="V681" i="2"/>
  <c r="N681" i="2"/>
  <c r="F681" i="2"/>
  <c r="AH682" i="2"/>
  <c r="Z682" i="2"/>
  <c r="R682" i="2"/>
  <c r="J682" i="2"/>
  <c r="AH680" i="2"/>
  <c r="Z680" i="2"/>
  <c r="R680" i="2"/>
  <c r="J680" i="2"/>
  <c r="AG683" i="2"/>
  <c r="Y683" i="2"/>
  <c r="Q683" i="2"/>
  <c r="I683" i="2"/>
  <c r="AF683" i="2"/>
  <c r="X683" i="2"/>
  <c r="P683" i="2"/>
  <c r="H683" i="2"/>
  <c r="AJ681" i="2"/>
  <c r="AB681" i="2"/>
  <c r="T681" i="2"/>
  <c r="L681" i="2"/>
  <c r="D681" i="2"/>
  <c r="AE683" i="2"/>
  <c r="W683" i="2"/>
  <c r="O683" i="2"/>
  <c r="G683" i="2"/>
  <c r="AI681" i="2"/>
  <c r="AA681" i="2"/>
  <c r="S681" i="2"/>
  <c r="K681" i="2"/>
  <c r="C681" i="2"/>
  <c r="AE682" i="2"/>
  <c r="W682" i="2"/>
  <c r="O682" i="2"/>
  <c r="G682" i="2"/>
  <c r="AE680" i="2"/>
  <c r="W680" i="2"/>
  <c r="O680" i="2"/>
  <c r="G680" i="2"/>
  <c r="AL683" i="2"/>
  <c r="AD683" i="2"/>
  <c r="V683" i="2"/>
  <c r="N683" i="2"/>
  <c r="F683" i="2"/>
  <c r="AH681" i="2"/>
  <c r="Z681" i="2"/>
  <c r="R681" i="2"/>
  <c r="J681" i="2"/>
  <c r="AK683" i="2"/>
  <c r="AC683" i="2"/>
  <c r="U683" i="2"/>
  <c r="M683" i="2"/>
  <c r="E683" i="2"/>
  <c r="AG681" i="2"/>
  <c r="Y681" i="2"/>
  <c r="Q681" i="2"/>
  <c r="I681" i="2"/>
  <c r="AK680" i="2"/>
  <c r="AC680" i="2"/>
  <c r="U680" i="2"/>
  <c r="M680" i="2"/>
  <c r="E680" i="2"/>
  <c r="C660" i="2"/>
  <c r="G660" i="2"/>
  <c r="O660" i="2"/>
  <c r="W660" i="2"/>
  <c r="AE660" i="2"/>
  <c r="K664" i="2"/>
  <c r="F661" i="2" l="1"/>
  <c r="AF664" i="2"/>
  <c r="X664" i="2"/>
  <c r="P664" i="2"/>
  <c r="H664" i="2"/>
  <c r="AF660" i="2"/>
  <c r="X660" i="2"/>
  <c r="P660" i="2"/>
  <c r="H660" i="2"/>
  <c r="C663" i="2"/>
  <c r="AH663" i="2"/>
  <c r="R663" i="2"/>
  <c r="Z663" i="2"/>
  <c r="J663" i="2"/>
  <c r="AI664" i="2"/>
  <c r="AA664" i="2"/>
  <c r="S664" i="2"/>
  <c r="AI660" i="2"/>
  <c r="AA660" i="2"/>
  <c r="S660" i="2"/>
  <c r="K660" i="2"/>
  <c r="AL661" i="2"/>
  <c r="AD661" i="2"/>
  <c r="V661" i="2"/>
  <c r="N661" i="2"/>
  <c r="AG661" i="2"/>
  <c r="Y661" i="2"/>
  <c r="Q661" i="2"/>
  <c r="I661" i="2"/>
  <c r="AG664" i="2"/>
  <c r="Y664" i="2"/>
  <c r="Q664" i="2"/>
  <c r="I664" i="2"/>
  <c r="AK663" i="2"/>
  <c r="AC663" i="2"/>
  <c r="U663" i="2"/>
  <c r="M663" i="2"/>
  <c r="E663" i="2"/>
  <c r="AK661" i="2"/>
  <c r="AC661" i="2"/>
  <c r="U661" i="2"/>
  <c r="M661" i="2"/>
  <c r="E661" i="2"/>
  <c r="AG660" i="2"/>
  <c r="Y660" i="2"/>
  <c r="Q660" i="2"/>
  <c r="I660" i="2"/>
  <c r="AJ663" i="2"/>
  <c r="AB663" i="2"/>
  <c r="T663" i="2"/>
  <c r="L663" i="2"/>
  <c r="D663" i="2"/>
  <c r="AE664" i="2"/>
  <c r="W664" i="2"/>
  <c r="O664" i="2"/>
  <c r="G664" i="2"/>
  <c r="AI663" i="2"/>
  <c r="AA663" i="2"/>
  <c r="S663" i="2"/>
  <c r="K663" i="2"/>
  <c r="AI661" i="2"/>
  <c r="AA661" i="2"/>
  <c r="S661" i="2"/>
  <c r="K661" i="2"/>
  <c r="AL664" i="2"/>
  <c r="AD664" i="2"/>
  <c r="V664" i="2"/>
  <c r="N664" i="2"/>
  <c r="F664" i="2"/>
  <c r="AH661" i="2"/>
  <c r="Z661" i="2"/>
  <c r="R661" i="2"/>
  <c r="J661" i="2"/>
  <c r="AL660" i="2"/>
  <c r="AD660" i="2"/>
  <c r="V660" i="2"/>
  <c r="N660" i="2"/>
  <c r="F660" i="2"/>
  <c r="AK664" i="2"/>
  <c r="AC664" i="2"/>
  <c r="U664" i="2"/>
  <c r="M664" i="2"/>
  <c r="E664" i="2"/>
  <c r="AG663" i="2"/>
  <c r="Y663" i="2"/>
  <c r="Q663" i="2"/>
  <c r="I663" i="2"/>
  <c r="AK660" i="2"/>
  <c r="AC660" i="2"/>
  <c r="U660" i="2"/>
  <c r="M660" i="2"/>
  <c r="E660" i="2"/>
  <c r="AJ661" i="2"/>
  <c r="AB661" i="2"/>
  <c r="T661" i="2"/>
  <c r="L661" i="2"/>
  <c r="D661" i="2"/>
  <c r="AJ664" i="2"/>
  <c r="AB664" i="2"/>
  <c r="T664" i="2"/>
  <c r="L664" i="2"/>
  <c r="D664" i="2"/>
  <c r="AF663" i="2"/>
  <c r="X663" i="2"/>
  <c r="P663" i="2"/>
  <c r="H663" i="2"/>
  <c r="AF661" i="2"/>
  <c r="X661" i="2"/>
  <c r="P661" i="2"/>
  <c r="H661" i="2"/>
  <c r="AJ660" i="2"/>
  <c r="AB660" i="2"/>
  <c r="T660" i="2"/>
  <c r="L660" i="2"/>
  <c r="D660" i="2"/>
  <c r="C664" i="2"/>
  <c r="AE663" i="2"/>
  <c r="W663" i="2"/>
  <c r="O663" i="2"/>
  <c r="G663" i="2"/>
  <c r="AE661" i="2"/>
  <c r="W661" i="2"/>
  <c r="O661" i="2"/>
  <c r="G661" i="2"/>
  <c r="AH664" i="2"/>
  <c r="Z664" i="2"/>
  <c r="R664" i="2"/>
  <c r="J664" i="2"/>
  <c r="AL663" i="2"/>
  <c r="AD663" i="2"/>
  <c r="V663" i="2"/>
  <c r="N663" i="2"/>
  <c r="F663" i="2"/>
  <c r="AH660" i="2"/>
  <c r="Z660" i="2"/>
  <c r="R660" i="2"/>
  <c r="J660" i="2"/>
  <c r="C661" i="2"/>
  <c r="AH648" i="2"/>
  <c r="R654" i="2"/>
  <c r="M648" i="2"/>
  <c r="AJ654" i="2"/>
  <c r="AB654" i="2"/>
  <c r="T654" i="2"/>
  <c r="L654" i="2"/>
  <c r="D654" i="2"/>
  <c r="AI654" i="2"/>
  <c r="AA654" i="2"/>
  <c r="S654" i="2"/>
  <c r="K654" i="2"/>
  <c r="C654" i="2"/>
  <c r="AA641" i="2"/>
  <c r="AE635" i="2"/>
  <c r="J654" i="2"/>
  <c r="AG654" i="2"/>
  <c r="Y654" i="2"/>
  <c r="Q654" i="2"/>
  <c r="I654" i="2"/>
  <c r="AK648" i="2"/>
  <c r="AC648" i="2"/>
  <c r="U648" i="2"/>
  <c r="E648" i="2"/>
  <c r="AF654" i="2"/>
  <c r="X654" i="2"/>
  <c r="P654" i="2"/>
  <c r="H654" i="2"/>
  <c r="AE654" i="2"/>
  <c r="W654" i="2"/>
  <c r="O654" i="2"/>
  <c r="G654" i="2"/>
  <c r="Z654" i="2"/>
  <c r="AL654" i="2"/>
  <c r="AD654" i="2"/>
  <c r="V654" i="2"/>
  <c r="N654" i="2"/>
  <c r="F654" i="2"/>
  <c r="Z648" i="2"/>
  <c r="R648" i="2"/>
  <c r="J648" i="2"/>
  <c r="AH654" i="2"/>
  <c r="AK654" i="2"/>
  <c r="AC654" i="2"/>
  <c r="U654" i="2"/>
  <c r="M654" i="2"/>
  <c r="E654" i="2"/>
  <c r="AG648" i="2"/>
  <c r="Y648" i="2"/>
  <c r="Q648" i="2"/>
  <c r="I648" i="2"/>
  <c r="AI641" i="2"/>
  <c r="AL648" i="2"/>
  <c r="AD648" i="2"/>
  <c r="V648" i="2"/>
  <c r="N648" i="2"/>
  <c r="F648" i="2"/>
  <c r="S641" i="2"/>
  <c r="W648" i="2"/>
  <c r="G635" i="2"/>
  <c r="AJ648" i="2"/>
  <c r="AB648" i="2"/>
  <c r="T648" i="2"/>
  <c r="L648" i="2"/>
  <c r="D648" i="2"/>
  <c r="AE648" i="2"/>
  <c r="AI648" i="2"/>
  <c r="AA648" i="2"/>
  <c r="S648" i="2"/>
  <c r="K648" i="2"/>
  <c r="C648" i="2"/>
  <c r="C635" i="2"/>
  <c r="G648" i="2"/>
  <c r="O635" i="2"/>
  <c r="O648" i="2"/>
  <c r="W635" i="2"/>
  <c r="K641" i="2"/>
  <c r="AF648" i="2"/>
  <c r="X648" i="2"/>
  <c r="P648" i="2"/>
  <c r="H648" i="2"/>
  <c r="AF635" i="2"/>
  <c r="X635" i="2"/>
  <c r="P635" i="2"/>
  <c r="H635" i="2"/>
  <c r="AK641" i="2"/>
  <c r="AC641" i="2"/>
  <c r="U641" i="2"/>
  <c r="M641" i="2"/>
  <c r="E641" i="2"/>
  <c r="AG635" i="2"/>
  <c r="Y635" i="2"/>
  <c r="Q635" i="2"/>
  <c r="I635" i="2"/>
  <c r="AH641" i="2"/>
  <c r="Z641" i="2"/>
  <c r="R641" i="2"/>
  <c r="J641" i="2"/>
  <c r="AL635" i="2"/>
  <c r="AD635" i="2"/>
  <c r="V635" i="2"/>
  <c r="N635" i="2"/>
  <c r="F635" i="2"/>
  <c r="AG641" i="2"/>
  <c r="Y641" i="2"/>
  <c r="Q641" i="2"/>
  <c r="I641" i="2"/>
  <c r="AK635" i="2"/>
  <c r="AC635" i="2"/>
  <c r="U635" i="2"/>
  <c r="M635" i="2"/>
  <c r="E635" i="2"/>
  <c r="E662" i="2" s="1"/>
  <c r="AJ641" i="2"/>
  <c r="AB641" i="2"/>
  <c r="T641" i="2"/>
  <c r="L641" i="2"/>
  <c r="AF641" i="2"/>
  <c r="X641" i="2"/>
  <c r="P641" i="2"/>
  <c r="H641" i="2"/>
  <c r="AJ635" i="2"/>
  <c r="AB635" i="2"/>
  <c r="T635" i="2"/>
  <c r="L635" i="2"/>
  <c r="D635" i="2"/>
  <c r="C641" i="2"/>
  <c r="AE641" i="2"/>
  <c r="W641" i="2"/>
  <c r="O641" i="2"/>
  <c r="G641" i="2"/>
  <c r="AI635" i="2"/>
  <c r="AI662" i="2" s="1"/>
  <c r="AA635" i="2"/>
  <c r="S635" i="2"/>
  <c r="S662" i="2" s="1"/>
  <c r="K635" i="2"/>
  <c r="D641" i="2"/>
  <c r="AL641" i="2"/>
  <c r="AD641" i="2"/>
  <c r="V641" i="2"/>
  <c r="N641" i="2"/>
  <c r="F641" i="2"/>
  <c r="AH635" i="2"/>
  <c r="Z635" i="2"/>
  <c r="R635" i="2"/>
  <c r="J635" i="2"/>
  <c r="AE630" i="2"/>
  <c r="AL607" i="2"/>
  <c r="AD607" i="2"/>
  <c r="V607" i="2"/>
  <c r="N607" i="2"/>
  <c r="F607" i="2"/>
  <c r="AI626" i="2"/>
  <c r="AA626" i="2"/>
  <c r="S626" i="2"/>
  <c r="K626" i="2"/>
  <c r="AE627" i="2"/>
  <c r="W627" i="2"/>
  <c r="O627" i="2"/>
  <c r="G627" i="2"/>
  <c r="AH626" i="2"/>
  <c r="Z626" i="2"/>
  <c r="R626" i="2"/>
  <c r="J626" i="2"/>
  <c r="C626" i="2"/>
  <c r="C629" i="2"/>
  <c r="AI620" i="2"/>
  <c r="AA620" i="2"/>
  <c r="S620" i="2"/>
  <c r="K620" i="2"/>
  <c r="AL620" i="2"/>
  <c r="AD620" i="2"/>
  <c r="V620" i="2"/>
  <c r="N620" i="2"/>
  <c r="F620" i="2"/>
  <c r="AK614" i="2"/>
  <c r="AC614" i="2"/>
  <c r="U614" i="2"/>
  <c r="M614" i="2"/>
  <c r="E614" i="2"/>
  <c r="AJ607" i="2"/>
  <c r="AB607" i="2"/>
  <c r="T607" i="2"/>
  <c r="L607" i="2"/>
  <c r="D607" i="2"/>
  <c r="W630" i="2"/>
  <c r="O630" i="2"/>
  <c r="G630" i="2"/>
  <c r="AH629" i="2"/>
  <c r="Z629" i="2"/>
  <c r="R629" i="2"/>
  <c r="J629" i="2"/>
  <c r="AL627" i="2"/>
  <c r="AD627" i="2"/>
  <c r="V627" i="2"/>
  <c r="N627" i="2"/>
  <c r="F627" i="2"/>
  <c r="AG626" i="2"/>
  <c r="Y626" i="2"/>
  <c r="Q626" i="2"/>
  <c r="I626" i="2"/>
  <c r="AE629" i="2"/>
  <c r="W629" i="2"/>
  <c r="O629" i="2"/>
  <c r="G629" i="2"/>
  <c r="AL626" i="2"/>
  <c r="AD626" i="2"/>
  <c r="V626" i="2"/>
  <c r="N626" i="2"/>
  <c r="F626" i="2"/>
  <c r="AG630" i="2"/>
  <c r="Y630" i="2"/>
  <c r="Q630" i="2"/>
  <c r="I630" i="2"/>
  <c r="AJ629" i="2"/>
  <c r="AB629" i="2"/>
  <c r="T629" i="2"/>
  <c r="L629" i="2"/>
  <c r="D629" i="2"/>
  <c r="AF627" i="2"/>
  <c r="X627" i="2"/>
  <c r="P627" i="2"/>
  <c r="H627" i="2"/>
  <c r="C630" i="2"/>
  <c r="AL630" i="2"/>
  <c r="AD630" i="2"/>
  <c r="V630" i="2"/>
  <c r="N630" i="2"/>
  <c r="F630" i="2"/>
  <c r="AG629" i="2"/>
  <c r="Y629" i="2"/>
  <c r="Q629" i="2"/>
  <c r="I629" i="2"/>
  <c r="AK627" i="2"/>
  <c r="AC627" i="2"/>
  <c r="U627" i="2"/>
  <c r="M627" i="2"/>
  <c r="E627" i="2"/>
  <c r="AF626" i="2"/>
  <c r="X626" i="2"/>
  <c r="P626" i="2"/>
  <c r="H626" i="2"/>
  <c r="AJ627" i="2"/>
  <c r="AB627" i="2"/>
  <c r="T627" i="2"/>
  <c r="L627" i="2"/>
  <c r="D627" i="2"/>
  <c r="AE626" i="2"/>
  <c r="W626" i="2"/>
  <c r="O626" i="2"/>
  <c r="G626" i="2"/>
  <c r="AJ630" i="2"/>
  <c r="AB630" i="2"/>
  <c r="T630" i="2"/>
  <c r="L630" i="2"/>
  <c r="D630" i="2"/>
  <c r="AI627" i="2"/>
  <c r="AA627" i="2"/>
  <c r="S627" i="2"/>
  <c r="K627" i="2"/>
  <c r="AK630" i="2"/>
  <c r="U630" i="2"/>
  <c r="E630" i="2"/>
  <c r="X629" i="2"/>
  <c r="P629" i="2"/>
  <c r="AI630" i="2"/>
  <c r="AA630" i="2"/>
  <c r="S630" i="2"/>
  <c r="K630" i="2"/>
  <c r="AL629" i="2"/>
  <c r="AD629" i="2"/>
  <c r="V629" i="2"/>
  <c r="N629" i="2"/>
  <c r="F629" i="2"/>
  <c r="AH627" i="2"/>
  <c r="Z627" i="2"/>
  <c r="R627" i="2"/>
  <c r="J627" i="2"/>
  <c r="AK626" i="2"/>
  <c r="AC626" i="2"/>
  <c r="U626" i="2"/>
  <c r="M626" i="2"/>
  <c r="E626" i="2"/>
  <c r="AC630" i="2"/>
  <c r="M630" i="2"/>
  <c r="AF629" i="2"/>
  <c r="H629" i="2"/>
  <c r="AE607" i="2"/>
  <c r="W607" i="2"/>
  <c r="O607" i="2"/>
  <c r="G607" i="2"/>
  <c r="AH630" i="2"/>
  <c r="Z630" i="2"/>
  <c r="R630" i="2"/>
  <c r="J630" i="2"/>
  <c r="AK629" i="2"/>
  <c r="AC629" i="2"/>
  <c r="U629" i="2"/>
  <c r="M629" i="2"/>
  <c r="E629" i="2"/>
  <c r="AG627" i="2"/>
  <c r="Y627" i="2"/>
  <c r="Q627" i="2"/>
  <c r="I627" i="2"/>
  <c r="AJ626" i="2"/>
  <c r="AB626" i="2"/>
  <c r="T626" i="2"/>
  <c r="L626" i="2"/>
  <c r="D626" i="2"/>
  <c r="AF630" i="2"/>
  <c r="X630" i="2"/>
  <c r="P630" i="2"/>
  <c r="H630" i="2"/>
  <c r="AI629" i="2"/>
  <c r="AA629" i="2"/>
  <c r="S629" i="2"/>
  <c r="K629" i="2"/>
  <c r="AE620" i="2"/>
  <c r="W620" i="2"/>
  <c r="O620" i="2"/>
  <c r="G620" i="2"/>
  <c r="AH607" i="2"/>
  <c r="Z607" i="2"/>
  <c r="R607" i="2"/>
  <c r="J607" i="2"/>
  <c r="AK607" i="2"/>
  <c r="AC607" i="2"/>
  <c r="U607" i="2"/>
  <c r="M607" i="2"/>
  <c r="E607" i="2"/>
  <c r="AF620" i="2"/>
  <c r="AI607" i="2"/>
  <c r="AA607" i="2"/>
  <c r="S607" i="2"/>
  <c r="K607" i="2"/>
  <c r="H620" i="2"/>
  <c r="P620" i="2"/>
  <c r="C607" i="2"/>
  <c r="AG607" i="2"/>
  <c r="Y607" i="2"/>
  <c r="Q607" i="2"/>
  <c r="I607" i="2"/>
  <c r="AF607" i="2"/>
  <c r="X607" i="2"/>
  <c r="P607" i="2"/>
  <c r="H607" i="2"/>
  <c r="X620" i="2"/>
  <c r="C627" i="2"/>
  <c r="C620" i="2"/>
  <c r="AK620" i="2"/>
  <c r="AC620" i="2"/>
  <c r="U620" i="2"/>
  <c r="M620" i="2"/>
  <c r="E620" i="2"/>
  <c r="AJ614" i="2"/>
  <c r="AB614" i="2"/>
  <c r="T614" i="2"/>
  <c r="L614" i="2"/>
  <c r="D614" i="2"/>
  <c r="AJ620" i="2"/>
  <c r="AB620" i="2"/>
  <c r="T620" i="2"/>
  <c r="L620" i="2"/>
  <c r="D620" i="2"/>
  <c r="AH620" i="2"/>
  <c r="Z620" i="2"/>
  <c r="R620" i="2"/>
  <c r="J620" i="2"/>
  <c r="C601" i="2"/>
  <c r="AG620" i="2"/>
  <c r="Y620" i="2"/>
  <c r="Q620" i="2"/>
  <c r="I620" i="2"/>
  <c r="AI614" i="2"/>
  <c r="AA614" i="2"/>
  <c r="S614" i="2"/>
  <c r="K614" i="2"/>
  <c r="AE614" i="2"/>
  <c r="W614" i="2"/>
  <c r="O614" i="2"/>
  <c r="G614" i="2"/>
  <c r="AH614" i="2"/>
  <c r="Z614" i="2"/>
  <c r="R614" i="2"/>
  <c r="J614" i="2"/>
  <c r="AH601" i="2"/>
  <c r="Z601" i="2"/>
  <c r="R601" i="2"/>
  <c r="J601" i="2"/>
  <c r="AF601" i="2"/>
  <c r="X601" i="2"/>
  <c r="P601" i="2"/>
  <c r="H601" i="2"/>
  <c r="I614" i="2"/>
  <c r="H614" i="2"/>
  <c r="Y614" i="2"/>
  <c r="P614" i="2"/>
  <c r="AG614" i="2"/>
  <c r="Q614" i="2"/>
  <c r="AF614" i="2"/>
  <c r="X614" i="2"/>
  <c r="C614" i="2"/>
  <c r="AL614" i="2"/>
  <c r="AD614" i="2"/>
  <c r="V614" i="2"/>
  <c r="N614" i="2"/>
  <c r="F614" i="2"/>
  <c r="AE601" i="2"/>
  <c r="W601" i="2"/>
  <c r="O601" i="2"/>
  <c r="G601" i="2"/>
  <c r="AK601" i="2"/>
  <c r="AC601" i="2"/>
  <c r="U601" i="2"/>
  <c r="M601" i="2"/>
  <c r="E601" i="2"/>
  <c r="AL601" i="2"/>
  <c r="AD601" i="2"/>
  <c r="V601" i="2"/>
  <c r="N601" i="2"/>
  <c r="F601" i="2"/>
  <c r="AG601" i="2"/>
  <c r="Y601" i="2"/>
  <c r="Q601" i="2"/>
  <c r="I601" i="2"/>
  <c r="AJ601" i="2"/>
  <c r="AB601" i="2"/>
  <c r="T601" i="2"/>
  <c r="L601" i="2"/>
  <c r="D601" i="2"/>
  <c r="AI601" i="2"/>
  <c r="AA601" i="2"/>
  <c r="S601" i="2"/>
  <c r="K601" i="2"/>
  <c r="AA662" i="2" l="1"/>
  <c r="K662" i="2"/>
  <c r="M662" i="2"/>
  <c r="P665" i="2"/>
  <c r="AL665" i="2"/>
  <c r="I662" i="2"/>
  <c r="AK665" i="2"/>
  <c r="AD665" i="2"/>
  <c r="AC665" i="2"/>
  <c r="X665" i="2"/>
  <c r="AH662" i="2"/>
  <c r="D662" i="2"/>
  <c r="AF665" i="2"/>
  <c r="N662" i="2"/>
  <c r="Q662" i="2"/>
  <c r="L662" i="2"/>
  <c r="AG662" i="2"/>
  <c r="G665" i="2"/>
  <c r="J665" i="2"/>
  <c r="R662" i="2"/>
  <c r="D665" i="2"/>
  <c r="AH665" i="2"/>
  <c r="V662" i="2"/>
  <c r="H662" i="2"/>
  <c r="K665" i="2"/>
  <c r="L665" i="2"/>
  <c r="Z662" i="2"/>
  <c r="T662" i="2"/>
  <c r="I665" i="2"/>
  <c r="X662" i="2"/>
  <c r="C665" i="2"/>
  <c r="O665" i="2"/>
  <c r="AJ665" i="2"/>
  <c r="U662" i="2"/>
  <c r="AJ662" i="2"/>
  <c r="AE665" i="2"/>
  <c r="F662" i="2"/>
  <c r="AC662" i="2"/>
  <c r="F665" i="2"/>
  <c r="AK662" i="2"/>
  <c r="AD662" i="2"/>
  <c r="Y662" i="2"/>
  <c r="G662" i="2"/>
  <c r="AI665" i="2"/>
  <c r="N665" i="2"/>
  <c r="T665" i="2"/>
  <c r="AL662" i="2"/>
  <c r="V665" i="2"/>
  <c r="AB662" i="2"/>
  <c r="AB665" i="2"/>
  <c r="Q665" i="2"/>
  <c r="E665" i="2"/>
  <c r="AF662" i="2"/>
  <c r="O662" i="2"/>
  <c r="S665" i="2"/>
  <c r="J662" i="2"/>
  <c r="W665" i="2"/>
  <c r="H665" i="2"/>
  <c r="AG665" i="2"/>
  <c r="Z665" i="2"/>
  <c r="U665" i="2"/>
  <c r="C662" i="2"/>
  <c r="AE662" i="2"/>
  <c r="AA665" i="2"/>
  <c r="P662" i="2"/>
  <c r="W662" i="2"/>
  <c r="Y665" i="2"/>
  <c r="R665" i="2"/>
  <c r="M665" i="2"/>
  <c r="U628" i="2"/>
  <c r="T631" i="2"/>
  <c r="L631" i="2"/>
  <c r="P631" i="2"/>
  <c r="I631" i="2"/>
  <c r="S631" i="2"/>
  <c r="F631" i="2"/>
  <c r="M628" i="2"/>
  <c r="K631" i="2"/>
  <c r="N631" i="2"/>
  <c r="V631" i="2"/>
  <c r="AD631" i="2"/>
  <c r="AL631" i="2"/>
  <c r="AA628" i="2"/>
  <c r="Q628" i="2"/>
  <c r="E628" i="2"/>
  <c r="AJ631" i="2"/>
  <c r="O631" i="2"/>
  <c r="AE631" i="2"/>
  <c r="AA631" i="2"/>
  <c r="AK628" i="2"/>
  <c r="AI631" i="2"/>
  <c r="G631" i="2"/>
  <c r="W631" i="2"/>
  <c r="AC628" i="2"/>
  <c r="D631" i="2"/>
  <c r="Z628" i="2"/>
  <c r="K628" i="2"/>
  <c r="AB631" i="2"/>
  <c r="AG628" i="2"/>
  <c r="T628" i="2"/>
  <c r="AB628" i="2"/>
  <c r="V628" i="2"/>
  <c r="G628" i="2"/>
  <c r="AG631" i="2"/>
  <c r="Z631" i="2"/>
  <c r="C631" i="2"/>
  <c r="L628" i="2"/>
  <c r="AD628" i="2"/>
  <c r="AH628" i="2"/>
  <c r="AE628" i="2"/>
  <c r="P628" i="2"/>
  <c r="O628" i="2"/>
  <c r="AH631" i="2"/>
  <c r="AI628" i="2"/>
  <c r="Y628" i="2"/>
  <c r="X628" i="2"/>
  <c r="AJ628" i="2"/>
  <c r="H631" i="2"/>
  <c r="E631" i="2"/>
  <c r="S628" i="2"/>
  <c r="I628" i="2"/>
  <c r="AL628" i="2"/>
  <c r="W628" i="2"/>
  <c r="H628" i="2"/>
  <c r="C628" i="2"/>
  <c r="M631" i="2"/>
  <c r="AF628" i="2"/>
  <c r="AK631" i="2"/>
  <c r="U631" i="2"/>
  <c r="AF631" i="2"/>
  <c r="AC631" i="2"/>
  <c r="D628" i="2"/>
  <c r="F628" i="2"/>
  <c r="J628" i="2"/>
  <c r="Q631" i="2"/>
  <c r="J631" i="2"/>
  <c r="X631" i="2"/>
  <c r="N628" i="2"/>
  <c r="R628" i="2"/>
  <c r="Y631" i="2"/>
  <c r="R631" i="2"/>
  <c r="C587" i="2" l="1"/>
  <c r="D587" i="2"/>
  <c r="E587" i="2"/>
  <c r="F587" i="2"/>
  <c r="C589" i="2"/>
  <c r="D589" i="2"/>
  <c r="E589" i="2"/>
  <c r="F589" i="2"/>
  <c r="C590" i="2"/>
  <c r="D590" i="2"/>
  <c r="E590" i="2"/>
  <c r="F590" i="2"/>
  <c r="C592" i="2"/>
  <c r="D592" i="2"/>
  <c r="E592" i="2"/>
  <c r="F592" i="2"/>
  <c r="C594" i="2"/>
  <c r="D594" i="2"/>
  <c r="E594" i="2"/>
  <c r="F594" i="2"/>
  <c r="C593" i="2"/>
  <c r="D593" i="2"/>
  <c r="E593" i="2"/>
  <c r="F593" i="2"/>
  <c r="E596" i="2" l="1"/>
  <c r="F596" i="2"/>
  <c r="D595" i="2"/>
  <c r="E597" i="2"/>
  <c r="C595" i="2"/>
  <c r="C588" i="2"/>
  <c r="E591" i="2"/>
  <c r="C586" i="2"/>
  <c r="F597" i="2"/>
  <c r="F591" i="2"/>
  <c r="D597" i="2"/>
  <c r="D596" i="2"/>
  <c r="F595" i="2"/>
  <c r="F588" i="2"/>
  <c r="D591" i="2"/>
  <c r="F586" i="2"/>
  <c r="D586" i="2"/>
  <c r="C597" i="2"/>
  <c r="C596" i="2"/>
  <c r="E595" i="2"/>
  <c r="E588" i="2"/>
  <c r="C591" i="2"/>
  <c r="E586" i="2"/>
  <c r="D588" i="2"/>
  <c r="D387" i="2"/>
  <c r="T390" i="2"/>
  <c r="L392" i="2"/>
  <c r="AB388" i="2"/>
  <c r="X393" i="2"/>
  <c r="P393" i="2"/>
  <c r="AJ392" i="2"/>
  <c r="AB392" i="2"/>
  <c r="T392" i="2"/>
  <c r="AF391" i="2"/>
  <c r="X391" i="2"/>
  <c r="H391" i="2"/>
  <c r="AJ390" i="2"/>
  <c r="AB390" i="2"/>
  <c r="D390" i="2"/>
  <c r="AF389" i="2"/>
  <c r="P389" i="2"/>
  <c r="H389" i="2"/>
  <c r="AJ388" i="2"/>
  <c r="L388" i="2"/>
  <c r="D388" i="2"/>
  <c r="X387" i="2"/>
  <c r="P387" i="2"/>
  <c r="H387" i="2"/>
  <c r="AF393" i="2"/>
  <c r="H393" i="2"/>
  <c r="D392" i="2"/>
  <c r="P391" i="2"/>
  <c r="L390" i="2"/>
  <c r="X389" i="2"/>
  <c r="T388" i="2"/>
  <c r="AF387" i="2"/>
  <c r="AE387" i="2"/>
  <c r="W387" i="2"/>
  <c r="O387" i="2"/>
  <c r="G387" i="2"/>
  <c r="AI393" i="2"/>
  <c r="AA393" i="2"/>
  <c r="S393" i="2"/>
  <c r="K393" i="2"/>
  <c r="C393" i="2"/>
  <c r="AE392" i="2"/>
  <c r="W392" i="2"/>
  <c r="O392" i="2"/>
  <c r="G392" i="2"/>
  <c r="AI391" i="2"/>
  <c r="AA391" i="2"/>
  <c r="S391" i="2"/>
  <c r="K391" i="2"/>
  <c r="C391" i="2"/>
  <c r="AE390" i="2"/>
  <c r="W390" i="2"/>
  <c r="O390" i="2"/>
  <c r="G390" i="2"/>
  <c r="AI389" i="2"/>
  <c r="AA389" i="2"/>
  <c r="S389" i="2"/>
  <c r="K389" i="2"/>
  <c r="C389" i="2"/>
  <c r="AE388" i="2"/>
  <c r="W388" i="2"/>
  <c r="O388" i="2"/>
  <c r="G388" i="2"/>
  <c r="AI387" i="2"/>
  <c r="AA387" i="2"/>
  <c r="S387" i="2"/>
  <c r="K387" i="2"/>
  <c r="AH393" i="2"/>
  <c r="Z393" i="2"/>
  <c r="R393" i="2"/>
  <c r="J393" i="2"/>
  <c r="AL392" i="2"/>
  <c r="AD392" i="2"/>
  <c r="V392" i="2"/>
  <c r="N392" i="2"/>
  <c r="F392" i="2"/>
  <c r="AH391" i="2"/>
  <c r="Z391" i="2"/>
  <c r="R391" i="2"/>
  <c r="J391" i="2"/>
  <c r="AL390" i="2"/>
  <c r="AD390" i="2"/>
  <c r="V390" i="2"/>
  <c r="N390" i="2"/>
  <c r="F390" i="2"/>
  <c r="AH389" i="2"/>
  <c r="Z389" i="2"/>
  <c r="R389" i="2"/>
  <c r="J389" i="2"/>
  <c r="AL388" i="2"/>
  <c r="AD388" i="2"/>
  <c r="V388" i="2"/>
  <c r="N388" i="2"/>
  <c r="F388" i="2"/>
  <c r="AH387" i="2"/>
  <c r="Z387" i="2"/>
  <c r="R387" i="2"/>
  <c r="J387" i="2"/>
  <c r="AG393" i="2"/>
  <c r="Y393" i="2"/>
  <c r="Q393" i="2"/>
  <c r="I393" i="2"/>
  <c r="AK392" i="2"/>
  <c r="AC392" i="2"/>
  <c r="U392" i="2"/>
  <c r="M392" i="2"/>
  <c r="E392" i="2"/>
  <c r="AG391" i="2"/>
  <c r="Y391" i="2"/>
  <c r="Q391" i="2"/>
  <c r="I391" i="2"/>
  <c r="AK390" i="2"/>
  <c r="AC390" i="2"/>
  <c r="U390" i="2"/>
  <c r="M390" i="2"/>
  <c r="E390" i="2"/>
  <c r="AG389" i="2"/>
  <c r="Y389" i="2"/>
  <c r="Q389" i="2"/>
  <c r="I389" i="2"/>
  <c r="AK388" i="2"/>
  <c r="AC388" i="2"/>
  <c r="U388" i="2"/>
  <c r="M388" i="2"/>
  <c r="E388" i="2"/>
  <c r="AG387" i="2"/>
  <c r="Y387" i="2"/>
  <c r="Q387" i="2"/>
  <c r="I387" i="2"/>
  <c r="AJ389" i="2"/>
  <c r="AB389" i="2"/>
  <c r="T389" i="2"/>
  <c r="L389" i="2"/>
  <c r="D389" i="2"/>
  <c r="AF388" i="2"/>
  <c r="X388" i="2"/>
  <c r="P388" i="2"/>
  <c r="H388" i="2"/>
  <c r="AJ387" i="2"/>
  <c r="AB387" i="2"/>
  <c r="T387" i="2"/>
  <c r="L387" i="2"/>
  <c r="C387" i="2"/>
  <c r="AE393" i="2"/>
  <c r="W393" i="2"/>
  <c r="O393" i="2"/>
  <c r="G393" i="2"/>
  <c r="AI392" i="2"/>
  <c r="AA392" i="2"/>
  <c r="S392" i="2"/>
  <c r="K392" i="2"/>
  <c r="C392" i="2"/>
  <c r="AE391" i="2"/>
  <c r="W391" i="2"/>
  <c r="O391" i="2"/>
  <c r="G391" i="2"/>
  <c r="AI390" i="2"/>
  <c r="AA390" i="2"/>
  <c r="S390" i="2"/>
  <c r="K390" i="2"/>
  <c r="C390" i="2"/>
  <c r="AE389" i="2"/>
  <c r="W389" i="2"/>
  <c r="O389" i="2"/>
  <c r="G389" i="2"/>
  <c r="AI388" i="2"/>
  <c r="AA388" i="2"/>
  <c r="S388" i="2"/>
  <c r="K388" i="2"/>
  <c r="C388" i="2"/>
  <c r="AL393" i="2"/>
  <c r="AD393" i="2"/>
  <c r="V393" i="2"/>
  <c r="N393" i="2"/>
  <c r="F393" i="2"/>
  <c r="AH392" i="2"/>
  <c r="Z392" i="2"/>
  <c r="R392" i="2"/>
  <c r="J392" i="2"/>
  <c r="AL391" i="2"/>
  <c r="AD391" i="2"/>
  <c r="V391" i="2"/>
  <c r="N391" i="2"/>
  <c r="F391" i="2"/>
  <c r="AH390" i="2"/>
  <c r="Z390" i="2"/>
  <c r="R390" i="2"/>
  <c r="J390" i="2"/>
  <c r="AL389" i="2"/>
  <c r="AD389" i="2"/>
  <c r="V389" i="2"/>
  <c r="N389" i="2"/>
  <c r="F389" i="2"/>
  <c r="AH388" i="2"/>
  <c r="Z388" i="2"/>
  <c r="R388" i="2"/>
  <c r="J388" i="2"/>
  <c r="AL387" i="2"/>
  <c r="AD387" i="2"/>
  <c r="V387" i="2"/>
  <c r="N387" i="2"/>
  <c r="F387" i="2"/>
  <c r="AK393" i="2"/>
  <c r="AC393" i="2"/>
  <c r="U393" i="2"/>
  <c r="M393" i="2"/>
  <c r="E393" i="2"/>
  <c r="AG392" i="2"/>
  <c r="Y392" i="2"/>
  <c r="Q392" i="2"/>
  <c r="I392" i="2"/>
  <c r="AK391" i="2"/>
  <c r="AC391" i="2"/>
  <c r="U391" i="2"/>
  <c r="M391" i="2"/>
  <c r="E391" i="2"/>
  <c r="AG390" i="2"/>
  <c r="Y390" i="2"/>
  <c r="Q390" i="2"/>
  <c r="I390" i="2"/>
  <c r="AK389" i="2"/>
  <c r="AC389" i="2"/>
  <c r="U389" i="2"/>
  <c r="M389" i="2"/>
  <c r="E389" i="2"/>
  <c r="AG388" i="2"/>
  <c r="Y388" i="2"/>
  <c r="Q388" i="2"/>
  <c r="I388" i="2"/>
  <c r="AK387" i="2"/>
  <c r="AC387" i="2"/>
  <c r="U387" i="2"/>
  <c r="M387" i="2"/>
  <c r="E387" i="2"/>
  <c r="AJ393" i="2"/>
  <c r="AB393" i="2"/>
  <c r="T393" i="2"/>
  <c r="L393" i="2"/>
  <c r="D393" i="2"/>
  <c r="AF392" i="2"/>
  <c r="X392" i="2"/>
  <c r="P392" i="2"/>
  <c r="H392" i="2"/>
  <c r="AJ391" i="2"/>
  <c r="AB391" i="2"/>
  <c r="T391" i="2"/>
  <c r="L391" i="2"/>
  <c r="D391" i="2"/>
  <c r="AF390" i="2"/>
  <c r="X390" i="2"/>
  <c r="P390" i="2"/>
  <c r="H390" i="2"/>
  <c r="AF362" i="2"/>
  <c r="X362" i="2"/>
  <c r="P362" i="2"/>
  <c r="H362" i="2"/>
  <c r="AJ361" i="2"/>
  <c r="AB361" i="2"/>
  <c r="T361" i="2"/>
  <c r="L361" i="2"/>
  <c r="D361" i="2"/>
  <c r="AF360" i="2"/>
  <c r="X360" i="2"/>
  <c r="P360" i="2"/>
  <c r="H360" i="2"/>
  <c r="AJ359" i="2"/>
  <c r="AB359" i="2"/>
  <c r="T359" i="2"/>
  <c r="L359" i="2"/>
  <c r="D359" i="2"/>
  <c r="AF358" i="2"/>
  <c r="X358" i="2"/>
  <c r="P358" i="2"/>
  <c r="H358" i="2"/>
  <c r="O359" i="2"/>
  <c r="AI358" i="2"/>
  <c r="U361" i="2"/>
  <c r="M361" i="2"/>
  <c r="E361" i="2"/>
  <c r="AG360" i="2"/>
  <c r="Y360" i="2"/>
  <c r="Q360" i="2"/>
  <c r="I360" i="2"/>
  <c r="AK359" i="2"/>
  <c r="AC359" i="2"/>
  <c r="U359" i="2"/>
  <c r="M359" i="2"/>
  <c r="E359" i="2"/>
  <c r="AG358" i="2"/>
  <c r="Y358" i="2"/>
  <c r="Q358" i="2"/>
  <c r="I358" i="2"/>
  <c r="AK357" i="2"/>
  <c r="AC357" i="2"/>
  <c r="U357" i="2"/>
  <c r="M357" i="2"/>
  <c r="E357" i="2"/>
  <c r="AG356" i="2"/>
  <c r="Y356" i="2"/>
  <c r="Q356" i="2"/>
  <c r="I356" i="2"/>
  <c r="S362" i="2"/>
  <c r="K362" i="2"/>
  <c r="W357" i="2"/>
  <c r="G357" i="2"/>
  <c r="G361" i="2"/>
  <c r="AA360" i="2"/>
  <c r="S360" i="2"/>
  <c r="AA358" i="2"/>
  <c r="AI356" i="2"/>
  <c r="AI362" i="2"/>
  <c r="AA362" i="2"/>
  <c r="C362" i="2"/>
  <c r="AE361" i="2"/>
  <c r="W361" i="2"/>
  <c r="O361" i="2"/>
  <c r="AI360" i="2"/>
  <c r="K360" i="2"/>
  <c r="C360" i="2"/>
  <c r="AE359" i="2"/>
  <c r="W359" i="2"/>
  <c r="G359" i="2"/>
  <c r="S358" i="2"/>
  <c r="K358" i="2"/>
  <c r="C358" i="2"/>
  <c r="AE357" i="2"/>
  <c r="O357" i="2"/>
  <c r="AA356" i="2"/>
  <c r="S356" i="2"/>
  <c r="K356" i="2"/>
  <c r="C356" i="2"/>
  <c r="AL356" i="2"/>
  <c r="V362" i="2"/>
  <c r="Z361" i="2"/>
  <c r="AD360" i="2"/>
  <c r="N360" i="2"/>
  <c r="J359" i="2"/>
  <c r="V358" i="2"/>
  <c r="AH357" i="2"/>
  <c r="J357" i="2"/>
  <c r="N356" i="2"/>
  <c r="AK362" i="2"/>
  <c r="AC362" i="2"/>
  <c r="U362" i="2"/>
  <c r="M362" i="2"/>
  <c r="E362" i="2"/>
  <c r="AG361" i="2"/>
  <c r="Y361" i="2"/>
  <c r="Q361" i="2"/>
  <c r="I361" i="2"/>
  <c r="AK360" i="2"/>
  <c r="AC360" i="2"/>
  <c r="U360" i="2"/>
  <c r="M360" i="2"/>
  <c r="E360" i="2"/>
  <c r="F362" i="2"/>
  <c r="J361" i="2"/>
  <c r="AH359" i="2"/>
  <c r="AL358" i="2"/>
  <c r="Z357" i="2"/>
  <c r="N362" i="2"/>
  <c r="R361" i="2"/>
  <c r="V360" i="2"/>
  <c r="F360" i="2"/>
  <c r="R359" i="2"/>
  <c r="AD358" i="2"/>
  <c r="F358" i="2"/>
  <c r="R357" i="2"/>
  <c r="F356" i="2"/>
  <c r="AL362" i="2"/>
  <c r="AD356" i="2"/>
  <c r="AD362" i="2"/>
  <c r="AH361" i="2"/>
  <c r="AL360" i="2"/>
  <c r="Z359" i="2"/>
  <c r="N358" i="2"/>
  <c r="V356" i="2"/>
  <c r="AG359" i="2"/>
  <c r="Y359" i="2"/>
  <c r="Q359" i="2"/>
  <c r="I359" i="2"/>
  <c r="AK358" i="2"/>
  <c r="AC358" i="2"/>
  <c r="U358" i="2"/>
  <c r="M358" i="2"/>
  <c r="E358" i="2"/>
  <c r="AG357" i="2"/>
  <c r="Y357" i="2"/>
  <c r="Q357" i="2"/>
  <c r="I357" i="2"/>
  <c r="AK356" i="2"/>
  <c r="AC356" i="2"/>
  <c r="U356" i="2"/>
  <c r="M356" i="2"/>
  <c r="E356" i="2"/>
  <c r="AJ362" i="2"/>
  <c r="AB362" i="2"/>
  <c r="T362" i="2"/>
  <c r="L362" i="2"/>
  <c r="D362" i="2"/>
  <c r="AF361" i="2"/>
  <c r="X361" i="2"/>
  <c r="P361" i="2"/>
  <c r="H361" i="2"/>
  <c r="AJ360" i="2"/>
  <c r="AB360" i="2"/>
  <c r="T360" i="2"/>
  <c r="L360" i="2"/>
  <c r="D360" i="2"/>
  <c r="AF359" i="2"/>
  <c r="X359" i="2"/>
  <c r="P359" i="2"/>
  <c r="H359" i="2"/>
  <c r="AJ358" i="2"/>
  <c r="AB358" i="2"/>
  <c r="T358" i="2"/>
  <c r="L358" i="2"/>
  <c r="D358" i="2"/>
  <c r="AF357" i="2"/>
  <c r="X357" i="2"/>
  <c r="P357" i="2"/>
  <c r="H357" i="2"/>
  <c r="AJ356" i="2"/>
  <c r="AB356" i="2"/>
  <c r="T356" i="2"/>
  <c r="L356" i="2"/>
  <c r="D356" i="2"/>
  <c r="AH362" i="2"/>
  <c r="Z362" i="2"/>
  <c r="R362" i="2"/>
  <c r="J362" i="2"/>
  <c r="AL361" i="2"/>
  <c r="AD361" i="2"/>
  <c r="V361" i="2"/>
  <c r="N361" i="2"/>
  <c r="F361" i="2"/>
  <c r="AH360" i="2"/>
  <c r="Z360" i="2"/>
  <c r="R360" i="2"/>
  <c r="J360" i="2"/>
  <c r="AL359" i="2"/>
  <c r="AD359" i="2"/>
  <c r="V359" i="2"/>
  <c r="N359" i="2"/>
  <c r="F359" i="2"/>
  <c r="AH358" i="2"/>
  <c r="Z358" i="2"/>
  <c r="R358" i="2"/>
  <c r="J358" i="2"/>
  <c r="AL357" i="2"/>
  <c r="AD357" i="2"/>
  <c r="V357" i="2"/>
  <c r="N357" i="2"/>
  <c r="F357" i="2"/>
  <c r="AH356" i="2"/>
  <c r="Z356" i="2"/>
  <c r="R356" i="2"/>
  <c r="J356" i="2"/>
  <c r="AG362" i="2"/>
  <c r="Y362" i="2"/>
  <c r="Q362" i="2"/>
  <c r="I362" i="2"/>
  <c r="AK361" i="2"/>
  <c r="AC361" i="2"/>
  <c r="AE362" i="2"/>
  <c r="W362" i="2"/>
  <c r="O362" i="2"/>
  <c r="G362" i="2"/>
  <c r="AI361" i="2"/>
  <c r="AA361" i="2"/>
  <c r="S361" i="2"/>
  <c r="K361" i="2"/>
  <c r="C361" i="2"/>
  <c r="AE360" i="2"/>
  <c r="W360" i="2"/>
  <c r="O360" i="2"/>
  <c r="G360" i="2"/>
  <c r="AI359" i="2"/>
  <c r="AA359" i="2"/>
  <c r="S359" i="2"/>
  <c r="K359" i="2"/>
  <c r="C359" i="2"/>
  <c r="AE358" i="2"/>
  <c r="W358" i="2"/>
  <c r="O358" i="2"/>
  <c r="G358" i="2"/>
  <c r="AI357" i="2"/>
  <c r="AA357" i="2"/>
  <c r="S357" i="2"/>
  <c r="K357" i="2"/>
  <c r="C357" i="2"/>
  <c r="G356" i="2"/>
  <c r="O356" i="2"/>
  <c r="W356" i="2"/>
  <c r="AE356" i="2"/>
  <c r="H356" i="2"/>
  <c r="P356" i="2"/>
  <c r="X356" i="2"/>
  <c r="AF356" i="2"/>
  <c r="D357" i="2"/>
  <c r="L357" i="2"/>
  <c r="T357" i="2"/>
  <c r="AB357" i="2"/>
  <c r="AJ357" i="2"/>
  <c r="C292" i="2"/>
  <c r="C302" i="2"/>
  <c r="C312" i="2" s="1"/>
  <c r="E302" i="2"/>
  <c r="E312" i="2" s="1"/>
  <c r="D302" i="2"/>
  <c r="D312" i="2" s="1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C200" i="2" l="1"/>
  <c r="E151" i="2" l="1"/>
  <c r="E161" i="2" s="1"/>
  <c r="AL75" i="2" l="1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B65" i="2" l="1"/>
  <c r="B73" i="2" s="1"/>
  <c r="B64" i="2"/>
  <c r="B67" i="2" s="1"/>
  <c r="AG267" i="2" l="1"/>
  <c r="Y267" i="2"/>
  <c r="Y268" i="2"/>
  <c r="Q268" i="2"/>
  <c r="Q267" i="2"/>
  <c r="E267" i="2"/>
  <c r="AF269" i="2"/>
  <c r="AF267" i="2"/>
  <c r="AF268" i="2"/>
  <c r="P269" i="2"/>
  <c r="P267" i="2"/>
  <c r="P268" i="2"/>
  <c r="H269" i="2"/>
  <c r="H267" i="2"/>
  <c r="H268" i="2"/>
  <c r="I269" i="2"/>
  <c r="AB268" i="2" l="1"/>
  <c r="AJ267" i="2"/>
  <c r="E269" i="2"/>
  <c r="Y269" i="2"/>
  <c r="AD255" i="2"/>
  <c r="C268" i="2"/>
  <c r="AA267" i="2"/>
  <c r="Z255" i="2"/>
  <c r="U268" i="2"/>
  <c r="AK267" i="2"/>
  <c r="L267" i="2"/>
  <c r="X267" i="2"/>
  <c r="AG269" i="2"/>
  <c r="W267" i="2"/>
  <c r="AB269" i="2"/>
  <c r="K267" i="2"/>
  <c r="N267" i="2"/>
  <c r="V269" i="2"/>
  <c r="AH255" i="2"/>
  <c r="G267" i="2"/>
  <c r="I268" i="2"/>
  <c r="V267" i="2"/>
  <c r="L268" i="2"/>
  <c r="W269" i="2"/>
  <c r="AI269" i="2"/>
  <c r="I267" i="2"/>
  <c r="M267" i="2"/>
  <c r="M255" i="2"/>
  <c r="U255" i="2"/>
  <c r="N268" i="2"/>
  <c r="AH267" i="2"/>
  <c r="E237" i="2"/>
  <c r="AC269" i="2"/>
  <c r="C267" i="2"/>
  <c r="I255" i="2"/>
  <c r="P255" i="2"/>
  <c r="D237" i="2"/>
  <c r="E268" i="2"/>
  <c r="O268" i="2"/>
  <c r="S268" i="2"/>
  <c r="AK269" i="2"/>
  <c r="AH268" i="2"/>
  <c r="X268" i="2"/>
  <c r="AB255" i="2"/>
  <c r="O269" i="2"/>
  <c r="C269" i="2"/>
  <c r="C266" i="2"/>
  <c r="C246" i="2"/>
  <c r="O255" i="2"/>
  <c r="S255" i="2"/>
  <c r="W268" i="2"/>
  <c r="AA268" i="2"/>
  <c r="AE269" i="2"/>
  <c r="AE255" i="2"/>
  <c r="AI268" i="2"/>
  <c r="AI255" i="2"/>
  <c r="I266" i="2"/>
  <c r="I246" i="2"/>
  <c r="M268" i="2"/>
  <c r="V255" i="2"/>
  <c r="D269" i="2"/>
  <c r="T269" i="2"/>
  <c r="X255" i="2"/>
  <c r="AB266" i="2"/>
  <c r="AB246" i="2"/>
  <c r="AJ269" i="2"/>
  <c r="E255" i="2"/>
  <c r="Q269" i="2"/>
  <c r="J268" i="2"/>
  <c r="R268" i="2"/>
  <c r="C255" i="2"/>
  <c r="K268" i="2"/>
  <c r="O267" i="2"/>
  <c r="S267" i="2"/>
  <c r="AA269" i="2"/>
  <c r="U266" i="2"/>
  <c r="U246" i="2"/>
  <c r="V266" i="2"/>
  <c r="V246" i="2"/>
  <c r="D255" i="2"/>
  <c r="T255" i="2"/>
  <c r="J269" i="2"/>
  <c r="R269" i="2"/>
  <c r="AD266" i="2"/>
  <c r="AD246" i="2"/>
  <c r="AL268" i="2"/>
  <c r="G266" i="2"/>
  <c r="G246" i="2"/>
  <c r="K269" i="2"/>
  <c r="AA255" i="2"/>
  <c r="AE267" i="2"/>
  <c r="M266" i="2"/>
  <c r="M246" i="2"/>
  <c r="U269" i="2"/>
  <c r="N269" i="2"/>
  <c r="D267" i="2"/>
  <c r="T267" i="2"/>
  <c r="AJ255" i="2"/>
  <c r="F266" i="2"/>
  <c r="F246" i="2"/>
  <c r="Z266" i="2"/>
  <c r="Z246" i="2"/>
  <c r="AL269" i="2"/>
  <c r="G268" i="2"/>
  <c r="G255" i="2"/>
  <c r="K255" i="2"/>
  <c r="W255" i="2"/>
  <c r="AI267" i="2"/>
  <c r="AK268" i="2"/>
  <c r="V268" i="2"/>
  <c r="L255" i="2"/>
  <c r="Y266" i="2"/>
  <c r="Y246" i="2"/>
  <c r="F255" i="2"/>
  <c r="J255" i="2"/>
  <c r="J267" i="2"/>
  <c r="R267" i="2"/>
  <c r="AD268" i="2"/>
  <c r="AL255" i="2"/>
  <c r="G269" i="2"/>
  <c r="O266" i="2"/>
  <c r="O246" i="2"/>
  <c r="S266" i="2"/>
  <c r="S246" i="2"/>
  <c r="U267" i="2"/>
  <c r="AH266" i="2"/>
  <c r="AH246" i="2"/>
  <c r="H266" i="2"/>
  <c r="H246" i="2"/>
  <c r="H255" i="2"/>
  <c r="L266" i="2"/>
  <c r="L246" i="2"/>
  <c r="X266" i="2"/>
  <c r="X246" i="2"/>
  <c r="Q255" i="2"/>
  <c r="Y255" i="2"/>
  <c r="F268" i="2"/>
  <c r="C237" i="2"/>
  <c r="Z268" i="2"/>
  <c r="AD269" i="2"/>
  <c r="AL267" i="2"/>
  <c r="AE266" i="2"/>
  <c r="AE246" i="2"/>
  <c r="AC267" i="2"/>
  <c r="AC266" i="2"/>
  <c r="AC246" i="2"/>
  <c r="AK266" i="2"/>
  <c r="AK246" i="2"/>
  <c r="N255" i="2"/>
  <c r="D266" i="2"/>
  <c r="D246" i="2"/>
  <c r="P266" i="2"/>
  <c r="P246" i="2"/>
  <c r="T266" i="2"/>
  <c r="T246" i="2"/>
  <c r="AB267" i="2"/>
  <c r="AJ266" i="2"/>
  <c r="AJ246" i="2"/>
  <c r="AG266" i="2"/>
  <c r="AG246" i="2"/>
  <c r="AG268" i="2"/>
  <c r="AG255" i="2"/>
  <c r="F269" i="2"/>
  <c r="R255" i="2"/>
  <c r="Z269" i="2"/>
  <c r="W266" i="2"/>
  <c r="W246" i="2"/>
  <c r="AA266" i="2"/>
  <c r="AA246" i="2"/>
  <c r="AI266" i="2"/>
  <c r="AI246" i="2"/>
  <c r="AC268" i="2"/>
  <c r="AF266" i="2"/>
  <c r="AF246" i="2"/>
  <c r="AF255" i="2"/>
  <c r="E266" i="2"/>
  <c r="E246" i="2"/>
  <c r="Q266" i="2"/>
  <c r="Q246" i="2"/>
  <c r="J266" i="2"/>
  <c r="J246" i="2"/>
  <c r="R266" i="2"/>
  <c r="R246" i="2"/>
  <c r="AD267" i="2"/>
  <c r="K266" i="2"/>
  <c r="K246" i="2"/>
  <c r="S269" i="2"/>
  <c r="AE268" i="2"/>
  <c r="M269" i="2"/>
  <c r="AC255" i="2"/>
  <c r="AK255" i="2"/>
  <c r="N266" i="2"/>
  <c r="N246" i="2"/>
  <c r="AH269" i="2"/>
  <c r="D268" i="2"/>
  <c r="L269" i="2"/>
  <c r="T268" i="2"/>
  <c r="X269" i="2"/>
  <c r="AJ268" i="2"/>
  <c r="F267" i="2"/>
  <c r="Z267" i="2"/>
  <c r="AL266" i="2"/>
  <c r="AL246" i="2"/>
  <c r="AD265" i="2" l="1"/>
  <c r="AE265" i="2"/>
  <c r="I265" i="2"/>
  <c r="Z265" i="2"/>
  <c r="AB265" i="2"/>
  <c r="E265" i="2"/>
  <c r="P265" i="2"/>
  <c r="Y265" i="2"/>
  <c r="H265" i="2"/>
  <c r="M265" i="2"/>
  <c r="J265" i="2"/>
  <c r="AG265" i="2"/>
  <c r="AA265" i="2"/>
  <c r="T265" i="2"/>
  <c r="K265" i="2"/>
  <c r="W265" i="2"/>
  <c r="O265" i="2"/>
  <c r="U265" i="2"/>
  <c r="N265" i="2"/>
  <c r="AI265" i="2"/>
  <c r="AH265" i="2"/>
  <c r="V265" i="2"/>
  <c r="AJ265" i="2"/>
  <c r="X265" i="2"/>
  <c r="R265" i="2"/>
  <c r="D265" i="2"/>
  <c r="L265" i="2"/>
  <c r="AK265" i="2"/>
  <c r="G265" i="2"/>
  <c r="AC265" i="2"/>
  <c r="Q265" i="2"/>
  <c r="AF265" i="2"/>
  <c r="S265" i="2"/>
  <c r="AL265" i="2"/>
  <c r="C265" i="2"/>
  <c r="F265" i="2"/>
  <c r="AH60" i="2" l="1"/>
  <c r="AH65" i="2"/>
  <c r="AH64" i="2"/>
  <c r="AK65" i="2"/>
  <c r="AK64" i="2"/>
  <c r="AC60" i="2"/>
  <c r="AC65" i="2"/>
  <c r="U60" i="2"/>
  <c r="M65" i="2"/>
  <c r="M64" i="2"/>
  <c r="I60" i="2"/>
  <c r="I64" i="2"/>
  <c r="AI64" i="2"/>
  <c r="AE60" i="2"/>
  <c r="AE65" i="2"/>
  <c r="AE64" i="2"/>
  <c r="AA60" i="2"/>
  <c r="AA65" i="2"/>
  <c r="AA64" i="2"/>
  <c r="W60" i="2"/>
  <c r="W64" i="2"/>
  <c r="O65" i="2"/>
  <c r="O64" i="2"/>
  <c r="K60" i="2"/>
  <c r="S65" i="2" l="1"/>
  <c r="F64" i="2"/>
  <c r="M60" i="2"/>
  <c r="AK60" i="2"/>
  <c r="D64" i="2"/>
  <c r="T64" i="2"/>
  <c r="AL65" i="2"/>
  <c r="D65" i="2"/>
  <c r="Q65" i="2"/>
  <c r="Q64" i="2"/>
  <c r="H65" i="2"/>
  <c r="Q60" i="2"/>
  <c r="K64" i="2"/>
  <c r="AI65" i="2"/>
  <c r="P64" i="2"/>
  <c r="T60" i="2"/>
  <c r="AJ60" i="2"/>
  <c r="Y64" i="2"/>
  <c r="AG64" i="2"/>
  <c r="Z60" i="2"/>
  <c r="F65" i="2"/>
  <c r="K65" i="2"/>
  <c r="AB64" i="2"/>
  <c r="AG60" i="2"/>
  <c r="W65" i="2"/>
  <c r="I272" i="2"/>
  <c r="I271" i="2"/>
  <c r="I270" i="2"/>
  <c r="R64" i="2"/>
  <c r="R65" i="2"/>
  <c r="F270" i="2"/>
  <c r="F271" i="2"/>
  <c r="F272" i="2"/>
  <c r="G65" i="2"/>
  <c r="O60" i="2"/>
  <c r="AI60" i="2"/>
  <c r="U65" i="2"/>
  <c r="V65" i="2"/>
  <c r="P60" i="2"/>
  <c r="X64" i="2"/>
  <c r="X60" i="2"/>
  <c r="E65" i="2"/>
  <c r="Y65" i="2"/>
  <c r="J64" i="2"/>
  <c r="J65" i="2"/>
  <c r="AL270" i="2"/>
  <c r="AL271" i="2"/>
  <c r="AL272" i="2"/>
  <c r="AE270" i="2"/>
  <c r="AE272" i="2"/>
  <c r="AE271" i="2"/>
  <c r="T270" i="2"/>
  <c r="T271" i="2"/>
  <c r="T272" i="2"/>
  <c r="AJ272" i="2"/>
  <c r="AJ271" i="2"/>
  <c r="AJ270" i="2"/>
  <c r="R270" i="2"/>
  <c r="R271" i="2"/>
  <c r="R272" i="2"/>
  <c r="AK272" i="2"/>
  <c r="AK270" i="2"/>
  <c r="AK271" i="2"/>
  <c r="AG272" i="2"/>
  <c r="AG270" i="2"/>
  <c r="AG271" i="2"/>
  <c r="S64" i="2"/>
  <c r="AI270" i="2"/>
  <c r="AI272" i="2"/>
  <c r="AI271" i="2"/>
  <c r="U270" i="2"/>
  <c r="U271" i="2"/>
  <c r="U272" i="2"/>
  <c r="V270" i="2"/>
  <c r="V272" i="2"/>
  <c r="V271" i="2"/>
  <c r="L64" i="2"/>
  <c r="L60" i="2"/>
  <c r="P272" i="2"/>
  <c r="P271" i="2"/>
  <c r="P270" i="2"/>
  <c r="T65" i="2"/>
  <c r="AF271" i="2"/>
  <c r="AF270" i="2"/>
  <c r="AF272" i="2"/>
  <c r="AJ64" i="2"/>
  <c r="AJ65" i="2"/>
  <c r="J272" i="2"/>
  <c r="J271" i="2"/>
  <c r="J270" i="2"/>
  <c r="R60" i="2"/>
  <c r="AL60" i="2"/>
  <c r="C270" i="2"/>
  <c r="C272" i="2"/>
  <c r="C271" i="2"/>
  <c r="G64" i="2"/>
  <c r="I65" i="2"/>
  <c r="M272" i="2"/>
  <c r="M270" i="2"/>
  <c r="M271" i="2"/>
  <c r="U64" i="2"/>
  <c r="V60" i="2"/>
  <c r="E272" i="2"/>
  <c r="E270" i="2"/>
  <c r="E271" i="2"/>
  <c r="Y271" i="2"/>
  <c r="Y270" i="2"/>
  <c r="Y272" i="2"/>
  <c r="Z65" i="2"/>
  <c r="AD60" i="2"/>
  <c r="O270" i="2"/>
  <c r="O271" i="2"/>
  <c r="O272" i="2"/>
  <c r="S271" i="2"/>
  <c r="S270" i="2"/>
  <c r="S272" i="2"/>
  <c r="X65" i="2"/>
  <c r="G272" i="2"/>
  <c r="G270" i="2"/>
  <c r="G271" i="2"/>
  <c r="N60" i="2"/>
  <c r="AB65" i="2"/>
  <c r="E64" i="2"/>
  <c r="K271" i="2"/>
  <c r="K270" i="2"/>
  <c r="K272" i="2"/>
  <c r="S60" i="2"/>
  <c r="AA271" i="2"/>
  <c r="AA270" i="2"/>
  <c r="AA272" i="2"/>
  <c r="AC64" i="2"/>
  <c r="N64" i="2"/>
  <c r="N65" i="2"/>
  <c r="L65" i="2"/>
  <c r="P65" i="2"/>
  <c r="AF64" i="2"/>
  <c r="AF65" i="2"/>
  <c r="AF60" i="2"/>
  <c r="Y60" i="2"/>
  <c r="AG65" i="2"/>
  <c r="AH271" i="2"/>
  <c r="AH270" i="2"/>
  <c r="AH272" i="2"/>
  <c r="D271" i="2"/>
  <c r="D272" i="2"/>
  <c r="D270" i="2"/>
  <c r="W270" i="2"/>
  <c r="W272" i="2"/>
  <c r="W271" i="2"/>
  <c r="N271" i="2"/>
  <c r="N272" i="2"/>
  <c r="N270" i="2"/>
  <c r="L270" i="2"/>
  <c r="L271" i="2"/>
  <c r="L272" i="2"/>
  <c r="AB270" i="2"/>
  <c r="AB271" i="2"/>
  <c r="AB272" i="2"/>
  <c r="Q270" i="2"/>
  <c r="Q272" i="2"/>
  <c r="Q271" i="2"/>
  <c r="AD65" i="2"/>
  <c r="AD270" i="2"/>
  <c r="AD271" i="2"/>
  <c r="AD272" i="2"/>
  <c r="AC271" i="2"/>
  <c r="AC270" i="2"/>
  <c r="AC272" i="2"/>
  <c r="V64" i="2"/>
  <c r="H64" i="2"/>
  <c r="H60" i="2"/>
  <c r="H272" i="2"/>
  <c r="H271" i="2"/>
  <c r="H270" i="2"/>
  <c r="X271" i="2"/>
  <c r="X270" i="2"/>
  <c r="X272" i="2"/>
  <c r="AB60" i="2"/>
  <c r="J60" i="2"/>
  <c r="Z64" i="2"/>
  <c r="Z271" i="2"/>
  <c r="Z272" i="2"/>
  <c r="Z270" i="2"/>
  <c r="AD64" i="2"/>
  <c r="AL6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tc={8B17D36B-81D2-4EE5-A719-89E9DB4D4DB2}</author>
  </authors>
  <commentList>
    <comment ref="A191" authorId="0" shapeId="0" xr:uid="{8B17D36B-81D2-4EE5-A719-89E9DB4D4DB2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Attention léger écart sur somme</t>
      </text>
    </comment>
  </commentList>
</comments>
</file>

<file path=xl/sharedStrings.xml><?xml version="1.0" encoding="utf-8"?>
<sst xmlns="http://schemas.openxmlformats.org/spreadsheetml/2006/main" count="437" uniqueCount="101">
  <si>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</si>
  <si>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</si>
  <si>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</si>
  <si>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</si>
  <si>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</si>
  <si>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</si>
  <si>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</si>
  <si>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</si>
  <si>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</si>
  <si>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</si>
  <si>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</si>
  <si>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</si>
  <si>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VA</t>
  </si>
  <si>
    <t>Année</t>
  </si>
  <si>
    <t>2030</t>
  </si>
  <si>
    <t>2040</t>
  </si>
  <si>
    <t>2050</t>
  </si>
  <si>
    <t>Investment</t>
  </si>
  <si>
    <t>Exports</t>
  </si>
  <si>
    <t>Imports</t>
  </si>
  <si>
    <t>Production</t>
  </si>
  <si>
    <t>Firms</t>
  </si>
  <si>
    <t>Total</t>
  </si>
  <si>
    <t>Transport</t>
  </si>
  <si>
    <t>Oil &amp; Gas</t>
  </si>
  <si>
    <t>Electricity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</si>
  <si>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</si>
  <si>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</si>
  <si>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</si>
  <si>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</si>
  <si>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</si>
  <si>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</si>
  <si>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</si>
  <si>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</si>
  <si>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</si>
  <si>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Consommation</t>
  </si>
  <si>
    <t>CI</t>
  </si>
  <si>
    <t>Y</t>
  </si>
  <si>
    <t>MAT</t>
  </si>
  <si>
    <t>A</t>
  </si>
  <si>
    <t>B</t>
  </si>
  <si>
    <t>C</t>
  </si>
  <si>
    <t>D</t>
  </si>
  <si>
    <t>E</t>
  </si>
  <si>
    <t>F</t>
  </si>
  <si>
    <t>G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</si>
  <si>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</si>
  <si>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</si>
  <si>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</si>
  <si>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</si>
  <si>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</si>
  <si>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</si>
  <si>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</si>
  <si>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</si>
  <si>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</si>
  <si>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</si>
  <si>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</si>
  <si>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</si>
  <si>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</si>
  <si>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</si>
  <si>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</si>
  <si>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</si>
  <si>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</si>
  <si>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</si>
  <si>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</si>
  <si>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</si>
  <si>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</si>
  <si>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</si>
  <si>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</si>
  <si>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</si>
  <si>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</si>
  <si>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</si>
  <si>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</si>
  <si>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</si>
  <si>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</si>
  <si>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</si>
  <si>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</si>
  <si>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PIB</t>
  </si>
  <si>
    <t>Investissement</t>
  </si>
  <si>
    <t>Exportations nettes</t>
  </si>
  <si>
    <t>Entreprises</t>
  </si>
  <si>
    <t>Gaz</t>
  </si>
  <si>
    <t>Electrique</t>
  </si>
  <si>
    <t>Véhicules</t>
  </si>
  <si>
    <t>Alimentation</t>
  </si>
  <si>
    <t>Verre</t>
  </si>
  <si>
    <t>Chimie</t>
  </si>
  <si>
    <t>Métallurgie</t>
  </si>
  <si>
    <t>Autres industries</t>
  </si>
  <si>
    <t>Routier</t>
  </si>
  <si>
    <t>Aérien</t>
  </si>
  <si>
    <t>Autres transports</t>
  </si>
  <si>
    <t>Energie primaire</t>
  </si>
  <si>
    <t>Production nette</t>
  </si>
  <si>
    <t>Consommation ménages</t>
  </si>
  <si>
    <t>Consommation entreprises</t>
  </si>
  <si>
    <t>Construction</t>
  </si>
  <si>
    <t>%deviation contrib</t>
  </si>
  <si>
    <t>%share contrib</t>
  </si>
  <si>
    <t>%deviation xontrib</t>
  </si>
  <si>
    <t>Total (très léger écart)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</si>
</sst>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3" fontId="0" fillId="2" borderId="0" xfId="0" applyNumberFormat="1" applyFill="1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595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externalLink" Target="externalLinks/externalLink1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chartsheet" Target="chartsheets/sheet24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chartsheet" Target="chartsheets/sheet23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chartsheet" Target="chartsheets/sheet22.xml"/><Relationship Id="rId28" Type="http://schemas.openxmlformats.org/officeDocument/2006/relationships/styles" Target="styles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31" Type="http://schemas.openxmlformats.org/officeDocument/2006/relationships/calcChain" Target="calcChain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theme" Target="theme/theme1.xml"/><Relationship Id="rId30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3.xml"/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5.xml"/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>
                <a:solidFill>
                  <a:srgbClr val="595959"/>
                </a:solidFill>
              </a:rPr>
              <a:t>Impact sur le PIB</a:t>
            </a:r>
            <a:r>
              <a:rPr lang="fr-FR" sz="2400" baseline="0">
                <a:solidFill>
                  <a:srgbClr val="595959"/>
                </a:solidFill>
              </a:rPr>
              <a:t> - </a:t>
            </a:r>
            <a:r>
              <a:rPr lang="fr-FR" sz="2400" b="1" u="sng" baseline="0">
                <a:solidFill>
                  <a:srgbClr val="595959"/>
                </a:solidFill>
              </a:rPr>
              <a:t>Net Zero 2050</a:t>
            </a:r>
          </a:p>
          <a:p>
            <a:pPr>
              <a:defRPr sz="2400"/>
            </a:pPr>
            <a:r>
              <a:rPr lang="fr-FR" sz="1800" baseline="0"/>
              <a:t>(% d'écart au scénario tendanciel)</a:t>
            </a:r>
            <a:endParaRPr lang="fr-FR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Consommation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Données!$C$7:$AL$7</c:f>
              <c:numCache>
                <c:formatCode>#,##0.0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5.3248857431234371E-2</c:v>
                </c:pt>
                <c:pt idx="7">
                  <c:v>0.10087535771713958</c:v>
                </c:pt>
                <c:pt idx="8">
                  <c:v>0.12072188460601747</c:v>
                </c:pt>
                <c:pt idx="9">
                  <c:v>0.1878373923245989</c:v>
                </c:pt>
                <c:pt idx="10">
                  <c:v>0.31027721981496831</c:v>
                </c:pt>
                <c:pt idx="11">
                  <c:v>0.46384585081020774</c:v>
                </c:pt>
                <c:pt idx="12">
                  <c:v>0.65117449288278928</c:v>
                </c:pt>
                <c:pt idx="13">
                  <c:v>0.84960209047570745</c:v>
                </c:pt>
                <c:pt idx="14">
                  <c:v>1.0427409518187167</c:v>
                </c:pt>
                <c:pt idx="15">
                  <c:v>1.222832122088791</c:v>
                </c:pt>
                <c:pt idx="16">
                  <c:v>1.3679122043917247</c:v>
                </c:pt>
                <c:pt idx="17">
                  <c:v>1.469930547314823</c:v>
                </c:pt>
                <c:pt idx="18">
                  <c:v>1.5431520201964695</c:v>
                </c:pt>
                <c:pt idx="19">
                  <c:v>1.6014746019363848</c:v>
                </c:pt>
                <c:pt idx="20">
                  <c:v>1.6529224737198982</c:v>
                </c:pt>
                <c:pt idx="21">
                  <c:v>1.6985834839947169</c:v>
                </c:pt>
                <c:pt idx="22">
                  <c:v>1.7376964401488078</c:v>
                </c:pt>
                <c:pt idx="23">
                  <c:v>1.7719714899293575</c:v>
                </c:pt>
                <c:pt idx="24">
                  <c:v>1.8028372860911239</c:v>
                </c:pt>
                <c:pt idx="25">
                  <c:v>1.830500985973283</c:v>
                </c:pt>
                <c:pt idx="26">
                  <c:v>1.8471737580886871</c:v>
                </c:pt>
                <c:pt idx="27">
                  <c:v>1.8458857339644534</c:v>
                </c:pt>
                <c:pt idx="28">
                  <c:v>1.8311905675417282</c:v>
                </c:pt>
                <c:pt idx="29">
                  <c:v>1.8089211958279368</c:v>
                </c:pt>
                <c:pt idx="30">
                  <c:v>1.783031888779971</c:v>
                </c:pt>
                <c:pt idx="31">
                  <c:v>1.7526191183573514</c:v>
                </c:pt>
                <c:pt idx="32">
                  <c:v>1.7155238799888284</c:v>
                </c:pt>
                <c:pt idx="33">
                  <c:v>1.6739084080816951</c:v>
                </c:pt>
                <c:pt idx="34">
                  <c:v>1.6306927434571239</c:v>
                </c:pt>
                <c:pt idx="35">
                  <c:v>1.5880421310643891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Investissement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Données!$C$10:$AL$10</c:f>
              <c:numCache>
                <c:formatCode>#,##0.0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9.6089192140203297E-3</c:v>
                </c:pt>
                <c:pt idx="7">
                  <c:v>-2.2006874143906865E-2</c:v>
                </c:pt>
                <c:pt idx="8">
                  <c:v>-6.3531644794559708E-2</c:v>
                </c:pt>
                <c:pt idx="9">
                  <c:v>-4.7450421588222914E-2</c:v>
                </c:pt>
                <c:pt idx="10">
                  <c:v>-2.9037469574226763E-3</c:v>
                </c:pt>
                <c:pt idx="11">
                  <c:v>5.2449434410518157E-2</c:v>
                </c:pt>
                <c:pt idx="12">
                  <c:v>0.11111198240821273</c:v>
                </c:pt>
                <c:pt idx="13">
                  <c:v>0.17116278985528624</c:v>
                </c:pt>
                <c:pt idx="14">
                  <c:v>0.23424258057651726</c:v>
                </c:pt>
                <c:pt idx="15">
                  <c:v>0.30000207760907155</c:v>
                </c:pt>
                <c:pt idx="16">
                  <c:v>0.35941744853917712</c:v>
                </c:pt>
                <c:pt idx="17">
                  <c:v>0.40962252632322044</c:v>
                </c:pt>
                <c:pt idx="18">
                  <c:v>0.45218052052672236</c:v>
                </c:pt>
                <c:pt idx="19">
                  <c:v>0.49018505947027557</c:v>
                </c:pt>
                <c:pt idx="20">
                  <c:v>0.52628956722157383</c:v>
                </c:pt>
                <c:pt idx="21">
                  <c:v>0.56182298629186822</c:v>
                </c:pt>
                <c:pt idx="22">
                  <c:v>0.5971429522779077</c:v>
                </c:pt>
                <c:pt idx="23">
                  <c:v>0.63239500815723848</c:v>
                </c:pt>
                <c:pt idx="24">
                  <c:v>0.66752481704208955</c:v>
                </c:pt>
                <c:pt idx="25">
                  <c:v>0.70222869682153555</c:v>
                </c:pt>
                <c:pt idx="26">
                  <c:v>0.7355316758368412</c:v>
                </c:pt>
                <c:pt idx="27">
                  <c:v>0.76597751615289345</c:v>
                </c:pt>
                <c:pt idx="28">
                  <c:v>0.79361743849732358</c:v>
                </c:pt>
                <c:pt idx="29">
                  <c:v>0.81908234325675144</c:v>
                </c:pt>
                <c:pt idx="30">
                  <c:v>0.84302770752664025</c:v>
                </c:pt>
                <c:pt idx="31">
                  <c:v>0.86560633761293748</c:v>
                </c:pt>
                <c:pt idx="32">
                  <c:v>0.88683599104233835</c:v>
                </c:pt>
                <c:pt idx="33">
                  <c:v>0.90732147104215022</c:v>
                </c:pt>
                <c:pt idx="34">
                  <c:v>0.92815187369442842</c:v>
                </c:pt>
                <c:pt idx="35">
                  <c:v>0.95118562842107945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Données!$C$12:$AL$12</c:f>
              <c:numCache>
                <c:formatCode>#,##0.0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-2.1252669706623199E-2</c:v>
                </c:pt>
                <c:pt idx="7">
                  <c:v>-0.22264099807049406</c:v>
                </c:pt>
                <c:pt idx="8">
                  <c:v>-0.35910038590637483</c:v>
                </c:pt>
                <c:pt idx="9">
                  <c:v>-0.22910266778641342</c:v>
                </c:pt>
                <c:pt idx="10">
                  <c:v>-0.16687011395742102</c:v>
                </c:pt>
                <c:pt idx="11">
                  <c:v>-0.18374589697770033</c:v>
                </c:pt>
                <c:pt idx="12">
                  <c:v>-0.27758972000582083</c:v>
                </c:pt>
                <c:pt idx="13">
                  <c:v>-0.40692046502007118</c:v>
                </c:pt>
                <c:pt idx="14">
                  <c:v>-0.53545656928010776</c:v>
                </c:pt>
                <c:pt idx="15">
                  <c:v>-0.65703913855833096</c:v>
                </c:pt>
                <c:pt idx="16">
                  <c:v>-0.77223252319834523</c:v>
                </c:pt>
                <c:pt idx="17">
                  <c:v>-0.87737416768109178</c:v>
                </c:pt>
                <c:pt idx="18">
                  <c:v>-0.97779103243704901</c:v>
                </c:pt>
                <c:pt idx="19">
                  <c:v>-1.0777435698177373</c:v>
                </c:pt>
                <c:pt idx="20">
                  <c:v>-1.1785374536511737</c:v>
                </c:pt>
                <c:pt idx="21">
                  <c:v>-1.2776655920140443</c:v>
                </c:pt>
                <c:pt idx="22">
                  <c:v>-1.3728887962018326</c:v>
                </c:pt>
                <c:pt idx="23">
                  <c:v>-1.4649462778221687</c:v>
                </c:pt>
                <c:pt idx="24">
                  <c:v>-1.5543982100729183</c:v>
                </c:pt>
                <c:pt idx="25">
                  <c:v>-1.6410915486579731</c:v>
                </c:pt>
                <c:pt idx="26">
                  <c:v>-1.7167507401467501</c:v>
                </c:pt>
                <c:pt idx="27">
                  <c:v>-1.7748561113090453</c:v>
                </c:pt>
                <c:pt idx="28">
                  <c:v>-1.8183971445949101</c:v>
                </c:pt>
                <c:pt idx="29">
                  <c:v>-1.8507153550809414</c:v>
                </c:pt>
                <c:pt idx="30">
                  <c:v>-1.8738741453409384</c:v>
                </c:pt>
                <c:pt idx="31">
                  <c:v>-1.8859789519258752</c:v>
                </c:pt>
                <c:pt idx="32">
                  <c:v>-1.8841606264403625</c:v>
                </c:pt>
                <c:pt idx="33">
                  <c:v>-1.8694329750709018</c:v>
                </c:pt>
                <c:pt idx="34">
                  <c:v>-1.8426064746225606</c:v>
                </c:pt>
                <c:pt idx="35">
                  <c:v>-1.8020432292375808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Données!$C$6:$AL$6</c15:sqref>
                        </c15:formulaRef>
                      </c:ext>
                    </c:extLst>
                    <c:numCache>
                      <c:formatCode>#,##0.0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4.4643597228999354E-2</c:v>
                      </c:pt>
                      <c:pt idx="7">
                        <c:v>-0.20810793049194087</c:v>
                      </c:pt>
                      <c:pt idx="8">
                        <c:v>-0.41300390023710776</c:v>
                      </c:pt>
                      <c:pt idx="9">
                        <c:v>-0.13268854496635285</c:v>
                      </c:pt>
                      <c:pt idx="10">
                        <c:v>0.15185427455013389</c:v>
                      </c:pt>
                      <c:pt idx="11">
                        <c:v>0.37992858185282863</c:v>
                      </c:pt>
                      <c:pt idx="12">
                        <c:v>0.54638370562121175</c:v>
                      </c:pt>
                      <c:pt idx="13">
                        <c:v>0.67887094566239092</c:v>
                      </c:pt>
                      <c:pt idx="14">
                        <c:v>0.8100605473335909</c:v>
                      </c:pt>
                      <c:pt idx="15">
                        <c:v>0.93921234874903003</c:v>
                      </c:pt>
                      <c:pt idx="16">
                        <c:v>1.0227116083661558</c:v>
                      </c:pt>
                      <c:pt idx="17">
                        <c:v>1.0597646222745727</c:v>
                      </c:pt>
                      <c:pt idx="18">
                        <c:v>1.0617793361113792</c:v>
                      </c:pt>
                      <c:pt idx="19">
                        <c:v>1.042667800983188</c:v>
                      </c:pt>
                      <c:pt idx="20">
                        <c:v>1.0129940204825383</c:v>
                      </c:pt>
                      <c:pt idx="21">
                        <c:v>0.97889798281098894</c:v>
                      </c:pt>
                      <c:pt idx="22">
                        <c:v>0.94281095272412685</c:v>
                      </c:pt>
                      <c:pt idx="23">
                        <c:v>0.9057267184640283</c:v>
                      </c:pt>
                      <c:pt idx="24">
                        <c:v>0.86839011403916366</c:v>
                      </c:pt>
                      <c:pt idx="25">
                        <c:v>0.83082803614644707</c:v>
                      </c:pt>
                      <c:pt idx="26">
                        <c:v>0.79408572582211345</c:v>
                      </c:pt>
                      <c:pt idx="27">
                        <c:v>0.75707590288611737</c:v>
                      </c:pt>
                      <c:pt idx="28">
                        <c:v>0.72092110919645958</c:v>
                      </c:pt>
                      <c:pt idx="29">
                        <c:v>0.68854022147895044</c:v>
                      </c:pt>
                      <c:pt idx="30">
                        <c:v>0.66250201594104663</c:v>
                      </c:pt>
                      <c:pt idx="31">
                        <c:v>0.6445648603824905</c:v>
                      </c:pt>
                      <c:pt idx="32">
                        <c:v>0.6361988819173936</c:v>
                      </c:pt>
                      <c:pt idx="33">
                        <c:v>0.63933864147223129</c:v>
                      </c:pt>
                      <c:pt idx="34">
                        <c:v>0.65781844875454354</c:v>
                      </c:pt>
                      <c:pt idx="35">
                        <c:v>0.69920652540593764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Données!$C$8:$AL$8</c15:sqref>
                        </c15:formulaRef>
                      </c:ext>
                    </c:extLst>
                    <c:numCache>
                      <c:formatCode>#,##0.0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2.7422285497903702E-2</c:v>
                      </c:pt>
                      <c:pt idx="7">
                        <c:v>-9.9177931676980493E-3</c:v>
                      </c:pt>
                      <c:pt idx="8">
                        <c:v>-2.9407392189572903E-2</c:v>
                      </c:pt>
                      <c:pt idx="9">
                        <c:v>-2.2939329962528163E-2</c:v>
                      </c:pt>
                      <c:pt idx="10">
                        <c:v>6.7792740664629773E-4</c:v>
                      </c:pt>
                      <c:pt idx="11">
                        <c:v>4.8319842707899401E-2</c:v>
                      </c:pt>
                      <c:pt idx="12">
                        <c:v>9.1812765363747412E-2</c:v>
                      </c:pt>
                      <c:pt idx="13">
                        <c:v>0.1195357044126179</c:v>
                      </c:pt>
                      <c:pt idx="14">
                        <c:v>0.13176184335237809</c:v>
                      </c:pt>
                      <c:pt idx="15">
                        <c:v>0.13334509730000457</c:v>
                      </c:pt>
                      <c:pt idx="16">
                        <c:v>0.11209550405635671</c:v>
                      </c:pt>
                      <c:pt idx="17">
                        <c:v>8.7939451149743178E-2</c:v>
                      </c:pt>
                      <c:pt idx="18">
                        <c:v>7.0008570967124276E-2</c:v>
                      </c:pt>
                      <c:pt idx="19">
                        <c:v>5.9995138876662982E-2</c:v>
                      </c:pt>
                      <c:pt idx="20">
                        <c:v>5.6310444739686459E-2</c:v>
                      </c:pt>
                      <c:pt idx="21">
                        <c:v>5.6489618833603261E-2</c:v>
                      </c:pt>
                      <c:pt idx="22">
                        <c:v>5.8534092404761096E-2</c:v>
                      </c:pt>
                      <c:pt idx="23">
                        <c:v>6.1294099124753844E-2</c:v>
                      </c:pt>
                      <c:pt idx="24">
                        <c:v>6.4080358036667492E-2</c:v>
                      </c:pt>
                      <c:pt idx="25">
                        <c:v>6.6408536349231273E-2</c:v>
                      </c:pt>
                      <c:pt idx="26">
                        <c:v>6.7627942135118135E-2</c:v>
                      </c:pt>
                      <c:pt idx="27">
                        <c:v>6.7500651756878985E-2</c:v>
                      </c:pt>
                      <c:pt idx="28">
                        <c:v>6.6609456542672224E-2</c:v>
                      </c:pt>
                      <c:pt idx="29">
                        <c:v>6.5487012862608301E-2</c:v>
                      </c:pt>
                      <c:pt idx="30">
                        <c:v>6.4360564998075381E-2</c:v>
                      </c:pt>
                      <c:pt idx="31">
                        <c:v>6.3150900718587311E-2</c:v>
                      </c:pt>
                      <c:pt idx="32">
                        <c:v>6.1771203050256331E-2</c:v>
                      </c:pt>
                      <c:pt idx="33">
                        <c:v>6.0403069156001819E-2</c:v>
                      </c:pt>
                      <c:pt idx="34">
                        <c:v>5.9241897750876918E-2</c:v>
                      </c:pt>
                      <c:pt idx="35">
                        <c:v>5.8361376840293584E-2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Données!$C$9:$AL$9</c15:sqref>
                        </c15:formulaRef>
                      </c:ext>
                    </c:extLst>
                    <c:numCache>
                      <c:formatCode>#,##0.0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Données!$C$11:$AL$11</c15:sqref>
                        </c15:formulaRef>
                      </c:ext>
                    </c:extLst>
                    <c:numCache>
                      <c:formatCode>#,##0.0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PIB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Données!$C$5:$AL$5</c:f>
              <c:numCache>
                <c:formatCode>#,##0.0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4.1605090223573171E-2</c:v>
                </c:pt>
                <c:pt idx="7">
                  <c:v>-0.14377246510621777</c:v>
                </c:pt>
                <c:pt idx="8">
                  <c:v>-0.3019101015068415</c:v>
                </c:pt>
                <c:pt idx="9">
                  <c:v>-8.8715681087170317E-2</c:v>
                </c:pt>
                <c:pt idx="10">
                  <c:v>0.14050337068214347</c:v>
                </c:pt>
                <c:pt idx="11">
                  <c:v>0.33254942301226276</c:v>
                </c:pt>
                <c:pt idx="12">
                  <c:v>0.4846967210885289</c:v>
                </c:pt>
                <c:pt idx="13">
                  <c:v>0.61384440035523458</c:v>
                </c:pt>
                <c:pt idx="14">
                  <c:v>0.74152698151495056</c:v>
                </c:pt>
                <c:pt idx="15">
                  <c:v>0.86579506476145429</c:v>
                </c:pt>
                <c:pt idx="16">
                  <c:v>0.95509713329577917</c:v>
                </c:pt>
                <c:pt idx="17">
                  <c:v>1.0021788884413851</c:v>
                </c:pt>
                <c:pt idx="18">
                  <c:v>1.0175415392618348</c:v>
                </c:pt>
                <c:pt idx="19">
                  <c:v>1.0139160848300133</c:v>
                </c:pt>
                <c:pt idx="20">
                  <c:v>1.0006745872902956</c:v>
                </c:pt>
                <c:pt idx="21">
                  <c:v>0.98274088477783295</c:v>
                </c:pt>
                <c:pt idx="22">
                  <c:v>0.96195057709675957</c:v>
                </c:pt>
                <c:pt idx="23">
                  <c:v>0.93942022963211524</c:v>
                </c:pt>
                <c:pt idx="24">
                  <c:v>0.91596390528647653</c:v>
                </c:pt>
                <c:pt idx="25">
                  <c:v>0.89163813712695994</c:v>
                </c:pt>
                <c:pt idx="26">
                  <c:v>0.86595466162213697</c:v>
                </c:pt>
                <c:pt idx="27">
                  <c:v>0.83700713309604602</c:v>
                </c:pt>
                <c:pt idx="28">
                  <c:v>0.80641085307830984</c:v>
                </c:pt>
                <c:pt idx="29">
                  <c:v>0.77728816495428177</c:v>
                </c:pt>
                <c:pt idx="30">
                  <c:v>0.75218545893058764</c:v>
                </c:pt>
                <c:pt idx="31">
                  <c:v>0.73224649627470217</c:v>
                </c:pt>
                <c:pt idx="32">
                  <c:v>0.71819924711724603</c:v>
                </c:pt>
                <c:pt idx="33">
                  <c:v>0.71179690651772543</c:v>
                </c:pt>
                <c:pt idx="34">
                  <c:v>0.71623815695942561</c:v>
                </c:pt>
                <c:pt idx="35">
                  <c:v>0.73718453024789188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rgbClr val="595959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rgbClr val="595959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Données!$B$64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#,##0.0</c:formatCode>
                <c:ptCount val="36"/>
                <c:pt idx="1">
                  <c:v>1.8006709996309045</c:v>
                </c:pt>
                <c:pt idx="2">
                  <c:v>1.7216212119272267</c:v>
                </c:pt>
                <c:pt idx="3">
                  <c:v>1.7719114094265409</c:v>
                </c:pt>
                <c:pt idx="4">
                  <c:v>1.6004237884905459</c:v>
                </c:pt>
                <c:pt idx="5">
                  <c:v>1.5888437685963153</c:v>
                </c:pt>
                <c:pt idx="6">
                  <c:v>1.8253822988432367</c:v>
                </c:pt>
                <c:pt idx="7">
                  <c:v>1.9067952116064157</c:v>
                </c:pt>
                <c:pt idx="8">
                  <c:v>1.9507955356615314</c:v>
                </c:pt>
                <c:pt idx="9">
                  <c:v>1.9615625556029803</c:v>
                </c:pt>
                <c:pt idx="10">
                  <c:v>1.9564214424316884</c:v>
                </c:pt>
                <c:pt idx="11">
                  <c:v>1.9248156488865575</c:v>
                </c:pt>
                <c:pt idx="12">
                  <c:v>1.8687367068203509</c:v>
                </c:pt>
                <c:pt idx="13">
                  <c:v>1.7880405962521717</c:v>
                </c:pt>
                <c:pt idx="14">
                  <c:v>1.6994614459679758</c:v>
                </c:pt>
                <c:pt idx="15">
                  <c:v>1.6134045350033377</c:v>
                </c:pt>
                <c:pt idx="16">
                  <c:v>1.3849709950805922</c:v>
                </c:pt>
                <c:pt idx="17">
                  <c:v>1.2612858741813504</c:v>
                </c:pt>
                <c:pt idx="18">
                  <c:v>1.1806695718019844</c:v>
                </c:pt>
                <c:pt idx="19">
                  <c:v>1.1349537261529541</c:v>
                </c:pt>
                <c:pt idx="20">
                  <c:v>1.1167210488708834</c:v>
                </c:pt>
                <c:pt idx="21">
                  <c:v>1.120046482482917</c:v>
                </c:pt>
                <c:pt idx="22">
                  <c:v>1.1445208719783384</c:v>
                </c:pt>
                <c:pt idx="23">
                  <c:v>1.190741780299609</c:v>
                </c:pt>
                <c:pt idx="24">
                  <c:v>1.2621339708509316</c:v>
                </c:pt>
                <c:pt idx="25">
                  <c:v>1.3535959802747133</c:v>
                </c:pt>
                <c:pt idx="26">
                  <c:v>1.4624468310368677</c:v>
                </c:pt>
                <c:pt idx="27">
                  <c:v>1.5848564251731867</c:v>
                </c:pt>
                <c:pt idx="28">
                  <c:v>1.7170623527936968</c:v>
                </c:pt>
                <c:pt idx="29">
                  <c:v>1.8449172988320495</c:v>
                </c:pt>
                <c:pt idx="30">
                  <c:v>1.9642610417736739</c:v>
                </c:pt>
                <c:pt idx="31">
                  <c:v>2.0709359604305977</c:v>
                </c:pt>
                <c:pt idx="32">
                  <c:v>2.1626968572078464</c:v>
                </c:pt>
                <c:pt idx="33">
                  <c:v>2.2383757424727868</c:v>
                </c:pt>
                <c:pt idx="34">
                  <c:v>2.297088686456461</c:v>
                </c:pt>
                <c:pt idx="35">
                  <c:v>2.3382768173166424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Données!$B$65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#,##0.0</c:formatCode>
                <c:ptCount val="36"/>
                <c:pt idx="1">
                  <c:v>1.8006709996309045</c:v>
                </c:pt>
                <c:pt idx="2">
                  <c:v>1.7216212119272267</c:v>
                </c:pt>
                <c:pt idx="3">
                  <c:v>1.7719114094265409</c:v>
                </c:pt>
                <c:pt idx="4">
                  <c:v>1.6004237884905459</c:v>
                </c:pt>
                <c:pt idx="5">
                  <c:v>1.5888437685963153</c:v>
                </c:pt>
                <c:pt idx="6">
                  <c:v>1.6480885164056547</c:v>
                </c:pt>
                <c:pt idx="7">
                  <c:v>2.5328654142401819</c:v>
                </c:pt>
                <c:pt idx="8">
                  <c:v>2.4668956880933735</c:v>
                </c:pt>
                <c:pt idx="9">
                  <c:v>2.5770458266705543</c:v>
                </c:pt>
                <c:pt idx="10">
                  <c:v>2.6772226599430571</c:v>
                </c:pt>
                <c:pt idx="11">
                  <c:v>2.4642621117453523</c:v>
                </c:pt>
                <c:pt idx="12">
                  <c:v>2.3267732685324782</c:v>
                </c:pt>
                <c:pt idx="13">
                  <c:v>2.1840030479785666</c:v>
                </c:pt>
                <c:pt idx="14">
                  <c:v>2.0425440682721563</c:v>
                </c:pt>
                <c:pt idx="15">
                  <c:v>1.9050626597580056</c:v>
                </c:pt>
                <c:pt idx="16">
                  <c:v>1.8048410072844412</c:v>
                </c:pt>
                <c:pt idx="17">
                  <c:v>1.7143137578431222</c:v>
                </c:pt>
                <c:pt idx="18">
                  <c:v>1.6259597871589593</c:v>
                </c:pt>
                <c:pt idx="19">
                  <c:v>1.5486654032208946</c:v>
                </c:pt>
                <c:pt idx="20">
                  <c:v>1.4863984374468897</c:v>
                </c:pt>
                <c:pt idx="21">
                  <c:v>1.4471734201845221</c:v>
                </c:pt>
                <c:pt idx="22">
                  <c:v>1.4298679312758189</c:v>
                </c:pt>
                <c:pt idx="23">
                  <c:v>1.4257890265294781</c:v>
                </c:pt>
                <c:pt idx="24">
                  <c:v>1.4407938836975553</c:v>
                </c:pt>
                <c:pt idx="25">
                  <c:v>1.4723045689438496</c:v>
                </c:pt>
                <c:pt idx="26">
                  <c:v>1.5462327012963462</c:v>
                </c:pt>
                <c:pt idx="27">
                  <c:v>1.6556873816670592</c:v>
                </c:pt>
                <c:pt idx="28">
                  <c:v>1.7647550105247767</c:v>
                </c:pt>
                <c:pt idx="29">
                  <c:v>1.8657809803021008</c:v>
                </c:pt>
                <c:pt idx="30">
                  <c:v>1.9580642491208833</c:v>
                </c:pt>
                <c:pt idx="31">
                  <c:v>2.0502729883172588</c:v>
                </c:pt>
                <c:pt idx="32">
                  <c:v>2.1413986308945754</c:v>
                </c:pt>
                <c:pt idx="33">
                  <c:v>2.2161637084858965</c:v>
                </c:pt>
                <c:pt idx="34">
                  <c:v>2.2750295844939705</c:v>
                </c:pt>
                <c:pt idx="35">
                  <c:v>2.320267743010751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595959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rgbClr val="595959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rgbClr val="595959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rgbClr val="595959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</a:t>
            </a:r>
            <a:r>
              <a:rPr lang="fr-FR" sz="2400" baseline="0"/>
              <a:t> de CO2 </a:t>
            </a:r>
            <a:r>
              <a:rPr lang="fr-FR" sz="2400"/>
              <a:t>(MtCO2/an)</a:t>
            </a:r>
          </a:p>
        </c:rich>
      </c:tx>
      <c:layout>
        <c:manualLayout>
          <c:xMode val="edge"/>
          <c:yMode val="edge"/>
          <c:x val="0.29025624900866531"/>
          <c:y val="2.51582105546018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350.89655829999998</c:v>
                </c:pt>
                <c:pt idx="1">
                  <c:v>351.5896434</c:v>
                </c:pt>
                <c:pt idx="2">
                  <c:v>352.15218390000001</c:v>
                </c:pt>
                <c:pt idx="3">
                  <c:v>352.26143309999998</c:v>
                </c:pt>
                <c:pt idx="4">
                  <c:v>353.10244899999998</c:v>
                </c:pt>
                <c:pt idx="5">
                  <c:v>354.6276818</c:v>
                </c:pt>
                <c:pt idx="6">
                  <c:v>356.1053584</c:v>
                </c:pt>
                <c:pt idx="7">
                  <c:v>357.31055149999997</c:v>
                </c:pt>
                <c:pt idx="8">
                  <c:v>358.09993889999998</c:v>
                </c:pt>
                <c:pt idx="9">
                  <c:v>358.43237699999997</c:v>
                </c:pt>
                <c:pt idx="10">
                  <c:v>358.32119920000002</c:v>
                </c:pt>
                <c:pt idx="11">
                  <c:v>357.82230770000001</c:v>
                </c:pt>
                <c:pt idx="12">
                  <c:v>356.93615829999999</c:v>
                </c:pt>
                <c:pt idx="13">
                  <c:v>355.56068579999999</c:v>
                </c:pt>
                <c:pt idx="14">
                  <c:v>353.93638759999999</c:v>
                </c:pt>
                <c:pt idx="15">
                  <c:v>352.31874809999999</c:v>
                </c:pt>
                <c:pt idx="16">
                  <c:v>351.07410729999998</c:v>
                </c:pt>
                <c:pt idx="17">
                  <c:v>350.5775567</c:v>
                </c:pt>
                <c:pt idx="18">
                  <c:v>350.90142309999999</c:v>
                </c:pt>
                <c:pt idx="19">
                  <c:v>352.01785690000003</c:v>
                </c:pt>
                <c:pt idx="20">
                  <c:v>353.8866281</c:v>
                </c:pt>
                <c:pt idx="21">
                  <c:v>356.46564499999999</c:v>
                </c:pt>
                <c:pt idx="22">
                  <c:v>359.7410241</c:v>
                </c:pt>
                <c:pt idx="23">
                  <c:v>363.69472029999997</c:v>
                </c:pt>
                <c:pt idx="24">
                  <c:v>368.29110379999997</c:v>
                </c:pt>
                <c:pt idx="25">
                  <c:v>373.50803639999998</c:v>
                </c:pt>
                <c:pt idx="26">
                  <c:v>379.33681819999998</c:v>
                </c:pt>
                <c:pt idx="27">
                  <c:v>385.7970479</c:v>
                </c:pt>
                <c:pt idx="28">
                  <c:v>392.8832893</c:v>
                </c:pt>
                <c:pt idx="29">
                  <c:v>400.51380879999999</c:v>
                </c:pt>
                <c:pt idx="30">
                  <c:v>408.57235580000003</c:v>
                </c:pt>
                <c:pt idx="31">
                  <c:v>416.95809209999999</c:v>
                </c:pt>
                <c:pt idx="32">
                  <c:v>425.59461829999998</c:v>
                </c:pt>
                <c:pt idx="33">
                  <c:v>434.41786839999997</c:v>
                </c:pt>
                <c:pt idx="34">
                  <c:v>443.3696243</c:v>
                </c:pt>
                <c:pt idx="35">
                  <c:v>452.39377239999999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350.89655829999998</c:v>
                </c:pt>
                <c:pt idx="1">
                  <c:v>351.5896434</c:v>
                </c:pt>
                <c:pt idx="2">
                  <c:v>352.15218390000001</c:v>
                </c:pt>
                <c:pt idx="3">
                  <c:v>352.26143309999998</c:v>
                </c:pt>
                <c:pt idx="4">
                  <c:v>353.10244899999998</c:v>
                </c:pt>
                <c:pt idx="5">
                  <c:v>354.6276818</c:v>
                </c:pt>
                <c:pt idx="6">
                  <c:v>356.6039864</c:v>
                </c:pt>
                <c:pt idx="7">
                  <c:v>348.10812950000002</c:v>
                </c:pt>
                <c:pt idx="8">
                  <c:v>338.53167139999999</c:v>
                </c:pt>
                <c:pt idx="9">
                  <c:v>329.1542887</c:v>
                </c:pt>
                <c:pt idx="10">
                  <c:v>319.30754239999999</c:v>
                </c:pt>
                <c:pt idx="11">
                  <c:v>309.7142551</c:v>
                </c:pt>
                <c:pt idx="12">
                  <c:v>300.31340290000003</c:v>
                </c:pt>
                <c:pt idx="13">
                  <c:v>291.08901090000001</c:v>
                </c:pt>
                <c:pt idx="14">
                  <c:v>282.26026530000001</c:v>
                </c:pt>
                <c:pt idx="15">
                  <c:v>273.9394542</c:v>
                </c:pt>
                <c:pt idx="16">
                  <c:v>266.09419159999999</c:v>
                </c:pt>
                <c:pt idx="17">
                  <c:v>258.67298790000001</c:v>
                </c:pt>
                <c:pt idx="18">
                  <c:v>251.69947239999999</c:v>
                </c:pt>
                <c:pt idx="19">
                  <c:v>245.1726687</c:v>
                </c:pt>
                <c:pt idx="20">
                  <c:v>239.0855449</c:v>
                </c:pt>
                <c:pt idx="21">
                  <c:v>233.42757180000001</c:v>
                </c:pt>
                <c:pt idx="22">
                  <c:v>228.19197610000001</c:v>
                </c:pt>
                <c:pt idx="23">
                  <c:v>223.34490740000001</c:v>
                </c:pt>
                <c:pt idx="24">
                  <c:v>218.8338522</c:v>
                </c:pt>
                <c:pt idx="25">
                  <c:v>214.61155629999999</c:v>
                </c:pt>
                <c:pt idx="26">
                  <c:v>210.65332040000001</c:v>
                </c:pt>
                <c:pt idx="27">
                  <c:v>206.9582273</c:v>
                </c:pt>
                <c:pt idx="28">
                  <c:v>203.47686469999999</c:v>
                </c:pt>
                <c:pt idx="29">
                  <c:v>200.11339390000001</c:v>
                </c:pt>
                <c:pt idx="30">
                  <c:v>196.76095720000001</c:v>
                </c:pt>
                <c:pt idx="31">
                  <c:v>193.3366939</c:v>
                </c:pt>
                <c:pt idx="32">
                  <c:v>189.7763305</c:v>
                </c:pt>
                <c:pt idx="33">
                  <c:v>186.01100299999999</c:v>
                </c:pt>
                <c:pt idx="34">
                  <c:v>181.9691315</c:v>
                </c:pt>
                <c:pt idx="35">
                  <c:v>177.57446379999999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Ménages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115.311927</c:v>
                </c:pt>
                <c:pt idx="1">
                  <c:v>114.66030979999999</c:v>
                </c:pt>
                <c:pt idx="2">
                  <c:v>113.6947734</c:v>
                </c:pt>
                <c:pt idx="3">
                  <c:v>112.7026481</c:v>
                </c:pt>
                <c:pt idx="4">
                  <c:v>111.9372017</c:v>
                </c:pt>
                <c:pt idx="5">
                  <c:v>111.2876897</c:v>
                </c:pt>
                <c:pt idx="6">
                  <c:v>110.4395109</c:v>
                </c:pt>
                <c:pt idx="7">
                  <c:v>109.3139884</c:v>
                </c:pt>
                <c:pt idx="8">
                  <c:v>107.8414944</c:v>
                </c:pt>
                <c:pt idx="9">
                  <c:v>105.9649938</c:v>
                </c:pt>
                <c:pt idx="10">
                  <c:v>103.6563853</c:v>
                </c:pt>
                <c:pt idx="11">
                  <c:v>100.93586120000001</c:v>
                </c:pt>
                <c:pt idx="12">
                  <c:v>97.873765280000001</c:v>
                </c:pt>
                <c:pt idx="13">
                  <c:v>94.575450689999997</c:v>
                </c:pt>
                <c:pt idx="14">
                  <c:v>91.158730399999996</c:v>
                </c:pt>
                <c:pt idx="15">
                  <c:v>87.731821089999997</c:v>
                </c:pt>
                <c:pt idx="16">
                  <c:v>84.470109550000004</c:v>
                </c:pt>
                <c:pt idx="17">
                  <c:v>81.411120800000006</c:v>
                </c:pt>
                <c:pt idx="18">
                  <c:v>78.562148710000002</c:v>
                </c:pt>
                <c:pt idx="19">
                  <c:v>75.915336569999994</c:v>
                </c:pt>
                <c:pt idx="20">
                  <c:v>73.458674079999994</c:v>
                </c:pt>
                <c:pt idx="21">
                  <c:v>71.178727460000005</c:v>
                </c:pt>
                <c:pt idx="22">
                  <c:v>69.062160809999995</c:v>
                </c:pt>
                <c:pt idx="23">
                  <c:v>67.096377029999999</c:v>
                </c:pt>
                <c:pt idx="24">
                  <c:v>65.269006559999994</c:v>
                </c:pt>
                <c:pt idx="25">
                  <c:v>63.5692728</c:v>
                </c:pt>
                <c:pt idx="26">
                  <c:v>61.987622940000001</c:v>
                </c:pt>
                <c:pt idx="27">
                  <c:v>60.515446130000001</c:v>
                </c:pt>
                <c:pt idx="28">
                  <c:v>59.144968550000002</c:v>
                </c:pt>
                <c:pt idx="29">
                  <c:v>57.869243439999998</c:v>
                </c:pt>
                <c:pt idx="30">
                  <c:v>56.68184797</c:v>
                </c:pt>
                <c:pt idx="31">
                  <c:v>55.576692510000001</c:v>
                </c:pt>
                <c:pt idx="32">
                  <c:v>54.54791573</c:v>
                </c:pt>
                <c:pt idx="33">
                  <c:v>53.58990094</c:v>
                </c:pt>
                <c:pt idx="34">
                  <c:v>52.69731676</c:v>
                </c:pt>
                <c:pt idx="35">
                  <c:v>51.864952099999996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Ménages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115.311927</c:v>
                </c:pt>
                <c:pt idx="1">
                  <c:v>114.66030979999999</c:v>
                </c:pt>
                <c:pt idx="2">
                  <c:v>113.6947734</c:v>
                </c:pt>
                <c:pt idx="3">
                  <c:v>112.7026481</c:v>
                </c:pt>
                <c:pt idx="4">
                  <c:v>111.9372017</c:v>
                </c:pt>
                <c:pt idx="5">
                  <c:v>111.2876897</c:v>
                </c:pt>
                <c:pt idx="6">
                  <c:v>110.6167889</c:v>
                </c:pt>
                <c:pt idx="7">
                  <c:v>106.1456314</c:v>
                </c:pt>
                <c:pt idx="8">
                  <c:v>101.2640952</c:v>
                </c:pt>
                <c:pt idx="9">
                  <c:v>95.856715260000001</c:v>
                </c:pt>
                <c:pt idx="10">
                  <c:v>89.921106449999996</c:v>
                </c:pt>
                <c:pt idx="11">
                  <c:v>83.782710820000005</c:v>
                </c:pt>
                <c:pt idx="12">
                  <c:v>77.670007319999996</c:v>
                </c:pt>
                <c:pt idx="13">
                  <c:v>71.78894794</c:v>
                </c:pt>
                <c:pt idx="14">
                  <c:v>66.263665979999999</c:v>
                </c:pt>
                <c:pt idx="15">
                  <c:v>61.146619540000003</c:v>
                </c:pt>
                <c:pt idx="16">
                  <c:v>56.410916020000002</c:v>
                </c:pt>
                <c:pt idx="17">
                  <c:v>52.048612409999997</c:v>
                </c:pt>
                <c:pt idx="18">
                  <c:v>48.033551760000002</c:v>
                </c:pt>
                <c:pt idx="19">
                  <c:v>44.336949359999998</c:v>
                </c:pt>
                <c:pt idx="20">
                  <c:v>40.930187779999997</c:v>
                </c:pt>
                <c:pt idx="21">
                  <c:v>37.787134870000003</c:v>
                </c:pt>
                <c:pt idx="22">
                  <c:v>34.883173470000003</c:v>
                </c:pt>
                <c:pt idx="23">
                  <c:v>32.1936064</c:v>
                </c:pt>
                <c:pt idx="24">
                  <c:v>29.69688876</c:v>
                </c:pt>
                <c:pt idx="25">
                  <c:v>27.3735617</c:v>
                </c:pt>
                <c:pt idx="26">
                  <c:v>25.20588691</c:v>
                </c:pt>
                <c:pt idx="27">
                  <c:v>23.17742243</c:v>
                </c:pt>
                <c:pt idx="28">
                  <c:v>21.27293281</c:v>
                </c:pt>
                <c:pt idx="29">
                  <c:v>19.478549170000001</c:v>
                </c:pt>
                <c:pt idx="30">
                  <c:v>17.781749699999999</c:v>
                </c:pt>
                <c:pt idx="31">
                  <c:v>16.171268770000001</c:v>
                </c:pt>
                <c:pt idx="32">
                  <c:v>14.636834179999999</c:v>
                </c:pt>
                <c:pt idx="33">
                  <c:v>13.168927699999999</c:v>
                </c:pt>
                <c:pt idx="34">
                  <c:v>11.75875557</c:v>
                </c:pt>
                <c:pt idx="35">
                  <c:v>10.39812264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235.584631376</c:v>
                      </c:pt>
                      <c:pt idx="1">
                        <c:v>236.92933354499999</c:v>
                      </c:pt>
                      <c:pt idx="2">
                        <c:v>238.45741045199998</c:v>
                      </c:pt>
                      <c:pt idx="3">
                        <c:v>239.55878502600001</c:v>
                      </c:pt>
                      <c:pt idx="4">
                        <c:v>241.16524734999999</c:v>
                      </c:pt>
                      <c:pt idx="5">
                        <c:v>243.33999215099999</c:v>
                      </c:pt>
                      <c:pt idx="6">
                        <c:v>245.98719753799998</c:v>
                      </c:pt>
                      <c:pt idx="7">
                        <c:v>241.96249810800001</c:v>
                      </c:pt>
                      <c:pt idx="8">
                        <c:v>237.26757623400002</c:v>
                      </c:pt>
                      <c:pt idx="9">
                        <c:v>233.29757345899998</c:v>
                      </c:pt>
                      <c:pt idx="10">
                        <c:v>229.38643594299998</c:v>
                      </c:pt>
                      <c:pt idx="11">
                        <c:v>225.93154426900003</c:v>
                      </c:pt>
                      <c:pt idx="12">
                        <c:v>222.64339559300004</c:v>
                      </c:pt>
                      <c:pt idx="13">
                        <c:v>219.30006298200001</c:v>
                      </c:pt>
                      <c:pt idx="14">
                        <c:v>215.99659937000001</c:v>
                      </c:pt>
                      <c:pt idx="15">
                        <c:v>212.792834642</c:v>
                      </c:pt>
                      <c:pt idx="16">
                        <c:v>209.68327563600002</c:v>
                      </c:pt>
                      <c:pt idx="17">
                        <c:v>206.62437546199999</c:v>
                      </c:pt>
                      <c:pt idx="18">
                        <c:v>203.66592068</c:v>
                      </c:pt>
                      <c:pt idx="19">
                        <c:v>200.83571927899999</c:v>
                      </c:pt>
                      <c:pt idx="20">
                        <c:v>198.15535711900003</c:v>
                      </c:pt>
                      <c:pt idx="21">
                        <c:v>195.64043689100001</c:v>
                      </c:pt>
                      <c:pt idx="22">
                        <c:v>193.30880270599999</c:v>
                      </c:pt>
                      <c:pt idx="23">
                        <c:v>191.15130097900001</c:v>
                      </c:pt>
                      <c:pt idx="24">
                        <c:v>189.136963447</c:v>
                      </c:pt>
                      <c:pt idx="25">
                        <c:v>187.23799456300003</c:v>
                      </c:pt>
                      <c:pt idx="26">
                        <c:v>185.447433507</c:v>
                      </c:pt>
                      <c:pt idx="27">
                        <c:v>183.78080487900002</c:v>
                      </c:pt>
                      <c:pt idx="28">
                        <c:v>182.20393189500001</c:v>
                      </c:pt>
                      <c:pt idx="29">
                        <c:v>180.63484470500001</c:v>
                      </c:pt>
                      <c:pt idx="30">
                        <c:v>178.97920747000001</c:v>
                      </c:pt>
                      <c:pt idx="31">
                        <c:v>177.165425164</c:v>
                      </c:pt>
                      <c:pt idx="32">
                        <c:v>175.13949633800001</c:v>
                      </c:pt>
                      <c:pt idx="33">
                        <c:v>172.842075298</c:v>
                      </c:pt>
                      <c:pt idx="34">
                        <c:v>170.21037595199999</c:v>
                      </c:pt>
                      <c:pt idx="35">
                        <c:v>167.17634113400001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235.584631376</c:v>
                      </c:pt>
                      <c:pt idx="1">
                        <c:v>236.92933354499999</c:v>
                      </c:pt>
                      <c:pt idx="2">
                        <c:v>238.45741045199998</c:v>
                      </c:pt>
                      <c:pt idx="3">
                        <c:v>239.55878502600001</c:v>
                      </c:pt>
                      <c:pt idx="4">
                        <c:v>241.16524734999999</c:v>
                      </c:pt>
                      <c:pt idx="5">
                        <c:v>243.33999215099999</c:v>
                      </c:pt>
                      <c:pt idx="6">
                        <c:v>245.66584746299998</c:v>
                      </c:pt>
                      <c:pt idx="7">
                        <c:v>247.99656311300001</c:v>
                      </c:pt>
                      <c:pt idx="8">
                        <c:v>250.25844449600001</c:v>
                      </c:pt>
                      <c:pt idx="9">
                        <c:v>252.467383219</c:v>
                      </c:pt>
                      <c:pt idx="10">
                        <c:v>254.66481389</c:v>
                      </c:pt>
                      <c:pt idx="11">
                        <c:v>256.88644647900003</c:v>
                      </c:pt>
                      <c:pt idx="12">
                        <c:v>259.06239304299999</c:v>
                      </c:pt>
                      <c:pt idx="13">
                        <c:v>260.985235053</c:v>
                      </c:pt>
                      <c:pt idx="14">
                        <c:v>262.77765720800005</c:v>
                      </c:pt>
                      <c:pt idx="15">
                        <c:v>264.58692698099998</c:v>
                      </c:pt>
                      <c:pt idx="16">
                        <c:v>266.60399779600004</c:v>
                      </c:pt>
                      <c:pt idx="17">
                        <c:v>269.16643589500001</c:v>
                      </c:pt>
                      <c:pt idx="18">
                        <c:v>272.33927432399997</c:v>
                      </c:pt>
                      <c:pt idx="19">
                        <c:v>276.10252036599996</c:v>
                      </c:pt>
                      <c:pt idx="20">
                        <c:v>280.42795397800001</c:v>
                      </c:pt>
                      <c:pt idx="21">
                        <c:v>285.28691755400001</c:v>
                      </c:pt>
                      <c:pt idx="22">
                        <c:v>290.67886330099998</c:v>
                      </c:pt>
                      <c:pt idx="23">
                        <c:v>296.59834322900002</c:v>
                      </c:pt>
                      <c:pt idx="24">
                        <c:v>303.022097261</c:v>
                      </c:pt>
                      <c:pt idx="25">
                        <c:v>309.93876365599999</c:v>
                      </c:pt>
                      <c:pt idx="26">
                        <c:v>317.3491952</c:v>
                      </c:pt>
                      <c:pt idx="27">
                        <c:v>325.28160175300002</c:v>
                      </c:pt>
                      <c:pt idx="28">
                        <c:v>333.73832076499997</c:v>
                      </c:pt>
                      <c:pt idx="29">
                        <c:v>342.64456539999998</c:v>
                      </c:pt>
                      <c:pt idx="30">
                        <c:v>351.890507824</c:v>
                      </c:pt>
                      <c:pt idx="31">
                        <c:v>361.38139960900003</c:v>
                      </c:pt>
                      <c:pt idx="32">
                        <c:v>371.04670262399998</c:v>
                      </c:pt>
                      <c:pt idx="33">
                        <c:v>380.82796742099998</c:v>
                      </c:pt>
                      <c:pt idx="34">
                        <c:v>390.67230755100002</c:v>
                      </c:pt>
                      <c:pt idx="35">
                        <c:v>400.52882032600002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"/>
          <c:y val="0.10956263094332325"/>
          <c:w val="0.88457713027791363"/>
          <c:h val="0.6941711791940763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Données!$B$627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Données!$C$625:$AL$625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Données!$C$627:$AL$627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7.2612925347359517E-5</c:v>
                </c:pt>
                <c:pt idx="7">
                  <c:v>-1.0104373569632204E-3</c:v>
                </c:pt>
                <c:pt idx="8">
                  <c:v>-2.2875628438814091E-3</c:v>
                </c:pt>
                <c:pt idx="9">
                  <c:v>-3.2557464225090372E-3</c:v>
                </c:pt>
                <c:pt idx="10">
                  <c:v>-4.200475067548207E-3</c:v>
                </c:pt>
                <c:pt idx="11">
                  <c:v>-5.0219447710507905E-3</c:v>
                </c:pt>
                <c:pt idx="12">
                  <c:v>-5.784883920997486E-3</c:v>
                </c:pt>
                <c:pt idx="13">
                  <c:v>-6.471314144472144E-3</c:v>
                </c:pt>
                <c:pt idx="14">
                  <c:v>-7.0726525443495711E-3</c:v>
                </c:pt>
                <c:pt idx="15">
                  <c:v>-7.6050526585039998E-3</c:v>
                </c:pt>
                <c:pt idx="16">
                  <c:v>-8.1067198092744808E-3</c:v>
                </c:pt>
                <c:pt idx="17">
                  <c:v>-8.7012531018358357E-3</c:v>
                </c:pt>
                <c:pt idx="18">
                  <c:v>-9.3834778139261638E-3</c:v>
                </c:pt>
                <c:pt idx="19">
                  <c:v>-1.0132681858278602E-2</c:v>
                </c:pt>
                <c:pt idx="20">
                  <c:v>-1.0928418562447815E-2</c:v>
                </c:pt>
                <c:pt idx="21">
                  <c:v>-1.1751429364470298E-2</c:v>
                </c:pt>
                <c:pt idx="22">
                  <c:v>-1.2588340117033938E-2</c:v>
                </c:pt>
                <c:pt idx="23">
                  <c:v>-1.3432401597679446E-2</c:v>
                </c:pt>
                <c:pt idx="24">
                  <c:v>-1.4278479059935236E-2</c:v>
                </c:pt>
                <c:pt idx="25">
                  <c:v>-1.5123570203558338E-2</c:v>
                </c:pt>
                <c:pt idx="26">
                  <c:v>-1.6000187799583277E-2</c:v>
                </c:pt>
                <c:pt idx="27">
                  <c:v>-1.6863693917137226E-2</c:v>
                </c:pt>
                <c:pt idx="28">
                  <c:v>-1.7711283450124408E-2</c:v>
                </c:pt>
                <c:pt idx="29">
                  <c:v>-1.854172178094253E-2</c:v>
                </c:pt>
                <c:pt idx="30">
                  <c:v>-1.935205784612214E-2</c:v>
                </c:pt>
                <c:pt idx="31">
                  <c:v>-2.0137179310904911E-2</c:v>
                </c:pt>
                <c:pt idx="32">
                  <c:v>-2.089260257050676E-2</c:v>
                </c:pt>
                <c:pt idx="33">
                  <c:v>-2.1619411360176883E-2</c:v>
                </c:pt>
                <c:pt idx="34">
                  <c:v>-2.2320967339303326E-2</c:v>
                </c:pt>
                <c:pt idx="35">
                  <c:v>-2.3002845947110315E-2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Données!$B$628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Données!$C$625:$AL$625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Données!$C$628:$AL$628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8.0889989609673042E-4</c:v>
                </c:pt>
                <c:pt idx="7">
                  <c:v>-9.6841155830076258E-4</c:v>
                </c:pt>
                <c:pt idx="8">
                  <c:v>-3.790558379602002E-3</c:v>
                </c:pt>
                <c:pt idx="9">
                  <c:v>-7.0185519397064303E-3</c:v>
                </c:pt>
                <c:pt idx="10">
                  <c:v>-1.0962415176477116E-2</c:v>
                </c:pt>
                <c:pt idx="11">
                  <c:v>-1.4723370516022372E-2</c:v>
                </c:pt>
                <c:pt idx="12">
                  <c:v>-1.7841416810602591E-2</c:v>
                </c:pt>
                <c:pt idx="13">
                  <c:v>-2.0022086511613957E-2</c:v>
                </c:pt>
                <c:pt idx="14">
                  <c:v>-2.1203667968180816E-2</c:v>
                </c:pt>
                <c:pt idx="15">
                  <c:v>-2.1519859371302942E-2</c:v>
                </c:pt>
                <c:pt idx="16">
                  <c:v>-2.1686538602798931E-2</c:v>
                </c:pt>
                <c:pt idx="17">
                  <c:v>-2.186339757228857E-2</c:v>
                </c:pt>
                <c:pt idx="18">
                  <c:v>-2.2099168784663947E-2</c:v>
                </c:pt>
                <c:pt idx="19">
                  <c:v>-2.2382868300880973E-2</c:v>
                </c:pt>
                <c:pt idx="20">
                  <c:v>-2.2681492065465925E-2</c:v>
                </c:pt>
                <c:pt idx="21">
                  <c:v>-2.2949039384736605E-2</c:v>
                </c:pt>
                <c:pt idx="22">
                  <c:v>-2.3142789122921129E-2</c:v>
                </c:pt>
                <c:pt idx="23">
                  <c:v>-2.3234408412104696E-2</c:v>
                </c:pt>
                <c:pt idx="24">
                  <c:v>-2.3203582631583747E-2</c:v>
                </c:pt>
                <c:pt idx="25">
                  <c:v>-2.3034949091687788E-2</c:v>
                </c:pt>
                <c:pt idx="26">
                  <c:v>-2.2706896333535988E-2</c:v>
                </c:pt>
                <c:pt idx="27">
                  <c:v>-2.2181619335851041E-2</c:v>
                </c:pt>
                <c:pt idx="28">
                  <c:v>-2.1448131257504902E-2</c:v>
                </c:pt>
                <c:pt idx="29">
                  <c:v>-2.0500409512632725E-2</c:v>
                </c:pt>
                <c:pt idx="30">
                  <c:v>-1.9327195327867603E-2</c:v>
                </c:pt>
                <c:pt idx="31">
                  <c:v>-1.7902089927027909E-2</c:v>
                </c:pt>
                <c:pt idx="32">
                  <c:v>-1.6186905050631771E-2</c:v>
                </c:pt>
                <c:pt idx="33">
                  <c:v>-1.4142709886909972E-2</c:v>
                </c:pt>
                <c:pt idx="34">
                  <c:v>-1.1720850115311017E-2</c:v>
                </c:pt>
                <c:pt idx="35">
                  <c:v>-8.8534948762126094E-3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Données!$B$629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Données!$C$625:$AL$625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Données!$C$629:$AL$629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4.7355445172059685E-4</c:v>
                </c:pt>
                <c:pt idx="7">
                  <c:v>-1.0773360050547955E-3</c:v>
                </c:pt>
                <c:pt idx="8">
                  <c:v>-2.8146301427842591E-3</c:v>
                </c:pt>
                <c:pt idx="9">
                  <c:v>-4.0523540352417836E-3</c:v>
                </c:pt>
                <c:pt idx="10">
                  <c:v>-5.1260424074629114E-3</c:v>
                </c:pt>
                <c:pt idx="11">
                  <c:v>-5.55719155462653E-3</c:v>
                </c:pt>
                <c:pt idx="12">
                  <c:v>-5.6022059461028825E-3</c:v>
                </c:pt>
                <c:pt idx="13">
                  <c:v>-5.3652821114225785E-3</c:v>
                </c:pt>
                <c:pt idx="14">
                  <c:v>-4.8797189519985502E-3</c:v>
                </c:pt>
                <c:pt idx="15">
                  <c:v>-4.1831568779198101E-3</c:v>
                </c:pt>
                <c:pt idx="16">
                  <c:v>-3.9674885822311408E-3</c:v>
                </c:pt>
                <c:pt idx="17">
                  <c:v>-4.1815595871640384E-3</c:v>
                </c:pt>
                <c:pt idx="18">
                  <c:v>-4.6919185493645831E-3</c:v>
                </c:pt>
                <c:pt idx="19">
                  <c:v>-5.36489179665562E-3</c:v>
                </c:pt>
                <c:pt idx="20">
                  <c:v>-6.0975031987898299E-3</c:v>
                </c:pt>
                <c:pt idx="21">
                  <c:v>-6.8088624978234081E-3</c:v>
                </c:pt>
                <c:pt idx="22">
                  <c:v>-7.4456163482413563E-3</c:v>
                </c:pt>
                <c:pt idx="23">
                  <c:v>-7.9919717274272075E-3</c:v>
                </c:pt>
                <c:pt idx="24">
                  <c:v>-8.428491151900452E-3</c:v>
                </c:pt>
                <c:pt idx="25">
                  <c:v>-8.7389456528390759E-3</c:v>
                </c:pt>
                <c:pt idx="26">
                  <c:v>-8.9080766106823649E-3</c:v>
                </c:pt>
                <c:pt idx="27">
                  <c:v>-8.8999313887629435E-3</c:v>
                </c:pt>
                <c:pt idx="28">
                  <c:v>-8.7074074267505831E-3</c:v>
                </c:pt>
                <c:pt idx="29">
                  <c:v>-8.3244122078511857E-3</c:v>
                </c:pt>
                <c:pt idx="30">
                  <c:v>-7.740892241646328E-3</c:v>
                </c:pt>
                <c:pt idx="31">
                  <c:v>-6.9386325395618068E-3</c:v>
                </c:pt>
                <c:pt idx="32">
                  <c:v>-5.8983760216922932E-3</c:v>
                </c:pt>
                <c:pt idx="33">
                  <c:v>-4.6140733122766531E-3</c:v>
                </c:pt>
                <c:pt idx="34">
                  <c:v>-3.0979554054700177E-3</c:v>
                </c:pt>
                <c:pt idx="35">
                  <c:v>-1.4127383983614824E-3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Données!$B$630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Données!$C$625:$AL$625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Données!$C$630:$AL$630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-2.1338839346876686E-4</c:v>
                </c:pt>
                <c:pt idx="7">
                  <c:v>6.6787961319304042E-4</c:v>
                </c:pt>
                <c:pt idx="8">
                  <c:v>1.2639453845649743E-3</c:v>
                </c:pt>
                <c:pt idx="9">
                  <c:v>2.3171572342976588E-3</c:v>
                </c:pt>
                <c:pt idx="10">
                  <c:v>3.2938116528211515E-3</c:v>
                </c:pt>
                <c:pt idx="11">
                  <c:v>3.490343705391208E-3</c:v>
                </c:pt>
                <c:pt idx="12">
                  <c:v>3.1825696916018358E-3</c:v>
                </c:pt>
                <c:pt idx="13">
                  <c:v>2.5534710450099878E-3</c:v>
                </c:pt>
                <c:pt idx="14">
                  <c:v>1.7497380874109385E-3</c:v>
                </c:pt>
                <c:pt idx="15">
                  <c:v>8.4882570466206101E-4</c:v>
                </c:pt>
                <c:pt idx="16">
                  <c:v>2.0080770229490344E-4</c:v>
                </c:pt>
                <c:pt idx="17">
                  <c:v>-4.5358314833259525E-4</c:v>
                </c:pt>
                <c:pt idx="18">
                  <c:v>-1.2160157587486995E-3</c:v>
                </c:pt>
                <c:pt idx="19">
                  <c:v>-2.1057696760977142E-3</c:v>
                </c:pt>
                <c:pt idx="20">
                  <c:v>-3.1032053987757832E-3</c:v>
                </c:pt>
                <c:pt idx="21">
                  <c:v>-4.1726439699511118E-3</c:v>
                </c:pt>
                <c:pt idx="22">
                  <c:v>-5.2845393492805953E-3</c:v>
                </c:pt>
                <c:pt idx="23">
                  <c:v>-6.4278047349542395E-3</c:v>
                </c:pt>
                <c:pt idx="24">
                  <c:v>-7.5998356685954222E-3</c:v>
                </c:pt>
                <c:pt idx="25">
                  <c:v>-8.8001901278473172E-3</c:v>
                </c:pt>
                <c:pt idx="26">
                  <c:v>-1.0016487864461609E-2</c:v>
                </c:pt>
                <c:pt idx="27">
                  <c:v>-1.1211611227675815E-2</c:v>
                </c:pt>
                <c:pt idx="28">
                  <c:v>-1.2394804556911273E-2</c:v>
                </c:pt>
                <c:pt idx="29">
                  <c:v>-1.357890833275636E-2</c:v>
                </c:pt>
                <c:pt idx="30">
                  <c:v>-1.4772273136870866E-2</c:v>
                </c:pt>
                <c:pt idx="31">
                  <c:v>-1.5969343978875592E-2</c:v>
                </c:pt>
                <c:pt idx="32">
                  <c:v>-1.7161770751357747E-2</c:v>
                </c:pt>
                <c:pt idx="33">
                  <c:v>-1.8359218481756964E-2</c:v>
                </c:pt>
                <c:pt idx="34">
                  <c:v>-1.9576944519560789E-2</c:v>
                </c:pt>
                <c:pt idx="35">
                  <c:v>-2.0827401319954725E-2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Données!$B$631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Données!$C$625:$AL$625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Données!$C$631:$AL$631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5.7610359516728798E-5</c:v>
                </c:pt>
                <c:pt idx="7">
                  <c:v>-1.869238573000266E-3</c:v>
                </c:pt>
                <c:pt idx="8">
                  <c:v>-4.1712910427010013E-3</c:v>
                </c:pt>
                <c:pt idx="9">
                  <c:v>-6.3883308842786323E-3</c:v>
                </c:pt>
                <c:pt idx="10">
                  <c:v>-8.7003718280813137E-3</c:v>
                </c:pt>
                <c:pt idx="11">
                  <c:v>-1.0689584953471483E-2</c:v>
                </c:pt>
                <c:pt idx="12">
                  <c:v>-1.2461890240532573E-2</c:v>
                </c:pt>
                <c:pt idx="13">
                  <c:v>-1.4028320546810776E-2</c:v>
                </c:pt>
                <c:pt idx="14">
                  <c:v>-1.5379452299952827E-2</c:v>
                </c:pt>
                <c:pt idx="15">
                  <c:v>-1.6529836273832116E-2</c:v>
                </c:pt>
                <c:pt idx="16">
                  <c:v>-1.7757781175300812E-2</c:v>
                </c:pt>
                <c:pt idx="17">
                  <c:v>-1.9048586979261192E-2</c:v>
                </c:pt>
                <c:pt idx="18">
                  <c:v>-2.038289473150762E-2</c:v>
                </c:pt>
                <c:pt idx="19">
                  <c:v>-2.1734586405054483E-2</c:v>
                </c:pt>
                <c:pt idx="20">
                  <c:v>-2.3075244280031947E-2</c:v>
                </c:pt>
                <c:pt idx="21">
                  <c:v>-2.4377518494814992E-2</c:v>
                </c:pt>
                <c:pt idx="22">
                  <c:v>-2.5621081904584515E-2</c:v>
                </c:pt>
                <c:pt idx="23">
                  <c:v>-2.6796349818093965E-2</c:v>
                </c:pt>
                <c:pt idx="24">
                  <c:v>-2.7899036991389577E-2</c:v>
                </c:pt>
                <c:pt idx="25">
                  <c:v>-2.8927346227666472E-2</c:v>
                </c:pt>
                <c:pt idx="26">
                  <c:v>-2.9875502603654531E-2</c:v>
                </c:pt>
                <c:pt idx="27">
                  <c:v>-3.0731045626726169E-2</c:v>
                </c:pt>
                <c:pt idx="28">
                  <c:v>-3.1499788591555097E-2</c:v>
                </c:pt>
                <c:pt idx="29">
                  <c:v>-3.2189782548364465E-2</c:v>
                </c:pt>
                <c:pt idx="30">
                  <c:v>-3.2807166733217326E-2</c:v>
                </c:pt>
                <c:pt idx="31">
                  <c:v>-3.3351901137338852E-2</c:v>
                </c:pt>
                <c:pt idx="32">
                  <c:v>-3.3822005557496385E-2</c:v>
                </c:pt>
                <c:pt idx="33">
                  <c:v>-3.4221319454855521E-2</c:v>
                </c:pt>
                <c:pt idx="34">
                  <c:v>-3.4555748605743078E-2</c:v>
                </c:pt>
                <c:pt idx="35">
                  <c:v>-3.4833845041524578E-2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Données!$B$626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Données!$C$625:$AL$625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Données!$C$626:$AL$626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1.199288956968303E-3</c:v>
                </c:pt>
                <c:pt idx="7">
                  <c:v>-4.2575437623533219E-3</c:v>
                </c:pt>
                <c:pt idx="8">
                  <c:v>-1.1800097037459323E-2</c:v>
                </c:pt>
                <c:pt idx="9">
                  <c:v>-1.8397826425516794E-2</c:v>
                </c:pt>
                <c:pt idx="10">
                  <c:v>-2.5695493250218582E-2</c:v>
                </c:pt>
                <c:pt idx="11">
                  <c:v>-3.2501748181000711E-2</c:v>
                </c:pt>
                <c:pt idx="12">
                  <c:v>-3.8507827011439066E-2</c:v>
                </c:pt>
                <c:pt idx="13">
                  <c:v>-4.3333532308502565E-2</c:v>
                </c:pt>
                <c:pt idx="14">
                  <c:v>-4.67857542793223E-2</c:v>
                </c:pt>
                <c:pt idx="15">
                  <c:v>-4.8989079955758075E-2</c:v>
                </c:pt>
                <c:pt idx="16">
                  <c:v>-5.1317720703625946E-2</c:v>
                </c:pt>
                <c:pt idx="17">
                  <c:v>-5.4248380231523119E-2</c:v>
                </c:pt>
                <c:pt idx="18">
                  <c:v>-5.7773476056508399E-2</c:v>
                </c:pt>
                <c:pt idx="19">
                  <c:v>-6.1720798245059716E-2</c:v>
                </c:pt>
                <c:pt idx="20">
                  <c:v>-6.5885863434466674E-2</c:v>
                </c:pt>
                <c:pt idx="21">
                  <c:v>-7.0059493519672E-2</c:v>
                </c:pt>
                <c:pt idx="22">
                  <c:v>-7.4082367133713301E-2</c:v>
                </c:pt>
                <c:pt idx="23">
                  <c:v>-7.7882936302794858E-2</c:v>
                </c:pt>
                <c:pt idx="24">
                  <c:v>-8.1409425651907674E-2</c:v>
                </c:pt>
                <c:pt idx="25">
                  <c:v>-8.4625001205985373E-2</c:v>
                </c:pt>
                <c:pt idx="26">
                  <c:v>-8.7507150923527677E-2</c:v>
                </c:pt>
                <c:pt idx="27">
                  <c:v>-8.9887901041094009E-2</c:v>
                </c:pt>
                <c:pt idx="28">
                  <c:v>-9.1761415416403258E-2</c:v>
                </c:pt>
                <c:pt idx="29">
                  <c:v>-9.3135234302736847E-2</c:v>
                </c:pt>
                <c:pt idx="30">
                  <c:v>-9.3999584888579513E-2</c:v>
                </c:pt>
                <c:pt idx="31">
                  <c:v>-9.4299146657770172E-2</c:v>
                </c:pt>
                <c:pt idx="32">
                  <c:v>-9.3961660021649962E-2</c:v>
                </c:pt>
                <c:pt idx="33">
                  <c:v>-9.2956732823291643E-2</c:v>
                </c:pt>
                <c:pt idx="34">
                  <c:v>-9.1272465959490012E-2</c:v>
                </c:pt>
                <c:pt idx="35">
                  <c:v>-8.8930325506911267E-2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3.7404048819870035E-2"/>
          <c:y val="0.88815746810704532"/>
          <c:w val="0.91015582410303764"/>
          <c:h val="8.87910617718346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Balance énergétique</a:t>
            </a:r>
          </a:p>
          <a:p>
            <a:pPr>
              <a:defRPr/>
            </a:pPr>
            <a:r>
              <a:rPr lang="fr-FR" sz="1800"/>
              <a:t>(en % d'écart au scénario tendanciel)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Données!$B$681</c:f>
              <c:strCache>
                <c:ptCount val="1"/>
                <c:pt idx="0">
                  <c:v>Consommation ménages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Données!$C$679:$AL$679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Données!$C$681:$AL$681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6.5061714457197574E-4</c:v>
                </c:pt>
                <c:pt idx="7">
                  <c:v>7.1699381162549573E-4</c:v>
                </c:pt>
                <c:pt idx="8">
                  <c:v>3.3273538782467756E-4</c:v>
                </c:pt>
                <c:pt idx="9">
                  <c:v>-8.6748680014872689E-4</c:v>
                </c:pt>
                <c:pt idx="10">
                  <c:v>-3.0099971994046373E-3</c:v>
                </c:pt>
                <c:pt idx="11">
                  <c:v>-5.5757054673610321E-3</c:v>
                </c:pt>
                <c:pt idx="12">
                  <c:v>-7.9566618626347712E-3</c:v>
                </c:pt>
                <c:pt idx="13">
                  <c:v>-9.7805674564396452E-3</c:v>
                </c:pt>
                <c:pt idx="14">
                  <c:v>-1.0941127404707828E-2</c:v>
                </c:pt>
                <c:pt idx="15">
                  <c:v>-1.1497020625390195E-2</c:v>
                </c:pt>
                <c:pt idx="16">
                  <c:v>-1.1909959618496465E-2</c:v>
                </c:pt>
                <c:pt idx="17">
                  <c:v>-1.2278787294883747E-2</c:v>
                </c:pt>
                <c:pt idx="18">
                  <c:v>-1.2628987574096327E-2</c:v>
                </c:pt>
                <c:pt idx="19">
                  <c:v>-1.2931468616404054E-2</c:v>
                </c:pt>
                <c:pt idx="20">
                  <c:v>-1.3156699762549493E-2</c:v>
                </c:pt>
                <c:pt idx="21">
                  <c:v>-1.328210407529435E-2</c:v>
                </c:pt>
                <c:pt idx="22">
                  <c:v>-1.3296519444740407E-2</c:v>
                </c:pt>
                <c:pt idx="23">
                  <c:v>-1.3210362417107883E-2</c:v>
                </c:pt>
                <c:pt idx="24">
                  <c:v>-1.302854598075337E-2</c:v>
                </c:pt>
                <c:pt idx="25">
                  <c:v>-1.2757852847986887E-2</c:v>
                </c:pt>
                <c:pt idx="26">
                  <c:v>-1.2409946544178988E-2</c:v>
                </c:pt>
                <c:pt idx="27">
                  <c:v>-1.1997072663662204E-2</c:v>
                </c:pt>
                <c:pt idx="28">
                  <c:v>-1.1529061907916376E-2</c:v>
                </c:pt>
                <c:pt idx="29">
                  <c:v>-1.1015897282821882E-2</c:v>
                </c:pt>
                <c:pt idx="30">
                  <c:v>-1.0466068672762013E-2</c:v>
                </c:pt>
                <c:pt idx="31">
                  <c:v>-9.8862854856441307E-3</c:v>
                </c:pt>
                <c:pt idx="32">
                  <c:v>-9.2812265884160954E-3</c:v>
                </c:pt>
                <c:pt idx="33">
                  <c:v>-8.6536289469581942E-3</c:v>
                </c:pt>
                <c:pt idx="34">
                  <c:v>-8.0089506460764726E-3</c:v>
                </c:pt>
                <c:pt idx="35">
                  <c:v>-7.363736949082593E-3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Données!$B$682</c:f>
              <c:strCache>
                <c:ptCount val="1"/>
                <c:pt idx="0">
                  <c:v>Consommation entreprises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Données!$C$679:$AL$679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Données!$C$682:$AL$682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1.0390688124204707E-3</c:v>
                </c:pt>
                <c:pt idx="7">
                  <c:v>-1.9402310739057592E-2</c:v>
                </c:pt>
                <c:pt idx="8">
                  <c:v>-4.2691368167382754E-2</c:v>
                </c:pt>
                <c:pt idx="9">
                  <c:v>-6.2544674907968487E-2</c:v>
                </c:pt>
                <c:pt idx="10">
                  <c:v>-8.172072101923579E-2</c:v>
                </c:pt>
                <c:pt idx="11">
                  <c:v>-9.9352399706434891E-2</c:v>
                </c:pt>
                <c:pt idx="12">
                  <c:v>-0.11528126482834315</c:v>
                </c:pt>
                <c:pt idx="13">
                  <c:v>-0.12896063301561195</c:v>
                </c:pt>
                <c:pt idx="14">
                  <c:v>-0.14041882853054419</c:v>
                </c:pt>
                <c:pt idx="15">
                  <c:v>-0.1500577935797251</c:v>
                </c:pt>
                <c:pt idx="16">
                  <c:v>-0.15539372165457022</c:v>
                </c:pt>
                <c:pt idx="17">
                  <c:v>-0.16044939646160089</c:v>
                </c:pt>
                <c:pt idx="18">
                  <c:v>-0.16574747070260157</c:v>
                </c:pt>
                <c:pt idx="19">
                  <c:v>-0.17121711574860579</c:v>
                </c:pt>
                <c:pt idx="20">
                  <c:v>-0.1766775378750404</c:v>
                </c:pt>
                <c:pt idx="21">
                  <c:v>-0.18191940639978135</c:v>
                </c:pt>
                <c:pt idx="22">
                  <c:v>-0.18676799578043626</c:v>
                </c:pt>
                <c:pt idx="23">
                  <c:v>-0.19113732688456772</c:v>
                </c:pt>
                <c:pt idx="24">
                  <c:v>-0.19498544697532544</c:v>
                </c:pt>
                <c:pt idx="25">
                  <c:v>-0.19828396665715056</c:v>
                </c:pt>
                <c:pt idx="26">
                  <c:v>-0.20075544161702369</c:v>
                </c:pt>
                <c:pt idx="27">
                  <c:v>-0.2023671810333629</c:v>
                </c:pt>
                <c:pt idx="28">
                  <c:v>-0.20313633765101302</c:v>
                </c:pt>
                <c:pt idx="29">
                  <c:v>-0.20311664263074508</c:v>
                </c:pt>
                <c:pt idx="30">
                  <c:v>-0.20235062298869444</c:v>
                </c:pt>
                <c:pt idx="31">
                  <c:v>-0.20080511451165592</c:v>
                </c:pt>
                <c:pt idx="32">
                  <c:v>-0.19840662215605512</c:v>
                </c:pt>
                <c:pt idx="33">
                  <c:v>-0.19513603789317568</c:v>
                </c:pt>
                <c:pt idx="34">
                  <c:v>-0.1909939518475649</c:v>
                </c:pt>
                <c:pt idx="35">
                  <c:v>-0.18600082324960104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Données!$B$683</c:f>
              <c:strCache>
                <c:ptCount val="1"/>
                <c:pt idx="0">
                  <c:v>Exportations nettes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Données!$C$679:$AL$679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Données!$C$683:$AL$683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-1.3829485571198741E-3</c:v>
                </c:pt>
                <c:pt idx="7">
                  <c:v>1.0231794466337622E-2</c:v>
                </c:pt>
                <c:pt idx="8">
                  <c:v>2.5407089459946967E-2</c:v>
                </c:pt>
                <c:pt idx="9">
                  <c:v>4.0955545610335965E-2</c:v>
                </c:pt>
                <c:pt idx="10">
                  <c:v>5.6404597811503768E-2</c:v>
                </c:pt>
                <c:pt idx="11">
                  <c:v>7.033754654292837E-2</c:v>
                </c:pt>
                <c:pt idx="12">
                  <c:v>8.2279229866951062E-2</c:v>
                </c:pt>
                <c:pt idx="13">
                  <c:v>9.205491003240554E-2</c:v>
                </c:pt>
                <c:pt idx="14">
                  <c:v>9.9712875566069656E-2</c:v>
                </c:pt>
                <c:pt idx="15">
                  <c:v>0.10555277333609436</c:v>
                </c:pt>
                <c:pt idx="16">
                  <c:v>0.11117271043321478</c:v>
                </c:pt>
                <c:pt idx="17">
                  <c:v>0.11650221493722944</c:v>
                </c:pt>
                <c:pt idx="18">
                  <c:v>0.12198584954940186</c:v>
                </c:pt>
                <c:pt idx="19">
                  <c:v>0.12757286065780815</c:v>
                </c:pt>
                <c:pt idx="20">
                  <c:v>0.13315273743345138</c:v>
                </c:pt>
                <c:pt idx="21">
                  <c:v>0.13862818206483579</c:v>
                </c:pt>
                <c:pt idx="22">
                  <c:v>0.14393076810693153</c:v>
                </c:pt>
                <c:pt idx="23">
                  <c:v>0.14902534159289907</c:v>
                </c:pt>
                <c:pt idx="24">
                  <c:v>0.15389483580150881</c:v>
                </c:pt>
                <c:pt idx="25">
                  <c:v>0.15854108083355162</c:v>
                </c:pt>
                <c:pt idx="26">
                  <c:v>0.16328771413084867</c:v>
                </c:pt>
                <c:pt idx="27">
                  <c:v>0.16791605295687306</c:v>
                </c:pt>
                <c:pt idx="28">
                  <c:v>0.17250330567085254</c:v>
                </c:pt>
                <c:pt idx="29">
                  <c:v>0.17713945489222799</c:v>
                </c:pt>
                <c:pt idx="30">
                  <c:v>0.18194490484695844</c:v>
                </c:pt>
                <c:pt idx="31">
                  <c:v>0.18711492277275957</c:v>
                </c:pt>
                <c:pt idx="32">
                  <c:v>0.19297323672404079</c:v>
                </c:pt>
                <c:pt idx="33">
                  <c:v>0.20007226584810442</c:v>
                </c:pt>
                <c:pt idx="34">
                  <c:v>0.20946398532477145</c:v>
                </c:pt>
                <c:pt idx="35">
                  <c:v>0.22341027005620148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Données!$B$680</c:f>
              <c:strCache>
                <c:ptCount val="1"/>
                <c:pt idx="0">
                  <c:v>Production nette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Données!$C$679:$AL$679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Données!$C$680:$AL$680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3.0673780573464704E-4</c:v>
                </c:pt>
                <c:pt idx="7">
                  <c:v>-8.4535220607828698E-3</c:v>
                </c:pt>
                <c:pt idx="8">
                  <c:v>-1.6951542924613427E-2</c:v>
                </c:pt>
                <c:pt idx="9">
                  <c:v>-2.245661642269503E-2</c:v>
                </c:pt>
                <c:pt idx="10">
                  <c:v>-2.8326120214658079E-2</c:v>
                </c:pt>
                <c:pt idx="11">
                  <c:v>-3.4590558377444736E-2</c:v>
                </c:pt>
                <c:pt idx="12">
                  <c:v>-4.0958696636249514E-2</c:v>
                </c:pt>
                <c:pt idx="13">
                  <c:v>-4.6686290068109759E-2</c:v>
                </c:pt>
                <c:pt idx="14">
                  <c:v>-5.1647080369182308E-2</c:v>
                </c:pt>
                <c:pt idx="15">
                  <c:v>-5.6002041415223691E-2</c:v>
                </c:pt>
                <c:pt idx="16">
                  <c:v>-5.613097017682811E-2</c:v>
                </c:pt>
                <c:pt idx="17">
                  <c:v>-5.622596774252997E-2</c:v>
                </c:pt>
                <c:pt idx="18">
                  <c:v>-5.6390608727295843E-2</c:v>
                </c:pt>
                <c:pt idx="19">
                  <c:v>-5.657572317846038E-2</c:v>
                </c:pt>
                <c:pt idx="20">
                  <c:v>-5.6681499855288586E-2</c:v>
                </c:pt>
                <c:pt idx="21">
                  <c:v>-5.6573328467730777E-2</c:v>
                </c:pt>
                <c:pt idx="22">
                  <c:v>-5.613374677745786E-2</c:v>
                </c:pt>
                <c:pt idx="23">
                  <c:v>-5.532234759664556E-2</c:v>
                </c:pt>
                <c:pt idx="24">
                  <c:v>-5.4119156712177152E-2</c:v>
                </c:pt>
                <c:pt idx="25">
                  <c:v>-5.2500738780590694E-2</c:v>
                </c:pt>
                <c:pt idx="26">
                  <c:v>-4.9877673869318295E-2</c:v>
                </c:pt>
                <c:pt idx="27">
                  <c:v>-4.6448200898635328E-2</c:v>
                </c:pt>
                <c:pt idx="28">
                  <c:v>-4.2162093264630829E-2</c:v>
                </c:pt>
                <c:pt idx="29">
                  <c:v>-3.6993084970270429E-2</c:v>
                </c:pt>
                <c:pt idx="30">
                  <c:v>-3.0871786513385846E-2</c:v>
                </c:pt>
                <c:pt idx="31">
                  <c:v>-2.3576477027285825E-2</c:v>
                </c:pt>
                <c:pt idx="32">
                  <c:v>-1.4714612068890687E-2</c:v>
                </c:pt>
                <c:pt idx="33">
                  <c:v>-3.7174003252266052E-3</c:v>
                </c:pt>
                <c:pt idx="34">
                  <c:v>1.046108353347841E-2</c:v>
                </c:pt>
                <c:pt idx="35">
                  <c:v>3.0045709995656145E-2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Energie</a:t>
            </a:r>
            <a:r>
              <a:rPr lang="fr-FR" sz="2800" baseline="0"/>
              <a:t> primaire </a:t>
            </a:r>
            <a:r>
              <a:rPr lang="fr-FR" sz="2800"/>
              <a:t>(Mtep)</a:t>
            </a:r>
          </a:p>
        </c:rich>
      </c:tx>
      <c:layout>
        <c:manualLayout>
          <c:xMode val="edge"/>
          <c:yMode val="edge"/>
          <c:x val="0.33123145460476872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Données!$B$661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Données!$C$659:$AL$659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Données!$C$661:$AL$661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-1.3178554771559024E-5</c:v>
                </c:pt>
                <c:pt idx="7">
                  <c:v>-1.8093554799980457E-4</c:v>
                </c:pt>
                <c:pt idx="8">
                  <c:v>-3.4643851654351214E-4</c:v>
                </c:pt>
                <c:pt idx="9">
                  <c:v>-5.6121284121031208E-4</c:v>
                </c:pt>
                <c:pt idx="10">
                  <c:v>-7.6208555319213925E-4</c:v>
                </c:pt>
                <c:pt idx="11">
                  <c:v>-9.4849972158882396E-4</c:v>
                </c:pt>
                <c:pt idx="12">
                  <c:v>-1.1125948619860532E-3</c:v>
                </c:pt>
                <c:pt idx="13">
                  <c:v>-1.2600664428304579E-3</c:v>
                </c:pt>
                <c:pt idx="14">
                  <c:v>-1.3979472202955354E-3</c:v>
                </c:pt>
                <c:pt idx="15">
                  <c:v>-1.5284322310416272E-3</c:v>
                </c:pt>
                <c:pt idx="16">
                  <c:v>-1.618656000506938E-3</c:v>
                </c:pt>
                <c:pt idx="17">
                  <c:v>-1.6795698199011941E-3</c:v>
                </c:pt>
                <c:pt idx="18">
                  <c:v>-1.716215164078005E-3</c:v>
                </c:pt>
                <c:pt idx="19">
                  <c:v>-1.7329029028129775E-3</c:v>
                </c:pt>
                <c:pt idx="20">
                  <c:v>-1.7333434335987604E-3</c:v>
                </c:pt>
                <c:pt idx="21">
                  <c:v>-1.7209950470318633E-3</c:v>
                </c:pt>
                <c:pt idx="22">
                  <c:v>-1.6982021723191991E-3</c:v>
                </c:pt>
                <c:pt idx="23">
                  <c:v>-1.6662445078983305E-3</c:v>
                </c:pt>
                <c:pt idx="24">
                  <c:v>-1.6262914523006641E-3</c:v>
                </c:pt>
                <c:pt idx="25">
                  <c:v>-1.579112632536272E-3</c:v>
                </c:pt>
                <c:pt idx="26">
                  <c:v>-1.5153568335438141E-3</c:v>
                </c:pt>
                <c:pt idx="27">
                  <c:v>-1.4465726555838436E-3</c:v>
                </c:pt>
                <c:pt idx="28">
                  <c:v>-1.3740044727327998E-3</c:v>
                </c:pt>
                <c:pt idx="29">
                  <c:v>-1.2987313212317517E-3</c:v>
                </c:pt>
                <c:pt idx="30">
                  <c:v>-1.2222278808313124E-3</c:v>
                </c:pt>
                <c:pt idx="31">
                  <c:v>-1.1462183440427954E-3</c:v>
                </c:pt>
                <c:pt idx="32">
                  <c:v>-1.0721644936984979E-3</c:v>
                </c:pt>
                <c:pt idx="33">
                  <c:v>-1.0003687331600381E-3</c:v>
                </c:pt>
                <c:pt idx="34">
                  <c:v>-9.3059553550060901E-4</c:v>
                </c:pt>
                <c:pt idx="35">
                  <c:v>-8.6203581113451018E-4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Données!$B$662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Données!$C$659:$AL$659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Données!$C$662:$AL$662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4.2197768064063644E-4</c:v>
                </c:pt>
                <c:pt idx="7">
                  <c:v>-1.0190384042366754E-2</c:v>
                </c:pt>
                <c:pt idx="8">
                  <c:v>-2.0892694980988721E-2</c:v>
                </c:pt>
                <c:pt idx="9">
                  <c:v>-3.1638613446369687E-2</c:v>
                </c:pt>
                <c:pt idx="10">
                  <c:v>-4.2758586833243642E-2</c:v>
                </c:pt>
                <c:pt idx="11">
                  <c:v>-5.3804822121318076E-2</c:v>
                </c:pt>
                <c:pt idx="12">
                  <c:v>-6.4399628440014511E-2</c:v>
                </c:pt>
                <c:pt idx="13">
                  <c:v>-7.4039336635222858E-2</c:v>
                </c:pt>
                <c:pt idx="14">
                  <c:v>-8.3010118708790159E-2</c:v>
                </c:pt>
                <c:pt idx="15">
                  <c:v>-9.159089599372823E-2</c:v>
                </c:pt>
                <c:pt idx="16">
                  <c:v>-9.5069127015625338E-2</c:v>
                </c:pt>
                <c:pt idx="17">
                  <c:v>-9.8549576130739447E-2</c:v>
                </c:pt>
                <c:pt idx="18">
                  <c:v>-0.1020649443388898</c:v>
                </c:pt>
                <c:pt idx="19">
                  <c:v>-0.10558429898463699</c:v>
                </c:pt>
                <c:pt idx="20">
                  <c:v>-0.10906371867588933</c:v>
                </c:pt>
                <c:pt idx="21">
                  <c:v>-0.11245786266928309</c:v>
                </c:pt>
                <c:pt idx="22">
                  <c:v>-0.11572188472148222</c:v>
                </c:pt>
                <c:pt idx="23">
                  <c:v>-0.11882481911093318</c:v>
                </c:pt>
                <c:pt idx="24">
                  <c:v>-0.12174719150643928</c:v>
                </c:pt>
                <c:pt idx="25">
                  <c:v>-0.12447125128267016</c:v>
                </c:pt>
                <c:pt idx="26">
                  <c:v>-0.12696294584309764</c:v>
                </c:pt>
                <c:pt idx="27">
                  <c:v>-0.12918927573519512</c:v>
                </c:pt>
                <c:pt idx="28">
                  <c:v>-0.13113667317951327</c:v>
                </c:pt>
                <c:pt idx="29">
                  <c:v>-0.1328156249832555</c:v>
                </c:pt>
                <c:pt idx="30">
                  <c:v>-0.13424266782900246</c:v>
                </c:pt>
                <c:pt idx="31">
                  <c:v>-0.13542022417766719</c:v>
                </c:pt>
                <c:pt idx="32">
                  <c:v>-0.13633655962340324</c:v>
                </c:pt>
                <c:pt idx="33">
                  <c:v>-0.13697727363112316</c:v>
                </c:pt>
                <c:pt idx="34">
                  <c:v>-0.13732062423165367</c:v>
                </c:pt>
                <c:pt idx="35">
                  <c:v>-0.13733193522443546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Données!$B$663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Données!$C$659:$AL$659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Données!$C$663:$AL$663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9.4606372808435187E-5</c:v>
                </c:pt>
                <c:pt idx="7">
                  <c:v>-4.35879127154057E-4</c:v>
                </c:pt>
                <c:pt idx="8">
                  <c:v>-7.4391478225026297E-4</c:v>
                </c:pt>
                <c:pt idx="9">
                  <c:v>-9.0347980340429275E-4</c:v>
                </c:pt>
                <c:pt idx="10">
                  <c:v>-1.045630760040369E-3</c:v>
                </c:pt>
                <c:pt idx="11">
                  <c:v>-1.0057245390103656E-3</c:v>
                </c:pt>
                <c:pt idx="12">
                  <c:v>-9.0526611908732296E-4</c:v>
                </c:pt>
                <c:pt idx="13">
                  <c:v>-7.5205386077510292E-4</c:v>
                </c:pt>
                <c:pt idx="14">
                  <c:v>-5.7311313852603026E-4</c:v>
                </c:pt>
                <c:pt idx="15">
                  <c:v>-3.7858448827229072E-4</c:v>
                </c:pt>
                <c:pt idx="16">
                  <c:v>-5.2201604898963389E-4</c:v>
                </c:pt>
                <c:pt idx="17">
                  <c:v>-7.5049000800443775E-4</c:v>
                </c:pt>
                <c:pt idx="18">
                  <c:v>-9.9596195423376369E-4</c:v>
                </c:pt>
                <c:pt idx="19">
                  <c:v>-1.2149402010942251E-3</c:v>
                </c:pt>
                <c:pt idx="20">
                  <c:v>-1.3773854767396587E-3</c:v>
                </c:pt>
                <c:pt idx="21">
                  <c:v>-1.4571643355721531E-3</c:v>
                </c:pt>
                <c:pt idx="22">
                  <c:v>-1.4331910682110706E-3</c:v>
                </c:pt>
                <c:pt idx="23">
                  <c:v>-1.2937001818731019E-3</c:v>
                </c:pt>
                <c:pt idx="24">
                  <c:v>-1.0171020518525778E-3</c:v>
                </c:pt>
                <c:pt idx="25">
                  <c:v>-5.7637200913813818E-4</c:v>
                </c:pt>
                <c:pt idx="26">
                  <c:v>6.9891843218795947E-5</c:v>
                </c:pt>
                <c:pt idx="27">
                  <c:v>9.7312714414954978E-4</c:v>
                </c:pt>
                <c:pt idx="28">
                  <c:v>2.1941746390718385E-3</c:v>
                </c:pt>
                <c:pt idx="29">
                  <c:v>3.8183015685451121E-3</c:v>
                </c:pt>
                <c:pt idx="30">
                  <c:v>5.9706047686551179E-3</c:v>
                </c:pt>
                <c:pt idx="31">
                  <c:v>8.8453911291538241E-3</c:v>
                </c:pt>
                <c:pt idx="32">
                  <c:v>1.275410791904383E-2</c:v>
                </c:pt>
                <c:pt idx="33">
                  <c:v>1.8223176908845385E-2</c:v>
                </c:pt>
                <c:pt idx="34">
                  <c:v>2.6233274088791107E-2</c:v>
                </c:pt>
                <c:pt idx="35">
                  <c:v>3.885153611621063E-2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Données!$B$664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Données!$C$659:$AL$659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Données!$C$664:$AL$664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-1.9768346351556665E-4</c:v>
                </c:pt>
                <c:pt idx="7">
                  <c:v>2.8559822185814641E-3</c:v>
                </c:pt>
                <c:pt idx="8">
                  <c:v>6.3051824732885189E-3</c:v>
                </c:pt>
                <c:pt idx="9">
                  <c:v>1.175439182574675E-2</c:v>
                </c:pt>
                <c:pt idx="10">
                  <c:v>1.7324952092775854E-2</c:v>
                </c:pt>
                <c:pt idx="11">
                  <c:v>2.2080438558671821E-2</c:v>
                </c:pt>
                <c:pt idx="12">
                  <c:v>2.6114218147910581E-2</c:v>
                </c:pt>
                <c:pt idx="13">
                  <c:v>2.9620720884303134E-2</c:v>
                </c:pt>
                <c:pt idx="14">
                  <c:v>3.2918329661468362E-2</c:v>
                </c:pt>
                <c:pt idx="15">
                  <c:v>3.6133585829436543E-2</c:v>
                </c:pt>
                <c:pt idx="16">
                  <c:v>3.8972026108688232E-2</c:v>
                </c:pt>
                <c:pt idx="17">
                  <c:v>4.1862053207139836E-2</c:v>
                </c:pt>
                <c:pt idx="18">
                  <c:v>4.4702636557810115E-2</c:v>
                </c:pt>
                <c:pt idx="19">
                  <c:v>4.7470137194943092E-2</c:v>
                </c:pt>
                <c:pt idx="20">
                  <c:v>5.0180945951109439E-2</c:v>
                </c:pt>
                <c:pt idx="21">
                  <c:v>5.2884398611378232E-2</c:v>
                </c:pt>
                <c:pt idx="22">
                  <c:v>5.5620024879326192E-2</c:v>
                </c:pt>
                <c:pt idx="23">
                  <c:v>5.8379231499254926E-2</c:v>
                </c:pt>
                <c:pt idx="24">
                  <c:v>6.1138162954308101E-2</c:v>
                </c:pt>
                <c:pt idx="25">
                  <c:v>6.387353230964414E-2</c:v>
                </c:pt>
                <c:pt idx="26">
                  <c:v>6.6904027032861954E-2</c:v>
                </c:pt>
                <c:pt idx="27">
                  <c:v>7.0104674369649678E-2</c:v>
                </c:pt>
                <c:pt idx="28">
                  <c:v>7.3451441462215494E-2</c:v>
                </c:pt>
                <c:pt idx="29">
                  <c:v>7.6896292111190062E-2</c:v>
                </c:pt>
                <c:pt idx="30">
                  <c:v>8.0395924684571032E-2</c:v>
                </c:pt>
                <c:pt idx="31">
                  <c:v>8.3962745601553396E-2</c:v>
                </c:pt>
                <c:pt idx="32">
                  <c:v>8.7634776956043353E-2</c:v>
                </c:pt>
                <c:pt idx="33">
                  <c:v>9.1395931822519261E-2</c:v>
                </c:pt>
                <c:pt idx="34">
                  <c:v>9.5211604217319099E-2</c:v>
                </c:pt>
                <c:pt idx="35">
                  <c:v>9.9043462767711143E-2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Données!$B$665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Données!$C$659:$AL$659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Données!$C$665:$AL$665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5.9091431391903975E-6</c:v>
                </c:pt>
                <c:pt idx="7">
                  <c:v>-1.9876585955214024E-3</c:v>
                </c:pt>
                <c:pt idx="8">
                  <c:v>-4.1275118541270403E-3</c:v>
                </c:pt>
                <c:pt idx="9">
                  <c:v>-5.2539025886760978E-3</c:v>
                </c:pt>
                <c:pt idx="10">
                  <c:v>-6.4262349592124381E-3</c:v>
                </c:pt>
                <c:pt idx="11">
                  <c:v>-7.3676440937619969E-3</c:v>
                </c:pt>
                <c:pt idx="12">
                  <c:v>-8.176321535893101E-3</c:v>
                </c:pt>
                <c:pt idx="13">
                  <c:v>-8.8227509277935406E-3</c:v>
                </c:pt>
                <c:pt idx="14">
                  <c:v>-9.1899485125640779E-3</c:v>
                </c:pt>
                <c:pt idx="15">
                  <c:v>-9.2745762570833525E-3</c:v>
                </c:pt>
                <c:pt idx="16">
                  <c:v>-9.74148451263754E-3</c:v>
                </c:pt>
                <c:pt idx="17">
                  <c:v>-1.0170869110775232E-2</c:v>
                </c:pt>
                <c:pt idx="18">
                  <c:v>-1.0580068597988206E-2</c:v>
                </c:pt>
                <c:pt idx="19">
                  <c:v>-1.0960892720610248E-2</c:v>
                </c:pt>
                <c:pt idx="20">
                  <c:v>-1.1298787531832151E-2</c:v>
                </c:pt>
                <c:pt idx="21">
                  <c:v>-1.1578149761193477E-2</c:v>
                </c:pt>
                <c:pt idx="22">
                  <c:v>-1.1788019732928165E-2</c:v>
                </c:pt>
                <c:pt idx="23">
                  <c:v>-1.1925826905591476E-2</c:v>
                </c:pt>
                <c:pt idx="24">
                  <c:v>-1.1992660954138066E-2</c:v>
                </c:pt>
                <c:pt idx="25">
                  <c:v>-1.1991143053708898E-2</c:v>
                </c:pt>
                <c:pt idx="26">
                  <c:v>-1.1749918095793503E-2</c:v>
                </c:pt>
                <c:pt idx="27">
                  <c:v>-1.1414477230379461E-2</c:v>
                </c:pt>
                <c:pt idx="28">
                  <c:v>-1.0992735272529624E-2</c:v>
                </c:pt>
                <c:pt idx="29">
                  <c:v>-1.0496452174974646E-2</c:v>
                </c:pt>
                <c:pt idx="30">
                  <c:v>-9.936318316693768E-3</c:v>
                </c:pt>
                <c:pt idx="31">
                  <c:v>-9.3150223319782895E-3</c:v>
                </c:pt>
                <c:pt idx="32">
                  <c:v>-8.6310397727239248E-3</c:v>
                </c:pt>
                <c:pt idx="33">
                  <c:v>-7.8883732621016691E-3</c:v>
                </c:pt>
                <c:pt idx="34">
                  <c:v>-7.0926453494730111E-3</c:v>
                </c:pt>
                <c:pt idx="35">
                  <c:v>-6.2493118890803818E-3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Données!$B$660</c:f>
              <c:strCache>
                <c:ptCount val="1"/>
                <c:pt idx="0">
                  <c:v>Energie primaire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Données!$C$659:$AL$659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Données!$C$660:$AL$660</c:f>
              <c:numCache>
                <c:formatCode>0.0%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3.1163128249045435E-4</c:v>
                </c:pt>
                <c:pt idx="7">
                  <c:v>-9.9388748681451533E-3</c:v>
                </c:pt>
                <c:pt idx="8">
                  <c:v>-1.980537771376234E-2</c:v>
                </c:pt>
                <c:pt idx="9">
                  <c:v>-2.6602816554129882E-2</c:v>
                </c:pt>
                <c:pt idx="10">
                  <c:v>-3.3667586213202871E-2</c:v>
                </c:pt>
                <c:pt idx="11">
                  <c:v>-4.104625200174028E-2</c:v>
                </c:pt>
                <c:pt idx="12">
                  <c:v>-4.8479592870795285E-2</c:v>
                </c:pt>
                <c:pt idx="13">
                  <c:v>-5.5253487268175583E-2</c:v>
                </c:pt>
                <c:pt idx="14">
                  <c:v>-6.1252797757214927E-2</c:v>
                </c:pt>
                <c:pt idx="15">
                  <c:v>-6.663890293830288E-2</c:v>
                </c:pt>
                <c:pt idx="16">
                  <c:v>-6.797925728354326E-2</c:v>
                </c:pt>
                <c:pt idx="17">
                  <c:v>-6.92884518401925E-2</c:v>
                </c:pt>
                <c:pt idx="18">
                  <c:v>-7.0654553597867209E-2</c:v>
                </c:pt>
                <c:pt idx="19">
                  <c:v>-7.2022897700382726E-2</c:v>
                </c:pt>
                <c:pt idx="20">
                  <c:v>-7.3292289516795783E-2</c:v>
                </c:pt>
                <c:pt idx="21">
                  <c:v>-7.4329773042911551E-2</c:v>
                </c:pt>
                <c:pt idx="22">
                  <c:v>-7.5021272694218322E-2</c:v>
                </c:pt>
                <c:pt idx="23">
                  <c:v>-7.5331358981201468E-2</c:v>
                </c:pt>
                <c:pt idx="24">
                  <c:v>-7.5245082752149917E-2</c:v>
                </c:pt>
                <c:pt idx="25">
                  <c:v>-7.4744346906802872E-2</c:v>
                </c:pt>
                <c:pt idx="26">
                  <c:v>-7.3254301844652425E-2</c:v>
                </c:pt>
                <c:pt idx="27">
                  <c:v>-7.0972524282360117E-2</c:v>
                </c:pt>
                <c:pt idx="28">
                  <c:v>-6.78577970731572E-2</c:v>
                </c:pt>
                <c:pt idx="29">
                  <c:v>-6.389621492273978E-2</c:v>
                </c:pt>
                <c:pt idx="30">
                  <c:v>-5.9034684795236547E-2</c:v>
                </c:pt>
                <c:pt idx="31">
                  <c:v>-5.307332781353491E-2</c:v>
                </c:pt>
                <c:pt idx="32">
                  <c:v>-4.5650879101003072E-2</c:v>
                </c:pt>
                <c:pt idx="33">
                  <c:v>-3.6246906953971925E-2</c:v>
                </c:pt>
                <c:pt idx="34">
                  <c:v>-2.3898986819763102E-2</c:v>
                </c:pt>
                <c:pt idx="35">
                  <c:v>-6.5482838755428485E-3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logements</a:t>
            </a:r>
            <a:r>
              <a:rPr lang="fr-FR" sz="2400" baseline="0"/>
              <a:t> (Mm2)</a:t>
            </a:r>
            <a:endParaRPr lang="fr-FR" sz="2400"/>
          </a:p>
          <a:p>
            <a:pPr>
              <a:defRPr/>
            </a:pPr>
            <a:r>
              <a:rPr lang="fr-FR" sz="1800" i="1"/>
              <a:t>Scénario</a:t>
            </a:r>
            <a:r>
              <a:rPr lang="fr-FR" sz="1800" i="1" baseline="0"/>
              <a:t> tendanciel</a:t>
            </a:r>
            <a:endParaRPr lang="fr-FR" sz="1800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Données!$B$405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Données!$C$404:$AL$404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Données!$C$405:$AL$405</c:f>
              <c:numCache>
                <c:formatCode>#,##0</c:formatCode>
                <c:ptCount val="36"/>
                <c:pt idx="0">
                  <c:v>3.476542051</c:v>
                </c:pt>
                <c:pt idx="1">
                  <c:v>9.3899330590000005</c:v>
                </c:pt>
                <c:pt idx="2">
                  <c:v>16.23543982</c:v>
                </c:pt>
                <c:pt idx="3">
                  <c:v>23.313428680000001</c:v>
                </c:pt>
                <c:pt idx="4">
                  <c:v>30.494529629999999</c:v>
                </c:pt>
                <c:pt idx="5">
                  <c:v>37.50565074</c:v>
                </c:pt>
                <c:pt idx="6">
                  <c:v>44.350448129999997</c:v>
                </c:pt>
                <c:pt idx="7">
                  <c:v>51.19851053</c:v>
                </c:pt>
                <c:pt idx="8">
                  <c:v>58.166535680000003</c:v>
                </c:pt>
                <c:pt idx="9">
                  <c:v>65.325979180000004</c:v>
                </c:pt>
                <c:pt idx="10">
                  <c:v>72.706542799999994</c:v>
                </c:pt>
                <c:pt idx="11">
                  <c:v>80.311922249999995</c:v>
                </c:pt>
                <c:pt idx="12">
                  <c:v>88.128065019999994</c:v>
                </c:pt>
                <c:pt idx="13">
                  <c:v>96.127732649999999</c:v>
                </c:pt>
                <c:pt idx="14">
                  <c:v>104.2747488</c:v>
                </c:pt>
                <c:pt idx="15">
                  <c:v>112.5292716</c:v>
                </c:pt>
                <c:pt idx="16">
                  <c:v>120.78844580000001</c:v>
                </c:pt>
                <c:pt idx="17">
                  <c:v>128.83928589999999</c:v>
                </c:pt>
                <c:pt idx="18">
                  <c:v>136.59126449999999</c:v>
                </c:pt>
                <c:pt idx="19">
                  <c:v>144.03450659999999</c:v>
                </c:pt>
                <c:pt idx="20">
                  <c:v>151.19899190000001</c:v>
                </c:pt>
                <c:pt idx="21">
                  <c:v>158.12869620000001</c:v>
                </c:pt>
                <c:pt idx="22">
                  <c:v>164.86815319999999</c:v>
                </c:pt>
                <c:pt idx="23">
                  <c:v>171.4572727</c:v>
                </c:pt>
                <c:pt idx="24">
                  <c:v>177.93036000000001</c:v>
                </c:pt>
                <c:pt idx="25">
                  <c:v>184.3167243</c:v>
                </c:pt>
                <c:pt idx="26">
                  <c:v>190.64166589999999</c:v>
                </c:pt>
                <c:pt idx="27">
                  <c:v>196.92694059999999</c:v>
                </c:pt>
                <c:pt idx="28">
                  <c:v>203.19123920000001</c:v>
                </c:pt>
                <c:pt idx="29">
                  <c:v>209.4500965</c:v>
                </c:pt>
                <c:pt idx="30">
                  <c:v>215.7157321</c:v>
                </c:pt>
                <c:pt idx="31">
                  <c:v>221.99698179999999</c:v>
                </c:pt>
                <c:pt idx="32">
                  <c:v>228.2994674</c:v>
                </c:pt>
                <c:pt idx="33">
                  <c:v>234.62602939999999</c:v>
                </c:pt>
                <c:pt idx="34">
                  <c:v>240.9771298</c:v>
                </c:pt>
                <c:pt idx="35">
                  <c:v>247.35116429999999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Données!$B$406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Données!$C$404:$AL$404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Données!$C$406:$AL$406</c:f>
              <c:numCache>
                <c:formatCode>#,##0</c:formatCode>
                <c:ptCount val="36"/>
                <c:pt idx="0">
                  <c:v>68.80476281</c:v>
                </c:pt>
                <c:pt idx="1">
                  <c:v>74.476780860000005</c:v>
                </c:pt>
                <c:pt idx="2">
                  <c:v>79.246083400000003</c:v>
                </c:pt>
                <c:pt idx="3">
                  <c:v>83.332463770000004</c:v>
                </c:pt>
                <c:pt idx="4">
                  <c:v>87.063876710000002</c:v>
                </c:pt>
                <c:pt idx="5">
                  <c:v>90.589004770000003</c:v>
                </c:pt>
                <c:pt idx="6">
                  <c:v>93.986955679999994</c:v>
                </c:pt>
                <c:pt idx="7">
                  <c:v>97.289523979999998</c:v>
                </c:pt>
                <c:pt idx="8">
                  <c:v>100.51537690000001</c:v>
                </c:pt>
                <c:pt idx="9">
                  <c:v>103.678275</c:v>
                </c:pt>
                <c:pt idx="10">
                  <c:v>106.79114300000001</c:v>
                </c:pt>
                <c:pt idx="11">
                  <c:v>109.86632179999999</c:v>
                </c:pt>
                <c:pt idx="12">
                  <c:v>112.91337110000001</c:v>
                </c:pt>
                <c:pt idx="13">
                  <c:v>115.9381072</c:v>
                </c:pt>
                <c:pt idx="14">
                  <c:v>118.9426496</c:v>
                </c:pt>
                <c:pt idx="15">
                  <c:v>121.92772410000001</c:v>
                </c:pt>
                <c:pt idx="16">
                  <c:v>124.8910679</c:v>
                </c:pt>
                <c:pt idx="17">
                  <c:v>127.8229671</c:v>
                </c:pt>
                <c:pt idx="18">
                  <c:v>130.71626670000001</c:v>
                </c:pt>
                <c:pt idx="19">
                  <c:v>133.56564539999999</c:v>
                </c:pt>
                <c:pt idx="20">
                  <c:v>136.36820610000001</c:v>
                </c:pt>
                <c:pt idx="21">
                  <c:v>139.12327110000001</c:v>
                </c:pt>
                <c:pt idx="22">
                  <c:v>141.8284869</c:v>
                </c:pt>
                <c:pt idx="23">
                  <c:v>144.4792123</c:v>
                </c:pt>
                <c:pt idx="24">
                  <c:v>147.06916939999999</c:v>
                </c:pt>
                <c:pt idx="25">
                  <c:v>149.5932904</c:v>
                </c:pt>
                <c:pt idx="26">
                  <c:v>152.04737449999999</c:v>
                </c:pt>
                <c:pt idx="27">
                  <c:v>154.42496560000001</c:v>
                </c:pt>
                <c:pt idx="28">
                  <c:v>156.72308140000001</c:v>
                </c:pt>
                <c:pt idx="29">
                  <c:v>158.94214310000001</c:v>
                </c:pt>
                <c:pt idx="30">
                  <c:v>161.08715169999999</c:v>
                </c:pt>
                <c:pt idx="31">
                  <c:v>163.1655092</c:v>
                </c:pt>
                <c:pt idx="32">
                  <c:v>165.18347489999999</c:v>
                </c:pt>
                <c:pt idx="33">
                  <c:v>167.1468356</c:v>
                </c:pt>
                <c:pt idx="34">
                  <c:v>169.06111089999999</c:v>
                </c:pt>
                <c:pt idx="35">
                  <c:v>170.93179960000001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Données!$B$407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Données!$C$404:$AL$404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Données!$C$407:$AL$407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421.43436380000003</c:v>
                </c:pt>
                <c:pt idx="2">
                  <c:v>433.51228980000002</c:v>
                </c:pt>
                <c:pt idx="3">
                  <c:v>444.25276350000001</c:v>
                </c:pt>
                <c:pt idx="4">
                  <c:v>454.246914</c:v>
                </c:pt>
                <c:pt idx="5">
                  <c:v>463.78016129999997</c:v>
                </c:pt>
                <c:pt idx="6">
                  <c:v>473.01436260000003</c:v>
                </c:pt>
                <c:pt idx="7">
                  <c:v>482.01010330000003</c:v>
                </c:pt>
                <c:pt idx="8">
                  <c:v>490.80340439999998</c:v>
                </c:pt>
                <c:pt idx="9">
                  <c:v>499.42215099999999</c:v>
                </c:pt>
                <c:pt idx="10">
                  <c:v>507.89649530000003</c:v>
                </c:pt>
                <c:pt idx="11">
                  <c:v>516.2584167</c:v>
                </c:pt>
                <c:pt idx="12">
                  <c:v>524.53406270000005</c:v>
                </c:pt>
                <c:pt idx="13">
                  <c:v>532.7391106</c:v>
                </c:pt>
                <c:pt idx="14">
                  <c:v>540.88017930000001</c:v>
                </c:pt>
                <c:pt idx="15">
                  <c:v>548.96055369999999</c:v>
                </c:pt>
                <c:pt idx="16">
                  <c:v>556.97884750000003</c:v>
                </c:pt>
                <c:pt idx="17">
                  <c:v>564.91944409999996</c:v>
                </c:pt>
                <c:pt idx="18">
                  <c:v>572.76654229999997</c:v>
                </c:pt>
                <c:pt idx="19">
                  <c:v>580.50446769999996</c:v>
                </c:pt>
                <c:pt idx="20">
                  <c:v>588.12219930000003</c:v>
                </c:pt>
                <c:pt idx="21">
                  <c:v>595.61438350000003</c:v>
                </c:pt>
                <c:pt idx="22">
                  <c:v>602.97130760000005</c:v>
                </c:pt>
                <c:pt idx="23">
                  <c:v>610.17760989999999</c:v>
                </c:pt>
                <c:pt idx="24">
                  <c:v>617.21423010000001</c:v>
                </c:pt>
                <c:pt idx="25">
                  <c:v>624.06634080000003</c:v>
                </c:pt>
                <c:pt idx="26">
                  <c:v>630.72221869999998</c:v>
                </c:pt>
                <c:pt idx="27">
                  <c:v>637.16423350000002</c:v>
                </c:pt>
                <c:pt idx="28">
                  <c:v>643.3846757</c:v>
                </c:pt>
                <c:pt idx="29">
                  <c:v>649.38533610000002</c:v>
                </c:pt>
                <c:pt idx="30">
                  <c:v>655.18066420000002</c:v>
                </c:pt>
                <c:pt idx="31">
                  <c:v>660.79159079999999</c:v>
                </c:pt>
                <c:pt idx="32">
                  <c:v>666.23560120000002</c:v>
                </c:pt>
                <c:pt idx="33">
                  <c:v>671.52868190000004</c:v>
                </c:pt>
                <c:pt idx="34">
                  <c:v>676.68597360000001</c:v>
                </c:pt>
                <c:pt idx="35">
                  <c:v>681.72252909999997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Données!$B$408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Données!$C$404:$AL$404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Données!$C$408:$AL$408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950.80634090000001</c:v>
                </c:pt>
                <c:pt idx="2">
                  <c:v>948.69968449999999</c:v>
                </c:pt>
                <c:pt idx="3">
                  <c:v>947.24029169999994</c:v>
                </c:pt>
                <c:pt idx="4">
                  <c:v>946.12534040000003</c:v>
                </c:pt>
                <c:pt idx="5">
                  <c:v>944.92026739999994</c:v>
                </c:pt>
                <c:pt idx="6">
                  <c:v>943.54607199999998</c:v>
                </c:pt>
                <c:pt idx="7">
                  <c:v>942.04961160000005</c:v>
                </c:pt>
                <c:pt idx="8">
                  <c:v>940.4649359</c:v>
                </c:pt>
                <c:pt idx="9">
                  <c:v>938.8278004</c:v>
                </c:pt>
                <c:pt idx="10">
                  <c:v>937.16041429999996</c:v>
                </c:pt>
                <c:pt idx="11">
                  <c:v>935.47682910000003</c:v>
                </c:pt>
                <c:pt idx="12">
                  <c:v>933.78471830000001</c:v>
                </c:pt>
                <c:pt idx="13">
                  <c:v>932.08590630000003</c:v>
                </c:pt>
                <c:pt idx="14">
                  <c:v>930.37740010000005</c:v>
                </c:pt>
                <c:pt idx="15">
                  <c:v>928.65354219999995</c:v>
                </c:pt>
                <c:pt idx="16">
                  <c:v>926.8830868</c:v>
                </c:pt>
                <c:pt idx="17">
                  <c:v>925.00234350000005</c:v>
                </c:pt>
                <c:pt idx="18">
                  <c:v>923.01150050000001</c:v>
                </c:pt>
                <c:pt idx="19">
                  <c:v>920.93001400000003</c:v>
                </c:pt>
                <c:pt idx="20">
                  <c:v>918.77979989999994</c:v>
                </c:pt>
                <c:pt idx="21">
                  <c:v>916.57951290000005</c:v>
                </c:pt>
                <c:pt idx="22">
                  <c:v>914.3435958</c:v>
                </c:pt>
                <c:pt idx="23">
                  <c:v>912.08292300000005</c:v>
                </c:pt>
                <c:pt idx="24">
                  <c:v>909.80590080000002</c:v>
                </c:pt>
                <c:pt idx="25">
                  <c:v>907.51950099999999</c:v>
                </c:pt>
                <c:pt idx="26">
                  <c:v>905.22966199999996</c:v>
                </c:pt>
                <c:pt idx="27">
                  <c:v>902.94160699999998</c:v>
                </c:pt>
                <c:pt idx="28">
                  <c:v>900.66005159999997</c:v>
                </c:pt>
                <c:pt idx="29">
                  <c:v>898.38922830000001</c:v>
                </c:pt>
                <c:pt idx="30">
                  <c:v>896.13275490000001</c:v>
                </c:pt>
                <c:pt idx="31">
                  <c:v>893.89354560000004</c:v>
                </c:pt>
                <c:pt idx="32">
                  <c:v>891.67372780000005</c:v>
                </c:pt>
                <c:pt idx="33">
                  <c:v>889.47456769999997</c:v>
                </c:pt>
                <c:pt idx="34">
                  <c:v>887.29641409999999</c:v>
                </c:pt>
                <c:pt idx="35">
                  <c:v>885.13868860000002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Données!$B$409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Données!$C$404:$AL$404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Données!$C$409:$AL$409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868.47807850000004</c:v>
                </c:pt>
                <c:pt idx="2">
                  <c:v>859.58726300000001</c:v>
                </c:pt>
                <c:pt idx="3">
                  <c:v>851.5276159</c:v>
                </c:pt>
                <c:pt idx="4">
                  <c:v>843.81873580000001</c:v>
                </c:pt>
                <c:pt idx="5">
                  <c:v>836.76659519999998</c:v>
                </c:pt>
                <c:pt idx="6">
                  <c:v>830.22184319999997</c:v>
                </c:pt>
                <c:pt idx="7">
                  <c:v>823.87469429999999</c:v>
                </c:pt>
                <c:pt idx="8">
                  <c:v>817.53054359999999</c:v>
                </c:pt>
                <c:pt idx="9">
                  <c:v>811.05886290000001</c:v>
                </c:pt>
                <c:pt idx="10">
                  <c:v>804.39380159999996</c:v>
                </c:pt>
                <c:pt idx="11">
                  <c:v>797.51013509999996</c:v>
                </c:pt>
                <c:pt idx="12">
                  <c:v>790.41130080000005</c:v>
                </c:pt>
                <c:pt idx="13">
                  <c:v>783.12273930000003</c:v>
                </c:pt>
                <c:pt idx="14">
                  <c:v>775.68525869999996</c:v>
                </c:pt>
                <c:pt idx="15">
                  <c:v>768.14638790000004</c:v>
                </c:pt>
                <c:pt idx="16">
                  <c:v>760.65198729999997</c:v>
                </c:pt>
                <c:pt idx="17">
                  <c:v>753.5078317</c:v>
                </c:pt>
                <c:pt idx="18">
                  <c:v>746.80898279999997</c:v>
                </c:pt>
                <c:pt idx="19">
                  <c:v>740.53747510000005</c:v>
                </c:pt>
                <c:pt idx="20">
                  <c:v>734.62850170000002</c:v>
                </c:pt>
                <c:pt idx="21">
                  <c:v>729.00709340000003</c:v>
                </c:pt>
                <c:pt idx="22">
                  <c:v>723.60502670000005</c:v>
                </c:pt>
                <c:pt idx="23">
                  <c:v>718.36629809999999</c:v>
                </c:pt>
                <c:pt idx="24">
                  <c:v>713.24705080000001</c:v>
                </c:pt>
                <c:pt idx="25">
                  <c:v>708.21350540000003</c:v>
                </c:pt>
                <c:pt idx="26">
                  <c:v>703.23962010000002</c:v>
                </c:pt>
                <c:pt idx="27">
                  <c:v>698.30504540000004</c:v>
                </c:pt>
                <c:pt idx="28">
                  <c:v>693.39350390000004</c:v>
                </c:pt>
                <c:pt idx="29">
                  <c:v>688.49179719999995</c:v>
                </c:pt>
                <c:pt idx="30">
                  <c:v>683.5893714</c:v>
                </c:pt>
                <c:pt idx="31">
                  <c:v>678.67797759999996</c:v>
                </c:pt>
                <c:pt idx="32">
                  <c:v>673.75145190000001</c:v>
                </c:pt>
                <c:pt idx="33">
                  <c:v>668.80565079999997</c:v>
                </c:pt>
                <c:pt idx="34">
                  <c:v>663.83849429999998</c:v>
                </c:pt>
                <c:pt idx="35">
                  <c:v>658.85006120000003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Données!$B$410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Données!$C$404:$AL$404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Données!$C$410:$AL$410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137.98132409999999</c:v>
                </c:pt>
                <c:pt idx="2">
                  <c:v>136.1628628</c:v>
                </c:pt>
                <c:pt idx="3">
                  <c:v>134.40074670000001</c:v>
                </c:pt>
                <c:pt idx="4">
                  <c:v>132.69412220000001</c:v>
                </c:pt>
                <c:pt idx="5">
                  <c:v>131.0222254</c:v>
                </c:pt>
                <c:pt idx="6">
                  <c:v>129.3804452</c:v>
                </c:pt>
                <c:pt idx="7">
                  <c:v>127.78325150000001</c:v>
                </c:pt>
                <c:pt idx="8">
                  <c:v>126.23360409999999</c:v>
                </c:pt>
                <c:pt idx="9">
                  <c:v>124.72876050000001</c:v>
                </c:pt>
                <c:pt idx="10">
                  <c:v>123.2633345</c:v>
                </c:pt>
                <c:pt idx="11">
                  <c:v>121.83155069999999</c:v>
                </c:pt>
                <c:pt idx="12">
                  <c:v>120.4281732</c:v>
                </c:pt>
                <c:pt idx="13">
                  <c:v>119.0492938</c:v>
                </c:pt>
                <c:pt idx="14">
                  <c:v>117.6928884</c:v>
                </c:pt>
                <c:pt idx="15">
                  <c:v>116.3588022</c:v>
                </c:pt>
                <c:pt idx="16">
                  <c:v>115.04467889999999</c:v>
                </c:pt>
                <c:pt idx="17">
                  <c:v>113.73935640000001</c:v>
                </c:pt>
                <c:pt idx="18">
                  <c:v>112.44078039999999</c:v>
                </c:pt>
                <c:pt idx="19">
                  <c:v>111.1512731</c:v>
                </c:pt>
                <c:pt idx="20">
                  <c:v>109.8741955</c:v>
                </c:pt>
                <c:pt idx="21">
                  <c:v>108.6123243</c:v>
                </c:pt>
                <c:pt idx="22">
                  <c:v>107.3672574</c:v>
                </c:pt>
                <c:pt idx="23">
                  <c:v>106.13938659999999</c:v>
                </c:pt>
                <c:pt idx="24">
                  <c:v>104.92806950000001</c:v>
                </c:pt>
                <c:pt idx="25">
                  <c:v>103.731871</c:v>
                </c:pt>
                <c:pt idx="26">
                  <c:v>102.5487538</c:v>
                </c:pt>
                <c:pt idx="27">
                  <c:v>101.376265</c:v>
                </c:pt>
                <c:pt idx="28">
                  <c:v>100.2116853</c:v>
                </c:pt>
                <c:pt idx="29">
                  <c:v>99.052204230000001</c:v>
                </c:pt>
                <c:pt idx="30">
                  <c:v>97.895111029999995</c:v>
                </c:pt>
                <c:pt idx="31">
                  <c:v>96.738132190000002</c:v>
                </c:pt>
                <c:pt idx="32">
                  <c:v>95.579680350000004</c:v>
                </c:pt>
                <c:pt idx="33">
                  <c:v>94.418979070000006</c:v>
                </c:pt>
                <c:pt idx="34">
                  <c:v>93.256078860000002</c:v>
                </c:pt>
                <c:pt idx="35">
                  <c:v>92.091795550000001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Données!$B$411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Données!$C$404:$AL$404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Données!$C$411:$AL$411</c:f>
              <c:numCache>
                <c:formatCode>#,##0</c:formatCode>
                <c:ptCount val="36"/>
                <c:pt idx="0">
                  <c:v>3.874567114</c:v>
                </c:pt>
                <c:pt idx="1">
                  <c:v>3.726195063</c:v>
                </c:pt>
                <c:pt idx="2">
                  <c:v>3.5856474629999999</c:v>
                </c:pt>
                <c:pt idx="3">
                  <c:v>3.4527571309999998</c:v>
                </c:pt>
                <c:pt idx="4">
                  <c:v>3.3271010190000001</c:v>
                </c:pt>
                <c:pt idx="5">
                  <c:v>3.2069332080000001</c:v>
                </c:pt>
                <c:pt idx="6">
                  <c:v>3.0916885860000001</c:v>
                </c:pt>
                <c:pt idx="7">
                  <c:v>2.9817605359999999</c:v>
                </c:pt>
                <c:pt idx="8">
                  <c:v>2.8768919689999999</c:v>
                </c:pt>
                <c:pt idx="9">
                  <c:v>2.7766210880000002</c:v>
                </c:pt>
                <c:pt idx="10">
                  <c:v>2.6804555479999999</c:v>
                </c:pt>
                <c:pt idx="11">
                  <c:v>2.5879823219999998</c:v>
                </c:pt>
                <c:pt idx="12">
                  <c:v>2.4988875350000002</c:v>
                </c:pt>
                <c:pt idx="13">
                  <c:v>2.4129753819999999</c:v>
                </c:pt>
                <c:pt idx="14">
                  <c:v>2.3301761619999999</c:v>
                </c:pt>
                <c:pt idx="15">
                  <c:v>2.250520796</c:v>
                </c:pt>
                <c:pt idx="16">
                  <c:v>2.1739867030000002</c:v>
                </c:pt>
                <c:pt idx="17">
                  <c:v>2.1002394440000001</c:v>
                </c:pt>
                <c:pt idx="18">
                  <c:v>2.029340103</c:v>
                </c:pt>
                <c:pt idx="19">
                  <c:v>1.961426653</c:v>
                </c:pt>
                <c:pt idx="20">
                  <c:v>1.8965608030000001</c:v>
                </c:pt>
                <c:pt idx="21">
                  <c:v>1.8346941699999999</c:v>
                </c:pt>
                <c:pt idx="22">
                  <c:v>1.775685062</c:v>
                </c:pt>
                <c:pt idx="23">
                  <c:v>1.7193299959999999</c:v>
                </c:pt>
                <c:pt idx="24">
                  <c:v>1.665391034</c:v>
                </c:pt>
                <c:pt idx="25">
                  <c:v>1.613616787</c:v>
                </c:pt>
                <c:pt idx="26">
                  <c:v>1.5637551409999999</c:v>
                </c:pt>
                <c:pt idx="27">
                  <c:v>1.515563427</c:v>
                </c:pt>
                <c:pt idx="28">
                  <c:v>1.468815483</c:v>
                </c:pt>
                <c:pt idx="29">
                  <c:v>1.4233095339999999</c:v>
                </c:pt>
                <c:pt idx="30">
                  <c:v>1.3788759370000001</c:v>
                </c:pt>
                <c:pt idx="31">
                  <c:v>1.335388917</c:v>
                </c:pt>
                <c:pt idx="32">
                  <c:v>1.2927713750000001</c:v>
                </c:pt>
                <c:pt idx="33">
                  <c:v>1.2509926499999999</c:v>
                </c:pt>
                <c:pt idx="34">
                  <c:v>1.210061455</c:v>
                </c:pt>
                <c:pt idx="35">
                  <c:v>1.170016513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="0" i="0" baseline="0">
                <a:effectLst/>
              </a:rPr>
              <a:t>Stock de logements (Mm2)</a:t>
            </a:r>
            <a:endParaRPr lang="fr-FR" sz="2400">
              <a:effectLst/>
            </a:endParaRPr>
          </a:p>
          <a:p>
            <a:pPr>
              <a:defRPr/>
            </a:pPr>
            <a:r>
              <a:rPr lang="fr-FR" sz="1800" b="0" i="1" baseline="0">
                <a:effectLst/>
              </a:rPr>
              <a:t>Scénario Net Zero 2050</a:t>
            </a:r>
            <a:endParaRPr lang="fr-FR" sz="28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Données!$B$396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Données!$C$395:$AL$395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Données!$C$396:$AL$396</c:f>
              <c:numCache>
                <c:formatCode>#,##0</c:formatCode>
                <c:ptCount val="36"/>
                <c:pt idx="0">
                  <c:v>3.476542051</c:v>
                </c:pt>
                <c:pt idx="1">
                  <c:v>9.3899330590000005</c:v>
                </c:pt>
                <c:pt idx="2">
                  <c:v>16.23543982</c:v>
                </c:pt>
                <c:pt idx="3">
                  <c:v>23.313428680000001</c:v>
                </c:pt>
                <c:pt idx="4">
                  <c:v>30.494529629999999</c:v>
                </c:pt>
                <c:pt idx="5">
                  <c:v>37.50565074</c:v>
                </c:pt>
                <c:pt idx="6">
                  <c:v>44.311045010000001</c:v>
                </c:pt>
                <c:pt idx="7">
                  <c:v>51.29072532</c:v>
                </c:pt>
                <c:pt idx="8">
                  <c:v>61.035328120000003</c:v>
                </c:pt>
                <c:pt idx="9">
                  <c:v>75.330700989999997</c:v>
                </c:pt>
                <c:pt idx="10">
                  <c:v>95.288309380000001</c:v>
                </c:pt>
                <c:pt idx="11">
                  <c:v>119.8220163</c:v>
                </c:pt>
                <c:pt idx="12">
                  <c:v>145.08665329999999</c:v>
                </c:pt>
                <c:pt idx="13">
                  <c:v>169.36732960000001</c:v>
                </c:pt>
                <c:pt idx="14">
                  <c:v>192.0102235</c:v>
                </c:pt>
                <c:pt idx="15">
                  <c:v>212.8555418</c:v>
                </c:pt>
                <c:pt idx="16">
                  <c:v>232.18768800000001</c:v>
                </c:pt>
                <c:pt idx="17">
                  <c:v>250.7882329</c:v>
                </c:pt>
                <c:pt idx="18">
                  <c:v>268.85489860000001</c:v>
                </c:pt>
                <c:pt idx="19">
                  <c:v>286.38106440000001</c:v>
                </c:pt>
                <c:pt idx="20">
                  <c:v>303.30836820000002</c:v>
                </c:pt>
                <c:pt idx="21">
                  <c:v>319.58209740000001</c:v>
                </c:pt>
                <c:pt idx="22">
                  <c:v>335.1724226</c:v>
                </c:pt>
                <c:pt idx="23">
                  <c:v>350.07682949999997</c:v>
                </c:pt>
                <c:pt idx="24">
                  <c:v>364.31303780000002</c:v>
                </c:pt>
                <c:pt idx="25">
                  <c:v>377.91309539999997</c:v>
                </c:pt>
                <c:pt idx="26">
                  <c:v>390.9199721</c:v>
                </c:pt>
                <c:pt idx="27">
                  <c:v>403.38462090000002</c:v>
                </c:pt>
                <c:pt idx="28">
                  <c:v>415.36548260000001</c:v>
                </c:pt>
                <c:pt idx="29">
                  <c:v>426.922391</c:v>
                </c:pt>
                <c:pt idx="30">
                  <c:v>438.10693850000001</c:v>
                </c:pt>
                <c:pt idx="31">
                  <c:v>448.95918330000001</c:v>
                </c:pt>
                <c:pt idx="32">
                  <c:v>459.50923210000002</c:v>
                </c:pt>
                <c:pt idx="33">
                  <c:v>469.78157220000003</c:v>
                </c:pt>
                <c:pt idx="34">
                  <c:v>479.79857909999998</c:v>
                </c:pt>
                <c:pt idx="35">
                  <c:v>489.58348039999998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Données!$B$397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Données!$C$395:$AL$395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Données!$C$397:$AL$397</c:f>
              <c:numCache>
                <c:formatCode>#,##0</c:formatCode>
                <c:ptCount val="36"/>
                <c:pt idx="0">
                  <c:v>68.80476281</c:v>
                </c:pt>
                <c:pt idx="1">
                  <c:v>74.476780860000005</c:v>
                </c:pt>
                <c:pt idx="2">
                  <c:v>79.246083400000003</c:v>
                </c:pt>
                <c:pt idx="3">
                  <c:v>83.332463770000004</c:v>
                </c:pt>
                <c:pt idx="4">
                  <c:v>87.063876710000002</c:v>
                </c:pt>
                <c:pt idx="5">
                  <c:v>90.589004770000003</c:v>
                </c:pt>
                <c:pt idx="6">
                  <c:v>93.988710940000004</c:v>
                </c:pt>
                <c:pt idx="7">
                  <c:v>97.274288010000006</c:v>
                </c:pt>
                <c:pt idx="8">
                  <c:v>100.6054065</c:v>
                </c:pt>
                <c:pt idx="9">
                  <c:v>104.0493025</c:v>
                </c:pt>
                <c:pt idx="10">
                  <c:v>107.7975093</c:v>
                </c:pt>
                <c:pt idx="11">
                  <c:v>111.46320559999999</c:v>
                </c:pt>
                <c:pt idx="12">
                  <c:v>114.95344489999999</c:v>
                </c:pt>
                <c:pt idx="13">
                  <c:v>118.29651699999999</c:v>
                </c:pt>
                <c:pt idx="14">
                  <c:v>121.518897</c:v>
                </c:pt>
                <c:pt idx="15">
                  <c:v>124.6400099</c:v>
                </c:pt>
                <c:pt idx="16">
                  <c:v>127.6791369</c:v>
                </c:pt>
                <c:pt idx="17">
                  <c:v>130.6551269</c:v>
                </c:pt>
                <c:pt idx="18">
                  <c:v>133.56840030000001</c:v>
                </c:pt>
                <c:pt idx="19">
                  <c:v>136.41330669999999</c:v>
                </c:pt>
                <c:pt idx="20">
                  <c:v>139.18447459999999</c:v>
                </c:pt>
                <c:pt idx="21">
                  <c:v>141.87890089999999</c:v>
                </c:pt>
                <c:pt idx="22">
                  <c:v>144.4929961</c:v>
                </c:pt>
                <c:pt idx="23">
                  <c:v>147.02207780000001</c:v>
                </c:pt>
                <c:pt idx="24">
                  <c:v>149.46081670000001</c:v>
                </c:pt>
                <c:pt idx="25">
                  <c:v>151.8059083</c:v>
                </c:pt>
                <c:pt idx="26">
                  <c:v>154.05539469999999</c:v>
                </c:pt>
                <c:pt idx="27">
                  <c:v>156.2051218</c:v>
                </c:pt>
                <c:pt idx="28">
                  <c:v>158.25385220000001</c:v>
                </c:pt>
                <c:pt idx="29">
                  <c:v>160.2025659</c:v>
                </c:pt>
                <c:pt idx="30">
                  <c:v>162.0554617</c:v>
                </c:pt>
                <c:pt idx="31">
                  <c:v>163.8179714</c:v>
                </c:pt>
                <c:pt idx="32">
                  <c:v>165.49357069999999</c:v>
                </c:pt>
                <c:pt idx="33">
                  <c:v>167.08464950000001</c:v>
                </c:pt>
                <c:pt idx="34">
                  <c:v>168.5927944</c:v>
                </c:pt>
                <c:pt idx="35">
                  <c:v>170.01923239999999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Données!$B$398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Données!$C$395:$AL$395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Données!$C$398:$AL$398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421.43436380000003</c:v>
                </c:pt>
                <c:pt idx="2">
                  <c:v>433.51228980000002</c:v>
                </c:pt>
                <c:pt idx="3">
                  <c:v>444.25276350000001</c:v>
                </c:pt>
                <c:pt idx="4">
                  <c:v>454.246914</c:v>
                </c:pt>
                <c:pt idx="5">
                  <c:v>463.78016129999997</c:v>
                </c:pt>
                <c:pt idx="6">
                  <c:v>473.01897830000001</c:v>
                </c:pt>
                <c:pt idx="7">
                  <c:v>481.97105390000002</c:v>
                </c:pt>
                <c:pt idx="8">
                  <c:v>490.97341340000003</c:v>
                </c:pt>
                <c:pt idx="9">
                  <c:v>500.02113170000001</c:v>
                </c:pt>
                <c:pt idx="10">
                  <c:v>508.70072370000003</c:v>
                </c:pt>
                <c:pt idx="11">
                  <c:v>517.20426190000001</c:v>
                </c:pt>
                <c:pt idx="12">
                  <c:v>525.58315730000004</c:v>
                </c:pt>
                <c:pt idx="13">
                  <c:v>533.84306170000002</c:v>
                </c:pt>
                <c:pt idx="14">
                  <c:v>541.97914579999997</c:v>
                </c:pt>
                <c:pt idx="15">
                  <c:v>549.98781699999995</c:v>
                </c:pt>
                <c:pt idx="16">
                  <c:v>557.87386100000003</c:v>
                </c:pt>
                <c:pt idx="17">
                  <c:v>565.64135710000005</c:v>
                </c:pt>
                <c:pt idx="18">
                  <c:v>573.27427729999999</c:v>
                </c:pt>
                <c:pt idx="19">
                  <c:v>580.75121939999997</c:v>
                </c:pt>
                <c:pt idx="20">
                  <c:v>588.05550059999996</c:v>
                </c:pt>
                <c:pt idx="21">
                  <c:v>595.17823090000002</c:v>
                </c:pt>
                <c:pt idx="22">
                  <c:v>602.10883209999997</c:v>
                </c:pt>
                <c:pt idx="23">
                  <c:v>608.83376310000006</c:v>
                </c:pt>
                <c:pt idx="24">
                  <c:v>615.33822559999999</c:v>
                </c:pt>
                <c:pt idx="25">
                  <c:v>621.61345930000005</c:v>
                </c:pt>
                <c:pt idx="26">
                  <c:v>627.6548828</c:v>
                </c:pt>
                <c:pt idx="27">
                  <c:v>633.45231000000001</c:v>
                </c:pt>
                <c:pt idx="28">
                  <c:v>639.00511240000003</c:v>
                </c:pt>
                <c:pt idx="29">
                  <c:v>644.32127419999995</c:v>
                </c:pt>
                <c:pt idx="30">
                  <c:v>649.42014870000003</c:v>
                </c:pt>
                <c:pt idx="31">
                  <c:v>654.32623569999998</c:v>
                </c:pt>
                <c:pt idx="32">
                  <c:v>659.05943590000004</c:v>
                </c:pt>
                <c:pt idx="33">
                  <c:v>663.6372877</c:v>
                </c:pt>
                <c:pt idx="34">
                  <c:v>668.07586189999995</c:v>
                </c:pt>
                <c:pt idx="35">
                  <c:v>672.39046470000005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Données!$B$399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Données!$C$395:$AL$395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Données!$C$399:$AL$399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950.80634090000001</c:v>
                </c:pt>
                <c:pt idx="2">
                  <c:v>948.69968449999999</c:v>
                </c:pt>
                <c:pt idx="3">
                  <c:v>947.24029169999994</c:v>
                </c:pt>
                <c:pt idx="4">
                  <c:v>946.12534040000003</c:v>
                </c:pt>
                <c:pt idx="5">
                  <c:v>944.92026739999994</c:v>
                </c:pt>
                <c:pt idx="6">
                  <c:v>943.53943819999995</c:v>
                </c:pt>
                <c:pt idx="7">
                  <c:v>942.39058969999996</c:v>
                </c:pt>
                <c:pt idx="8">
                  <c:v>944.90429979999999</c:v>
                </c:pt>
                <c:pt idx="9">
                  <c:v>953.33197470000005</c:v>
                </c:pt>
                <c:pt idx="10">
                  <c:v>968.41202950000002</c:v>
                </c:pt>
                <c:pt idx="11">
                  <c:v>988.0565388</c:v>
                </c:pt>
                <c:pt idx="12">
                  <c:v>1007.869037</c:v>
                </c:pt>
                <c:pt idx="13">
                  <c:v>1026.0091640000001</c:v>
                </c:pt>
                <c:pt idx="14">
                  <c:v>1041.9195669999999</c:v>
                </c:pt>
                <c:pt idx="15">
                  <c:v>1055.597301</c:v>
                </c:pt>
                <c:pt idx="16">
                  <c:v>1067.4792500000001</c:v>
                </c:pt>
                <c:pt idx="17">
                  <c:v>1078.480125</c:v>
                </c:pt>
                <c:pt idx="18">
                  <c:v>1088.8350419999999</c:v>
                </c:pt>
                <c:pt idx="19">
                  <c:v>1098.5540820000001</c:v>
                </c:pt>
                <c:pt idx="20">
                  <c:v>1107.59276</c:v>
                </c:pt>
                <c:pt idx="21">
                  <c:v>1115.909386</c:v>
                </c:pt>
                <c:pt idx="22">
                  <c:v>1123.485709</c:v>
                </c:pt>
                <c:pt idx="23">
                  <c:v>1130.330725</c:v>
                </c:pt>
                <c:pt idx="24">
                  <c:v>1136.475721</c:v>
                </c:pt>
                <c:pt idx="25">
                  <c:v>1141.963741</c:v>
                </c:pt>
                <c:pt idx="26">
                  <c:v>1146.844259</c:v>
                </c:pt>
                <c:pt idx="27">
                  <c:v>1151.16985</c:v>
                </c:pt>
                <c:pt idx="28">
                  <c:v>1154.9960249999999</c:v>
                </c:pt>
                <c:pt idx="29">
                  <c:v>1158.3767640000001</c:v>
                </c:pt>
                <c:pt idx="30">
                  <c:v>1161.3569319999999</c:v>
                </c:pt>
                <c:pt idx="31">
                  <c:v>1163.970008</c:v>
                </c:pt>
                <c:pt idx="32">
                  <c:v>1166.2393589999999</c:v>
                </c:pt>
                <c:pt idx="33">
                  <c:v>1168.180969</c:v>
                </c:pt>
                <c:pt idx="34">
                  <c:v>1169.8039240000001</c:v>
                </c:pt>
                <c:pt idx="35">
                  <c:v>1171.106657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Données!$B$400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Données!$C$395:$AL$395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Données!$C$400:$AL$400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868.47807850000004</c:v>
                </c:pt>
                <c:pt idx="2">
                  <c:v>859.58726300000001</c:v>
                </c:pt>
                <c:pt idx="3">
                  <c:v>851.5276159</c:v>
                </c:pt>
                <c:pt idx="4">
                  <c:v>843.81873580000001</c:v>
                </c:pt>
                <c:pt idx="5">
                  <c:v>836.76659519999998</c:v>
                </c:pt>
                <c:pt idx="6">
                  <c:v>830.26558120000004</c:v>
                </c:pt>
                <c:pt idx="7">
                  <c:v>823.51388510000004</c:v>
                </c:pt>
                <c:pt idx="8">
                  <c:v>809.95380369999998</c:v>
                </c:pt>
                <c:pt idx="9">
                  <c:v>785.53176589999998</c:v>
                </c:pt>
                <c:pt idx="10">
                  <c:v>748.67557399999998</c:v>
                </c:pt>
                <c:pt idx="11">
                  <c:v>702.81464259999996</c:v>
                </c:pt>
                <c:pt idx="12">
                  <c:v>656.29234870000005</c:v>
                </c:pt>
                <c:pt idx="13">
                  <c:v>612.65151089999995</c:v>
                </c:pt>
                <c:pt idx="14">
                  <c:v>573.0801371</c:v>
                </c:pt>
                <c:pt idx="15">
                  <c:v>537.71599230000004</c:v>
                </c:pt>
                <c:pt idx="16">
                  <c:v>505.80465839999999</c:v>
                </c:pt>
                <c:pt idx="17">
                  <c:v>475.60743939999998</c:v>
                </c:pt>
                <c:pt idx="18">
                  <c:v>446.67914089999999</c:v>
                </c:pt>
                <c:pt idx="19">
                  <c:v>419.01184380000001</c:v>
                </c:pt>
                <c:pt idx="20">
                  <c:v>392.7047953</c:v>
                </c:pt>
                <c:pt idx="21">
                  <c:v>367.85025359999997</c:v>
                </c:pt>
                <c:pt idx="22">
                  <c:v>344.4914564</c:v>
                </c:pt>
                <c:pt idx="23">
                  <c:v>322.61725589999998</c:v>
                </c:pt>
                <c:pt idx="24">
                  <c:v>302.17495259999998</c:v>
                </c:pt>
                <c:pt idx="25">
                  <c:v>283.08674980000001</c:v>
                </c:pt>
                <c:pt idx="26">
                  <c:v>265.25850059999999</c:v>
                </c:pt>
                <c:pt idx="27">
                  <c:v>248.58583630000001</c:v>
                </c:pt>
                <c:pt idx="28">
                  <c:v>232.95559689999999</c:v>
                </c:pt>
                <c:pt idx="29">
                  <c:v>218.2569331</c:v>
                </c:pt>
                <c:pt idx="30">
                  <c:v>204.3979563</c:v>
                </c:pt>
                <c:pt idx="31">
                  <c:v>191.31025679999999</c:v>
                </c:pt>
                <c:pt idx="32">
                  <c:v>178.94513939999999</c:v>
                </c:pt>
                <c:pt idx="33">
                  <c:v>167.26649090000001</c:v>
                </c:pt>
                <c:pt idx="34">
                  <c:v>156.24700279999999</c:v>
                </c:pt>
                <c:pt idx="35">
                  <c:v>145.86872020000001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Données!$B$401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Données!$C$395:$AL$395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Données!$C$401:$AL$401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137.98132409999999</c:v>
                </c:pt>
                <c:pt idx="2">
                  <c:v>136.1628628</c:v>
                </c:pt>
                <c:pt idx="3">
                  <c:v>134.40074670000001</c:v>
                </c:pt>
                <c:pt idx="4">
                  <c:v>132.69412220000001</c:v>
                </c:pt>
                <c:pt idx="5">
                  <c:v>131.0222254</c:v>
                </c:pt>
                <c:pt idx="6">
                  <c:v>129.37650239999999</c:v>
                </c:pt>
                <c:pt idx="7">
                  <c:v>127.7655591</c:v>
                </c:pt>
                <c:pt idx="8">
                  <c:v>126.2396219</c:v>
                </c:pt>
                <c:pt idx="9">
                  <c:v>124.7701115</c:v>
                </c:pt>
                <c:pt idx="10">
                  <c:v>123.32656129999999</c:v>
                </c:pt>
                <c:pt idx="11">
                  <c:v>121.88073079999999</c:v>
                </c:pt>
                <c:pt idx="12">
                  <c:v>120.4016216</c:v>
                </c:pt>
                <c:pt idx="13">
                  <c:v>118.8850954</c:v>
                </c:pt>
                <c:pt idx="14">
                  <c:v>117.3401271</c:v>
                </c:pt>
                <c:pt idx="15">
                  <c:v>115.780794</c:v>
                </c:pt>
                <c:pt idx="16">
                  <c:v>114.2210036</c:v>
                </c:pt>
                <c:pt idx="17">
                  <c:v>112.6717477</c:v>
                </c:pt>
                <c:pt idx="18">
                  <c:v>111.1404679</c:v>
                </c:pt>
                <c:pt idx="19">
                  <c:v>109.6317358</c:v>
                </c:pt>
                <c:pt idx="20">
                  <c:v>108.1479385</c:v>
                </c:pt>
                <c:pt idx="21">
                  <c:v>106.68969869999999</c:v>
                </c:pt>
                <c:pt idx="22">
                  <c:v>105.2564485</c:v>
                </c:pt>
                <c:pt idx="23">
                  <c:v>103.84635249999999</c:v>
                </c:pt>
                <c:pt idx="24">
                  <c:v>102.4562147</c:v>
                </c:pt>
                <c:pt idx="25">
                  <c:v>101.0820715</c:v>
                </c:pt>
                <c:pt idx="26">
                  <c:v>99.719489359999997</c:v>
                </c:pt>
                <c:pt idx="27">
                  <c:v>98.363814680000004</c:v>
                </c:pt>
                <c:pt idx="28">
                  <c:v>97.009924510000005</c:v>
                </c:pt>
                <c:pt idx="29">
                  <c:v>95.651964719999995</c:v>
                </c:pt>
                <c:pt idx="30">
                  <c:v>94.283942920000001</c:v>
                </c:pt>
                <c:pt idx="31">
                  <c:v>92.900450079999999</c:v>
                </c:pt>
                <c:pt idx="32">
                  <c:v>91.497147029999994</c:v>
                </c:pt>
                <c:pt idx="33">
                  <c:v>90.070769530000007</c:v>
                </c:pt>
                <c:pt idx="34">
                  <c:v>88.619004410000002</c:v>
                </c:pt>
                <c:pt idx="35">
                  <c:v>87.140915019999994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Données!$B$402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Données!$C$395:$AL$395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Données!$C$402:$AL$402</c:f>
              <c:numCache>
                <c:formatCode>#,##0</c:formatCode>
                <c:ptCount val="36"/>
                <c:pt idx="0">
                  <c:v>3.874567114</c:v>
                </c:pt>
                <c:pt idx="1">
                  <c:v>3.726195063</c:v>
                </c:pt>
                <c:pt idx="2">
                  <c:v>3.5856474629999999</c:v>
                </c:pt>
                <c:pt idx="3">
                  <c:v>3.4527571309999998</c:v>
                </c:pt>
                <c:pt idx="4">
                  <c:v>3.3271010190000001</c:v>
                </c:pt>
                <c:pt idx="5">
                  <c:v>3.2069332080000001</c:v>
                </c:pt>
                <c:pt idx="6">
                  <c:v>3.0915593220000002</c:v>
                </c:pt>
                <c:pt idx="7">
                  <c:v>2.9813546529999999</c:v>
                </c:pt>
                <c:pt idx="8">
                  <c:v>2.8794196790000002</c:v>
                </c:pt>
                <c:pt idx="9">
                  <c:v>2.7834632500000001</c:v>
                </c:pt>
                <c:pt idx="10">
                  <c:v>2.6914803919999999</c:v>
                </c:pt>
                <c:pt idx="11">
                  <c:v>2.6017626659999999</c:v>
                </c:pt>
                <c:pt idx="12">
                  <c:v>2.5123157740000002</c:v>
                </c:pt>
                <c:pt idx="13">
                  <c:v>2.4231854309999998</c:v>
                </c:pt>
                <c:pt idx="14">
                  <c:v>2.3352024949999999</c:v>
                </c:pt>
                <c:pt idx="15">
                  <c:v>2.2493451270000002</c:v>
                </c:pt>
                <c:pt idx="16">
                  <c:v>2.1665013790000001</c:v>
                </c:pt>
                <c:pt idx="17">
                  <c:v>2.087437676</c:v>
                </c:pt>
                <c:pt idx="18">
                  <c:v>2.0124487449999999</c:v>
                </c:pt>
                <c:pt idx="19">
                  <c:v>1.941554201</c:v>
                </c:pt>
                <c:pt idx="20">
                  <c:v>1.8746165539999999</c:v>
                </c:pt>
                <c:pt idx="21">
                  <c:v>1.8114055579999999</c:v>
                </c:pt>
                <c:pt idx="22">
                  <c:v>1.7516461459999999</c:v>
                </c:pt>
                <c:pt idx="23">
                  <c:v>1.6950263379999999</c:v>
                </c:pt>
                <c:pt idx="24">
                  <c:v>1.641201108</c:v>
                </c:pt>
                <c:pt idx="25">
                  <c:v>1.5898220320000001</c:v>
                </c:pt>
                <c:pt idx="26">
                  <c:v>1.540550283</c:v>
                </c:pt>
                <c:pt idx="27">
                  <c:v>1.493065474</c:v>
                </c:pt>
                <c:pt idx="28">
                  <c:v>1.4470572799999999</c:v>
                </c:pt>
                <c:pt idx="29">
                  <c:v>1.4022201030000001</c:v>
                </c:pt>
                <c:pt idx="30">
                  <c:v>1.358279883</c:v>
                </c:pt>
                <c:pt idx="31">
                  <c:v>1.3150194989999999</c:v>
                </c:pt>
                <c:pt idx="32">
                  <c:v>1.2722889639999999</c:v>
                </c:pt>
                <c:pt idx="33">
                  <c:v>1.2299963620000001</c:v>
                </c:pt>
                <c:pt idx="34">
                  <c:v>1.188094663</c:v>
                </c:pt>
                <c:pt idx="35">
                  <c:v>1.146583761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 (milliers)</a:t>
            </a:r>
          </a:p>
          <a:p>
            <a:pPr>
              <a:defRPr/>
            </a:pPr>
            <a:r>
              <a:rPr lang="fr-FR" sz="1800" i="1"/>
              <a:t>Scénario tendanciel</a:t>
            </a:r>
          </a:p>
        </c:rich>
      </c:tx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Données!$B$387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Données!$C$386:$AL$386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Données!$C$387:$AL$387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7158.3462152235006</c:v>
                </c:pt>
                <c:pt idx="2">
                  <c:v>7269.0502833800992</c:v>
                </c:pt>
                <c:pt idx="3">
                  <c:v>7413.5761789444996</c:v>
                </c:pt>
                <c:pt idx="4">
                  <c:v>7585.6595938572</c:v>
                </c:pt>
                <c:pt idx="5">
                  <c:v>7774.0757893214995</c:v>
                </c:pt>
                <c:pt idx="6">
                  <c:v>7956.5211239278005</c:v>
                </c:pt>
                <c:pt idx="7">
                  <c:v>8135.8859853473004</c:v>
                </c:pt>
                <c:pt idx="8">
                  <c:v>8316.5975151040002</c:v>
                </c:pt>
                <c:pt idx="9">
                  <c:v>8503.1712895330002</c:v>
                </c:pt>
                <c:pt idx="10">
                  <c:v>8699.1651951309996</c:v>
                </c:pt>
                <c:pt idx="11">
                  <c:v>8907.0992821190994</c:v>
                </c:pt>
                <c:pt idx="12">
                  <c:v>9127.6821802412996</c:v>
                </c:pt>
                <c:pt idx="13">
                  <c:v>9359.2213280088017</c:v>
                </c:pt>
                <c:pt idx="14">
                  <c:v>9598.6689063829999</c:v>
                </c:pt>
                <c:pt idx="15">
                  <c:v>9842.5915098197001</c:v>
                </c:pt>
                <c:pt idx="16">
                  <c:v>10098.67747291</c:v>
                </c:pt>
                <c:pt idx="17">
                  <c:v>10358.5439341938</c:v>
                </c:pt>
                <c:pt idx="18">
                  <c:v>10615.948842985201</c:v>
                </c:pt>
                <c:pt idx="19">
                  <c:v>10867.234016299901</c:v>
                </c:pt>
                <c:pt idx="20">
                  <c:v>11110.7851717789</c:v>
                </c:pt>
                <c:pt idx="21">
                  <c:v>11346.3974848412</c:v>
                </c:pt>
                <c:pt idx="22">
                  <c:v>11574.7704563604</c:v>
                </c:pt>
                <c:pt idx="23">
                  <c:v>11797.107469006001</c:v>
                </c:pt>
                <c:pt idx="24">
                  <c:v>12014.784195459501</c:v>
                </c:pt>
                <c:pt idx="25">
                  <c:v>12229.3516855283</c:v>
                </c:pt>
                <c:pt idx="26">
                  <c:v>12442.487702497401</c:v>
                </c:pt>
                <c:pt idx="27">
                  <c:v>12656.016751502599</c:v>
                </c:pt>
                <c:pt idx="28">
                  <c:v>12871.7898403158</c:v>
                </c:pt>
                <c:pt idx="29">
                  <c:v>13091.529477798198</c:v>
                </c:pt>
                <c:pt idx="30">
                  <c:v>13316.533665139801</c:v>
                </c:pt>
                <c:pt idx="31">
                  <c:v>13547.626572978399</c:v>
                </c:pt>
                <c:pt idx="32">
                  <c:v>13785.2163654333</c:v>
                </c:pt>
                <c:pt idx="33">
                  <c:v>14029.3648960839</c:v>
                </c:pt>
                <c:pt idx="34">
                  <c:v>14279.8516839114</c:v>
                </c:pt>
                <c:pt idx="35">
                  <c:v>14536.2219982199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Données!$B$388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Données!$C$386:$AL$386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Données!$C$388:$AL$388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8200.6204125536988</c:v>
                </c:pt>
                <c:pt idx="2">
                  <c:v>8201.6478682226007</c:v>
                </c:pt>
                <c:pt idx="3">
                  <c:v>8241.9870020421004</c:v>
                </c:pt>
                <c:pt idx="4">
                  <c:v>8315.1432601656998</c:v>
                </c:pt>
                <c:pt idx="5">
                  <c:v>8410.2543860270998</c:v>
                </c:pt>
                <c:pt idx="6">
                  <c:v>8505.6883130458009</c:v>
                </c:pt>
                <c:pt idx="7">
                  <c:v>8603.6390468748996</c:v>
                </c:pt>
                <c:pt idx="8">
                  <c:v>8708.1128141207992</c:v>
                </c:pt>
                <c:pt idx="9">
                  <c:v>8823.4643788120011</c:v>
                </c:pt>
                <c:pt idx="10">
                  <c:v>8953.2836376413015</c:v>
                </c:pt>
                <c:pt idx="11">
                  <c:v>9100.1886160991999</c:v>
                </c:pt>
                <c:pt idx="12">
                  <c:v>9264.9768023250999</c:v>
                </c:pt>
                <c:pt idx="13">
                  <c:v>9445.9946611845007</c:v>
                </c:pt>
                <c:pt idx="14">
                  <c:v>9640.1105390979992</c:v>
                </c:pt>
                <c:pt idx="15">
                  <c:v>9843.6726507900003</c:v>
                </c:pt>
                <c:pt idx="16">
                  <c:v>10063.7856208101</c:v>
                </c:pt>
                <c:pt idx="17">
                  <c:v>10292.316035366501</c:v>
                </c:pt>
                <c:pt idx="18">
                  <c:v>10522.9231956364</c:v>
                </c:pt>
                <c:pt idx="19">
                  <c:v>10751.5918724328</c:v>
                </c:pt>
                <c:pt idx="20">
                  <c:v>10976.213476472401</c:v>
                </c:pt>
                <c:pt idx="21">
                  <c:v>11196.044291948101</c:v>
                </c:pt>
                <c:pt idx="22">
                  <c:v>11411.253778315198</c:v>
                </c:pt>
                <c:pt idx="23">
                  <c:v>11622.549458305601</c:v>
                </c:pt>
                <c:pt idx="24">
                  <c:v>11830.850422198202</c:v>
                </c:pt>
                <c:pt idx="25">
                  <c:v>12037.288056726698</c:v>
                </c:pt>
                <c:pt idx="26">
                  <c:v>12243.154296681001</c:v>
                </c:pt>
                <c:pt idx="27">
                  <c:v>12449.917272794301</c:v>
                </c:pt>
                <c:pt idx="28">
                  <c:v>12659.098454212301</c:v>
                </c:pt>
                <c:pt idx="29">
                  <c:v>12872.123830728598</c:v>
                </c:pt>
                <c:pt idx="30">
                  <c:v>13090.030218873999</c:v>
                </c:pt>
                <c:pt idx="31">
                  <c:v>13313.4130939239</c:v>
                </c:pt>
                <c:pt idx="32">
                  <c:v>13542.4805018519</c:v>
                </c:pt>
                <c:pt idx="33">
                  <c:v>13777.119827249899</c:v>
                </c:pt>
                <c:pt idx="34">
                  <c:v>14016.960105227501</c:v>
                </c:pt>
                <c:pt idx="35">
                  <c:v>14261.419603302102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Données!$B$389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Données!$C$386:$AL$386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Données!$C$389:$AL$389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6660.4795198619004</c:v>
                </c:pt>
                <c:pt idx="2">
                  <c:v>6583.2277877945999</c:v>
                </c:pt>
                <c:pt idx="3">
                  <c:v>6538.2986725576002</c:v>
                </c:pt>
                <c:pt idx="4">
                  <c:v>6520.8717272916001</c:v>
                </c:pt>
                <c:pt idx="5">
                  <c:v>6523.3877281797995</c:v>
                </c:pt>
                <c:pt idx="6">
                  <c:v>6530.7504863548002</c:v>
                </c:pt>
                <c:pt idx="7">
                  <c:v>6544.1140409317004</c:v>
                </c:pt>
                <c:pt idx="8">
                  <c:v>6566.1252169261998</c:v>
                </c:pt>
                <c:pt idx="9">
                  <c:v>6599.8464751349011</c:v>
                </c:pt>
                <c:pt idx="10">
                  <c:v>6647.8936942013006</c:v>
                </c:pt>
                <c:pt idx="11">
                  <c:v>6712.1963756042005</c:v>
                </c:pt>
                <c:pt idx="12">
                  <c:v>6793.3426326993003</c:v>
                </c:pt>
                <c:pt idx="13">
                  <c:v>6890.1124555375</c:v>
                </c:pt>
                <c:pt idx="14">
                  <c:v>7000.1453506604003</c:v>
                </c:pt>
                <c:pt idx="15">
                  <c:v>7120.6307287321997</c:v>
                </c:pt>
                <c:pt idx="16">
                  <c:v>7256.3145428630996</c:v>
                </c:pt>
                <c:pt idx="17">
                  <c:v>7401.4894950243997</c:v>
                </c:pt>
                <c:pt idx="18">
                  <c:v>7551.5087005325004</c:v>
                </c:pt>
                <c:pt idx="19">
                  <c:v>7703.2243977754997</c:v>
                </c:pt>
                <c:pt idx="20">
                  <c:v>7854.7659014417004</c:v>
                </c:pt>
                <c:pt idx="21">
                  <c:v>8005.212510634</c:v>
                </c:pt>
                <c:pt idx="22">
                  <c:v>8154.3058083072992</c:v>
                </c:pt>
                <c:pt idx="23">
                  <c:v>8302.1978243849007</c:v>
                </c:pt>
                <c:pt idx="24">
                  <c:v>8449.219545358299</c:v>
                </c:pt>
                <c:pt idx="25">
                  <c:v>8595.8816996573005</c:v>
                </c:pt>
                <c:pt idx="26">
                  <c:v>8742.8363703597006</c:v>
                </c:pt>
                <c:pt idx="27">
                  <c:v>8890.8863605484003</c:v>
                </c:pt>
                <c:pt idx="28">
                  <c:v>9040.8945334673008</c:v>
                </c:pt>
                <c:pt idx="29">
                  <c:v>9193.6799505672006</c:v>
                </c:pt>
                <c:pt idx="30">
                  <c:v>9349.8053014861998</c:v>
                </c:pt>
                <c:pt idx="31">
                  <c:v>9509.5363739942986</c:v>
                </c:pt>
                <c:pt idx="32">
                  <c:v>9672.8783387160001</c:v>
                </c:pt>
                <c:pt idx="33">
                  <c:v>9839.6220435413998</c:v>
                </c:pt>
                <c:pt idx="34">
                  <c:v>10009.388120531599</c:v>
                </c:pt>
                <c:pt idx="35">
                  <c:v>10181.661140022001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Données!$B$390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Données!$C$386:$AL$386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Données!$C$390:$AL$390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4062.9702954898999</c:v>
                </c:pt>
                <c:pt idx="2">
                  <c:v>3988.6221643562003</c:v>
                </c:pt>
                <c:pt idx="3">
                  <c:v>3932.3839145528004</c:v>
                </c:pt>
                <c:pt idx="4">
                  <c:v>3890.9945074000998</c:v>
                </c:pt>
                <c:pt idx="5">
                  <c:v>3859.8995323300005</c:v>
                </c:pt>
                <c:pt idx="6">
                  <c:v>3830.5004098230002</c:v>
                </c:pt>
                <c:pt idx="7">
                  <c:v>3802.7168943095003</c:v>
                </c:pt>
                <c:pt idx="8">
                  <c:v>3777.1793575897</c:v>
                </c:pt>
                <c:pt idx="9">
                  <c:v>3754.6506385190996</c:v>
                </c:pt>
                <c:pt idx="10">
                  <c:v>3735.6794946026998</c:v>
                </c:pt>
                <c:pt idx="11">
                  <c:v>3720.6731501501999</c:v>
                </c:pt>
                <c:pt idx="12">
                  <c:v>3709.7495447153001</c:v>
                </c:pt>
                <c:pt idx="13">
                  <c:v>3702.6073286608002</c:v>
                </c:pt>
                <c:pt idx="14">
                  <c:v>3698.8020247307995</c:v>
                </c:pt>
                <c:pt idx="15">
                  <c:v>3697.9200013351001</c:v>
                </c:pt>
                <c:pt idx="16">
                  <c:v>3703.3738116363998</c:v>
                </c:pt>
                <c:pt idx="17">
                  <c:v>3714.1174743066999</c:v>
                </c:pt>
                <c:pt idx="18">
                  <c:v>3728.9696939976998</c:v>
                </c:pt>
                <c:pt idx="19">
                  <c:v>3746.9308124284998</c:v>
                </c:pt>
                <c:pt idx="20">
                  <c:v>3767.2346219302999</c:v>
                </c:pt>
                <c:pt idx="21">
                  <c:v>3789.3323424396999</c:v>
                </c:pt>
                <c:pt idx="22">
                  <c:v>3812.8521179807003</c:v>
                </c:pt>
                <c:pt idx="23">
                  <c:v>3837.5394521386002</c:v>
                </c:pt>
                <c:pt idx="24">
                  <c:v>3863.1787826506002</c:v>
                </c:pt>
                <c:pt idx="25">
                  <c:v>3889.6125965593997</c:v>
                </c:pt>
                <c:pt idx="26">
                  <c:v>3916.7370682312999</c:v>
                </c:pt>
                <c:pt idx="27">
                  <c:v>3944.5138517228002</c:v>
                </c:pt>
                <c:pt idx="28">
                  <c:v>3972.9364792533001</c:v>
                </c:pt>
                <c:pt idx="29">
                  <c:v>4002.0029029398002</c:v>
                </c:pt>
                <c:pt idx="30">
                  <c:v>4031.6348743039998</c:v>
                </c:pt>
                <c:pt idx="31">
                  <c:v>4061.6644591097001</c:v>
                </c:pt>
                <c:pt idx="32">
                  <c:v>4091.8508941131995</c:v>
                </c:pt>
                <c:pt idx="33">
                  <c:v>4121.9009037346996</c:v>
                </c:pt>
                <c:pt idx="34">
                  <c:v>4151.4881043724999</c:v>
                </c:pt>
                <c:pt idx="35">
                  <c:v>4180.2683338769002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Données!$B$391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Données!$C$386:$AL$386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Données!$C$391:$AL$391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2447.9402454985002</c:v>
                </c:pt>
                <c:pt idx="2">
                  <c:v>2404.8653230632999</c:v>
                </c:pt>
                <c:pt idx="3">
                  <c:v>2371.7516691383998</c:v>
                </c:pt>
                <c:pt idx="4">
                  <c:v>2346.6099180213996</c:v>
                </c:pt>
                <c:pt idx="5">
                  <c:v>2326.7870808365001</c:v>
                </c:pt>
                <c:pt idx="6">
                  <c:v>2307.1872849736005</c:v>
                </c:pt>
                <c:pt idx="7">
                  <c:v>2287.7874092937</c:v>
                </c:pt>
                <c:pt idx="8">
                  <c:v>2269.0589071414001</c:v>
                </c:pt>
                <c:pt idx="9">
                  <c:v>2251.6014059868003</c:v>
                </c:pt>
                <c:pt idx="10">
                  <c:v>2235.9186315755001</c:v>
                </c:pt>
                <c:pt idx="11">
                  <c:v>2222.4549952570997</c:v>
                </c:pt>
                <c:pt idx="12">
                  <c:v>2211.4967491141001</c:v>
                </c:pt>
                <c:pt idx="13">
                  <c:v>2203.0798044233998</c:v>
                </c:pt>
                <c:pt idx="14">
                  <c:v>2197.1272084565999</c:v>
                </c:pt>
                <c:pt idx="15">
                  <c:v>2193.5352478604</c:v>
                </c:pt>
                <c:pt idx="16">
                  <c:v>2194.4416387196998</c:v>
                </c:pt>
                <c:pt idx="17">
                  <c:v>2199.3985112176001</c:v>
                </c:pt>
                <c:pt idx="18">
                  <c:v>2207.7736699996999</c:v>
                </c:pt>
                <c:pt idx="19">
                  <c:v>2218.9545406307998</c:v>
                </c:pt>
                <c:pt idx="20">
                  <c:v>2232.4052534508</c:v>
                </c:pt>
                <c:pt idx="21">
                  <c:v>2247.6821677056</c:v>
                </c:pt>
                <c:pt idx="22">
                  <c:v>2264.4268089806997</c:v>
                </c:pt>
                <c:pt idx="23">
                  <c:v>2282.3403588077999</c:v>
                </c:pt>
                <c:pt idx="24">
                  <c:v>2301.1391109878004</c:v>
                </c:pt>
                <c:pt idx="25">
                  <c:v>2320.5719566534999</c:v>
                </c:pt>
                <c:pt idx="26">
                  <c:v>2340.4221732934002</c:v>
                </c:pt>
                <c:pt idx="27">
                  <c:v>2360.5187382146</c:v>
                </c:pt>
                <c:pt idx="28">
                  <c:v>2380.7183115245998</c:v>
                </c:pt>
                <c:pt idx="29">
                  <c:v>2400.8957512868997</c:v>
                </c:pt>
                <c:pt idx="30">
                  <c:v>2420.8958093413003</c:v>
                </c:pt>
                <c:pt idx="31">
                  <c:v>2440.5246800891005</c:v>
                </c:pt>
                <c:pt idx="32">
                  <c:v>2459.5600361325996</c:v>
                </c:pt>
                <c:pt idx="33">
                  <c:v>2477.7632437719003</c:v>
                </c:pt>
                <c:pt idx="34">
                  <c:v>2494.8912513698997</c:v>
                </c:pt>
                <c:pt idx="35">
                  <c:v>2510.7060218968004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Données!$B$392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Données!$C$386:$AL$386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Données!$C$392:$AL$392</c:f>
              <c:numCache>
                <c:formatCode>#,##0</c:formatCode>
                <c:ptCount val="36"/>
                <c:pt idx="0">
                  <c:v>1245.466605953</c:v>
                </c:pt>
                <c:pt idx="1">
                  <c:v>1213.2851161359001</c:v>
                </c:pt>
                <c:pt idx="2">
                  <c:v>1187.8512866725998</c:v>
                </c:pt>
                <c:pt idx="3">
                  <c:v>1165.8946186200001</c:v>
                </c:pt>
                <c:pt idx="4">
                  <c:v>1146.3705672017002</c:v>
                </c:pt>
                <c:pt idx="5">
                  <c:v>1128.0855057574001</c:v>
                </c:pt>
                <c:pt idx="6">
                  <c:v>1108.8401495913999</c:v>
                </c:pt>
                <c:pt idx="7">
                  <c:v>1088.6490924328</c:v>
                </c:pt>
                <c:pt idx="8">
                  <c:v>1067.7625727676</c:v>
                </c:pt>
                <c:pt idx="9">
                  <c:v>1046.4856158672001</c:v>
                </c:pt>
                <c:pt idx="10">
                  <c:v>1025.0784414855</c:v>
                </c:pt>
                <c:pt idx="11">
                  <c:v>1003.7936062267</c:v>
                </c:pt>
                <c:pt idx="12">
                  <c:v>982.85235187609999</c:v>
                </c:pt>
                <c:pt idx="13">
                  <c:v>962.41877640380005</c:v>
                </c:pt>
                <c:pt idx="14">
                  <c:v>942.64058259880005</c:v>
                </c:pt>
                <c:pt idx="15">
                  <c:v>923.66572556029996</c:v>
                </c:pt>
                <c:pt idx="16">
                  <c:v>906.4538018223999</c:v>
                </c:pt>
                <c:pt idx="17">
                  <c:v>891.17346368000005</c:v>
                </c:pt>
                <c:pt idx="18">
                  <c:v>877.84582020549999</c:v>
                </c:pt>
                <c:pt idx="19">
                  <c:v>866.40853132940003</c:v>
                </c:pt>
                <c:pt idx="20">
                  <c:v>856.7461628259</c:v>
                </c:pt>
                <c:pt idx="21">
                  <c:v>848.71259269230006</c:v>
                </c:pt>
                <c:pt idx="22">
                  <c:v>842.14224537780001</c:v>
                </c:pt>
                <c:pt idx="23">
                  <c:v>836.8512880761001</c:v>
                </c:pt>
                <c:pt idx="24">
                  <c:v>832.62623376459999</c:v>
                </c:pt>
                <c:pt idx="25">
                  <c:v>829.23943541719996</c:v>
                </c:pt>
                <c:pt idx="26">
                  <c:v>826.45913931589996</c:v>
                </c:pt>
                <c:pt idx="27">
                  <c:v>824.06298811530007</c:v>
                </c:pt>
                <c:pt idx="28">
                  <c:v>821.84033322429991</c:v>
                </c:pt>
                <c:pt idx="29">
                  <c:v>819.60350287710003</c:v>
                </c:pt>
                <c:pt idx="30">
                  <c:v>817.17745725240002</c:v>
                </c:pt>
                <c:pt idx="31">
                  <c:v>814.39899842360001</c:v>
                </c:pt>
                <c:pt idx="32">
                  <c:v>811.1205620101</c:v>
                </c:pt>
                <c:pt idx="33">
                  <c:v>807.21388001269997</c:v>
                </c:pt>
                <c:pt idx="34">
                  <c:v>802.57308714039993</c:v>
                </c:pt>
                <c:pt idx="35">
                  <c:v>797.11652572989988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Données!$B$393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Données!$C$386:$AL$386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Données!$C$393:$AL$393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2188.3527978681</c:v>
                </c:pt>
                <c:pt idx="2">
                  <c:v>2143.7750026644999</c:v>
                </c:pt>
                <c:pt idx="3">
                  <c:v>2102.9305655292997</c:v>
                </c:pt>
                <c:pt idx="4">
                  <c:v>2064.0103330961001</c:v>
                </c:pt>
                <c:pt idx="5">
                  <c:v>2025.1863998452998</c:v>
                </c:pt>
                <c:pt idx="6">
                  <c:v>1982.9774002920001</c:v>
                </c:pt>
                <c:pt idx="7">
                  <c:v>1937.7090999339998</c:v>
                </c:pt>
                <c:pt idx="8">
                  <c:v>1890.1614110386001</c:v>
                </c:pt>
                <c:pt idx="9">
                  <c:v>1841.2174287861001</c:v>
                </c:pt>
                <c:pt idx="10">
                  <c:v>1791.6696889335001</c:v>
                </c:pt>
                <c:pt idx="11">
                  <c:v>1742.2849819662999</c:v>
                </c:pt>
                <c:pt idx="12">
                  <c:v>1693.7598780450999</c:v>
                </c:pt>
                <c:pt idx="13">
                  <c:v>1646.6703848585998</c:v>
                </c:pt>
                <c:pt idx="14">
                  <c:v>1601.5137740117</c:v>
                </c:pt>
                <c:pt idx="15">
                  <c:v>1558.7252928224</c:v>
                </c:pt>
                <c:pt idx="16">
                  <c:v>1519.9529217592999</c:v>
                </c:pt>
                <c:pt idx="17">
                  <c:v>1485.7045137307</c:v>
                </c:pt>
                <c:pt idx="18">
                  <c:v>1456.2058863927</c:v>
                </c:pt>
                <c:pt idx="19">
                  <c:v>1431.4936270004998</c:v>
                </c:pt>
                <c:pt idx="20">
                  <c:v>1411.4643099448999</c:v>
                </c:pt>
                <c:pt idx="21">
                  <c:v>1395.9141217727999</c:v>
                </c:pt>
                <c:pt idx="22">
                  <c:v>1384.5555552557998</c:v>
                </c:pt>
                <c:pt idx="23">
                  <c:v>1377.0141616436001</c:v>
                </c:pt>
                <c:pt idx="24">
                  <c:v>1372.7966207247</c:v>
                </c:pt>
                <c:pt idx="25">
                  <c:v>1371.3180100493998</c:v>
                </c:pt>
                <c:pt idx="26">
                  <c:v>1371.9260799858998</c:v>
                </c:pt>
                <c:pt idx="27">
                  <c:v>1373.9396661372</c:v>
                </c:pt>
                <c:pt idx="28">
                  <c:v>1376.6706348314999</c:v>
                </c:pt>
                <c:pt idx="29">
                  <c:v>1379.4755895988001</c:v>
                </c:pt>
                <c:pt idx="30">
                  <c:v>1381.7541170043</c:v>
                </c:pt>
                <c:pt idx="31">
                  <c:v>1382.9591242049</c:v>
                </c:pt>
                <c:pt idx="32">
                  <c:v>1382.6126783103</c:v>
                </c:pt>
                <c:pt idx="33">
                  <c:v>1380.3188031300999</c:v>
                </c:pt>
                <c:pt idx="34">
                  <c:v>1375.7725231226</c:v>
                </c:pt>
                <c:pt idx="35">
                  <c:v>1368.7634188494999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Stock de véhicules</a:t>
            </a:r>
            <a:r>
              <a:rPr lang="fr-FR" sz="2800" baseline="0"/>
              <a:t> (milliers)</a:t>
            </a:r>
            <a:endParaRPr lang="fr-FR" sz="2800"/>
          </a:p>
          <a:p>
            <a:pPr>
              <a:defRPr/>
            </a:pPr>
            <a:r>
              <a:rPr lang="fr-FR" sz="1800" i="1"/>
              <a:t>Scénario</a:t>
            </a:r>
            <a:r>
              <a:rPr lang="fr-FR" sz="1800" i="1" baseline="0"/>
              <a:t> Net Zero 2050</a:t>
            </a:r>
            <a:endParaRPr lang="fr-FR" sz="1800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Données!$B$356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Données!$C$355:$AL$355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Données!$C$356:$AL$356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7158.3462152235006</c:v>
                </c:pt>
                <c:pt idx="2">
                  <c:v>7269.0502833800992</c:v>
                </c:pt>
                <c:pt idx="3">
                  <c:v>7413.5761789444996</c:v>
                </c:pt>
                <c:pt idx="4">
                  <c:v>7585.6595938572</c:v>
                </c:pt>
                <c:pt idx="5">
                  <c:v>7774.0757893214995</c:v>
                </c:pt>
                <c:pt idx="6">
                  <c:v>7967.5773609568005</c:v>
                </c:pt>
                <c:pt idx="7">
                  <c:v>8136.9651687393998</c:v>
                </c:pt>
                <c:pt idx="8">
                  <c:v>8308.4344857057004</c:v>
                </c:pt>
                <c:pt idx="9">
                  <c:v>8495.7743706173005</c:v>
                </c:pt>
                <c:pt idx="10">
                  <c:v>8706.9363393712993</c:v>
                </c:pt>
                <c:pt idx="11">
                  <c:v>8953.1738758742995</c:v>
                </c:pt>
                <c:pt idx="12">
                  <c:v>9226.8655491779991</c:v>
                </c:pt>
                <c:pt idx="13">
                  <c:v>9517.4584235886996</c:v>
                </c:pt>
                <c:pt idx="14">
                  <c:v>9815.5935006038999</c:v>
                </c:pt>
                <c:pt idx="15">
                  <c:v>10114.2301993367</c:v>
                </c:pt>
                <c:pt idx="16">
                  <c:v>10411.1355061801</c:v>
                </c:pt>
                <c:pt idx="17">
                  <c:v>10702.0458276924</c:v>
                </c:pt>
                <c:pt idx="18">
                  <c:v>10984.892797880801</c:v>
                </c:pt>
                <c:pt idx="19">
                  <c:v>11258.892313529399</c:v>
                </c:pt>
                <c:pt idx="20">
                  <c:v>11524.047451328599</c:v>
                </c:pt>
                <c:pt idx="21">
                  <c:v>11780.823965473201</c:v>
                </c:pt>
                <c:pt idx="22">
                  <c:v>12030.099227106</c:v>
                </c:pt>
                <c:pt idx="23">
                  <c:v>12273.091692188998</c:v>
                </c:pt>
                <c:pt idx="24">
                  <c:v>12511.0606147953</c:v>
                </c:pt>
                <c:pt idx="25">
                  <c:v>12745.313256977801</c:v>
                </c:pt>
                <c:pt idx="26">
                  <c:v>12977.033702791899</c:v>
                </c:pt>
                <c:pt idx="27">
                  <c:v>13207.617383852899</c:v>
                </c:pt>
                <c:pt idx="28">
                  <c:v>13438.921095604999</c:v>
                </c:pt>
                <c:pt idx="29">
                  <c:v>13672.835433403699</c:v>
                </c:pt>
                <c:pt idx="30">
                  <c:v>13910.8086174984</c:v>
                </c:pt>
                <c:pt idx="31">
                  <c:v>14153.6945209601</c:v>
                </c:pt>
                <c:pt idx="32">
                  <c:v>14401.905758577999</c:v>
                </c:pt>
                <c:pt idx="33">
                  <c:v>14655.6700847387</c:v>
                </c:pt>
                <c:pt idx="34">
                  <c:v>14915.017541295399</c:v>
                </c:pt>
                <c:pt idx="35">
                  <c:v>15179.735517634201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Données!$B$357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Données!$C$355:$AL$355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Données!$C$357:$AL$357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8200.6204125537006</c:v>
                </c:pt>
                <c:pt idx="2">
                  <c:v>8201.6478682226007</c:v>
                </c:pt>
                <c:pt idx="3">
                  <c:v>8241.9870020421004</c:v>
                </c:pt>
                <c:pt idx="4">
                  <c:v>8315.1432601656998</c:v>
                </c:pt>
                <c:pt idx="5">
                  <c:v>8410.2543860270998</c:v>
                </c:pt>
                <c:pt idx="6">
                  <c:v>8516.3498544464001</c:v>
                </c:pt>
                <c:pt idx="7">
                  <c:v>8604.8319940662004</c:v>
                </c:pt>
                <c:pt idx="8">
                  <c:v>8699.6588630563001</c:v>
                </c:pt>
                <c:pt idx="9">
                  <c:v>8814.1398731583995</c:v>
                </c:pt>
                <c:pt idx="10">
                  <c:v>8956.1271488203001</c:v>
                </c:pt>
                <c:pt idx="11">
                  <c:v>9136.6693950753997</c:v>
                </c:pt>
                <c:pt idx="12">
                  <c:v>9349.1054670314006</c:v>
                </c:pt>
                <c:pt idx="13">
                  <c:v>9583.6215147539006</c:v>
                </c:pt>
                <c:pt idx="14">
                  <c:v>9831.2402779239001</c:v>
                </c:pt>
                <c:pt idx="15">
                  <c:v>10084.971221539799</c:v>
                </c:pt>
                <c:pt idx="16">
                  <c:v>10342.2922430985</c:v>
                </c:pt>
                <c:pt idx="17">
                  <c:v>10598.670204031601</c:v>
                </c:pt>
                <c:pt idx="18">
                  <c:v>10851.6180057533</c:v>
                </c:pt>
                <c:pt idx="19">
                  <c:v>11099.8691429964</c:v>
                </c:pt>
                <c:pt idx="20">
                  <c:v>11342.9284750717</c:v>
                </c:pt>
                <c:pt idx="21">
                  <c:v>11580.7738531092</c:v>
                </c:pt>
                <c:pt idx="22">
                  <c:v>11813.812920787701</c:v>
                </c:pt>
                <c:pt idx="23">
                  <c:v>12042.8203175293</c:v>
                </c:pt>
                <c:pt idx="24">
                  <c:v>12268.641637756</c:v>
                </c:pt>
                <c:pt idx="25">
                  <c:v>12492.1981330984</c:v>
                </c:pt>
                <c:pt idx="26">
                  <c:v>12714.306727003101</c:v>
                </c:pt>
                <c:pt idx="27">
                  <c:v>12935.9986940132</c:v>
                </c:pt>
                <c:pt idx="28">
                  <c:v>13158.772864855699</c:v>
                </c:pt>
                <c:pt idx="29">
                  <c:v>13384.1923794104</c:v>
                </c:pt>
                <c:pt idx="30">
                  <c:v>13613.418129616201</c:v>
                </c:pt>
                <c:pt idx="31">
                  <c:v>13847.052470347</c:v>
                </c:pt>
                <c:pt idx="32">
                  <c:v>14085.281711272601</c:v>
                </c:pt>
                <c:pt idx="33">
                  <c:v>14328.1274607127</c:v>
                </c:pt>
                <c:pt idx="34">
                  <c:v>14575.436678489501</c:v>
                </c:pt>
                <c:pt idx="35">
                  <c:v>14826.838044983599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Données!$B$358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Données!$C$355:$AL$355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Données!$C$358:$AL$358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6660.4795198619004</c:v>
                </c:pt>
                <c:pt idx="2">
                  <c:v>6583.2277877945999</c:v>
                </c:pt>
                <c:pt idx="3">
                  <c:v>6538.2986725576002</c:v>
                </c:pt>
                <c:pt idx="4">
                  <c:v>6520.8717272916001</c:v>
                </c:pt>
                <c:pt idx="5">
                  <c:v>6523.3877281797995</c:v>
                </c:pt>
                <c:pt idx="6">
                  <c:v>6538.1578221273003</c:v>
                </c:pt>
                <c:pt idx="7">
                  <c:v>6545.0349565346005</c:v>
                </c:pt>
                <c:pt idx="8">
                  <c:v>6559.8371136868</c:v>
                </c:pt>
                <c:pt idx="9">
                  <c:v>6591.8492110203997</c:v>
                </c:pt>
                <c:pt idx="10">
                  <c:v>6646.6210744998998</c:v>
                </c:pt>
                <c:pt idx="11">
                  <c:v>6731.8946822055996</c:v>
                </c:pt>
                <c:pt idx="12">
                  <c:v>6843.4343352596998</c:v>
                </c:pt>
                <c:pt idx="13">
                  <c:v>6974.6341667664001</c:v>
                </c:pt>
                <c:pt idx="14">
                  <c:v>7119.2870632170998</c:v>
                </c:pt>
                <c:pt idx="15">
                  <c:v>7272.4109573051001</c:v>
                </c:pt>
                <c:pt idx="16">
                  <c:v>7432.0239903532001</c:v>
                </c:pt>
                <c:pt idx="17">
                  <c:v>7594.6924076609002</c:v>
                </c:pt>
                <c:pt idx="18">
                  <c:v>7758.3465946328006</c:v>
                </c:pt>
                <c:pt idx="19">
                  <c:v>7921.742963766601</c:v>
                </c:pt>
                <c:pt idx="20">
                  <c:v>8084.1740039656997</c:v>
                </c:pt>
                <c:pt idx="21">
                  <c:v>8245.2731359943991</c:v>
                </c:pt>
                <c:pt idx="22">
                  <c:v>8404.9919783594996</c:v>
                </c:pt>
                <c:pt idx="23">
                  <c:v>8563.5630703180996</c:v>
                </c:pt>
                <c:pt idx="24">
                  <c:v>8721.2897778929</c:v>
                </c:pt>
                <c:pt idx="25">
                  <c:v>8878.5495283646997</c:v>
                </c:pt>
                <c:pt idx="26">
                  <c:v>9035.657606475801</c:v>
                </c:pt>
                <c:pt idx="27">
                  <c:v>9193.0888594813005</c:v>
                </c:pt>
                <c:pt idx="28">
                  <c:v>9351.6655691150991</c:v>
                </c:pt>
                <c:pt idx="29">
                  <c:v>9512.281464506701</c:v>
                </c:pt>
                <c:pt idx="30">
                  <c:v>9675.5683270748996</c:v>
                </c:pt>
                <c:pt idx="31">
                  <c:v>9841.7784414123998</c:v>
                </c:pt>
                <c:pt idx="32">
                  <c:v>10010.880652066999</c:v>
                </c:pt>
                <c:pt idx="33">
                  <c:v>10182.739901524899</c:v>
                </c:pt>
                <c:pt idx="34">
                  <c:v>10357.1118230961</c:v>
                </c:pt>
                <c:pt idx="35">
                  <c:v>10533.6116327051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Données!$B$359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Données!$C$355:$AL$355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Données!$C$359:$AL$359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4062.9702954898999</c:v>
                </c:pt>
                <c:pt idx="2">
                  <c:v>3988.6221643562003</c:v>
                </c:pt>
                <c:pt idx="3">
                  <c:v>3932.3839145528004</c:v>
                </c:pt>
                <c:pt idx="4">
                  <c:v>3890.9945074000998</c:v>
                </c:pt>
                <c:pt idx="5">
                  <c:v>3859.8995323300005</c:v>
                </c:pt>
                <c:pt idx="6">
                  <c:v>3834.5346271633002</c:v>
                </c:pt>
                <c:pt idx="7">
                  <c:v>3803.3957200107002</c:v>
                </c:pt>
                <c:pt idx="8">
                  <c:v>3773.3563300805999</c:v>
                </c:pt>
                <c:pt idx="9">
                  <c:v>3747.8538584656003</c:v>
                </c:pt>
                <c:pt idx="10">
                  <c:v>3728.3722252702</c:v>
                </c:pt>
                <c:pt idx="11">
                  <c:v>3718.2504078615002</c:v>
                </c:pt>
                <c:pt idx="12">
                  <c:v>3716.2617779184998</c:v>
                </c:pt>
                <c:pt idx="13">
                  <c:v>3720.5129032373998</c:v>
                </c:pt>
                <c:pt idx="14">
                  <c:v>3729.4281830399</c:v>
                </c:pt>
                <c:pt idx="15">
                  <c:v>3741.8849145949007</c:v>
                </c:pt>
                <c:pt idx="16">
                  <c:v>3757.9009132963001</c:v>
                </c:pt>
                <c:pt idx="17">
                  <c:v>3776.6191948934002</c:v>
                </c:pt>
                <c:pt idx="18">
                  <c:v>3797.5419245880998</c:v>
                </c:pt>
                <c:pt idx="19">
                  <c:v>3820.3301450394001</c:v>
                </c:pt>
                <c:pt idx="20">
                  <c:v>3844.7210005638999</c:v>
                </c:pt>
                <c:pt idx="21">
                  <c:v>3870.4813671446</c:v>
                </c:pt>
                <c:pt idx="22">
                  <c:v>3897.4265133444001</c:v>
                </c:pt>
                <c:pt idx="23">
                  <c:v>3925.4318559623998</c:v>
                </c:pt>
                <c:pt idx="24">
                  <c:v>3954.3584060839003</c:v>
                </c:pt>
                <c:pt idx="25">
                  <c:v>3984.0684192396998</c:v>
                </c:pt>
                <c:pt idx="26">
                  <c:v>4014.3661978148002</c:v>
                </c:pt>
                <c:pt idx="27">
                  <c:v>4045.0892427095996</c:v>
                </c:pt>
                <c:pt idx="28">
                  <c:v>4076.2062037855003</c:v>
                </c:pt>
                <c:pt idx="29">
                  <c:v>4107.7356330011999</c:v>
                </c:pt>
                <c:pt idx="30">
                  <c:v>4139.6202591902002</c:v>
                </c:pt>
                <c:pt idx="31">
                  <c:v>4171.6787105650001</c:v>
                </c:pt>
                <c:pt idx="32">
                  <c:v>4203.6403479650999</c:v>
                </c:pt>
                <c:pt idx="33">
                  <c:v>4235.2204625547001</c:v>
                </c:pt>
                <c:pt idx="34">
                  <c:v>4266.1253771622996</c:v>
                </c:pt>
                <c:pt idx="35">
                  <c:v>4296.0434207915005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Données!$B$360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Données!$C$355:$AL$355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Données!$C$360:$AL$360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2447.9402454985002</c:v>
                </c:pt>
                <c:pt idx="2">
                  <c:v>2404.8653230632999</c:v>
                </c:pt>
                <c:pt idx="3">
                  <c:v>2371.7516691383998</c:v>
                </c:pt>
                <c:pt idx="4">
                  <c:v>2346.6099180213996</c:v>
                </c:pt>
                <c:pt idx="5">
                  <c:v>2326.7870808365001</c:v>
                </c:pt>
                <c:pt idx="6">
                  <c:v>2309.6270871682004</c:v>
                </c:pt>
                <c:pt idx="7">
                  <c:v>2288.2215518696003</c:v>
                </c:pt>
                <c:pt idx="8">
                  <c:v>2266.5559174535001</c:v>
                </c:pt>
                <c:pt idx="9">
                  <c:v>2246.8137201762997</c:v>
                </c:pt>
                <c:pt idx="10">
                  <c:v>2230.0530452467001</c:v>
                </c:pt>
                <c:pt idx="11">
                  <c:v>2218.4791073642</c:v>
                </c:pt>
                <c:pt idx="12">
                  <c:v>2211.7474841046001</c:v>
                </c:pt>
                <c:pt idx="13">
                  <c:v>2209.0791879298004</c:v>
                </c:pt>
                <c:pt idx="14">
                  <c:v>2209.8038865173999</c:v>
                </c:pt>
                <c:pt idx="15">
                  <c:v>2213.4309942888003</c:v>
                </c:pt>
                <c:pt idx="16">
                  <c:v>2220.0652086948999</c:v>
                </c:pt>
                <c:pt idx="17">
                  <c:v>2229.2421425479997</c:v>
                </c:pt>
                <c:pt idx="18">
                  <c:v>2240.6532246690999</c:v>
                </c:pt>
                <c:pt idx="19">
                  <c:v>2254.0434139094004</c:v>
                </c:pt>
                <c:pt idx="20">
                  <c:v>2269.1734884018001</c:v>
                </c:pt>
                <c:pt idx="21">
                  <c:v>2285.8005568734002</c:v>
                </c:pt>
                <c:pt idx="22">
                  <c:v>2303.6949656884999</c:v>
                </c:pt>
                <c:pt idx="23">
                  <c:v>2322.6544452613002</c:v>
                </c:pt>
                <c:pt idx="24">
                  <c:v>2342.4608639706998</c:v>
                </c:pt>
                <c:pt idx="25">
                  <c:v>2362.8936859948999</c:v>
                </c:pt>
                <c:pt idx="26">
                  <c:v>2383.6910025166999</c:v>
                </c:pt>
                <c:pt idx="27">
                  <c:v>2404.6052765456998</c:v>
                </c:pt>
                <c:pt idx="28">
                  <c:v>2425.4729478619001</c:v>
                </c:pt>
                <c:pt idx="29">
                  <c:v>2446.1778917768002</c:v>
                </c:pt>
                <c:pt idx="30">
                  <c:v>2466.5767726961999</c:v>
                </c:pt>
                <c:pt idx="31">
                  <c:v>2486.4669376433999</c:v>
                </c:pt>
                <c:pt idx="32">
                  <c:v>2505.6049541499001</c:v>
                </c:pt>
                <c:pt idx="33">
                  <c:v>2523.7536942185002</c:v>
                </c:pt>
                <c:pt idx="34">
                  <c:v>2540.6872200507</c:v>
                </c:pt>
                <c:pt idx="35">
                  <c:v>2556.1855462553999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Données!$B$361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Données!$C$355:$AL$355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Données!$C$361:$AL$361</c:f>
              <c:numCache>
                <c:formatCode>#,##0</c:formatCode>
                <c:ptCount val="36"/>
                <c:pt idx="0">
                  <c:v>1245.466605953</c:v>
                </c:pt>
                <c:pt idx="1">
                  <c:v>1213.2851161359001</c:v>
                </c:pt>
                <c:pt idx="2">
                  <c:v>1187.8512866725998</c:v>
                </c:pt>
                <c:pt idx="3">
                  <c:v>1165.8946186200001</c:v>
                </c:pt>
                <c:pt idx="4">
                  <c:v>1146.3705672017002</c:v>
                </c:pt>
                <c:pt idx="5">
                  <c:v>1128.0855057574001</c:v>
                </c:pt>
                <c:pt idx="6">
                  <c:v>1109.9082193115999</c:v>
                </c:pt>
                <c:pt idx="7">
                  <c:v>1088.8541687388999</c:v>
                </c:pt>
                <c:pt idx="8">
                  <c:v>1066.4733078250999</c:v>
                </c:pt>
                <c:pt idx="9">
                  <c:v>1043.6345994244</c:v>
                </c:pt>
                <c:pt idx="10">
                  <c:v>1020.7079153778</c:v>
                </c:pt>
                <c:pt idx="11">
                  <c:v>998.55509325339995</c:v>
                </c:pt>
                <c:pt idx="12">
                  <c:v>977.27480584390003</c:v>
                </c:pt>
                <c:pt idx="13">
                  <c:v>956.89495052279995</c:v>
                </c:pt>
                <c:pt idx="14">
                  <c:v>937.51142490229995</c:v>
                </c:pt>
                <c:pt idx="15">
                  <c:v>919.26578405449993</c:v>
                </c:pt>
                <c:pt idx="16">
                  <c:v>902.45724048</c:v>
                </c:pt>
                <c:pt idx="17">
                  <c:v>887.15388010890001</c:v>
                </c:pt>
                <c:pt idx="18">
                  <c:v>873.41958927299993</c:v>
                </c:pt>
                <c:pt idx="19">
                  <c:v>861.28278012489989</c:v>
                </c:pt>
                <c:pt idx="20">
                  <c:v>850.72823976220002</c:v>
                </c:pt>
                <c:pt idx="21">
                  <c:v>841.69516151690004</c:v>
                </c:pt>
                <c:pt idx="22">
                  <c:v>834.08603321009991</c:v>
                </c:pt>
                <c:pt idx="23">
                  <c:v>827.77837195120003</c:v>
                </c:pt>
                <c:pt idx="24">
                  <c:v>822.61346681069995</c:v>
                </c:pt>
                <c:pt idx="25">
                  <c:v>818.40714474059996</c:v>
                </c:pt>
                <c:pt idx="26">
                  <c:v>814.93593271639998</c:v>
                </c:pt>
                <c:pt idx="27">
                  <c:v>811.9579596343001</c:v>
                </c:pt>
                <c:pt idx="28">
                  <c:v>809.25214296269996</c:v>
                </c:pt>
                <c:pt idx="29">
                  <c:v>806.62839170289999</c:v>
                </c:pt>
                <c:pt idx="30">
                  <c:v>803.91062043889997</c:v>
                </c:pt>
                <c:pt idx="31">
                  <c:v>800.92595129719996</c:v>
                </c:pt>
                <c:pt idx="32">
                  <c:v>797.50874492780008</c:v>
                </c:pt>
                <c:pt idx="33">
                  <c:v>793.51741008859995</c:v>
                </c:pt>
                <c:pt idx="34">
                  <c:v>788.83817878720004</c:v>
                </c:pt>
                <c:pt idx="35">
                  <c:v>783.38312960360008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Données!$B$362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Données!$C$355:$AL$355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2188.3527978681</c:v>
                </c:pt>
                <c:pt idx="2">
                  <c:v>2143.7750026644999</c:v>
                </c:pt>
                <c:pt idx="3">
                  <c:v>2102.9305655292997</c:v>
                </c:pt>
                <c:pt idx="4">
                  <c:v>2064.0103330961001</c:v>
                </c:pt>
                <c:pt idx="5">
                  <c:v>2025.1863998452998</c:v>
                </c:pt>
                <c:pt idx="6">
                  <c:v>1984.8109174517999</c:v>
                </c:pt>
                <c:pt idx="7">
                  <c:v>1938.0557045397002</c:v>
                </c:pt>
                <c:pt idx="8">
                  <c:v>1887.6747648287001</c:v>
                </c:pt>
                <c:pt idx="9">
                  <c:v>1835.4768937819999</c:v>
                </c:pt>
                <c:pt idx="10">
                  <c:v>1782.4266887680999</c:v>
                </c:pt>
                <c:pt idx="11">
                  <c:v>1730.2534846737001</c:v>
                </c:pt>
                <c:pt idx="12">
                  <c:v>1679.5704543647998</c:v>
                </c:pt>
                <c:pt idx="13">
                  <c:v>1630.8321853935001</c:v>
                </c:pt>
                <c:pt idx="14">
                  <c:v>1584.5141537463001</c:v>
                </c:pt>
                <c:pt idx="15">
                  <c:v>1541.0768250823999</c:v>
                </c:pt>
                <c:pt idx="16">
                  <c:v>1501.1490514148002</c:v>
                </c:pt>
                <c:pt idx="17">
                  <c:v>1464.9738937754003</c:v>
                </c:pt>
                <c:pt idx="18">
                  <c:v>1432.7495174291</c:v>
                </c:pt>
                <c:pt idx="19">
                  <c:v>1404.5923256603</c:v>
                </c:pt>
                <c:pt idx="20">
                  <c:v>1380.5270664197001</c:v>
                </c:pt>
                <c:pt idx="21">
                  <c:v>1360.4807963915</c:v>
                </c:pt>
                <c:pt idx="22">
                  <c:v>1344.2895869187</c:v>
                </c:pt>
                <c:pt idx="23">
                  <c:v>1331.7138287684002</c:v>
                </c:pt>
                <c:pt idx="24">
                  <c:v>1322.4096705963998</c:v>
                </c:pt>
                <c:pt idx="25">
                  <c:v>1315.9434607489002</c:v>
                </c:pt>
                <c:pt idx="26">
                  <c:v>1311.7562099006</c:v>
                </c:pt>
                <c:pt idx="27">
                  <c:v>1309.1976274119002</c:v>
                </c:pt>
                <c:pt idx="28">
                  <c:v>1307.6186658683</c:v>
                </c:pt>
                <c:pt idx="29">
                  <c:v>1306.4263650147</c:v>
                </c:pt>
                <c:pt idx="30">
                  <c:v>1305.0705488474</c:v>
                </c:pt>
                <c:pt idx="31">
                  <c:v>1303.0303555159999</c:v>
                </c:pt>
                <c:pt idx="32">
                  <c:v>1299.8256871764002</c:v>
                </c:pt>
                <c:pt idx="33">
                  <c:v>1295.0566529724999</c:v>
                </c:pt>
                <c:pt idx="34">
                  <c:v>1288.4172087613999</c:v>
                </c:pt>
                <c:pt idx="35">
                  <c:v>1279.6927279127001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</a:t>
            </a:r>
            <a:r>
              <a:rPr lang="fr-FR" sz="2400" baseline="0"/>
              <a:t> (milliers)</a:t>
            </a:r>
          </a:p>
          <a:p>
            <a:pPr>
              <a:defRPr sz="2800"/>
            </a:pPr>
            <a:r>
              <a:rPr lang="fr-FR" sz="1800" i="1" baseline="0"/>
              <a:t>Scénario tendanciel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Données!$B$329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Données!$C$327:$AL$327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Données!$C$329:$AL$329</c:f>
              <c:numCache>
                <c:formatCode>#,##0</c:formatCode>
                <c:ptCount val="36"/>
                <c:pt idx="0">
                  <c:v>32271.24</c:v>
                </c:pt>
                <c:pt idx="1">
                  <c:v>31833.17037</c:v>
                </c:pt>
                <c:pt idx="2">
                  <c:v>31580.97522</c:v>
                </c:pt>
                <c:pt idx="3">
                  <c:v>31398.794310000001</c:v>
                </c:pt>
                <c:pt idx="4">
                  <c:v>31241.263360000001</c:v>
                </c:pt>
                <c:pt idx="5">
                  <c:v>31072.43763</c:v>
                </c:pt>
                <c:pt idx="6">
                  <c:v>30807.532950000001</c:v>
                </c:pt>
                <c:pt idx="7">
                  <c:v>30403.586380000001</c:v>
                </c:pt>
                <c:pt idx="8">
                  <c:v>29820.243869999998</c:v>
                </c:pt>
                <c:pt idx="9">
                  <c:v>29027.176039999998</c:v>
                </c:pt>
                <c:pt idx="10">
                  <c:v>28014.941760000002</c:v>
                </c:pt>
                <c:pt idx="11">
                  <c:v>26801.778129999999</c:v>
                </c:pt>
                <c:pt idx="12">
                  <c:v>25430.099099999999</c:v>
                </c:pt>
                <c:pt idx="13">
                  <c:v>23955.656879999999</c:v>
                </c:pt>
                <c:pt idx="14">
                  <c:v>22435.46327</c:v>
                </c:pt>
                <c:pt idx="15">
                  <c:v>20918.220939999999</c:v>
                </c:pt>
                <c:pt idx="16">
                  <c:v>19446.767639999998</c:v>
                </c:pt>
                <c:pt idx="17">
                  <c:v>18046.126749999999</c:v>
                </c:pt>
                <c:pt idx="18">
                  <c:v>16726.578239999999</c:v>
                </c:pt>
                <c:pt idx="19">
                  <c:v>15490.875340000001</c:v>
                </c:pt>
                <c:pt idx="20">
                  <c:v>14337.970170000001</c:v>
                </c:pt>
                <c:pt idx="21">
                  <c:v>13264.909089999999</c:v>
                </c:pt>
                <c:pt idx="22">
                  <c:v>12267.811100000001</c:v>
                </c:pt>
                <c:pt idx="23">
                  <c:v>11342.38615</c:v>
                </c:pt>
                <c:pt idx="24">
                  <c:v>10484.21573</c:v>
                </c:pt>
                <c:pt idx="25">
                  <c:v>9688.9244099999996</c:v>
                </c:pt>
                <c:pt idx="26">
                  <c:v>8952.2748200000005</c:v>
                </c:pt>
                <c:pt idx="27">
                  <c:v>8270.2210329999998</c:v>
                </c:pt>
                <c:pt idx="28">
                  <c:v>7638.9324530000004</c:v>
                </c:pt>
                <c:pt idx="29">
                  <c:v>7054.8055539999996</c:v>
                </c:pt>
                <c:pt idx="30">
                  <c:v>6514.4610510000002</c:v>
                </c:pt>
                <c:pt idx="31">
                  <c:v>6014.7385190000005</c:v>
                </c:pt>
                <c:pt idx="32">
                  <c:v>5552.6884440000003</c:v>
                </c:pt>
                <c:pt idx="33">
                  <c:v>5125.562124</c:v>
                </c:pt>
                <c:pt idx="34">
                  <c:v>4730.8005190000003</c:v>
                </c:pt>
                <c:pt idx="35">
                  <c:v>4366.0227519999999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Données!$B$330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Données!$C$327:$AL$327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Données!$C$330:$AL$330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1.989180913</c:v>
                </c:pt>
                <c:pt idx="2">
                  <c:v>2.0517894989999999</c:v>
                </c:pt>
                <c:pt idx="3">
                  <c:v>2.1147182080000002</c:v>
                </c:pt>
                <c:pt idx="4">
                  <c:v>2.174593674</c:v>
                </c:pt>
                <c:pt idx="5">
                  <c:v>2.2287481279999999</c:v>
                </c:pt>
                <c:pt idx="6">
                  <c:v>2.2703424889999999</c:v>
                </c:pt>
                <c:pt idx="7">
                  <c:v>2.295924254</c:v>
                </c:pt>
                <c:pt idx="8">
                  <c:v>2.302194998</c:v>
                </c:pt>
                <c:pt idx="9">
                  <c:v>2.2866407990000002</c:v>
                </c:pt>
                <c:pt idx="10">
                  <c:v>2.2484614110000001</c:v>
                </c:pt>
                <c:pt idx="11">
                  <c:v>2.1891701530000001</c:v>
                </c:pt>
                <c:pt idx="12">
                  <c:v>2.1123361159999998</c:v>
                </c:pt>
                <c:pt idx="13">
                  <c:v>2.0227031769999999</c:v>
                </c:pt>
                <c:pt idx="14">
                  <c:v>1.9251890389999999</c:v>
                </c:pt>
                <c:pt idx="15">
                  <c:v>1.8240787199999999</c:v>
                </c:pt>
                <c:pt idx="16">
                  <c:v>1.723215121</c:v>
                </c:pt>
                <c:pt idx="17">
                  <c:v>1.6249844200000001</c:v>
                </c:pt>
                <c:pt idx="18">
                  <c:v>1.5305486500000001</c:v>
                </c:pt>
                <c:pt idx="19">
                  <c:v>1.440432097</c:v>
                </c:pt>
                <c:pt idx="20">
                  <c:v>1.3548249450000001</c:v>
                </c:pt>
                <c:pt idx="21">
                  <c:v>1.273738534</c:v>
                </c:pt>
                <c:pt idx="22">
                  <c:v>1.197086278</c:v>
                </c:pt>
                <c:pt idx="23">
                  <c:v>1.124727263</c:v>
                </c:pt>
                <c:pt idx="24">
                  <c:v>1.0564905440000001</c:v>
                </c:pt>
                <c:pt idx="25">
                  <c:v>0.99219059170000001</c:v>
                </c:pt>
                <c:pt idx="26">
                  <c:v>0.93163646450000004</c:v>
                </c:pt>
                <c:pt idx="27">
                  <c:v>0.87463753519999998</c:v>
                </c:pt>
                <c:pt idx="28">
                  <c:v>0.82100672910000005</c:v>
                </c:pt>
                <c:pt idx="29">
                  <c:v>0.77056269669999999</c:v>
                </c:pt>
                <c:pt idx="30">
                  <c:v>0.72313070199999996</c:v>
                </c:pt>
                <c:pt idx="31">
                  <c:v>0.67854322379999998</c:v>
                </c:pt>
                <c:pt idx="32">
                  <c:v>0.63664026740000002</c:v>
                </c:pt>
                <c:pt idx="33">
                  <c:v>0.59726942449999998</c:v>
                </c:pt>
                <c:pt idx="34">
                  <c:v>0.56028577609999997</c:v>
                </c:pt>
                <c:pt idx="35">
                  <c:v>0.52555169710000005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Données!$B$331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Données!$C$327:$AL$327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96.835052719999993</c:v>
                </c:pt>
                <c:pt idx="2">
                  <c:v>196.01271070000001</c:v>
                </c:pt>
                <c:pt idx="3">
                  <c:v>365.91359319999998</c:v>
                </c:pt>
                <c:pt idx="4">
                  <c:v>626.22195039999997</c:v>
                </c:pt>
                <c:pt idx="5">
                  <c:v>973.01004509999996</c:v>
                </c:pt>
                <c:pt idx="6">
                  <c:v>1412.661871</c:v>
                </c:pt>
                <c:pt idx="7">
                  <c:v>1994.6192679999999</c:v>
                </c:pt>
                <c:pt idx="8">
                  <c:v>2772.4517300000002</c:v>
                </c:pt>
                <c:pt idx="9">
                  <c:v>3790.9745509999998</c:v>
                </c:pt>
                <c:pt idx="10">
                  <c:v>5071.4985619999998</c:v>
                </c:pt>
                <c:pt idx="11">
                  <c:v>6604.7237080000004</c:v>
                </c:pt>
                <c:pt idx="12">
                  <c:v>8351.6486999999997</c:v>
                </c:pt>
                <c:pt idx="13">
                  <c:v>10252.425160000001</c:v>
                </c:pt>
                <c:pt idx="14">
                  <c:v>12241.619919999999</c:v>
                </c:pt>
                <c:pt idx="15">
                  <c:v>14260.69614</c:v>
                </c:pt>
                <c:pt idx="16">
                  <c:v>16294.508949999999</c:v>
                </c:pt>
                <c:pt idx="17">
                  <c:v>18294.991689999999</c:v>
                </c:pt>
                <c:pt idx="18">
                  <c:v>20233.067019999999</c:v>
                </c:pt>
                <c:pt idx="19">
                  <c:v>22093.52202</c:v>
                </c:pt>
                <c:pt idx="20">
                  <c:v>23870.28991</c:v>
                </c:pt>
                <c:pt idx="21">
                  <c:v>25563.112690000002</c:v>
                </c:pt>
                <c:pt idx="22">
                  <c:v>27175.298579999999</c:v>
                </c:pt>
                <c:pt idx="23">
                  <c:v>28712.08914</c:v>
                </c:pt>
                <c:pt idx="24">
                  <c:v>30179.322690000001</c:v>
                </c:pt>
                <c:pt idx="25">
                  <c:v>31583.346839999998</c:v>
                </c:pt>
                <c:pt idx="26">
                  <c:v>32930.81637</c:v>
                </c:pt>
                <c:pt idx="27">
                  <c:v>34228.759960000003</c:v>
                </c:pt>
                <c:pt idx="28">
                  <c:v>35484.19513</c:v>
                </c:pt>
                <c:pt idx="29">
                  <c:v>36703.73489</c:v>
                </c:pt>
                <c:pt idx="30">
                  <c:v>37892.647259999998</c:v>
                </c:pt>
                <c:pt idx="31">
                  <c:v>39054.706230000003</c:v>
                </c:pt>
                <c:pt idx="32">
                  <c:v>40192.3943</c:v>
                </c:pt>
                <c:pt idx="33">
                  <c:v>41307.144200000002</c:v>
                </c:pt>
                <c:pt idx="34">
                  <c:v>42399.564059999997</c:v>
                </c:pt>
                <c:pt idx="35">
                  <c:v>43469.608740000003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Données!$B$328</c15:sqref>
                        </c15:formulaRef>
                      </c:ext>
                    </c:extLst>
                    <c:strCache>
                      <c:ptCount val="1"/>
                      <c:pt idx="0">
                        <c:v>Véhicules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Données!$C$327:$AL$327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Données!$C$328:$AL$328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31931.994600000002</c:v>
                      </c:pt>
                      <c:pt idx="2">
                        <c:v>31779.039720000001</c:v>
                      </c:pt>
                      <c:pt idx="3">
                        <c:v>31766.822619999999</c:v>
                      </c:pt>
                      <c:pt idx="4">
                        <c:v>31869.659909999998</c:v>
                      </c:pt>
                      <c:pt idx="5">
                        <c:v>32047.67642</c:v>
                      </c:pt>
                      <c:pt idx="6">
                        <c:v>32222.465169999999</c:v>
                      </c:pt>
                      <c:pt idx="7">
                        <c:v>32400.50157</c:v>
                      </c:pt>
                      <c:pt idx="8">
                        <c:v>32594.997800000001</c:v>
                      </c:pt>
                      <c:pt idx="9">
                        <c:v>32820.437230000003</c:v>
                      </c:pt>
                      <c:pt idx="10">
                        <c:v>33088.688779999997</c:v>
                      </c:pt>
                      <c:pt idx="11">
                        <c:v>33408.691010000002</c:v>
                      </c:pt>
                      <c:pt idx="12">
                        <c:v>33783.860139999997</c:v>
                      </c:pt>
                      <c:pt idx="13">
                        <c:v>34210.104740000002</c:v>
                      </c:pt>
                      <c:pt idx="14">
                        <c:v>34679.008390000003</c:v>
                      </c:pt>
                      <c:pt idx="15">
                        <c:v>35180.741159999998</c:v>
                      </c:pt>
                      <c:pt idx="16">
                        <c:v>35742.999810000001</c:v>
                      </c:pt>
                      <c:pt idx="17">
                        <c:v>36342.743430000002</c:v>
                      </c:pt>
                      <c:pt idx="18">
                        <c:v>36961.175810000001</c:v>
                      </c:pt>
                      <c:pt idx="19">
                        <c:v>37585.837800000001</c:v>
                      </c:pt>
                      <c:pt idx="20">
                        <c:v>38209.6149</c:v>
                      </c:pt>
                      <c:pt idx="21">
                        <c:v>38829.295510000004</c:v>
                      </c:pt>
                      <c:pt idx="22">
                        <c:v>39444.306770000003</c:v>
                      </c:pt>
                      <c:pt idx="23">
                        <c:v>40055.600010000002</c:v>
                      </c:pt>
                      <c:pt idx="24">
                        <c:v>40664.59491</c:v>
                      </c:pt>
                      <c:pt idx="25">
                        <c:v>41273.263440000002</c:v>
                      </c:pt>
                      <c:pt idx="26">
                        <c:v>41884.022830000002</c:v>
                      </c:pt>
                      <c:pt idx="27">
                        <c:v>42499.855629999998</c:v>
                      </c:pt>
                      <c:pt idx="28">
                        <c:v>43123.94859</c:v>
                      </c:pt>
                      <c:pt idx="29">
                        <c:v>43759.311009999998</c:v>
                      </c:pt>
                      <c:pt idx="30">
                        <c:v>44407.831440000002</c:v>
                      </c:pt>
                      <c:pt idx="31">
                        <c:v>45070.123299999999</c:v>
                      </c:pt>
                      <c:pt idx="32">
                        <c:v>45745.719389999998</c:v>
                      </c:pt>
                      <c:pt idx="33">
                        <c:v>46433.303599999999</c:v>
                      </c:pt>
                      <c:pt idx="34">
                        <c:v>47130.924870000003</c:v>
                      </c:pt>
                      <c:pt idx="35">
                        <c:v>47836.157039999998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Stock de véhicules</a:t>
            </a:r>
            <a:r>
              <a:rPr lang="fr-FR" sz="2400" baseline="0"/>
              <a:t> (milliers)</a:t>
            </a:r>
          </a:p>
          <a:p>
            <a:pPr>
              <a:defRPr sz="2800"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Données!$B$323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Données!$C$321:$AL$321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Données!$C$323:$AL$323</c:f>
              <c:numCache>
                <c:formatCode>#,##0</c:formatCode>
                <c:ptCount val="36"/>
                <c:pt idx="0">
                  <c:v>32271.24</c:v>
                </c:pt>
                <c:pt idx="1">
                  <c:v>31833.17037</c:v>
                </c:pt>
                <c:pt idx="2">
                  <c:v>31580.97522</c:v>
                </c:pt>
                <c:pt idx="3">
                  <c:v>31398.794310000001</c:v>
                </c:pt>
                <c:pt idx="4">
                  <c:v>31241.263360000001</c:v>
                </c:pt>
                <c:pt idx="5">
                  <c:v>31072.43763</c:v>
                </c:pt>
                <c:pt idx="6">
                  <c:v>30853.93506</c:v>
                </c:pt>
                <c:pt idx="7">
                  <c:v>30440.87804</c:v>
                </c:pt>
                <c:pt idx="8">
                  <c:v>29749.01339</c:v>
                </c:pt>
                <c:pt idx="9">
                  <c:v>28731.501240000001</c:v>
                </c:pt>
                <c:pt idx="10">
                  <c:v>27399.35282</c:v>
                </c:pt>
                <c:pt idx="11">
                  <c:v>25859.671460000001</c:v>
                </c:pt>
                <c:pt idx="12">
                  <c:v>24233.854810000001</c:v>
                </c:pt>
                <c:pt idx="13">
                  <c:v>22602.425220000001</c:v>
                </c:pt>
                <c:pt idx="14">
                  <c:v>21014.001950000002</c:v>
                </c:pt>
                <c:pt idx="15">
                  <c:v>19495.52018</c:v>
                </c:pt>
                <c:pt idx="16">
                  <c:v>18060.74841</c:v>
                </c:pt>
                <c:pt idx="17">
                  <c:v>16714.869790000001</c:v>
                </c:pt>
                <c:pt idx="18">
                  <c:v>15458.34663</c:v>
                </c:pt>
                <c:pt idx="19">
                  <c:v>14288.946330000001</c:v>
                </c:pt>
                <c:pt idx="20">
                  <c:v>13202.975780000001</c:v>
                </c:pt>
                <c:pt idx="21">
                  <c:v>12196.00777</c:v>
                </c:pt>
                <c:pt idx="22">
                  <c:v>11263.310369999999</c:v>
                </c:pt>
                <c:pt idx="23">
                  <c:v>10400.0988</c:v>
                </c:pt>
                <c:pt idx="24">
                  <c:v>9601.6754199999996</c:v>
                </c:pt>
                <c:pt idx="25">
                  <c:v>8863.5150080000003</c:v>
                </c:pt>
                <c:pt idx="26">
                  <c:v>8181.3063069999998</c:v>
                </c:pt>
                <c:pt idx="27">
                  <c:v>7550.9783850000003</c:v>
                </c:pt>
                <c:pt idx="28">
                  <c:v>6968.7141659999998</c:v>
                </c:pt>
                <c:pt idx="29">
                  <c:v>6430.9487660000004</c:v>
                </c:pt>
                <c:pt idx="30">
                  <c:v>5934.3592410000001</c:v>
                </c:pt>
                <c:pt idx="31">
                  <c:v>5475.8531139999996</c:v>
                </c:pt>
                <c:pt idx="32">
                  <c:v>5052.5570660000003</c:v>
                </c:pt>
                <c:pt idx="33">
                  <c:v>4661.8057060000001</c:v>
                </c:pt>
                <c:pt idx="34">
                  <c:v>4301.1287560000001</c:v>
                </c:pt>
                <c:pt idx="35">
                  <c:v>3968.2380330000001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Données!$B$324</c:f>
              <c:strCache>
                <c:ptCount val="1"/>
                <c:pt idx="0">
                  <c:v>Gaz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Données!$C$321:$AL$321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Données!$C$324:$AL$324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1.989180913</c:v>
                </c:pt>
                <c:pt idx="2">
                  <c:v>2.0517894989999999</c:v>
                </c:pt>
                <c:pt idx="3">
                  <c:v>2.1147182080000002</c:v>
                </c:pt>
                <c:pt idx="4">
                  <c:v>2.174593674</c:v>
                </c:pt>
                <c:pt idx="5">
                  <c:v>2.2287481279999999</c:v>
                </c:pt>
                <c:pt idx="6">
                  <c:v>2.274240775</c:v>
                </c:pt>
                <c:pt idx="7">
                  <c:v>2.299116889</c:v>
                </c:pt>
                <c:pt idx="8">
                  <c:v>2.2963148470000001</c:v>
                </c:pt>
                <c:pt idx="9">
                  <c:v>2.2618066739999998</c:v>
                </c:pt>
                <c:pt idx="10">
                  <c:v>2.196370044</c:v>
                </c:pt>
                <c:pt idx="11">
                  <c:v>2.108878808</c:v>
                </c:pt>
                <c:pt idx="12">
                  <c:v>2.009553301</c:v>
                </c:pt>
                <c:pt idx="13">
                  <c:v>1.905334793</c:v>
                </c:pt>
                <c:pt idx="14">
                  <c:v>1.800576951</c:v>
                </c:pt>
                <c:pt idx="15">
                  <c:v>1.697857502</c:v>
                </c:pt>
                <c:pt idx="16">
                  <c:v>1.5986630180000001</c:v>
                </c:pt>
                <c:pt idx="17">
                  <c:v>1.5037559110000001</c:v>
                </c:pt>
                <c:pt idx="18">
                  <c:v>1.4134882259999999</c:v>
                </c:pt>
                <c:pt idx="19">
                  <c:v>1.327966626</c:v>
                </c:pt>
                <c:pt idx="20">
                  <c:v>1.247153814</c:v>
                </c:pt>
                <c:pt idx="21">
                  <c:v>1.1709290029999999</c:v>
                </c:pt>
                <c:pt idx="22">
                  <c:v>1.0991244149999999</c:v>
                </c:pt>
                <c:pt idx="23">
                  <c:v>1.031547379</c:v>
                </c:pt>
                <c:pt idx="24">
                  <c:v>0.96799330569999997</c:v>
                </c:pt>
                <c:pt idx="25">
                  <c:v>0.90825416510000001</c:v>
                </c:pt>
                <c:pt idx="26">
                  <c:v>0.85212331919999995</c:v>
                </c:pt>
                <c:pt idx="27">
                  <c:v>0.79939904890000002</c:v>
                </c:pt>
                <c:pt idx="28">
                  <c:v>0.74988695419999996</c:v>
                </c:pt>
                <c:pt idx="29">
                  <c:v>0.70340101639999997</c:v>
                </c:pt>
                <c:pt idx="30">
                  <c:v>0.65976386220000005</c:v>
                </c:pt>
                <c:pt idx="31">
                  <c:v>0.61880684109999995</c:v>
                </c:pt>
                <c:pt idx="32">
                  <c:v>0.58037003679999999</c:v>
                </c:pt>
                <c:pt idx="33">
                  <c:v>0.54430221069999996</c:v>
                </c:pt>
                <c:pt idx="34">
                  <c:v>0.51046054259999996</c:v>
                </c:pt>
                <c:pt idx="35">
                  <c:v>0.47871028609999999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Données!$B$325</c:f>
              <c:strCache>
                <c:ptCount val="1"/>
                <c:pt idx="0">
                  <c:v>Electrique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Données!$C$321:$AL$321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Données!$C$325:$AL$325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96.835052719999993</c:v>
                </c:pt>
                <c:pt idx="2">
                  <c:v>196.01271070000001</c:v>
                </c:pt>
                <c:pt idx="3">
                  <c:v>365.91359319999998</c:v>
                </c:pt>
                <c:pt idx="4">
                  <c:v>626.22195039999997</c:v>
                </c:pt>
                <c:pt idx="5">
                  <c:v>973.01004509999996</c:v>
                </c:pt>
                <c:pt idx="6">
                  <c:v>1404.75659</c:v>
                </c:pt>
                <c:pt idx="7">
                  <c:v>1962.1821110000001</c:v>
                </c:pt>
                <c:pt idx="8">
                  <c:v>2810.6810820000001</c:v>
                </c:pt>
                <c:pt idx="9">
                  <c:v>4041.7794789999998</c:v>
                </c:pt>
                <c:pt idx="10">
                  <c:v>5669.6952490000003</c:v>
                </c:pt>
                <c:pt idx="11">
                  <c:v>7625.4957039999999</c:v>
                </c:pt>
                <c:pt idx="12">
                  <c:v>9768.3955129999995</c:v>
                </c:pt>
                <c:pt idx="13">
                  <c:v>11988.70278</c:v>
                </c:pt>
                <c:pt idx="14">
                  <c:v>14211.57596</c:v>
                </c:pt>
                <c:pt idx="15">
                  <c:v>16390.05286</c:v>
                </c:pt>
                <c:pt idx="16">
                  <c:v>18504.677080000001</c:v>
                </c:pt>
                <c:pt idx="17">
                  <c:v>20537.024010000001</c:v>
                </c:pt>
                <c:pt idx="18">
                  <c:v>22479.46153</c:v>
                </c:pt>
                <c:pt idx="19">
                  <c:v>24330.478790000001</c:v>
                </c:pt>
                <c:pt idx="20">
                  <c:v>26092.076789999999</c:v>
                </c:pt>
                <c:pt idx="21">
                  <c:v>27768.150140000002</c:v>
                </c:pt>
                <c:pt idx="22">
                  <c:v>29363.991730000002</c:v>
                </c:pt>
                <c:pt idx="23">
                  <c:v>30885.92323</c:v>
                </c:pt>
                <c:pt idx="24">
                  <c:v>32340.191030000002</c:v>
                </c:pt>
                <c:pt idx="25">
                  <c:v>33732.950360000003</c:v>
                </c:pt>
                <c:pt idx="26">
                  <c:v>35069.588949999998</c:v>
                </c:pt>
                <c:pt idx="27">
                  <c:v>36355.777260000003</c:v>
                </c:pt>
                <c:pt idx="28">
                  <c:v>37598.445440000003</c:v>
                </c:pt>
                <c:pt idx="29">
                  <c:v>38804.625390000001</c:v>
                </c:pt>
                <c:pt idx="30">
                  <c:v>39979.954279999998</c:v>
                </c:pt>
                <c:pt idx="31">
                  <c:v>41128.155469999998</c:v>
                </c:pt>
                <c:pt idx="32">
                  <c:v>42251.510430000002</c:v>
                </c:pt>
                <c:pt idx="33">
                  <c:v>43351.735659999998</c:v>
                </c:pt>
                <c:pt idx="34">
                  <c:v>44429.994809999997</c:v>
                </c:pt>
                <c:pt idx="35">
                  <c:v>45486.773269999998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Données!$B$322</c15:sqref>
                        </c15:formulaRef>
                      </c:ext>
                    </c:extLst>
                    <c:strCache>
                      <c:ptCount val="1"/>
                      <c:pt idx="0">
                        <c:v>Véhicules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Données!$C$321:$AL$321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Données!$C$322:$AL$322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31931.994600000002</c:v>
                      </c:pt>
                      <c:pt idx="2">
                        <c:v>31779.039720000001</c:v>
                      </c:pt>
                      <c:pt idx="3">
                        <c:v>31766.822619999999</c:v>
                      </c:pt>
                      <c:pt idx="4">
                        <c:v>31869.659909999998</c:v>
                      </c:pt>
                      <c:pt idx="5">
                        <c:v>32047.67642</c:v>
                      </c:pt>
                      <c:pt idx="6">
                        <c:v>32260.965889999999</c:v>
                      </c:pt>
                      <c:pt idx="7">
                        <c:v>32405.359260000001</c:v>
                      </c:pt>
                      <c:pt idx="8">
                        <c:v>32561.99079</c:v>
                      </c:pt>
                      <c:pt idx="9">
                        <c:v>32775.542529999999</c:v>
                      </c:pt>
                      <c:pt idx="10">
                        <c:v>33071.244440000002</c:v>
                      </c:pt>
                      <c:pt idx="11">
                        <c:v>33487.27605</c:v>
                      </c:pt>
                      <c:pt idx="12">
                        <c:v>34004.259870000002</c:v>
                      </c:pt>
                      <c:pt idx="13">
                        <c:v>34593.033329999998</c:v>
                      </c:pt>
                      <c:pt idx="14">
                        <c:v>35227.378490000003</c:v>
                      </c:pt>
                      <c:pt idx="15">
                        <c:v>35887.270900000003</c:v>
                      </c:pt>
                      <c:pt idx="16">
                        <c:v>36567.024149999997</c:v>
                      </c:pt>
                      <c:pt idx="17">
                        <c:v>37253.397550000002</c:v>
                      </c:pt>
                      <c:pt idx="18">
                        <c:v>37939.221649999999</c:v>
                      </c:pt>
                      <c:pt idx="19">
                        <c:v>38620.753080000002</c:v>
                      </c:pt>
                      <c:pt idx="20">
                        <c:v>39296.299729999999</c:v>
                      </c:pt>
                      <c:pt idx="21">
                        <c:v>39965.328840000002</c:v>
                      </c:pt>
                      <c:pt idx="22">
                        <c:v>40628.401230000003</c:v>
                      </c:pt>
                      <c:pt idx="23">
                        <c:v>41287.05358</c:v>
                      </c:pt>
                      <c:pt idx="24">
                        <c:v>41942.834439999999</c:v>
                      </c:pt>
                      <c:pt idx="25">
                        <c:v>42597.373630000002</c:v>
                      </c:pt>
                      <c:pt idx="26">
                        <c:v>43251.747380000001</c:v>
                      </c:pt>
                      <c:pt idx="27">
                        <c:v>43907.555039999999</c:v>
                      </c:pt>
                      <c:pt idx="28">
                        <c:v>44567.909489999998</c:v>
                      </c:pt>
                      <c:pt idx="29">
                        <c:v>45236.277560000002</c:v>
                      </c:pt>
                      <c:pt idx="30">
                        <c:v>45914.973279999998</c:v>
                      </c:pt>
                      <c:pt idx="31">
                        <c:v>46604.627390000001</c:v>
                      </c:pt>
                      <c:pt idx="32">
                        <c:v>47304.647870000001</c:v>
                      </c:pt>
                      <c:pt idx="33">
                        <c:v>48014.08567</c:v>
                      </c:pt>
                      <c:pt idx="34">
                        <c:v>48731.634030000001</c:v>
                      </c:pt>
                      <c:pt idx="35">
                        <c:v>49455.490019999997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Emploi</a:t>
            </a:r>
          </a:p>
          <a:p>
            <a:pPr>
              <a:defRPr/>
            </a:pPr>
            <a:r>
              <a:rPr lang="fr-FR" sz="1800" baseline="0"/>
              <a:t>(écart en milliers au tendanciel)</a:t>
            </a:r>
            <a:endParaRPr lang="fr-FR"/>
          </a:p>
        </c:rich>
      </c:tx>
      <c:layout>
        <c:manualLayout>
          <c:xMode val="edge"/>
          <c:yMode val="edge"/>
          <c:x val="0.34667829259601385"/>
          <c:y val="1.4648805850318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9335536214829432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Données!$B$238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Données!$C$236:$E$236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Données!$C$238:$E$238</c:f>
              <c:numCache>
                <c:formatCode>#,##0</c:formatCode>
                <c:ptCount val="3"/>
                <c:pt idx="0">
                  <c:v>-0.21491460000004281</c:v>
                </c:pt>
                <c:pt idx="1">
                  <c:v>-3.6336091999999098</c:v>
                </c:pt>
                <c:pt idx="2">
                  <c:v>-11.135245999999938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Données!$B$239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Données!$C$236:$E$236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Données!$C$239:$E$239</c:f>
              <c:numCache>
                <c:formatCode>#,##0</c:formatCode>
                <c:ptCount val="3"/>
                <c:pt idx="0">
                  <c:v>50.069725999999946</c:v>
                </c:pt>
                <c:pt idx="1">
                  <c:v>59.179324000000179</c:v>
                </c:pt>
                <c:pt idx="2">
                  <c:v>73.587007000000085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Données!$B$240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Données!$C$236:$E$236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Données!$C$240:$E$240</c:f>
              <c:numCache>
                <c:formatCode>#,##0</c:formatCode>
                <c:ptCount val="3"/>
                <c:pt idx="0">
                  <c:v>5.595780849999997</c:v>
                </c:pt>
                <c:pt idx="1">
                  <c:v>7.8254308500000036</c:v>
                </c:pt>
                <c:pt idx="2">
                  <c:v>11.660293510000002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Données!$B$241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Données!$C$236:$E$236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Données!$C$241:$E$241</c:f>
              <c:numCache>
                <c:formatCode>#,##0</c:formatCode>
                <c:ptCount val="3"/>
                <c:pt idx="0">
                  <c:v>25.624664000000848</c:v>
                </c:pt>
                <c:pt idx="1">
                  <c:v>4.0841009999999187</c:v>
                </c:pt>
                <c:pt idx="2">
                  <c:v>-17.054759999999987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Données!$B$242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Données!$C$236:$E$236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Données!$C$242:$E$242</c:f>
              <c:numCache>
                <c:formatCode>#,##0</c:formatCode>
                <c:ptCount val="3"/>
                <c:pt idx="0">
                  <c:v>6.2890754200000032</c:v>
                </c:pt>
                <c:pt idx="1">
                  <c:v>9.2928370300000012</c:v>
                </c:pt>
                <c:pt idx="2">
                  <c:v>13.079627359999996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Données!$B$243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Données!$C$236:$E$236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Données!$C$243:$E$243</c:f>
              <c:numCache>
                <c:formatCode>#,##0</c:formatCode>
                <c:ptCount val="3"/>
                <c:pt idx="0">
                  <c:v>179.4197099999983</c:v>
                </c:pt>
                <c:pt idx="1">
                  <c:v>174.82069000000047</c:v>
                </c:pt>
                <c:pt idx="2">
                  <c:v>120.88740999999936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Données!$B$244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Données!$C$236:$E$236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Données!$C$244:$E$244</c:f>
              <c:numCache>
                <c:formatCode>#,##0</c:formatCode>
                <c:ptCount val="3"/>
                <c:pt idx="0">
                  <c:v>-0.28639370000007602</c:v>
                </c:pt>
                <c:pt idx="1">
                  <c:v>-4.7835270000000492</c:v>
                </c:pt>
                <c:pt idx="2">
                  <c:v>4.1472049999999854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Données!$B$237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Données!$C$236:$E$236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Données!$C$237:$E$237</c:f>
              <c:numCache>
                <c:formatCode>#,##0</c:formatCode>
                <c:ptCount val="3"/>
                <c:pt idx="0">
                  <c:v>266.49765000000116</c:v>
                </c:pt>
                <c:pt idx="1">
                  <c:v>246.78524000000107</c:v>
                </c:pt>
                <c:pt idx="2">
                  <c:v>195.17154000000301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4636183921227952"/>
          <c:y val="0.84134454112981361"/>
          <c:w val="0.68407532811298444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</a:p>
          <a:p>
            <a:pPr>
              <a:defRPr/>
            </a:pPr>
            <a:r>
              <a:rPr lang="fr-FR" sz="1800" baseline="0"/>
              <a:t>(% d'écart au tendanciel)</a:t>
            </a:r>
            <a:endParaRPr lang="fr-FR"/>
          </a:p>
        </c:rich>
      </c:tx>
      <c:layout>
        <c:manualLayout>
          <c:xMode val="edge"/>
          <c:yMode val="edge"/>
          <c:x val="0.36169070013054455"/>
          <c:y val="1.6736092221899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5806123966731622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Données!$B$303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Données!$C$301:$E$301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Données!$C$303:$E$303</c:f>
              <c:numCache>
                <c:formatCode>0.0%</c:formatCode>
                <c:ptCount val="3"/>
                <c:pt idx="0">
                  <c:v>1.760636718038322E-2</c:v>
                </c:pt>
                <c:pt idx="1">
                  <c:v>3.6466215143016179E-2</c:v>
                </c:pt>
                <c:pt idx="2">
                  <c:v>2.1650927984898205E-2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EF-4C8A-9797-5E7405BD4BE1}"/>
            </c:ext>
          </c:extLst>
        </c:ser>
        <c:ser>
          <c:idx val="2"/>
          <c:order val="2"/>
          <c:tx>
            <c:strRef>
              <c:f>Données!$B$304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Données!$C$301:$E$301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Données!$C$304:$E$304</c:f>
              <c:numCache>
                <c:formatCode>0.0%</c:formatCode>
                <c:ptCount val="3"/>
                <c:pt idx="0">
                  <c:v>3.5007178868827982E-2</c:v>
                </c:pt>
                <c:pt idx="1">
                  <c:v>5.4962598977436272E-2</c:v>
                </c:pt>
                <c:pt idx="2">
                  <c:v>5.9578118735207797E-2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EF-4C8A-9797-5E7405BD4BE1}"/>
            </c:ext>
          </c:extLst>
        </c:ser>
        <c:ser>
          <c:idx val="3"/>
          <c:order val="3"/>
          <c:tx>
            <c:strRef>
              <c:f>Données!$B$305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Données!$C$301:$E$301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Données!$C$305:$E$305</c:f>
              <c:numCache>
                <c:formatCode>0.0%</c:formatCode>
                <c:ptCount val="3"/>
                <c:pt idx="0">
                  <c:v>0.13401844163822507</c:v>
                </c:pt>
                <c:pt idx="1">
                  <c:v>0.34398298181804066</c:v>
                </c:pt>
                <c:pt idx="2">
                  <c:v>0.54676569059416602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EF-4C8A-9797-5E7405BD4BE1}"/>
            </c:ext>
          </c:extLst>
        </c:ser>
        <c:ser>
          <c:idx val="4"/>
          <c:order val="4"/>
          <c:tx>
            <c:strRef>
              <c:f>Données!$B$306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Données!$C$301:$E$301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Données!$C$306:$E$306</c:f>
              <c:numCache>
                <c:formatCode>0.0%</c:formatCode>
                <c:ptCount val="3"/>
                <c:pt idx="0">
                  <c:v>1.2457860912636454E-2</c:v>
                </c:pt>
                <c:pt idx="1">
                  <c:v>1.3091682014234607E-2</c:v>
                </c:pt>
                <c:pt idx="2">
                  <c:v>8.185398327843707E-3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7EF-4C8A-9797-5E7405BD4BE1}"/>
            </c:ext>
          </c:extLst>
        </c:ser>
        <c:ser>
          <c:idx val="5"/>
          <c:order val="5"/>
          <c:tx>
            <c:strRef>
              <c:f>Données!$B$307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Données!$C$301:$E$301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Données!$C$307:$E$307</c:f>
              <c:numCache>
                <c:formatCode>0.0%</c:formatCode>
                <c:ptCount val="3"/>
                <c:pt idx="0">
                  <c:v>7.8473137151261918E-2</c:v>
                </c:pt>
                <c:pt idx="1">
                  <c:v>0.17599509509475708</c:v>
                </c:pt>
                <c:pt idx="2">
                  <c:v>0.43331721742472329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7EF-4C8A-9797-5E7405BD4BE1}"/>
            </c:ext>
          </c:extLst>
        </c:ser>
        <c:ser>
          <c:idx val="7"/>
          <c:order val="7"/>
          <c:tx>
            <c:strRef>
              <c:f>Données!$B$309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Données!$C$301:$E$301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Données!$C$309:$E$309</c:f>
              <c:numCache>
                <c:formatCode>0.0%</c:formatCode>
                <c:ptCount val="3"/>
                <c:pt idx="0">
                  <c:v>3.5951654836026581E-2</c:v>
                </c:pt>
                <c:pt idx="1">
                  <c:v>6.5479489410666059E-2</c:v>
                </c:pt>
                <c:pt idx="2">
                  <c:v>8.6477712436123344E-2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2-47FC-944C-E01F82931F8E}"/>
            </c:ext>
          </c:extLst>
        </c:ser>
        <c:ser>
          <c:idx val="6"/>
          <c:order val="6"/>
          <c:tx>
            <c:strRef>
              <c:f>Données!$B$308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Données!$C$301:$E$301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Données!$C$308:$E$308</c:f>
              <c:numCache>
                <c:formatCode>0.0%</c:formatCode>
                <c:ptCount val="3"/>
                <c:pt idx="0">
                  <c:v>9.4390326614031128E-3</c:v>
                </c:pt>
                <c:pt idx="1">
                  <c:v>2.4266997758641828E-2</c:v>
                </c:pt>
                <c:pt idx="2">
                  <c:v>3.0696790139798313E-2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7EF-4C8A-9797-5E7405BD4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Données!$B$302</c15:sqref>
                        </c15:formulaRef>
                      </c:ext>
                    </c:extLst>
                    <c:strCache>
                      <c:ptCount val="1"/>
                      <c:pt idx="0">
                        <c:v>Entreprises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Données!$C$301:$E$301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Données!$C$302:$E$302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1.3716093830248965E-2</c:v>
                      </c:pt>
                      <c:pt idx="1">
                        <c:v>3.1007814489411256E-2</c:v>
                      </c:pt>
                      <c:pt idx="2">
                        <c:v>4.011776655834276E-2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7-27EF-4C8A-9797-5E7405BD4BE1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8635257171030545E-2"/>
          <c:y val="0.91284494667147675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Investissement</a:t>
            </a:r>
          </a:p>
          <a:p>
            <a:pPr>
              <a:defRPr/>
            </a:pPr>
            <a:r>
              <a:rPr lang="fr-FR" sz="1800" baseline="0"/>
              <a:t>(contributions à l'écart en %)</a:t>
            </a:r>
            <a:endParaRPr lang="fr-FR"/>
          </a:p>
        </c:rich>
      </c:tx>
      <c:layout>
        <c:manualLayout>
          <c:xMode val="edge"/>
          <c:yMode val="edge"/>
          <c:x val="0.36169070013054455"/>
          <c:y val="1.67360922218999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37068890296E-2"/>
          <c:y val="0.15805885654508087"/>
          <c:w val="0.90465257274928901"/>
          <c:h val="0.6184027986072705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Données!$B$313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Données!$C$311:$E$311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Données!$C$313:$E$313</c:f>
              <c:numCache>
                <c:formatCode>0.0%</c:formatCode>
                <c:ptCount val="3"/>
                <c:pt idx="0">
                  <c:v>4.3005145852969932E-4</c:v>
                </c:pt>
                <c:pt idx="1">
                  <c:v>9.0828337045295213E-4</c:v>
                </c:pt>
                <c:pt idx="2">
                  <c:v>5.5625720671654405E-4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CB-4AD7-9A4D-33C053D706DF}"/>
            </c:ext>
          </c:extLst>
        </c:ser>
        <c:ser>
          <c:idx val="2"/>
          <c:order val="2"/>
          <c:tx>
            <c:strRef>
              <c:f>Données!$B$314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Données!$C$311:$E$311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Données!$C$314:$E$314</c:f>
              <c:numCache>
                <c:formatCode>0.0%</c:formatCode>
                <c:ptCount val="3"/>
                <c:pt idx="0">
                  <c:v>6.2861751512971898E-4</c:v>
                </c:pt>
                <c:pt idx="1">
                  <c:v>9.7332333728591546E-4</c:v>
                </c:pt>
                <c:pt idx="2">
                  <c:v>1.0298420576383004E-3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CB-4AD7-9A4D-33C053D706DF}"/>
            </c:ext>
          </c:extLst>
        </c:ser>
        <c:ser>
          <c:idx val="3"/>
          <c:order val="3"/>
          <c:tx>
            <c:strRef>
              <c:f>Données!$B$315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Données!$C$311:$E$311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Données!$C$315:$E$315</c:f>
              <c:numCache>
                <c:formatCode>0.0%</c:formatCode>
                <c:ptCount val="3"/>
                <c:pt idx="0">
                  <c:v>1.9676640792953785E-3</c:v>
                </c:pt>
                <c:pt idx="1">
                  <c:v>5.30310407939639E-3</c:v>
                </c:pt>
                <c:pt idx="2">
                  <c:v>8.2656428992187812E-3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ACB-4AD7-9A4D-33C053D706DF}"/>
            </c:ext>
          </c:extLst>
        </c:ser>
        <c:ser>
          <c:idx val="4"/>
          <c:order val="4"/>
          <c:tx>
            <c:strRef>
              <c:f>Données!$B$316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Données!$C$311:$E$311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Données!$C$316:$E$316</c:f>
              <c:numCache>
                <c:formatCode>0.0%</c:formatCode>
                <c:ptCount val="3"/>
                <c:pt idx="0">
                  <c:v>1.5612611104235266E-3</c:v>
                </c:pt>
                <c:pt idx="1">
                  <c:v>1.6345891050094385E-3</c:v>
                </c:pt>
                <c:pt idx="2">
                  <c:v>1.0685433671667498E-3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ACB-4AD7-9A4D-33C053D706DF}"/>
            </c:ext>
          </c:extLst>
        </c:ser>
        <c:ser>
          <c:idx val="5"/>
          <c:order val="5"/>
          <c:tx>
            <c:strRef>
              <c:f>Données!$B$317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Données!$C$311:$E$311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Données!$C$317:$E$317</c:f>
              <c:numCache>
                <c:formatCode>0.0%</c:formatCode>
                <c:ptCount val="3"/>
                <c:pt idx="0">
                  <c:v>6.5299866079741311E-4</c:v>
                </c:pt>
                <c:pt idx="1">
                  <c:v>1.2572710026006308E-3</c:v>
                </c:pt>
                <c:pt idx="2">
                  <c:v>2.7355912168468273E-3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ACB-4AD7-9A4D-33C053D706DF}"/>
            </c:ext>
          </c:extLst>
        </c:ser>
        <c:ser>
          <c:idx val="6"/>
          <c:order val="6"/>
          <c:tx>
            <c:strRef>
              <c:f>Données!$B$318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Données!$C$311:$E$311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Données!$C$318:$E$318</c:f>
              <c:numCache>
                <c:formatCode>0.0%</c:formatCode>
                <c:ptCount val="3"/>
                <c:pt idx="0">
                  <c:v>7.3410802462894019E-3</c:v>
                </c:pt>
                <c:pt idx="1">
                  <c:v>1.8904219016742854E-2</c:v>
                </c:pt>
                <c:pt idx="2">
                  <c:v>2.3749681838695254E-2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CB-4AD7-9A4D-33C053D706DF}"/>
            </c:ext>
          </c:extLst>
        </c:ser>
        <c:ser>
          <c:idx val="7"/>
          <c:order val="7"/>
          <c:tx>
            <c:strRef>
              <c:f>Données!$B$319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Données!$C$311:$E$311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Données!$C$319:$E$319</c:f>
              <c:numCache>
                <c:formatCode>0.0%</c:formatCode>
                <c:ptCount val="3"/>
                <c:pt idx="0">
                  <c:v>1.1344208094623272E-3</c:v>
                </c:pt>
                <c:pt idx="1">
                  <c:v>2.0270244921023447E-3</c:v>
                </c:pt>
                <c:pt idx="2">
                  <c:v>2.7122080185941742E-3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Données!$B$312</c:f>
              <c:strCache>
                <c:ptCount val="1"/>
                <c:pt idx="0">
                  <c:v>Entreprises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Données!$C$311:$E$311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Données!$C$312:$E$312</c:f>
              <c:numCache>
                <c:formatCode>0.0%</c:formatCode>
                <c:ptCount val="3"/>
                <c:pt idx="0">
                  <c:v>1.3716093830248965E-2</c:v>
                </c:pt>
                <c:pt idx="1">
                  <c:v>3.1007814489411256E-2</c:v>
                </c:pt>
                <c:pt idx="2">
                  <c:v>4.011776655834276E-2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9ACB-4AD7-9A4D-33C053D70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solidFill>
            <a:schemeClr val="accent3"/>
          </a:solidFill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188588077160981"/>
          <c:y val="0.8648373601251057"/>
          <c:w val="0.71410014318204573"/>
          <c:h val="0.11273515869539671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Emissions de CO2 des</a:t>
            </a:r>
            <a:r>
              <a:rPr lang="fr-FR" sz="2400" baseline="0"/>
              <a:t> entreprises (MtCO2/an)</a:t>
            </a:r>
          </a:p>
          <a:p>
            <a:pPr>
              <a:defRPr/>
            </a:pPr>
            <a:r>
              <a:rPr lang="fr-FR" sz="1800" i="1" baseline="0"/>
              <a:t>Scénario Net Zero 2050</a:t>
            </a:r>
            <a:endParaRPr lang="fr-FR" sz="1800" i="1"/>
          </a:p>
        </c:rich>
      </c:tx>
      <c:layout>
        <c:manualLayout>
          <c:xMode val="edge"/>
          <c:yMode val="edge"/>
          <c:x val="0.19666974238549709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Données!$B$586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Données!$C$586:$F$586</c:f>
              <c:numCache>
                <c:formatCode>#,##0</c:formatCode>
                <c:ptCount val="4"/>
                <c:pt idx="0">
                  <c:v>13.931499239600001</c:v>
                </c:pt>
                <c:pt idx="1">
                  <c:v>10.2231709698</c:v>
                </c:pt>
                <c:pt idx="2">
                  <c:v>8.4474114518000007</c:v>
                </c:pt>
                <c:pt idx="3">
                  <c:v>6.8887080744000002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Données!$B$587</c:f>
              <c:strCache>
                <c:ptCount val="1"/>
                <c:pt idx="0">
                  <c:v>Alimentation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Données!$C$587:$F$587</c:f>
              <c:numCache>
                <c:formatCode>#,##0</c:formatCode>
                <c:ptCount val="4"/>
                <c:pt idx="0">
                  <c:v>9.5550503080000002</c:v>
                </c:pt>
                <c:pt idx="1">
                  <c:v>7.051581273</c:v>
                </c:pt>
                <c:pt idx="2">
                  <c:v>5.3275819929999999</c:v>
                </c:pt>
                <c:pt idx="3">
                  <c:v>3.4166946079999998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Données!$B$588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Données!$C$588:$F$588</c:f>
              <c:numCache>
                <c:formatCode>#,##0</c:formatCode>
                <c:ptCount val="4"/>
                <c:pt idx="0">
                  <c:v>21.785772481000002</c:v>
                </c:pt>
                <c:pt idx="1">
                  <c:v>22.372634483999999</c:v>
                </c:pt>
                <c:pt idx="2">
                  <c:v>24.196214502</c:v>
                </c:pt>
                <c:pt idx="3">
                  <c:v>28.301757099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Données!$B$589</c:f>
              <c:strCache>
                <c:ptCount val="1"/>
                <c:pt idx="0">
                  <c:v>Chimie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Données!$C$589:$F$589</c:f>
              <c:numCache>
                <c:formatCode>#,##0</c:formatCode>
                <c:ptCount val="4"/>
                <c:pt idx="0">
                  <c:v>6.6067830999999995</c:v>
                </c:pt>
                <c:pt idx="1">
                  <c:v>6.6637915330000004</c:v>
                </c:pt>
                <c:pt idx="2">
                  <c:v>6.9669530490000007</c:v>
                </c:pt>
                <c:pt idx="3">
                  <c:v>7.9098407819999998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Données!$B$590</c:f>
              <c:strCache>
                <c:ptCount val="1"/>
                <c:pt idx="0">
                  <c:v>Métallurgie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Données!$C$590:$F$590</c:f>
              <c:numCache>
                <c:formatCode>#,##0</c:formatCode>
                <c:ptCount val="4"/>
                <c:pt idx="0">
                  <c:v>21.692599146999999</c:v>
                </c:pt>
                <c:pt idx="1">
                  <c:v>21.816419486999997</c:v>
                </c:pt>
                <c:pt idx="2">
                  <c:v>23.243181694</c:v>
                </c:pt>
                <c:pt idx="3">
                  <c:v>28.247671851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Données!$B$591</c:f>
              <c:strCache>
                <c:ptCount val="1"/>
                <c:pt idx="0">
                  <c:v>Autres industries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Données!$C$591:$F$591</c:f>
              <c:numCache>
                <c:formatCode>#,##0</c:formatCode>
                <c:ptCount val="4"/>
                <c:pt idx="0">
                  <c:v>17.956448254600001</c:v>
                </c:pt>
                <c:pt idx="1">
                  <c:v>13.631270110799999</c:v>
                </c:pt>
                <c:pt idx="2">
                  <c:v>10.9867779063</c:v>
                </c:pt>
                <c:pt idx="3">
                  <c:v>8.3778280755000001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Données!$B$592</c:f>
              <c:strCache>
                <c:ptCount val="1"/>
                <c:pt idx="0">
                  <c:v>Routier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Données!$C$592:$F$592</c:f>
              <c:numCache>
                <c:formatCode>#,##0</c:formatCode>
                <c:ptCount val="4"/>
                <c:pt idx="0">
                  <c:v>15.78505872</c:v>
                </c:pt>
                <c:pt idx="1">
                  <c:v>11.31937488</c:v>
                </c:pt>
                <c:pt idx="2">
                  <c:v>7.1802670989999999</c:v>
                </c:pt>
                <c:pt idx="3">
                  <c:v>1.778226466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Données!$B$593</c:f>
              <c:strCache>
                <c:ptCount val="1"/>
                <c:pt idx="0">
                  <c:v>Aérien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Données!$C$593:$F$593</c:f>
              <c:numCache>
                <c:formatCode>#,##0</c:formatCode>
                <c:ptCount val="4"/>
                <c:pt idx="0">
                  <c:v>20.649143389999999</c:v>
                </c:pt>
                <c:pt idx="1">
                  <c:v>16.48543716</c:v>
                </c:pt>
                <c:pt idx="2">
                  <c:v>11.63410577</c:v>
                </c:pt>
                <c:pt idx="3">
                  <c:v>4.0034729450000004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Données!$B$594</c:f>
              <c:strCache>
                <c:ptCount val="1"/>
                <c:pt idx="0">
                  <c:v>Autres transports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Données!$C$594:$F$594</c:f>
              <c:numCache>
                <c:formatCode>#,##0</c:formatCode>
                <c:ptCount val="4"/>
                <c:pt idx="0">
                  <c:v>9.6478262109999999</c:v>
                </c:pt>
                <c:pt idx="1">
                  <c:v>7.7860307300000002</c:v>
                </c:pt>
                <c:pt idx="2">
                  <c:v>5.3247807300000005</c:v>
                </c:pt>
                <c:pt idx="3">
                  <c:v>1.6392331546999999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Données!$B$595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Données!$C$595:$F$595</c:f>
              <c:numCache>
                <c:formatCode>#,##0</c:formatCode>
                <c:ptCount val="4"/>
                <c:pt idx="0">
                  <c:v>56.031361883899997</c:v>
                </c:pt>
                <c:pt idx="1">
                  <c:v>44.888207288099998</c:v>
                </c:pt>
                <c:pt idx="2">
                  <c:v>39.849852499699999</c:v>
                </c:pt>
                <c:pt idx="3">
                  <c:v>38.4335433643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Données!$B$596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Données!$C$596:$F$596</c:f>
              <c:numCache>
                <c:formatCode>#,##0</c:formatCode>
                <c:ptCount val="4"/>
                <c:pt idx="0">
                  <c:v>40.715293524099998</c:v>
                </c:pt>
                <c:pt idx="1">
                  <c:v>40.626606869599989</c:v>
                </c:pt>
                <c:pt idx="2">
                  <c:v>33.801180746</c:v>
                </c:pt>
                <c:pt idx="3">
                  <c:v>28.440376196399999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Données!$B$597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Données!$C$585:$F$585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Données!$C$597:$F$597</c:f>
              <c:numCache>
                <c:formatCode>#,##0</c:formatCode>
                <c:ptCount val="4"/>
                <c:pt idx="0">
                  <c:v>8.9043872815</c:v>
                </c:pt>
                <c:pt idx="1">
                  <c:v>9.8628797179999985</c:v>
                </c:pt>
                <c:pt idx="2">
                  <c:v>10.2326764103</c:v>
                </c:pt>
                <c:pt idx="3">
                  <c:v>9.7171271124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0024052171481532"/>
          <c:y val="0.80979270012578475"/>
          <c:w val="0.80772028746364921"/>
          <c:h val="0.17134700613875334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 capitalistique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2.29979513366439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1648261333239339E-2"/>
          <c:y val="0.15917119939255037"/>
          <c:w val="0.90333933113222997"/>
          <c:h val="0.65577656503335136"/>
        </c:manualLayout>
      </c:layout>
      <c:lineChart>
        <c:grouping val="standard"/>
        <c:varyColors val="0"/>
        <c:ser>
          <c:idx val="1"/>
          <c:order val="1"/>
          <c:tx>
            <c:strRef>
              <c:f>Données!$B$201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Données!$C$199:$AL$199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Données!$C$201:$AL$201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-4.0177166589250302E-4</c:v>
                </c:pt>
                <c:pt idx="7">
                  <c:v>2.924259673048768E-3</c:v>
                </c:pt>
                <c:pt idx="8">
                  <c:v>6.9556502706935586E-3</c:v>
                </c:pt>
                <c:pt idx="9">
                  <c:v>7.0782343170479045E-3</c:v>
                </c:pt>
                <c:pt idx="10">
                  <c:v>7.3919569724589795E-3</c:v>
                </c:pt>
                <c:pt idx="11">
                  <c:v>8.1655627010794873E-3</c:v>
                </c:pt>
                <c:pt idx="12">
                  <c:v>8.8866675282013308E-3</c:v>
                </c:pt>
                <c:pt idx="13">
                  <c:v>9.284625986280437E-3</c:v>
                </c:pt>
                <c:pt idx="14">
                  <c:v>9.2571634578966222E-3</c:v>
                </c:pt>
                <c:pt idx="15">
                  <c:v>9.0085620008046874E-3</c:v>
                </c:pt>
                <c:pt idx="16">
                  <c:v>9.026060103971334E-3</c:v>
                </c:pt>
                <c:pt idx="17">
                  <c:v>9.8341569610809199E-3</c:v>
                </c:pt>
                <c:pt idx="18">
                  <c:v>1.1343132215129392E-2</c:v>
                </c:pt>
                <c:pt idx="19">
                  <c:v>1.3319278027538628E-2</c:v>
                </c:pt>
                <c:pt idx="20">
                  <c:v>1.5551168597528031E-2</c:v>
                </c:pt>
                <c:pt idx="21">
                  <c:v>1.7894321134453106E-2</c:v>
                </c:pt>
                <c:pt idx="22">
                  <c:v>2.0264134118036958E-2</c:v>
                </c:pt>
                <c:pt idx="23">
                  <c:v>2.2602619056741213E-2</c:v>
                </c:pt>
                <c:pt idx="24">
                  <c:v>2.486457151445709E-2</c:v>
                </c:pt>
                <c:pt idx="25">
                  <c:v>2.7018705121504061E-2</c:v>
                </c:pt>
                <c:pt idx="26">
                  <c:v>2.9231882031115708E-2</c:v>
                </c:pt>
                <c:pt idx="27">
                  <c:v>3.1310434845397417E-2</c:v>
                </c:pt>
                <c:pt idx="28">
                  <c:v>3.3203404739851727E-2</c:v>
                </c:pt>
                <c:pt idx="29">
                  <c:v>3.4847754310250556E-2</c:v>
                </c:pt>
                <c:pt idx="30">
                  <c:v>3.6187167279309929E-2</c:v>
                </c:pt>
                <c:pt idx="31">
                  <c:v>3.7186346232698231E-2</c:v>
                </c:pt>
                <c:pt idx="32">
                  <c:v>3.7823605367463653E-2</c:v>
                </c:pt>
                <c:pt idx="33">
                  <c:v>3.8077256597013331E-2</c:v>
                </c:pt>
                <c:pt idx="34">
                  <c:v>3.7923982316132809E-2</c:v>
                </c:pt>
                <c:pt idx="35">
                  <c:v>3.7345202759270446E-2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Données!$B$204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Données!$C$199:$AL$199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Données!$C$204:$AL$204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-4.5242029533398842E-4</c:v>
                </c:pt>
                <c:pt idx="7">
                  <c:v>4.2727030489011497E-3</c:v>
                </c:pt>
                <c:pt idx="8">
                  <c:v>7.8782815382614224E-3</c:v>
                </c:pt>
                <c:pt idx="9">
                  <c:v>3.980202944024569E-3</c:v>
                </c:pt>
                <c:pt idx="10">
                  <c:v>5.3338035763705882E-4</c:v>
                </c:pt>
                <c:pt idx="11">
                  <c:v>-1.596443839910533E-3</c:v>
                </c:pt>
                <c:pt idx="12">
                  <c:v>-2.1382716334023E-3</c:v>
                </c:pt>
                <c:pt idx="13">
                  <c:v>-1.7475825706360082E-3</c:v>
                </c:pt>
                <c:pt idx="14">
                  <c:v>-1.1943131169031007E-3</c:v>
                </c:pt>
                <c:pt idx="15">
                  <c:v>-6.3523462047387902E-4</c:v>
                </c:pt>
                <c:pt idx="16">
                  <c:v>5.4790357649880939E-4</c:v>
                </c:pt>
                <c:pt idx="17">
                  <c:v>2.085027950414986E-3</c:v>
                </c:pt>
                <c:pt idx="18">
                  <c:v>3.8578394841441987E-3</c:v>
                </c:pt>
                <c:pt idx="19">
                  <c:v>5.7668523920657577E-3</c:v>
                </c:pt>
                <c:pt idx="20">
                  <c:v>7.7363336721616438E-3</c:v>
                </c:pt>
                <c:pt idx="21">
                  <c:v>9.6898575732096148E-3</c:v>
                </c:pt>
                <c:pt idx="22">
                  <c:v>1.1583106407807797E-2</c:v>
                </c:pt>
                <c:pt idx="23">
                  <c:v>1.3416135077299218E-2</c:v>
                </c:pt>
                <c:pt idx="24">
                  <c:v>1.5188743804799731E-2</c:v>
                </c:pt>
                <c:pt idx="25">
                  <c:v>1.6898053979142791E-2</c:v>
                </c:pt>
                <c:pt idx="26">
                  <c:v>1.8487673845547281E-2</c:v>
                </c:pt>
                <c:pt idx="27">
                  <c:v>1.9826216758730864E-2</c:v>
                </c:pt>
                <c:pt idx="28">
                  <c:v>2.0936368231985636E-2</c:v>
                </c:pt>
                <c:pt idx="29">
                  <c:v>2.1837248158864009E-2</c:v>
                </c:pt>
                <c:pt idx="30">
                  <c:v>2.2540751538795201E-2</c:v>
                </c:pt>
                <c:pt idx="31">
                  <c:v>2.3023309438237938E-2</c:v>
                </c:pt>
                <c:pt idx="32">
                  <c:v>2.3256627513817962E-2</c:v>
                </c:pt>
                <c:pt idx="33">
                  <c:v>2.326423365388286E-2</c:v>
                </c:pt>
                <c:pt idx="34">
                  <c:v>2.3075084107729182E-2</c:v>
                </c:pt>
                <c:pt idx="35">
                  <c:v>2.2709960902359327E-2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Données!$B$207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Données!$C$199:$AL$199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Données!$C$207:$AL$207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-4.2817233951863987E-4</c:v>
                </c:pt>
                <c:pt idx="7">
                  <c:v>3.0911786920093665E-3</c:v>
                </c:pt>
                <c:pt idx="8">
                  <c:v>5.799012520665503E-3</c:v>
                </c:pt>
                <c:pt idx="9">
                  <c:v>2.3617360945997756E-3</c:v>
                </c:pt>
                <c:pt idx="10">
                  <c:v>-1.2781146451098513E-3</c:v>
                </c:pt>
                <c:pt idx="11">
                  <c:v>-4.3319007070902193E-3</c:v>
                </c:pt>
                <c:pt idx="12">
                  <c:v>-6.1701747486889724E-3</c:v>
                </c:pt>
                <c:pt idx="13">
                  <c:v>-7.0030137974067541E-3</c:v>
                </c:pt>
                <c:pt idx="14">
                  <c:v>-7.253674271070043E-3</c:v>
                </c:pt>
                <c:pt idx="15">
                  <c:v>-6.9735470478520245E-3</c:v>
                </c:pt>
                <c:pt idx="16">
                  <c:v>-5.8948494811781327E-3</c:v>
                </c:pt>
                <c:pt idx="17">
                  <c:v>-4.0760977439651125E-3</c:v>
                </c:pt>
                <c:pt idx="18">
                  <c:v>-1.7556272180097032E-3</c:v>
                </c:pt>
                <c:pt idx="19">
                  <c:v>8.5400099066701429E-4</c:v>
                </c:pt>
                <c:pt idx="20">
                  <c:v>3.5865200180693613E-3</c:v>
                </c:pt>
                <c:pt idx="21">
                  <c:v>6.2745072499850174E-3</c:v>
                </c:pt>
                <c:pt idx="22">
                  <c:v>8.8088203138929622E-3</c:v>
                </c:pt>
                <c:pt idx="23">
                  <c:v>1.1198069067339445E-2</c:v>
                </c:pt>
                <c:pt idx="24">
                  <c:v>1.3474243072518322E-2</c:v>
                </c:pt>
                <c:pt idx="25">
                  <c:v>1.5658374568386479E-2</c:v>
                </c:pt>
                <c:pt idx="26">
                  <c:v>1.7532513261950156E-2</c:v>
                </c:pt>
                <c:pt idx="27">
                  <c:v>1.8863225559657915E-2</c:v>
                </c:pt>
                <c:pt idx="28">
                  <c:v>1.9676481741546903E-2</c:v>
                </c:pt>
                <c:pt idx="29">
                  <c:v>2.0039308126917454E-2</c:v>
                </c:pt>
                <c:pt idx="30">
                  <c:v>2.0005251190320594E-2</c:v>
                </c:pt>
                <c:pt idx="31">
                  <c:v>1.9516156629733272E-2</c:v>
                </c:pt>
                <c:pt idx="32">
                  <c:v>1.8470179451728574E-2</c:v>
                </c:pt>
                <c:pt idx="33">
                  <c:v>1.6873902443484079E-2</c:v>
                </c:pt>
                <c:pt idx="34">
                  <c:v>1.475774407177699E-2</c:v>
                </c:pt>
                <c:pt idx="35">
                  <c:v>1.214896441219171E-2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Données!$B$206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Données!$C$199:$AL$199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Données!$C$206:$AL$206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-3.3248085265158434E-4</c:v>
                </c:pt>
                <c:pt idx="7">
                  <c:v>9.9648900846416311E-4</c:v>
                </c:pt>
                <c:pt idx="8">
                  <c:v>2.5381322656101712E-3</c:v>
                </c:pt>
                <c:pt idx="9">
                  <c:v>1.1320179006810704E-3</c:v>
                </c:pt>
                <c:pt idx="10">
                  <c:v>-6.1516394649629991E-4</c:v>
                </c:pt>
                <c:pt idx="11">
                  <c:v>-2.0747502443904109E-3</c:v>
                </c:pt>
                <c:pt idx="12">
                  <c:v>-3.3586460104887417E-3</c:v>
                </c:pt>
                <c:pt idx="13">
                  <c:v>-4.5066965483018251E-3</c:v>
                </c:pt>
                <c:pt idx="14">
                  <c:v>-5.6075410582844265E-3</c:v>
                </c:pt>
                <c:pt idx="15">
                  <c:v>-6.5947068386769114E-3</c:v>
                </c:pt>
                <c:pt idx="16">
                  <c:v>-7.1065159646225284E-3</c:v>
                </c:pt>
                <c:pt idx="17">
                  <c:v>-7.0656664819355175E-3</c:v>
                </c:pt>
                <c:pt idx="18">
                  <c:v>-6.5907618359829501E-3</c:v>
                </c:pt>
                <c:pt idx="19">
                  <c:v>-5.8462465680864106E-3</c:v>
                </c:pt>
                <c:pt idx="20">
                  <c:v>-4.9549654557060618E-3</c:v>
                </c:pt>
                <c:pt idx="21">
                  <c:v>-3.981361696891117E-3</c:v>
                </c:pt>
                <c:pt idx="22">
                  <c:v>-2.9514064871847268E-3</c:v>
                </c:pt>
                <c:pt idx="23">
                  <c:v>-1.8811146828945358E-3</c:v>
                </c:pt>
                <c:pt idx="24">
                  <c:v>-7.8081779003424945E-4</c:v>
                </c:pt>
                <c:pt idx="25">
                  <c:v>3.4642974207033106E-4</c:v>
                </c:pt>
                <c:pt idx="26">
                  <c:v>1.4973566075626721E-3</c:v>
                </c:pt>
                <c:pt idx="27">
                  <c:v>2.7024374564752485E-3</c:v>
                </c:pt>
                <c:pt idx="28">
                  <c:v>3.9381779364169311E-3</c:v>
                </c:pt>
                <c:pt idx="29">
                  <c:v>5.166968952219575E-3</c:v>
                </c:pt>
                <c:pt idx="30">
                  <c:v>6.3576232122874998E-3</c:v>
                </c:pt>
                <c:pt idx="31">
                  <c:v>7.4978675791095295E-3</c:v>
                </c:pt>
                <c:pt idx="32">
                  <c:v>8.58319671784602E-3</c:v>
                </c:pt>
                <c:pt idx="33">
                  <c:v>9.6004891940919546E-3</c:v>
                </c:pt>
                <c:pt idx="34">
                  <c:v>1.0534444430721601E-2</c:v>
                </c:pt>
                <c:pt idx="35">
                  <c:v>1.1373291647837069E-2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Données!$B$205</c:f>
              <c:strCache>
                <c:ptCount val="1"/>
                <c:pt idx="0">
                  <c:v>Oil &amp; 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Données!$C$199:$AL$199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Données!$C$205:$AL$205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-1.1265610715590624E-3</c:v>
                </c:pt>
                <c:pt idx="7">
                  <c:v>1.705421012397923E-2</c:v>
                </c:pt>
                <c:pt idx="8">
                  <c:v>3.7130329232123671E-2</c:v>
                </c:pt>
                <c:pt idx="9">
                  <c:v>5.6975790434503848E-2</c:v>
                </c:pt>
                <c:pt idx="10">
                  <c:v>7.8856419502884689E-2</c:v>
                </c:pt>
                <c:pt idx="11">
                  <c:v>0.10149192709937482</c:v>
                </c:pt>
                <c:pt idx="12">
                  <c:v>0.12452212344498004</c:v>
                </c:pt>
                <c:pt idx="13">
                  <c:v>0.14696976497468928</c:v>
                </c:pt>
                <c:pt idx="14">
                  <c:v>0.16900348202119697</c:v>
                </c:pt>
                <c:pt idx="15">
                  <c:v>0.19101226675172955</c:v>
                </c:pt>
                <c:pt idx="16">
                  <c:v>0.20585336949671929</c:v>
                </c:pt>
                <c:pt idx="17">
                  <c:v>0.22205954331509292</c:v>
                </c:pt>
                <c:pt idx="18">
                  <c:v>0.23938373660306844</c:v>
                </c:pt>
                <c:pt idx="19">
                  <c:v>0.25743272124283356</c:v>
                </c:pt>
                <c:pt idx="20">
                  <c:v>0.27583302183183522</c:v>
                </c:pt>
                <c:pt idx="21">
                  <c:v>0.29424167763824771</c:v>
                </c:pt>
                <c:pt idx="22">
                  <c:v>0.31237742355422804</c:v>
                </c:pt>
                <c:pt idx="23">
                  <c:v>0.33008199455160758</c:v>
                </c:pt>
                <c:pt idx="24">
                  <c:v>0.34723183253893564</c:v>
                </c:pt>
                <c:pt idx="25">
                  <c:v>0.36373116500038005</c:v>
                </c:pt>
                <c:pt idx="26">
                  <c:v>0.37903804332087021</c:v>
                </c:pt>
                <c:pt idx="27">
                  <c:v>0.39336833175886965</c:v>
                </c:pt>
                <c:pt idx="28">
                  <c:v>0.40675162924086528</c:v>
                </c:pt>
                <c:pt idx="29">
                  <c:v>0.41933882626876184</c:v>
                </c:pt>
                <c:pt idx="30">
                  <c:v>0.43136109169033388</c:v>
                </c:pt>
                <c:pt idx="31">
                  <c:v>0.44308379448420521</c:v>
                </c:pt>
                <c:pt idx="32">
                  <c:v>0.45488573005401189</c:v>
                </c:pt>
                <c:pt idx="33">
                  <c:v>0.46745294930956427</c:v>
                </c:pt>
                <c:pt idx="34">
                  <c:v>0.48199054754312409</c:v>
                </c:pt>
                <c:pt idx="35">
                  <c:v>0.5008001245089857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Données!$B$203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Données!$C$199:$AL$199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Données!$C$203:$AL$203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4.4794097744005335E-4</c:v>
                </c:pt>
                <c:pt idx="7">
                  <c:v>-6.6199090197971433E-3</c:v>
                </c:pt>
                <c:pt idx="8">
                  <c:v>-1.3719751641957045E-2</c:v>
                </c:pt>
                <c:pt idx="9">
                  <c:v>-2.4313838329514725E-2</c:v>
                </c:pt>
                <c:pt idx="10">
                  <c:v>-3.3459859246552703E-2</c:v>
                </c:pt>
                <c:pt idx="11">
                  <c:v>-3.8727352185918051E-2</c:v>
                </c:pt>
                <c:pt idx="12">
                  <c:v>-4.0683447666173267E-2</c:v>
                </c:pt>
                <c:pt idx="13">
                  <c:v>-3.9956709475852281E-2</c:v>
                </c:pt>
                <c:pt idx="14">
                  <c:v>-3.7380504479000987E-2</c:v>
                </c:pt>
                <c:pt idx="15">
                  <c:v>-3.3344309627177604E-2</c:v>
                </c:pt>
                <c:pt idx="16">
                  <c:v>-2.7266022165612913E-2</c:v>
                </c:pt>
                <c:pt idx="17">
                  <c:v>-2.0222122576170509E-2</c:v>
                </c:pt>
                <c:pt idx="18">
                  <c:v>-1.2081614103088723E-2</c:v>
                </c:pt>
                <c:pt idx="19">
                  <c:v>-2.9127444422660798E-3</c:v>
                </c:pt>
                <c:pt idx="20">
                  <c:v>7.1368211274709381E-3</c:v>
                </c:pt>
                <c:pt idx="21">
                  <c:v>1.7874831360393584E-2</c:v>
                </c:pt>
                <c:pt idx="22">
                  <c:v>2.9146108702269746E-2</c:v>
                </c:pt>
                <c:pt idx="23">
                  <c:v>4.0892370721640647E-2</c:v>
                </c:pt>
                <c:pt idx="24">
                  <c:v>5.3082180520384048E-2</c:v>
                </c:pt>
                <c:pt idx="25">
                  <c:v>6.5679242037746111E-2</c:v>
                </c:pt>
                <c:pt idx="26">
                  <c:v>7.8044982963501042E-2</c:v>
                </c:pt>
                <c:pt idx="27">
                  <c:v>9.0380656805921999E-2</c:v>
                </c:pt>
                <c:pt idx="28">
                  <c:v>0.10268770982802589</c:v>
                </c:pt>
                <c:pt idx="29">
                  <c:v>0.11500059621357162</c:v>
                </c:pt>
                <c:pt idx="30">
                  <c:v>0.12733480631382443</c:v>
                </c:pt>
                <c:pt idx="31">
                  <c:v>0.13960304207496566</c:v>
                </c:pt>
                <c:pt idx="32">
                  <c:v>0.15168171071336856</c:v>
                </c:pt>
                <c:pt idx="33">
                  <c:v>0.16355720599201495</c:v>
                </c:pt>
                <c:pt idx="34">
                  <c:v>0.17525466246865329</c:v>
                </c:pt>
                <c:pt idx="35">
                  <c:v>0.18681001177131917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Données!$B$200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Données!$C$199:$AL$199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Données!$C$200:$AL$200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-3.6767947365823339E-4</c:v>
                      </c:pt>
                      <c:pt idx="7">
                        <c:v>1.8718790727585422E-3</c:v>
                      </c:pt>
                      <c:pt idx="8">
                        <c:v>3.9529824281823167E-3</c:v>
                      </c:pt>
                      <c:pt idx="9">
                        <c:v>2.0732744237572653E-3</c:v>
                      </c:pt>
                      <c:pt idx="10">
                        <c:v>-1.4046430353964467E-4</c:v>
                      </c:pt>
                      <c:pt idx="11">
                        <c:v>-1.8735395048706804E-3</c:v>
                      </c:pt>
                      <c:pt idx="12">
                        <c:v>-2.949337473976632E-3</c:v>
                      </c:pt>
                      <c:pt idx="13">
                        <c:v>-3.5773566545796998E-3</c:v>
                      </c:pt>
                      <c:pt idx="14">
                        <c:v>-4.0542756345285369E-3</c:v>
                      </c:pt>
                      <c:pt idx="15">
                        <c:v>-4.4125437376374421E-3</c:v>
                      </c:pt>
                      <c:pt idx="16">
                        <c:v>-4.3777249931532536E-3</c:v>
                      </c:pt>
                      <c:pt idx="17">
                        <c:v>-3.8655188611506075E-3</c:v>
                      </c:pt>
                      <c:pt idx="18">
                        <c:v>-2.9709522384250286E-3</c:v>
                      </c:pt>
                      <c:pt idx="19">
                        <c:v>-1.8253472686872163E-3</c:v>
                      </c:pt>
                      <c:pt idx="20">
                        <c:v>-5.3403305334864815E-4</c:v>
                      </c:pt>
                      <c:pt idx="21">
                        <c:v>8.3460981410476975E-4</c:v>
                      </c:pt>
                      <c:pt idx="22">
                        <c:v>2.2461859939661988E-3</c:v>
                      </c:pt>
                      <c:pt idx="23">
                        <c:v>3.6858152388188348E-3</c:v>
                      </c:pt>
                      <c:pt idx="24">
                        <c:v>5.1443313480261654E-3</c:v>
                      </c:pt>
                      <c:pt idx="25">
                        <c:v>6.6184824201529491E-3</c:v>
                      </c:pt>
                      <c:pt idx="26">
                        <c:v>8.0832674508553026E-3</c:v>
                      </c:pt>
                      <c:pt idx="27">
                        <c:v>9.5320832684757661E-3</c:v>
                      </c:pt>
                      <c:pt idx="28">
                        <c:v>1.0949553614068908E-2</c:v>
                      </c:pt>
                      <c:pt idx="29">
                        <c:v>1.2310238048074629E-2</c:v>
                      </c:pt>
                      <c:pt idx="30">
                        <c:v>1.3592204747270298E-2</c:v>
                      </c:pt>
                      <c:pt idx="31">
                        <c:v>1.4777602560583469E-2</c:v>
                      </c:pt>
                      <c:pt idx="32">
                        <c:v>1.5851873836101316E-2</c:v>
                      </c:pt>
                      <c:pt idx="33">
                        <c:v>1.6808026221376116E-2</c:v>
                      </c:pt>
                      <c:pt idx="34">
                        <c:v>1.7641053163093501E-2</c:v>
                      </c:pt>
                      <c:pt idx="35">
                        <c:v>1.8350818444927697E-2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21492351526E-2"/>
          <c:y val="0.90658308755673267"/>
          <c:w val="0.899999957015297"/>
          <c:h val="5.7933044126384371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Intensité</a:t>
            </a:r>
            <a:r>
              <a:rPr lang="fr-FR" sz="2400" baseline="0"/>
              <a:t> énergétique</a:t>
            </a:r>
            <a:endParaRPr lang="fr-FR" sz="2400"/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d'écart au tendanciel)</a:t>
            </a:r>
            <a:endParaRPr lang="fr-FR" sz="1800"/>
          </a:p>
        </c:rich>
      </c:tx>
      <c:layout>
        <c:manualLayout>
          <c:xMode val="edge"/>
          <c:yMode val="edge"/>
          <c:x val="0.35804860624249651"/>
          <c:y val="1.882337859348125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Données!$B$265</c:f>
              <c:strCache>
                <c:ptCount val="1"/>
                <c:pt idx="0">
                  <c:v>Entreprises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Données!$C$264:$AL$264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Données!$C$265:$AL$265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6.8311108787844077E-4</c:v>
                </c:pt>
                <c:pt idx="7">
                  <c:v>-7.4300178418835738E-3</c:v>
                </c:pt>
                <c:pt idx="8">
                  <c:v>-1.8535733339097082E-2</c:v>
                </c:pt>
                <c:pt idx="9">
                  <c:v>-3.0045544401623658E-2</c:v>
                </c:pt>
                <c:pt idx="10">
                  <c:v>-4.1228728396989434E-2</c:v>
                </c:pt>
                <c:pt idx="11">
                  <c:v>-5.0065936183087079E-2</c:v>
                </c:pt>
                <c:pt idx="12">
                  <c:v>-5.7013104002322956E-2</c:v>
                </c:pt>
                <c:pt idx="13">
                  <c:v>-6.238679713565265E-2</c:v>
                </c:pt>
                <c:pt idx="14">
                  <c:v>-6.6411207045350307E-2</c:v>
                </c:pt>
                <c:pt idx="15">
                  <c:v>-6.9305378127389905E-2</c:v>
                </c:pt>
                <c:pt idx="16">
                  <c:v>-7.2450125401869125E-2</c:v>
                </c:pt>
                <c:pt idx="17">
                  <c:v>-7.6271619552551573E-2</c:v>
                </c:pt>
                <c:pt idx="18">
                  <c:v>-8.0737848109211585E-2</c:v>
                </c:pt>
                <c:pt idx="19">
                  <c:v>-8.5692348744093372E-2</c:v>
                </c:pt>
                <c:pt idx="20">
                  <c:v>-9.0920535052031459E-2</c:v>
                </c:pt>
                <c:pt idx="21">
                  <c:v>-9.6170467041550411E-2</c:v>
                </c:pt>
                <c:pt idx="22">
                  <c:v>-0.10123051481985645</c:v>
                </c:pt>
                <c:pt idx="23">
                  <c:v>-0.10598521145122031</c:v>
                </c:pt>
                <c:pt idx="24">
                  <c:v>-0.11036317006697871</c:v>
                </c:pt>
                <c:pt idx="25">
                  <c:v>-0.11431062123870372</c:v>
                </c:pt>
                <c:pt idx="26">
                  <c:v>-0.11780651461284508</c:v>
                </c:pt>
                <c:pt idx="27">
                  <c:v>-0.12058728658038498</c:v>
                </c:pt>
                <c:pt idx="28">
                  <c:v>-0.12266125901683023</c:v>
                </c:pt>
                <c:pt idx="29">
                  <c:v>-0.12407672795940416</c:v>
                </c:pt>
                <c:pt idx="30">
                  <c:v>-0.12485852398129438</c:v>
                </c:pt>
                <c:pt idx="31">
                  <c:v>-0.12495964018220285</c:v>
                </c:pt>
                <c:pt idx="32">
                  <c:v>-0.12430546764100103</c:v>
                </c:pt>
                <c:pt idx="33">
                  <c:v>-0.12287806392966816</c:v>
                </c:pt>
                <c:pt idx="34">
                  <c:v>-0.12067955790104334</c:v>
                </c:pt>
                <c:pt idx="35">
                  <c:v>-0.11773900832610573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Données!$B$266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Données!$C$264:$AL$264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Données!$C$266:$AL$266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1.8376989598241078E-3</c:v>
                </c:pt>
                <c:pt idx="7">
                  <c:v>-9.0031154231881017E-3</c:v>
                </c:pt>
                <c:pt idx="8">
                  <c:v>-2.4068882951359338E-2</c:v>
                </c:pt>
                <c:pt idx="9">
                  <c:v>-4.0382051760041171E-2</c:v>
                </c:pt>
                <c:pt idx="10">
                  <c:v>-5.5708534453971059E-2</c:v>
                </c:pt>
                <c:pt idx="11">
                  <c:v>-6.6592635153217228E-2</c:v>
                </c:pt>
                <c:pt idx="12">
                  <c:v>-7.3834480671880254E-2</c:v>
                </c:pt>
                <c:pt idx="13">
                  <c:v>-7.8249807619783285E-2</c:v>
                </c:pt>
                <c:pt idx="14">
                  <c:v>-8.0444656994947406E-2</c:v>
                </c:pt>
                <c:pt idx="15">
                  <c:v>-8.08632571791289E-2</c:v>
                </c:pt>
                <c:pt idx="16">
                  <c:v>-8.2283830804607438E-2</c:v>
                </c:pt>
                <c:pt idx="17">
                  <c:v>-8.4764430000761948E-2</c:v>
                </c:pt>
                <c:pt idx="18">
                  <c:v>-8.8090048711855551E-2</c:v>
                </c:pt>
                <c:pt idx="19">
                  <c:v>-9.1939851328947442E-2</c:v>
                </c:pt>
                <c:pt idx="20">
                  <c:v>-9.5959228275119157E-2</c:v>
                </c:pt>
                <c:pt idx="21">
                  <c:v>-9.9788885053574083E-2</c:v>
                </c:pt>
                <c:pt idx="22">
                  <c:v>-0.10313216130738967</c:v>
                </c:pt>
                <c:pt idx="23">
                  <c:v>-0.10579825025998568</c:v>
                </c:pt>
                <c:pt idx="24">
                  <c:v>-0.10764849925395359</c:v>
                </c:pt>
                <c:pt idx="25">
                  <c:v>-0.10857314681707741</c:v>
                </c:pt>
                <c:pt idx="26">
                  <c:v>-0.1083805503729337</c:v>
                </c:pt>
                <c:pt idx="27">
                  <c:v>-0.106931598669879</c:v>
                </c:pt>
                <c:pt idx="28">
                  <c:v>-0.10419915262190582</c:v>
                </c:pt>
                <c:pt idx="29">
                  <c:v>-0.10019053536296485</c:v>
                </c:pt>
                <c:pt idx="30">
                  <c:v>-9.4881312290852504E-2</c:v>
                </c:pt>
                <c:pt idx="31">
                  <c:v>-8.8167091333682945E-2</c:v>
                </c:pt>
                <c:pt idx="32">
                  <c:v>-7.9899644192138908E-2</c:v>
                </c:pt>
                <c:pt idx="33">
                  <c:v>-6.9951376927156472E-2</c:v>
                </c:pt>
                <c:pt idx="34">
                  <c:v>-5.8166004220207235E-2</c:v>
                </c:pt>
                <c:pt idx="35">
                  <c:v>-4.4331697515493595E-2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Données!$B$267</c:f>
              <c:strCache>
                <c:ptCount val="1"/>
                <c:pt idx="0">
                  <c:v>Industrie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Données!$C$264:$AL$264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Données!$C$267:$AL$267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6.8319335693800554E-4</c:v>
                </c:pt>
                <c:pt idx="7">
                  <c:v>-4.7135535880976631E-3</c:v>
                </c:pt>
                <c:pt idx="8">
                  <c:v>-1.2903164492879093E-2</c:v>
                </c:pt>
                <c:pt idx="9">
                  <c:v>-2.3297505811530561E-2</c:v>
                </c:pt>
                <c:pt idx="10">
                  <c:v>-3.2852756636468472E-2</c:v>
                </c:pt>
                <c:pt idx="11">
                  <c:v>-4.0301487200791963E-2</c:v>
                </c:pt>
                <c:pt idx="12">
                  <c:v>-4.6051900319031946E-2</c:v>
                </c:pt>
                <c:pt idx="13">
                  <c:v>-5.0434848827104806E-2</c:v>
                </c:pt>
                <c:pt idx="14">
                  <c:v>-5.378362124555669E-2</c:v>
                </c:pt>
                <c:pt idx="15">
                  <c:v>-5.6270943978060539E-2</c:v>
                </c:pt>
                <c:pt idx="16">
                  <c:v>-5.8424297841959794E-2</c:v>
                </c:pt>
                <c:pt idx="17">
                  <c:v>-6.1228288606498538E-2</c:v>
                </c:pt>
                <c:pt idx="18">
                  <c:v>-6.4665653658897759E-2</c:v>
                </c:pt>
                <c:pt idx="19">
                  <c:v>-6.8553990762778683E-2</c:v>
                </c:pt>
                <c:pt idx="20">
                  <c:v>-7.2674424409866045E-2</c:v>
                </c:pt>
                <c:pt idx="21">
                  <c:v>-7.6820515297660763E-2</c:v>
                </c:pt>
                <c:pt idx="22">
                  <c:v>-8.0828907080660706E-2</c:v>
                </c:pt>
                <c:pt idx="23">
                  <c:v>-8.4594307652971601E-2</c:v>
                </c:pt>
                <c:pt idx="24">
                  <c:v>-8.8050673626360876E-2</c:v>
                </c:pt>
                <c:pt idx="25">
                  <c:v>-9.1156319407762698E-2</c:v>
                </c:pt>
                <c:pt idx="26">
                  <c:v>-9.4086339724188117E-2</c:v>
                </c:pt>
                <c:pt idx="27">
                  <c:v>-9.6618003351208293E-2</c:v>
                </c:pt>
                <c:pt idx="28">
                  <c:v>-9.8735180185771543E-2</c:v>
                </c:pt>
                <c:pt idx="29">
                  <c:v>-0.1004579576142709</c:v>
                </c:pt>
                <c:pt idx="30">
                  <c:v>-0.10179786133607427</c:v>
                </c:pt>
                <c:pt idx="31">
                  <c:v>-0.10274933660365693</c:v>
                </c:pt>
                <c:pt idx="32">
                  <c:v>-0.10330085184126847</c:v>
                </c:pt>
                <c:pt idx="33">
                  <c:v>-0.1034563619989709</c:v>
                </c:pt>
                <c:pt idx="34">
                  <c:v>-0.10324090684501819</c:v>
                </c:pt>
                <c:pt idx="35">
                  <c:v>-0.10273220144508821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Données!$B$269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Données!$C$264:$AL$264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Données!$C$269:$AL$269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3.2768881346334489E-4</c:v>
                </c:pt>
                <c:pt idx="7">
                  <c:v>-3.0536755544202654E-3</c:v>
                </c:pt>
                <c:pt idx="8">
                  <c:v>-8.0503559190689966E-3</c:v>
                </c:pt>
                <c:pt idx="9">
                  <c:v>-1.4140407193296567E-2</c:v>
                </c:pt>
                <c:pt idx="10">
                  <c:v>-1.9315867919008411E-2</c:v>
                </c:pt>
                <c:pt idx="11">
                  <c:v>-2.3194074402142828E-2</c:v>
                </c:pt>
                <c:pt idx="12">
                  <c:v>-2.584166317693759E-2</c:v>
                </c:pt>
                <c:pt idx="13">
                  <c:v>-2.7580529195094128E-2</c:v>
                </c:pt>
                <c:pt idx="14">
                  <c:v>-2.8671807763686386E-2</c:v>
                </c:pt>
                <c:pt idx="15">
                  <c:v>-2.9232432599897162E-2</c:v>
                </c:pt>
                <c:pt idx="16">
                  <c:v>-2.9838722473861434E-2</c:v>
                </c:pt>
                <c:pt idx="17">
                  <c:v>-3.0591501427953194E-2</c:v>
                </c:pt>
                <c:pt idx="18">
                  <c:v>-3.1473285317110133E-2</c:v>
                </c:pt>
                <c:pt idx="19">
                  <c:v>-3.2414469811595792E-2</c:v>
                </c:pt>
                <c:pt idx="20">
                  <c:v>-3.3343361991730269E-2</c:v>
                </c:pt>
                <c:pt idx="21">
                  <c:v>-3.4216421066551317E-2</c:v>
                </c:pt>
                <c:pt idx="22">
                  <c:v>-3.4995990029645152E-2</c:v>
                </c:pt>
                <c:pt idx="23">
                  <c:v>-3.5623334669481976E-2</c:v>
                </c:pt>
                <c:pt idx="24">
                  <c:v>-3.6046001703364361E-2</c:v>
                </c:pt>
                <c:pt idx="25">
                  <c:v>-3.6222054709463936E-2</c:v>
                </c:pt>
                <c:pt idx="26">
                  <c:v>-3.6187792730509871E-2</c:v>
                </c:pt>
                <c:pt idx="27">
                  <c:v>-3.5986550821734076E-2</c:v>
                </c:pt>
                <c:pt idx="28">
                  <c:v>-3.5562136973442904E-2</c:v>
                </c:pt>
                <c:pt idx="29">
                  <c:v>-3.4847867994422299E-2</c:v>
                </c:pt>
                <c:pt idx="30">
                  <c:v>-3.3771264474870888E-2</c:v>
                </c:pt>
                <c:pt idx="31">
                  <c:v>-3.2281871471629642E-2</c:v>
                </c:pt>
                <c:pt idx="32">
                  <c:v>-3.0316531118970702E-2</c:v>
                </c:pt>
                <c:pt idx="33">
                  <c:v>-2.7740247200358725E-2</c:v>
                </c:pt>
                <c:pt idx="34">
                  <c:v>-2.4366463467079269E-2</c:v>
                </c:pt>
                <c:pt idx="35">
                  <c:v>-1.9932481125377821E-2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Données!$B$268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Données!$C$264:$AL$264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Données!$C$268:$AL$268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5.0745391543172147E-4</c:v>
                </c:pt>
                <c:pt idx="7">
                  <c:v>-8.9519038890332192E-3</c:v>
                </c:pt>
                <c:pt idx="8">
                  <c:v>-2.2525559034508591E-2</c:v>
                </c:pt>
                <c:pt idx="9">
                  <c:v>-3.8226058027937881E-2</c:v>
                </c:pt>
                <c:pt idx="10">
                  <c:v>-5.3988442784384416E-2</c:v>
                </c:pt>
                <c:pt idx="11">
                  <c:v>-6.6726704147556881E-2</c:v>
                </c:pt>
                <c:pt idx="12">
                  <c:v>-7.6940833234047545E-2</c:v>
                </c:pt>
                <c:pt idx="13">
                  <c:v>-8.5042830169862915E-2</c:v>
                </c:pt>
                <c:pt idx="14">
                  <c:v>-9.1334509033557776E-2</c:v>
                </c:pt>
                <c:pt idx="15">
                  <c:v>-9.6063062733368287E-2</c:v>
                </c:pt>
                <c:pt idx="16">
                  <c:v>-0.10117575620040742</c:v>
                </c:pt>
                <c:pt idx="17">
                  <c:v>-0.10693430141659566</c:v>
                </c:pt>
                <c:pt idx="18">
                  <c:v>-0.11339046701401267</c:v>
                </c:pt>
                <c:pt idx="19">
                  <c:v>-0.12043996324831396</c:v>
                </c:pt>
                <c:pt idx="20">
                  <c:v>-0.12785627874527106</c:v>
                </c:pt>
                <c:pt idx="21">
                  <c:v>-0.13532253422889517</c:v>
                </c:pt>
                <c:pt idx="22">
                  <c:v>-0.14255757265178404</c:v>
                </c:pt>
                <c:pt idx="23">
                  <c:v>-0.14940548470112247</c:v>
                </c:pt>
                <c:pt idx="24">
                  <c:v>-0.15576539306970805</c:v>
                </c:pt>
                <c:pt idx="25">
                  <c:v>-0.16155818994032312</c:v>
                </c:pt>
                <c:pt idx="26">
                  <c:v>-0.16656596600838114</c:v>
                </c:pt>
                <c:pt idx="27">
                  <c:v>-0.17058395387873315</c:v>
                </c:pt>
                <c:pt idx="28">
                  <c:v>-0.17365750768713706</c:v>
                </c:pt>
                <c:pt idx="29">
                  <c:v>-0.17586949842970179</c:v>
                </c:pt>
                <c:pt idx="30">
                  <c:v>-0.17726642619947242</c:v>
                </c:pt>
                <c:pt idx="31">
                  <c:v>-0.17779319609070465</c:v>
                </c:pt>
                <c:pt idx="32">
                  <c:v>-0.1773618480601048</c:v>
                </c:pt>
                <c:pt idx="33">
                  <c:v>-0.17597269573476204</c:v>
                </c:pt>
                <c:pt idx="34">
                  <c:v>-0.17365999912942787</c:v>
                </c:pt>
                <c:pt idx="35">
                  <c:v>-0.17050230193400051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Données!$B$270</c:f>
              <c:strCache>
                <c:ptCount val="1"/>
                <c:pt idx="0">
                  <c:v>Ménages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Données!$C$264:$AL$264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Données!$C$270:$AL$270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3.7477566138099938E-4</c:v>
                </c:pt>
                <c:pt idx="7">
                  <c:v>-3.2251879030165131E-4</c:v>
                </c:pt>
                <c:pt idx="8">
                  <c:v>-1.4743742554015338E-3</c:v>
                </c:pt>
                <c:pt idx="9">
                  <c:v>-5.2948727626391801E-3</c:v>
                </c:pt>
                <c:pt idx="10">
                  <c:v>-1.2325773707631771E-2</c:v>
                </c:pt>
                <c:pt idx="11">
                  <c:v>-2.1092266139068339E-2</c:v>
                </c:pt>
                <c:pt idx="12">
                  <c:v>-3.0285200160171555E-2</c:v>
                </c:pt>
                <c:pt idx="13">
                  <c:v>-3.8555891173029933E-2</c:v>
                </c:pt>
                <c:pt idx="14">
                  <c:v>-4.527933131018913E-2</c:v>
                </c:pt>
                <c:pt idx="15">
                  <c:v>-5.0380815980819005E-2</c:v>
                </c:pt>
                <c:pt idx="16">
                  <c:v>-5.443982726519947E-2</c:v>
                </c:pt>
                <c:pt idx="17">
                  <c:v>-5.7685070471981237E-2</c:v>
                </c:pt>
                <c:pt idx="18">
                  <c:v>-6.0444111232853648E-2</c:v>
                </c:pt>
                <c:pt idx="19">
                  <c:v>-6.2882761971160606E-2</c:v>
                </c:pt>
                <c:pt idx="20">
                  <c:v>-6.5055278702323416E-2</c:v>
                </c:pt>
                <c:pt idx="21">
                  <c:v>-6.6909261538974363E-2</c:v>
                </c:pt>
                <c:pt idx="22">
                  <c:v>-6.8389716015060054E-2</c:v>
                </c:pt>
                <c:pt idx="23">
                  <c:v>-6.9537688342594661E-2</c:v>
                </c:pt>
                <c:pt idx="24">
                  <c:v>-7.0371559822860585E-2</c:v>
                </c:pt>
                <c:pt idx="25">
                  <c:v>-7.0896347350340227E-2</c:v>
                </c:pt>
                <c:pt idx="26">
                  <c:v>-7.1000851785092411E-2</c:v>
                </c:pt>
                <c:pt idx="27">
                  <c:v>-7.0591832811095379E-2</c:v>
                </c:pt>
                <c:pt idx="28">
                  <c:v>-6.9754881998761675E-2</c:v>
                </c:pt>
                <c:pt idx="29">
                  <c:v>-6.8590113274476394E-2</c:v>
                </c:pt>
                <c:pt idx="30">
                  <c:v>-6.7165305617469917E-2</c:v>
                </c:pt>
                <c:pt idx="31">
                  <c:v>-6.5470049890047122E-2</c:v>
                </c:pt>
                <c:pt idx="32">
                  <c:v>-6.3472867570603664E-2</c:v>
                </c:pt>
                <c:pt idx="33">
                  <c:v>-6.1212995398984615E-2</c:v>
                </c:pt>
                <c:pt idx="34">
                  <c:v>-5.8755775870483085E-2</c:v>
                </c:pt>
                <c:pt idx="35">
                  <c:v>-5.6197802854474399E-2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Données!$B$271</c:f>
              <c:strCache>
                <c:ptCount val="1"/>
                <c:pt idx="0">
                  <c:v>Ménages (logement)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Données!$C$264:$AL$264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Données!$C$271:$AL$271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3.5262626173881984E-4</c:v>
                </c:pt>
                <c:pt idx="7">
                  <c:v>2.9317664091821349E-4</c:v>
                </c:pt>
                <c:pt idx="8">
                  <c:v>6.2681125825658768E-4</c:v>
                </c:pt>
                <c:pt idx="9">
                  <c:v>-1.5976081267898845E-3</c:v>
                </c:pt>
                <c:pt idx="10">
                  <c:v>-7.6473322565545621E-3</c:v>
                </c:pt>
                <c:pt idx="11">
                  <c:v>-1.6846894729785733E-2</c:v>
                </c:pt>
                <c:pt idx="12">
                  <c:v>-2.7788761262602213E-2</c:v>
                </c:pt>
                <c:pt idx="13">
                  <c:v>-3.8544438462499553E-2</c:v>
                </c:pt>
                <c:pt idx="14">
                  <c:v>-4.7980618418838383E-2</c:v>
                </c:pt>
                <c:pt idx="15">
                  <c:v>-5.5699267599692792E-2</c:v>
                </c:pt>
                <c:pt idx="16">
                  <c:v>-6.2238938885681327E-2</c:v>
                </c:pt>
                <c:pt idx="17">
                  <c:v>-6.7876391357572508E-2</c:v>
                </c:pt>
                <c:pt idx="18">
                  <c:v>-7.2957412705661806E-2</c:v>
                </c:pt>
                <c:pt idx="19">
                  <c:v>-7.7610791763580544E-2</c:v>
                </c:pt>
                <c:pt idx="20">
                  <c:v>-8.1855788787405626E-2</c:v>
                </c:pt>
                <c:pt idx="21">
                  <c:v>-8.5606977682635144E-2</c:v>
                </c:pt>
                <c:pt idx="22">
                  <c:v>-8.8790218566377366E-2</c:v>
                </c:pt>
                <c:pt idx="23">
                  <c:v>-9.1463274025099239E-2</c:v>
                </c:pt>
                <c:pt idx="24">
                  <c:v>-9.3646442343032099E-2</c:v>
                </c:pt>
                <c:pt idx="25">
                  <c:v>-9.5345835724404804E-2</c:v>
                </c:pt>
                <c:pt idx="26">
                  <c:v>-9.6453240604788659E-2</c:v>
                </c:pt>
                <c:pt idx="27">
                  <c:v>-9.6880050853534794E-2</c:v>
                </c:pt>
                <c:pt idx="28">
                  <c:v>-9.671917450860712E-2</c:v>
                </c:pt>
                <c:pt idx="29">
                  <c:v>-9.6079887252308982E-2</c:v>
                </c:pt>
                <c:pt idx="30">
                  <c:v>-9.5035833967998307E-2</c:v>
                </c:pt>
                <c:pt idx="31">
                  <c:v>-9.357846055781438E-2</c:v>
                </c:pt>
                <c:pt idx="32">
                  <c:v>-9.1674964024597072E-2</c:v>
                </c:pt>
                <c:pt idx="33">
                  <c:v>-8.9363622979701907E-2</c:v>
                </c:pt>
                <c:pt idx="34">
                  <c:v>-8.6718739522759325E-2</c:v>
                </c:pt>
                <c:pt idx="35">
                  <c:v>-8.3873610902438611E-2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Données!$B$272</c:f>
              <c:strCache>
                <c:ptCount val="1"/>
                <c:pt idx="0">
                  <c:v>Ménages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Données!$C$264:$AL$264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Données!$C$272:$AL$272</c:f>
              <c:numCache>
                <c:formatCode>0%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4.0103605041008628E-4</c:v>
                </c:pt>
                <c:pt idx="7">
                  <c:v>-1.053028568799963E-3</c:v>
                </c:pt>
                <c:pt idx="8">
                  <c:v>-3.9771188532532475E-3</c:v>
                </c:pt>
                <c:pt idx="9">
                  <c:v>-9.7325759142068424E-3</c:v>
                </c:pt>
                <c:pt idx="10">
                  <c:v>-1.800669576770686E-2</c:v>
                </c:pt>
                <c:pt idx="11">
                  <c:v>-2.6326339258803566E-2</c:v>
                </c:pt>
                <c:pt idx="12">
                  <c:v>-3.3419191938286574E-2</c:v>
                </c:pt>
                <c:pt idx="13">
                  <c:v>-3.857055987317104E-2</c:v>
                </c:pt>
                <c:pt idx="14">
                  <c:v>-4.1745754600719609E-2</c:v>
                </c:pt>
                <c:pt idx="15">
                  <c:v>-4.3273755758999721E-2</c:v>
                </c:pt>
                <c:pt idx="16">
                  <c:v>-4.3793466915269086E-2</c:v>
                </c:pt>
                <c:pt idx="17">
                  <c:v>-4.3480738735798163E-2</c:v>
                </c:pt>
                <c:pt idx="18">
                  <c:v>-4.2652945637291939E-2</c:v>
                </c:pt>
                <c:pt idx="19">
                  <c:v>-4.1548258992981979E-2</c:v>
                </c:pt>
                <c:pt idx="20">
                  <c:v>-4.0295999370968505E-2</c:v>
                </c:pt>
                <c:pt idx="21">
                  <c:v>-3.8919419391514554E-2</c:v>
                </c:pt>
                <c:pt idx="22">
                  <c:v>-3.7419865892158732E-2</c:v>
                </c:pt>
                <c:pt idx="23">
                  <c:v>-3.5838898332773317E-2</c:v>
                </c:pt>
                <c:pt idx="24">
                  <c:v>-3.4214609107905858E-2</c:v>
                </c:pt>
                <c:pt idx="25">
                  <c:v>-3.2569855306783912E-2</c:v>
                </c:pt>
                <c:pt idx="26">
                  <c:v>-3.0805275164064838E-2</c:v>
                </c:pt>
                <c:pt idx="27">
                  <c:v>-2.8834088982444439E-2</c:v>
                </c:pt>
                <c:pt idx="28">
                  <c:v>-2.6741051173986952E-2</c:v>
                </c:pt>
                <c:pt idx="29">
                  <c:v>-2.4619221319078122E-2</c:v>
                </c:pt>
                <c:pt idx="30">
                  <c:v>-2.253067400181008E-2</c:v>
                </c:pt>
                <c:pt idx="31">
                  <c:v>-2.0462108223627706E-2</c:v>
                </c:pt>
                <c:pt idx="32">
                  <c:v>-1.8381227398043265E-2</c:v>
                </c:pt>
                <c:pt idx="33">
                  <c:v>-1.6323324825458951E-2</c:v>
                </c:pt>
                <c:pt idx="34">
                  <c:v>-1.4331956835905935E-2</c:v>
                </c:pt>
                <c:pt idx="35">
                  <c:v>-1.2436861133189869E-2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aseline="0"/>
              <a:t>Valeur ajoutée sectorielle</a:t>
            </a:r>
          </a:p>
          <a:p>
            <a:pPr>
              <a:defRPr/>
            </a:pPr>
            <a:r>
              <a:rPr lang="fr-FR" sz="1800" i="0" baseline="0"/>
              <a:t>(% d'écart au tendanciel)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469120517936996"/>
          <c:w val="0.88919974947941849"/>
          <c:h val="0.67626132545788187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Données!$B$101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Données!$C$99:$E$99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Données!$C$101:$E$101</c:f>
              <c:numCache>
                <c:formatCode>0.0%</c:formatCode>
                <c:ptCount val="3"/>
                <c:pt idx="0">
                  <c:v>1.3470806992708383E-3</c:v>
                </c:pt>
                <c:pt idx="1">
                  <c:v>-8.326372540678386E-4</c:v>
                </c:pt>
                <c:pt idx="2">
                  <c:v>-8.950751139091424E-3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Données!$B$102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Données!$C$99:$E$99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Données!$C$102:$E$102</c:f>
              <c:numCache>
                <c:formatCode>0.0%</c:formatCode>
                <c:ptCount val="3"/>
                <c:pt idx="0">
                  <c:v>2.217481963273624E-2</c:v>
                </c:pt>
                <c:pt idx="1">
                  <c:v>2.7155231987557343E-2</c:v>
                </c:pt>
                <c:pt idx="2">
                  <c:v>3.0547668664704652E-2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Données!$B$103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Données!$C$99:$E$99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Données!$C$103:$E$103</c:f>
              <c:numCache>
                <c:formatCode>0.0%</c:formatCode>
                <c:ptCount val="3"/>
                <c:pt idx="0">
                  <c:v>-6.2103386411346155E-2</c:v>
                </c:pt>
                <c:pt idx="1">
                  <c:v>-0.193226917995799</c:v>
                </c:pt>
                <c:pt idx="2">
                  <c:v>-0.32306045717404136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4"/>
          <c:order val="4"/>
          <c:tx>
            <c:strRef>
              <c:f>Données!$B$104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Données!$C$99:$E$99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Données!$C$104:$E$104</c:f>
              <c:numCache>
                <c:formatCode>0.0%</c:formatCode>
                <c:ptCount val="3"/>
                <c:pt idx="0">
                  <c:v>9.6373225151010194E-3</c:v>
                </c:pt>
                <c:pt idx="1">
                  <c:v>2.3863094380893479E-3</c:v>
                </c:pt>
                <c:pt idx="2">
                  <c:v>-3.0412641967315461E-3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EF-431D-9A51-747E617C00CC}"/>
            </c:ext>
          </c:extLst>
        </c:ser>
        <c:ser>
          <c:idx val="5"/>
          <c:order val="5"/>
          <c:tx>
            <c:strRef>
              <c:f>Données!$B$105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Données!$C$99:$E$99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Données!$C$105:$E$105</c:f>
              <c:numCache>
                <c:formatCode>0.0%</c:formatCode>
                <c:ptCount val="3"/>
                <c:pt idx="0">
                  <c:v>-0.27091237333776719</c:v>
                </c:pt>
                <c:pt idx="1">
                  <c:v>-0.3205244971955889</c:v>
                </c:pt>
                <c:pt idx="2">
                  <c:v>0.32233594955920281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strRef>
              <c:f>Données!$B$106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Données!$C$99:$E$99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Données!$C$106:$E$106</c:f>
              <c:numCache>
                <c:formatCode>0.0%</c:formatCode>
                <c:ptCount val="3"/>
                <c:pt idx="0">
                  <c:v>8.3803086525131819E-3</c:v>
                </c:pt>
                <c:pt idx="1">
                  <c:v>9.8424526581960946E-3</c:v>
                </c:pt>
                <c:pt idx="2">
                  <c:v>8.1688365634315242E-3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ser>
          <c:idx val="7"/>
          <c:order val="7"/>
          <c:tx>
            <c:strRef>
              <c:f>Données!$B$107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Données!$C$99:$E$99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8.8952187841669899E-3</c:v>
                </c:pt>
                <c:pt idx="1">
                  <c:v>9.6161303024525236E-3</c:v>
                </c:pt>
                <c:pt idx="2">
                  <c:v>2.691439614352667E-2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4-4294-8BCA-AB4920EEC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Données!$B$100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25400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Données!$C$99:$E$99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Données!$C$100:$E$100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8.192050096000365E-3</c:v>
                      </c:pt>
                      <c:pt idx="1">
                        <c:v>7.6829706595320062E-3</c:v>
                      </c:pt>
                      <c:pt idx="2">
                        <c:v>6.2801088559510275E-3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 baseline="0"/>
              <a:t>Valeur ajoutée sectorielle</a:t>
            </a:r>
          </a:p>
          <a:p>
            <a:pPr>
              <a:defRPr/>
            </a:pPr>
            <a:r>
              <a:rPr lang="fr-FR" sz="1800" i="0" baseline="0"/>
              <a:t>(contributions à l'écart en %)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5678679337219906"/>
          <c:w val="0.88919974947941849"/>
          <c:h val="0.64482750256544541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Données!$B$111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Données!$C$109:$E$109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2.2725266617990991E-5</c:v>
                </c:pt>
                <c:pt idx="1">
                  <c:v>-1.4146634555703557E-5</c:v>
                </c:pt>
                <c:pt idx="2">
                  <c:v>-1.5468589351807612E-4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0-47FE-9AA2-B7A42F957044}"/>
            </c:ext>
          </c:extLst>
        </c:ser>
        <c:ser>
          <c:idx val="2"/>
          <c:order val="2"/>
          <c:tx>
            <c:strRef>
              <c:f>Données!$B$112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Données!$C$109:$E$109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Données!$C$112:$E$112</c:f>
              <c:numCache>
                <c:formatCode>0.0%</c:formatCode>
                <c:ptCount val="3"/>
                <c:pt idx="0">
                  <c:v>1.3321766175545457E-3</c:v>
                </c:pt>
                <c:pt idx="1">
                  <c:v>1.6310829222265966E-3</c:v>
                </c:pt>
                <c:pt idx="2">
                  <c:v>1.8393163543890193E-3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B0-47FE-9AA2-B7A42F957044}"/>
            </c:ext>
          </c:extLst>
        </c:ser>
        <c:ser>
          <c:idx val="3"/>
          <c:order val="3"/>
          <c:tx>
            <c:strRef>
              <c:f>Données!$B$113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Données!$C$109:$E$109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Données!$C$113:$E$113</c:f>
              <c:numCache>
                <c:formatCode>0.0%</c:formatCode>
                <c:ptCount val="3"/>
                <c:pt idx="0">
                  <c:v>-4.5858638886481061E-4</c:v>
                </c:pt>
                <c:pt idx="1">
                  <c:v>-1.5060461910113303E-3</c:v>
                </c:pt>
                <c:pt idx="2">
                  <c:v>-2.4956920844977971E-3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B0-47FE-9AA2-B7A42F957044}"/>
            </c:ext>
          </c:extLst>
        </c:ser>
        <c:ser>
          <c:idx val="4"/>
          <c:order val="4"/>
          <c:tx>
            <c:strRef>
              <c:f>Données!$B$114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Données!$C$109:$E$109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1.0966978504518693E-3</c:v>
                </c:pt>
                <c:pt idx="1">
                  <c:v>2.7443627222522047E-4</c:v>
                </c:pt>
                <c:pt idx="2">
                  <c:v>-3.654411207619473E-4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0BB0-47FE-9AA2-B7A42F957044}"/>
            </c:ext>
          </c:extLst>
        </c:ser>
        <c:ser>
          <c:idx val="5"/>
          <c:order val="5"/>
          <c:tx>
            <c:strRef>
              <c:f>Données!$B$115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Données!$C$109:$E$109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Données!$C$115:$E$115</c:f>
              <c:numCache>
                <c:formatCode>0.0%</c:formatCode>
                <c:ptCount val="3"/>
                <c:pt idx="0">
                  <c:v>-5.1770973221840894E-4</c:v>
                </c:pt>
                <c:pt idx="1">
                  <c:v>-5.5514554521093255E-4</c:v>
                </c:pt>
                <c:pt idx="2">
                  <c:v>5.1440422159050288E-4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B0-47FE-9AA2-B7A42F957044}"/>
            </c:ext>
          </c:extLst>
        </c:ser>
        <c:ser>
          <c:idx val="6"/>
          <c:order val="6"/>
          <c:tx>
            <c:strRef>
              <c:f>Données!$B$116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Données!$C$109:$E$109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Données!$C$116:$E$116</c:f>
              <c:numCache>
                <c:formatCode>0.0%</c:formatCode>
                <c:ptCount val="3"/>
                <c:pt idx="0">
                  <c:v>6.4952701078865539E-3</c:v>
                </c:pt>
                <c:pt idx="1">
                  <c:v>7.6164371433194702E-3</c:v>
                </c:pt>
                <c:pt idx="2">
                  <c:v>6.2758396637316418E-3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B0-47FE-9AA2-B7A42F957044}"/>
            </c:ext>
          </c:extLst>
        </c:ser>
        <c:ser>
          <c:idx val="7"/>
          <c:order val="7"/>
          <c:tx>
            <c:strRef>
              <c:f>Données!$B$117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Données!$C$109:$E$109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2.2147644156508118E-4</c:v>
                </c:pt>
                <c:pt idx="1">
                  <c:v>2.3635261317989093E-4</c:v>
                </c:pt>
                <c:pt idx="2">
                  <c:v>6.6636770398801931E-4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Données!$B$110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Données!$C$109:$E$109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8.192050096000365E-3</c:v>
                </c:pt>
                <c:pt idx="1">
                  <c:v>7.6829706595320062E-3</c:v>
                </c:pt>
                <c:pt idx="2">
                  <c:v>6.2801088559510275E-3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0BB0-47FE-9AA2-B7A42F9570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5400816247630916"/>
          <c:y val="0.87424292751360444"/>
          <c:w val="0.6947173802581903"/>
          <c:h val="0.1131835433294210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Valeur</a:t>
            </a:r>
            <a:r>
              <a:rPr lang="fr-FR" sz="2400" baseline="0"/>
              <a:t> ajoutée sectorielle</a:t>
            </a:r>
          </a:p>
          <a:p>
            <a:pPr>
              <a:defRPr/>
            </a:pPr>
            <a:r>
              <a:rPr lang="fr-FR" sz="1800" baseline="0"/>
              <a:t>(écart au tendanciel en % de l'économie)</a:t>
            </a:r>
            <a:endParaRPr lang="fr-FR"/>
          </a:p>
        </c:rich>
      </c:tx>
      <c:layout>
        <c:manualLayout>
          <c:xMode val="edge"/>
          <c:yMode val="edge"/>
          <c:x val="0.30247765977521579"/>
          <c:y val="2.29601500873948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1268310946183582"/>
          <c:y val="0.1620204274663877"/>
          <c:w val="0.8723044830036335"/>
          <c:h val="0.684057487482444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Données!$B$120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Données!$C$119:$E$119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-1.1453642295267477E-4</c:v>
                </c:pt>
                <c:pt idx="1">
                  <c:v>-1.4357837510173277E-4</c:v>
                </c:pt>
                <c:pt idx="2">
                  <c:v>-2.6157532030452596E-4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Données!$B$121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Données!$C$119:$E$119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8.3320456694101902E-4</c:v>
                </c:pt>
                <c:pt idx="1">
                  <c:v>1.1606866609343638E-3</c:v>
                </c:pt>
                <c:pt idx="2">
                  <c:v>1.4520634088900294E-3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Données!$B$122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Données!$C$119:$E$119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-5.148606986233855E-4</c:v>
                </c:pt>
                <c:pt idx="1">
                  <c:v>-1.5539894243724517E-3</c:v>
                </c:pt>
                <c:pt idx="2">
                  <c:v>-2.5283287188302365E-3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Données!$B$123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Données!$C$119:$E$119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Données!$C$123:$E$123</c:f>
              <c:numCache>
                <c:formatCode>0.0%</c:formatCode>
                <c:ptCount val="3"/>
                <c:pt idx="0">
                  <c:v>1.6313120551697535E-4</c:v>
                </c:pt>
                <c:pt idx="1">
                  <c:v>-6.0449544029472779E-4</c:v>
                </c:pt>
                <c:pt idx="2">
                  <c:v>-1.1130745839794398E-3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Données!$B$124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Données!$C$119:$E$119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Données!$C$124:$E$124</c:f>
              <c:numCache>
                <c:formatCode>0.0%</c:formatCode>
                <c:ptCount val="3"/>
                <c:pt idx="0">
                  <c:v>-5.2903077800880104E-4</c:v>
                </c:pt>
                <c:pt idx="1">
                  <c:v>-5.6411827709399094E-4</c:v>
                </c:pt>
                <c:pt idx="2">
                  <c:v>5.0123421875933956E-4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Données!$B$125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Données!$C$119:$E$119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Données!$C$125:$E$125</c:f>
              <c:numCache>
                <c:formatCode>0.0%</c:formatCode>
                <c:ptCount val="3"/>
                <c:pt idx="0">
                  <c:v>1.4472669932241722E-4</c:v>
                </c:pt>
                <c:pt idx="1">
                  <c:v>1.6583423689355836E-3</c:v>
                </c:pt>
                <c:pt idx="2">
                  <c:v>1.4419894929332822E-3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ser>
          <c:idx val="6"/>
          <c:order val="6"/>
          <c:tx>
            <c:strRef>
              <c:f>Données!$B$126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Données!$C$119:$E$119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Données!$C$126:$E$126</c:f>
              <c:numCache>
                <c:formatCode>0.0%</c:formatCode>
                <c:ptCount val="3"/>
                <c:pt idx="0">
                  <c:v>1.736549461880954E-5</c:v>
                </c:pt>
                <c:pt idx="1">
                  <c:v>4.7152407269032692E-5</c:v>
                </c:pt>
                <c:pt idx="2">
                  <c:v>5.0769149137402242E-4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37-4945-8C79-01199D2AD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  <c:majorUnit val="1.0000000000000002E-3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/>
            </a:pPr>
            <a:r>
              <a:rPr lang="fr-FR" sz="1800" baseline="0"/>
              <a:t>(% d'écart au tendanciel)</a:t>
            </a:r>
            <a:endParaRPr lang="fr-FR"/>
          </a:p>
        </c:rich>
      </c:tx>
      <c:layout>
        <c:manualLayout>
          <c:xMode val="edge"/>
          <c:yMode val="edge"/>
          <c:x val="0.33272800300307576"/>
          <c:y val="1.88622763384542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7305998269885345"/>
          <c:w val="0.88919974947941849"/>
          <c:h val="0.62664904647315034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Données!$B$152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Données!$C$150:$E$150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-5.3133101517936331E-3</c:v>
                </c:pt>
                <c:pt idx="1">
                  <c:v>-9.3730165730102413E-3</c:v>
                </c:pt>
                <c:pt idx="2">
                  <c:v>-1.2569743019463253E-2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Données!$B$153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Données!$C$150:$E$150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2.179793552980103E-2</c:v>
                </c:pt>
                <c:pt idx="1">
                  <c:v>2.6252951616493696E-2</c:v>
                </c:pt>
                <c:pt idx="2">
                  <c:v>2.9975591102037014E-2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Données!$C$150:$E$150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Données!$C$154:$E$154</c:f>
              <c:numCache>
                <c:formatCode>0.0%</c:formatCode>
                <c:ptCount val="3"/>
                <c:pt idx="0">
                  <c:v>7.5687616478677139E-2</c:v>
                </c:pt>
                <c:pt idx="1">
                  <c:v>0.10491191239145665</c:v>
                </c:pt>
                <c:pt idx="2">
                  <c:v>0.14770630605634241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Données!$B$155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Données!$C$150:$E$150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Données!$C$155:$E$155</c:f>
              <c:numCache>
                <c:formatCode>0.0%</c:formatCode>
                <c:ptCount val="3"/>
                <c:pt idx="0">
                  <c:v>3.576029996019693E-3</c:v>
                </c:pt>
                <c:pt idx="1">
                  <c:v>-7.2826090497665665E-3</c:v>
                </c:pt>
                <c:pt idx="2">
                  <c:v>-1.3582522862571061E-2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7"/>
          <c:order val="5"/>
          <c:tx>
            <c:strRef>
              <c:f>Données!$B$156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Données!$C$150:$E$150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-0.14337996602339495</c:v>
                </c:pt>
                <c:pt idx="1">
                  <c:v>-0.21260311904103929</c:v>
                </c:pt>
                <c:pt idx="2">
                  <c:v>-0.2226509292556538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6"/>
          <c:tx>
            <c:strRef>
              <c:f>Données!$B$157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Données!$C$150:$E$150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7.4117938918711584E-3</c:v>
                </c:pt>
                <c:pt idx="1">
                  <c:v>8.0684376548045642E-3</c:v>
                </c:pt>
                <c:pt idx="2">
                  <c:v>6.0984297360388859E-3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ser>
          <c:idx val="5"/>
          <c:order val="7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Données!$C$150:$E$150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1.78581397664947E-2</c:v>
                </c:pt>
                <c:pt idx="1">
                  <c:v>2.4557286267481812E-2</c:v>
                </c:pt>
                <c:pt idx="2">
                  <c:v>5.3191030387226369E-2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3-402B-99FF-FCD4904E3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Données!$B$151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solidFill>
                    <a:schemeClr val="bg1"/>
                  </a:solidFill>
                  <a:ln w="15875">
                    <a:solidFill>
                      <a:schemeClr val="tx1"/>
                    </a:solidFill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Données!$C$150:$E$150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Données!$C$151:$E$151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6.2177678488603777E-3</c:v>
                      </c:pt>
                      <c:pt idx="1">
                        <c:v>4.9540568922531256E-3</c:v>
                      </c:pt>
                      <c:pt idx="2">
                        <c:v>4.1683014924159606E-3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CA2D-4067-BD64-AD80378C548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4.7265608894168178E-2"/>
          <c:y val="0.90410587034305578"/>
          <c:w val="0.89999992464320977"/>
          <c:h val="5.8169576980035692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Production sectorielle</a:t>
            </a:r>
          </a:p>
          <a:p>
            <a:pPr>
              <a:defRPr/>
            </a:pPr>
            <a:r>
              <a:rPr lang="fr-FR" sz="1800" baseline="0"/>
              <a:t>(contributions à l'écart en %)</a:t>
            </a:r>
            <a:endParaRPr lang="fr-FR"/>
          </a:p>
        </c:rich>
      </c:tx>
      <c:layout>
        <c:manualLayout>
          <c:xMode val="edge"/>
          <c:yMode val="edge"/>
          <c:x val="0.33272800300307576"/>
          <c:y val="1.88622763384542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3571602891676875E-2"/>
          <c:y val="0.17305998269885345"/>
          <c:w val="0.88919974947941849"/>
          <c:h val="0.59102030227829239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Données!$B$162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Données!$C$160:$E$160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Données!$C$162:$E$162</c:f>
              <c:numCache>
                <c:formatCode>0.0%</c:formatCode>
                <c:ptCount val="3"/>
                <c:pt idx="0">
                  <c:v>-1.1271291428132063E-4</c:v>
                </c:pt>
                <c:pt idx="1">
                  <c:v>-1.9999962482951532E-4</c:v>
                </c:pt>
                <c:pt idx="2">
                  <c:v>-2.721148274572098E-4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E-4871-A0C0-CDCBAB32DBE7}"/>
            </c:ext>
          </c:extLst>
        </c:ser>
        <c:ser>
          <c:idx val="2"/>
          <c:order val="2"/>
          <c:tx>
            <c:strRef>
              <c:f>Données!$B$163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Données!$C$160:$E$160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Données!$C$163:$E$163</c:f>
              <c:numCache>
                <c:formatCode>0.0%</c:formatCode>
                <c:ptCount val="3"/>
                <c:pt idx="0">
                  <c:v>1.6715524387447794E-3</c:v>
                </c:pt>
                <c:pt idx="1">
                  <c:v>2.0145698580373217E-3</c:v>
                </c:pt>
                <c:pt idx="2">
                  <c:v>2.2926480874093961E-3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E-4871-A0C0-CDCBAB32DBE7}"/>
            </c:ext>
          </c:extLst>
        </c:ser>
        <c:ser>
          <c:idx val="3"/>
          <c:order val="3"/>
          <c:tx>
            <c:strRef>
              <c:f>Données!$B$164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Données!$C$160:$E$160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Données!$C$164:$E$164</c:f>
              <c:numCache>
                <c:formatCode>0.0%</c:formatCode>
                <c:ptCount val="3"/>
                <c:pt idx="0">
                  <c:v>9.0922050774758256E-4</c:v>
                </c:pt>
                <c:pt idx="1">
                  <c:v>1.315286765418036E-3</c:v>
                </c:pt>
                <c:pt idx="2">
                  <c:v>1.8141868281495704E-3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E-4871-A0C0-CDCBAB32DBE7}"/>
            </c:ext>
          </c:extLst>
        </c:ser>
        <c:ser>
          <c:idx val="4"/>
          <c:order val="4"/>
          <c:tx>
            <c:strRef>
              <c:f>Données!$B$165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Données!$C$160:$E$160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Données!$C$165:$E$165</c:f>
              <c:numCache>
                <c:formatCode>0.0%</c:formatCode>
                <c:ptCount val="3"/>
                <c:pt idx="0">
                  <c:v>6.4363402316588612E-4</c:v>
                </c:pt>
                <c:pt idx="1">
                  <c:v>-1.323801248016613E-3</c:v>
                </c:pt>
                <c:pt idx="2">
                  <c:v>-2.5684160511272548E-3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E-4871-A0C0-CDCBAB32DBE7}"/>
            </c:ext>
          </c:extLst>
        </c:ser>
        <c:ser>
          <c:idx val="7"/>
          <c:order val="5"/>
          <c:tx>
            <c:strRef>
              <c:f>Données!$B$166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Données!$C$160:$E$160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Données!$C$166:$E$166</c:f>
              <c:numCache>
                <c:formatCode>0.0%</c:formatCode>
                <c:ptCount val="3"/>
                <c:pt idx="0">
                  <c:v>-2.3468151844861203E-3</c:v>
                </c:pt>
                <c:pt idx="1">
                  <c:v>-2.937797946648185E-3</c:v>
                </c:pt>
                <c:pt idx="2">
                  <c:v>-2.7093736358629545E-3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E-4871-A0C0-CDCBAB32DBE7}"/>
            </c:ext>
          </c:extLst>
        </c:ser>
        <c:ser>
          <c:idx val="6"/>
          <c:order val="6"/>
          <c:tx>
            <c:strRef>
              <c:f>Données!$B$167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Données!$C$160:$E$160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Données!$C$167:$E$167</c:f>
              <c:numCache>
                <c:formatCode>0.0%</c:formatCode>
                <c:ptCount val="3"/>
                <c:pt idx="0">
                  <c:v>4.9211333965314824E-3</c:v>
                </c:pt>
                <c:pt idx="1">
                  <c:v>5.3590629036291111E-3</c:v>
                </c:pt>
                <c:pt idx="2">
                  <c:v>4.0145957133425718E-3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E-4871-A0C0-CDCBAB32DBE7}"/>
            </c:ext>
          </c:extLst>
        </c:ser>
        <c:ser>
          <c:idx val="5"/>
          <c:order val="7"/>
          <c:tx>
            <c:strRef>
              <c:f>Données!$B$168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Données!$C$160:$E$160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Données!$C$168:$E$168</c:f>
              <c:numCache>
                <c:formatCode>0.0%</c:formatCode>
                <c:ptCount val="3"/>
                <c:pt idx="0">
                  <c:v>5.3175536473681483E-4</c:v>
                </c:pt>
                <c:pt idx="1">
                  <c:v>7.2673638221778809E-4</c:v>
                </c:pt>
                <c:pt idx="2">
                  <c:v>1.5967754443516726E-3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Données!$B$161</c:f>
              <c:strCache>
                <c:ptCount val="1"/>
                <c:pt idx="0">
                  <c:v>Total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Données!$C$160:$E$160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6.2177678488603777E-3</c:v>
                </c:pt>
                <c:pt idx="1">
                  <c:v>4.9540568922531256E-3</c:v>
                </c:pt>
                <c:pt idx="2">
                  <c:v>4.1683014924159606E-3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A34E-4871-A0C0-CDCBAB32DB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066404511158891"/>
          <c:y val="0.85799808373794539"/>
          <c:w val="0.7071649128450278"/>
          <c:h val="0.11319544123699567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Production </a:t>
            </a:r>
            <a:r>
              <a:rPr lang="fr-FR" baseline="0"/>
              <a:t>sectorielle</a:t>
            </a:r>
          </a:p>
          <a:p>
            <a:pPr>
              <a:defRPr/>
            </a:pPr>
            <a:r>
              <a:rPr lang="fr-FR" sz="1800" baseline="0"/>
              <a:t>(écart au tendanciel de la part en %)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1940426989276671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038689909529092"/>
          <c:y val="0.16700270330876876"/>
          <c:w val="0.88457713027791363"/>
          <c:h val="0.657507131187615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Données!$B$171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Données!$C$170:$E$170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Données!$C$171:$E$171</c:f>
              <c:numCache>
                <c:formatCode>0.0%</c:formatCode>
                <c:ptCount val="3"/>
                <c:pt idx="0">
                  <c:v>-2.4310082877335853E-4</c:v>
                </c:pt>
                <c:pt idx="1">
                  <c:v>-3.042013073501354E-4</c:v>
                </c:pt>
                <c:pt idx="2">
                  <c:v>-3.146779873804198E-4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Données!$B$172</c:f>
              <c:strCache>
                <c:ptCount val="1"/>
                <c:pt idx="0">
                  <c:v>Construction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Données!$C$170:$E$170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Données!$C$172:$E$172</c:f>
              <c:numCache>
                <c:formatCode>0.0%</c:formatCode>
                <c:ptCount val="3"/>
                <c:pt idx="0">
                  <c:v>1.1873664880444335E-3</c:v>
                </c:pt>
                <c:pt idx="1">
                  <c:v>1.6263538899850549E-3</c:v>
                </c:pt>
                <c:pt idx="2">
                  <c:v>1.695273725449753E-3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Données!$B$173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Données!$C$170:$E$170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Données!$C$173:$E$173</c:f>
              <c:numCache>
                <c:formatCode>0.0%</c:formatCode>
                <c:ptCount val="3"/>
                <c:pt idx="0">
                  <c:v>8.2937084541098542E-4</c:v>
                </c:pt>
                <c:pt idx="1">
                  <c:v>1.2469997574347455E-3</c:v>
                </c:pt>
                <c:pt idx="2">
                  <c:v>1.2937562915225475E-3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Données!$B$174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Données!$C$170:$E$170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Données!$C$174:$E$174</c:f>
              <c:numCache>
                <c:formatCode>0.0%</c:formatCode>
                <c:ptCount val="3"/>
                <c:pt idx="0">
                  <c:v>-4.7253673645727967E-4</c:v>
                </c:pt>
                <c:pt idx="1">
                  <c:v>-2.2133632054890384E-3</c:v>
                </c:pt>
                <c:pt idx="2">
                  <c:v>-2.4082866326132213E-3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Données!$B$175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Données!$C$170:$E$170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Données!$C$175:$E$175</c:f>
              <c:numCache>
                <c:formatCode>0.0%</c:formatCode>
                <c:ptCount val="3"/>
                <c:pt idx="0">
                  <c:v>-2.4334557273048424E-3</c:v>
                </c:pt>
                <c:pt idx="1">
                  <c:v>-2.9914344877472656E-3</c:v>
                </c:pt>
                <c:pt idx="2">
                  <c:v>-3.010030920567959E-3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Données!$B$176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Données!$C$170:$E$170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Données!$C$176:$E$176</c:f>
              <c:numCache>
                <c:formatCode>0.0%</c:formatCode>
                <c:ptCount val="3"/>
                <c:pt idx="0">
                  <c:v>7.8788643105032197E-4</c:v>
                </c:pt>
                <c:pt idx="1">
                  <c:v>2.0583769387336748E-3</c:v>
                </c:pt>
                <c:pt idx="2">
                  <c:v>2.1322508060601653E-3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ser>
          <c:idx val="6"/>
          <c:order val="6"/>
          <c:tx>
            <c:strRef>
              <c:f>Données!$B$177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Données!$C$170:$E$170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Données!$C$177:$E$177</c:f>
              <c:numCache>
                <c:formatCode>0.0%</c:formatCode>
                <c:ptCount val="3"/>
                <c:pt idx="0">
                  <c:v>3.4446931158085836E-4</c:v>
                </c:pt>
                <c:pt idx="1">
                  <c:v>5.7726861124815509E-4</c:v>
                </c:pt>
                <c:pt idx="2">
                  <c:v>6.1171476729198968E-4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FD-41DD-B0C4-371ACB164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0000037670649387E-2"/>
          <c:y val="0.92507183164803475"/>
          <c:w val="0.89999992465870116"/>
          <c:h val="5.8163462809332329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chart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chart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600-000000000000}">
  <sheetPr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7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800-000000000000}">
  <sheetPr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900-000000000000}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A00-000000000000}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B00-000000000000}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C00-000000000000}">
  <sheetPr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D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1DDA2B46-5A07-4ACE-885C-07A2D48EDB46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54114DFF-06B8-43B9-B39F-3ACF44666A0A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F00-000000000000}">
  <sheetPr>
    <tabColor rgb="FF7030A0"/>
  </sheetPr>
  <sheetViews>
    <sheetView tabSelected="1" zoomScale="57" workbookViewId="0" zoomToFit="1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0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1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200-000000000000}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BDA4938-6DEA-4E86-B7A8-FEF44F7274B9}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300-000000000000}">
  <sheetPr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2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400-000000000000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B6FC3720-83B2-4315-9FAD-13ED81F9AB47}">
  <sheetPr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1500-000000000000}">
  <sheetPr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DB0A543-F1F5-7285-B880-A9AED1CDD33B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31245AD-793D-C7EB-8120-76A89EADAF1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E908D0-2AE8-2580-D739-4790B3FD3CA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3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24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7558F814-7EC0-C772-3C76-2743A5B95D4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5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</c:userShapes>
</file>

<file path=xl/drawings/drawing2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12-11_14-52-25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3864116.4539999999</v>
          </cell>
          <cell r="C2">
            <v>3907998.9040000001</v>
          </cell>
          <cell r="D2">
            <v>3963820.784</v>
          </cell>
          <cell r="E2">
            <v>4023743.8319999999</v>
          </cell>
          <cell r="F2">
            <v>4084585.8840000001</v>
          </cell>
          <cell r="G2">
            <v>4147263.95</v>
          </cell>
          <cell r="H2">
            <v>4212049.6950000003</v>
          </cell>
          <cell r="I2">
            <v>4266119.42</v>
          </cell>
          <cell r="J2">
            <v>4321646.4160000002</v>
          </cell>
          <cell r="K2">
            <v>4396640.0290000001</v>
          </cell>
          <cell r="L2">
            <v>4476653.3949999996</v>
          </cell>
          <cell r="M2">
            <v>4558445.733</v>
          </cell>
          <cell r="N2">
            <v>4639768.0630000001</v>
          </cell>
          <cell r="O2">
            <v>4718128.0590000004</v>
          </cell>
          <cell r="P2">
            <v>4796119.449</v>
          </cell>
          <cell r="Q2">
            <v>4875271.5039999997</v>
          </cell>
          <cell r="R2">
            <v>4956303.8859999999</v>
          </cell>
          <cell r="S2">
            <v>5040458.8930000002</v>
          </cell>
          <cell r="T2">
            <v>5128509.432</v>
          </cell>
          <cell r="U2">
            <v>5220923.6720000003</v>
          </cell>
          <cell r="V2">
            <v>5318291.602</v>
          </cell>
          <cell r="W2">
            <v>5421130.801</v>
          </cell>
          <cell r="X2">
            <v>5530219.4879999999</v>
          </cell>
          <cell r="Y2">
            <v>5646022.0769999996</v>
          </cell>
          <cell r="Z2">
            <v>5768534.6780000003</v>
          </cell>
          <cell r="AA2">
            <v>5897872.9309999999</v>
          </cell>
          <cell r="AB2">
            <v>6034426.4689999996</v>
          </cell>
          <cell r="AC2">
            <v>6178909.8190000001</v>
          </cell>
          <cell r="AD2">
            <v>6331645.75</v>
          </cell>
          <cell r="AE2">
            <v>6491909.7470000004</v>
          </cell>
          <cell r="AF2">
            <v>6658482.9079999998</v>
          </cell>
          <cell r="AG2">
            <v>6830370.1229999997</v>
          </cell>
          <cell r="AH2">
            <v>7006881.2120000003</v>
          </cell>
          <cell r="AI2">
            <v>7187400.9850000003</v>
          </cell>
          <cell r="AJ2">
            <v>7371348.3899999997</v>
          </cell>
          <cell r="AK2">
            <v>7558123.9419999998</v>
          </cell>
        </row>
        <row r="3">
          <cell r="B3">
            <v>3864116.4539999999</v>
          </cell>
          <cell r="C3">
            <v>3907998.9040000001</v>
          </cell>
          <cell r="D3">
            <v>3963820.784</v>
          </cell>
          <cell r="E3">
            <v>4023743.8319999999</v>
          </cell>
          <cell r="F3">
            <v>4084585.8840000001</v>
          </cell>
          <cell r="G3">
            <v>4147263.95</v>
          </cell>
          <cell r="H3">
            <v>4210398.9340000004</v>
          </cell>
          <cell r="I3">
            <v>4274245.2259999998</v>
          </cell>
          <cell r="J3">
            <v>4339561.3609999996</v>
          </cell>
          <cell r="K3">
            <v>4407079.3590000002</v>
          </cell>
          <cell r="L3">
            <v>4477327.2369999997</v>
          </cell>
          <cell r="M3">
            <v>4550560.8509999998</v>
          </cell>
          <cell r="N3">
            <v>4625438.3490000004</v>
          </cell>
          <cell r="O3">
            <v>4698643.5880000005</v>
          </cell>
          <cell r="P3">
            <v>4771421.4340000004</v>
          </cell>
          <cell r="Q3">
            <v>4845145.5140000004</v>
          </cell>
          <cell r="R3">
            <v>4921999.0310000004</v>
          </cell>
          <cell r="S3">
            <v>5003848.7699999996</v>
          </cell>
          <cell r="T3">
            <v>5091190.4210000001</v>
          </cell>
          <cell r="U3">
            <v>5183964.1509999996</v>
          </cell>
          <cell r="V3">
            <v>5282293.7819999997</v>
          </cell>
          <cell r="W3">
            <v>5386378.0020000003</v>
          </cell>
          <cell r="X3">
            <v>5496831.9210000001</v>
          </cell>
          <cell r="Y3">
            <v>5614053.7300000004</v>
          </cell>
          <cell r="Z3">
            <v>5738004.29</v>
          </cell>
          <cell r="AA3">
            <v>5868798.5690000001</v>
          </cell>
          <cell r="AB3">
            <v>6006708.7960000001</v>
          </cell>
          <cell r="AC3">
            <v>6152454.1370000001</v>
          </cell>
          <cell r="AD3">
            <v>6306307.3360000001</v>
          </cell>
          <cell r="AE3">
            <v>6467417.6030000001</v>
          </cell>
          <cell r="AF3">
            <v>6634439.5710000005</v>
          </cell>
          <cell r="AG3">
            <v>6806261.8310000002</v>
          </cell>
          <cell r="AH3">
            <v>6982087.4249999998</v>
          </cell>
          <cell r="AI3">
            <v>7161226.3509999998</v>
          </cell>
          <cell r="AJ3">
            <v>7343010.9280000003</v>
          </cell>
          <cell r="AK3">
            <v>7526750.1780000003</v>
          </cell>
        </row>
        <row r="4">
          <cell r="B4">
            <v>81749.350409999999</v>
          </cell>
          <cell r="C4">
            <v>81030.705849999998</v>
          </cell>
          <cell r="D4">
            <v>80827.064329999994</v>
          </cell>
          <cell r="E4">
            <v>81259.791039999996</v>
          </cell>
          <cell r="F4">
            <v>82059.830170000001</v>
          </cell>
          <cell r="G4">
            <v>83093.222110000002</v>
          </cell>
          <cell r="H4">
            <v>84273.539050000007</v>
          </cell>
          <cell r="I4">
            <v>85219.862640000007</v>
          </cell>
          <cell r="J4">
            <v>86137.332269999999</v>
          </cell>
          <cell r="K4">
            <v>87448.576230000006</v>
          </cell>
          <cell r="L4">
            <v>88823.802880000003</v>
          </cell>
          <cell r="M4">
            <v>90234.637830000007</v>
          </cell>
          <cell r="N4">
            <v>91701.45981</v>
          </cell>
          <cell r="O4">
            <v>93170.131909999996</v>
          </cell>
          <cell r="P4">
            <v>94681.305930000002</v>
          </cell>
          <cell r="Q4">
            <v>96246.967439999993</v>
          </cell>
          <cell r="R4">
            <v>97892.694740000006</v>
          </cell>
          <cell r="S4">
            <v>99601.381269999998</v>
          </cell>
          <cell r="T4">
            <v>101389.3186</v>
          </cell>
          <cell r="U4">
            <v>103270.8673</v>
          </cell>
          <cell r="V4">
            <v>105262.3609</v>
          </cell>
          <cell r="W4">
            <v>107375.6893</v>
          </cell>
          <cell r="X4">
            <v>109629.46520000001</v>
          </cell>
          <cell r="Y4">
            <v>112036.26850000001</v>
          </cell>
          <cell r="Z4">
            <v>114597.3855</v>
          </cell>
          <cell r="AA4">
            <v>117316.3</v>
          </cell>
          <cell r="AB4">
            <v>120173.6299</v>
          </cell>
          <cell r="AC4">
            <v>123205.6663</v>
          </cell>
          <cell r="AD4">
            <v>126420.94070000001</v>
          </cell>
          <cell r="AE4">
            <v>129802.99920000001</v>
          </cell>
          <cell r="AF4">
            <v>133323.12760000001</v>
          </cell>
          <cell r="AG4">
            <v>136956.30869999999</v>
          </cell>
          <cell r="AH4">
            <v>140684.57199999999</v>
          </cell>
          <cell r="AI4">
            <v>144493.21669999999</v>
          </cell>
          <cell r="AJ4">
            <v>148368.46660000001</v>
          </cell>
          <cell r="AK4">
            <v>152295.14619999999</v>
          </cell>
        </row>
        <row r="5">
          <cell r="B5">
            <v>81749.350409999999</v>
          </cell>
          <cell r="C5">
            <v>81030.705849999998</v>
          </cell>
          <cell r="D5">
            <v>80827.064329999994</v>
          </cell>
          <cell r="E5">
            <v>81259.791039999996</v>
          </cell>
          <cell r="F5">
            <v>82059.830170000001</v>
          </cell>
          <cell r="G5">
            <v>83093.222110000002</v>
          </cell>
          <cell r="H5">
            <v>84237.971109999999</v>
          </cell>
          <cell r="I5">
            <v>85437.097129999995</v>
          </cell>
          <cell r="J5">
            <v>86681.724849999999</v>
          </cell>
          <cell r="K5">
            <v>87979.586569999999</v>
          </cell>
          <cell r="L5">
            <v>89340.472670000003</v>
          </cell>
          <cell r="M5">
            <v>90770.39314</v>
          </cell>
          <cell r="N5">
            <v>92237.582299999995</v>
          </cell>
          <cell r="O5">
            <v>93662.794399999999</v>
          </cell>
          <cell r="P5">
            <v>95078.562579999998</v>
          </cell>
          <cell r="Q5">
            <v>96516.727129999999</v>
          </cell>
          <cell r="R5">
            <v>98041.738630000007</v>
          </cell>
          <cell r="S5">
            <v>99697.449299999993</v>
          </cell>
          <cell r="T5">
            <v>101497.6217</v>
          </cell>
          <cell r="U5">
            <v>103437.63</v>
          </cell>
          <cell r="V5">
            <v>105515.4287</v>
          </cell>
          <cell r="W5">
            <v>107730.5781</v>
          </cell>
          <cell r="X5">
            <v>110095.1358</v>
          </cell>
          <cell r="Y5">
            <v>112617.1758</v>
          </cell>
          <cell r="Z5">
            <v>115294.3903</v>
          </cell>
          <cell r="AA5">
            <v>118128.133</v>
          </cell>
          <cell r="AB5">
            <v>121123.7907</v>
          </cell>
          <cell r="AC5">
            <v>124299.57150000001</v>
          </cell>
          <cell r="AD5">
            <v>127660.93919999999</v>
          </cell>
          <cell r="AE5">
            <v>131185.285</v>
          </cell>
          <cell r="AF5">
            <v>134837.3817</v>
          </cell>
          <cell r="AG5">
            <v>138588.44589999999</v>
          </cell>
          <cell r="AH5">
            <v>142418.83410000001</v>
          </cell>
          <cell r="AI5">
            <v>146311.5245</v>
          </cell>
          <cell r="AJ5">
            <v>150249.7856</v>
          </cell>
          <cell r="AK5">
            <v>154216.10459999999</v>
          </cell>
        </row>
        <row r="6">
          <cell r="B6">
            <v>6531.1573969999999</v>
          </cell>
          <cell r="C6">
            <v>6365.1147860000001</v>
          </cell>
          <cell r="D6">
            <v>6232.9506849999998</v>
          </cell>
          <cell r="E6">
            <v>6125.9888860000001</v>
          </cell>
          <cell r="F6">
            <v>6056.7714100000003</v>
          </cell>
          <cell r="G6">
            <v>6016.748576</v>
          </cell>
          <cell r="H6">
            <v>5999.6811349999998</v>
          </cell>
          <cell r="I6">
            <v>5946.6385680000003</v>
          </cell>
          <cell r="J6">
            <v>5905.3977619999996</v>
          </cell>
          <cell r="K6">
            <v>5899.1660810000003</v>
          </cell>
          <cell r="L6">
            <v>5900.6932470000002</v>
          </cell>
          <cell r="M6">
            <v>5913.7532840000003</v>
          </cell>
          <cell r="N6">
            <v>5929.1558199999999</v>
          </cell>
          <cell r="O6">
            <v>5943.2929960000001</v>
          </cell>
          <cell r="P6">
            <v>5961.8793370000003</v>
          </cell>
          <cell r="Q6">
            <v>5988.5131119999996</v>
          </cell>
          <cell r="R6">
            <v>6016.9268920000004</v>
          </cell>
          <cell r="S6">
            <v>6053.1768529999999</v>
          </cell>
          <cell r="T6">
            <v>6099.2039869999999</v>
          </cell>
          <cell r="U6">
            <v>6155.5112680000002</v>
          </cell>
          <cell r="V6">
            <v>6222.5986810000004</v>
          </cell>
          <cell r="W6">
            <v>6301.0521799999997</v>
          </cell>
          <cell r="X6">
            <v>6391.8490000000002</v>
          </cell>
          <cell r="Y6">
            <v>6495.1641659999996</v>
          </cell>
          <cell r="Z6">
            <v>6610.413818</v>
          </cell>
          <cell r="AA6">
            <v>6737.2375490000004</v>
          </cell>
          <cell r="AB6">
            <v>6876.3650479999997</v>
          </cell>
          <cell r="AC6">
            <v>7029.6055029999998</v>
          </cell>
          <cell r="AD6">
            <v>7196.9334070000004</v>
          </cell>
          <cell r="AE6">
            <v>7376.170768</v>
          </cell>
          <cell r="AF6">
            <v>7564.4711189999998</v>
          </cell>
          <cell r="AG6">
            <v>7760.0679330000003</v>
          </cell>
          <cell r="AH6">
            <v>7962.1958610000001</v>
          </cell>
          <cell r="AI6">
            <v>8169.9496660000004</v>
          </cell>
          <cell r="AJ6">
            <v>8382.4160269999993</v>
          </cell>
          <cell r="AK6">
            <v>8598.8136290000002</v>
          </cell>
        </row>
        <row r="7">
          <cell r="B7">
            <v>6531.1573969999999</v>
          </cell>
          <cell r="C7">
            <v>6365.1147860000001</v>
          </cell>
          <cell r="D7">
            <v>6232.9506849999998</v>
          </cell>
          <cell r="E7">
            <v>6125.9888860000001</v>
          </cell>
          <cell r="F7">
            <v>6056.7714100000003</v>
          </cell>
          <cell r="G7">
            <v>6016.748576</v>
          </cell>
          <cell r="H7">
            <v>5998.9775019999997</v>
          </cell>
          <cell r="I7">
            <v>5998.0031159999999</v>
          </cell>
          <cell r="J7">
            <v>6010.0075969999998</v>
          </cell>
          <cell r="K7">
            <v>6032.4529039999998</v>
          </cell>
          <cell r="L7">
            <v>6063.5876470000003</v>
          </cell>
          <cell r="M7">
            <v>6101.8929509999998</v>
          </cell>
          <cell r="N7">
            <v>6143.9645019999998</v>
          </cell>
          <cell r="O7">
            <v>6183.9692109999996</v>
          </cell>
          <cell r="P7">
            <v>6223.5136570000004</v>
          </cell>
          <cell r="Q7">
            <v>6264.8638929999997</v>
          </cell>
          <cell r="R7">
            <v>6310.1749470000004</v>
          </cell>
          <cell r="S7">
            <v>6362.288697</v>
          </cell>
          <cell r="T7">
            <v>6422.7383909999999</v>
          </cell>
          <cell r="U7">
            <v>6491.8553650000003</v>
          </cell>
          <cell r="V7">
            <v>6569.8548540000002</v>
          </cell>
          <cell r="W7">
            <v>6656.7978499999999</v>
          </cell>
          <cell r="X7">
            <v>6753.2317210000001</v>
          </cell>
          <cell r="Y7">
            <v>6859.3387590000002</v>
          </cell>
          <cell r="Z7">
            <v>6974.7033659999997</v>
          </cell>
          <cell r="AA7">
            <v>7099.162061</v>
          </cell>
          <cell r="AB7">
            <v>7232.8099750000001</v>
          </cell>
          <cell r="AC7">
            <v>7376.365847</v>
          </cell>
          <cell r="AD7">
            <v>7529.8323819999996</v>
          </cell>
          <cell r="AE7">
            <v>7691.3589339999999</v>
          </cell>
          <cell r="AF7">
            <v>7858.4221269999998</v>
          </cell>
          <cell r="AG7">
            <v>8029.0693860000001</v>
          </cell>
          <cell r="AH7">
            <v>8202.0446780000002</v>
          </cell>
          <cell r="AI7">
            <v>8376.4051940000008</v>
          </cell>
          <cell r="AJ7">
            <v>8551.3247740000006</v>
          </cell>
          <cell r="AK7">
            <v>8725.9955549999995</v>
          </cell>
        </row>
        <row r="8">
          <cell r="B8">
            <v>157698.06899999999</v>
          </cell>
          <cell r="C8">
            <v>157375.47519999999</v>
          </cell>
          <cell r="D8">
            <v>158041.32089999999</v>
          </cell>
          <cell r="E8">
            <v>159868.78880000001</v>
          </cell>
          <cell r="F8">
            <v>162236.0031</v>
          </cell>
          <cell r="G8">
            <v>164910.4325</v>
          </cell>
          <cell r="H8">
            <v>167758.27530000001</v>
          </cell>
          <cell r="I8">
            <v>170273.53279999999</v>
          </cell>
          <cell r="J8">
            <v>172684.14439999999</v>
          </cell>
          <cell r="K8">
            <v>175676.9847</v>
          </cell>
          <cell r="L8">
            <v>178782.18950000001</v>
          </cell>
          <cell r="M8">
            <v>181945.8591</v>
          </cell>
          <cell r="N8">
            <v>185253.7874</v>
          </cell>
          <cell r="O8">
            <v>188604.73009999999</v>
          </cell>
          <cell r="P8">
            <v>192034.61970000001</v>
          </cell>
          <cell r="Q8">
            <v>195544.70569999999</v>
          </cell>
          <cell r="R8">
            <v>199187.962</v>
          </cell>
          <cell r="S8">
            <v>202918.41899999999</v>
          </cell>
          <cell r="T8">
            <v>206766.32740000001</v>
          </cell>
          <cell r="U8">
            <v>210761.77129999999</v>
          </cell>
          <cell r="V8">
            <v>214936.68290000001</v>
          </cell>
          <cell r="W8">
            <v>219313.42850000001</v>
          </cell>
          <cell r="X8">
            <v>223925.61869999999</v>
          </cell>
          <cell r="Y8">
            <v>228800.04949999999</v>
          </cell>
          <cell r="Z8">
            <v>233944.35079999999</v>
          </cell>
          <cell r="AA8">
            <v>239367.56419999999</v>
          </cell>
          <cell r="AB8">
            <v>245020.24799999999</v>
          </cell>
          <cell r="AC8">
            <v>250973.71669999999</v>
          </cell>
          <cell r="AD8">
            <v>257246.42569999999</v>
          </cell>
          <cell r="AE8">
            <v>263820.58730000001</v>
          </cell>
          <cell r="AF8">
            <v>270654.66570000001</v>
          </cell>
          <cell r="AG8">
            <v>277705.09159999999</v>
          </cell>
          <cell r="AH8">
            <v>284936.0183</v>
          </cell>
          <cell r="AI8">
            <v>292319.30719999998</v>
          </cell>
          <cell r="AJ8">
            <v>299828.35810000001</v>
          </cell>
          <cell r="AK8">
            <v>307433.37719999999</v>
          </cell>
        </row>
        <row r="9">
          <cell r="B9">
            <v>157698.06899999999</v>
          </cell>
          <cell r="C9">
            <v>157375.47519999999</v>
          </cell>
          <cell r="D9">
            <v>158041.32089999999</v>
          </cell>
          <cell r="E9">
            <v>159868.78880000001</v>
          </cell>
          <cell r="F9">
            <v>162236.0031</v>
          </cell>
          <cell r="G9">
            <v>164910.4325</v>
          </cell>
          <cell r="H9">
            <v>167692.5631</v>
          </cell>
          <cell r="I9">
            <v>170503.32870000001</v>
          </cell>
          <cell r="J9">
            <v>173350.84589999999</v>
          </cell>
          <cell r="K9">
            <v>176265.40429999999</v>
          </cell>
          <cell r="L9">
            <v>179275.68909999999</v>
          </cell>
          <cell r="M9">
            <v>182402.04490000001</v>
          </cell>
          <cell r="N9">
            <v>185600.6073</v>
          </cell>
          <cell r="O9">
            <v>188744.36869999999</v>
          </cell>
          <cell r="P9">
            <v>191880.00520000001</v>
          </cell>
          <cell r="Q9">
            <v>195052.82399999999</v>
          </cell>
          <cell r="R9">
            <v>198370.4982</v>
          </cell>
          <cell r="S9">
            <v>201909.95699999999</v>
          </cell>
          <cell r="T9">
            <v>205693.03279999999</v>
          </cell>
          <cell r="U9">
            <v>209712.4178</v>
          </cell>
          <cell r="V9">
            <v>213966.32500000001</v>
          </cell>
          <cell r="W9">
            <v>218456.86480000001</v>
          </cell>
          <cell r="X9">
            <v>223207.87880000001</v>
          </cell>
          <cell r="Y9">
            <v>228237.361</v>
          </cell>
          <cell r="Z9">
            <v>233545.44529999999</v>
          </cell>
          <cell r="AA9">
            <v>239137.1208</v>
          </cell>
          <cell r="AB9">
            <v>245023.6661</v>
          </cell>
          <cell r="AC9">
            <v>251238.67019999999</v>
          </cell>
          <cell r="AD9">
            <v>257794.85399999999</v>
          </cell>
          <cell r="AE9">
            <v>264660.13640000002</v>
          </cell>
          <cell r="AF9">
            <v>271778.77120000002</v>
          </cell>
          <cell r="AG9">
            <v>279101.97529999999</v>
          </cell>
          <cell r="AH9">
            <v>286593.77149999997</v>
          </cell>
          <cell r="AI9">
            <v>294221.04100000003</v>
          </cell>
          <cell r="AJ9">
            <v>301950.63890000002</v>
          </cell>
          <cell r="AK9">
            <v>309748.03480000002</v>
          </cell>
        </row>
        <row r="10">
          <cell r="B10">
            <v>125603.55809999999</v>
          </cell>
          <cell r="C10">
            <v>126971.18090000001</v>
          </cell>
          <cell r="D10">
            <v>128867.4742</v>
          </cell>
          <cell r="E10">
            <v>130901.5674</v>
          </cell>
          <cell r="F10">
            <v>133052.43919999999</v>
          </cell>
          <cell r="G10">
            <v>135244.2561</v>
          </cell>
          <cell r="H10">
            <v>137418.67290000001</v>
          </cell>
          <cell r="I10">
            <v>138227.53539999999</v>
          </cell>
          <cell r="J10">
            <v>139293.7231</v>
          </cell>
          <cell r="K10">
            <v>142087.2972</v>
          </cell>
          <cell r="L10">
            <v>144902.7285</v>
          </cell>
          <cell r="M10">
            <v>147661.55100000001</v>
          </cell>
          <cell r="N10">
            <v>150077.57999999999</v>
          </cell>
          <cell r="O10">
            <v>151967.20360000001</v>
          </cell>
          <cell r="P10">
            <v>153681.39009999999</v>
          </cell>
          <cell r="Q10">
            <v>155417.6912</v>
          </cell>
          <cell r="R10">
            <v>157058.67660000001</v>
          </cell>
          <cell r="S10">
            <v>158883.34460000001</v>
          </cell>
          <cell r="T10">
            <v>160966.19209999999</v>
          </cell>
          <cell r="U10">
            <v>163342.21290000001</v>
          </cell>
          <cell r="V10">
            <v>166050.95629999999</v>
          </cell>
          <cell r="W10">
            <v>169117.77989999999</v>
          </cell>
          <cell r="X10">
            <v>172590.26209999999</v>
          </cell>
          <cell r="Y10">
            <v>176488.94870000001</v>
          </cell>
          <cell r="Z10">
            <v>180801.23199999999</v>
          </cell>
          <cell r="AA10">
            <v>185531.95929999999</v>
          </cell>
          <cell r="AB10">
            <v>190818.95509999999</v>
          </cell>
          <cell r="AC10">
            <v>196584.20490000001</v>
          </cell>
          <cell r="AD10">
            <v>202822.44159999999</v>
          </cell>
          <cell r="AE10">
            <v>209434.73300000001</v>
          </cell>
          <cell r="AF10">
            <v>216298.57740000001</v>
          </cell>
          <cell r="AG10">
            <v>223327.0288</v>
          </cell>
          <cell r="AH10">
            <v>230465.61470000001</v>
          </cell>
          <cell r="AI10">
            <v>237671.36869999999</v>
          </cell>
          <cell r="AJ10">
            <v>244906.26809999999</v>
          </cell>
          <cell r="AK10">
            <v>252133.68659999999</v>
          </cell>
        </row>
        <row r="11">
          <cell r="B11">
            <v>125603.55809999999</v>
          </cell>
          <cell r="C11">
            <v>126971.18090000001</v>
          </cell>
          <cell r="D11">
            <v>128867.4742</v>
          </cell>
          <cell r="E11">
            <v>130901.5674</v>
          </cell>
          <cell r="F11">
            <v>133052.43919999999</v>
          </cell>
          <cell r="G11">
            <v>135244.2561</v>
          </cell>
          <cell r="H11">
            <v>137265.90270000001</v>
          </cell>
          <cell r="I11">
            <v>139290.69440000001</v>
          </cell>
          <cell r="J11">
            <v>141411.9466</v>
          </cell>
          <cell r="K11">
            <v>143664.9155</v>
          </cell>
          <cell r="L11">
            <v>146048.01300000001</v>
          </cell>
          <cell r="M11">
            <v>148534.3676</v>
          </cell>
          <cell r="N11">
            <v>150974.4265</v>
          </cell>
          <cell r="O11">
            <v>153090.29790000001</v>
          </cell>
          <cell r="P11">
            <v>155037.1568</v>
          </cell>
          <cell r="Q11">
            <v>156948.81400000001</v>
          </cell>
          <cell r="R11">
            <v>159076.7812</v>
          </cell>
          <cell r="S11">
            <v>161413.36170000001</v>
          </cell>
          <cell r="T11">
            <v>163987.95139999999</v>
          </cell>
          <cell r="U11">
            <v>166826.42720000001</v>
          </cell>
          <cell r="V11">
            <v>169974.23190000001</v>
          </cell>
          <cell r="W11">
            <v>173466.75390000001</v>
          </cell>
          <cell r="X11">
            <v>177361.26879999999</v>
          </cell>
          <cell r="Y11">
            <v>181682.23009999999</v>
          </cell>
          <cell r="Z11">
            <v>186415.25839999999</v>
          </cell>
          <cell r="AA11">
            <v>191561.74890000001</v>
          </cell>
          <cell r="AB11">
            <v>197133.61679999999</v>
          </cell>
          <cell r="AC11">
            <v>203176.60140000001</v>
          </cell>
          <cell r="AD11">
            <v>209686.95629999999</v>
          </cell>
          <cell r="AE11">
            <v>216560.95250000001</v>
          </cell>
          <cell r="AF11">
            <v>223669.93419999999</v>
          </cell>
          <cell r="AG11">
            <v>230924.04250000001</v>
          </cell>
          <cell r="AH11">
            <v>238270.1096</v>
          </cell>
          <cell r="AI11">
            <v>245666.7555</v>
          </cell>
          <cell r="AJ11">
            <v>253075.8198</v>
          </cell>
          <cell r="AK11">
            <v>260458.27110000001</v>
          </cell>
        </row>
        <row r="12">
          <cell r="B12">
            <v>22091.045440000002</v>
          </cell>
          <cell r="C12">
            <v>22873.024420000002</v>
          </cell>
          <cell r="D12">
            <v>23690.2209</v>
          </cell>
          <cell r="E12">
            <v>24239.671109999999</v>
          </cell>
          <cell r="F12">
            <v>24603.048579999999</v>
          </cell>
          <cell r="G12">
            <v>24898.78326</v>
          </cell>
          <cell r="H12">
            <v>25192.23749</v>
          </cell>
          <cell r="I12">
            <v>25365.679970000001</v>
          </cell>
          <cell r="J12">
            <v>25540.37327</v>
          </cell>
          <cell r="K12">
            <v>25831.445820000001</v>
          </cell>
          <cell r="L12">
            <v>26161.397850000001</v>
          </cell>
          <cell r="M12">
            <v>26509.09463</v>
          </cell>
          <cell r="N12">
            <v>26835.00807</v>
          </cell>
          <cell r="O12">
            <v>27128.125759999999</v>
          </cell>
          <cell r="P12">
            <v>27413.348610000001</v>
          </cell>
          <cell r="Q12">
            <v>27708.522229999999</v>
          </cell>
          <cell r="R12">
            <v>28030.147949999999</v>
          </cell>
          <cell r="S12">
            <v>28373.322120000001</v>
          </cell>
          <cell r="T12">
            <v>28739.523389999998</v>
          </cell>
          <cell r="U12">
            <v>29128.356589999999</v>
          </cell>
          <cell r="V12">
            <v>29542.310819999999</v>
          </cell>
          <cell r="W12">
            <v>29985.516810000001</v>
          </cell>
          <cell r="X12">
            <v>30463.417890000001</v>
          </cell>
          <cell r="Y12">
            <v>30978.647239999998</v>
          </cell>
          <cell r="Z12">
            <v>31530.9624</v>
          </cell>
          <cell r="AA12">
            <v>32121.230769999998</v>
          </cell>
          <cell r="AB12">
            <v>32745.555909999999</v>
          </cell>
          <cell r="AC12">
            <v>33416.442629999998</v>
          </cell>
          <cell r="AD12">
            <v>34135.459799999997</v>
          </cell>
          <cell r="AE12">
            <v>34898.001730000004</v>
          </cell>
          <cell r="AF12">
            <v>35697.11391</v>
          </cell>
          <cell r="AG12">
            <v>36527.680260000001</v>
          </cell>
          <cell r="AH12">
            <v>37385.801630000002</v>
          </cell>
          <cell r="AI12">
            <v>38267.0317</v>
          </cell>
          <cell r="AJ12">
            <v>39167.102749999998</v>
          </cell>
          <cell r="AK12">
            <v>40081.839019999999</v>
          </cell>
        </row>
        <row r="13">
          <cell r="B13">
            <v>22091.045440000002</v>
          </cell>
          <cell r="C13">
            <v>22873.024420000002</v>
          </cell>
          <cell r="D13">
            <v>23690.2209</v>
          </cell>
          <cell r="E13">
            <v>24239.671109999999</v>
          </cell>
          <cell r="F13">
            <v>24603.048579999999</v>
          </cell>
          <cell r="G13">
            <v>24898.78326</v>
          </cell>
          <cell r="H13">
            <v>25180.532279999999</v>
          </cell>
          <cell r="I13">
            <v>25471.739679999999</v>
          </cell>
          <cell r="J13">
            <v>25780.633419999998</v>
          </cell>
          <cell r="K13">
            <v>26110.404119999999</v>
          </cell>
          <cell r="L13">
            <v>26462.828740000001</v>
          </cell>
          <cell r="M13">
            <v>26838.354660000001</v>
          </cell>
          <cell r="N13">
            <v>27227.038710000001</v>
          </cell>
          <cell r="O13">
            <v>27605.878059999999</v>
          </cell>
          <cell r="P13">
            <v>27981.90192</v>
          </cell>
          <cell r="Q13">
            <v>28364.462370000001</v>
          </cell>
          <cell r="R13">
            <v>28772.65539</v>
          </cell>
          <cell r="S13">
            <v>29217.448469999999</v>
          </cell>
          <cell r="T13">
            <v>29703.037899999999</v>
          </cell>
          <cell r="U13">
            <v>30228.95593</v>
          </cell>
          <cell r="V13">
            <v>30795.6021</v>
          </cell>
          <cell r="W13">
            <v>31403.937460000001</v>
          </cell>
          <cell r="X13">
            <v>32057.00419</v>
          </cell>
          <cell r="Y13">
            <v>32756.167219999999</v>
          </cell>
          <cell r="Z13">
            <v>33500.178480000002</v>
          </cell>
          <cell r="AA13">
            <v>34289.576150000001</v>
          </cell>
          <cell r="AB13">
            <v>35126.29797</v>
          </cell>
          <cell r="AC13">
            <v>36014.492939999996</v>
          </cell>
          <cell r="AD13">
            <v>36956.432180000003</v>
          </cell>
          <cell r="AE13">
            <v>37947.106679999997</v>
          </cell>
          <cell r="AF13">
            <v>38978.596969999999</v>
          </cell>
          <cell r="AG13">
            <v>40044.291850000001</v>
          </cell>
          <cell r="AH13">
            <v>41138.846969999999</v>
          </cell>
          <cell r="AI13">
            <v>42257.542809999999</v>
          </cell>
          <cell r="AJ13">
            <v>43395.932789999999</v>
          </cell>
          <cell r="AK13">
            <v>44549.585019999999</v>
          </cell>
        </row>
        <row r="14">
          <cell r="B14">
            <v>25167.987249999998</v>
          </cell>
          <cell r="C14">
            <v>25357.042389999999</v>
          </cell>
          <cell r="D14">
            <v>25624.600439999998</v>
          </cell>
          <cell r="E14">
            <v>25977.720829999998</v>
          </cell>
          <cell r="F14">
            <v>26374.764579999999</v>
          </cell>
          <cell r="G14">
            <v>26800.528890000001</v>
          </cell>
          <cell r="H14">
            <v>27246.309140000001</v>
          </cell>
          <cell r="I14">
            <v>27603.543409999998</v>
          </cell>
          <cell r="J14">
            <v>27962.33308</v>
          </cell>
          <cell r="K14">
            <v>28478.924770000001</v>
          </cell>
          <cell r="L14">
            <v>29012.832880000002</v>
          </cell>
          <cell r="M14">
            <v>29541.070029999999</v>
          </cell>
          <cell r="N14">
            <v>30050.414140000001</v>
          </cell>
          <cell r="O14">
            <v>30522.507170000001</v>
          </cell>
          <cell r="P14">
            <v>30984.400099999999</v>
          </cell>
          <cell r="Q14">
            <v>31451.4967</v>
          </cell>
          <cell r="R14">
            <v>31922.620589999999</v>
          </cell>
          <cell r="S14">
            <v>32414.683799999999</v>
          </cell>
          <cell r="T14">
            <v>32936.268580000004</v>
          </cell>
          <cell r="U14">
            <v>33492.63033</v>
          </cell>
          <cell r="V14">
            <v>34089.455190000001</v>
          </cell>
          <cell r="W14">
            <v>34731.3076</v>
          </cell>
          <cell r="X14">
            <v>35424.845950000003</v>
          </cell>
          <cell r="Y14">
            <v>36173.481399999997</v>
          </cell>
          <cell r="Z14">
            <v>36976.666649999999</v>
          </cell>
          <cell r="AA14">
            <v>37834.84347</v>
          </cell>
          <cell r="AB14">
            <v>38751.035239999997</v>
          </cell>
          <cell r="AC14">
            <v>39731.427589999999</v>
          </cell>
          <cell r="AD14">
            <v>40776.575380000002</v>
          </cell>
          <cell r="AE14">
            <v>41876.877549999997</v>
          </cell>
          <cell r="AF14">
            <v>43018.949509999999</v>
          </cell>
          <cell r="AG14">
            <v>44192.712610000002</v>
          </cell>
          <cell r="AH14">
            <v>45391.666819999999</v>
          </cell>
          <cell r="AI14">
            <v>46609.78888</v>
          </cell>
          <cell r="AJ14">
            <v>47841.282169999999</v>
          </cell>
          <cell r="AK14">
            <v>49079.981070000002</v>
          </cell>
        </row>
        <row r="15">
          <cell r="B15">
            <v>25167.987249999998</v>
          </cell>
          <cell r="C15">
            <v>25357.042389999999</v>
          </cell>
          <cell r="D15">
            <v>25624.600439999998</v>
          </cell>
          <cell r="E15">
            <v>25977.720829999998</v>
          </cell>
          <cell r="F15">
            <v>26374.764579999999</v>
          </cell>
          <cell r="G15">
            <v>26800.528890000001</v>
          </cell>
          <cell r="H15">
            <v>27236.84662</v>
          </cell>
          <cell r="I15">
            <v>27677.359929999999</v>
          </cell>
          <cell r="J15">
            <v>28123.329959999999</v>
          </cell>
          <cell r="K15">
            <v>28578.17596</v>
          </cell>
          <cell r="L15">
            <v>29045.03715</v>
          </cell>
          <cell r="M15">
            <v>29524.90249</v>
          </cell>
          <cell r="N15">
            <v>30005.494610000002</v>
          </cell>
          <cell r="O15">
            <v>30458.816439999999</v>
          </cell>
          <cell r="P15">
            <v>30898.90179</v>
          </cell>
          <cell r="Q15">
            <v>31340.288199999999</v>
          </cell>
          <cell r="R15">
            <v>31803.055520000002</v>
          </cell>
          <cell r="S15">
            <v>32302.84546</v>
          </cell>
          <cell r="T15">
            <v>32847.000870000003</v>
          </cell>
          <cell r="U15">
            <v>33436.924720000003</v>
          </cell>
          <cell r="V15">
            <v>34074.49323</v>
          </cell>
          <cell r="W15">
            <v>34761.187899999997</v>
          </cell>
          <cell r="X15">
            <v>35501.835659999997</v>
          </cell>
          <cell r="Y15">
            <v>36299.07516</v>
          </cell>
          <cell r="Z15">
            <v>37151.810689999998</v>
          </cell>
          <cell r="AA15">
            <v>38060.118060000001</v>
          </cell>
          <cell r="AB15">
            <v>39025.269130000001</v>
          </cell>
          <cell r="AC15">
            <v>40052.386480000001</v>
          </cell>
          <cell r="AD15">
            <v>41141.927159999999</v>
          </cell>
          <cell r="AE15">
            <v>42283.664149999997</v>
          </cell>
          <cell r="AF15">
            <v>43463.388910000001</v>
          </cell>
          <cell r="AG15">
            <v>44669.875979999997</v>
          </cell>
          <cell r="AH15">
            <v>45895.604030000002</v>
          </cell>
          <cell r="AI15">
            <v>47134.48345</v>
          </cell>
          <cell r="AJ15">
            <v>48380.934370000003</v>
          </cell>
          <cell r="AK15">
            <v>49629.434430000001</v>
          </cell>
        </row>
        <row r="16">
          <cell r="B16">
            <v>85613.992979999995</v>
          </cell>
          <cell r="C16">
            <v>85879.953550000006</v>
          </cell>
          <cell r="D16">
            <v>86484.657959999997</v>
          </cell>
          <cell r="E16">
            <v>87291.773790000007</v>
          </cell>
          <cell r="F16">
            <v>88248.23216</v>
          </cell>
          <cell r="G16">
            <v>89348.023870000005</v>
          </cell>
          <cell r="H16">
            <v>90577.93634</v>
          </cell>
          <cell r="I16">
            <v>91377.162909999999</v>
          </cell>
          <cell r="J16">
            <v>92403.984830000001</v>
          </cell>
          <cell r="K16">
            <v>94374.100149999998</v>
          </cell>
          <cell r="L16">
            <v>96453.707980000007</v>
          </cell>
          <cell r="M16">
            <v>98496.238979999995</v>
          </cell>
          <cell r="N16">
            <v>100343.53630000001</v>
          </cell>
          <cell r="O16">
            <v>101904.6972</v>
          </cell>
          <cell r="P16">
            <v>103356.765</v>
          </cell>
          <cell r="Q16">
            <v>104796.36410000001</v>
          </cell>
          <cell r="R16">
            <v>106293.8998</v>
          </cell>
          <cell r="S16">
            <v>107913.535</v>
          </cell>
          <cell r="T16">
            <v>109696.5569</v>
          </cell>
          <cell r="U16">
            <v>111655.94349999999</v>
          </cell>
          <cell r="V16">
            <v>113808.76979999999</v>
          </cell>
          <cell r="W16">
            <v>116173.1758</v>
          </cell>
          <cell r="X16">
            <v>118779.8388</v>
          </cell>
          <cell r="Y16">
            <v>121633.546</v>
          </cell>
          <cell r="Z16">
            <v>124718.3707</v>
          </cell>
          <cell r="AA16">
            <v>128028.92389999999</v>
          </cell>
          <cell r="AB16">
            <v>131567.32</v>
          </cell>
          <cell r="AC16">
            <v>135413.11189999999</v>
          </cell>
          <cell r="AD16">
            <v>139561.47169999999</v>
          </cell>
          <cell r="AE16">
            <v>143948.21400000001</v>
          </cell>
          <cell r="AF16">
            <v>148496.53709999999</v>
          </cell>
          <cell r="AG16">
            <v>153165.2279</v>
          </cell>
          <cell r="AH16">
            <v>157939.7458</v>
          </cell>
          <cell r="AI16">
            <v>162797.3584</v>
          </cell>
          <cell r="AJ16">
            <v>167714.402</v>
          </cell>
          <cell r="AK16">
            <v>172669.11410000001</v>
          </cell>
        </row>
        <row r="17">
          <cell r="B17">
            <v>85613.992979999995</v>
          </cell>
          <cell r="C17">
            <v>85879.953550000006</v>
          </cell>
          <cell r="D17">
            <v>86484.657959999997</v>
          </cell>
          <cell r="E17">
            <v>87291.773790000007</v>
          </cell>
          <cell r="F17">
            <v>88248.23216</v>
          </cell>
          <cell r="G17">
            <v>89348.023870000005</v>
          </cell>
          <cell r="H17">
            <v>90553.16691</v>
          </cell>
          <cell r="I17">
            <v>91844.801470000006</v>
          </cell>
          <cell r="J17">
            <v>93213.966050000003</v>
          </cell>
          <cell r="K17">
            <v>94656.302209999994</v>
          </cell>
          <cell r="L17">
            <v>96169.092090000006</v>
          </cell>
          <cell r="M17">
            <v>97743.044559999995</v>
          </cell>
          <cell r="N17">
            <v>99302.62311</v>
          </cell>
          <cell r="O17">
            <v>100699.5543</v>
          </cell>
          <cell r="P17">
            <v>102027.10490000001</v>
          </cell>
          <cell r="Q17">
            <v>103364.3995</v>
          </cell>
          <cell r="R17">
            <v>104793.6425</v>
          </cell>
          <cell r="S17">
            <v>106376.6722</v>
          </cell>
          <cell r="T17">
            <v>108148.9394</v>
          </cell>
          <cell r="U17">
            <v>110120.33869999999</v>
          </cell>
          <cell r="V17">
            <v>112304.7035</v>
          </cell>
          <cell r="W17">
            <v>114711.053</v>
          </cell>
          <cell r="X17">
            <v>117363.76360000001</v>
          </cell>
          <cell r="Y17">
            <v>120272.1556</v>
          </cell>
          <cell r="Z17">
            <v>123426.24709999999</v>
          </cell>
          <cell r="AA17">
            <v>126825.62729999999</v>
          </cell>
          <cell r="AB17">
            <v>130476.3751</v>
          </cell>
          <cell r="AC17">
            <v>134403.57339999999</v>
          </cell>
          <cell r="AD17">
            <v>138605.25289999999</v>
          </cell>
          <cell r="AE17">
            <v>143022.79259999999</v>
          </cell>
          <cell r="AF17">
            <v>147583.08689999999</v>
          </cell>
          <cell r="AG17">
            <v>152234.4192</v>
          </cell>
          <cell r="AH17">
            <v>156945.5423</v>
          </cell>
          <cell r="AI17">
            <v>161691.98869999999</v>
          </cell>
          <cell r="AJ17">
            <v>166451.2439</v>
          </cell>
          <cell r="AK17">
            <v>171200.48449999999</v>
          </cell>
        </row>
        <row r="18">
          <cell r="B18">
            <v>29079.368020000002</v>
          </cell>
          <cell r="C18">
            <v>29266.391090000001</v>
          </cell>
          <cell r="D18">
            <v>29564.093250000002</v>
          </cell>
          <cell r="E18">
            <v>29889.931860000001</v>
          </cell>
          <cell r="F18">
            <v>30233.367109999999</v>
          </cell>
          <cell r="G18">
            <v>30607.529020000002</v>
          </cell>
          <cell r="H18">
            <v>31017.167560000002</v>
          </cell>
          <cell r="I18">
            <v>31260.788189999999</v>
          </cell>
          <cell r="J18">
            <v>31542.891970000001</v>
          </cell>
          <cell r="K18">
            <v>32103.926179999999</v>
          </cell>
          <cell r="L18">
            <v>32683.942749999998</v>
          </cell>
          <cell r="M18">
            <v>33241.467629999999</v>
          </cell>
          <cell r="N18">
            <v>33739.289279999997</v>
          </cell>
          <cell r="O18">
            <v>34155.048920000001</v>
          </cell>
          <cell r="P18">
            <v>34547.681420000001</v>
          </cell>
          <cell r="Q18">
            <v>34950.764869999999</v>
          </cell>
          <cell r="R18">
            <v>35366.880120000002</v>
          </cell>
          <cell r="S18">
            <v>35824.88768</v>
          </cell>
          <cell r="T18">
            <v>36335.832549999999</v>
          </cell>
          <cell r="U18">
            <v>36903.873330000002</v>
          </cell>
          <cell r="V18">
            <v>37534.933870000001</v>
          </cell>
          <cell r="W18">
            <v>38234.122329999998</v>
          </cell>
          <cell r="X18">
            <v>39010.394869999996</v>
          </cell>
          <cell r="Y18">
            <v>39867.406040000002</v>
          </cell>
          <cell r="Z18">
            <v>40803.06871</v>
          </cell>
          <cell r="AA18">
            <v>41818.024189999996</v>
          </cell>
          <cell r="AB18">
            <v>42916.62859</v>
          </cell>
          <cell r="AC18">
            <v>44108.302830000001</v>
          </cell>
          <cell r="AD18">
            <v>45392.015469999998</v>
          </cell>
          <cell r="AE18">
            <v>46750.25215</v>
          </cell>
          <cell r="AF18">
            <v>48161.093260000001</v>
          </cell>
          <cell r="AG18">
            <v>49609.354160000003</v>
          </cell>
          <cell r="AH18">
            <v>51085.671979999999</v>
          </cell>
          <cell r="AI18">
            <v>52581.308490000003</v>
          </cell>
          <cell r="AJ18">
            <v>54088.108489999999</v>
          </cell>
          <cell r="AK18">
            <v>55598.190849999999</v>
          </cell>
        </row>
        <row r="19">
          <cell r="B19">
            <v>29079.368020000002</v>
          </cell>
          <cell r="C19">
            <v>29266.391090000001</v>
          </cell>
          <cell r="D19">
            <v>29564.093250000002</v>
          </cell>
          <cell r="E19">
            <v>29889.931860000001</v>
          </cell>
          <cell r="F19">
            <v>30233.367109999999</v>
          </cell>
          <cell r="G19">
            <v>30607.529020000002</v>
          </cell>
          <cell r="H19">
            <v>31007.428449999999</v>
          </cell>
          <cell r="I19">
            <v>31432.670750000001</v>
          </cell>
          <cell r="J19">
            <v>31883.36479</v>
          </cell>
          <cell r="K19">
            <v>32359.299579999999</v>
          </cell>
          <cell r="L19">
            <v>32859.87571</v>
          </cell>
          <cell r="M19">
            <v>33381.968610000004</v>
          </cell>
          <cell r="N19">
            <v>33901.751640000002</v>
          </cell>
          <cell r="O19">
            <v>34372.081709999999</v>
          </cell>
          <cell r="P19">
            <v>34819.366379999999</v>
          </cell>
          <cell r="Q19">
            <v>35268.35108</v>
          </cell>
          <cell r="R19">
            <v>35743.638619999998</v>
          </cell>
          <cell r="S19">
            <v>36266.92065</v>
          </cell>
          <cell r="T19">
            <v>36849.524420000002</v>
          </cell>
          <cell r="U19">
            <v>37494.972020000001</v>
          </cell>
          <cell r="V19">
            <v>38208.08986</v>
          </cell>
          <cell r="W19">
            <v>38992.42037</v>
          </cell>
          <cell r="X19">
            <v>39856.031609999998</v>
          </cell>
          <cell r="Y19">
            <v>40802.394099999998</v>
          </cell>
          <cell r="Z19">
            <v>41828.867469999997</v>
          </cell>
          <cell r="AA19">
            <v>42935.42181</v>
          </cell>
          <cell r="AB19">
            <v>44123.969859999997</v>
          </cell>
          <cell r="AC19">
            <v>45402.078130000002</v>
          </cell>
          <cell r="AD19">
            <v>46769.367440000002</v>
          </cell>
          <cell r="AE19">
            <v>48207.848310000001</v>
          </cell>
          <cell r="AF19">
            <v>49694.446949999998</v>
          </cell>
          <cell r="AG19">
            <v>51212.146639999999</v>
          </cell>
          <cell r="AH19">
            <v>52750.085830000004</v>
          </cell>
          <cell r="AI19">
            <v>54299.650029999997</v>
          </cell>
          <cell r="AJ19">
            <v>55852.994899999998</v>
          </cell>
          <cell r="AK19">
            <v>57402.35699</v>
          </cell>
        </row>
        <row r="20">
          <cell r="B20">
            <v>30279.323240000002</v>
          </cell>
          <cell r="C20">
            <v>30818.505359999999</v>
          </cell>
          <cell r="D20">
            <v>31361.341079999998</v>
          </cell>
          <cell r="E20">
            <v>31843.87977</v>
          </cell>
          <cell r="F20">
            <v>32314.37213</v>
          </cell>
          <cell r="G20">
            <v>32807.674279999999</v>
          </cell>
          <cell r="H20">
            <v>33336.274890000001</v>
          </cell>
          <cell r="I20">
            <v>33488.94425</v>
          </cell>
          <cell r="J20">
            <v>33603.312080000003</v>
          </cell>
          <cell r="K20">
            <v>34011.854220000001</v>
          </cell>
          <cell r="L20">
            <v>34368.078999999998</v>
          </cell>
          <cell r="M20">
            <v>34682.771480000003</v>
          </cell>
          <cell r="N20">
            <v>34925.699439999997</v>
          </cell>
          <cell r="O20">
            <v>35076.424330000002</v>
          </cell>
          <cell r="P20">
            <v>35213.768700000001</v>
          </cell>
          <cell r="Q20">
            <v>35375.996529999997</v>
          </cell>
          <cell r="R20">
            <v>35560.28961</v>
          </cell>
          <cell r="S20">
            <v>35776.360800000002</v>
          </cell>
          <cell r="T20">
            <v>36037.684020000001</v>
          </cell>
          <cell r="U20">
            <v>36350.313139999998</v>
          </cell>
          <cell r="V20">
            <v>36722.998079999998</v>
          </cell>
          <cell r="W20">
            <v>37163.79234</v>
          </cell>
          <cell r="X20">
            <v>37684.729720000003</v>
          </cell>
          <cell r="Y20">
            <v>38288.234380000002</v>
          </cell>
          <cell r="Z20">
            <v>38968.918749999997</v>
          </cell>
          <cell r="AA20">
            <v>39725.064689999999</v>
          </cell>
          <cell r="AB20">
            <v>40554.755799999999</v>
          </cell>
          <cell r="AC20">
            <v>41481.217019999996</v>
          </cell>
          <cell r="AD20">
            <v>42499.786460000003</v>
          </cell>
          <cell r="AE20">
            <v>43584.5769</v>
          </cell>
          <cell r="AF20">
            <v>44706.277029999997</v>
          </cell>
          <cell r="AG20">
            <v>45847.903059999997</v>
          </cell>
          <cell r="AH20">
            <v>47001.544179999997</v>
          </cell>
          <cell r="AI20">
            <v>48157.853069999997</v>
          </cell>
          <cell r="AJ20">
            <v>49307.369290000002</v>
          </cell>
          <cell r="AK20">
            <v>50440.470699999998</v>
          </cell>
        </row>
        <row r="21">
          <cell r="B21">
            <v>30279.323240000002</v>
          </cell>
          <cell r="C21">
            <v>30818.505359999999</v>
          </cell>
          <cell r="D21">
            <v>31361.341079999998</v>
          </cell>
          <cell r="E21">
            <v>31843.87977</v>
          </cell>
          <cell r="F21">
            <v>32314.37213</v>
          </cell>
          <cell r="G21">
            <v>32807.674279999999</v>
          </cell>
          <cell r="H21">
            <v>33317.970309999997</v>
          </cell>
          <cell r="I21">
            <v>33842.09779</v>
          </cell>
          <cell r="J21">
            <v>34376.523970000002</v>
          </cell>
          <cell r="K21">
            <v>34919.93548</v>
          </cell>
          <cell r="L21">
            <v>35472.445269999997</v>
          </cell>
          <cell r="M21">
            <v>36031.416539999998</v>
          </cell>
          <cell r="N21">
            <v>36565.447169999999</v>
          </cell>
          <cell r="O21">
            <v>37012.075040000003</v>
          </cell>
          <cell r="P21">
            <v>37416.010880000002</v>
          </cell>
          <cell r="Q21">
            <v>37815.228490000001</v>
          </cell>
          <cell r="R21">
            <v>38258.702400000002</v>
          </cell>
          <cell r="S21">
            <v>38776.51238</v>
          </cell>
          <cell r="T21">
            <v>39384.612309999997</v>
          </cell>
          <cell r="U21">
            <v>40086.249750000003</v>
          </cell>
          <cell r="V21">
            <v>40885.571300000003</v>
          </cell>
          <cell r="W21">
            <v>41784.282310000002</v>
          </cell>
          <cell r="X21">
            <v>42790.769540000001</v>
          </cell>
          <cell r="Y21">
            <v>43907.087939999998</v>
          </cell>
          <cell r="Z21">
            <v>45127.37672</v>
          </cell>
          <cell r="AA21">
            <v>46450.306980000001</v>
          </cell>
          <cell r="AB21">
            <v>47877.617570000002</v>
          </cell>
          <cell r="AC21">
            <v>49419.29552</v>
          </cell>
          <cell r="AD21">
            <v>51073.614849999998</v>
          </cell>
          <cell r="AE21">
            <v>52813.898840000002</v>
          </cell>
          <cell r="AF21">
            <v>54607.624969999997</v>
          </cell>
          <cell r="AG21">
            <v>56432.175929999998</v>
          </cell>
          <cell r="AH21">
            <v>58274.216619999999</v>
          </cell>
          <cell r="AI21">
            <v>60123.570740000003</v>
          </cell>
          <cell r="AJ21">
            <v>61971.002390000001</v>
          </cell>
          <cell r="AK21">
            <v>63807.200320000004</v>
          </cell>
        </row>
        <row r="22">
          <cell r="B22">
            <v>210158.541</v>
          </cell>
          <cell r="C22">
            <v>211275.20699999999</v>
          </cell>
          <cell r="D22">
            <v>213158.18030000001</v>
          </cell>
          <cell r="E22">
            <v>215392.26629999999</v>
          </cell>
          <cell r="F22">
            <v>217880.139</v>
          </cell>
          <cell r="G22">
            <v>220648.95370000001</v>
          </cell>
          <cell r="H22">
            <v>223694.74299999999</v>
          </cell>
          <cell r="I22">
            <v>225888.16959999999</v>
          </cell>
          <cell r="J22">
            <v>228662.2352</v>
          </cell>
          <cell r="K22">
            <v>233702.4596</v>
          </cell>
          <cell r="L22">
            <v>239117.99609999999</v>
          </cell>
          <cell r="M22">
            <v>244498.37959999999</v>
          </cell>
          <cell r="N22">
            <v>249411.53479999999</v>
          </cell>
          <cell r="O22">
            <v>253619.19219999999</v>
          </cell>
          <cell r="P22">
            <v>257523.55369999999</v>
          </cell>
          <cell r="Q22">
            <v>261358.11369999999</v>
          </cell>
          <cell r="R22">
            <v>265233.48550000001</v>
          </cell>
          <cell r="S22">
            <v>269393.62109999999</v>
          </cell>
          <cell r="T22">
            <v>273939.41729999997</v>
          </cell>
          <cell r="U22">
            <v>278902.96480000002</v>
          </cell>
          <cell r="V22">
            <v>284324.81050000002</v>
          </cell>
          <cell r="W22">
            <v>290251.6937</v>
          </cell>
          <cell r="X22">
            <v>296758.26630000002</v>
          </cell>
          <cell r="Y22">
            <v>303855.58029999997</v>
          </cell>
          <cell r="Z22">
            <v>311505.4215</v>
          </cell>
          <cell r="AA22">
            <v>319692.4719</v>
          </cell>
          <cell r="AB22">
            <v>328430.5073</v>
          </cell>
          <cell r="AC22">
            <v>337919.45409999997</v>
          </cell>
          <cell r="AD22">
            <v>348151.30339999998</v>
          </cell>
          <cell r="AE22">
            <v>358977.88439999998</v>
          </cell>
          <cell r="AF22">
            <v>370218.61249999999</v>
          </cell>
          <cell r="AG22">
            <v>381778.89899999998</v>
          </cell>
          <cell r="AH22">
            <v>393629.22710000002</v>
          </cell>
          <cell r="AI22">
            <v>405716.33649999998</v>
          </cell>
          <cell r="AJ22">
            <v>417984.95030000003</v>
          </cell>
          <cell r="AK22">
            <v>430388.25510000001</v>
          </cell>
        </row>
        <row r="23">
          <cell r="B23">
            <v>210158.541</v>
          </cell>
          <cell r="C23">
            <v>211275.20699999999</v>
          </cell>
          <cell r="D23">
            <v>213158.18030000001</v>
          </cell>
          <cell r="E23">
            <v>215392.26629999999</v>
          </cell>
          <cell r="F23">
            <v>217880.139</v>
          </cell>
          <cell r="G23">
            <v>220648.95370000001</v>
          </cell>
          <cell r="H23">
            <v>223628.59650000001</v>
          </cell>
          <cell r="I23">
            <v>226793.3083</v>
          </cell>
          <cell r="J23">
            <v>230135.0191</v>
          </cell>
          <cell r="K23">
            <v>233651.75</v>
          </cell>
          <cell r="L23">
            <v>237342.16959999999</v>
          </cell>
          <cell r="M23">
            <v>241187.3248</v>
          </cell>
          <cell r="N23">
            <v>245015.11470000001</v>
          </cell>
          <cell r="O23">
            <v>248482.54759999999</v>
          </cell>
          <cell r="P23">
            <v>251790.77239999999</v>
          </cell>
          <cell r="Q23">
            <v>255120.1979</v>
          </cell>
          <cell r="R23">
            <v>258664.86960000001</v>
          </cell>
          <cell r="S23">
            <v>262571.68369999999</v>
          </cell>
          <cell r="T23">
            <v>266923.5134</v>
          </cell>
          <cell r="U23">
            <v>271744.59370000003</v>
          </cell>
          <cell r="V23">
            <v>277068.00959999999</v>
          </cell>
          <cell r="W23">
            <v>282916.85930000001</v>
          </cell>
          <cell r="X23">
            <v>289349.04940000002</v>
          </cell>
          <cell r="Y23">
            <v>296388.94780000002</v>
          </cell>
          <cell r="Z23">
            <v>304016.44420000003</v>
          </cell>
          <cell r="AA23">
            <v>312231.85080000001</v>
          </cell>
          <cell r="AB23">
            <v>321050.19099999999</v>
          </cell>
          <cell r="AC23">
            <v>330529.46350000001</v>
          </cell>
          <cell r="AD23">
            <v>340667.64270000003</v>
          </cell>
          <cell r="AE23">
            <v>351332.67509999999</v>
          </cell>
          <cell r="AF23">
            <v>362356.11080000002</v>
          </cell>
          <cell r="AG23">
            <v>373615.5135</v>
          </cell>
          <cell r="AH23">
            <v>385034.39350000001</v>
          </cell>
          <cell r="AI23">
            <v>396552.23930000002</v>
          </cell>
          <cell r="AJ23">
            <v>408113.45439999999</v>
          </cell>
          <cell r="AK23">
            <v>419662.14620000002</v>
          </cell>
        </row>
        <row r="24">
          <cell r="B24">
            <v>16323.035110000001</v>
          </cell>
          <cell r="C24">
            <v>16017.10571</v>
          </cell>
          <cell r="D24">
            <v>15855.94824</v>
          </cell>
          <cell r="E24">
            <v>15829.782649999999</v>
          </cell>
          <cell r="F24">
            <v>15884.43037</v>
          </cell>
          <cell r="G24">
            <v>15996.37334</v>
          </cell>
          <cell r="H24">
            <v>16150.326929999999</v>
          </cell>
          <cell r="I24">
            <v>16276.207539999999</v>
          </cell>
          <cell r="J24">
            <v>16426.389319999998</v>
          </cell>
          <cell r="K24">
            <v>16705.650089999999</v>
          </cell>
          <cell r="L24">
            <v>17002.710920000001</v>
          </cell>
          <cell r="M24">
            <v>17303.735369999999</v>
          </cell>
          <cell r="N24">
            <v>17603.210129999999</v>
          </cell>
          <cell r="O24">
            <v>17886.51469</v>
          </cell>
          <cell r="P24">
            <v>18171.038280000001</v>
          </cell>
          <cell r="Q24">
            <v>18464.113420000001</v>
          </cell>
          <cell r="R24">
            <v>18753.766210000002</v>
          </cell>
          <cell r="S24">
            <v>19058.26467</v>
          </cell>
          <cell r="T24">
            <v>19382.589499999998</v>
          </cell>
          <cell r="U24">
            <v>19729.671269999999</v>
          </cell>
          <cell r="V24">
            <v>20102.8557</v>
          </cell>
          <cell r="W24">
            <v>20504.557229999999</v>
          </cell>
          <cell r="X24">
            <v>20938.941190000001</v>
          </cell>
          <cell r="Y24">
            <v>21408.375069999998</v>
          </cell>
          <cell r="Z24">
            <v>21912.51238</v>
          </cell>
          <cell r="AA24">
            <v>22451.893540000001</v>
          </cell>
          <cell r="AB24">
            <v>23034.621299999999</v>
          </cell>
          <cell r="AC24">
            <v>23657.930710000001</v>
          </cell>
          <cell r="AD24">
            <v>24322.699229999998</v>
          </cell>
          <cell r="AE24">
            <v>25023.154579999999</v>
          </cell>
          <cell r="AF24">
            <v>25750.856090000001</v>
          </cell>
          <cell r="AG24">
            <v>26499.029729999998</v>
          </cell>
          <cell r="AH24">
            <v>27262.987089999999</v>
          </cell>
          <cell r="AI24">
            <v>28038.74207</v>
          </cell>
          <cell r="AJ24">
            <v>28822.457020000002</v>
          </cell>
          <cell r="AK24">
            <v>29610.0795</v>
          </cell>
        </row>
        <row r="25">
          <cell r="B25">
            <v>16323.035110000001</v>
          </cell>
          <cell r="C25">
            <v>16017.10571</v>
          </cell>
          <cell r="D25">
            <v>15855.94824</v>
          </cell>
          <cell r="E25">
            <v>15829.782649999999</v>
          </cell>
          <cell r="F25">
            <v>15884.43037</v>
          </cell>
          <cell r="G25">
            <v>15996.37334</v>
          </cell>
          <cell r="H25">
            <v>16145.642599999999</v>
          </cell>
          <cell r="I25">
            <v>16322.13659</v>
          </cell>
          <cell r="J25">
            <v>16522.309420000001</v>
          </cell>
          <cell r="K25">
            <v>16744.578369999999</v>
          </cell>
          <cell r="L25">
            <v>16987.73302</v>
          </cell>
          <cell r="M25">
            <v>17250.081470000001</v>
          </cell>
          <cell r="N25">
            <v>17521.428510000002</v>
          </cell>
          <cell r="O25">
            <v>17781.47711</v>
          </cell>
          <cell r="P25">
            <v>18038.996999999999</v>
          </cell>
          <cell r="Q25">
            <v>18301.564569999999</v>
          </cell>
          <cell r="R25">
            <v>18580.115659999999</v>
          </cell>
          <cell r="S25">
            <v>18882.702829999998</v>
          </cell>
          <cell r="T25">
            <v>19212.931680000002</v>
          </cell>
          <cell r="U25">
            <v>19571.238549999998</v>
          </cell>
          <cell r="V25">
            <v>19958.911970000001</v>
          </cell>
          <cell r="W25">
            <v>20377.102719999999</v>
          </cell>
          <cell r="X25">
            <v>20829.336190000002</v>
          </cell>
          <cell r="Y25">
            <v>21317.49251</v>
          </cell>
          <cell r="Z25">
            <v>21840.795679999999</v>
          </cell>
          <cell r="AA25">
            <v>22399.49396</v>
          </cell>
          <cell r="AB25">
            <v>22994.65049</v>
          </cell>
          <cell r="AC25">
            <v>23630.077379999999</v>
          </cell>
          <cell r="AD25">
            <v>24306.169979999999</v>
          </cell>
          <cell r="AE25">
            <v>25016.372370000001</v>
          </cell>
          <cell r="AF25">
            <v>25751.574929999999</v>
          </cell>
          <cell r="AG25">
            <v>26504.68547</v>
          </cell>
          <cell r="AH25">
            <v>27270.902900000001</v>
          </cell>
          <cell r="AI25">
            <v>28046.095369999999</v>
          </cell>
          <cell r="AJ25">
            <v>28826.31493</v>
          </cell>
          <cell r="AK25">
            <v>29607.57674</v>
          </cell>
        </row>
        <row r="26">
          <cell r="B26">
            <v>271154.46340000001</v>
          </cell>
          <cell r="C26">
            <v>289909.57260000001</v>
          </cell>
          <cell r="D26">
            <v>307322.84590000001</v>
          </cell>
          <cell r="E26">
            <v>317110.48190000001</v>
          </cell>
          <cell r="F26">
            <v>322345.09259999997</v>
          </cell>
          <cell r="G26">
            <v>325813.02750000003</v>
          </cell>
          <cell r="H26">
            <v>328940.45280000003</v>
          </cell>
          <cell r="I26">
            <v>331765.37959999999</v>
          </cell>
          <cell r="J26">
            <v>335442.9509</v>
          </cell>
          <cell r="K26">
            <v>340843.15179999999</v>
          </cell>
          <cell r="L26">
            <v>347515.12560000003</v>
          </cell>
          <cell r="M26">
            <v>354646.57059999998</v>
          </cell>
          <cell r="N26">
            <v>361307.01909999998</v>
          </cell>
          <cell r="O26">
            <v>367484.77419999999</v>
          </cell>
          <cell r="P26">
            <v>373504.348</v>
          </cell>
          <cell r="Q26">
            <v>379643.9535</v>
          </cell>
          <cell r="R26">
            <v>386125.8996</v>
          </cell>
          <cell r="S26">
            <v>393117.75040000002</v>
          </cell>
          <cell r="T26">
            <v>400535.35399999999</v>
          </cell>
          <cell r="U26">
            <v>408286.95909999998</v>
          </cell>
          <cell r="V26">
            <v>416346.9362</v>
          </cell>
          <cell r="W26">
            <v>424734.91190000001</v>
          </cell>
          <cell r="X26">
            <v>433483.51650000003</v>
          </cell>
          <cell r="Y26">
            <v>442626.01189999998</v>
          </cell>
          <cell r="Z26">
            <v>452178.11290000001</v>
          </cell>
          <cell r="AA26">
            <v>462176.45439999999</v>
          </cell>
          <cell r="AB26">
            <v>472651.36560000002</v>
          </cell>
          <cell r="AC26">
            <v>483617.06459999998</v>
          </cell>
          <cell r="AD26">
            <v>495147.06420000002</v>
          </cell>
          <cell r="AE26">
            <v>507297.52490000002</v>
          </cell>
          <cell r="AF26">
            <v>520097.185</v>
          </cell>
          <cell r="AG26">
            <v>533537.76879999996</v>
          </cell>
          <cell r="AH26">
            <v>547574.87910000002</v>
          </cell>
          <cell r="AI26">
            <v>562171.80500000005</v>
          </cell>
          <cell r="AJ26">
            <v>577298.66150000005</v>
          </cell>
          <cell r="AK26">
            <v>592930.88890000002</v>
          </cell>
        </row>
        <row r="27">
          <cell r="B27">
            <v>271154.46340000001</v>
          </cell>
          <cell r="C27">
            <v>289909.57260000001</v>
          </cell>
          <cell r="D27">
            <v>307322.84590000001</v>
          </cell>
          <cell r="E27">
            <v>317110.48190000001</v>
          </cell>
          <cell r="F27">
            <v>322345.09259999997</v>
          </cell>
          <cell r="G27">
            <v>325813.02750000003</v>
          </cell>
          <cell r="H27">
            <v>328815.91340000002</v>
          </cell>
          <cell r="I27">
            <v>331946.2415</v>
          </cell>
          <cell r="J27">
            <v>335429.83909999998</v>
          </cell>
          <cell r="K27">
            <v>339354.41119999997</v>
          </cell>
          <cell r="L27">
            <v>343761.65500000003</v>
          </cell>
          <cell r="M27">
            <v>348678.5036</v>
          </cell>
          <cell r="N27">
            <v>354045.00569999998</v>
          </cell>
          <cell r="O27">
            <v>359675.89120000001</v>
          </cell>
          <cell r="P27">
            <v>365508.44530000002</v>
          </cell>
          <cell r="Q27">
            <v>371545.03869999998</v>
          </cell>
          <cell r="R27">
            <v>377917.52850000001</v>
          </cell>
          <cell r="S27">
            <v>384641.6532</v>
          </cell>
          <cell r="T27">
            <v>391701.98489999998</v>
          </cell>
          <cell r="U27">
            <v>399065.9045</v>
          </cell>
          <cell r="V27">
            <v>406729.1985</v>
          </cell>
          <cell r="W27">
            <v>414716.52149999997</v>
          </cell>
          <cell r="X27">
            <v>423056.9314</v>
          </cell>
          <cell r="Y27">
            <v>431770.31959999999</v>
          </cell>
          <cell r="Z27">
            <v>440859.3285</v>
          </cell>
          <cell r="AA27">
            <v>450353.34970000002</v>
          </cell>
          <cell r="AB27">
            <v>460297.3407</v>
          </cell>
          <cell r="AC27">
            <v>470736.2709</v>
          </cell>
          <cell r="AD27">
            <v>481743.35359999997</v>
          </cell>
          <cell r="AE27">
            <v>493363.85700000002</v>
          </cell>
          <cell r="AF27">
            <v>505617.91</v>
          </cell>
          <cell r="AG27">
            <v>518503.83889999997</v>
          </cell>
          <cell r="AH27">
            <v>531990.76659999997</v>
          </cell>
          <cell r="AI27">
            <v>546041.73210000002</v>
          </cell>
          <cell r="AJ27">
            <v>560617.13419999997</v>
          </cell>
          <cell r="AK27">
            <v>575674.69949999999</v>
          </cell>
        </row>
        <row r="28">
          <cell r="B28">
            <v>25011.910230000001</v>
          </cell>
          <cell r="C28">
            <v>24972.976579999999</v>
          </cell>
          <cell r="D28">
            <v>25033.90929</v>
          </cell>
          <cell r="E28">
            <v>25182.497449999999</v>
          </cell>
          <cell r="F28">
            <v>25386.288970000001</v>
          </cell>
          <cell r="G28">
            <v>25632.204659999999</v>
          </cell>
          <cell r="H28">
            <v>25909.937590000001</v>
          </cell>
          <cell r="I28">
            <v>26126.417870000001</v>
          </cell>
          <cell r="J28">
            <v>26358.134539999999</v>
          </cell>
          <cell r="K28">
            <v>26715.50806</v>
          </cell>
          <cell r="L28">
            <v>27102.398399999998</v>
          </cell>
          <cell r="M28">
            <v>27499.54794</v>
          </cell>
          <cell r="N28">
            <v>27891.15465</v>
          </cell>
          <cell r="O28">
            <v>28259.443879999999</v>
          </cell>
          <cell r="P28">
            <v>28620.37587</v>
          </cell>
          <cell r="Q28">
            <v>28984.03642</v>
          </cell>
          <cell r="R28">
            <v>29359.179909999999</v>
          </cell>
          <cell r="S28">
            <v>29752.460790000001</v>
          </cell>
          <cell r="T28">
            <v>30170.883839999999</v>
          </cell>
          <cell r="U28">
            <v>30618.739290000001</v>
          </cell>
          <cell r="V28">
            <v>31100.4035</v>
          </cell>
          <cell r="W28">
            <v>31619.566490000001</v>
          </cell>
          <cell r="X28">
            <v>32181.374670000001</v>
          </cell>
          <cell r="Y28">
            <v>32788.298110000003</v>
          </cell>
          <cell r="Z28">
            <v>33439.738700000002</v>
          </cell>
          <cell r="AA28">
            <v>34135.772010000001</v>
          </cell>
          <cell r="AB28">
            <v>34879.051700000004</v>
          </cell>
          <cell r="AC28">
            <v>35675.69541</v>
          </cell>
          <cell r="AD28">
            <v>36526.741099999999</v>
          </cell>
          <cell r="AE28">
            <v>37425.45465</v>
          </cell>
          <cell r="AF28">
            <v>38361.939120000003</v>
          </cell>
          <cell r="AG28">
            <v>39328.840819999998</v>
          </cell>
          <cell r="AH28">
            <v>40321.666360000003</v>
          </cell>
          <cell r="AI28">
            <v>41336.001380000002</v>
          </cell>
          <cell r="AJ28">
            <v>42367.569799999997</v>
          </cell>
          <cell r="AK28">
            <v>43412.13005</v>
          </cell>
        </row>
        <row r="29">
          <cell r="B29">
            <v>25011.910230000001</v>
          </cell>
          <cell r="C29">
            <v>24972.976579999999</v>
          </cell>
          <cell r="D29">
            <v>25033.90929</v>
          </cell>
          <cell r="E29">
            <v>25182.497449999999</v>
          </cell>
          <cell r="F29">
            <v>25386.288970000001</v>
          </cell>
          <cell r="G29">
            <v>25632.204659999999</v>
          </cell>
          <cell r="H29">
            <v>25899.28573</v>
          </cell>
          <cell r="I29">
            <v>26183.079089999999</v>
          </cell>
          <cell r="J29">
            <v>26483.647150000001</v>
          </cell>
          <cell r="K29">
            <v>26801.772079999999</v>
          </cell>
          <cell r="L29">
            <v>27137.745699999999</v>
          </cell>
          <cell r="M29">
            <v>27490.502919999999</v>
          </cell>
          <cell r="N29">
            <v>27849.442169999998</v>
          </cell>
          <cell r="O29">
            <v>28192.46457</v>
          </cell>
          <cell r="P29">
            <v>28528.113979999998</v>
          </cell>
          <cell r="Q29">
            <v>28866.10226</v>
          </cell>
          <cell r="R29">
            <v>29224.203519999999</v>
          </cell>
          <cell r="S29">
            <v>29613.39071</v>
          </cell>
          <cell r="T29">
            <v>30038.212879999999</v>
          </cell>
          <cell r="U29">
            <v>30499.518980000001</v>
          </cell>
          <cell r="V29">
            <v>30998.738880000001</v>
          </cell>
          <cell r="W29">
            <v>31537.06565</v>
          </cell>
          <cell r="X29">
            <v>32117.998350000002</v>
          </cell>
          <cell r="Y29">
            <v>32743.415570000001</v>
          </cell>
          <cell r="Z29">
            <v>33412.446470000003</v>
          </cell>
          <cell r="AA29">
            <v>34125.048289999999</v>
          </cell>
          <cell r="AB29">
            <v>34882.025629999996</v>
          </cell>
          <cell r="AC29">
            <v>35686.924010000002</v>
          </cell>
          <cell r="AD29">
            <v>36540.02435</v>
          </cell>
          <cell r="AE29">
            <v>37433.92757</v>
          </cell>
          <cell r="AF29">
            <v>38358.101699999999</v>
          </cell>
          <cell r="AG29">
            <v>39303.864659999999</v>
          </cell>
          <cell r="AH29">
            <v>40265.023999999998</v>
          </cell>
          <cell r="AI29">
            <v>41236.427680000001</v>
          </cell>
          <cell r="AJ29">
            <v>42213.389060000001</v>
          </cell>
          <cell r="AK29">
            <v>43191.384769999997</v>
          </cell>
        </row>
        <row r="30">
          <cell r="B30">
            <v>59853.468560000001</v>
          </cell>
          <cell r="C30">
            <v>59689.702899999997</v>
          </cell>
          <cell r="D30">
            <v>59755.839330000003</v>
          </cell>
          <cell r="E30">
            <v>60039.575069999999</v>
          </cell>
          <cell r="F30">
            <v>60474.524210000003</v>
          </cell>
          <cell r="G30">
            <v>61024.384819999999</v>
          </cell>
          <cell r="H30">
            <v>61657.263760000002</v>
          </cell>
          <cell r="I30">
            <v>62099.456899999997</v>
          </cell>
          <cell r="J30">
            <v>62556.277320000001</v>
          </cell>
          <cell r="K30">
            <v>63295.15625</v>
          </cell>
          <cell r="L30">
            <v>64092.706489999997</v>
          </cell>
          <cell r="M30">
            <v>64924.99439</v>
          </cell>
          <cell r="N30">
            <v>65764.582930000004</v>
          </cell>
          <cell r="O30">
            <v>66572.251480000006</v>
          </cell>
          <cell r="P30">
            <v>67383.707120000006</v>
          </cell>
          <cell r="Q30">
            <v>68218.710550000003</v>
          </cell>
          <cell r="R30">
            <v>69088.291509999995</v>
          </cell>
          <cell r="S30">
            <v>70001.840859999997</v>
          </cell>
          <cell r="T30">
            <v>70972.53774</v>
          </cell>
          <cell r="U30">
            <v>72008.865359999996</v>
          </cell>
          <cell r="V30">
            <v>73120.356</v>
          </cell>
          <cell r="W30">
            <v>74314.589160000003</v>
          </cell>
          <cell r="X30">
            <v>75602.842569999993</v>
          </cell>
          <cell r="Y30">
            <v>76991.62702</v>
          </cell>
          <cell r="Z30">
            <v>78480.900720000005</v>
          </cell>
          <cell r="AA30">
            <v>80072.302420000007</v>
          </cell>
          <cell r="AB30">
            <v>81769.871230000004</v>
          </cell>
          <cell r="AC30">
            <v>83584.220780000003</v>
          </cell>
          <cell r="AD30">
            <v>85517.897960000002</v>
          </cell>
          <cell r="AE30">
            <v>87556.863119999995</v>
          </cell>
          <cell r="AF30">
            <v>89680.323080000002</v>
          </cell>
          <cell r="AG30">
            <v>91871.898440000004</v>
          </cell>
          <cell r="AH30">
            <v>94120.716969999994</v>
          </cell>
          <cell r="AI30">
            <v>96417.576449999993</v>
          </cell>
          <cell r="AJ30">
            <v>98754.108110000001</v>
          </cell>
          <cell r="AK30">
            <v>101121.9604</v>
          </cell>
        </row>
        <row r="31">
          <cell r="B31">
            <v>59853.468560000001</v>
          </cell>
          <cell r="C31">
            <v>59689.702899999997</v>
          </cell>
          <cell r="D31">
            <v>59755.839330000003</v>
          </cell>
          <cell r="E31">
            <v>60039.575069999999</v>
          </cell>
          <cell r="F31">
            <v>60474.524210000003</v>
          </cell>
          <cell r="G31">
            <v>61024.384819999999</v>
          </cell>
          <cell r="H31">
            <v>61628.729070000001</v>
          </cell>
          <cell r="I31">
            <v>62271.994030000002</v>
          </cell>
          <cell r="J31">
            <v>62953.65</v>
          </cell>
          <cell r="K31">
            <v>63677.474580000002</v>
          </cell>
          <cell r="L31">
            <v>64446.56998</v>
          </cell>
          <cell r="M31">
            <v>65260.46903</v>
          </cell>
          <cell r="N31">
            <v>66095.460640000005</v>
          </cell>
          <cell r="O31">
            <v>66900.089649999994</v>
          </cell>
          <cell r="P31">
            <v>67694.824760000003</v>
          </cell>
          <cell r="Q31">
            <v>68501.548290000006</v>
          </cell>
          <cell r="R31">
            <v>69362.791169999997</v>
          </cell>
          <cell r="S31">
            <v>70302.142980000004</v>
          </cell>
          <cell r="T31">
            <v>71326.673469999994</v>
          </cell>
          <cell r="U31">
            <v>72434.918539999999</v>
          </cell>
          <cell r="V31">
            <v>73627.759340000004</v>
          </cell>
          <cell r="W31">
            <v>74906.579100000003</v>
          </cell>
          <cell r="X31">
            <v>76279.082710000002</v>
          </cell>
          <cell r="Y31">
            <v>77749.656690000003</v>
          </cell>
          <cell r="Z31">
            <v>79316.493849999999</v>
          </cell>
          <cell r="AA31">
            <v>80979.993409999995</v>
          </cell>
          <cell r="AB31">
            <v>82742.703760000004</v>
          </cell>
          <cell r="AC31">
            <v>84613.725390000007</v>
          </cell>
          <cell r="AD31">
            <v>86594.41403</v>
          </cell>
          <cell r="AE31">
            <v>88668.151060000004</v>
          </cell>
          <cell r="AF31">
            <v>90811.308539999998</v>
          </cell>
          <cell r="AG31">
            <v>93004.947520000002</v>
          </cell>
          <cell r="AH31">
            <v>95236.070640000005</v>
          </cell>
          <cell r="AI31">
            <v>97493.962140000003</v>
          </cell>
          <cell r="AJ31">
            <v>99768.715259999997</v>
          </cell>
          <cell r="AK31">
            <v>102050.4917</v>
          </cell>
        </row>
        <row r="32">
          <cell r="B32">
            <v>15433.565280000001</v>
          </cell>
          <cell r="C32">
            <v>15784.47501</v>
          </cell>
          <cell r="D32">
            <v>16128.233270000001</v>
          </cell>
          <cell r="E32">
            <v>16468.28268</v>
          </cell>
          <cell r="F32">
            <v>16814.148000000001</v>
          </cell>
          <cell r="G32">
            <v>17169.362509999999</v>
          </cell>
          <cell r="H32">
            <v>17533.165249999998</v>
          </cell>
          <cell r="I32">
            <v>17841.68691</v>
          </cell>
          <cell r="J32">
            <v>18269.96286</v>
          </cell>
          <cell r="K32">
            <v>19009.743210000001</v>
          </cell>
          <cell r="L32">
            <v>19814.866099999999</v>
          </cell>
          <cell r="M32">
            <v>20619.713520000001</v>
          </cell>
          <cell r="N32">
            <v>21337.313770000001</v>
          </cell>
          <cell r="O32">
            <v>21928.10601</v>
          </cell>
          <cell r="P32">
            <v>22443.445629999998</v>
          </cell>
          <cell r="Q32">
            <v>22911.985270000001</v>
          </cell>
          <cell r="R32">
            <v>23387.212589999999</v>
          </cell>
          <cell r="S32">
            <v>23892.087029999999</v>
          </cell>
          <cell r="T32">
            <v>24443.428179999999</v>
          </cell>
          <cell r="U32">
            <v>25044.515019999999</v>
          </cell>
          <cell r="V32">
            <v>25699.0484</v>
          </cell>
          <cell r="W32">
            <v>26414.829109999999</v>
          </cell>
          <cell r="X32">
            <v>27203.269130000001</v>
          </cell>
          <cell r="Y32">
            <v>28060.710129999999</v>
          </cell>
          <cell r="Z32">
            <v>28975.59864</v>
          </cell>
          <cell r="AA32">
            <v>29940.957439999998</v>
          </cell>
          <cell r="AB32">
            <v>30978.927930000002</v>
          </cell>
          <cell r="AC32">
            <v>32127.587200000002</v>
          </cell>
          <cell r="AD32">
            <v>33384.33973</v>
          </cell>
          <cell r="AE32">
            <v>34723.45854</v>
          </cell>
          <cell r="AF32">
            <v>36116.461869999999</v>
          </cell>
          <cell r="AG32">
            <v>37557.527560000002</v>
          </cell>
          <cell r="AH32">
            <v>39055.248899999999</v>
          </cell>
          <cell r="AI32">
            <v>40605.958720000002</v>
          </cell>
          <cell r="AJ32">
            <v>42202.41102</v>
          </cell>
          <cell r="AK32">
            <v>43836.278359999997</v>
          </cell>
        </row>
        <row r="33">
          <cell r="B33">
            <v>15433.565280000001</v>
          </cell>
          <cell r="C33">
            <v>15784.47501</v>
          </cell>
          <cell r="D33">
            <v>16128.233270000001</v>
          </cell>
          <cell r="E33">
            <v>16468.28268</v>
          </cell>
          <cell r="F33">
            <v>16814.148000000001</v>
          </cell>
          <cell r="G33">
            <v>17169.362509999999</v>
          </cell>
          <cell r="H33">
            <v>17528.873970000001</v>
          </cell>
          <cell r="I33">
            <v>17889.626840000001</v>
          </cell>
          <cell r="J33">
            <v>18250.564750000001</v>
          </cell>
          <cell r="K33">
            <v>18612.359400000001</v>
          </cell>
          <cell r="L33">
            <v>18976.404419999999</v>
          </cell>
          <cell r="M33">
            <v>19342.391070000001</v>
          </cell>
          <cell r="N33">
            <v>19691.303749999999</v>
          </cell>
          <cell r="O33">
            <v>19984.468010000001</v>
          </cell>
          <cell r="P33">
            <v>20252.844440000001</v>
          </cell>
          <cell r="Q33">
            <v>20519.945660000001</v>
          </cell>
          <cell r="R33">
            <v>20808.121200000001</v>
          </cell>
          <cell r="S33">
            <v>21133.964599999999</v>
          </cell>
          <cell r="T33">
            <v>21507.23863</v>
          </cell>
          <cell r="U33">
            <v>21930.230589999999</v>
          </cell>
          <cell r="V33">
            <v>22406.16718</v>
          </cell>
          <cell r="W33">
            <v>22936.623940000001</v>
          </cell>
          <cell r="X33">
            <v>23527.617460000001</v>
          </cell>
          <cell r="Y33">
            <v>24180.804049999999</v>
          </cell>
          <cell r="Z33">
            <v>24892.610560000001</v>
          </cell>
          <cell r="AA33">
            <v>25662.655510000001</v>
          </cell>
          <cell r="AB33">
            <v>26492.491030000001</v>
          </cell>
          <cell r="AC33">
            <v>27389.159930000002</v>
          </cell>
          <cell r="AD33">
            <v>28351.69672</v>
          </cell>
          <cell r="AE33">
            <v>29363.400450000001</v>
          </cell>
          <cell r="AF33">
            <v>30404.492620000001</v>
          </cell>
          <cell r="AG33">
            <v>31462.085849999999</v>
          </cell>
          <cell r="AH33">
            <v>32529.322250000001</v>
          </cell>
          <cell r="AI33">
            <v>33601.113089999999</v>
          </cell>
          <cell r="AJ33">
            <v>34672.726719999999</v>
          </cell>
          <cell r="AK33">
            <v>35739.135410000003</v>
          </cell>
        </row>
        <row r="34">
          <cell r="B34">
            <v>20628.981739999999</v>
          </cell>
          <cell r="C34">
            <v>20931.339019999999</v>
          </cell>
          <cell r="D34">
            <v>21249.162700000001</v>
          </cell>
          <cell r="E34">
            <v>21568.10051</v>
          </cell>
          <cell r="F34">
            <v>21910.583500000001</v>
          </cell>
          <cell r="G34">
            <v>22286.921160000002</v>
          </cell>
          <cell r="H34">
            <v>22691.515189999998</v>
          </cell>
          <cell r="I34">
            <v>22943.721600000001</v>
          </cell>
          <cell r="J34">
            <v>23190.223160000001</v>
          </cell>
          <cell r="K34">
            <v>23632.751380000002</v>
          </cell>
          <cell r="L34">
            <v>24115.940589999998</v>
          </cell>
          <cell r="M34">
            <v>24647.41244</v>
          </cell>
          <cell r="N34">
            <v>25190.721229999999</v>
          </cell>
          <cell r="O34">
            <v>25707.829559999998</v>
          </cell>
          <cell r="P34">
            <v>26219.59045</v>
          </cell>
          <cell r="Q34">
            <v>26733.84433</v>
          </cell>
          <cell r="R34">
            <v>27240.88106</v>
          </cell>
          <cell r="S34">
            <v>27762.928800000002</v>
          </cell>
          <cell r="T34">
            <v>28314.884539999999</v>
          </cell>
          <cell r="U34">
            <v>28906.550200000001</v>
          </cell>
          <cell r="V34">
            <v>29547.743890000002</v>
          </cell>
          <cell r="W34">
            <v>30248.729609999999</v>
          </cell>
          <cell r="X34">
            <v>31021.885689999999</v>
          </cell>
          <cell r="Y34">
            <v>31871.497589999999</v>
          </cell>
          <cell r="Z34">
            <v>32795.653250000003</v>
          </cell>
          <cell r="AA34">
            <v>33794.407140000003</v>
          </cell>
          <cell r="AB34">
            <v>34884.552629999998</v>
          </cell>
          <cell r="AC34">
            <v>36086.912210000002</v>
          </cell>
          <cell r="AD34">
            <v>37408.659769999998</v>
          </cell>
          <cell r="AE34">
            <v>38842.325169999996</v>
          </cell>
          <cell r="AF34">
            <v>40376.007700000002</v>
          </cell>
          <cell r="AG34">
            <v>42007.579989999998</v>
          </cell>
          <cell r="AH34">
            <v>43743.186950000003</v>
          </cell>
          <cell r="AI34">
            <v>45585.596610000001</v>
          </cell>
          <cell r="AJ34">
            <v>47536.671970000003</v>
          </cell>
          <cell r="AK34">
            <v>49598.47208</v>
          </cell>
        </row>
        <row r="35">
          <cell r="B35">
            <v>20628.981739999999</v>
          </cell>
          <cell r="C35">
            <v>20931.339019999999</v>
          </cell>
          <cell r="D35">
            <v>21249.162700000001</v>
          </cell>
          <cell r="E35">
            <v>21568.10051</v>
          </cell>
          <cell r="F35">
            <v>21910.583500000001</v>
          </cell>
          <cell r="G35">
            <v>22286.921160000002</v>
          </cell>
          <cell r="H35">
            <v>22676.724679999999</v>
          </cell>
          <cell r="I35">
            <v>23075.161090000001</v>
          </cell>
          <cell r="J35">
            <v>23481.399720000001</v>
          </cell>
          <cell r="K35">
            <v>23896.98919</v>
          </cell>
          <cell r="L35">
            <v>24323.83093</v>
          </cell>
          <cell r="M35">
            <v>24762.775689999999</v>
          </cell>
          <cell r="N35">
            <v>25199.965639999999</v>
          </cell>
          <cell r="O35">
            <v>25604.44571</v>
          </cell>
          <cell r="P35">
            <v>25994.243200000001</v>
          </cell>
          <cell r="Q35">
            <v>26384.54824</v>
          </cell>
          <cell r="R35">
            <v>26805.343850000001</v>
          </cell>
          <cell r="S35">
            <v>27270.542799999999</v>
          </cell>
          <cell r="T35">
            <v>27785.70003</v>
          </cell>
          <cell r="U35">
            <v>28350.79621</v>
          </cell>
          <cell r="V35">
            <v>28967.32833</v>
          </cell>
          <cell r="W35">
            <v>29636.752489999999</v>
          </cell>
          <cell r="X35">
            <v>30364.472839999999</v>
          </cell>
          <cell r="Y35">
            <v>31153.26181</v>
          </cell>
          <cell r="Z35">
            <v>32001.73126</v>
          </cell>
          <cell r="AA35">
            <v>32910.672359999997</v>
          </cell>
          <cell r="AB35">
            <v>33882.464180000003</v>
          </cell>
          <cell r="AC35">
            <v>34923.973270000002</v>
          </cell>
          <cell r="AD35">
            <v>36036.805760000003</v>
          </cell>
          <cell r="AE35">
            <v>37211.234989999997</v>
          </cell>
          <cell r="AF35">
            <v>38433.517610000003</v>
          </cell>
          <cell r="AG35">
            <v>39693.119279999999</v>
          </cell>
          <cell r="AH35">
            <v>40982.846510000003</v>
          </cell>
          <cell r="AI35">
            <v>42296.340770000003</v>
          </cell>
          <cell r="AJ35">
            <v>43627.332159999998</v>
          </cell>
          <cell r="AK35">
            <v>44969.299149999999</v>
          </cell>
        </row>
        <row r="36">
          <cell r="B36">
            <v>1901284.6089999999</v>
          </cell>
          <cell r="C36">
            <v>1913339.25</v>
          </cell>
          <cell r="D36">
            <v>1933581.4709999999</v>
          </cell>
          <cell r="E36">
            <v>1961728.348</v>
          </cell>
          <cell r="F36">
            <v>1993202.1529999999</v>
          </cell>
          <cell r="G36">
            <v>2026600.405</v>
          </cell>
          <cell r="H36">
            <v>2061114.689</v>
          </cell>
          <cell r="I36">
            <v>2090967.929</v>
          </cell>
          <cell r="J36">
            <v>2120387.96</v>
          </cell>
          <cell r="K36">
            <v>2158551.4679999999</v>
          </cell>
          <cell r="L36">
            <v>2199167.179</v>
          </cell>
          <cell r="M36">
            <v>2240849.2620000001</v>
          </cell>
          <cell r="N36">
            <v>2283275.5329999998</v>
          </cell>
          <cell r="O36">
            <v>2325019.0329999998</v>
          </cell>
          <cell r="P36">
            <v>2366891.3130000001</v>
          </cell>
          <cell r="Q36">
            <v>2409360.1839999999</v>
          </cell>
          <cell r="R36">
            <v>2452543.642</v>
          </cell>
          <cell r="S36">
            <v>2496954.3879999998</v>
          </cell>
          <cell r="T36">
            <v>2543033.9709999999</v>
          </cell>
          <cell r="U36">
            <v>2591121.1409999998</v>
          </cell>
          <cell r="V36">
            <v>2641573.7119999998</v>
          </cell>
          <cell r="W36">
            <v>2694660.6710000001</v>
          </cell>
          <cell r="X36">
            <v>2750778.773</v>
          </cell>
          <cell r="Y36">
            <v>2810217.6129999999</v>
          </cell>
          <cell r="Z36">
            <v>2873029.986</v>
          </cell>
          <cell r="AA36">
            <v>2939292.1850000001</v>
          </cell>
          <cell r="AB36">
            <v>3009151.8250000002</v>
          </cell>
          <cell r="AC36">
            <v>3082846.6660000002</v>
          </cell>
          <cell r="AD36">
            <v>3160577.02</v>
          </cell>
          <cell r="AE36">
            <v>3242062.4470000002</v>
          </cell>
          <cell r="AF36">
            <v>3326732.804</v>
          </cell>
          <cell r="AG36">
            <v>3414041.3369999998</v>
          </cell>
          <cell r="AH36">
            <v>3503568.7050000001</v>
          </cell>
          <cell r="AI36">
            <v>3594982.9959999998</v>
          </cell>
          <cell r="AJ36">
            <v>3687977.9819999998</v>
          </cell>
          <cell r="AK36">
            <v>3782228.4389999998</v>
          </cell>
        </row>
        <row r="37">
          <cell r="B37">
            <v>1901284.6089999999</v>
          </cell>
          <cell r="C37">
            <v>1913339.25</v>
          </cell>
          <cell r="D37">
            <v>1933581.4709999999</v>
          </cell>
          <cell r="E37">
            <v>1961728.348</v>
          </cell>
          <cell r="F37">
            <v>1993202.1529999999</v>
          </cell>
          <cell r="G37">
            <v>2026600.405</v>
          </cell>
          <cell r="H37">
            <v>2060214.754</v>
          </cell>
          <cell r="I37">
            <v>2093811.9580000001</v>
          </cell>
          <cell r="J37">
            <v>2127811.037</v>
          </cell>
          <cell r="K37">
            <v>2162708.6740000001</v>
          </cell>
          <cell r="L37">
            <v>2198877.9389999998</v>
          </cell>
          <cell r="M37">
            <v>2236527.1150000002</v>
          </cell>
          <cell r="N37">
            <v>2275075.6519999998</v>
          </cell>
          <cell r="O37">
            <v>2312938.7030000002</v>
          </cell>
          <cell r="P37">
            <v>2350600.4989999998</v>
          </cell>
          <cell r="Q37">
            <v>2388673.92</v>
          </cell>
          <cell r="R37">
            <v>2428444.986</v>
          </cell>
          <cell r="S37">
            <v>2470748.3620000002</v>
          </cell>
          <cell r="T37">
            <v>2515797.6570000001</v>
          </cell>
          <cell r="U37">
            <v>2563520.423</v>
          </cell>
          <cell r="V37">
            <v>2613939.378</v>
          </cell>
          <cell r="W37">
            <v>2667139.7590000001</v>
          </cell>
          <cell r="X37">
            <v>2723444.06</v>
          </cell>
          <cell r="Y37">
            <v>2783095.8569999998</v>
          </cell>
          <cell r="Z37">
            <v>2846118.2829999998</v>
          </cell>
          <cell r="AA37">
            <v>2912581.2910000002</v>
          </cell>
          <cell r="AB37">
            <v>2982628.3339999998</v>
          </cell>
          <cell r="AC37">
            <v>3056644.2659999998</v>
          </cell>
          <cell r="AD37">
            <v>3134790.8020000001</v>
          </cell>
          <cell r="AE37">
            <v>3216685.932</v>
          </cell>
          <cell r="AF37">
            <v>3301665.0970000001</v>
          </cell>
          <cell r="AG37">
            <v>3389150.5630000001</v>
          </cell>
          <cell r="AH37">
            <v>3478724.16</v>
          </cell>
          <cell r="AI37">
            <v>3570019.0359999998</v>
          </cell>
          <cell r="AJ37">
            <v>3662675.4339999999</v>
          </cell>
          <cell r="AK37">
            <v>3756318.4270000001</v>
          </cell>
        </row>
        <row r="38">
          <cell r="B38">
            <v>661855.73510000005</v>
          </cell>
          <cell r="C38">
            <v>668583.63540000003</v>
          </cell>
          <cell r="D38">
            <v>676990.29009999998</v>
          </cell>
          <cell r="E38">
            <v>686752.01260000002</v>
          </cell>
          <cell r="F38">
            <v>697142.82579999999</v>
          </cell>
          <cell r="G38">
            <v>707929.62730000005</v>
          </cell>
          <cell r="H38">
            <v>719023.19110000005</v>
          </cell>
          <cell r="I38">
            <v>730071.49100000004</v>
          </cell>
          <cell r="J38">
            <v>741155.10889999999</v>
          </cell>
          <cell r="K38">
            <v>753062.04850000003</v>
          </cell>
          <cell r="L38">
            <v>765387.32460000005</v>
          </cell>
          <cell r="M38">
            <v>778011.48959999997</v>
          </cell>
          <cell r="N38">
            <v>791010.82510000002</v>
          </cell>
          <cell r="O38">
            <v>804245.7611</v>
          </cell>
          <cell r="P38">
            <v>817728.22660000005</v>
          </cell>
          <cell r="Q38">
            <v>831465.40480000002</v>
          </cell>
          <cell r="R38">
            <v>845498.97349999996</v>
          </cell>
          <cell r="S38">
            <v>859834.26359999995</v>
          </cell>
          <cell r="T38">
            <v>874516.36750000005</v>
          </cell>
          <cell r="U38">
            <v>889587.67630000005</v>
          </cell>
          <cell r="V38">
            <v>905091.15350000001</v>
          </cell>
          <cell r="W38">
            <v>921058.45550000004</v>
          </cell>
          <cell r="X38">
            <v>937530.49100000004</v>
          </cell>
          <cell r="Y38">
            <v>954540.80790000001</v>
          </cell>
          <cell r="Z38">
            <v>972100.71129999997</v>
          </cell>
          <cell r="AA38">
            <v>990219.89560000005</v>
          </cell>
          <cell r="AB38">
            <v>1008905.821</v>
          </cell>
          <cell r="AC38">
            <v>1028181.15</v>
          </cell>
          <cell r="AD38">
            <v>1048077.287</v>
          </cell>
          <cell r="AE38">
            <v>1068590.9539999999</v>
          </cell>
          <cell r="AF38">
            <v>1089690.888</v>
          </cell>
          <cell r="AG38">
            <v>1111338.3959999999</v>
          </cell>
          <cell r="AH38">
            <v>1133499.6470000001</v>
          </cell>
          <cell r="AI38">
            <v>1156151.763</v>
          </cell>
          <cell r="AJ38">
            <v>1179275.351</v>
          </cell>
          <cell r="AK38">
            <v>1202847.344</v>
          </cell>
        </row>
        <row r="39">
          <cell r="B39">
            <v>661855.73510000005</v>
          </cell>
          <cell r="C39">
            <v>668583.63540000003</v>
          </cell>
          <cell r="D39">
            <v>676990.29009999998</v>
          </cell>
          <cell r="E39">
            <v>686752.01260000002</v>
          </cell>
          <cell r="F39">
            <v>697142.82579999999</v>
          </cell>
          <cell r="G39">
            <v>707929.62730000005</v>
          </cell>
          <cell r="H39">
            <v>718931.65599999996</v>
          </cell>
          <cell r="I39">
            <v>730098.32339999999</v>
          </cell>
          <cell r="J39">
            <v>741461.20039999997</v>
          </cell>
          <cell r="K39">
            <v>753067.65729999996</v>
          </cell>
          <cell r="L39">
            <v>764959.05940000003</v>
          </cell>
          <cell r="M39">
            <v>777169.34439999994</v>
          </cell>
          <cell r="N39">
            <v>789668.83479999995</v>
          </cell>
          <cell r="O39">
            <v>802334.81779999996</v>
          </cell>
          <cell r="P39">
            <v>815198.50280000002</v>
          </cell>
          <cell r="Q39">
            <v>828308.06140000001</v>
          </cell>
          <cell r="R39">
            <v>841794.08689999999</v>
          </cell>
          <cell r="S39">
            <v>855748.5514</v>
          </cell>
          <cell r="T39">
            <v>870192.48270000005</v>
          </cell>
          <cell r="U39">
            <v>885117.80909999995</v>
          </cell>
          <cell r="V39">
            <v>900526.75410000002</v>
          </cell>
          <cell r="W39">
            <v>916429.63699999999</v>
          </cell>
          <cell r="X39">
            <v>932858.08259999997</v>
          </cell>
          <cell r="Y39">
            <v>949837.94669999997</v>
          </cell>
          <cell r="Z39">
            <v>967375.61589999998</v>
          </cell>
          <cell r="AA39">
            <v>985479.52890000003</v>
          </cell>
          <cell r="AB39">
            <v>1004165.53</v>
          </cell>
          <cell r="AC39">
            <v>1023471.96</v>
          </cell>
          <cell r="AD39">
            <v>1043422.172</v>
          </cell>
          <cell r="AE39">
            <v>1063998.9920000001</v>
          </cell>
          <cell r="AF39">
            <v>1085160.01</v>
          </cell>
          <cell r="AG39">
            <v>1106865.4350000001</v>
          </cell>
          <cell r="AH39">
            <v>1129083.9639999999</v>
          </cell>
          <cell r="AI39">
            <v>1151787.541</v>
          </cell>
          <cell r="AJ39">
            <v>1174949.334</v>
          </cell>
          <cell r="AK39">
            <v>1198540.497</v>
          </cell>
        </row>
        <row r="40">
          <cell r="B40">
            <v>5800.6352269999998</v>
          </cell>
          <cell r="C40">
            <v>6516.0046140000004</v>
          </cell>
          <cell r="D40">
            <v>7126.2234120000003</v>
          </cell>
          <cell r="E40">
            <v>7616.1151769999997</v>
          </cell>
          <cell r="F40">
            <v>8019.514795</v>
          </cell>
          <cell r="G40">
            <v>8366.247738</v>
          </cell>
          <cell r="H40">
            <v>8675.0986709999997</v>
          </cell>
          <cell r="I40">
            <v>8868.0275839999995</v>
          </cell>
          <cell r="J40">
            <v>9037.2462340000002</v>
          </cell>
          <cell r="K40">
            <v>9229.0180149999997</v>
          </cell>
          <cell r="L40">
            <v>9412.9865420000006</v>
          </cell>
          <cell r="M40">
            <v>9585.686103</v>
          </cell>
          <cell r="N40">
            <v>9739.0013089999993</v>
          </cell>
          <cell r="O40">
            <v>9870.4886669999996</v>
          </cell>
          <cell r="P40">
            <v>9990.8096740000001</v>
          </cell>
          <cell r="Q40">
            <v>10107.31532</v>
          </cell>
          <cell r="R40">
            <v>10278.902</v>
          </cell>
          <cell r="S40">
            <v>10459.05875</v>
          </cell>
          <cell r="T40">
            <v>10651.21326</v>
          </cell>
          <cell r="U40">
            <v>10856.57519</v>
          </cell>
          <cell r="V40">
            <v>11076.901739999999</v>
          </cell>
          <cell r="W40">
            <v>11314.06963</v>
          </cell>
          <cell r="X40">
            <v>11571.016799999999</v>
          </cell>
          <cell r="Y40">
            <v>11848.709720000001</v>
          </cell>
          <cell r="Z40">
            <v>12146.293470000001</v>
          </cell>
          <cell r="AA40">
            <v>12463.780699999999</v>
          </cell>
          <cell r="AB40">
            <v>12788.338680000001</v>
          </cell>
          <cell r="AC40">
            <v>13138.204229999999</v>
          </cell>
          <cell r="AD40">
            <v>13513.591839999999</v>
          </cell>
          <cell r="AE40">
            <v>13910.055850000001</v>
          </cell>
          <cell r="AF40">
            <v>14321.92762</v>
          </cell>
          <cell r="AG40">
            <v>14745.851699999999</v>
          </cell>
          <cell r="AH40">
            <v>15180.2222</v>
          </cell>
          <cell r="AI40">
            <v>15622.810719999999</v>
          </cell>
          <cell r="AJ40">
            <v>16070.797500000001</v>
          </cell>
          <cell r="AK40">
            <v>16520.01442</v>
          </cell>
        </row>
        <row r="41">
          <cell r="B41">
            <v>5800.6352269999998</v>
          </cell>
          <cell r="C41">
            <v>6516.0046140000004</v>
          </cell>
          <cell r="D41">
            <v>7126.2234120000003</v>
          </cell>
          <cell r="E41">
            <v>7616.1151769999997</v>
          </cell>
          <cell r="F41">
            <v>8019.514795</v>
          </cell>
          <cell r="G41">
            <v>8366.247738</v>
          </cell>
          <cell r="H41">
            <v>8669.4054799999994</v>
          </cell>
          <cell r="I41">
            <v>8938.6690450000006</v>
          </cell>
          <cell r="J41">
            <v>9181.8953700000002</v>
          </cell>
          <cell r="K41">
            <v>9406.0120279999992</v>
          </cell>
          <cell r="L41">
            <v>9616.8641690000004</v>
          </cell>
          <cell r="M41">
            <v>9818.6514630000001</v>
          </cell>
          <cell r="N41">
            <v>10008.561449999999</v>
          </cell>
          <cell r="O41">
            <v>10176.026599999999</v>
          </cell>
          <cell r="P41">
            <v>10330.504709999999</v>
          </cell>
          <cell r="Q41">
            <v>10480.453159999999</v>
          </cell>
          <cell r="R41">
            <v>10637.1736</v>
          </cell>
          <cell r="S41">
            <v>10809.95679</v>
          </cell>
          <cell r="T41">
            <v>11002.131009999999</v>
          </cell>
          <cell r="U41">
            <v>11213.754430000001</v>
          </cell>
          <cell r="V41">
            <v>11445.044309999999</v>
          </cell>
          <cell r="W41">
            <v>11696.07172</v>
          </cell>
          <cell r="X41">
            <v>11968.410690000001</v>
          </cell>
          <cell r="Y41">
            <v>12262.621569999999</v>
          </cell>
          <cell r="Z41">
            <v>12577.7052</v>
          </cell>
          <cell r="AA41">
            <v>12913.61477</v>
          </cell>
          <cell r="AB41">
            <v>13271.02664</v>
          </cell>
          <cell r="AC41">
            <v>13652.30385</v>
          </cell>
          <cell r="AD41">
            <v>14057.80954</v>
          </cell>
          <cell r="AE41">
            <v>14483.147989999999</v>
          </cell>
          <cell r="AF41">
            <v>14922.50275</v>
          </cell>
          <cell r="AG41">
            <v>15371.69527</v>
          </cell>
          <cell r="AH41">
            <v>15828.16893</v>
          </cell>
          <cell r="AI41">
            <v>16289.927610000001</v>
          </cell>
          <cell r="AJ41">
            <v>16755.10396</v>
          </cell>
          <cell r="AK41">
            <v>17221.744429999999</v>
          </cell>
        </row>
        <row r="42">
          <cell r="B42">
            <v>45644.842470000003</v>
          </cell>
          <cell r="C42">
            <v>46391.860159999997</v>
          </cell>
          <cell r="D42">
            <v>47026.927880000003</v>
          </cell>
          <cell r="E42">
            <v>47610.169329999997</v>
          </cell>
          <cell r="F42">
            <v>48215.156410000003</v>
          </cell>
          <cell r="G42">
            <v>48840.64415</v>
          </cell>
          <cell r="H42">
            <v>49458.644160000003</v>
          </cell>
          <cell r="I42">
            <v>47724.938719999998</v>
          </cell>
          <cell r="J42">
            <v>45866.211490000002</v>
          </cell>
          <cell r="K42">
            <v>43981.539640000003</v>
          </cell>
          <cell r="L42">
            <v>41975.851549999999</v>
          </cell>
          <cell r="M42">
            <v>39921.427450000003</v>
          </cell>
          <cell r="N42">
            <v>37864.731460000003</v>
          </cell>
          <cell r="O42">
            <v>35840.689890000001</v>
          </cell>
          <cell r="P42">
            <v>33899.84852</v>
          </cell>
          <cell r="Q42">
            <v>32066.771280000001</v>
          </cell>
          <cell r="R42">
            <v>30445.22148</v>
          </cell>
          <cell r="S42">
            <v>28924.254369999999</v>
          </cell>
          <cell r="T42">
            <v>27500.914270000001</v>
          </cell>
          <cell r="U42">
            <v>26171.34461</v>
          </cell>
          <cell r="V42">
            <v>24931.817070000001</v>
          </cell>
          <cell r="W42">
            <v>23778.664639999999</v>
          </cell>
          <cell r="X42">
            <v>22709.618020000002</v>
          </cell>
          <cell r="Y42">
            <v>21720.907579999999</v>
          </cell>
          <cell r="Z42">
            <v>20807.095000000001</v>
          </cell>
          <cell r="AA42">
            <v>19963.725610000001</v>
          </cell>
          <cell r="AB42">
            <v>19205.179830000001</v>
          </cell>
          <cell r="AC42">
            <v>18514.390719999999</v>
          </cell>
          <cell r="AD42">
            <v>17887.249100000001</v>
          </cell>
          <cell r="AE42">
            <v>17315.030589999998</v>
          </cell>
          <cell r="AF42">
            <v>16787.944520000001</v>
          </cell>
          <cell r="AG42">
            <v>16298.39761</v>
          </cell>
          <cell r="AH42">
            <v>15840.62536</v>
          </cell>
          <cell r="AI42">
            <v>15409.025149999999</v>
          </cell>
          <cell r="AJ42">
            <v>14997.900019999999</v>
          </cell>
          <cell r="AK42">
            <v>14601.218629999999</v>
          </cell>
        </row>
        <row r="43">
          <cell r="B43">
            <v>45644.842470000003</v>
          </cell>
          <cell r="C43">
            <v>46391.860159999997</v>
          </cell>
          <cell r="D43">
            <v>47026.927880000003</v>
          </cell>
          <cell r="E43">
            <v>47610.169329999997</v>
          </cell>
          <cell r="F43">
            <v>48215.156410000003</v>
          </cell>
          <cell r="G43">
            <v>48840.64415</v>
          </cell>
          <cell r="H43">
            <v>49413.456680000003</v>
          </cell>
          <cell r="I43">
            <v>49914.443520000001</v>
          </cell>
          <cell r="J43">
            <v>50327.478909999998</v>
          </cell>
          <cell r="K43">
            <v>50642.97683</v>
          </cell>
          <cell r="L43">
            <v>50859.32905</v>
          </cell>
          <cell r="M43">
            <v>50985.689839999999</v>
          </cell>
          <cell r="N43">
            <v>51013.449209999999</v>
          </cell>
          <cell r="O43">
            <v>50907.121090000001</v>
          </cell>
          <cell r="P43">
            <v>50736.925439999999</v>
          </cell>
          <cell r="Q43">
            <v>50562.674720000003</v>
          </cell>
          <cell r="R43">
            <v>50102.878940000002</v>
          </cell>
          <cell r="S43">
            <v>49711.342120000001</v>
          </cell>
          <cell r="T43">
            <v>49398.552949999998</v>
          </cell>
          <cell r="U43">
            <v>49164.74886</v>
          </cell>
          <cell r="V43">
            <v>49007.743699999999</v>
          </cell>
          <cell r="W43">
            <v>48924.156320000002</v>
          </cell>
          <cell r="X43">
            <v>48912.42686</v>
          </cell>
          <cell r="Y43">
            <v>48970.089249999997</v>
          </cell>
          <cell r="Z43">
            <v>49093.014799999997</v>
          </cell>
          <cell r="AA43">
            <v>49278.448329999999</v>
          </cell>
          <cell r="AB43">
            <v>49524.763180000002</v>
          </cell>
          <cell r="AC43">
            <v>49832.878810000002</v>
          </cell>
          <cell r="AD43">
            <v>50201.367420000002</v>
          </cell>
          <cell r="AE43">
            <v>50622.924420000003</v>
          </cell>
          <cell r="AF43">
            <v>51088.027959999999</v>
          </cell>
          <cell r="AG43">
            <v>51588.869189999998</v>
          </cell>
          <cell r="AH43">
            <v>52119.644630000003</v>
          </cell>
          <cell r="AI43">
            <v>52675.298759999998</v>
          </cell>
          <cell r="AJ43">
            <v>53251.035170000003</v>
          </cell>
          <cell r="AK43">
            <v>53842.061979999999</v>
          </cell>
        </row>
        <row r="44">
          <cell r="B44">
            <v>3843.6850679999998</v>
          </cell>
          <cell r="C44">
            <v>3947.601615</v>
          </cell>
          <cell r="D44">
            <v>4034.0469459999999</v>
          </cell>
          <cell r="E44">
            <v>4110.4794339999999</v>
          </cell>
          <cell r="F44">
            <v>4183.6644100000003</v>
          </cell>
          <cell r="G44">
            <v>4254.3175780000001</v>
          </cell>
          <cell r="H44">
            <v>4320.951427</v>
          </cell>
          <cell r="I44">
            <v>5438.2204929999998</v>
          </cell>
          <cell r="J44">
            <v>6507.564249</v>
          </cell>
          <cell r="K44">
            <v>7514.4698930000004</v>
          </cell>
          <cell r="L44">
            <v>8439.4070859999993</v>
          </cell>
          <cell r="M44">
            <v>9279.9064739999994</v>
          </cell>
          <cell r="N44">
            <v>10037.86716</v>
          </cell>
          <cell r="O44">
            <v>10718.89061</v>
          </cell>
          <cell r="P44">
            <v>11331.925859999999</v>
          </cell>
          <cell r="Q44">
            <v>11885.063840000001</v>
          </cell>
          <cell r="R44">
            <v>12474.44052</v>
          </cell>
          <cell r="S44">
            <v>13030.81559</v>
          </cell>
          <cell r="T44">
            <v>13558.78527</v>
          </cell>
          <cell r="U44">
            <v>14062.71723</v>
          </cell>
          <cell r="V44">
            <v>14546.734570000001</v>
          </cell>
          <cell r="W44">
            <v>15014.856470000001</v>
          </cell>
          <cell r="X44">
            <v>15471.321480000001</v>
          </cell>
          <cell r="Y44">
            <v>15919.946029999999</v>
          </cell>
          <cell r="Z44">
            <v>16364.08842</v>
          </cell>
          <cell r="AA44">
            <v>16807.24898</v>
          </cell>
          <cell r="AB44">
            <v>17254.228810000001</v>
          </cell>
          <cell r="AC44">
            <v>17710.903920000001</v>
          </cell>
          <cell r="AD44">
            <v>18182.182970000002</v>
          </cell>
          <cell r="AE44">
            <v>18671.308959999998</v>
          </cell>
          <cell r="AF44">
            <v>19180.805230000002</v>
          </cell>
          <cell r="AG44">
            <v>19714.307560000001</v>
          </cell>
          <cell r="AH44">
            <v>20277.007280000002</v>
          </cell>
          <cell r="AI44">
            <v>20874.837019999999</v>
          </cell>
          <cell r="AJ44">
            <v>21515.104579999999</v>
          </cell>
          <cell r="AK44">
            <v>22207.40007</v>
          </cell>
        </row>
        <row r="45">
          <cell r="B45">
            <v>3843.6850679999998</v>
          </cell>
          <cell r="C45">
            <v>3947.601615</v>
          </cell>
          <cell r="D45">
            <v>4034.0469459999999</v>
          </cell>
          <cell r="E45">
            <v>4110.4794339999999</v>
          </cell>
          <cell r="F45">
            <v>4183.6644100000003</v>
          </cell>
          <cell r="G45">
            <v>4254.3175780000001</v>
          </cell>
          <cell r="H45">
            <v>4317.7658339999998</v>
          </cell>
          <cell r="I45">
            <v>4371.8253500000001</v>
          </cell>
          <cell r="J45">
            <v>4414.843836</v>
          </cell>
          <cell r="K45">
            <v>4445.8938440000002</v>
          </cell>
          <cell r="L45">
            <v>4464.9339920000002</v>
          </cell>
          <cell r="M45">
            <v>4473.0869949999997</v>
          </cell>
          <cell r="N45">
            <v>4470.0708510000004</v>
          </cell>
          <cell r="O45">
            <v>4453.33079</v>
          </cell>
          <cell r="P45">
            <v>4429.8087969999997</v>
          </cell>
          <cell r="Q45">
            <v>4405.3896949999998</v>
          </cell>
          <cell r="R45">
            <v>4348.4413240000003</v>
          </cell>
          <cell r="S45">
            <v>4296.685144</v>
          </cell>
          <cell r="T45">
            <v>4251.1725130000004</v>
          </cell>
          <cell r="U45">
            <v>4212.0535520000003</v>
          </cell>
          <cell r="V45">
            <v>4179.1421630000004</v>
          </cell>
          <cell r="W45">
            <v>4152.1134510000002</v>
          </cell>
          <cell r="X45">
            <v>4130.6780500000004</v>
          </cell>
          <cell r="Y45">
            <v>4114.5319090000003</v>
          </cell>
          <cell r="Z45">
            <v>4103.3333389999998</v>
          </cell>
          <cell r="AA45">
            <v>4096.7921530000003</v>
          </cell>
          <cell r="AB45">
            <v>4094.6732010000001</v>
          </cell>
          <cell r="AC45">
            <v>4096.8419610000001</v>
          </cell>
          <cell r="AD45">
            <v>4103.1090389999999</v>
          </cell>
          <cell r="AE45">
            <v>4113.0781559999996</v>
          </cell>
          <cell r="AF45">
            <v>4126.2570429999996</v>
          </cell>
          <cell r="AG45">
            <v>4142.2003930000001</v>
          </cell>
          <cell r="AH45">
            <v>4160.5402880000001</v>
          </cell>
          <cell r="AI45">
            <v>4180.9531370000004</v>
          </cell>
          <cell r="AJ45">
            <v>4203.1410070000002</v>
          </cell>
          <cell r="AK45">
            <v>4226.8209200000001</v>
          </cell>
        </row>
        <row r="46">
          <cell r="B46">
            <v>18374.111099999998</v>
          </cell>
          <cell r="C46">
            <v>19255.038949999998</v>
          </cell>
          <cell r="D46">
            <v>19958.078580000001</v>
          </cell>
          <cell r="E46">
            <v>20514.204519999999</v>
          </cell>
          <cell r="F46">
            <v>21020.370050000001</v>
          </cell>
          <cell r="G46">
            <v>21490.73054</v>
          </cell>
          <cell r="H46">
            <v>21945.379359999999</v>
          </cell>
          <cell r="I46">
            <v>22092.61565</v>
          </cell>
          <cell r="J46">
            <v>22167.915379999999</v>
          </cell>
          <cell r="K46">
            <v>22263.09995</v>
          </cell>
          <cell r="L46">
            <v>22352.749210000002</v>
          </cell>
          <cell r="M46">
            <v>22488.361000000001</v>
          </cell>
          <cell r="N46">
            <v>22645.164540000002</v>
          </cell>
          <cell r="O46">
            <v>22805.129649999999</v>
          </cell>
          <cell r="P46">
            <v>22971.317869999999</v>
          </cell>
          <cell r="Q46">
            <v>23146.73041</v>
          </cell>
          <cell r="R46">
            <v>23285.386409999999</v>
          </cell>
          <cell r="S46">
            <v>23415.986850000001</v>
          </cell>
          <cell r="T46">
            <v>23549.205399999999</v>
          </cell>
          <cell r="U46">
            <v>23691.094880000001</v>
          </cell>
          <cell r="V46">
            <v>23845.75834</v>
          </cell>
          <cell r="W46">
            <v>24015.913410000001</v>
          </cell>
          <cell r="X46">
            <v>24203.12874</v>
          </cell>
          <cell r="Y46">
            <v>24404.477129999999</v>
          </cell>
          <cell r="Z46">
            <v>24615.488590000001</v>
          </cell>
          <cell r="AA46">
            <v>24830.733459999999</v>
          </cell>
          <cell r="AB46">
            <v>25046.250810000001</v>
          </cell>
          <cell r="AC46">
            <v>25254.832640000001</v>
          </cell>
          <cell r="AD46">
            <v>25441.10097</v>
          </cell>
          <cell r="AE46">
            <v>25578.456099999999</v>
          </cell>
          <cell r="AF46">
            <v>25627.752540000001</v>
          </cell>
          <cell r="AG46">
            <v>25533.092130000001</v>
          </cell>
          <cell r="AH46">
            <v>25206.910810000001</v>
          </cell>
          <cell r="AI46">
            <v>24497.105380000001</v>
          </cell>
          <cell r="AJ46">
            <v>23116.602630000001</v>
          </cell>
          <cell r="AK46">
            <v>20452.704399999999</v>
          </cell>
        </row>
        <row r="47">
          <cell r="B47">
            <v>18374.111099999998</v>
          </cell>
          <cell r="C47">
            <v>19255.038949999998</v>
          </cell>
          <cell r="D47">
            <v>19958.078580000001</v>
          </cell>
          <cell r="E47">
            <v>20514.204519999999</v>
          </cell>
          <cell r="F47">
            <v>21020.370050000001</v>
          </cell>
          <cell r="G47">
            <v>21490.73054</v>
          </cell>
          <cell r="H47">
            <v>21900.627410000001</v>
          </cell>
          <cell r="I47">
            <v>22247.704839999999</v>
          </cell>
          <cell r="J47">
            <v>22540.87225</v>
          </cell>
          <cell r="K47">
            <v>22795.20508</v>
          </cell>
          <cell r="L47">
            <v>23024.522440000001</v>
          </cell>
          <cell r="M47">
            <v>23238.681840000001</v>
          </cell>
          <cell r="N47">
            <v>23438.45635</v>
          </cell>
          <cell r="O47">
            <v>23614.500390000001</v>
          </cell>
          <cell r="P47">
            <v>23775.244460000002</v>
          </cell>
          <cell r="Q47">
            <v>23929.58124</v>
          </cell>
          <cell r="R47">
            <v>24104.12975</v>
          </cell>
          <cell r="S47">
            <v>24320.941739999998</v>
          </cell>
          <cell r="T47">
            <v>24579.62673</v>
          </cell>
          <cell r="U47">
            <v>24874.85801</v>
          </cell>
          <cell r="V47">
            <v>25202.404869999998</v>
          </cell>
          <cell r="W47">
            <v>25559.04117</v>
          </cell>
          <cell r="X47">
            <v>25943.773690000002</v>
          </cell>
          <cell r="Y47">
            <v>26355.957750000001</v>
          </cell>
          <cell r="Z47">
            <v>26794.17683</v>
          </cell>
          <cell r="AA47">
            <v>27257.825580000001</v>
          </cell>
          <cell r="AB47">
            <v>27746.995900000002</v>
          </cell>
          <cell r="AC47">
            <v>28263.198759999999</v>
          </cell>
          <cell r="AD47">
            <v>28806.578750000001</v>
          </cell>
          <cell r="AE47">
            <v>29372.96169</v>
          </cell>
          <cell r="AF47">
            <v>29956.122350000001</v>
          </cell>
          <cell r="AG47">
            <v>30550.453699999998</v>
          </cell>
          <cell r="AH47">
            <v>31151.62023</v>
          </cell>
          <cell r="AI47">
            <v>31756.00534</v>
          </cell>
          <cell r="AJ47">
            <v>32360.385709999999</v>
          </cell>
          <cell r="AK47">
            <v>32961.654459999998</v>
          </cell>
        </row>
        <row r="48">
          <cell r="B48">
            <v>312.31665390000001</v>
          </cell>
          <cell r="C48">
            <v>327.29035440000001</v>
          </cell>
          <cell r="D48">
            <v>339.24037390000001</v>
          </cell>
          <cell r="E48">
            <v>348.69320620000002</v>
          </cell>
          <cell r="F48">
            <v>357.29682919999999</v>
          </cell>
          <cell r="G48">
            <v>365.29185080000002</v>
          </cell>
          <cell r="H48">
            <v>373.01981089999998</v>
          </cell>
          <cell r="I48">
            <v>409.89237889999998</v>
          </cell>
          <cell r="J48">
            <v>448.15164190000002</v>
          </cell>
          <cell r="K48">
            <v>489.73696009999998</v>
          </cell>
          <cell r="L48">
            <v>534.47513400000003</v>
          </cell>
          <cell r="M48">
            <v>584.04789200000005</v>
          </cell>
          <cell r="N48">
            <v>638.49977609999996</v>
          </cell>
          <cell r="O48">
            <v>697.96648070000003</v>
          </cell>
          <cell r="P48">
            <v>763.21494270000005</v>
          </cell>
          <cell r="Q48">
            <v>835.16563570000005</v>
          </cell>
          <cell r="R48">
            <v>913.01043059999995</v>
          </cell>
          <cell r="S48">
            <v>998.69216140000003</v>
          </cell>
          <cell r="T48">
            <v>1093.9037209999999</v>
          </cell>
          <cell r="U48">
            <v>1200.5495840000001</v>
          </cell>
          <cell r="V48">
            <v>1320.915536</v>
          </cell>
          <cell r="W48">
            <v>1457.8037179999999</v>
          </cell>
          <cell r="X48">
            <v>1614.7063720000001</v>
          </cell>
          <cell r="Y48">
            <v>1795.7931570000001</v>
          </cell>
          <cell r="Z48">
            <v>2006.36034</v>
          </cell>
          <cell r="AA48">
            <v>2253.3325239999999</v>
          </cell>
          <cell r="AB48">
            <v>2546.2340880000002</v>
          </cell>
          <cell r="AC48">
            <v>2897.964536</v>
          </cell>
          <cell r="AD48">
            <v>3325.9683209999998</v>
          </cell>
          <cell r="AE48">
            <v>3854.4504270000002</v>
          </cell>
          <cell r="AF48">
            <v>4518.7075500000001</v>
          </cell>
          <cell r="AG48">
            <v>5373.1161650000004</v>
          </cell>
          <cell r="AH48">
            <v>6505.7184269999998</v>
          </cell>
          <cell r="AI48">
            <v>8067.8977340000001</v>
          </cell>
          <cell r="AJ48">
            <v>10343.893239999999</v>
          </cell>
          <cell r="AK48">
            <v>13936.706330000001</v>
          </cell>
        </row>
        <row r="49">
          <cell r="B49">
            <v>312.31665390000001</v>
          </cell>
          <cell r="C49">
            <v>327.29035440000001</v>
          </cell>
          <cell r="D49">
            <v>339.24037390000001</v>
          </cell>
          <cell r="E49">
            <v>348.69320620000002</v>
          </cell>
          <cell r="F49">
            <v>357.29682919999999</v>
          </cell>
          <cell r="G49">
            <v>365.29185080000002</v>
          </cell>
          <cell r="H49">
            <v>372.25913300000002</v>
          </cell>
          <cell r="I49">
            <v>378.15863259999998</v>
          </cell>
          <cell r="J49">
            <v>383.14178879999997</v>
          </cell>
          <cell r="K49">
            <v>387.46484839999999</v>
          </cell>
          <cell r="L49">
            <v>391.36270400000001</v>
          </cell>
          <cell r="M49">
            <v>395.00290990000002</v>
          </cell>
          <cell r="N49">
            <v>398.39860650000003</v>
          </cell>
          <cell r="O49">
            <v>401.39094089999998</v>
          </cell>
          <cell r="P49">
            <v>404.12321179999998</v>
          </cell>
          <cell r="Q49">
            <v>406.74657400000001</v>
          </cell>
          <cell r="R49">
            <v>409.71348799999998</v>
          </cell>
          <cell r="S49">
            <v>413.39878169999997</v>
          </cell>
          <cell r="T49">
            <v>417.79581780000001</v>
          </cell>
          <cell r="U49">
            <v>422.81405480000001</v>
          </cell>
          <cell r="V49">
            <v>428.38158060000001</v>
          </cell>
          <cell r="W49">
            <v>434.44355849999999</v>
          </cell>
          <cell r="X49">
            <v>440.98310620000001</v>
          </cell>
          <cell r="Y49">
            <v>447.9892653</v>
          </cell>
          <cell r="Z49">
            <v>455.43795849999998</v>
          </cell>
          <cell r="AA49">
            <v>463.31889630000001</v>
          </cell>
          <cell r="AB49">
            <v>471.63364080000002</v>
          </cell>
          <cell r="AC49">
            <v>480.40787469999998</v>
          </cell>
          <cell r="AD49">
            <v>489.64405599999998</v>
          </cell>
          <cell r="AE49">
            <v>499.27123330000001</v>
          </cell>
          <cell r="AF49">
            <v>509.18359220000002</v>
          </cell>
          <cell r="AG49">
            <v>519.2858268</v>
          </cell>
          <cell r="AH49">
            <v>529.50424310000005</v>
          </cell>
          <cell r="AI49">
            <v>539.77736789999994</v>
          </cell>
          <cell r="AJ49">
            <v>550.05041210000002</v>
          </cell>
          <cell r="AK49">
            <v>560.27056600000003</v>
          </cell>
        </row>
        <row r="50">
          <cell r="B50">
            <v>32448.177339999998</v>
          </cell>
          <cell r="C50">
            <v>32807.938289999998</v>
          </cell>
          <cell r="D50">
            <v>33129.525119999998</v>
          </cell>
          <cell r="E50">
            <v>33497.306389999998</v>
          </cell>
          <cell r="F50">
            <v>33858.501629999999</v>
          </cell>
          <cell r="G50">
            <v>34257.348810000003</v>
          </cell>
          <cell r="H50">
            <v>34712.575449999997</v>
          </cell>
          <cell r="I50">
            <v>34633.261440000002</v>
          </cell>
          <cell r="J50">
            <v>34624.810259999998</v>
          </cell>
          <cell r="K50">
            <v>34830.828260000002</v>
          </cell>
          <cell r="L50">
            <v>35084.843009999997</v>
          </cell>
          <cell r="M50">
            <v>35287.03701</v>
          </cell>
          <cell r="N50">
            <v>35425.904979999999</v>
          </cell>
          <cell r="O50">
            <v>35476.26107</v>
          </cell>
          <cell r="P50">
            <v>35456.914259999998</v>
          </cell>
          <cell r="Q50">
            <v>35373.137569999999</v>
          </cell>
          <cell r="R50">
            <v>35180.616820000003</v>
          </cell>
          <cell r="S50">
            <v>34934.125650000002</v>
          </cell>
          <cell r="T50">
            <v>34630.451090000002</v>
          </cell>
          <cell r="U50">
            <v>34268.621639999998</v>
          </cell>
          <cell r="V50">
            <v>33850.83698</v>
          </cell>
          <cell r="W50">
            <v>33380.739569999998</v>
          </cell>
          <cell r="X50">
            <v>32862.71559</v>
          </cell>
          <cell r="Y50">
            <v>32296.399509999999</v>
          </cell>
          <cell r="Z50">
            <v>31678.495050000001</v>
          </cell>
          <cell r="AA50">
            <v>31006.143069999998</v>
          </cell>
          <cell r="AB50">
            <v>30295.298009999999</v>
          </cell>
          <cell r="AC50">
            <v>29537.001219999998</v>
          </cell>
          <cell r="AD50">
            <v>28725.708989999999</v>
          </cell>
          <cell r="AE50">
            <v>27849.756089999999</v>
          </cell>
          <cell r="AF50">
            <v>26897.25331</v>
          </cell>
          <cell r="AG50">
            <v>25861.433349999999</v>
          </cell>
          <cell r="AH50">
            <v>24738.80111</v>
          </cell>
          <cell r="AI50">
            <v>23524.685320000001</v>
          </cell>
          <cell r="AJ50">
            <v>22214.754359999999</v>
          </cell>
          <cell r="AK50">
            <v>20805.554649999998</v>
          </cell>
        </row>
        <row r="51">
          <cell r="B51">
            <v>32448.177339999998</v>
          </cell>
          <cell r="C51">
            <v>32807.938289999998</v>
          </cell>
          <cell r="D51">
            <v>33129.525119999998</v>
          </cell>
          <cell r="E51">
            <v>33497.306389999998</v>
          </cell>
          <cell r="F51">
            <v>33858.501629999999</v>
          </cell>
          <cell r="G51">
            <v>34257.348810000003</v>
          </cell>
          <cell r="H51">
            <v>34730.708740000002</v>
          </cell>
          <cell r="I51">
            <v>35276.79421</v>
          </cell>
          <cell r="J51">
            <v>35903.964039999999</v>
          </cell>
          <cell r="K51">
            <v>36622.443740000002</v>
          </cell>
          <cell r="L51">
            <v>37441.463100000001</v>
          </cell>
          <cell r="M51">
            <v>38360.403559999999</v>
          </cell>
          <cell r="N51">
            <v>39356.97999</v>
          </cell>
          <cell r="O51">
            <v>40386.575770000003</v>
          </cell>
          <cell r="P51">
            <v>41439.46918</v>
          </cell>
          <cell r="Q51">
            <v>42507.531029999998</v>
          </cell>
          <cell r="R51">
            <v>43568.475729999998</v>
          </cell>
          <cell r="S51">
            <v>44639.929640000002</v>
          </cell>
          <cell r="T51">
            <v>45727.612809999999</v>
          </cell>
          <cell r="U51">
            <v>46831.795319999997</v>
          </cell>
          <cell r="V51">
            <v>47953.63437</v>
          </cell>
          <cell r="W51">
            <v>49094.555540000001</v>
          </cell>
          <cell r="X51">
            <v>50259.65984</v>
          </cell>
          <cell r="Y51">
            <v>51452.910369999998</v>
          </cell>
          <cell r="Z51">
            <v>52675.814440000002</v>
          </cell>
          <cell r="AA51">
            <v>53930.78024</v>
          </cell>
          <cell r="AB51">
            <v>55220.892870000003</v>
          </cell>
          <cell r="AC51">
            <v>56551.952689999998</v>
          </cell>
          <cell r="AD51">
            <v>57925.338649999998</v>
          </cell>
          <cell r="AE51">
            <v>59331.703560000002</v>
          </cell>
          <cell r="AF51">
            <v>60757.677069999998</v>
          </cell>
          <cell r="AG51">
            <v>62192.25909</v>
          </cell>
          <cell r="AH51">
            <v>63627.65713</v>
          </cell>
          <cell r="AI51">
            <v>65057.549590000002</v>
          </cell>
          <cell r="AJ51">
            <v>66476.323610000007</v>
          </cell>
          <cell r="AK51">
            <v>67878.66661</v>
          </cell>
        </row>
        <row r="52">
          <cell r="B52">
            <v>433.55112919999999</v>
          </cell>
          <cell r="C52">
            <v>438.3580177</v>
          </cell>
          <cell r="D52">
            <v>442.65484850000001</v>
          </cell>
          <cell r="E52">
            <v>447.56889919999998</v>
          </cell>
          <cell r="F52">
            <v>452.39495160000001</v>
          </cell>
          <cell r="G52">
            <v>457.72408430000002</v>
          </cell>
          <cell r="H52">
            <v>463.80652229999998</v>
          </cell>
          <cell r="I52">
            <v>460.02430329999999</v>
          </cell>
          <cell r="J52">
            <v>457.04512690000001</v>
          </cell>
          <cell r="K52">
            <v>456.72257350000001</v>
          </cell>
          <cell r="L52">
            <v>456.81662119999999</v>
          </cell>
          <cell r="M52">
            <v>456.00521930000002</v>
          </cell>
          <cell r="N52">
            <v>454.13586679999997</v>
          </cell>
          <cell r="O52">
            <v>450.8866238</v>
          </cell>
          <cell r="P52">
            <v>446.50108269999998</v>
          </cell>
          <cell r="Q52">
            <v>441.04559369999998</v>
          </cell>
          <cell r="R52">
            <v>433.972171</v>
          </cell>
          <cell r="S52">
            <v>425.96593289999998</v>
          </cell>
          <cell r="T52">
            <v>416.98294659999999</v>
          </cell>
          <cell r="U52">
            <v>407.00721809999999</v>
          </cell>
          <cell r="V52">
            <v>396.05984100000001</v>
          </cell>
          <cell r="W52">
            <v>384.17607029999999</v>
          </cell>
          <cell r="X52">
            <v>371.3954056</v>
          </cell>
          <cell r="Y52">
            <v>357.69897170000002</v>
          </cell>
          <cell r="Z52">
            <v>343.03376609999998</v>
          </cell>
          <cell r="AA52">
            <v>327.3516017</v>
          </cell>
          <cell r="AB52">
            <v>310.79695959999998</v>
          </cell>
          <cell r="AC52">
            <v>293.24181620000002</v>
          </cell>
          <cell r="AD52">
            <v>274.59505669999999</v>
          </cell>
          <cell r="AE52">
            <v>254.70953470000001</v>
          </cell>
          <cell r="AF52">
            <v>233.44751690000001</v>
          </cell>
          <cell r="AG52">
            <v>210.7287268</v>
          </cell>
          <cell r="AH52">
            <v>186.50660880000001</v>
          </cell>
          <cell r="AI52">
            <v>160.7300075</v>
          </cell>
          <cell r="AJ52">
            <v>133.3586215</v>
          </cell>
          <cell r="AK52">
            <v>104.3681923</v>
          </cell>
        </row>
        <row r="53">
          <cell r="B53">
            <v>433.55112919999999</v>
          </cell>
          <cell r="C53">
            <v>438.3580177</v>
          </cell>
          <cell r="D53">
            <v>442.65484850000001</v>
          </cell>
          <cell r="E53">
            <v>447.56889919999998</v>
          </cell>
          <cell r="F53">
            <v>452.39495160000001</v>
          </cell>
          <cell r="G53">
            <v>457.72408430000002</v>
          </cell>
          <cell r="H53">
            <v>464.04880730000002</v>
          </cell>
          <cell r="I53">
            <v>471.34524099999999</v>
          </cell>
          <cell r="J53">
            <v>479.72507030000003</v>
          </cell>
          <cell r="K53">
            <v>489.32492180000003</v>
          </cell>
          <cell r="L53">
            <v>500.26811789999999</v>
          </cell>
          <cell r="M53">
            <v>512.54639380000003</v>
          </cell>
          <cell r="N53">
            <v>525.8619903</v>
          </cell>
          <cell r="O53">
            <v>539.61876959999995</v>
          </cell>
          <cell r="P53">
            <v>553.68683639999995</v>
          </cell>
          <cell r="Q53">
            <v>567.95757390000006</v>
          </cell>
          <cell r="R53">
            <v>582.13321670000005</v>
          </cell>
          <cell r="S53">
            <v>596.44927670000004</v>
          </cell>
          <cell r="T53">
            <v>610.98218139999994</v>
          </cell>
          <cell r="U53">
            <v>625.73553919999995</v>
          </cell>
          <cell r="V53">
            <v>640.72481230000005</v>
          </cell>
          <cell r="W53">
            <v>655.9690478</v>
          </cell>
          <cell r="X53">
            <v>671.53640250000001</v>
          </cell>
          <cell r="Y53">
            <v>687.47982850000005</v>
          </cell>
          <cell r="Z53">
            <v>703.81946559999994</v>
          </cell>
          <cell r="AA53">
            <v>720.58749030000001</v>
          </cell>
          <cell r="AB53">
            <v>737.82512369999995</v>
          </cell>
          <cell r="AC53">
            <v>755.60986649999995</v>
          </cell>
          <cell r="AD53">
            <v>773.96014330000003</v>
          </cell>
          <cell r="AE53">
            <v>792.75106289999997</v>
          </cell>
          <cell r="AF53">
            <v>811.80397989999994</v>
          </cell>
          <cell r="AG53">
            <v>830.97191799999996</v>
          </cell>
          <cell r="AH53">
            <v>850.15075920000004</v>
          </cell>
          <cell r="AI53">
            <v>869.25603850000005</v>
          </cell>
          <cell r="AJ53">
            <v>888.21276060000002</v>
          </cell>
          <cell r="AK53">
            <v>906.94994220000001</v>
          </cell>
        </row>
        <row r="54">
          <cell r="B54">
            <v>1656.5013039999999</v>
          </cell>
          <cell r="C54">
            <v>1674.8673429999999</v>
          </cell>
          <cell r="D54">
            <v>1691.2845669999999</v>
          </cell>
          <cell r="E54">
            <v>1710.0600480000001</v>
          </cell>
          <cell r="F54">
            <v>1728.499309</v>
          </cell>
          <cell r="G54">
            <v>1748.8607260000001</v>
          </cell>
          <cell r="H54">
            <v>1772.1003519999999</v>
          </cell>
          <cell r="I54">
            <v>1753.0570809999999</v>
          </cell>
          <cell r="J54">
            <v>1736.8395270000001</v>
          </cell>
          <cell r="K54">
            <v>1730.4198369999999</v>
          </cell>
          <cell r="L54">
            <v>1725.2128640000001</v>
          </cell>
          <cell r="M54">
            <v>1716.186991</v>
          </cell>
          <cell r="N54">
            <v>1702.7616129999999</v>
          </cell>
          <cell r="O54">
            <v>1683.7312589999999</v>
          </cell>
          <cell r="P54">
            <v>1660.013616</v>
          </cell>
          <cell r="Q54">
            <v>1631.8552689999999</v>
          </cell>
          <cell r="R54">
            <v>1597.236897</v>
          </cell>
          <cell r="S54">
            <v>1558.6973539999999</v>
          </cell>
          <cell r="T54">
            <v>1516.0670930000001</v>
          </cell>
          <cell r="U54">
            <v>1469.2799199999999</v>
          </cell>
          <cell r="V54">
            <v>1418.4024340000001</v>
          </cell>
          <cell r="W54">
            <v>1363.5467100000001</v>
          </cell>
          <cell r="X54">
            <v>1304.8314419999999</v>
          </cell>
          <cell r="Y54">
            <v>1242.1609089999999</v>
          </cell>
          <cell r="Z54">
            <v>1175.3174899999999</v>
          </cell>
          <cell r="AA54">
            <v>1104.1002269999999</v>
          </cell>
          <cell r="AB54">
            <v>1028.9452839999999</v>
          </cell>
          <cell r="AC54">
            <v>949.34946860000002</v>
          </cell>
          <cell r="AD54">
            <v>864.93590359999996</v>
          </cell>
          <cell r="AE54">
            <v>775.15707950000001</v>
          </cell>
          <cell r="AF54">
            <v>679.52237660000003</v>
          </cell>
          <cell r="AG54">
            <v>577.7421875</v>
          </cell>
          <cell r="AH54">
            <v>469.63887629999999</v>
          </cell>
          <cell r="AI54">
            <v>355.03598069999998</v>
          </cell>
          <cell r="AJ54">
            <v>233.80916300000001</v>
          </cell>
          <cell r="AK54">
            <v>105.9026551</v>
          </cell>
        </row>
        <row r="55">
          <cell r="B55">
            <v>1656.5013039999999</v>
          </cell>
          <cell r="C55">
            <v>1674.8673429999999</v>
          </cell>
          <cell r="D55">
            <v>1691.2845669999999</v>
          </cell>
          <cell r="E55">
            <v>1710.0600480000001</v>
          </cell>
          <cell r="F55">
            <v>1728.499309</v>
          </cell>
          <cell r="G55">
            <v>1748.8607260000001</v>
          </cell>
          <cell r="H55">
            <v>1773.026069</v>
          </cell>
          <cell r="I55">
            <v>1800.9041</v>
          </cell>
          <cell r="J55">
            <v>1832.921542</v>
          </cell>
          <cell r="K55">
            <v>1869.600414</v>
          </cell>
          <cell r="L55">
            <v>1911.411904</v>
          </cell>
          <cell r="M55">
            <v>1958.3244340000001</v>
          </cell>
          <cell r="N55">
            <v>2009.200331</v>
          </cell>
          <cell r="O55">
            <v>2061.7618889999999</v>
          </cell>
          <cell r="P55">
            <v>2115.5128070000001</v>
          </cell>
          <cell r="Q55">
            <v>2170.0380839999998</v>
          </cell>
          <cell r="R55">
            <v>2224.2000250000001</v>
          </cell>
          <cell r="S55">
            <v>2278.8984690000002</v>
          </cell>
          <cell r="T55">
            <v>2334.4254270000001</v>
          </cell>
          <cell r="U55">
            <v>2390.794688</v>
          </cell>
          <cell r="V55">
            <v>2448.0653269999998</v>
          </cell>
          <cell r="W55">
            <v>2506.3101200000001</v>
          </cell>
          <cell r="X55">
            <v>2565.7894799999999</v>
          </cell>
          <cell r="Y55">
            <v>2626.705723</v>
          </cell>
          <cell r="Z55">
            <v>2689.1357990000001</v>
          </cell>
          <cell r="AA55">
            <v>2753.202648</v>
          </cell>
          <cell r="AB55">
            <v>2819.0637670000001</v>
          </cell>
          <cell r="AC55">
            <v>2887.0152670000002</v>
          </cell>
          <cell r="AD55">
            <v>2957.1275449999998</v>
          </cell>
          <cell r="AE55">
            <v>3028.9234200000001</v>
          </cell>
          <cell r="AF55">
            <v>3101.7203290000002</v>
          </cell>
          <cell r="AG55">
            <v>3174.9567069999998</v>
          </cell>
          <cell r="AH55">
            <v>3248.234743</v>
          </cell>
          <cell r="AI55">
            <v>3321.2317159999998</v>
          </cell>
          <cell r="AJ55">
            <v>3393.6610860000001</v>
          </cell>
          <cell r="AK55">
            <v>3465.25164</v>
          </cell>
        </row>
        <row r="56">
          <cell r="B56">
            <v>787.77197860000001</v>
          </cell>
          <cell r="C56">
            <v>796.50620119999996</v>
          </cell>
          <cell r="D56">
            <v>804.31363780000004</v>
          </cell>
          <cell r="E56">
            <v>813.2425763</v>
          </cell>
          <cell r="F56">
            <v>822.01162020000004</v>
          </cell>
          <cell r="G56">
            <v>831.69477210000002</v>
          </cell>
          <cell r="H56">
            <v>842.74669619999997</v>
          </cell>
          <cell r="I56">
            <v>834.54419659999996</v>
          </cell>
          <cell r="J56">
            <v>827.73059620000004</v>
          </cell>
          <cell r="K56">
            <v>825.64204059999997</v>
          </cell>
          <cell r="L56">
            <v>824.20067659999995</v>
          </cell>
          <cell r="M56">
            <v>821.009998</v>
          </cell>
          <cell r="N56">
            <v>815.79350569999997</v>
          </cell>
          <cell r="O56">
            <v>807.97334980000005</v>
          </cell>
          <cell r="P56">
            <v>797.98837079999998</v>
          </cell>
          <cell r="Q56">
            <v>785.95712289999994</v>
          </cell>
          <cell r="R56">
            <v>770.90545580000003</v>
          </cell>
          <cell r="S56">
            <v>754.05541240000002</v>
          </cell>
          <cell r="T56">
            <v>735.3266764</v>
          </cell>
          <cell r="U56">
            <v>714.68871360000003</v>
          </cell>
          <cell r="V56">
            <v>692.1757983</v>
          </cell>
          <cell r="W56">
            <v>667.84543570000005</v>
          </cell>
          <cell r="X56">
            <v>641.76006359999997</v>
          </cell>
          <cell r="Y56">
            <v>613.87854909999999</v>
          </cell>
          <cell r="Z56">
            <v>584.10020829999996</v>
          </cell>
          <cell r="AA56">
            <v>552.33260559999997</v>
          </cell>
          <cell r="AB56">
            <v>518.80470590000004</v>
          </cell>
          <cell r="AC56">
            <v>483.27982009999999</v>
          </cell>
          <cell r="AD56">
            <v>445.58406389999999</v>
          </cell>
          <cell r="AE56">
            <v>405.45432820000002</v>
          </cell>
          <cell r="AF56">
            <v>362.65066760000002</v>
          </cell>
          <cell r="AG56">
            <v>317.03217439999997</v>
          </cell>
          <cell r="AH56">
            <v>268.51432620000003</v>
          </cell>
          <cell r="AI56">
            <v>217.00967320000001</v>
          </cell>
          <cell r="AJ56">
            <v>162.4535731</v>
          </cell>
          <cell r="AK56">
            <v>104.812641</v>
          </cell>
        </row>
        <row r="57">
          <cell r="B57">
            <v>787.77197860000001</v>
          </cell>
          <cell r="C57">
            <v>796.50620119999996</v>
          </cell>
          <cell r="D57">
            <v>804.31363780000004</v>
          </cell>
          <cell r="E57">
            <v>813.2425763</v>
          </cell>
          <cell r="F57">
            <v>822.01162020000004</v>
          </cell>
          <cell r="G57">
            <v>831.69477210000002</v>
          </cell>
          <cell r="H57">
            <v>843.18693350000001</v>
          </cell>
          <cell r="I57">
            <v>856.4447146</v>
          </cell>
          <cell r="J57">
            <v>871.67104959999995</v>
          </cell>
          <cell r="K57">
            <v>889.11419179999996</v>
          </cell>
          <cell r="L57">
            <v>908.99822089999998</v>
          </cell>
          <cell r="M57">
            <v>931.30811940000001</v>
          </cell>
          <cell r="N57">
            <v>955.50285240000005</v>
          </cell>
          <cell r="O57">
            <v>980.49922419999996</v>
          </cell>
          <cell r="P57">
            <v>1006.061212</v>
          </cell>
          <cell r="Q57">
            <v>1031.991458</v>
          </cell>
          <cell r="R57">
            <v>1057.748914</v>
          </cell>
          <cell r="S57">
            <v>1083.7615109999999</v>
          </cell>
          <cell r="T57">
            <v>1110.16812</v>
          </cell>
          <cell r="U57">
            <v>1136.975297</v>
          </cell>
          <cell r="V57">
            <v>1164.211137</v>
          </cell>
          <cell r="W57">
            <v>1191.9102499999999</v>
          </cell>
          <cell r="X57">
            <v>1220.196477</v>
          </cell>
          <cell r="Y57">
            <v>1249.1660340000001</v>
          </cell>
          <cell r="Z57">
            <v>1278.8555160000001</v>
          </cell>
          <cell r="AA57">
            <v>1309.3233869999999</v>
          </cell>
          <cell r="AB57">
            <v>1340.644548</v>
          </cell>
          <cell r="AC57">
            <v>1372.959818</v>
          </cell>
          <cell r="AD57">
            <v>1406.3026769999999</v>
          </cell>
          <cell r="AE57">
            <v>1440.446193</v>
          </cell>
          <cell r="AF57">
            <v>1475.0657639999999</v>
          </cell>
          <cell r="AG57">
            <v>1509.894331</v>
          </cell>
          <cell r="AH57">
            <v>1544.7427090000001</v>
          </cell>
          <cell r="AI57">
            <v>1579.4574230000001</v>
          </cell>
          <cell r="AJ57">
            <v>1613.902206</v>
          </cell>
          <cell r="AK57">
            <v>1647.948079</v>
          </cell>
        </row>
        <row r="58">
          <cell r="B58">
            <v>1543.987838</v>
          </cell>
          <cell r="C58">
            <v>1561.1064120000001</v>
          </cell>
          <cell r="D58">
            <v>1576.4085399999999</v>
          </cell>
          <cell r="E58">
            <v>1593.9087469999999</v>
          </cell>
          <cell r="F58">
            <v>1611.0955690000001</v>
          </cell>
          <cell r="G58">
            <v>1630.073991</v>
          </cell>
          <cell r="H58">
            <v>1651.7351269999999</v>
          </cell>
          <cell r="I58">
            <v>2114.3603320000002</v>
          </cell>
          <cell r="J58">
            <v>2604.988969</v>
          </cell>
          <cell r="K58">
            <v>3141.6227210000002</v>
          </cell>
          <cell r="L58">
            <v>3719.0345750000001</v>
          </cell>
          <cell r="M58">
            <v>4330.4799949999997</v>
          </cell>
          <cell r="N58">
            <v>4975.2016839999997</v>
          </cell>
          <cell r="O58">
            <v>5649.5039569999999</v>
          </cell>
          <cell r="P58">
            <v>6355.6044940000002</v>
          </cell>
          <cell r="Q58">
            <v>7094.4573769999997</v>
          </cell>
          <cell r="R58">
            <v>7856.3971009999996</v>
          </cell>
          <cell r="S58">
            <v>8652.0357129999993</v>
          </cell>
          <cell r="T58">
            <v>9481.3921279999995</v>
          </cell>
          <cell r="U58">
            <v>10344.936400000001</v>
          </cell>
          <cell r="V58">
            <v>11244.194579999999</v>
          </cell>
          <cell r="W58">
            <v>12181.637909999999</v>
          </cell>
          <cell r="X58">
            <v>13160.748079999999</v>
          </cell>
          <cell r="Y58">
            <v>14183.90468</v>
          </cell>
          <cell r="Z58">
            <v>15252.48575</v>
          </cell>
          <cell r="AA58">
            <v>16368.065860000001</v>
          </cell>
          <cell r="AB58">
            <v>17543.171999999999</v>
          </cell>
          <cell r="AC58">
            <v>18778.803950000001</v>
          </cell>
          <cell r="AD58">
            <v>20077.617699999999</v>
          </cell>
          <cell r="AE58">
            <v>21437.564829999999</v>
          </cell>
          <cell r="AF58">
            <v>22854.461090000001</v>
          </cell>
          <cell r="AG58">
            <v>24326.24669</v>
          </cell>
          <cell r="AH58">
            <v>25852.73072</v>
          </cell>
          <cell r="AI58">
            <v>27431.762060000001</v>
          </cell>
          <cell r="AJ58">
            <v>29060.12383</v>
          </cell>
          <cell r="AK58">
            <v>30733.902249999999</v>
          </cell>
        </row>
        <row r="59">
          <cell r="B59">
            <v>1543.987838</v>
          </cell>
          <cell r="C59">
            <v>1561.1064120000001</v>
          </cell>
          <cell r="D59">
            <v>1576.4085399999999</v>
          </cell>
          <cell r="E59">
            <v>1593.9087469999999</v>
          </cell>
          <cell r="F59">
            <v>1611.0955690000001</v>
          </cell>
          <cell r="G59">
            <v>1630.073991</v>
          </cell>
          <cell r="H59">
            <v>1652.5979669999999</v>
          </cell>
          <cell r="I59">
            <v>1678.582457</v>
          </cell>
          <cell r="J59">
            <v>1708.425199</v>
          </cell>
          <cell r="K59">
            <v>1742.612756</v>
          </cell>
          <cell r="L59">
            <v>1781.5843110000001</v>
          </cell>
          <cell r="M59">
            <v>1825.3104310000001</v>
          </cell>
          <cell r="N59">
            <v>1872.730718</v>
          </cell>
          <cell r="O59">
            <v>1921.7221709999999</v>
          </cell>
          <cell r="P59">
            <v>1971.8222000000001</v>
          </cell>
          <cell r="Q59">
            <v>2022.643992</v>
          </cell>
          <cell r="R59">
            <v>2073.1271270000002</v>
          </cell>
          <cell r="S59">
            <v>2124.1103229999999</v>
          </cell>
          <cell r="T59">
            <v>2175.8657600000001</v>
          </cell>
          <cell r="U59">
            <v>2228.4062880000001</v>
          </cell>
          <cell r="V59">
            <v>2281.7869700000001</v>
          </cell>
          <cell r="W59">
            <v>2336.0756409999999</v>
          </cell>
          <cell r="X59">
            <v>2391.515022</v>
          </cell>
          <cell r="Y59">
            <v>2448.29369</v>
          </cell>
          <cell r="Z59">
            <v>2506.483369</v>
          </cell>
          <cell r="AA59">
            <v>2566.1986470000002</v>
          </cell>
          <cell r="AB59">
            <v>2627.586323</v>
          </cell>
          <cell r="AC59">
            <v>2690.9223980000002</v>
          </cell>
          <cell r="AD59">
            <v>2756.272485</v>
          </cell>
          <cell r="AE59">
            <v>2823.191816</v>
          </cell>
          <cell r="AF59">
            <v>2891.044187</v>
          </cell>
          <cell r="AG59">
            <v>2959.3061779999998</v>
          </cell>
          <cell r="AH59">
            <v>3027.6069980000002</v>
          </cell>
          <cell r="AI59">
            <v>3095.6458440000001</v>
          </cell>
          <cell r="AJ59">
            <v>3163.1556409999998</v>
          </cell>
          <cell r="AK59">
            <v>3229.8835960000001</v>
          </cell>
        </row>
        <row r="60">
          <cell r="B60">
            <v>439.21911829999999</v>
          </cell>
          <cell r="C60">
            <v>444.0888491</v>
          </cell>
          <cell r="D60">
            <v>448.44185420000002</v>
          </cell>
          <cell r="E60">
            <v>453.42014820000003</v>
          </cell>
          <cell r="F60">
            <v>458.30929359999999</v>
          </cell>
          <cell r="G60">
            <v>463.7080962</v>
          </cell>
          <cell r="H60">
            <v>469.8700523</v>
          </cell>
          <cell r="I60">
            <v>952.79359739999995</v>
          </cell>
          <cell r="J60">
            <v>1462.2372800000001</v>
          </cell>
          <cell r="K60">
            <v>2011.7347930000001</v>
          </cell>
          <cell r="L60">
            <v>2601.8287</v>
          </cell>
          <cell r="M60">
            <v>3229.0976970000002</v>
          </cell>
          <cell r="N60">
            <v>3893.168291</v>
          </cell>
          <cell r="O60">
            <v>4591.10808</v>
          </cell>
          <cell r="P60">
            <v>5324.5442579999999</v>
          </cell>
          <cell r="Q60">
            <v>6094.277908</v>
          </cell>
          <cell r="R60">
            <v>6891.8671640000002</v>
          </cell>
          <cell r="S60">
            <v>7726.3612540000004</v>
          </cell>
          <cell r="T60">
            <v>8597.8949670000002</v>
          </cell>
          <cell r="U60">
            <v>9506.9909200000002</v>
          </cell>
          <cell r="V60">
            <v>10455.15389</v>
          </cell>
          <cell r="W60">
            <v>11444.81781</v>
          </cell>
          <cell r="X60">
            <v>12479.438539999999</v>
          </cell>
          <cell r="Y60">
            <v>13561.498540000001</v>
          </cell>
          <cell r="Z60">
            <v>14692.54601</v>
          </cell>
          <cell r="AA60">
            <v>15874.3174</v>
          </cell>
          <cell r="AB60">
            <v>17119.24051</v>
          </cell>
          <cell r="AC60">
            <v>18428.67395</v>
          </cell>
          <cell r="AD60">
            <v>19805.572619999999</v>
          </cell>
          <cell r="AE60">
            <v>21248.228930000001</v>
          </cell>
          <cell r="AF60">
            <v>22752.726890000002</v>
          </cell>
          <cell r="AG60">
            <v>24317.171539999999</v>
          </cell>
          <cell r="AH60">
            <v>25941.490040000001</v>
          </cell>
          <cell r="AI60">
            <v>27623.617549999999</v>
          </cell>
          <cell r="AJ60">
            <v>29360.371050000002</v>
          </cell>
          <cell r="AK60">
            <v>31147.812900000001</v>
          </cell>
        </row>
        <row r="61">
          <cell r="B61">
            <v>439.21911829999999</v>
          </cell>
          <cell r="C61">
            <v>444.0888491</v>
          </cell>
          <cell r="D61">
            <v>448.44185420000002</v>
          </cell>
          <cell r="E61">
            <v>453.42014820000003</v>
          </cell>
          <cell r="F61">
            <v>458.30929359999999</v>
          </cell>
          <cell r="G61">
            <v>463.7080962</v>
          </cell>
          <cell r="H61">
            <v>470.11550490000002</v>
          </cell>
          <cell r="I61">
            <v>477.50732779999998</v>
          </cell>
          <cell r="J61">
            <v>485.99671000000001</v>
          </cell>
          <cell r="K61">
            <v>495.72206419999998</v>
          </cell>
          <cell r="L61">
            <v>506.80832520000001</v>
          </cell>
          <cell r="M61">
            <v>519.24711990000003</v>
          </cell>
          <cell r="N61">
            <v>532.73679660000005</v>
          </cell>
          <cell r="O61">
            <v>546.67342380000002</v>
          </cell>
          <cell r="P61">
            <v>560.92540819999999</v>
          </cell>
          <cell r="Q61">
            <v>575.38271269999996</v>
          </cell>
          <cell r="R61">
            <v>589.74367949999998</v>
          </cell>
          <cell r="S61">
            <v>604.24689909999995</v>
          </cell>
          <cell r="T61">
            <v>618.96979829999998</v>
          </cell>
          <cell r="U61">
            <v>633.91603280000004</v>
          </cell>
          <cell r="V61">
            <v>649.10126660000003</v>
          </cell>
          <cell r="W61">
            <v>664.54479619999995</v>
          </cell>
          <cell r="X61">
            <v>680.3156692</v>
          </cell>
          <cell r="Y61">
            <v>696.46753009999998</v>
          </cell>
          <cell r="Z61">
            <v>713.02078180000001</v>
          </cell>
          <cell r="AA61">
            <v>730.00802180000005</v>
          </cell>
          <cell r="AB61">
            <v>747.47100969999997</v>
          </cell>
          <cell r="AC61">
            <v>765.48825959999999</v>
          </cell>
          <cell r="AD61">
            <v>784.07843700000001</v>
          </cell>
          <cell r="AE61">
            <v>803.1150179</v>
          </cell>
          <cell r="AF61">
            <v>822.41702139999995</v>
          </cell>
          <cell r="AG61">
            <v>841.8355497</v>
          </cell>
          <cell r="AH61">
            <v>861.26512360000004</v>
          </cell>
          <cell r="AI61">
            <v>880.62017390000005</v>
          </cell>
          <cell r="AJ61">
            <v>899.82472489999998</v>
          </cell>
          <cell r="AK61">
            <v>918.80686519999995</v>
          </cell>
        </row>
        <row r="62">
          <cell r="B62">
            <v>4449.030675</v>
          </cell>
          <cell r="C62">
            <v>4498.3581770000001</v>
          </cell>
          <cell r="D62">
            <v>4542.4515520000004</v>
          </cell>
          <cell r="E62">
            <v>4592.8787339999999</v>
          </cell>
          <cell r="F62">
            <v>4642.4028939999998</v>
          </cell>
          <cell r="G62">
            <v>4697.0895810000002</v>
          </cell>
          <cell r="H62">
            <v>4759.5065629999999</v>
          </cell>
          <cell r="I62">
            <v>4866.7891310000005</v>
          </cell>
          <cell r="J62">
            <v>4990.0279879999998</v>
          </cell>
          <cell r="K62">
            <v>5151.7426759999998</v>
          </cell>
          <cell r="L62">
            <v>5329.7904170000002</v>
          </cell>
          <cell r="M62">
            <v>5509.9796560000004</v>
          </cell>
          <cell r="N62">
            <v>5690.679725</v>
          </cell>
          <cell r="O62">
            <v>5867.8046850000001</v>
          </cell>
          <cell r="P62">
            <v>6044.2685609999999</v>
          </cell>
          <cell r="Q62">
            <v>6220.9724910000004</v>
          </cell>
          <cell r="R62">
            <v>6389.9260109999996</v>
          </cell>
          <cell r="S62">
            <v>6560.6674110000004</v>
          </cell>
          <cell r="T62">
            <v>6732.7996780000003</v>
          </cell>
          <cell r="U62">
            <v>6906.3204040000001</v>
          </cell>
          <cell r="V62">
            <v>7081.8912790000004</v>
          </cell>
          <cell r="W62">
            <v>7260.593887</v>
          </cell>
          <cell r="X62">
            <v>7443.8588030000001</v>
          </cell>
          <cell r="Y62">
            <v>7632.2431530000003</v>
          </cell>
          <cell r="Z62">
            <v>7825.6838349999998</v>
          </cell>
          <cell r="AA62">
            <v>8024.2221879999997</v>
          </cell>
          <cell r="AB62">
            <v>8233.0270139999993</v>
          </cell>
          <cell r="AC62">
            <v>8451.2312550000006</v>
          </cell>
          <cell r="AD62">
            <v>8678.8144990000001</v>
          </cell>
          <cell r="AE62">
            <v>8913.798976</v>
          </cell>
          <cell r="AF62">
            <v>9153.6378220000006</v>
          </cell>
          <cell r="AG62">
            <v>9396.9629069999992</v>
          </cell>
          <cell r="AH62">
            <v>9643.2887819999996</v>
          </cell>
          <cell r="AI62">
            <v>9891.4863069999992</v>
          </cell>
          <cell r="AJ62">
            <v>10140.19881</v>
          </cell>
          <cell r="AK62">
            <v>10388.002899999999</v>
          </cell>
        </row>
        <row r="63">
          <cell r="B63">
            <v>4449.030675</v>
          </cell>
          <cell r="C63">
            <v>4498.3581770000001</v>
          </cell>
          <cell r="D63">
            <v>4542.4515520000004</v>
          </cell>
          <cell r="E63">
            <v>4592.8787339999999</v>
          </cell>
          <cell r="F63">
            <v>4642.4028939999998</v>
          </cell>
          <cell r="G63">
            <v>4697.0895810000002</v>
          </cell>
          <cell r="H63">
            <v>4761.9928520000003</v>
          </cell>
          <cell r="I63">
            <v>4836.8676599999999</v>
          </cell>
          <cell r="J63">
            <v>4922.860095</v>
          </cell>
          <cell r="K63">
            <v>5021.3721990000004</v>
          </cell>
          <cell r="L63">
            <v>5133.6694850000003</v>
          </cell>
          <cell r="M63">
            <v>5259.6671409999999</v>
          </cell>
          <cell r="N63">
            <v>5396.309612</v>
          </cell>
          <cell r="O63">
            <v>5537.4794270000002</v>
          </cell>
          <cell r="P63">
            <v>5681.8436250000004</v>
          </cell>
          <cell r="Q63">
            <v>5828.2875949999998</v>
          </cell>
          <cell r="R63">
            <v>5973.7557200000001</v>
          </cell>
          <cell r="S63">
            <v>6120.6647830000002</v>
          </cell>
          <cell r="T63">
            <v>6269.79907</v>
          </cell>
          <cell r="U63">
            <v>6421.1956120000004</v>
          </cell>
          <cell r="V63">
            <v>6575.0130769999996</v>
          </cell>
          <cell r="W63">
            <v>6731.4469250000002</v>
          </cell>
          <cell r="X63">
            <v>6891.1965689999997</v>
          </cell>
          <cell r="Y63">
            <v>7054.8053950000003</v>
          </cell>
          <cell r="Z63">
            <v>7222.4800740000001</v>
          </cell>
          <cell r="AA63">
            <v>7394.5507980000002</v>
          </cell>
          <cell r="AB63">
            <v>7571.440568</v>
          </cell>
          <cell r="AC63">
            <v>7753.9446859999998</v>
          </cell>
          <cell r="AD63">
            <v>7942.2522200000003</v>
          </cell>
          <cell r="AE63">
            <v>8135.0815599999996</v>
          </cell>
          <cell r="AF63">
            <v>8330.5994730000002</v>
          </cell>
          <cell r="AG63">
            <v>8527.2977150000006</v>
          </cell>
          <cell r="AH63">
            <v>8724.1078409999991</v>
          </cell>
          <cell r="AI63">
            <v>8920.1630879999993</v>
          </cell>
          <cell r="AJ63">
            <v>9114.6938649999993</v>
          </cell>
          <cell r="AK63">
            <v>9306.9717540000001</v>
          </cell>
        </row>
        <row r="64">
          <cell r="B64">
            <v>2809.9832449999999</v>
          </cell>
          <cell r="C64">
            <v>2844.1428080000001</v>
          </cell>
          <cell r="D64">
            <v>2875.958142</v>
          </cell>
          <cell r="E64">
            <v>2909.0824040000002</v>
          </cell>
          <cell r="F64">
            <v>2940.804607</v>
          </cell>
          <cell r="G64">
            <v>2974.2422019999999</v>
          </cell>
          <cell r="H64">
            <v>3010.6009319999998</v>
          </cell>
          <cell r="I64">
            <v>3167.5162260000002</v>
          </cell>
          <cell r="J64">
            <v>3332.5585609999998</v>
          </cell>
          <cell r="K64">
            <v>3521.3173409999999</v>
          </cell>
          <cell r="L64">
            <v>3726.917387</v>
          </cell>
          <cell r="M64">
            <v>3943.5639580000002</v>
          </cell>
          <cell r="N64">
            <v>4170.2218050000001</v>
          </cell>
          <cell r="O64">
            <v>4403.8080419999997</v>
          </cell>
          <cell r="P64">
            <v>4645.3851260000001</v>
          </cell>
          <cell r="Q64">
            <v>4895.4492479999999</v>
          </cell>
          <cell r="R64">
            <v>5151.1716420000002</v>
          </cell>
          <cell r="S64">
            <v>5416.6012819999996</v>
          </cell>
          <cell r="T64">
            <v>5691.8487999999998</v>
          </cell>
          <cell r="U64">
            <v>5977.242792</v>
          </cell>
          <cell r="V64">
            <v>6273.5038370000002</v>
          </cell>
          <cell r="W64">
            <v>6581.660903</v>
          </cell>
          <cell r="X64">
            <v>6903.1030989999999</v>
          </cell>
          <cell r="Y64">
            <v>7238.6446400000004</v>
          </cell>
          <cell r="Z64">
            <v>7588.6299289999997</v>
          </cell>
          <cell r="AA64">
            <v>7953.5030349999997</v>
          </cell>
          <cell r="AB64">
            <v>8337.7187580000009</v>
          </cell>
          <cell r="AC64">
            <v>8741.6945190000006</v>
          </cell>
          <cell r="AD64">
            <v>9166.1546569999991</v>
          </cell>
          <cell r="AE64">
            <v>9609.9065910000008</v>
          </cell>
          <cell r="AF64">
            <v>10071.001190000001</v>
          </cell>
          <cell r="AG64">
            <v>10548.420120000001</v>
          </cell>
          <cell r="AH64">
            <v>11041.91581</v>
          </cell>
          <cell r="AI64">
            <v>11550.52169</v>
          </cell>
          <cell r="AJ64">
            <v>12072.86311</v>
          </cell>
          <cell r="AK64">
            <v>12607.182339999999</v>
          </cell>
        </row>
        <row r="65">
          <cell r="B65">
            <v>2809.9832449999999</v>
          </cell>
          <cell r="C65">
            <v>2844.1428080000001</v>
          </cell>
          <cell r="D65">
            <v>2875.958142</v>
          </cell>
          <cell r="E65">
            <v>2909.0824040000002</v>
          </cell>
          <cell r="F65">
            <v>2940.804607</v>
          </cell>
          <cell r="G65">
            <v>2974.2422019999999</v>
          </cell>
          <cell r="H65">
            <v>3009.8954079999999</v>
          </cell>
          <cell r="I65">
            <v>3047.1274290000001</v>
          </cell>
          <cell r="J65">
            <v>3086.2727599999998</v>
          </cell>
          <cell r="K65">
            <v>3127.9854989999999</v>
          </cell>
          <cell r="L65">
            <v>3173.00965</v>
          </cell>
          <cell r="M65">
            <v>3221.6308300000001</v>
          </cell>
          <cell r="N65">
            <v>3272.8666360000002</v>
          </cell>
          <cell r="O65">
            <v>3324.3382160000001</v>
          </cell>
          <cell r="P65">
            <v>3376.162538</v>
          </cell>
          <cell r="Q65">
            <v>3428.5818490000001</v>
          </cell>
          <cell r="R65">
            <v>3481.4242760000002</v>
          </cell>
          <cell r="S65">
            <v>3536.9846259999999</v>
          </cell>
          <cell r="T65">
            <v>3595.689104</v>
          </cell>
          <cell r="U65">
            <v>3657.2688450000001</v>
          </cell>
          <cell r="V65">
            <v>3721.4685239999999</v>
          </cell>
          <cell r="W65">
            <v>3788.157831</v>
          </cell>
          <cell r="X65">
            <v>3857.503025</v>
          </cell>
          <cell r="Y65">
            <v>3929.635726</v>
          </cell>
          <cell r="Z65">
            <v>4004.5435950000001</v>
          </cell>
          <cell r="AA65">
            <v>4082.2698249999999</v>
          </cell>
          <cell r="AB65">
            <v>4162.9201199999998</v>
          </cell>
          <cell r="AC65">
            <v>4246.8070719999996</v>
          </cell>
          <cell r="AD65">
            <v>4333.982086</v>
          </cell>
          <cell r="AE65">
            <v>4423.8042379999997</v>
          </cell>
          <cell r="AF65">
            <v>4515.3606090000003</v>
          </cell>
          <cell r="AG65">
            <v>4607.8898449999997</v>
          </cell>
          <cell r="AH65">
            <v>4700.845789</v>
          </cell>
          <cell r="AI65">
            <v>4793.7850200000003</v>
          </cell>
          <cell r="AJ65">
            <v>4886.3128159999997</v>
          </cell>
          <cell r="AK65">
            <v>4978.0543449999996</v>
          </cell>
        </row>
        <row r="66">
          <cell r="B66">
            <v>54.47998656</v>
          </cell>
          <cell r="C66">
            <v>55.08401963</v>
          </cell>
          <cell r="D66">
            <v>55.62395892</v>
          </cell>
          <cell r="E66">
            <v>56.241457969999999</v>
          </cell>
          <cell r="F66">
            <v>56.84789919</v>
          </cell>
          <cell r="G66">
            <v>57.517557410000002</v>
          </cell>
          <cell r="H66">
            <v>58.281875880000001</v>
          </cell>
          <cell r="I66">
            <v>59.23004152</v>
          </cell>
          <cell r="J66">
            <v>60.354292270000002</v>
          </cell>
          <cell r="K66">
            <v>61.921634650000001</v>
          </cell>
          <cell r="L66">
            <v>63.658810610000003</v>
          </cell>
          <cell r="M66">
            <v>65.393603029999994</v>
          </cell>
          <cell r="N66">
            <v>67.106208210000005</v>
          </cell>
          <cell r="O66">
            <v>68.748549650000001</v>
          </cell>
          <cell r="P66">
            <v>70.355273960000005</v>
          </cell>
          <cell r="Q66">
            <v>71.93686477</v>
          </cell>
          <cell r="R66">
            <v>73.401398779999994</v>
          </cell>
          <cell r="S66">
            <v>74.859401210000001</v>
          </cell>
          <cell r="T66">
            <v>76.305875799999995</v>
          </cell>
          <cell r="U66">
            <v>77.740388429999996</v>
          </cell>
          <cell r="V66">
            <v>79.169927720000004</v>
          </cell>
          <cell r="W66">
            <v>80.605936999999997</v>
          </cell>
          <cell r="X66">
            <v>82.063368929999996</v>
          </cell>
          <cell r="Y66">
            <v>83.547167049999999</v>
          </cell>
          <cell r="Z66">
            <v>85.055355649999996</v>
          </cell>
          <cell r="AA66">
            <v>86.587100219999996</v>
          </cell>
          <cell r="AB66">
            <v>88.196471369999998</v>
          </cell>
          <cell r="AC66">
            <v>89.871733980000002</v>
          </cell>
          <cell r="AD66">
            <v>91.610349659999997</v>
          </cell>
          <cell r="AE66">
            <v>93.389270339999996</v>
          </cell>
          <cell r="AF66">
            <v>95.180144830000003</v>
          </cell>
          <cell r="AG66">
            <v>96.967581920000001</v>
          </cell>
          <cell r="AH66">
            <v>98.745656370000006</v>
          </cell>
          <cell r="AI66">
            <v>100.50205320000001</v>
          </cell>
          <cell r="AJ66">
            <v>102.2225193</v>
          </cell>
          <cell r="AK66">
            <v>103.89256330000001</v>
          </cell>
        </row>
        <row r="67">
          <cell r="B67">
            <v>54.47998656</v>
          </cell>
          <cell r="C67">
            <v>55.08401963</v>
          </cell>
          <cell r="D67">
            <v>55.62395892</v>
          </cell>
          <cell r="E67">
            <v>56.241457969999999</v>
          </cell>
          <cell r="F67">
            <v>56.84789919</v>
          </cell>
          <cell r="G67">
            <v>57.517557410000002</v>
          </cell>
          <cell r="H67">
            <v>58.312321400000002</v>
          </cell>
          <cell r="I67">
            <v>59.229190440000004</v>
          </cell>
          <cell r="J67">
            <v>60.282198860000001</v>
          </cell>
          <cell r="K67">
            <v>61.488515120000002</v>
          </cell>
          <cell r="L67">
            <v>62.863635930000001</v>
          </cell>
          <cell r="M67">
            <v>64.406522710000004</v>
          </cell>
          <cell r="N67">
            <v>66.079759080000002</v>
          </cell>
          <cell r="O67">
            <v>67.808434430000005</v>
          </cell>
          <cell r="P67">
            <v>69.576226140000003</v>
          </cell>
          <cell r="Q67">
            <v>71.369485420000004</v>
          </cell>
          <cell r="R67">
            <v>73.150795119999998</v>
          </cell>
          <cell r="S67">
            <v>74.949749620000006</v>
          </cell>
          <cell r="T67">
            <v>76.775952799999999</v>
          </cell>
          <cell r="U67">
            <v>78.629858110000001</v>
          </cell>
          <cell r="V67">
            <v>80.513408479999995</v>
          </cell>
          <cell r="W67">
            <v>82.428997420000002</v>
          </cell>
          <cell r="X67">
            <v>84.385189479999994</v>
          </cell>
          <cell r="Y67">
            <v>86.388638610000001</v>
          </cell>
          <cell r="Z67">
            <v>88.441875580000001</v>
          </cell>
          <cell r="AA67">
            <v>90.548943710000003</v>
          </cell>
          <cell r="AB67">
            <v>92.7150228</v>
          </cell>
          <cell r="AC67">
            <v>94.949851589999994</v>
          </cell>
          <cell r="AD67">
            <v>97.255745329999996</v>
          </cell>
          <cell r="AE67">
            <v>99.617010199999996</v>
          </cell>
          <cell r="AF67">
            <v>102.0111976</v>
          </cell>
          <cell r="AG67">
            <v>104.41983860000001</v>
          </cell>
          <cell r="AH67">
            <v>106.8298496</v>
          </cell>
          <cell r="AI67">
            <v>109.2306169</v>
          </cell>
          <cell r="AJ67">
            <v>111.6127165</v>
          </cell>
          <cell r="AK67">
            <v>113.9672286</v>
          </cell>
        </row>
      </sheetData>
      <sheetData sheetId="4">
        <row r="2">
          <cell r="B2">
            <v>8841077.0380000006</v>
          </cell>
          <cell r="C2">
            <v>8942223.4829999991</v>
          </cell>
          <cell r="D2">
            <v>9044593.4859999996</v>
          </cell>
          <cell r="E2">
            <v>9149413.9379999992</v>
          </cell>
          <cell r="F2">
            <v>9257473.4010000005</v>
          </cell>
          <cell r="G2">
            <v>9369226.875</v>
          </cell>
          <cell r="H2">
            <v>9484897.7100000009</v>
          </cell>
          <cell r="I2">
            <v>9603431.7489999998</v>
          </cell>
          <cell r="J2">
            <v>9724650.9419999998</v>
          </cell>
          <cell r="K2">
            <v>9850197.3760000002</v>
          </cell>
          <cell r="L2">
            <v>9981060.7719999999</v>
          </cell>
          <cell r="M2">
            <v>10117846.529999999</v>
          </cell>
          <cell r="N2">
            <v>10260888.289999999</v>
          </cell>
          <cell r="O2">
            <v>10410168.91</v>
          </cell>
          <cell r="P2">
            <v>10565719.550000001</v>
          </cell>
          <cell r="Q2">
            <v>10727665.84</v>
          </cell>
          <cell r="R2">
            <v>10896197.08</v>
          </cell>
          <cell r="S2">
            <v>11071567.57</v>
          </cell>
          <cell r="T2">
            <v>11254107.01</v>
          </cell>
          <cell r="U2">
            <v>11444195.65</v>
          </cell>
          <cell r="V2">
            <v>11642263.59</v>
          </cell>
          <cell r="W2">
            <v>11848775.58</v>
          </cell>
          <cell r="X2">
            <v>12064254.9</v>
          </cell>
          <cell r="Y2">
            <v>12289276.66</v>
          </cell>
          <cell r="Z2">
            <v>12524417.92</v>
          </cell>
          <cell r="AA2">
            <v>12770254.939999999</v>
          </cell>
          <cell r="AB2">
            <v>13027359.99</v>
          </cell>
          <cell r="AC2">
            <v>13296337.77</v>
          </cell>
          <cell r="AD2">
            <v>13577852.42</v>
          </cell>
          <cell r="AE2">
            <v>13872547.93</v>
          </cell>
          <cell r="AF2">
            <v>14180970.390000001</v>
          </cell>
          <cell r="AG2">
            <v>14503546.42</v>
          </cell>
          <cell r="AH2">
            <v>14840605.08</v>
          </cell>
          <cell r="AI2">
            <v>15192414.48</v>
          </cell>
          <cell r="AJ2">
            <v>15559203.17</v>
          </cell>
          <cell r="AK2">
            <v>15941186.85</v>
          </cell>
        </row>
        <row r="3">
          <cell r="B3">
            <v>8841077.0380000006</v>
          </cell>
          <cell r="C3">
            <v>8942223.4829999991</v>
          </cell>
          <cell r="D3">
            <v>9044593.4859999996</v>
          </cell>
          <cell r="E3">
            <v>9149413.9379999992</v>
          </cell>
          <cell r="F3">
            <v>9257473.4010000005</v>
          </cell>
          <cell r="G3">
            <v>9369226.875</v>
          </cell>
          <cell r="H3">
            <v>9484667.7640000004</v>
          </cell>
          <cell r="I3">
            <v>9603746.6420000009</v>
          </cell>
          <cell r="J3">
            <v>9726514.75</v>
          </cell>
          <cell r="K3">
            <v>9853157.2689999994</v>
          </cell>
          <cell r="L3">
            <v>9983965.5480000004</v>
          </cell>
          <cell r="M3">
            <v>10119304.300000001</v>
          </cell>
          <cell r="N3">
            <v>10259456.6</v>
          </cell>
          <cell r="O3">
            <v>10404398.24</v>
          </cell>
          <cell r="P3">
            <v>10554099.73</v>
          </cell>
          <cell r="Q3">
            <v>10708628.17</v>
          </cell>
          <cell r="R3">
            <v>10868358.18</v>
          </cell>
          <cell r="S3">
            <v>11033803.359999999</v>
          </cell>
          <cell r="T3">
            <v>11205504.42</v>
          </cell>
          <cell r="U3">
            <v>11383960.550000001</v>
          </cell>
          <cell r="V3">
            <v>11569639.390000001</v>
          </cell>
          <cell r="W3">
            <v>11763000.09</v>
          </cell>
          <cell r="X3">
            <v>11964544.84</v>
          </cell>
          <cell r="Y3">
            <v>12174819.4</v>
          </cell>
          <cell r="Z3">
            <v>12394370.779999999</v>
          </cell>
          <cell r="AA3">
            <v>12623752.16</v>
          </cell>
          <cell r="AB3">
            <v>12863542.52</v>
          </cell>
          <cell r="AC3">
            <v>13114400.48</v>
          </cell>
          <cell r="AD3">
            <v>13377042.99</v>
          </cell>
          <cell r="AE3">
            <v>13652149.51</v>
          </cell>
          <cell r="AF3">
            <v>13940284.65</v>
          </cell>
          <cell r="AG3">
            <v>14241894.039999999</v>
          </cell>
          <cell r="AH3">
            <v>14557330.76</v>
          </cell>
          <cell r="AI3">
            <v>14886868.800000001</v>
          </cell>
          <cell r="AJ3">
            <v>15230703.720000001</v>
          </cell>
          <cell r="AK3">
            <v>15588945.1</v>
          </cell>
        </row>
        <row r="4">
          <cell r="B4">
            <v>181359.0802</v>
          </cell>
          <cell r="C4">
            <v>183321.78479999999</v>
          </cell>
          <cell r="D4">
            <v>185172.8824</v>
          </cell>
          <cell r="E4">
            <v>186982.3106</v>
          </cell>
          <cell r="F4">
            <v>188801.30160000001</v>
          </cell>
          <cell r="G4">
            <v>190665.26250000001</v>
          </cell>
          <cell r="H4">
            <v>192597.96950000001</v>
          </cell>
          <cell r="I4">
            <v>194613.647</v>
          </cell>
          <cell r="J4">
            <v>196719.05189999999</v>
          </cell>
          <cell r="K4">
            <v>198961.90100000001</v>
          </cell>
          <cell r="L4">
            <v>201369.15109999999</v>
          </cell>
          <cell r="M4">
            <v>203946.7561</v>
          </cell>
          <cell r="N4">
            <v>206700.63010000001</v>
          </cell>
          <cell r="O4">
            <v>209630.9595</v>
          </cell>
          <cell r="P4">
            <v>212739.64379999999</v>
          </cell>
          <cell r="Q4">
            <v>216029.93100000001</v>
          </cell>
          <cell r="R4">
            <v>219510.95819999999</v>
          </cell>
          <cell r="S4">
            <v>223188.96290000001</v>
          </cell>
          <cell r="T4">
            <v>227070.24350000001</v>
          </cell>
          <cell r="U4">
            <v>231161.95370000001</v>
          </cell>
          <cell r="V4">
            <v>235472.58240000001</v>
          </cell>
          <cell r="W4">
            <v>240011.53020000001</v>
          </cell>
          <cell r="X4">
            <v>244789.79070000001</v>
          </cell>
          <cell r="Y4">
            <v>249819.79250000001</v>
          </cell>
          <cell r="Z4">
            <v>255113.95509999999</v>
          </cell>
          <cell r="AA4">
            <v>260684.50140000001</v>
          </cell>
          <cell r="AB4">
            <v>266540.13559999998</v>
          </cell>
          <cell r="AC4">
            <v>272691.39909999998</v>
          </cell>
          <cell r="AD4">
            <v>279150.41129999998</v>
          </cell>
          <cell r="AE4">
            <v>285927.99129999999</v>
          </cell>
          <cell r="AF4">
            <v>293031.08069999999</v>
          </cell>
          <cell r="AG4">
            <v>300461.7941</v>
          </cell>
          <cell r="AH4">
            <v>308217.73210000002</v>
          </cell>
          <cell r="AI4">
            <v>316292.72360000003</v>
          </cell>
          <cell r="AJ4">
            <v>324676.92489999998</v>
          </cell>
          <cell r="AK4">
            <v>333356.41729999997</v>
          </cell>
        </row>
        <row r="5">
          <cell r="B5">
            <v>181359.0802</v>
          </cell>
          <cell r="C5">
            <v>183321.78479999999</v>
          </cell>
          <cell r="D5">
            <v>185172.8824</v>
          </cell>
          <cell r="E5">
            <v>186982.3106</v>
          </cell>
          <cell r="F5">
            <v>188801.30160000001</v>
          </cell>
          <cell r="G5">
            <v>190665.26250000001</v>
          </cell>
          <cell r="H5">
            <v>192598.06510000001</v>
          </cell>
          <cell r="I5">
            <v>194614.36139999999</v>
          </cell>
          <cell r="J5">
            <v>196725.90330000001</v>
          </cell>
          <cell r="K5">
            <v>198944.22099999999</v>
          </cell>
          <cell r="L5">
            <v>201281.47709999999</v>
          </cell>
          <cell r="M5">
            <v>203750.4498</v>
          </cell>
          <cell r="N5">
            <v>206360.74239999999</v>
          </cell>
          <cell r="O5">
            <v>209112.79319999999</v>
          </cell>
          <cell r="P5">
            <v>212006.76010000001</v>
          </cell>
          <cell r="Q5">
            <v>215045.3541</v>
          </cell>
          <cell r="R5">
            <v>218232.95050000001</v>
          </cell>
          <cell r="S5">
            <v>221579.2311</v>
          </cell>
          <cell r="T5">
            <v>225096.4449</v>
          </cell>
          <cell r="U5">
            <v>228796.97529999999</v>
          </cell>
          <cell r="V5">
            <v>232693.06020000001</v>
          </cell>
          <cell r="W5">
            <v>236797.01610000001</v>
          </cell>
          <cell r="X5">
            <v>241122.5932</v>
          </cell>
          <cell r="Y5">
            <v>245684.94899999999</v>
          </cell>
          <cell r="Z5">
            <v>250499.41990000001</v>
          </cell>
          <cell r="AA5">
            <v>255581.56649999999</v>
          </cell>
          <cell r="AB5">
            <v>260947.6471</v>
          </cell>
          <cell r="AC5">
            <v>266616.19160000002</v>
          </cell>
          <cell r="AD5">
            <v>272607.20059999998</v>
          </cell>
          <cell r="AE5">
            <v>278939.09110000002</v>
          </cell>
          <cell r="AF5">
            <v>285626.28289999999</v>
          </cell>
          <cell r="AG5">
            <v>292679.0514</v>
          </cell>
          <cell r="AH5">
            <v>300104.38089999999</v>
          </cell>
          <cell r="AI5">
            <v>307906.40889999998</v>
          </cell>
          <cell r="AJ5">
            <v>316086.47639999999</v>
          </cell>
          <cell r="AK5">
            <v>324642.93959999998</v>
          </cell>
        </row>
        <row r="6">
          <cell r="B6">
            <v>14496.905559999999</v>
          </cell>
          <cell r="C6">
            <v>14641.548940000001</v>
          </cell>
          <cell r="D6">
            <v>14761.662050000001</v>
          </cell>
          <cell r="E6">
            <v>14859.00639</v>
          </cell>
          <cell r="F6">
            <v>14937.77361</v>
          </cell>
          <cell r="G6">
            <v>15002.19224</v>
          </cell>
          <cell r="H6">
            <v>15055.876979999999</v>
          </cell>
          <cell r="I6">
            <v>15097.50351</v>
          </cell>
          <cell r="J6">
            <v>15128.1379</v>
          </cell>
          <cell r="K6">
            <v>15151.87608</v>
          </cell>
          <cell r="L6">
            <v>15171.07604</v>
          </cell>
          <cell r="M6">
            <v>15187.61996</v>
          </cell>
          <cell r="N6">
            <v>15202.51017</v>
          </cell>
          <cell r="O6">
            <v>15216.10621</v>
          </cell>
          <cell r="P6">
            <v>15229.07114</v>
          </cell>
          <cell r="Q6">
            <v>15242.46902</v>
          </cell>
          <cell r="R6">
            <v>15256.99317</v>
          </cell>
          <cell r="S6">
            <v>15273.64921</v>
          </cell>
          <cell r="T6">
            <v>15293.68741</v>
          </cell>
          <cell r="U6">
            <v>15318.441510000001</v>
          </cell>
          <cell r="V6">
            <v>15349.279909999999</v>
          </cell>
          <cell r="W6">
            <v>15387.597030000001</v>
          </cell>
          <cell r="X6">
            <v>15434.85239</v>
          </cell>
          <cell r="Y6">
            <v>15492.52146</v>
          </cell>
          <cell r="Z6">
            <v>15562.00747</v>
          </cell>
          <cell r="AA6">
            <v>15644.63838</v>
          </cell>
          <cell r="AB6">
            <v>15741.744290000001</v>
          </cell>
          <cell r="AC6">
            <v>15854.79182</v>
          </cell>
          <cell r="AD6">
            <v>15985.29696</v>
          </cell>
          <cell r="AE6">
            <v>16134.60361</v>
          </cell>
          <cell r="AF6">
            <v>16303.743979999999</v>
          </cell>
          <cell r="AG6">
            <v>16493.475719999999</v>
          </cell>
          <cell r="AH6">
            <v>16704.379649999999</v>
          </cell>
          <cell r="AI6">
            <v>16936.8855</v>
          </cell>
          <cell r="AJ6">
            <v>17191.267670000001</v>
          </cell>
          <cell r="AK6">
            <v>17467.641739999999</v>
          </cell>
        </row>
        <row r="7">
          <cell r="B7">
            <v>14496.905559999999</v>
          </cell>
          <cell r="C7">
            <v>14641.548940000001</v>
          </cell>
          <cell r="D7">
            <v>14761.662050000001</v>
          </cell>
          <cell r="E7">
            <v>14859.00639</v>
          </cell>
          <cell r="F7">
            <v>14937.77361</v>
          </cell>
          <cell r="G7">
            <v>15002.19224</v>
          </cell>
          <cell r="H7">
            <v>15055.775970000001</v>
          </cell>
          <cell r="I7">
            <v>15101.38667</v>
          </cell>
          <cell r="J7">
            <v>15141.367399999999</v>
          </cell>
          <cell r="K7">
            <v>15177.664269999999</v>
          </cell>
          <cell r="L7">
            <v>15211.924080000001</v>
          </cell>
          <cell r="M7">
            <v>15245.549150000001</v>
          </cell>
          <cell r="N7">
            <v>15279.534449999999</v>
          </cell>
          <cell r="O7">
            <v>15314.191870000001</v>
          </cell>
          <cell r="P7">
            <v>15349.74447</v>
          </cell>
          <cell r="Q7">
            <v>15386.571610000001</v>
          </cell>
          <cell r="R7">
            <v>15425.27888</v>
          </cell>
          <cell r="S7">
            <v>15466.72589</v>
          </cell>
          <cell r="T7">
            <v>15511.93576</v>
          </cell>
          <cell r="U7">
            <v>15561.97162</v>
          </cell>
          <cell r="V7">
            <v>15617.90151</v>
          </cell>
          <cell r="W7">
            <v>15680.7847</v>
          </cell>
          <cell r="X7">
            <v>15751.715459999999</v>
          </cell>
          <cell r="Y7">
            <v>15831.80536</v>
          </cell>
          <cell r="Z7">
            <v>15922.12138</v>
          </cell>
          <cell r="AA7">
            <v>16023.694589999999</v>
          </cell>
          <cell r="AB7">
            <v>16137.550230000001</v>
          </cell>
          <cell r="AC7">
            <v>16264.777700000001</v>
          </cell>
          <cell r="AD7">
            <v>16406.491460000001</v>
          </cell>
          <cell r="AE7">
            <v>16563.66072</v>
          </cell>
          <cell r="AF7">
            <v>16736.992330000001</v>
          </cell>
          <cell r="AG7">
            <v>16926.943240000001</v>
          </cell>
          <cell r="AH7">
            <v>17133.784220000001</v>
          </cell>
          <cell r="AI7">
            <v>17357.64371</v>
          </cell>
          <cell r="AJ7">
            <v>17598.527010000002</v>
          </cell>
          <cell r="AK7">
            <v>17856.318719999999</v>
          </cell>
        </row>
        <row r="8">
          <cell r="B8">
            <v>75635.177379999994</v>
          </cell>
          <cell r="C8">
            <v>76466.925950000004</v>
          </cell>
          <cell r="D8">
            <v>77273.318100000004</v>
          </cell>
          <cell r="E8">
            <v>78095.615510000003</v>
          </cell>
          <cell r="F8">
            <v>78957.464070000002</v>
          </cell>
          <cell r="G8">
            <v>79871.98487</v>
          </cell>
          <cell r="H8">
            <v>80844.508279999995</v>
          </cell>
          <cell r="I8">
            <v>81884.080159999998</v>
          </cell>
          <cell r="J8">
            <v>82992.032959999997</v>
          </cell>
          <cell r="K8">
            <v>84188.744839999999</v>
          </cell>
          <cell r="L8">
            <v>85485.904580000002</v>
          </cell>
          <cell r="M8">
            <v>86883.063420000006</v>
          </cell>
          <cell r="N8">
            <v>88381.850059999997</v>
          </cell>
          <cell r="O8">
            <v>89981.324139999997</v>
          </cell>
          <cell r="P8">
            <v>91680.407930000001</v>
          </cell>
          <cell r="Q8">
            <v>93477.663549999997</v>
          </cell>
          <cell r="R8">
            <v>95377.494120000003</v>
          </cell>
          <cell r="S8">
            <v>97381.432499999995</v>
          </cell>
          <cell r="T8">
            <v>99490.305129999993</v>
          </cell>
          <cell r="U8">
            <v>101705.0131</v>
          </cell>
          <cell r="V8">
            <v>104026.9129</v>
          </cell>
          <cell r="W8">
            <v>106457.61139999999</v>
          </cell>
          <cell r="X8">
            <v>108999.374</v>
          </cell>
          <cell r="Y8">
            <v>111655.24679999999</v>
          </cell>
          <cell r="Z8">
            <v>114428.3811</v>
          </cell>
          <cell r="AA8">
            <v>117321.9201</v>
          </cell>
          <cell r="AB8">
            <v>120336.5616</v>
          </cell>
          <cell r="AC8">
            <v>123474.0334</v>
          </cell>
          <cell r="AD8">
            <v>126737.1869</v>
          </cell>
          <cell r="AE8">
            <v>130128.8125</v>
          </cell>
          <cell r="AF8">
            <v>133650.31529999999</v>
          </cell>
          <cell r="AG8">
            <v>137300.92110000001</v>
          </cell>
          <cell r="AH8">
            <v>141077.66380000001</v>
          </cell>
          <cell r="AI8">
            <v>144975.98069999999</v>
          </cell>
          <cell r="AJ8">
            <v>148990.04440000001</v>
          </cell>
          <cell r="AK8">
            <v>153113.20199999999</v>
          </cell>
        </row>
        <row r="9">
          <cell r="B9">
            <v>75635.177379999994</v>
          </cell>
          <cell r="C9">
            <v>76466.925950000004</v>
          </cell>
          <cell r="D9">
            <v>77273.318100000004</v>
          </cell>
          <cell r="E9">
            <v>78095.615510000003</v>
          </cell>
          <cell r="F9">
            <v>78957.464070000002</v>
          </cell>
          <cell r="G9">
            <v>79871.98487</v>
          </cell>
          <cell r="H9">
            <v>80844.374599999996</v>
          </cell>
          <cell r="I9">
            <v>81876.362200000003</v>
          </cell>
          <cell r="J9">
            <v>82969.612649999995</v>
          </cell>
          <cell r="K9">
            <v>84126.744630000001</v>
          </cell>
          <cell r="L9">
            <v>85351.416089999999</v>
          </cell>
          <cell r="M9">
            <v>86648.12818</v>
          </cell>
          <cell r="N9">
            <v>88020.206770000004</v>
          </cell>
          <cell r="O9">
            <v>89466.676259999993</v>
          </cell>
          <cell r="P9">
            <v>90986.248940000005</v>
          </cell>
          <cell r="Q9">
            <v>92578.540410000001</v>
          </cell>
          <cell r="R9">
            <v>94244.559009999997</v>
          </cell>
          <cell r="S9">
            <v>95987.197169999999</v>
          </cell>
          <cell r="T9">
            <v>97810.079549999995</v>
          </cell>
          <cell r="U9">
            <v>99716.598499999993</v>
          </cell>
          <cell r="V9">
            <v>101709.9838</v>
          </cell>
          <cell r="W9">
            <v>103793.56849999999</v>
          </cell>
          <cell r="X9">
            <v>105971.5432</v>
          </cell>
          <cell r="Y9">
            <v>108248.9748</v>
          </cell>
          <cell r="Z9">
            <v>110631.1672</v>
          </cell>
          <cell r="AA9">
            <v>113123.6529</v>
          </cell>
          <cell r="AB9">
            <v>115732.4032</v>
          </cell>
          <cell r="AC9">
            <v>118464.6183</v>
          </cell>
          <cell r="AD9">
            <v>121328.32739999999</v>
          </cell>
          <cell r="AE9">
            <v>124330.9817</v>
          </cell>
          <cell r="AF9">
            <v>127478.2311</v>
          </cell>
          <cell r="AG9">
            <v>130773.7438</v>
          </cell>
          <cell r="AH9">
            <v>134219.52480000001</v>
          </cell>
          <cell r="AI9">
            <v>137816.0564</v>
          </cell>
          <cell r="AJ9">
            <v>141562.2922</v>
          </cell>
          <cell r="AK9">
            <v>145455.5699</v>
          </cell>
        </row>
        <row r="10">
          <cell r="B10">
            <v>124568.3125</v>
          </cell>
          <cell r="C10">
            <v>126006.7908</v>
          </cell>
          <cell r="D10">
            <v>127501.0981</v>
          </cell>
          <cell r="E10">
            <v>129072.6547</v>
          </cell>
          <cell r="F10">
            <v>130731.53200000001</v>
          </cell>
          <cell r="G10">
            <v>132478.80780000001</v>
          </cell>
          <cell r="H10">
            <v>134307.90400000001</v>
          </cell>
          <cell r="I10">
            <v>136114.65059999999</v>
          </cell>
          <cell r="J10">
            <v>137888.2175</v>
          </cell>
          <cell r="K10">
            <v>139761.24220000001</v>
          </cell>
          <cell r="L10">
            <v>141774.22469999999</v>
          </cell>
          <cell r="M10">
            <v>143928.22289999999</v>
          </cell>
          <cell r="N10">
            <v>146191.39509999999</v>
          </cell>
          <cell r="O10">
            <v>148508.1459</v>
          </cell>
          <cell r="P10">
            <v>150844.2708</v>
          </cell>
          <cell r="Q10">
            <v>153188.6826</v>
          </cell>
          <cell r="R10">
            <v>155529.95060000001</v>
          </cell>
          <cell r="S10">
            <v>157877.37059999999</v>
          </cell>
          <cell r="T10">
            <v>160252.05290000001</v>
          </cell>
          <cell r="U10">
            <v>162680.46290000001</v>
          </cell>
          <cell r="V10">
            <v>165192.65479999999</v>
          </cell>
          <cell r="W10">
            <v>167820.48149999999</v>
          </cell>
          <cell r="X10">
            <v>170598.77069999999</v>
          </cell>
          <cell r="Y10">
            <v>173563.56630000001</v>
          </cell>
          <cell r="Z10">
            <v>176748.85769999999</v>
          </cell>
          <cell r="AA10">
            <v>180187.0379</v>
          </cell>
          <cell r="AB10">
            <v>183919.41440000001</v>
          </cell>
          <cell r="AC10">
            <v>187982.21830000001</v>
          </cell>
          <cell r="AD10">
            <v>192408.4284</v>
          </cell>
          <cell r="AE10">
            <v>197221.11249999999</v>
          </cell>
          <cell r="AF10">
            <v>202429.59510000001</v>
          </cell>
          <cell r="AG10">
            <v>208031.30119999999</v>
          </cell>
          <cell r="AH10">
            <v>214015.24059999999</v>
          </cell>
          <cell r="AI10">
            <v>220364.4051</v>
          </cell>
          <cell r="AJ10">
            <v>227057.07740000001</v>
          </cell>
          <cell r="AK10">
            <v>234067.6256</v>
          </cell>
        </row>
        <row r="11">
          <cell r="B11">
            <v>124568.3125</v>
          </cell>
          <cell r="C11">
            <v>126006.7908</v>
          </cell>
          <cell r="D11">
            <v>127501.0981</v>
          </cell>
          <cell r="E11">
            <v>129072.6547</v>
          </cell>
          <cell r="F11">
            <v>130731.53200000001</v>
          </cell>
          <cell r="G11">
            <v>132478.80780000001</v>
          </cell>
          <cell r="H11">
            <v>134296.44029999999</v>
          </cell>
          <cell r="I11">
            <v>136175.63209999999</v>
          </cell>
          <cell r="J11">
            <v>138118.609</v>
          </cell>
          <cell r="K11">
            <v>140133.7665</v>
          </cell>
          <cell r="L11">
            <v>142230.935</v>
          </cell>
          <cell r="M11">
            <v>144417.9523</v>
          </cell>
          <cell r="N11">
            <v>146690.18059999999</v>
          </cell>
          <cell r="O11">
            <v>149017.6888</v>
          </cell>
          <cell r="P11">
            <v>151375.4572</v>
          </cell>
          <cell r="Q11">
            <v>153751.14360000001</v>
          </cell>
          <cell r="R11">
            <v>156155.93700000001</v>
          </cell>
          <cell r="S11">
            <v>158606.33350000001</v>
          </cell>
          <cell r="T11">
            <v>161121.6292</v>
          </cell>
          <cell r="U11">
            <v>163723.0938</v>
          </cell>
          <cell r="V11">
            <v>166435.32500000001</v>
          </cell>
          <cell r="W11">
            <v>169285.85759999999</v>
          </cell>
          <cell r="X11">
            <v>172306.64449999999</v>
          </cell>
          <cell r="Y11">
            <v>175531.78820000001</v>
          </cell>
          <cell r="Z11">
            <v>178993.65839999999</v>
          </cell>
          <cell r="AA11">
            <v>182723.02239999999</v>
          </cell>
          <cell r="AB11">
            <v>186750.0061</v>
          </cell>
          <cell r="AC11">
            <v>191107.10709999999</v>
          </cell>
          <cell r="AD11">
            <v>195826.185</v>
          </cell>
          <cell r="AE11">
            <v>200929.69469999999</v>
          </cell>
          <cell r="AF11">
            <v>206426.16339999999</v>
          </cell>
          <cell r="AG11">
            <v>212312.22760000001</v>
          </cell>
          <cell r="AH11">
            <v>218576.5055</v>
          </cell>
          <cell r="AI11">
            <v>225201.91819999999</v>
          </cell>
          <cell r="AJ11">
            <v>232166.76920000001</v>
          </cell>
          <cell r="AK11">
            <v>239445.09419999999</v>
          </cell>
        </row>
        <row r="13">
          <cell r="B13">
            <v>17703.874100000001</v>
          </cell>
          <cell r="C13">
            <v>17938.478179999998</v>
          </cell>
          <cell r="D13">
            <v>18215.483749999999</v>
          </cell>
          <cell r="E13">
            <v>18524.812470000001</v>
          </cell>
          <cell r="F13">
            <v>18851.779770000001</v>
          </cell>
          <cell r="G13">
            <v>19187.14359</v>
          </cell>
          <cell r="H13">
            <v>19527.530149999999</v>
          </cell>
          <cell r="I13">
            <v>19872.678749999999</v>
          </cell>
          <cell r="J13">
            <v>20223.89356</v>
          </cell>
          <cell r="K13">
            <v>20583.095590000001</v>
          </cell>
          <cell r="L13">
            <v>20952.410609999999</v>
          </cell>
          <cell r="M13">
            <v>21333.985209999999</v>
          </cell>
          <cell r="N13">
            <v>21729.36751</v>
          </cell>
          <cell r="O13">
            <v>22138.61348</v>
          </cell>
          <cell r="P13">
            <v>22561.582350000001</v>
          </cell>
          <cell r="Q13">
            <v>22998.478729999999</v>
          </cell>
          <cell r="R13">
            <v>23449.226149999999</v>
          </cell>
          <cell r="S13">
            <v>23914.428749999999</v>
          </cell>
          <cell r="T13">
            <v>24395.068009999999</v>
          </cell>
          <cell r="U13">
            <v>24892.214790000002</v>
          </cell>
          <cell r="V13">
            <v>25407.030999999999</v>
          </cell>
          <cell r="W13">
            <v>25940.8236</v>
          </cell>
          <cell r="X13">
            <v>26495.166679999998</v>
          </cell>
          <cell r="Y13">
            <v>27071.823100000001</v>
          </cell>
          <cell r="Z13">
            <v>27672.54047</v>
          </cell>
          <cell r="AA13">
            <v>28299.096590000001</v>
          </cell>
          <cell r="AB13">
            <v>28953.39516</v>
          </cell>
          <cell r="AC13">
            <v>29637.624039999999</v>
          </cell>
          <cell r="AD13">
            <v>30354.19443</v>
          </cell>
          <cell r="AE13">
            <v>31105.33725</v>
          </cell>
          <cell r="AF13">
            <v>31892.803110000001</v>
          </cell>
          <cell r="AG13">
            <v>32717.844799999999</v>
          </cell>
          <cell r="AH13">
            <v>33581.279139999999</v>
          </cell>
          <cell r="AI13">
            <v>34483.530740000002</v>
          </cell>
          <cell r="AJ13">
            <v>35424.650199999996</v>
          </cell>
          <cell r="AK13">
            <v>36404.31134</v>
          </cell>
        </row>
        <row r="14">
          <cell r="B14">
            <v>21938.08035</v>
          </cell>
          <cell r="C14">
            <v>22188.073659999998</v>
          </cell>
          <cell r="D14">
            <v>22439.901559999998</v>
          </cell>
          <cell r="E14">
            <v>22697.782299999999</v>
          </cell>
          <cell r="F14">
            <v>22964.643680000001</v>
          </cell>
          <cell r="G14">
            <v>23242.261439999998</v>
          </cell>
          <cell r="H14">
            <v>23531.544809999999</v>
          </cell>
          <cell r="I14">
            <v>23828.88553</v>
          </cell>
          <cell r="J14">
            <v>24133.357209999998</v>
          </cell>
          <cell r="K14">
            <v>24451.3603</v>
          </cell>
          <cell r="L14">
            <v>24785.838</v>
          </cell>
          <cell r="M14">
            <v>25137.512709999999</v>
          </cell>
          <cell r="N14">
            <v>25505.92354</v>
          </cell>
          <cell r="O14">
            <v>25889.380799999999</v>
          </cell>
          <cell r="P14">
            <v>26286.82401</v>
          </cell>
          <cell r="Q14">
            <v>26697.957689999999</v>
          </cell>
          <cell r="R14">
            <v>27122.87818</v>
          </cell>
          <cell r="S14">
            <v>27562.24352</v>
          </cell>
          <cell r="T14">
            <v>28017.191149999999</v>
          </cell>
          <cell r="U14">
            <v>28489.164820000002</v>
          </cell>
          <cell r="V14">
            <v>28979.882119999998</v>
          </cell>
          <cell r="W14">
            <v>29491.267260000001</v>
          </cell>
          <cell r="X14">
            <v>30025.534199999998</v>
          </cell>
          <cell r="Y14">
            <v>30585.108199999999</v>
          </cell>
          <cell r="Z14">
            <v>31172.413789999999</v>
          </cell>
          <cell r="AA14">
            <v>31789.8586</v>
          </cell>
          <cell r="AB14">
            <v>32439.86361</v>
          </cell>
          <cell r="AC14">
            <v>33125.043669999999</v>
          </cell>
          <cell r="AD14">
            <v>33848.145629999999</v>
          </cell>
          <cell r="AE14">
            <v>34611.594989999998</v>
          </cell>
          <cell r="AF14">
            <v>35417.160470000003</v>
          </cell>
          <cell r="AG14">
            <v>36265.939680000003</v>
          </cell>
          <cell r="AH14">
            <v>37158.504110000002</v>
          </cell>
          <cell r="AI14">
            <v>38095.016600000003</v>
          </cell>
          <cell r="AJ14">
            <v>39075.275829999999</v>
          </cell>
          <cell r="AK14">
            <v>40098.731140000004</v>
          </cell>
        </row>
        <row r="15">
          <cell r="B15">
            <v>21938.08035</v>
          </cell>
          <cell r="C15">
            <v>22188.073659999998</v>
          </cell>
          <cell r="D15">
            <v>22439.901559999998</v>
          </cell>
          <cell r="E15">
            <v>22697.782299999999</v>
          </cell>
          <cell r="F15">
            <v>22964.643680000001</v>
          </cell>
          <cell r="G15">
            <v>23242.261439999998</v>
          </cell>
          <cell r="H15">
            <v>23531.026239999999</v>
          </cell>
          <cell r="I15">
            <v>23830.949369999998</v>
          </cell>
          <cell r="J15">
            <v>24142.111860000001</v>
          </cell>
          <cell r="K15">
            <v>24464.83196</v>
          </cell>
          <cell r="L15">
            <v>24799.655299999999</v>
          </cell>
          <cell r="M15">
            <v>25147.265050000002</v>
          </cell>
          <cell r="N15">
            <v>25507.886330000001</v>
          </cell>
          <cell r="O15">
            <v>25880.427159999999</v>
          </cell>
          <cell r="P15">
            <v>26263.910599999999</v>
          </cell>
          <cell r="Q15">
            <v>26657.954160000001</v>
          </cell>
          <cell r="R15">
            <v>27063.283019999999</v>
          </cell>
          <cell r="S15">
            <v>27481.351879999998</v>
          </cell>
          <cell r="T15">
            <v>27914.011040000001</v>
          </cell>
          <cell r="U15">
            <v>28363.19744</v>
          </cell>
          <cell r="V15">
            <v>28830.897199999999</v>
          </cell>
          <cell r="W15">
            <v>29319.148290000001</v>
          </cell>
          <cell r="X15">
            <v>29830.192230000001</v>
          </cell>
          <cell r="Y15">
            <v>30366.431420000001</v>
          </cell>
          <cell r="Z15">
            <v>30930.244429999999</v>
          </cell>
          <cell r="AA15">
            <v>31523.989399999999</v>
          </cell>
          <cell r="AB15">
            <v>32150.064350000001</v>
          </cell>
          <cell r="AC15">
            <v>32811.102059999997</v>
          </cell>
          <cell r="AD15">
            <v>33509.839290000004</v>
          </cell>
          <cell r="AE15">
            <v>34248.642489999998</v>
          </cell>
          <cell r="AF15">
            <v>35029.175459999999</v>
          </cell>
          <cell r="AG15">
            <v>35852.416019999997</v>
          </cell>
          <cell r="AH15">
            <v>36718.812850000002</v>
          </cell>
          <cell r="AI15">
            <v>37628.384899999997</v>
          </cell>
          <cell r="AJ15">
            <v>38580.761149999998</v>
          </cell>
          <cell r="AK15">
            <v>39575.182650000002</v>
          </cell>
        </row>
        <row r="16">
          <cell r="B16">
            <v>93576.742360000004</v>
          </cell>
          <cell r="C16">
            <v>94604.526599999997</v>
          </cell>
          <cell r="D16">
            <v>95603.377110000001</v>
          </cell>
          <cell r="E16">
            <v>96592.694329999998</v>
          </cell>
          <cell r="F16">
            <v>97589.510439999998</v>
          </cell>
          <cell r="G16">
            <v>98608.845109999995</v>
          </cell>
          <cell r="H16">
            <v>99663.356899999999</v>
          </cell>
          <cell r="I16">
            <v>100723.06969999999</v>
          </cell>
          <cell r="J16">
            <v>101796.0206</v>
          </cell>
          <cell r="K16">
            <v>102955.2255</v>
          </cell>
          <cell r="L16">
            <v>104229.8967</v>
          </cell>
          <cell r="M16">
            <v>105623.3342</v>
          </cell>
          <cell r="N16">
            <v>107119.07249999999</v>
          </cell>
          <cell r="O16">
            <v>108687.80319999999</v>
          </cell>
          <cell r="P16">
            <v>110309.8425</v>
          </cell>
          <cell r="Q16">
            <v>111976.0837</v>
          </cell>
          <cell r="R16">
            <v>113686.46369999999</v>
          </cell>
          <cell r="S16">
            <v>115447.96769999999</v>
          </cell>
          <cell r="T16">
            <v>117272.5441</v>
          </cell>
          <cell r="U16">
            <v>119174.18889999999</v>
          </cell>
          <cell r="V16">
            <v>121168.30250000001</v>
          </cell>
          <cell r="W16">
            <v>123271.5245</v>
          </cell>
          <cell r="X16">
            <v>125502.6387</v>
          </cell>
          <cell r="Y16">
            <v>127880.9152</v>
          </cell>
          <cell r="Z16">
            <v>130423.9482</v>
          </cell>
          <cell r="AA16">
            <v>133147.83970000001</v>
          </cell>
          <cell r="AB16">
            <v>136067.6967</v>
          </cell>
          <cell r="AC16">
            <v>139203.85200000001</v>
          </cell>
          <cell r="AD16">
            <v>142577.5288</v>
          </cell>
          <cell r="AE16">
            <v>146204.81589999999</v>
          </cell>
          <cell r="AF16">
            <v>150093.81109999999</v>
          </cell>
          <cell r="AG16">
            <v>154246.52129999999</v>
          </cell>
          <cell r="AH16">
            <v>158661.6539</v>
          </cell>
          <cell r="AI16">
            <v>163335.0159</v>
          </cell>
          <cell r="AJ16">
            <v>168259.5674</v>
          </cell>
          <cell r="AK16">
            <v>173425.6323</v>
          </cell>
        </row>
        <row r="17">
          <cell r="B17">
            <v>93576.742360000004</v>
          </cell>
          <cell r="C17">
            <v>94604.526599999997</v>
          </cell>
          <cell r="D17">
            <v>95603.377110000001</v>
          </cell>
          <cell r="E17">
            <v>96592.694329999998</v>
          </cell>
          <cell r="F17">
            <v>97589.510439999998</v>
          </cell>
          <cell r="G17">
            <v>98608.845109999995</v>
          </cell>
          <cell r="H17">
            <v>99661.70289</v>
          </cell>
          <cell r="I17">
            <v>100756.6185</v>
          </cell>
          <cell r="J17">
            <v>101900.75320000001</v>
          </cell>
          <cell r="K17">
            <v>103100.47</v>
          </cell>
          <cell r="L17">
            <v>104361.52710000001</v>
          </cell>
          <cell r="M17">
            <v>105688.66620000001</v>
          </cell>
          <cell r="N17">
            <v>107080.53569999999</v>
          </cell>
          <cell r="O17">
            <v>108522.783</v>
          </cell>
          <cell r="P17">
            <v>110004.1624</v>
          </cell>
          <cell r="Q17">
            <v>111520.5319</v>
          </cell>
          <cell r="R17">
            <v>113075.8324</v>
          </cell>
          <cell r="S17">
            <v>114680.66529999999</v>
          </cell>
          <cell r="T17">
            <v>116349.74129999999</v>
          </cell>
          <cell r="U17">
            <v>118099.1698</v>
          </cell>
          <cell r="V17">
            <v>119945.9754</v>
          </cell>
          <cell r="W17">
            <v>121907.64569999999</v>
          </cell>
          <cell r="X17">
            <v>124003.159</v>
          </cell>
          <cell r="Y17">
            <v>126252.1422</v>
          </cell>
          <cell r="Z17">
            <v>128673.09699999999</v>
          </cell>
          <cell r="AA17">
            <v>131283.62359999999</v>
          </cell>
          <cell r="AB17">
            <v>134101.03320000001</v>
          </cell>
          <cell r="AC17">
            <v>137144.0221</v>
          </cell>
          <cell r="AD17">
            <v>140431.12270000001</v>
          </cell>
          <cell r="AE17">
            <v>143975.9167</v>
          </cell>
          <cell r="AF17">
            <v>147784.4522</v>
          </cell>
          <cell r="AG17">
            <v>151856.1973</v>
          </cell>
          <cell r="AH17">
            <v>156186.0288</v>
          </cell>
          <cell r="AI17">
            <v>160765.43299999999</v>
          </cell>
          <cell r="AJ17">
            <v>165583.0545</v>
          </cell>
          <cell r="AK17">
            <v>170624.8621</v>
          </cell>
        </row>
        <row r="18">
          <cell r="B18">
            <v>23291.68015</v>
          </cell>
          <cell r="C18">
            <v>23555.56554</v>
          </cell>
          <cell r="D18">
            <v>23820.608540000001</v>
          </cell>
          <cell r="E18">
            <v>24089.733380000001</v>
          </cell>
          <cell r="F18">
            <v>24363.938610000001</v>
          </cell>
          <cell r="G18">
            <v>24644.558990000001</v>
          </cell>
          <cell r="H18">
            <v>24933.189849999999</v>
          </cell>
          <cell r="I18">
            <v>25223.361560000001</v>
          </cell>
          <cell r="J18">
            <v>25515.209299999999</v>
          </cell>
          <cell r="K18">
            <v>25823.22307</v>
          </cell>
          <cell r="L18">
            <v>26152.896369999999</v>
          </cell>
          <cell r="M18">
            <v>26503.966049999999</v>
          </cell>
          <cell r="N18">
            <v>26872.84347</v>
          </cell>
          <cell r="O18">
            <v>27253.77505</v>
          </cell>
          <cell r="P18">
            <v>27643.375390000001</v>
          </cell>
          <cell r="Q18">
            <v>28040.750680000001</v>
          </cell>
          <cell r="R18">
            <v>28446.298340000001</v>
          </cell>
          <cell r="S18">
            <v>28861.94932</v>
          </cell>
          <cell r="T18">
            <v>29290.585859999999</v>
          </cell>
          <cell r="U18">
            <v>29735.480220000001</v>
          </cell>
          <cell r="V18">
            <v>30200.21225</v>
          </cell>
          <cell r="W18">
            <v>30688.592860000001</v>
          </cell>
          <cell r="X18">
            <v>31204.85124</v>
          </cell>
          <cell r="Y18">
            <v>31753.440589999998</v>
          </cell>
          <cell r="Z18">
            <v>32338.657459999999</v>
          </cell>
          <cell r="AA18">
            <v>32964.675620000002</v>
          </cell>
          <cell r="AB18">
            <v>33635.690139999999</v>
          </cell>
          <cell r="AC18">
            <v>34356.257019999997</v>
          </cell>
          <cell r="AD18">
            <v>35130.945820000001</v>
          </cell>
          <cell r="AE18">
            <v>35963.356330000002</v>
          </cell>
          <cell r="AF18">
            <v>36855.558929999999</v>
          </cell>
          <cell r="AG18">
            <v>37808.24972</v>
          </cell>
          <cell r="AH18">
            <v>38821.1178</v>
          </cell>
          <cell r="AI18">
            <v>39893.040609999996</v>
          </cell>
          <cell r="AJ18">
            <v>41022.166799999999</v>
          </cell>
          <cell r="AK18">
            <v>42205.942669999997</v>
          </cell>
        </row>
        <row r="19">
          <cell r="B19">
            <v>23291.68015</v>
          </cell>
          <cell r="C19">
            <v>23555.56554</v>
          </cell>
          <cell r="D19">
            <v>23820.608540000001</v>
          </cell>
          <cell r="E19">
            <v>24089.733380000001</v>
          </cell>
          <cell r="F19">
            <v>24363.938610000001</v>
          </cell>
          <cell r="G19">
            <v>24644.558990000001</v>
          </cell>
          <cell r="H19">
            <v>24932.487249999998</v>
          </cell>
          <cell r="I19">
            <v>25228.768919999999</v>
          </cell>
          <cell r="J19">
            <v>25534.65755</v>
          </cell>
          <cell r="K19">
            <v>25851.512719999999</v>
          </cell>
          <cell r="L19">
            <v>26180.707200000001</v>
          </cell>
          <cell r="M19">
            <v>26523.46773</v>
          </cell>
          <cell r="N19">
            <v>26879.765869999999</v>
          </cell>
          <cell r="O19">
            <v>27246.798070000001</v>
          </cell>
          <cell r="P19">
            <v>27622.23717</v>
          </cell>
          <cell r="Q19">
            <v>28005.17382</v>
          </cell>
          <cell r="R19">
            <v>28396.563569999998</v>
          </cell>
          <cell r="S19">
            <v>28798.780900000002</v>
          </cell>
          <cell r="T19">
            <v>29215.035739999999</v>
          </cell>
          <cell r="U19">
            <v>29648.815790000001</v>
          </cell>
          <cell r="V19">
            <v>30103.81064</v>
          </cell>
          <cell r="W19">
            <v>30583.850279999999</v>
          </cell>
          <cell r="X19">
            <v>31093.125029999999</v>
          </cell>
          <cell r="Y19">
            <v>31636.01843</v>
          </cell>
          <cell r="Z19">
            <v>32216.729599999999</v>
          </cell>
          <cell r="AA19">
            <v>32839.3033</v>
          </cell>
          <cell r="AB19">
            <v>33507.751629999999</v>
          </cell>
          <cell r="AC19">
            <v>34226.394330000003</v>
          </cell>
          <cell r="AD19">
            <v>34999.559679999998</v>
          </cell>
          <cell r="AE19">
            <v>35830.600720000002</v>
          </cell>
          <cell r="AF19">
            <v>36721.32273</v>
          </cell>
          <cell r="AG19">
            <v>37672.132449999997</v>
          </cell>
          <cell r="AH19">
            <v>38682.417809999999</v>
          </cell>
          <cell r="AI19">
            <v>39750.78658</v>
          </cell>
          <cell r="AJ19">
            <v>40875.177960000001</v>
          </cell>
          <cell r="AK19">
            <v>42052.898119999998</v>
          </cell>
        </row>
        <row r="20">
          <cell r="B20">
            <v>25784.99251</v>
          </cell>
          <cell r="C20">
            <v>26090.732540000001</v>
          </cell>
          <cell r="D20">
            <v>26412.87427</v>
          </cell>
          <cell r="E20">
            <v>26749.884399999999</v>
          </cell>
          <cell r="F20">
            <v>27100.05226</v>
          </cell>
          <cell r="G20">
            <v>27463.300009999999</v>
          </cell>
          <cell r="H20">
            <v>27840.52363</v>
          </cell>
          <cell r="I20">
            <v>28216.536339999999</v>
          </cell>
          <cell r="J20">
            <v>28585.141729999999</v>
          </cell>
          <cell r="K20">
            <v>28958.258229999999</v>
          </cell>
          <cell r="L20">
            <v>29337.882839999998</v>
          </cell>
          <cell r="M20">
            <v>29722.45348</v>
          </cell>
          <cell r="N20">
            <v>30108.254440000001</v>
          </cell>
          <cell r="O20">
            <v>30489.921289999998</v>
          </cell>
          <cell r="P20">
            <v>30865.134829999999</v>
          </cell>
          <cell r="Q20">
            <v>31234.292570000001</v>
          </cell>
          <cell r="R20">
            <v>31598.886409999999</v>
          </cell>
          <cell r="S20">
            <v>31960.884320000001</v>
          </cell>
          <cell r="T20">
            <v>32322.962810000001</v>
          </cell>
          <cell r="U20">
            <v>32688.231390000001</v>
          </cell>
          <cell r="V20">
            <v>33060.265809999997</v>
          </cell>
          <cell r="W20">
            <v>33443.0749</v>
          </cell>
          <cell r="X20">
            <v>33841.283409999996</v>
          </cell>
          <cell r="Y20">
            <v>34259.768819999998</v>
          </cell>
          <cell r="Z20">
            <v>34703.163860000001</v>
          </cell>
          <cell r="AA20">
            <v>35175.881569999998</v>
          </cell>
          <cell r="AB20">
            <v>35682.051270000004</v>
          </cell>
          <cell r="AC20">
            <v>36226.716180000003</v>
          </cell>
          <cell r="AD20">
            <v>36815.023639999999</v>
          </cell>
          <cell r="AE20">
            <v>37450.961869999999</v>
          </cell>
          <cell r="AF20">
            <v>38136.774619999997</v>
          </cell>
          <cell r="AG20">
            <v>38873.318650000001</v>
          </cell>
          <cell r="AH20">
            <v>39660.61116</v>
          </cell>
          <cell r="AI20">
            <v>40497.980710000003</v>
          </cell>
          <cell r="AJ20">
            <v>41384.09332</v>
          </cell>
          <cell r="AK20">
            <v>42316.944669999997</v>
          </cell>
        </row>
        <row r="21">
          <cell r="B21">
            <v>25784.99251</v>
          </cell>
          <cell r="C21">
            <v>26090.732540000001</v>
          </cell>
          <cell r="D21">
            <v>26412.87427</v>
          </cell>
          <cell r="E21">
            <v>26749.884399999999</v>
          </cell>
          <cell r="F21">
            <v>27100.05226</v>
          </cell>
          <cell r="G21">
            <v>27463.300009999999</v>
          </cell>
          <cell r="H21">
            <v>27840.101409999999</v>
          </cell>
          <cell r="I21">
            <v>28230.997329999998</v>
          </cell>
          <cell r="J21">
            <v>28636.506420000002</v>
          </cell>
          <cell r="K21">
            <v>29057.118060000001</v>
          </cell>
          <cell r="L21">
            <v>29493.316279999999</v>
          </cell>
          <cell r="M21">
            <v>29945.466469999999</v>
          </cell>
          <cell r="N21">
            <v>30412.468850000001</v>
          </cell>
          <cell r="O21">
            <v>30889.909950000001</v>
          </cell>
          <cell r="P21">
            <v>31374.30773</v>
          </cell>
          <cell r="Q21">
            <v>31864.200400000002</v>
          </cell>
          <cell r="R21">
            <v>32360.357240000001</v>
          </cell>
          <cell r="S21">
            <v>32865.783510000001</v>
          </cell>
          <cell r="T21">
            <v>33384.82417</v>
          </cell>
          <cell r="U21">
            <v>33922.315190000001</v>
          </cell>
          <cell r="V21">
            <v>34483.379489999999</v>
          </cell>
          <cell r="W21">
            <v>35073.269260000001</v>
          </cell>
          <cell r="X21">
            <v>35697.623720000003</v>
          </cell>
          <cell r="Y21">
            <v>36362.252220000002</v>
          </cell>
          <cell r="Z21">
            <v>37072.679880000003</v>
          </cell>
          <cell r="AA21">
            <v>37834.222739999997</v>
          </cell>
          <cell r="AB21">
            <v>38652.164349999999</v>
          </cell>
          <cell r="AC21">
            <v>39532.206530000003</v>
          </cell>
          <cell r="AD21">
            <v>40480.069710000003</v>
          </cell>
          <cell r="AE21">
            <v>41500.208449999998</v>
          </cell>
          <cell r="AF21">
            <v>42595.107199999999</v>
          </cell>
          <cell r="AG21">
            <v>43765.51859</v>
          </cell>
          <cell r="AH21">
            <v>45010.977299999999</v>
          </cell>
          <cell r="AI21">
            <v>46330.105020000003</v>
          </cell>
          <cell r="AJ21">
            <v>47720.739150000001</v>
          </cell>
          <cell r="AK21">
            <v>49179.957970000003</v>
          </cell>
        </row>
        <row r="22">
          <cell r="B22">
            <v>202245.4803</v>
          </cell>
          <cell r="C22">
            <v>204488.66080000001</v>
          </cell>
          <cell r="D22">
            <v>206701.01639999999</v>
          </cell>
          <cell r="E22">
            <v>208919.576</v>
          </cell>
          <cell r="F22">
            <v>211173.29579999999</v>
          </cell>
          <cell r="G22">
            <v>213488.23550000001</v>
          </cell>
          <cell r="H22">
            <v>215887.20139999999</v>
          </cell>
          <cell r="I22">
            <v>218306.36679999999</v>
          </cell>
          <cell r="J22">
            <v>220770.5613</v>
          </cell>
          <cell r="K22">
            <v>223454.82149999999</v>
          </cell>
          <cell r="L22">
            <v>226435.22649999999</v>
          </cell>
          <cell r="M22">
            <v>229724.30230000001</v>
          </cell>
          <cell r="N22">
            <v>233282.67939999999</v>
          </cell>
          <cell r="O22">
            <v>237037.46059999999</v>
          </cell>
          <cell r="P22">
            <v>240936.26070000001</v>
          </cell>
          <cell r="Q22">
            <v>244951.26670000001</v>
          </cell>
          <cell r="R22">
            <v>249071.7445</v>
          </cell>
          <cell r="S22">
            <v>253308.9197</v>
          </cell>
          <cell r="T22">
            <v>257687.50709999999</v>
          </cell>
          <cell r="U22">
            <v>262237.40259999997</v>
          </cell>
          <cell r="V22">
            <v>266991.63789999997</v>
          </cell>
          <cell r="W22">
            <v>271986.0722</v>
          </cell>
          <cell r="X22">
            <v>277261.44150000002</v>
          </cell>
          <cell r="Y22">
            <v>282859.30920000002</v>
          </cell>
          <cell r="Z22">
            <v>288816.88520000002</v>
          </cell>
          <cell r="AA22">
            <v>295167.36430000002</v>
          </cell>
          <cell r="AB22">
            <v>301941.74709999998</v>
          </cell>
          <cell r="AC22">
            <v>309183.9852</v>
          </cell>
          <cell r="AD22">
            <v>316940.48540000001</v>
          </cell>
          <cell r="AE22">
            <v>325245.96720000001</v>
          </cell>
          <cell r="AF22">
            <v>334116.70669999998</v>
          </cell>
          <cell r="AG22">
            <v>343555.18050000002</v>
          </cell>
          <cell r="AH22">
            <v>353556.90389999998</v>
          </cell>
          <cell r="AI22">
            <v>364111.3015</v>
          </cell>
          <cell r="AJ22">
            <v>375201.89640000003</v>
          </cell>
          <cell r="AK22">
            <v>386807.3002</v>
          </cell>
        </row>
        <row r="23">
          <cell r="B23">
            <v>202245.4803</v>
          </cell>
          <cell r="C23">
            <v>204488.66080000001</v>
          </cell>
          <cell r="D23">
            <v>206701.01639999999</v>
          </cell>
          <cell r="E23">
            <v>208919.576</v>
          </cell>
          <cell r="F23">
            <v>211173.29579999999</v>
          </cell>
          <cell r="G23">
            <v>213488.23550000001</v>
          </cell>
          <cell r="H23">
            <v>215881.22219999999</v>
          </cell>
          <cell r="I23">
            <v>218366.5889</v>
          </cell>
          <cell r="J23">
            <v>220958.04889999999</v>
          </cell>
          <cell r="K23">
            <v>223669.19519999999</v>
          </cell>
          <cell r="L23">
            <v>226513.20240000001</v>
          </cell>
          <cell r="M23">
            <v>229501.4565</v>
          </cell>
          <cell r="N23">
            <v>232631.74650000001</v>
          </cell>
          <cell r="O23">
            <v>235872.29699999999</v>
          </cell>
          <cell r="P23">
            <v>239197.63080000001</v>
          </cell>
          <cell r="Q23">
            <v>242598.03020000001</v>
          </cell>
          <cell r="R23">
            <v>246083.85759999999</v>
          </cell>
          <cell r="S23">
            <v>249679.745</v>
          </cell>
          <cell r="T23">
            <v>253418.67420000001</v>
          </cell>
          <cell r="U23">
            <v>257335.98269999999</v>
          </cell>
          <cell r="V23">
            <v>261468.50409999999</v>
          </cell>
          <cell r="W23">
            <v>265853.82459999999</v>
          </cell>
          <cell r="X23">
            <v>270532.72139999998</v>
          </cell>
          <cell r="Y23">
            <v>275547.34129999997</v>
          </cell>
          <cell r="Z23">
            <v>280937.1606</v>
          </cell>
          <cell r="AA23">
            <v>286739.46460000001</v>
          </cell>
          <cell r="AB23">
            <v>292990.75900000002</v>
          </cell>
          <cell r="AC23">
            <v>299730.5564</v>
          </cell>
          <cell r="AD23">
            <v>306998.0012</v>
          </cell>
          <cell r="AE23">
            <v>314821.21580000001</v>
          </cell>
          <cell r="AF23">
            <v>323211.43449999997</v>
          </cell>
          <cell r="AG23">
            <v>332165.10009999998</v>
          </cell>
          <cell r="AH23">
            <v>341668.36300000001</v>
          </cell>
          <cell r="AI23">
            <v>351699.86300000001</v>
          </cell>
          <cell r="AJ23">
            <v>362232.04060000001</v>
          </cell>
          <cell r="AK23">
            <v>373231.5784</v>
          </cell>
        </row>
        <row r="24">
          <cell r="B24">
            <v>9372.126268</v>
          </cell>
          <cell r="C24">
            <v>9465.1613159999997</v>
          </cell>
          <cell r="D24">
            <v>9544.1389429999999</v>
          </cell>
          <cell r="E24">
            <v>9613.8924729999999</v>
          </cell>
          <cell r="F24">
            <v>9678.5898440000001</v>
          </cell>
          <cell r="G24">
            <v>9741.3747110000004</v>
          </cell>
          <cell r="H24">
            <v>9804.4922050000005</v>
          </cell>
          <cell r="I24">
            <v>9868.1314870000006</v>
          </cell>
          <cell r="J24">
            <v>9933.2734650000002</v>
          </cell>
          <cell r="K24">
            <v>10004.498</v>
          </cell>
          <cell r="L24">
            <v>10083.892760000001</v>
          </cell>
          <cell r="M24">
            <v>10172.096890000001</v>
          </cell>
          <cell r="N24">
            <v>10269.20102</v>
          </cell>
          <cell r="O24">
            <v>10374.62751</v>
          </cell>
          <cell r="P24">
            <v>10488.10637</v>
          </cell>
          <cell r="Q24">
            <v>10609.66951</v>
          </cell>
          <cell r="R24">
            <v>10739.168739999999</v>
          </cell>
          <cell r="S24">
            <v>10876.849109999999</v>
          </cell>
          <cell r="T24">
            <v>11023.20829</v>
          </cell>
          <cell r="U24">
            <v>11178.877899999999</v>
          </cell>
          <cell r="V24">
            <v>11344.60168</v>
          </cell>
          <cell r="W24">
            <v>11521.19514</v>
          </cell>
          <cell r="X24">
            <v>11709.595439999999</v>
          </cell>
          <cell r="Y24">
            <v>11910.83063</v>
          </cell>
          <cell r="Z24">
            <v>12125.91382</v>
          </cell>
          <cell r="AA24">
            <v>12355.841839999999</v>
          </cell>
          <cell r="AB24">
            <v>12601.818509999999</v>
          </cell>
          <cell r="AC24">
            <v>12864.973400000001</v>
          </cell>
          <cell r="AD24">
            <v>13146.4354</v>
          </cell>
          <cell r="AE24">
            <v>13447.1404</v>
          </cell>
          <cell r="AF24">
            <v>13767.67037</v>
          </cell>
          <cell r="AG24">
            <v>14108.23897</v>
          </cell>
          <cell r="AH24">
            <v>14468.754499999999</v>
          </cell>
          <cell r="AI24">
            <v>14848.882019999999</v>
          </cell>
          <cell r="AJ24">
            <v>15248.067129999999</v>
          </cell>
          <cell r="AK24">
            <v>15665.544330000001</v>
          </cell>
        </row>
        <row r="25">
          <cell r="B25">
            <v>9372.126268</v>
          </cell>
          <cell r="C25">
            <v>9465.1613159999997</v>
          </cell>
          <cell r="D25">
            <v>9544.1389429999999</v>
          </cell>
          <cell r="E25">
            <v>9613.8924729999999</v>
          </cell>
          <cell r="F25">
            <v>9678.5898440000001</v>
          </cell>
          <cell r="G25">
            <v>9741.3747110000004</v>
          </cell>
          <cell r="H25">
            <v>9804.3173210000004</v>
          </cell>
          <cell r="I25">
            <v>9868.919441</v>
          </cell>
          <cell r="J25">
            <v>9936.4241270000002</v>
          </cell>
          <cell r="K25">
            <v>10007.94563</v>
          </cell>
          <cell r="L25">
            <v>10084.505999999999</v>
          </cell>
          <cell r="M25">
            <v>10167.033649999999</v>
          </cell>
          <cell r="N25">
            <v>10256.089760000001</v>
          </cell>
          <cell r="O25">
            <v>10351.46307</v>
          </cell>
          <cell r="P25">
            <v>10452.95709</v>
          </cell>
          <cell r="Q25">
            <v>10560.60102</v>
          </cell>
          <cell r="R25">
            <v>10674.840529999999</v>
          </cell>
          <cell r="S25">
            <v>10796.4056</v>
          </cell>
          <cell r="T25">
            <v>10926.16814</v>
          </cell>
          <cell r="U25">
            <v>11065.01289</v>
          </cell>
          <cell r="V25">
            <v>11213.83935</v>
          </cell>
          <cell r="W25">
            <v>11373.569890000001</v>
          </cell>
          <cell r="X25">
            <v>11545.23171</v>
          </cell>
          <cell r="Y25">
            <v>11729.930179999999</v>
          </cell>
          <cell r="Z25">
            <v>11928.749980000001</v>
          </cell>
          <cell r="AA25">
            <v>12142.76158</v>
          </cell>
          <cell r="AB25">
            <v>12373.05306</v>
          </cell>
          <cell r="AC25">
            <v>12620.83329</v>
          </cell>
          <cell r="AD25">
            <v>12887.35542</v>
          </cell>
          <cell r="AE25">
            <v>13173.67448</v>
          </cell>
          <cell r="AF25">
            <v>13480.48366</v>
          </cell>
          <cell r="AG25">
            <v>13808.12779</v>
          </cell>
          <cell r="AH25">
            <v>14156.68153</v>
          </cell>
          <cell r="AI25">
            <v>14525.99253</v>
          </cell>
          <cell r="AJ25">
            <v>14915.69643</v>
          </cell>
          <cell r="AK25">
            <v>15325.216200000001</v>
          </cell>
        </row>
        <row r="26">
          <cell r="B26">
            <v>84741.007719999994</v>
          </cell>
          <cell r="C26">
            <v>86026.53542</v>
          </cell>
          <cell r="D26">
            <v>87695.150150000001</v>
          </cell>
          <cell r="E26">
            <v>89613.14963</v>
          </cell>
          <cell r="F26">
            <v>91639.476809999993</v>
          </cell>
          <cell r="G26">
            <v>93689.200349999999</v>
          </cell>
          <cell r="H26">
            <v>95725.558659999995</v>
          </cell>
          <cell r="I26">
            <v>97733.197549999997</v>
          </cell>
          <cell r="J26">
            <v>99725.208310000002</v>
          </cell>
          <cell r="K26">
            <v>101741.3354</v>
          </cell>
          <cell r="L26">
            <v>103819.79610000001</v>
          </cell>
          <cell r="M26">
            <v>105979.47689999999</v>
          </cell>
          <cell r="N26">
            <v>108214.7282</v>
          </cell>
          <cell r="O26">
            <v>110511.5724</v>
          </cell>
          <cell r="P26">
            <v>112859.9632</v>
          </cell>
          <cell r="Q26">
            <v>115256.6952</v>
          </cell>
          <cell r="R26">
            <v>117706.3818</v>
          </cell>
          <cell r="S26">
            <v>120218.2383</v>
          </cell>
          <cell r="T26">
            <v>122800.6954</v>
          </cell>
          <cell r="U26">
            <v>125459.50840000001</v>
          </cell>
          <cell r="V26">
            <v>128198.6305</v>
          </cell>
          <cell r="W26">
            <v>131021.4504</v>
          </cell>
          <cell r="X26">
            <v>133931.5319</v>
          </cell>
          <cell r="Y26">
            <v>136933.00030000001</v>
          </cell>
          <cell r="Z26">
            <v>140030.2323</v>
          </cell>
          <cell r="AA26">
            <v>143228.2414</v>
          </cell>
          <cell r="AB26">
            <v>146532.3376</v>
          </cell>
          <cell r="AC26">
            <v>149947.78049999999</v>
          </cell>
          <cell r="AD26">
            <v>153481.45509999999</v>
          </cell>
          <cell r="AE26">
            <v>157142.09090000001</v>
          </cell>
          <cell r="AF26">
            <v>160939.622</v>
          </cell>
          <cell r="AG26">
            <v>164883.9253</v>
          </cell>
          <cell r="AH26">
            <v>168983.54389999999</v>
          </cell>
          <cell r="AI26">
            <v>173245.60250000001</v>
          </cell>
          <cell r="AJ26">
            <v>177675.85870000001</v>
          </cell>
          <cell r="AK26">
            <v>182278.734</v>
          </cell>
        </row>
        <row r="27">
          <cell r="B27">
            <v>84741.007719999994</v>
          </cell>
          <cell r="C27">
            <v>86026.53542</v>
          </cell>
          <cell r="D27">
            <v>87695.150150000001</v>
          </cell>
          <cell r="E27">
            <v>89613.14963</v>
          </cell>
          <cell r="F27">
            <v>91639.476809999993</v>
          </cell>
          <cell r="G27">
            <v>93689.200349999999</v>
          </cell>
          <cell r="H27">
            <v>95722.800910000005</v>
          </cell>
          <cell r="I27">
            <v>97728.796059999993</v>
          </cell>
          <cell r="J27">
            <v>99709.953529999999</v>
          </cell>
          <cell r="K27">
            <v>101675.60860000001</v>
          </cell>
          <cell r="L27">
            <v>103638.03539999999</v>
          </cell>
          <cell r="M27">
            <v>105610.95600000001</v>
          </cell>
          <cell r="N27">
            <v>107607.1973</v>
          </cell>
          <cell r="O27">
            <v>109635.34420000001</v>
          </cell>
          <cell r="P27">
            <v>111701.0619</v>
          </cell>
          <cell r="Q27">
            <v>113808.8184</v>
          </cell>
          <cell r="R27">
            <v>115965.1306</v>
          </cell>
          <cell r="S27">
            <v>118176.6327</v>
          </cell>
          <cell r="T27">
            <v>120448.9811</v>
          </cell>
          <cell r="U27">
            <v>122786.36410000001</v>
          </cell>
          <cell r="V27">
            <v>125192.1357</v>
          </cell>
          <cell r="W27">
            <v>127669.7665</v>
          </cell>
          <cell r="X27">
            <v>130223.28200000001</v>
          </cell>
          <cell r="Y27">
            <v>132857.21090000001</v>
          </cell>
          <cell r="Z27">
            <v>135576.16949999999</v>
          </cell>
          <cell r="AA27">
            <v>138385.34150000001</v>
          </cell>
          <cell r="AB27">
            <v>141290.9786</v>
          </cell>
          <cell r="AC27">
            <v>144300.57120000001</v>
          </cell>
          <cell r="AD27">
            <v>147423.49230000001</v>
          </cell>
          <cell r="AE27">
            <v>150670.71170000001</v>
          </cell>
          <cell r="AF27">
            <v>154054.13500000001</v>
          </cell>
          <cell r="AG27">
            <v>157585.8939</v>
          </cell>
          <cell r="AH27">
            <v>161277.4492</v>
          </cell>
          <cell r="AI27">
            <v>165139.12400000001</v>
          </cell>
          <cell r="AJ27">
            <v>169179.85930000001</v>
          </cell>
          <cell r="AK27">
            <v>173407.04810000001</v>
          </cell>
        </row>
        <row r="28">
          <cell r="B28">
            <v>10026.68583</v>
          </cell>
          <cell r="C28">
            <v>10134.733620000001</v>
          </cell>
          <cell r="D28">
            <v>10236.6075</v>
          </cell>
          <cell r="E28">
            <v>10335.15864</v>
          </cell>
          <cell r="F28">
            <v>10432.6422</v>
          </cell>
          <cell r="G28">
            <v>10530.7549</v>
          </cell>
          <cell r="H28">
            <v>10630.72193</v>
          </cell>
          <cell r="I28">
            <v>10731.85008</v>
          </cell>
          <cell r="J28">
            <v>10834.613429999999</v>
          </cell>
          <cell r="K28">
            <v>10942.851409999999</v>
          </cell>
          <cell r="L28">
            <v>11058.738160000001</v>
          </cell>
          <cell r="M28">
            <v>11183.029430000001</v>
          </cell>
          <cell r="N28">
            <v>11315.729160000001</v>
          </cell>
          <cell r="O28">
            <v>11456.066709999999</v>
          </cell>
          <cell r="P28">
            <v>11603.40885</v>
          </cell>
          <cell r="Q28">
            <v>11757.39437</v>
          </cell>
          <cell r="R28">
            <v>11918.072340000001</v>
          </cell>
          <cell r="S28">
            <v>12085.634389999999</v>
          </cell>
          <cell r="T28">
            <v>12260.46111</v>
          </cell>
          <cell r="U28">
            <v>12443.05941</v>
          </cell>
          <cell r="V28">
            <v>12634.04535</v>
          </cell>
          <cell r="W28">
            <v>12834.11227</v>
          </cell>
          <cell r="X28">
            <v>13044.068310000001</v>
          </cell>
          <cell r="Y28">
            <v>13264.78976</v>
          </cell>
          <cell r="Z28">
            <v>13497.10965</v>
          </cell>
          <cell r="AA28">
            <v>13741.807430000001</v>
          </cell>
          <cell r="AB28">
            <v>13999.636280000001</v>
          </cell>
          <cell r="AC28">
            <v>14271.447899999999</v>
          </cell>
          <cell r="AD28">
            <v>14558.15336</v>
          </cell>
          <cell r="AE28">
            <v>14860.49494</v>
          </cell>
          <cell r="AF28">
            <v>15178.875379999999</v>
          </cell>
          <cell r="AG28">
            <v>15513.35369</v>
          </cell>
          <cell r="AH28">
            <v>15863.72363</v>
          </cell>
          <cell r="AI28">
            <v>16229.56516</v>
          </cell>
          <cell r="AJ28">
            <v>16610.255410000002</v>
          </cell>
          <cell r="AK28">
            <v>17004.95983</v>
          </cell>
        </row>
        <row r="29">
          <cell r="B29">
            <v>10026.68583</v>
          </cell>
          <cell r="C29">
            <v>10134.733620000001</v>
          </cell>
          <cell r="D29">
            <v>10236.6075</v>
          </cell>
          <cell r="E29">
            <v>10335.15864</v>
          </cell>
          <cell r="F29">
            <v>10432.6422</v>
          </cell>
          <cell r="G29">
            <v>10530.7549</v>
          </cell>
          <cell r="H29">
            <v>10630.445159999999</v>
          </cell>
          <cell r="I29">
            <v>10732.408869999999</v>
          </cell>
          <cell r="J29">
            <v>10837.34052</v>
          </cell>
          <cell r="K29">
            <v>10945.97725</v>
          </cell>
          <cell r="L29">
            <v>11059.06842</v>
          </cell>
          <cell r="M29">
            <v>11177.3297</v>
          </cell>
          <cell r="N29">
            <v>11301.16303</v>
          </cell>
          <cell r="O29">
            <v>11430.25935</v>
          </cell>
          <cell r="P29">
            <v>11564.29242</v>
          </cell>
          <cell r="Q29">
            <v>11703.162539999999</v>
          </cell>
          <cell r="R29">
            <v>11847.190689999999</v>
          </cell>
          <cell r="S29">
            <v>11997.04319</v>
          </cell>
          <cell r="T29">
            <v>12153.528039999999</v>
          </cell>
          <cell r="U29">
            <v>12317.45686</v>
          </cell>
          <cell r="V29">
            <v>12489.643319999999</v>
          </cell>
          <cell r="W29">
            <v>12670.914870000001</v>
          </cell>
          <cell r="X29">
            <v>12862.18478</v>
          </cell>
          <cell r="Y29">
            <v>13064.429029999999</v>
          </cell>
          <cell r="Z29">
            <v>13278.596089999999</v>
          </cell>
          <cell r="AA29">
            <v>13505.609130000001</v>
          </cell>
          <cell r="AB29">
            <v>13746.394850000001</v>
          </cell>
          <cell r="AC29">
            <v>14001.973180000001</v>
          </cell>
          <cell r="AD29">
            <v>14273.396290000001</v>
          </cell>
          <cell r="AE29">
            <v>14561.53182</v>
          </cell>
          <cell r="AF29">
            <v>14866.90898</v>
          </cell>
          <cell r="AG29">
            <v>15189.72596</v>
          </cell>
          <cell r="AH29">
            <v>15529.92237</v>
          </cell>
          <cell r="AI29">
            <v>15887.22775</v>
          </cell>
          <cell r="AJ29">
            <v>16261.18512</v>
          </cell>
          <cell r="AK29">
            <v>16651.158930000001</v>
          </cell>
        </row>
        <row r="30">
          <cell r="B30">
            <v>105574.1823</v>
          </cell>
          <cell r="C30">
            <v>106700.7323</v>
          </cell>
          <cell r="D30">
            <v>107747.9685</v>
          </cell>
          <cell r="E30">
            <v>108745.73510000001</v>
          </cell>
          <cell r="F30">
            <v>109720.7715</v>
          </cell>
          <cell r="G30">
            <v>110694.2169</v>
          </cell>
          <cell r="H30">
            <v>111681.37390000001</v>
          </cell>
          <cell r="I30">
            <v>112669.761</v>
          </cell>
          <cell r="J30">
            <v>113659.63920000001</v>
          </cell>
          <cell r="K30">
            <v>114687.2187</v>
          </cell>
          <cell r="L30">
            <v>115772.2868</v>
          </cell>
          <cell r="M30">
            <v>116923.3858</v>
          </cell>
          <cell r="N30">
            <v>118143.2666</v>
          </cell>
          <cell r="O30">
            <v>119427.7353</v>
          </cell>
          <cell r="P30">
            <v>120774.22319999999</v>
          </cell>
          <cell r="Q30">
            <v>122182.62639999999</v>
          </cell>
          <cell r="R30">
            <v>123655.53449999999</v>
          </cell>
          <cell r="S30">
            <v>125196.1152</v>
          </cell>
          <cell r="T30">
            <v>126808.8597</v>
          </cell>
          <cell r="U30">
            <v>128499.2384</v>
          </cell>
          <cell r="V30">
            <v>130273.7173</v>
          </cell>
          <cell r="W30">
            <v>132139.46799999999</v>
          </cell>
          <cell r="X30">
            <v>134104.77179999999</v>
          </cell>
          <cell r="Y30">
            <v>136178.69270000001</v>
          </cell>
          <cell r="Z30">
            <v>138370.09220000001</v>
          </cell>
          <cell r="AA30">
            <v>140687.56630000001</v>
          </cell>
          <cell r="AB30">
            <v>143139.394</v>
          </cell>
          <cell r="AC30">
            <v>145734.4626</v>
          </cell>
          <cell r="AD30">
            <v>148482.07269999999</v>
          </cell>
          <cell r="AE30">
            <v>151389.87849999999</v>
          </cell>
          <cell r="AF30">
            <v>154462.34220000001</v>
          </cell>
          <cell r="AG30">
            <v>157700.6237</v>
          </cell>
          <cell r="AH30">
            <v>161103.22080000001</v>
          </cell>
          <cell r="AI30">
            <v>164666.56959999999</v>
          </cell>
          <cell r="AJ30">
            <v>168385.27129999999</v>
          </cell>
          <cell r="AK30">
            <v>172252.0624</v>
          </cell>
        </row>
        <row r="31">
          <cell r="B31">
            <v>105574.1823</v>
          </cell>
          <cell r="C31">
            <v>106700.7323</v>
          </cell>
          <cell r="D31">
            <v>107747.9685</v>
          </cell>
          <cell r="E31">
            <v>108745.73510000001</v>
          </cell>
          <cell r="F31">
            <v>109720.7715</v>
          </cell>
          <cell r="G31">
            <v>110694.2169</v>
          </cell>
          <cell r="H31">
            <v>111678.1738</v>
          </cell>
          <cell r="I31">
            <v>112680.723</v>
          </cell>
          <cell r="J31">
            <v>113709.1605</v>
          </cell>
          <cell r="K31">
            <v>114771.0889</v>
          </cell>
          <cell r="L31">
            <v>115874.4313</v>
          </cell>
          <cell r="M31">
            <v>117027.0049</v>
          </cell>
          <cell r="N31">
            <v>118233.57739999999</v>
          </cell>
          <cell r="O31">
            <v>119491.6995</v>
          </cell>
          <cell r="P31">
            <v>120798.87059999999</v>
          </cell>
          <cell r="Q31">
            <v>122154.9175</v>
          </cell>
          <cell r="R31">
            <v>123564.29700000001</v>
          </cell>
          <cell r="S31">
            <v>125035.0203</v>
          </cell>
          <cell r="T31">
            <v>126576.2598</v>
          </cell>
          <cell r="U31">
            <v>128196.7883</v>
          </cell>
          <cell r="V31">
            <v>129904.9825</v>
          </cell>
          <cell r="W31">
            <v>131709.03959999999</v>
          </cell>
          <cell r="X31">
            <v>133617.84669999999</v>
          </cell>
          <cell r="Y31">
            <v>135640.8468</v>
          </cell>
          <cell r="Z31">
            <v>137787.19380000001</v>
          </cell>
          <cell r="AA31">
            <v>140065.8137</v>
          </cell>
          <cell r="AB31">
            <v>142485.71960000001</v>
          </cell>
          <cell r="AC31">
            <v>145056.93549999999</v>
          </cell>
          <cell r="AD31">
            <v>147789.85579999999</v>
          </cell>
          <cell r="AE31">
            <v>150692.984</v>
          </cell>
          <cell r="AF31">
            <v>153771.3867</v>
          </cell>
          <cell r="AG31">
            <v>157026.82399999999</v>
          </cell>
          <cell r="AH31">
            <v>160458.5344</v>
          </cell>
          <cell r="AI31">
            <v>164063.74220000001</v>
          </cell>
          <cell r="AJ31">
            <v>167837.8866</v>
          </cell>
          <cell r="AK31">
            <v>171774.67619999999</v>
          </cell>
        </row>
        <row r="32">
          <cell r="B32">
            <v>21035.638620000002</v>
          </cell>
          <cell r="C32">
            <v>21295.175660000001</v>
          </cell>
          <cell r="D32">
            <v>21578.588070000002</v>
          </cell>
          <cell r="E32">
            <v>21886.550060000001</v>
          </cell>
          <cell r="F32">
            <v>22218.354759999998</v>
          </cell>
          <cell r="G32">
            <v>22573.619930000001</v>
          </cell>
          <cell r="H32">
            <v>22952.09489</v>
          </cell>
          <cell r="I32">
            <v>23350.892029999999</v>
          </cell>
          <cell r="J32">
            <v>23779.79941</v>
          </cell>
          <cell r="K32">
            <v>24270.454129999998</v>
          </cell>
          <cell r="L32">
            <v>24838.058420000001</v>
          </cell>
          <cell r="M32">
            <v>25484.666020000001</v>
          </cell>
          <cell r="N32">
            <v>26200.466189999999</v>
          </cell>
          <cell r="O32">
            <v>26968.05442</v>
          </cell>
          <cell r="P32">
            <v>27772.62372</v>
          </cell>
          <cell r="Q32">
            <v>28603.186809999999</v>
          </cell>
          <cell r="R32">
            <v>29455.98445</v>
          </cell>
          <cell r="S32">
            <v>30331.4555</v>
          </cell>
          <cell r="T32">
            <v>31232.925090000001</v>
          </cell>
          <cell r="U32">
            <v>32164.808239999998</v>
          </cell>
          <cell r="V32">
            <v>33132.058830000002</v>
          </cell>
          <cell r="W32">
            <v>34140.397190000003</v>
          </cell>
          <cell r="X32">
            <v>35196.741970000003</v>
          </cell>
          <cell r="Y32">
            <v>36307.801149999999</v>
          </cell>
          <cell r="Z32">
            <v>37478.78037</v>
          </cell>
          <cell r="AA32">
            <v>38713.453170000001</v>
          </cell>
          <cell r="AB32">
            <v>40017.172489999997</v>
          </cell>
          <cell r="AC32">
            <v>41399.49613</v>
          </cell>
          <cell r="AD32">
            <v>42870.764190000002</v>
          </cell>
          <cell r="AE32">
            <v>44438.506329999997</v>
          </cell>
          <cell r="AF32">
            <v>46106.003270000001</v>
          </cell>
          <cell r="AG32">
            <v>47874.241820000003</v>
          </cell>
          <cell r="AH32">
            <v>49744.105640000002</v>
          </cell>
          <cell r="AI32">
            <v>51715.774989999998</v>
          </cell>
          <cell r="AJ32">
            <v>53788.101949999997</v>
          </cell>
          <cell r="AK32">
            <v>55958.273220000003</v>
          </cell>
        </row>
        <row r="33">
          <cell r="B33">
            <v>21035.638620000002</v>
          </cell>
          <cell r="C33">
            <v>21295.175660000001</v>
          </cell>
          <cell r="D33">
            <v>21578.588070000002</v>
          </cell>
          <cell r="E33">
            <v>21886.550060000001</v>
          </cell>
          <cell r="F33">
            <v>22218.354759999998</v>
          </cell>
          <cell r="G33">
            <v>22573.619930000001</v>
          </cell>
          <cell r="H33">
            <v>22951.845069999999</v>
          </cell>
          <cell r="I33">
            <v>23352.227480000001</v>
          </cell>
          <cell r="J33">
            <v>23773.84807</v>
          </cell>
          <cell r="K33">
            <v>24215.815900000001</v>
          </cell>
          <cell r="L33">
            <v>24677.381119999998</v>
          </cell>
          <cell r="M33">
            <v>25157.810529999999</v>
          </cell>
          <cell r="N33">
            <v>25654.598320000001</v>
          </cell>
          <cell r="O33">
            <v>26161.077689999998</v>
          </cell>
          <cell r="P33">
            <v>26672.283350000002</v>
          </cell>
          <cell r="Q33">
            <v>27186.136630000001</v>
          </cell>
          <cell r="R33">
            <v>27703.3655</v>
          </cell>
          <cell r="S33">
            <v>28227.176240000001</v>
          </cell>
          <cell r="T33">
            <v>28762.388940000001</v>
          </cell>
          <cell r="U33">
            <v>29314.425459999999</v>
          </cell>
          <cell r="V33">
            <v>29889.073110000001</v>
          </cell>
          <cell r="W33">
            <v>30492.250609999999</v>
          </cell>
          <cell r="X33">
            <v>31130.35226</v>
          </cell>
          <cell r="Y33">
            <v>31809.92656</v>
          </cell>
          <cell r="Z33">
            <v>32537.05962</v>
          </cell>
          <cell r="AA33">
            <v>33317.496939999997</v>
          </cell>
          <cell r="AB33">
            <v>34156.879979999998</v>
          </cell>
          <cell r="AC33">
            <v>35061.356079999998</v>
          </cell>
          <cell r="AD33">
            <v>36036.9882</v>
          </cell>
          <cell r="AE33">
            <v>37088.030610000002</v>
          </cell>
          <cell r="AF33">
            <v>38216.088380000001</v>
          </cell>
          <cell r="AG33">
            <v>39420.561609999997</v>
          </cell>
          <cell r="AH33">
            <v>40699.415410000001</v>
          </cell>
          <cell r="AI33">
            <v>42049.618490000001</v>
          </cell>
          <cell r="AJ33">
            <v>43467.327270000002</v>
          </cell>
          <cell r="AK33">
            <v>44947.924480000001</v>
          </cell>
        </row>
        <row r="34">
          <cell r="B34">
            <v>28139.615959999999</v>
          </cell>
          <cell r="C34">
            <v>28475.450570000001</v>
          </cell>
          <cell r="D34">
            <v>28830.16431</v>
          </cell>
          <cell r="E34">
            <v>29206.50764</v>
          </cell>
          <cell r="F34">
            <v>29604.357609999999</v>
          </cell>
          <cell r="G34">
            <v>30025.195299999999</v>
          </cell>
          <cell r="H34">
            <v>30470.711190000002</v>
          </cell>
          <cell r="I34">
            <v>30936.885340000001</v>
          </cell>
          <cell r="J34">
            <v>31422.409220000001</v>
          </cell>
          <cell r="K34">
            <v>31946.67381</v>
          </cell>
          <cell r="L34">
            <v>32520.230619999998</v>
          </cell>
          <cell r="M34">
            <v>33146.856599999999</v>
          </cell>
          <cell r="N34">
            <v>33826.67957</v>
          </cell>
          <cell r="O34">
            <v>34554.99368</v>
          </cell>
          <cell r="P34">
            <v>35327.599900000001</v>
          </cell>
          <cell r="Q34">
            <v>36141.259339999997</v>
          </cell>
          <cell r="R34">
            <v>36994.200219999999</v>
          </cell>
          <cell r="S34">
            <v>37885.856769999999</v>
          </cell>
          <cell r="T34">
            <v>38817.261980000003</v>
          </cell>
          <cell r="U34">
            <v>39790.653140000002</v>
          </cell>
          <cell r="V34">
            <v>40809.360589999997</v>
          </cell>
          <cell r="W34">
            <v>41877.803390000001</v>
          </cell>
          <cell r="X34">
            <v>43001.721319999997</v>
          </cell>
          <cell r="Y34">
            <v>44187.420810000003</v>
          </cell>
          <cell r="Z34">
            <v>45440.814760000001</v>
          </cell>
          <cell r="AA34">
            <v>46767.320679999997</v>
          </cell>
          <cell r="AB34">
            <v>48173.482380000001</v>
          </cell>
          <cell r="AC34">
            <v>49667.941330000001</v>
          </cell>
          <cell r="AD34">
            <v>51260.381020000001</v>
          </cell>
          <cell r="AE34">
            <v>52959.52506</v>
          </cell>
          <cell r="AF34">
            <v>54771.929709999997</v>
          </cell>
          <cell r="AG34">
            <v>56702.55212</v>
          </cell>
          <cell r="AH34">
            <v>58755.774490000003</v>
          </cell>
          <cell r="AI34">
            <v>60935.33238</v>
          </cell>
          <cell r="AJ34">
            <v>63244.027959999999</v>
          </cell>
          <cell r="AK34">
            <v>65683.465030000007</v>
          </cell>
        </row>
        <row r="35">
          <cell r="B35">
            <v>28139.615959999999</v>
          </cell>
          <cell r="C35">
            <v>28475.450570000001</v>
          </cell>
          <cell r="D35">
            <v>28830.16431</v>
          </cell>
          <cell r="E35">
            <v>29206.50764</v>
          </cell>
          <cell r="F35">
            <v>29604.357609999999</v>
          </cell>
          <cell r="G35">
            <v>30025.195299999999</v>
          </cell>
          <cell r="H35">
            <v>30469.552039999999</v>
          </cell>
          <cell r="I35">
            <v>30937.458900000001</v>
          </cell>
          <cell r="J35">
            <v>31429.0353</v>
          </cell>
          <cell r="K35">
            <v>31944.601330000001</v>
          </cell>
          <cell r="L35">
            <v>32484.731349999998</v>
          </cell>
          <cell r="M35">
            <v>33050.164100000002</v>
          </cell>
          <cell r="N35">
            <v>33640.366150000002</v>
          </cell>
          <cell r="O35">
            <v>34251.464509999998</v>
          </cell>
          <cell r="P35">
            <v>34880.243560000003</v>
          </cell>
          <cell r="Q35">
            <v>35525.152410000002</v>
          </cell>
          <cell r="R35">
            <v>36187.518909999999</v>
          </cell>
          <cell r="S35">
            <v>36870.828849999998</v>
          </cell>
          <cell r="T35">
            <v>37579.582430000002</v>
          </cell>
          <cell r="U35">
            <v>38318.428659999998</v>
          </cell>
          <cell r="V35">
            <v>39092.081039999997</v>
          </cell>
          <cell r="W35">
            <v>39905.317419999999</v>
          </cell>
          <cell r="X35">
            <v>40763.365579999998</v>
          </cell>
          <cell r="Y35">
            <v>41671.755389999998</v>
          </cell>
          <cell r="Z35">
            <v>42635.838459999999</v>
          </cell>
          <cell r="AA35">
            <v>43660.863270000002</v>
          </cell>
          <cell r="AB35">
            <v>44752.164729999997</v>
          </cell>
          <cell r="AC35">
            <v>45915.67411</v>
          </cell>
          <cell r="AD35">
            <v>47157.554270000001</v>
          </cell>
          <cell r="AE35">
            <v>48482.980069999998</v>
          </cell>
          <cell r="AF35">
            <v>49895.353260000004</v>
          </cell>
          <cell r="AG35">
            <v>51396.39733</v>
          </cell>
          <cell r="AH35">
            <v>52986.540119999998</v>
          </cell>
          <cell r="AI35">
            <v>54665.122029999999</v>
          </cell>
          <cell r="AJ35">
            <v>56430.467790000002</v>
          </cell>
          <cell r="AK35">
            <v>58279.8822</v>
          </cell>
        </row>
        <row r="36">
          <cell r="B36">
            <v>6034178.7419999996</v>
          </cell>
          <cell r="C36">
            <v>6102871.9409999996</v>
          </cell>
          <cell r="D36">
            <v>6172049.8540000003</v>
          </cell>
          <cell r="E36">
            <v>6242724.2529999996</v>
          </cell>
          <cell r="F36">
            <v>6315584.4460000005</v>
          </cell>
          <cell r="G36">
            <v>6391015.284</v>
          </cell>
          <cell r="H36">
            <v>6469187.4879999999</v>
          </cell>
          <cell r="I36">
            <v>6549400.7170000002</v>
          </cell>
          <cell r="J36">
            <v>6631432.6849999996</v>
          </cell>
          <cell r="K36">
            <v>6716173.7359999996</v>
          </cell>
          <cell r="L36">
            <v>6804219.9000000004</v>
          </cell>
          <cell r="M36">
            <v>6895993.1689999998</v>
          </cell>
          <cell r="N36">
            <v>6991808.2139999997</v>
          </cell>
          <cell r="O36">
            <v>7091772.1399999997</v>
          </cell>
          <cell r="P36">
            <v>7195984.9850000003</v>
          </cell>
          <cell r="Q36">
            <v>7304571.8700000001</v>
          </cell>
          <cell r="R36">
            <v>7417669.3689999999</v>
          </cell>
          <cell r="S36">
            <v>7535436.4819999998</v>
          </cell>
          <cell r="T36">
            <v>7658076.125</v>
          </cell>
          <cell r="U36">
            <v>7785830.3140000002</v>
          </cell>
          <cell r="V36">
            <v>7918981.4280000003</v>
          </cell>
          <cell r="W36">
            <v>8057840.267</v>
          </cell>
          <cell r="X36">
            <v>8202759.7180000003</v>
          </cell>
          <cell r="Y36">
            <v>8354136.3260000004</v>
          </cell>
          <cell r="Z36">
            <v>8512381.5490000006</v>
          </cell>
          <cell r="AA36">
            <v>8677917.4120000005</v>
          </cell>
          <cell r="AB36">
            <v>8851164.0899999999</v>
          </cell>
          <cell r="AC36">
            <v>9032552.9069999997</v>
          </cell>
          <cell r="AD36">
            <v>9222557.9869999997</v>
          </cell>
          <cell r="AE36">
            <v>9421658.0260000005</v>
          </cell>
          <cell r="AF36">
            <v>9630286.5280000009</v>
          </cell>
          <cell r="AG36">
            <v>9848804.8019999992</v>
          </cell>
          <cell r="AH36">
            <v>10077503.300000001</v>
          </cell>
          <cell r="AI36">
            <v>10316621.720000001</v>
          </cell>
          <cell r="AJ36">
            <v>10566354.48</v>
          </cell>
          <cell r="AK36">
            <v>10826844.99</v>
          </cell>
        </row>
        <row r="37">
          <cell r="B37">
            <v>6034178.7419999996</v>
          </cell>
          <cell r="C37">
            <v>6102871.9409999996</v>
          </cell>
          <cell r="D37">
            <v>6172049.8540000003</v>
          </cell>
          <cell r="E37">
            <v>6242724.2529999996</v>
          </cell>
          <cell r="F37">
            <v>6315584.4460000005</v>
          </cell>
          <cell r="G37">
            <v>6391015.284</v>
          </cell>
          <cell r="H37">
            <v>6469028.2220000001</v>
          </cell>
          <cell r="I37">
            <v>6549567.5999999996</v>
          </cell>
          <cell r="J37">
            <v>6632634.8619999997</v>
          </cell>
          <cell r="K37">
            <v>6718326.0700000003</v>
          </cell>
          <cell r="L37">
            <v>6806817.7580000004</v>
          </cell>
          <cell r="M37">
            <v>6898346.0520000001</v>
          </cell>
          <cell r="N37">
            <v>6993111.2960000001</v>
          </cell>
          <cell r="O37">
            <v>7091134.5889999997</v>
          </cell>
          <cell r="P37">
            <v>7192421.0970000001</v>
          </cell>
          <cell r="Q37">
            <v>7297023.5999999996</v>
          </cell>
          <cell r="R37">
            <v>7405197.8550000004</v>
          </cell>
          <cell r="S37">
            <v>7517290.5539999995</v>
          </cell>
          <cell r="T37">
            <v>7633664.9910000004</v>
          </cell>
          <cell r="U37">
            <v>7754656.1710000001</v>
          </cell>
          <cell r="V37">
            <v>7880576.7450000001</v>
          </cell>
          <cell r="W37">
            <v>8011734.1919999998</v>
          </cell>
          <cell r="X37">
            <v>8148465.9560000002</v>
          </cell>
          <cell r="Y37">
            <v>8291143.9579999996</v>
          </cell>
          <cell r="Z37">
            <v>8440149.943</v>
          </cell>
          <cell r="AA37">
            <v>8595876.6850000005</v>
          </cell>
          <cell r="AB37">
            <v>8758739.2829999998</v>
          </cell>
          <cell r="AC37">
            <v>8929209.4000000004</v>
          </cell>
          <cell r="AD37">
            <v>9107804.5219999999</v>
          </cell>
          <cell r="AE37">
            <v>9295032.1909999996</v>
          </cell>
          <cell r="AF37">
            <v>9491338.9849999994</v>
          </cell>
          <cell r="AG37">
            <v>9697101.8350000009</v>
          </cell>
          <cell r="AH37">
            <v>9912640.0299999993</v>
          </cell>
          <cell r="AI37">
            <v>10138220.83</v>
          </cell>
          <cell r="AJ37">
            <v>10374057.76</v>
          </cell>
          <cell r="AK37">
            <v>10620304.15</v>
          </cell>
        </row>
        <row r="38">
          <cell r="B38">
            <v>1607577.648</v>
          </cell>
          <cell r="C38">
            <v>1626138.9890000001</v>
          </cell>
          <cell r="D38">
            <v>1645039.5160000001</v>
          </cell>
          <cell r="E38">
            <v>1664420.5220000001</v>
          </cell>
          <cell r="F38">
            <v>1684389.6950000001</v>
          </cell>
          <cell r="G38">
            <v>1704998.868</v>
          </cell>
          <cell r="H38">
            <v>1726259.486</v>
          </cell>
          <cell r="I38">
            <v>1748026.041</v>
          </cell>
          <cell r="J38">
            <v>1770276.436</v>
          </cell>
          <cell r="K38">
            <v>1793077.902</v>
          </cell>
          <cell r="L38">
            <v>1816498.693</v>
          </cell>
          <cell r="M38">
            <v>1840644.297</v>
          </cell>
          <cell r="N38">
            <v>1865625.791</v>
          </cell>
          <cell r="O38">
            <v>1891535.75</v>
          </cell>
          <cell r="P38">
            <v>1918450.912</v>
          </cell>
          <cell r="Q38">
            <v>1946433.2180000001</v>
          </cell>
          <cell r="R38">
            <v>1975533.7409999999</v>
          </cell>
          <cell r="S38">
            <v>2005787.483</v>
          </cell>
          <cell r="T38">
            <v>2037222.915</v>
          </cell>
          <cell r="U38">
            <v>2069864.294</v>
          </cell>
          <cell r="V38">
            <v>2103732.4759999998</v>
          </cell>
          <cell r="W38">
            <v>2138842.8420000002</v>
          </cell>
          <cell r="X38">
            <v>2175206.673</v>
          </cell>
          <cell r="Y38">
            <v>2212834.665</v>
          </cell>
          <cell r="Z38">
            <v>2251735.091</v>
          </cell>
          <cell r="AA38">
            <v>2291914.2969999998</v>
          </cell>
          <cell r="AB38">
            <v>2333368.6540000001</v>
          </cell>
          <cell r="AC38">
            <v>2376086.2829999998</v>
          </cell>
          <cell r="AD38">
            <v>2420061.804</v>
          </cell>
          <cell r="AE38">
            <v>2465301.1120000002</v>
          </cell>
          <cell r="AF38">
            <v>2511819.5079999999</v>
          </cell>
          <cell r="AG38">
            <v>2559635.5499999998</v>
          </cell>
          <cell r="AH38">
            <v>2608768.105</v>
          </cell>
          <cell r="AI38">
            <v>2659240.5210000002</v>
          </cell>
          <cell r="AJ38">
            <v>2711080.9780000001</v>
          </cell>
          <cell r="AK38">
            <v>2764320.6090000002</v>
          </cell>
        </row>
        <row r="39">
          <cell r="B39">
            <v>1607577.648</v>
          </cell>
          <cell r="C39">
            <v>1626138.9890000001</v>
          </cell>
          <cell r="D39">
            <v>1645039.5160000001</v>
          </cell>
          <cell r="E39">
            <v>1664420.5220000001</v>
          </cell>
          <cell r="F39">
            <v>1684389.6950000001</v>
          </cell>
          <cell r="G39">
            <v>1704998.868</v>
          </cell>
          <cell r="H39">
            <v>1726220.804</v>
          </cell>
          <cell r="I39">
            <v>1748034.655</v>
          </cell>
          <cell r="J39">
            <v>1770439.574</v>
          </cell>
          <cell r="K39">
            <v>1793455.9920000001</v>
          </cell>
          <cell r="L39">
            <v>1817119.5149999999</v>
          </cell>
          <cell r="M39">
            <v>1841478.8130000001</v>
          </cell>
          <cell r="N39">
            <v>1866587.8829999999</v>
          </cell>
          <cell r="O39">
            <v>1892494.473</v>
          </cell>
          <cell r="P39">
            <v>1919244.1340000001</v>
          </cell>
          <cell r="Q39">
            <v>1946880.243</v>
          </cell>
          <cell r="R39">
            <v>1975481.5290000001</v>
          </cell>
          <cell r="S39">
            <v>2005115.33</v>
          </cell>
          <cell r="T39">
            <v>2035829.7919999999</v>
          </cell>
          <cell r="U39">
            <v>2067653.5970000001</v>
          </cell>
          <cell r="V39">
            <v>2100601.3930000002</v>
          </cell>
          <cell r="W39">
            <v>2134680.0639999998</v>
          </cell>
          <cell r="X39">
            <v>2169894.1919999998</v>
          </cell>
          <cell r="Y39">
            <v>2206248.0980000002</v>
          </cell>
          <cell r="Z39">
            <v>2243744.3429999999</v>
          </cell>
          <cell r="AA39">
            <v>2282385.4840000002</v>
          </cell>
          <cell r="AB39">
            <v>2322176.5460000001</v>
          </cell>
          <cell r="AC39">
            <v>2363129.2510000002</v>
          </cell>
          <cell r="AD39">
            <v>2405263.3130000001</v>
          </cell>
          <cell r="AE39">
            <v>2448607.5389999999</v>
          </cell>
          <cell r="AF39">
            <v>2493198.2719999999</v>
          </cell>
          <cell r="AG39">
            <v>2539078.872</v>
          </cell>
          <cell r="AH39">
            <v>2586299.2540000002</v>
          </cell>
          <cell r="AI39">
            <v>2634914.6290000002</v>
          </cell>
          <cell r="AJ39">
            <v>2684983.852</v>
          </cell>
          <cell r="AK39">
            <v>2736567.4870000002</v>
          </cell>
        </row>
        <row r="40">
          <cell r="B40">
            <v>27850.266670000001</v>
          </cell>
          <cell r="C40">
            <v>28240.180840000001</v>
          </cell>
          <cell r="D40">
            <v>28718.80413</v>
          </cell>
          <cell r="E40">
            <v>29280.38593</v>
          </cell>
          <cell r="F40">
            <v>29915.28155</v>
          </cell>
          <cell r="G40">
            <v>30615.233840000001</v>
          </cell>
          <cell r="H40">
            <v>31374.150389999999</v>
          </cell>
          <cell r="I40">
            <v>32176.781650000001</v>
          </cell>
          <cell r="J40">
            <v>33015.697289999996</v>
          </cell>
          <cell r="K40">
            <v>33891.401030000001</v>
          </cell>
          <cell r="L40">
            <v>34803.466690000001</v>
          </cell>
          <cell r="M40">
            <v>35750.745069999997</v>
          </cell>
          <cell r="N40">
            <v>36730.666120000002</v>
          </cell>
          <cell r="O40">
            <v>37739.621700000003</v>
          </cell>
          <cell r="P40">
            <v>38774.750919999999</v>
          </cell>
          <cell r="Q40">
            <v>39834.214209999998</v>
          </cell>
          <cell r="R40">
            <v>40923.979350000001</v>
          </cell>
          <cell r="S40">
            <v>42046.76612</v>
          </cell>
          <cell r="T40">
            <v>43204.613210000003</v>
          </cell>
          <cell r="U40">
            <v>44399.520239999998</v>
          </cell>
          <cell r="V40">
            <v>45633.70981</v>
          </cell>
          <cell r="W40">
            <v>46909.711920000002</v>
          </cell>
          <cell r="X40">
            <v>48230.553</v>
          </cell>
          <cell r="Y40">
            <v>49599.589500000002</v>
          </cell>
          <cell r="Z40">
            <v>51020.17482</v>
          </cell>
          <cell r="AA40">
            <v>52495.671199999997</v>
          </cell>
          <cell r="AB40">
            <v>54027.488770000004</v>
          </cell>
          <cell r="AC40">
            <v>55618.893100000001</v>
          </cell>
          <cell r="AD40">
            <v>57273.933839999998</v>
          </cell>
          <cell r="AE40">
            <v>58996.400110000002</v>
          </cell>
          <cell r="AF40">
            <v>60789.256359999999</v>
          </cell>
          <cell r="AG40">
            <v>62654.712019999999</v>
          </cell>
          <cell r="AH40">
            <v>64594.476130000003</v>
          </cell>
          <cell r="AI40">
            <v>66609.790729999993</v>
          </cell>
          <cell r="AJ40">
            <v>68701.319659999994</v>
          </cell>
          <cell r="AK40">
            <v>70868.862630000003</v>
          </cell>
        </row>
        <row r="41">
          <cell r="B41">
            <v>27850.266670000001</v>
          </cell>
          <cell r="C41">
            <v>28240.180840000001</v>
          </cell>
          <cell r="D41">
            <v>28718.80413</v>
          </cell>
          <cell r="E41">
            <v>29280.38593</v>
          </cell>
          <cell r="F41">
            <v>29915.28155</v>
          </cell>
          <cell r="G41">
            <v>30615.233840000001</v>
          </cell>
          <cell r="H41">
            <v>31373.549790000001</v>
          </cell>
          <cell r="I41">
            <v>32184.9378</v>
          </cell>
          <cell r="J41">
            <v>33045.300719999999</v>
          </cell>
          <cell r="K41">
            <v>33951.586479999998</v>
          </cell>
          <cell r="L41">
            <v>34901.623319999999</v>
          </cell>
          <cell r="M41">
            <v>35893.925880000003</v>
          </cell>
          <cell r="N41">
            <v>36926.781199999998</v>
          </cell>
          <cell r="O41">
            <v>37996.921649999997</v>
          </cell>
          <cell r="P41">
            <v>39101.528180000001</v>
          </cell>
          <cell r="Q41">
            <v>40238.854670000001</v>
          </cell>
          <cell r="R41">
            <v>41408.463689999997</v>
          </cell>
          <cell r="S41">
            <v>42611.638429999999</v>
          </cell>
          <cell r="T41">
            <v>43850.606529999997</v>
          </cell>
          <cell r="U41">
            <v>45127.887770000001</v>
          </cell>
          <cell r="V41">
            <v>46446.13452</v>
          </cell>
          <cell r="W41">
            <v>47808.087489999998</v>
          </cell>
          <cell r="X41">
            <v>49216.775329999997</v>
          </cell>
          <cell r="Y41">
            <v>50675.440880000002</v>
          </cell>
          <cell r="Z41">
            <v>52187.274830000002</v>
          </cell>
          <cell r="AA41">
            <v>53755.470020000001</v>
          </cell>
          <cell r="AB41">
            <v>55383.352160000002</v>
          </cell>
          <cell r="AC41">
            <v>57074.684759999996</v>
          </cell>
          <cell r="AD41">
            <v>58833.498639999998</v>
          </cell>
          <cell r="AE41">
            <v>60663.374860000004</v>
          </cell>
          <cell r="AF41">
            <v>62566.969299999997</v>
          </cell>
          <cell r="AG41">
            <v>64546.068050000002</v>
          </cell>
          <cell r="AH41">
            <v>66601.819699999993</v>
          </cell>
          <cell r="AI41">
            <v>68734.869600000005</v>
          </cell>
          <cell r="AJ41">
            <v>70945.398629999996</v>
          </cell>
          <cell r="AK41">
            <v>73233.099900000001</v>
          </cell>
        </row>
        <row r="42">
          <cell r="B42">
            <v>9831.0393079999994</v>
          </cell>
          <cell r="C42">
            <v>9946.0308389999991</v>
          </cell>
          <cell r="D42">
            <v>10064.29313</v>
          </cell>
          <cell r="E42">
            <v>10184.958070000001</v>
          </cell>
          <cell r="F42">
            <v>10307.92642</v>
          </cell>
          <cell r="G42">
            <v>10433.32782</v>
          </cell>
          <cell r="H42">
            <v>10561.02223</v>
          </cell>
          <cell r="I42">
            <v>10662.803239999999</v>
          </cell>
          <cell r="J42">
            <v>10728.64898</v>
          </cell>
          <cell r="K42">
            <v>10756.14652</v>
          </cell>
          <cell r="L42">
            <v>10744.190720000001</v>
          </cell>
          <cell r="M42">
            <v>10693.1116</v>
          </cell>
          <cell r="N42">
            <v>10604.37773</v>
          </cell>
          <cell r="O42">
            <v>10480.310579999999</v>
          </cell>
          <cell r="P42">
            <v>10324.11947</v>
          </cell>
          <cell r="Q42">
            <v>10139.53909</v>
          </cell>
          <cell r="R42">
            <v>9931.5355080000008</v>
          </cell>
          <cell r="S42">
            <v>9704.0441159999991</v>
          </cell>
          <cell r="T42">
            <v>9460.5359540000009</v>
          </cell>
          <cell r="U42">
            <v>9204.1819149999992</v>
          </cell>
          <cell r="V42">
            <v>8937.8939890000001</v>
          </cell>
          <cell r="W42">
            <v>8664.3351569999995</v>
          </cell>
          <cell r="X42">
            <v>8385.9364380000006</v>
          </cell>
          <cell r="Y42">
            <v>8104.889752</v>
          </cell>
          <cell r="Z42">
            <v>7823.1361209999995</v>
          </cell>
          <cell r="AA42">
            <v>7542.3800940000001</v>
          </cell>
          <cell r="AB42">
            <v>7264.2638239999997</v>
          </cell>
          <cell r="AC42">
            <v>6990.1468089999998</v>
          </cell>
          <cell r="AD42">
            <v>6721.1687879999999</v>
          </cell>
          <cell r="AE42">
            <v>6458.2446620000001</v>
          </cell>
          <cell r="AF42">
            <v>6202.0698629999997</v>
          </cell>
          <cell r="AG42">
            <v>5953.1540139999997</v>
          </cell>
          <cell r="AH42">
            <v>5711.8570010000003</v>
          </cell>
          <cell r="AI42">
            <v>5478.4111380000004</v>
          </cell>
          <cell r="AJ42">
            <v>5252.9363169999997</v>
          </cell>
          <cell r="AK42">
            <v>5035.4508109999997</v>
          </cell>
        </row>
        <row r="43">
          <cell r="B43">
            <v>9831.0393079999994</v>
          </cell>
          <cell r="C43">
            <v>9946.0308389999991</v>
          </cell>
          <cell r="D43">
            <v>10064.29313</v>
          </cell>
          <cell r="E43">
            <v>10184.958070000001</v>
          </cell>
          <cell r="F43">
            <v>10307.92642</v>
          </cell>
          <cell r="G43">
            <v>10433.32782</v>
          </cell>
          <cell r="H43">
            <v>10560.48177</v>
          </cell>
          <cell r="I43">
            <v>10688.234</v>
          </cell>
          <cell r="J43">
            <v>10815.112580000001</v>
          </cell>
          <cell r="K43">
            <v>10939.45996</v>
          </cell>
          <cell r="L43">
            <v>11059.574919999999</v>
          </cell>
          <cell r="M43">
            <v>11173.890230000001</v>
          </cell>
          <cell r="N43">
            <v>11280.819460000001</v>
          </cell>
          <cell r="O43">
            <v>11378.393029999999</v>
          </cell>
          <cell r="P43">
            <v>11465.411340000001</v>
          </cell>
          <cell r="Q43">
            <v>11541.675929999999</v>
          </cell>
          <cell r="R43">
            <v>11604.003549999999</v>
          </cell>
          <cell r="S43">
            <v>11652.53981</v>
          </cell>
          <cell r="T43">
            <v>11688.636259999999</v>
          </cell>
          <cell r="U43">
            <v>11713.98877</v>
          </cell>
          <cell r="V43">
            <v>11730.34361</v>
          </cell>
          <cell r="W43">
            <v>11739.39141</v>
          </cell>
          <cell r="X43">
            <v>11742.7538</v>
          </cell>
          <cell r="Y43">
            <v>11741.967269999999</v>
          </cell>
          <cell r="Z43">
            <v>11738.458549999999</v>
          </cell>
          <cell r="AA43">
            <v>11733.55334</v>
          </cell>
          <cell r="AB43">
            <v>11728.492920000001</v>
          </cell>
          <cell r="AC43">
            <v>11724.46869</v>
          </cell>
          <cell r="AD43">
            <v>11722.607389999999</v>
          </cell>
          <cell r="AE43">
            <v>11723.90308</v>
          </cell>
          <cell r="AF43">
            <v>11729.174999999999</v>
          </cell>
          <cell r="AG43">
            <v>11739.07806</v>
          </cell>
          <cell r="AH43">
            <v>11754.132089999999</v>
          </cell>
          <cell r="AI43">
            <v>11774.742200000001</v>
          </cell>
          <cell r="AJ43">
            <v>11801.210349999999</v>
          </cell>
          <cell r="AK43">
            <v>11833.741099999999</v>
          </cell>
        </row>
        <row r="44">
          <cell r="B44">
            <v>3232.5601139999999</v>
          </cell>
          <cell r="C44">
            <v>3273.0630630000001</v>
          </cell>
          <cell r="D44">
            <v>3317.5233330000001</v>
          </cell>
          <cell r="E44">
            <v>3365.157291</v>
          </cell>
          <cell r="F44">
            <v>3415.4011099999998</v>
          </cell>
          <cell r="G44">
            <v>3467.8151309999998</v>
          </cell>
          <cell r="H44">
            <v>3521.9136109999999</v>
          </cell>
          <cell r="I44">
            <v>3639.3743380000001</v>
          </cell>
          <cell r="J44">
            <v>3837.0557990000002</v>
          </cell>
          <cell r="K44">
            <v>4116.118254</v>
          </cell>
          <cell r="L44">
            <v>4470.9049230000001</v>
          </cell>
          <cell r="M44">
            <v>4892.9616809999998</v>
          </cell>
          <cell r="N44">
            <v>5372.7055110000001</v>
          </cell>
          <cell r="O44">
            <v>5900.2688099999996</v>
          </cell>
          <cell r="P44">
            <v>6466.0778140000002</v>
          </cell>
          <cell r="Q44">
            <v>7061.0788030000003</v>
          </cell>
          <cell r="R44">
            <v>7683.2126390000003</v>
          </cell>
          <cell r="S44">
            <v>8327.7704219999996</v>
          </cell>
          <cell r="T44">
            <v>8989.3922999999995</v>
          </cell>
          <cell r="U44">
            <v>9662.8819110000004</v>
          </cell>
          <cell r="V44">
            <v>10343.4912</v>
          </cell>
          <cell r="W44">
            <v>11027.032010000001</v>
          </cell>
          <cell r="X44">
            <v>11709.94821</v>
          </cell>
          <cell r="Y44">
            <v>12389.31734</v>
          </cell>
          <cell r="Z44">
            <v>13062.81501</v>
          </cell>
          <cell r="AA44">
            <v>13728.709769999999</v>
          </cell>
          <cell r="AB44">
            <v>14385.947039999999</v>
          </cell>
          <cell r="AC44">
            <v>15034.242469999999</v>
          </cell>
          <cell r="AD44">
            <v>15674.015289999999</v>
          </cell>
          <cell r="AE44">
            <v>16306.207630000001</v>
          </cell>
          <cell r="AF44">
            <v>16932.144349999999</v>
          </cell>
          <cell r="AG44">
            <v>17553.550609999998</v>
          </cell>
          <cell r="AH44">
            <v>18172.653180000001</v>
          </cell>
          <cell r="AI44">
            <v>18792.24208</v>
          </cell>
          <cell r="AJ44">
            <v>19415.760620000001</v>
          </cell>
          <cell r="AK44">
            <v>20047.468710000001</v>
          </cell>
        </row>
        <row r="45">
          <cell r="B45">
            <v>3232.5601139999999</v>
          </cell>
          <cell r="C45">
            <v>3273.0630630000001</v>
          </cell>
          <cell r="D45">
            <v>3317.5233330000001</v>
          </cell>
          <cell r="E45">
            <v>3365.157291</v>
          </cell>
          <cell r="F45">
            <v>3415.4011099999998</v>
          </cell>
          <cell r="G45">
            <v>3467.8151309999998</v>
          </cell>
          <cell r="H45">
            <v>3521.7113530000001</v>
          </cell>
          <cell r="I45">
            <v>3576.217103</v>
          </cell>
          <cell r="J45">
            <v>3630.332124</v>
          </cell>
          <cell r="K45">
            <v>3682.9956659999998</v>
          </cell>
          <cell r="L45">
            <v>3733.1647889999999</v>
          </cell>
          <cell r="M45">
            <v>3779.912722</v>
          </cell>
          <cell r="N45">
            <v>3822.3714559999999</v>
          </cell>
          <cell r="O45">
            <v>3859.5739349999999</v>
          </cell>
          <cell r="P45">
            <v>3890.9964089999999</v>
          </cell>
          <cell r="Q45">
            <v>3916.646444</v>
          </cell>
          <cell r="R45">
            <v>3934.770066</v>
          </cell>
          <cell r="S45">
            <v>3945.4660749999998</v>
          </cell>
          <cell r="T45">
            <v>3949.4822909999998</v>
          </cell>
          <cell r="U45">
            <v>3947.7403599999998</v>
          </cell>
          <cell r="V45">
            <v>3941.1705579999998</v>
          </cell>
          <cell r="W45">
            <v>3930.6535330000002</v>
          </cell>
          <cell r="X45">
            <v>3917.0054239999999</v>
          </cell>
          <cell r="Y45">
            <v>3900.9733999999999</v>
          </cell>
          <cell r="Z45">
            <v>3883.2332929999998</v>
          </cell>
          <cell r="AA45">
            <v>3864.39392</v>
          </cell>
          <cell r="AB45">
            <v>3845.0036289999998</v>
          </cell>
          <cell r="AC45">
            <v>3825.5600650000001</v>
          </cell>
          <cell r="AD45">
            <v>3806.5116899999998</v>
          </cell>
          <cell r="AE45">
            <v>3788.2486170000002</v>
          </cell>
          <cell r="AF45">
            <v>3771.0967340000002</v>
          </cell>
          <cell r="AG45">
            <v>3755.3212640000002</v>
          </cell>
          <cell r="AH45">
            <v>3741.1346490000001</v>
          </cell>
          <cell r="AI45">
            <v>3728.7034739999999</v>
          </cell>
          <cell r="AJ45">
            <v>3718.1537640000001</v>
          </cell>
          <cell r="AK45">
            <v>3709.5749959999998</v>
          </cell>
        </row>
        <row r="46">
          <cell r="B46">
            <v>34430.237910000003</v>
          </cell>
          <cell r="C46">
            <v>34888.155489999997</v>
          </cell>
          <cell r="D46">
            <v>35422.752280000001</v>
          </cell>
          <cell r="E46">
            <v>36018.19008</v>
          </cell>
          <cell r="F46">
            <v>36662.876689999997</v>
          </cell>
          <cell r="G46">
            <v>37348.235220000002</v>
          </cell>
          <cell r="H46">
            <v>38068.766009999999</v>
          </cell>
          <cell r="I46">
            <v>38788.420149999998</v>
          </cell>
          <cell r="J46">
            <v>39487.272250000002</v>
          </cell>
          <cell r="K46">
            <v>40161.061670000003</v>
          </cell>
          <cell r="L46">
            <v>40807.876499999998</v>
          </cell>
          <cell r="M46">
            <v>41432.292309999997</v>
          </cell>
          <cell r="N46">
            <v>42038.201889999997</v>
          </cell>
          <cell r="O46">
            <v>42627.254509999999</v>
          </cell>
          <cell r="P46">
            <v>43200.710520000001</v>
          </cell>
          <cell r="Q46">
            <v>43760.037600000003</v>
          </cell>
          <cell r="R46">
            <v>44301.779690000003</v>
          </cell>
          <cell r="S46">
            <v>44824.091800000002</v>
          </cell>
          <cell r="T46">
            <v>45326.896710000001</v>
          </cell>
          <cell r="U46">
            <v>45811.352650000001</v>
          </cell>
          <cell r="V46">
            <v>46279.446490000002</v>
          </cell>
          <cell r="W46">
            <v>46733.694340000002</v>
          </cell>
          <cell r="X46">
            <v>47176.912199999999</v>
          </cell>
          <cell r="Y46">
            <v>47611.661</v>
          </cell>
          <cell r="Z46">
            <v>48039.906649999997</v>
          </cell>
          <cell r="AA46">
            <v>48462.826390000002</v>
          </cell>
          <cell r="AB46">
            <v>48880.9035</v>
          </cell>
          <cell r="AC46">
            <v>49293.635710000002</v>
          </cell>
          <cell r="AD46">
            <v>49698.629110000002</v>
          </cell>
          <cell r="AE46">
            <v>50090.181340000003</v>
          </cell>
          <cell r="AF46">
            <v>50457.598100000003</v>
          </cell>
          <cell r="AG46">
            <v>50783.030010000002</v>
          </cell>
          <cell r="AH46">
            <v>51037.677100000001</v>
          </cell>
          <cell r="AI46">
            <v>51174.181060000003</v>
          </cell>
          <cell r="AJ46">
            <v>51110.674789999997</v>
          </cell>
          <cell r="AK46">
            <v>50692.340559999997</v>
          </cell>
        </row>
        <row r="47">
          <cell r="B47">
            <v>34430.237910000003</v>
          </cell>
          <cell r="C47">
            <v>34888.155489999997</v>
          </cell>
          <cell r="D47">
            <v>35422.752280000001</v>
          </cell>
          <cell r="E47">
            <v>36018.19008</v>
          </cell>
          <cell r="F47">
            <v>36662.876689999997</v>
          </cell>
          <cell r="G47">
            <v>37348.235220000002</v>
          </cell>
          <cell r="H47">
            <v>38063.92641</v>
          </cell>
          <cell r="I47">
            <v>38798.919690000002</v>
          </cell>
          <cell r="J47">
            <v>39543.053939999998</v>
          </cell>
          <cell r="K47">
            <v>40288.214650000002</v>
          </cell>
          <cell r="L47">
            <v>41028.559860000001</v>
          </cell>
          <cell r="M47">
            <v>41760.150430000002</v>
          </cell>
          <cell r="N47">
            <v>42479.827680000002</v>
          </cell>
          <cell r="O47">
            <v>43183.748800000001</v>
          </cell>
          <cell r="P47">
            <v>43868.86277</v>
          </cell>
          <cell r="Q47">
            <v>44533.436549999999</v>
          </cell>
          <cell r="R47">
            <v>45179.200519999999</v>
          </cell>
          <cell r="S47">
            <v>45811.336080000001</v>
          </cell>
          <cell r="T47">
            <v>46435.971060000003</v>
          </cell>
          <cell r="U47">
            <v>47058.828179999997</v>
          </cell>
          <cell r="V47">
            <v>47684.938529999999</v>
          </cell>
          <cell r="W47">
            <v>48318.679920000002</v>
          </cell>
          <cell r="X47">
            <v>48964.040560000001</v>
          </cell>
          <cell r="Y47">
            <v>49624.743549999999</v>
          </cell>
          <cell r="Z47">
            <v>50304.200640000003</v>
          </cell>
          <cell r="AA47">
            <v>51005.59014</v>
          </cell>
          <cell r="AB47">
            <v>51731.960769999998</v>
          </cell>
          <cell r="AC47">
            <v>52486.419909999997</v>
          </cell>
          <cell r="AD47">
            <v>53272.044860000002</v>
          </cell>
          <cell r="AE47">
            <v>54091.39316</v>
          </cell>
          <cell r="AF47">
            <v>54946.130340000003</v>
          </cell>
          <cell r="AG47">
            <v>55836.990570000002</v>
          </cell>
          <cell r="AH47">
            <v>56763.913359999999</v>
          </cell>
          <cell r="AI47">
            <v>57726.172780000001</v>
          </cell>
          <cell r="AJ47">
            <v>58722.467040000003</v>
          </cell>
          <cell r="AK47">
            <v>59750.964970000001</v>
          </cell>
        </row>
        <row r="48">
          <cell r="B48">
            <v>589.50367229999995</v>
          </cell>
          <cell r="C48">
            <v>597.34642340000005</v>
          </cell>
          <cell r="D48">
            <v>606.50606089999997</v>
          </cell>
          <cell r="E48">
            <v>616.71016210000005</v>
          </cell>
          <cell r="F48">
            <v>627.75988600000005</v>
          </cell>
          <cell r="G48">
            <v>639.50771110000005</v>
          </cell>
          <cell r="H48">
            <v>651.85846140000001</v>
          </cell>
          <cell r="I48">
            <v>667.84691399999997</v>
          </cell>
          <cell r="J48">
            <v>688.588663</v>
          </cell>
          <cell r="K48">
            <v>714.7613149</v>
          </cell>
          <cell r="L48">
            <v>746.89977109999995</v>
          </cell>
          <cell r="M48">
            <v>785.69060899999999</v>
          </cell>
          <cell r="N48">
            <v>831.8911928</v>
          </cell>
          <cell r="O48">
            <v>886.30843770000001</v>
          </cell>
          <cell r="P48">
            <v>949.86233159999995</v>
          </cell>
          <cell r="Q48">
            <v>1023.62826</v>
          </cell>
          <cell r="R48">
            <v>1108.645399</v>
          </cell>
          <cell r="S48">
            <v>1206.1737780000001</v>
          </cell>
          <cell r="T48">
            <v>1317.766715</v>
          </cell>
          <cell r="U48">
            <v>1445.327951</v>
          </cell>
          <cell r="V48">
            <v>1591.188666</v>
          </cell>
          <cell r="W48">
            <v>1758.212305</v>
          </cell>
          <cell r="X48">
            <v>1949.9374740000001</v>
          </cell>
          <cell r="Y48">
            <v>2170.7390639999999</v>
          </cell>
          <cell r="Z48">
            <v>2426.0634679999998</v>
          </cell>
          <cell r="AA48">
            <v>2722.773741</v>
          </cell>
          <cell r="AB48">
            <v>3069.6893009999999</v>
          </cell>
          <cell r="AC48">
            <v>3478.3424020000002</v>
          </cell>
          <cell r="AD48">
            <v>3964.0350880000001</v>
          </cell>
          <cell r="AE48">
            <v>4547.4038520000004</v>
          </cell>
          <cell r="AF48">
            <v>5256.9474440000004</v>
          </cell>
          <cell r="AG48">
            <v>6133.3617020000002</v>
          </cell>
          <cell r="AH48">
            <v>7237.2571770000004</v>
          </cell>
          <cell r="AI48">
            <v>8663.7314970000007</v>
          </cell>
          <cell r="AJ48">
            <v>10572.66835</v>
          </cell>
          <cell r="AK48">
            <v>13260.251039999999</v>
          </cell>
        </row>
        <row r="49">
          <cell r="B49">
            <v>589.50367229999995</v>
          </cell>
          <cell r="C49">
            <v>597.34642340000005</v>
          </cell>
          <cell r="D49">
            <v>606.50606089999997</v>
          </cell>
          <cell r="E49">
            <v>616.71016210000005</v>
          </cell>
          <cell r="F49">
            <v>627.75988600000005</v>
          </cell>
          <cell r="G49">
            <v>639.50771110000005</v>
          </cell>
          <cell r="H49">
            <v>651.77457790000005</v>
          </cell>
          <cell r="I49">
            <v>664.36997919999999</v>
          </cell>
          <cell r="J49">
            <v>677.11891939999998</v>
          </cell>
          <cell r="K49">
            <v>689.88211139999999</v>
          </cell>
          <cell r="L49">
            <v>702.55967929999997</v>
          </cell>
          <cell r="M49">
            <v>715.08474109999997</v>
          </cell>
          <cell r="N49">
            <v>727.40404799999999</v>
          </cell>
          <cell r="O49">
            <v>739.45275340000001</v>
          </cell>
          <cell r="P49">
            <v>751.17957030000002</v>
          </cell>
          <cell r="Q49">
            <v>762.55564960000004</v>
          </cell>
          <cell r="R49">
            <v>773.61238279999998</v>
          </cell>
          <cell r="S49">
            <v>784.43963410000003</v>
          </cell>
          <cell r="T49">
            <v>795.14271789999998</v>
          </cell>
          <cell r="U49">
            <v>805.81937019999998</v>
          </cell>
          <cell r="V49">
            <v>816.55505249999999</v>
          </cell>
          <cell r="W49">
            <v>827.42381079999996</v>
          </cell>
          <cell r="X49">
            <v>838.49292909999997</v>
          </cell>
          <cell r="Y49">
            <v>849.82513359999996</v>
          </cell>
          <cell r="Z49">
            <v>861.47781310000005</v>
          </cell>
          <cell r="AA49">
            <v>873.50441479999995</v>
          </cell>
          <cell r="AB49">
            <v>885.95627779999995</v>
          </cell>
          <cell r="AC49">
            <v>898.88591269999995</v>
          </cell>
          <cell r="AD49">
            <v>912.34551569999996</v>
          </cell>
          <cell r="AE49">
            <v>926.37867040000003</v>
          </cell>
          <cell r="AF49">
            <v>941.01399140000001</v>
          </cell>
          <cell r="AG49">
            <v>956.26444509999999</v>
          </cell>
          <cell r="AH49">
            <v>972.12965859999997</v>
          </cell>
          <cell r="AI49">
            <v>988.59808120000002</v>
          </cell>
          <cell r="AJ49">
            <v>1005.648458</v>
          </cell>
          <cell r="AK49">
            <v>1023.250567</v>
          </cell>
        </row>
        <row r="50">
          <cell r="B50">
            <v>61003.692179999998</v>
          </cell>
          <cell r="C50">
            <v>61708.659090000001</v>
          </cell>
          <cell r="D50">
            <v>62415.491040000001</v>
          </cell>
          <cell r="E50">
            <v>63127.064140000002</v>
          </cell>
          <cell r="F50">
            <v>63843.302409999997</v>
          </cell>
          <cell r="G50">
            <v>64567.819040000002</v>
          </cell>
          <cell r="H50">
            <v>65307.346799999999</v>
          </cell>
          <cell r="I50">
            <v>66006.7745</v>
          </cell>
          <cell r="J50">
            <v>66656.513229999997</v>
          </cell>
          <cell r="K50">
            <v>67277.468049999996</v>
          </cell>
          <cell r="L50">
            <v>67881.824359999999</v>
          </cell>
          <cell r="M50">
            <v>68468.081080000004</v>
          </cell>
          <cell r="N50">
            <v>69029.331959999996</v>
          </cell>
          <cell r="O50">
            <v>69554.582800000004</v>
          </cell>
          <cell r="P50">
            <v>70033.858619999999</v>
          </cell>
          <cell r="Q50">
            <v>70458.391480000006</v>
          </cell>
          <cell r="R50">
            <v>70815.435599999997</v>
          </cell>
          <cell r="S50">
            <v>71097.169099999999</v>
          </cell>
          <cell r="T50">
            <v>71297.35269</v>
          </cell>
          <cell r="U50">
            <v>71410.442190000002</v>
          </cell>
          <cell r="V50">
            <v>71431.669420000006</v>
          </cell>
          <cell r="W50">
            <v>71357.217550000001</v>
          </cell>
          <cell r="X50">
            <v>71184.336230000001</v>
          </cell>
          <cell r="Y50">
            <v>70910.867929999993</v>
          </cell>
          <cell r="Z50">
            <v>70534.797659999997</v>
          </cell>
          <cell r="AA50">
            <v>70054.172080000004</v>
          </cell>
          <cell r="AB50">
            <v>69468.964789999998</v>
          </cell>
          <cell r="AC50">
            <v>68779.100810000004</v>
          </cell>
          <cell r="AD50">
            <v>67984.203120000006</v>
          </cell>
          <cell r="AE50">
            <v>67082.967229999995</v>
          </cell>
          <cell r="AF50">
            <v>66073.027230000007</v>
          </cell>
          <cell r="AG50">
            <v>64951.498160000003</v>
          </cell>
          <cell r="AH50">
            <v>63715.521330000003</v>
          </cell>
          <cell r="AI50">
            <v>62362.374940000002</v>
          </cell>
          <cell r="AJ50">
            <v>60889.607029999999</v>
          </cell>
          <cell r="AK50">
            <v>59295.235110000001</v>
          </cell>
        </row>
        <row r="51">
          <cell r="B51">
            <v>61003.692179999998</v>
          </cell>
          <cell r="C51">
            <v>61708.659090000001</v>
          </cell>
          <cell r="D51">
            <v>62415.491040000001</v>
          </cell>
          <cell r="E51">
            <v>63127.064140000002</v>
          </cell>
          <cell r="F51">
            <v>63843.302409999997</v>
          </cell>
          <cell r="G51">
            <v>64567.819040000002</v>
          </cell>
          <cell r="H51">
            <v>65309.266629999998</v>
          </cell>
          <cell r="I51">
            <v>66077.531870000006</v>
          </cell>
          <cell r="J51">
            <v>66883.561549999999</v>
          </cell>
          <cell r="K51">
            <v>67739.511419999995</v>
          </cell>
          <cell r="L51">
            <v>68658.671119999999</v>
          </cell>
          <cell r="M51">
            <v>69654.387059999994</v>
          </cell>
          <cell r="N51">
            <v>70737.430869999997</v>
          </cell>
          <cell r="O51">
            <v>71912.819900000002</v>
          </cell>
          <cell r="P51">
            <v>73182.55661</v>
          </cell>
          <cell r="Q51">
            <v>74546.734079999995</v>
          </cell>
          <cell r="R51">
            <v>76002.369909999994</v>
          </cell>
          <cell r="S51">
            <v>77547.318280000007</v>
          </cell>
          <cell r="T51">
            <v>79180.278390000007</v>
          </cell>
          <cell r="U51">
            <v>80900.172170000005</v>
          </cell>
          <cell r="V51">
            <v>82706.035470000003</v>
          </cell>
          <cell r="W51">
            <v>84597.016489999995</v>
          </cell>
          <cell r="X51">
            <v>86572.780419999996</v>
          </cell>
          <cell r="Y51">
            <v>88633.516359999994</v>
          </cell>
          <cell r="Z51">
            <v>90779.66287</v>
          </cell>
          <cell r="AA51">
            <v>93011.916949999999</v>
          </cell>
          <cell r="AB51">
            <v>95331.313710000002</v>
          </cell>
          <cell r="AC51">
            <v>97739.555479999995</v>
          </cell>
          <cell r="AD51">
            <v>100238.61719999999</v>
          </cell>
          <cell r="AE51">
            <v>102829.3965</v>
          </cell>
          <cell r="AF51">
            <v>105510.81909999999</v>
          </cell>
          <cell r="AG51">
            <v>108279.8366</v>
          </cell>
          <cell r="AH51">
            <v>111131.8173</v>
          </cell>
          <cell r="AI51">
            <v>114060.8643</v>
          </cell>
          <cell r="AJ51">
            <v>117060.0211</v>
          </cell>
          <cell r="AK51">
            <v>120121.39659999999</v>
          </cell>
        </row>
        <row r="52">
          <cell r="B52">
            <v>815.09107140000003</v>
          </cell>
          <cell r="C52">
            <v>824.51037399999996</v>
          </cell>
          <cell r="D52">
            <v>833.95459589999996</v>
          </cell>
          <cell r="E52">
            <v>843.46216600000002</v>
          </cell>
          <cell r="F52">
            <v>853.03206899999998</v>
          </cell>
          <cell r="G52">
            <v>862.71258209999996</v>
          </cell>
          <cell r="H52">
            <v>872.59366390000002</v>
          </cell>
          <cell r="I52">
            <v>881.64914160000001</v>
          </cell>
          <cell r="J52">
            <v>889.64951640000004</v>
          </cell>
          <cell r="K52">
            <v>896.83162949999996</v>
          </cell>
          <cell r="L52">
            <v>903.33168620000004</v>
          </cell>
          <cell r="M52">
            <v>909.11030800000003</v>
          </cell>
          <cell r="N52">
            <v>914.06029690000003</v>
          </cell>
          <cell r="O52">
            <v>918.02479349999999</v>
          </cell>
          <cell r="P52">
            <v>920.86343260000001</v>
          </cell>
          <cell r="Q52">
            <v>922.45442700000001</v>
          </cell>
          <cell r="R52">
            <v>922.63075460000005</v>
          </cell>
          <cell r="S52">
            <v>921.29073879999999</v>
          </cell>
          <cell r="T52">
            <v>918.3555179</v>
          </cell>
          <cell r="U52">
            <v>913.75792009999998</v>
          </cell>
          <cell r="V52">
            <v>907.44324489999997</v>
          </cell>
          <cell r="W52">
            <v>899.37099049999995</v>
          </cell>
          <cell r="X52">
            <v>889.51565830000004</v>
          </cell>
          <cell r="Y52">
            <v>877.86099090000005</v>
          </cell>
          <cell r="Z52">
            <v>864.39500829999997</v>
          </cell>
          <cell r="AA52">
            <v>849.10946509999997</v>
          </cell>
          <cell r="AB52">
            <v>832.0186066</v>
          </cell>
          <cell r="AC52">
            <v>813.13835329999995</v>
          </cell>
          <cell r="AD52">
            <v>792.48455369999999</v>
          </cell>
          <cell r="AE52">
            <v>770.06881899999996</v>
          </cell>
          <cell r="AF52">
            <v>745.90029049999998</v>
          </cell>
          <cell r="AG52">
            <v>719.99376949999998</v>
          </cell>
          <cell r="AH52">
            <v>692.37749570000005</v>
          </cell>
          <cell r="AI52">
            <v>663.09769889999995</v>
          </cell>
          <cell r="AJ52">
            <v>632.22420239999997</v>
          </cell>
          <cell r="AK52">
            <v>599.85733779999998</v>
          </cell>
        </row>
        <row r="53">
          <cell r="B53">
            <v>815.09107140000003</v>
          </cell>
          <cell r="C53">
            <v>824.51037399999996</v>
          </cell>
          <cell r="D53">
            <v>833.95459589999996</v>
          </cell>
          <cell r="E53">
            <v>843.46216600000002</v>
          </cell>
          <cell r="F53">
            <v>853.03206899999998</v>
          </cell>
          <cell r="G53">
            <v>862.71258209999996</v>
          </cell>
          <cell r="H53">
            <v>872.61931549999997</v>
          </cell>
          <cell r="I53">
            <v>882.88436850000005</v>
          </cell>
          <cell r="J53">
            <v>893.65400520000003</v>
          </cell>
          <cell r="K53">
            <v>905.09064239999998</v>
          </cell>
          <cell r="L53">
            <v>917.37184749999994</v>
          </cell>
          <cell r="M53">
            <v>930.67594680000002</v>
          </cell>
          <cell r="N53">
            <v>945.14686329999995</v>
          </cell>
          <cell r="O53">
            <v>960.85163580000005</v>
          </cell>
          <cell r="P53">
            <v>977.81701959999998</v>
          </cell>
          <cell r="Q53">
            <v>996.04425860000003</v>
          </cell>
          <cell r="R53">
            <v>1015.493504</v>
          </cell>
          <cell r="S53">
            <v>1036.136084</v>
          </cell>
          <cell r="T53">
            <v>1057.9546190000001</v>
          </cell>
          <cell r="U53">
            <v>1080.9347049999999</v>
          </cell>
          <cell r="V53">
            <v>1105.0634580000001</v>
          </cell>
          <cell r="W53">
            <v>1130.3294989999999</v>
          </cell>
          <cell r="X53">
            <v>1156.7283520000001</v>
          </cell>
          <cell r="Y53">
            <v>1184.2625459999999</v>
          </cell>
          <cell r="Z53">
            <v>1212.9379389999999</v>
          </cell>
          <cell r="AA53">
            <v>1242.7638449999999</v>
          </cell>
          <cell r="AB53">
            <v>1273.754093</v>
          </cell>
          <cell r="AC53">
            <v>1305.9314300000001</v>
          </cell>
          <cell r="AD53">
            <v>1339.322244</v>
          </cell>
          <cell r="AE53">
            <v>1373.938527</v>
          </cell>
          <cell r="AF53">
            <v>1409.765926</v>
          </cell>
          <cell r="AG53">
            <v>1446.7637099999999</v>
          </cell>
          <cell r="AH53">
            <v>1484.8699939999999</v>
          </cell>
          <cell r="AI53">
            <v>1524.005987</v>
          </cell>
          <cell r="AJ53">
            <v>1564.0787399999999</v>
          </cell>
          <cell r="AK53">
            <v>1604.9828190000001</v>
          </cell>
        </row>
        <row r="54">
          <cell r="B54">
            <v>3114.2795660000002</v>
          </cell>
          <cell r="C54">
            <v>3150.2686010000002</v>
          </cell>
          <cell r="D54">
            <v>3186.352848</v>
          </cell>
          <cell r="E54">
            <v>3222.679134</v>
          </cell>
          <cell r="F54">
            <v>3259.2435799999998</v>
          </cell>
          <cell r="G54">
            <v>3296.230642</v>
          </cell>
          <cell r="H54">
            <v>3333.9840319999998</v>
          </cell>
          <cell r="I54">
            <v>3368.0934929999999</v>
          </cell>
          <cell r="J54">
            <v>3397.5114319999998</v>
          </cell>
          <cell r="K54">
            <v>3423.0722500000002</v>
          </cell>
          <cell r="L54">
            <v>3445.2531859999999</v>
          </cell>
          <cell r="M54">
            <v>3463.8735000000001</v>
          </cell>
          <cell r="N54">
            <v>3478.5014270000001</v>
          </cell>
          <cell r="O54">
            <v>3488.5245410000002</v>
          </cell>
          <cell r="P54">
            <v>3493.3990650000001</v>
          </cell>
          <cell r="Q54">
            <v>3492.6571730000001</v>
          </cell>
          <cell r="R54">
            <v>3485.6723659999998</v>
          </cell>
          <cell r="S54">
            <v>3472.0680579999998</v>
          </cell>
          <cell r="T54">
            <v>3451.558732</v>
          </cell>
          <cell r="U54">
            <v>3423.908809</v>
          </cell>
          <cell r="V54">
            <v>3388.9353160000001</v>
          </cell>
          <cell r="W54">
            <v>3346.5137289999998</v>
          </cell>
          <cell r="X54">
            <v>3296.5801780000002</v>
          </cell>
          <cell r="Y54">
            <v>3239.110815</v>
          </cell>
          <cell r="Z54">
            <v>3174.105149</v>
          </cell>
          <cell r="AA54">
            <v>3101.585568</v>
          </cell>
          <cell r="AB54">
            <v>3021.660069</v>
          </cell>
          <cell r="AC54">
            <v>2934.4531849999998</v>
          </cell>
          <cell r="AD54">
            <v>2840.1037299999998</v>
          </cell>
          <cell r="AE54">
            <v>2738.7578480000002</v>
          </cell>
          <cell r="AF54">
            <v>2630.5842950000001</v>
          </cell>
          <cell r="AG54">
            <v>2515.810716</v>
          </cell>
          <cell r="AH54">
            <v>2394.7590879999998</v>
          </cell>
          <cell r="AI54">
            <v>2267.8727349999999</v>
          </cell>
          <cell r="AJ54">
            <v>2135.7393940000002</v>
          </cell>
          <cell r="AK54">
            <v>1999.0301999999999</v>
          </cell>
        </row>
        <row r="55">
          <cell r="B55">
            <v>3114.2795660000002</v>
          </cell>
          <cell r="C55">
            <v>3150.2686010000002</v>
          </cell>
          <cell r="D55">
            <v>3186.352848</v>
          </cell>
          <cell r="E55">
            <v>3222.679134</v>
          </cell>
          <cell r="F55">
            <v>3259.2435799999998</v>
          </cell>
          <cell r="G55">
            <v>3296.230642</v>
          </cell>
          <cell r="H55">
            <v>3334.0820410000001</v>
          </cell>
          <cell r="I55">
            <v>3373.302498</v>
          </cell>
          <cell r="J55">
            <v>3414.4508569999998</v>
          </cell>
          <cell r="K55">
            <v>3458.1476739999998</v>
          </cell>
          <cell r="L55">
            <v>3505.0713949999999</v>
          </cell>
          <cell r="M55">
            <v>3555.9033650000001</v>
          </cell>
          <cell r="N55">
            <v>3611.1934799999999</v>
          </cell>
          <cell r="O55">
            <v>3671.1978819999999</v>
          </cell>
          <cell r="P55">
            <v>3736.0187959999998</v>
          </cell>
          <cell r="Q55">
            <v>3805.6609739999999</v>
          </cell>
          <cell r="R55">
            <v>3879.9721639999998</v>
          </cell>
          <cell r="S55">
            <v>3958.842819</v>
          </cell>
          <cell r="T55">
            <v>4042.2065320000002</v>
          </cell>
          <cell r="U55">
            <v>4130.0082679999996</v>
          </cell>
          <cell r="V55">
            <v>4222.198805</v>
          </cell>
          <cell r="W55">
            <v>4318.7346600000001</v>
          </cell>
          <cell r="X55">
            <v>4419.598739</v>
          </cell>
          <cell r="Y55">
            <v>4524.8006960000002</v>
          </cell>
          <cell r="Z55">
            <v>4634.3629209999999</v>
          </cell>
          <cell r="AA55">
            <v>4748.320995</v>
          </cell>
          <cell r="AB55">
            <v>4866.7277610000001</v>
          </cell>
          <cell r="AC55">
            <v>4989.6701249999996</v>
          </cell>
          <cell r="AD55">
            <v>5117.2489089999999</v>
          </cell>
          <cell r="AE55">
            <v>5249.5099389999996</v>
          </cell>
          <cell r="AF55">
            <v>5386.3983669999998</v>
          </cell>
          <cell r="AG55">
            <v>5527.7585719999997</v>
          </cell>
          <cell r="AH55">
            <v>5673.3541089999999</v>
          </cell>
          <cell r="AI55">
            <v>5822.8839319999997</v>
          </cell>
          <cell r="AJ55">
            <v>5975.9929050000001</v>
          </cell>
          <cell r="AK55">
            <v>6132.2781839999998</v>
          </cell>
        </row>
        <row r="56">
          <cell r="B56">
            <v>1481.0384819999999</v>
          </cell>
          <cell r="C56">
            <v>1498.1535630000001</v>
          </cell>
          <cell r="D56">
            <v>1515.313922</v>
          </cell>
          <cell r="E56">
            <v>1532.589387</v>
          </cell>
          <cell r="F56">
            <v>1549.978112</v>
          </cell>
          <cell r="G56">
            <v>1567.5678190000001</v>
          </cell>
          <cell r="H56">
            <v>1585.521962</v>
          </cell>
          <cell r="I56">
            <v>1601.834212</v>
          </cell>
          <cell r="J56">
            <v>1616.0381010000001</v>
          </cell>
          <cell r="K56">
            <v>1628.5435130000001</v>
          </cell>
          <cell r="L56">
            <v>1639.5853709999999</v>
          </cell>
          <cell r="M56">
            <v>1649.083271</v>
          </cell>
          <cell r="N56">
            <v>1656.835902</v>
          </cell>
          <cell r="O56">
            <v>1662.554318</v>
          </cell>
          <cell r="P56">
            <v>1665.9811480000001</v>
          </cell>
          <cell r="Q56">
            <v>1666.894186</v>
          </cell>
          <cell r="R56">
            <v>1664.993101</v>
          </cell>
          <cell r="S56">
            <v>1660.0963280000001</v>
          </cell>
          <cell r="T56">
            <v>1652.064846</v>
          </cell>
          <cell r="U56">
            <v>1640.782348</v>
          </cell>
          <cell r="V56">
            <v>1626.156569</v>
          </cell>
          <cell r="W56">
            <v>1608.1221880000001</v>
          </cell>
          <cell r="X56">
            <v>1586.642018</v>
          </cell>
          <cell r="Y56">
            <v>1561.6969260000001</v>
          </cell>
          <cell r="Z56">
            <v>1533.2774460000001</v>
          </cell>
          <cell r="AA56">
            <v>1501.383223</v>
          </cell>
          <cell r="AB56">
            <v>1466.0544420000001</v>
          </cell>
          <cell r="AC56">
            <v>1427.3369749999999</v>
          </cell>
          <cell r="AD56">
            <v>1385.280403</v>
          </cell>
          <cell r="AE56">
            <v>1339.932937</v>
          </cell>
          <cell r="AF56">
            <v>1291.3469580000001</v>
          </cell>
          <cell r="AG56">
            <v>1239.595106</v>
          </cell>
          <cell r="AH56">
            <v>1184.7858739999999</v>
          </cell>
          <cell r="AI56">
            <v>1127.0747590000001</v>
          </cell>
          <cell r="AJ56">
            <v>1066.677232</v>
          </cell>
          <cell r="AK56">
            <v>1003.87899</v>
          </cell>
        </row>
        <row r="57">
          <cell r="B57">
            <v>1481.0384819999999</v>
          </cell>
          <cell r="C57">
            <v>1498.1535630000001</v>
          </cell>
          <cell r="D57">
            <v>1515.313922</v>
          </cell>
          <cell r="E57">
            <v>1532.589387</v>
          </cell>
          <cell r="F57">
            <v>1549.978112</v>
          </cell>
          <cell r="G57">
            <v>1567.5678190000001</v>
          </cell>
          <cell r="H57">
            <v>1585.5685719999999</v>
          </cell>
          <cell r="I57">
            <v>1604.2203999999999</v>
          </cell>
          <cell r="J57">
            <v>1623.789068</v>
          </cell>
          <cell r="K57">
            <v>1644.56969</v>
          </cell>
          <cell r="L57">
            <v>1666.8849110000001</v>
          </cell>
          <cell r="M57">
            <v>1691.0587539999999</v>
          </cell>
          <cell r="N57">
            <v>1717.3527280000001</v>
          </cell>
          <cell r="O57">
            <v>1745.888647</v>
          </cell>
          <cell r="P57">
            <v>1776.7151240000001</v>
          </cell>
          <cell r="Q57">
            <v>1809.8344199999999</v>
          </cell>
          <cell r="R57">
            <v>1845.1741280000001</v>
          </cell>
          <cell r="S57">
            <v>1882.682153</v>
          </cell>
          <cell r="T57">
            <v>1922.3269130000001</v>
          </cell>
          <cell r="U57">
            <v>1964.082236</v>
          </cell>
          <cell r="V57">
            <v>2007.924714</v>
          </cell>
          <cell r="W57">
            <v>2053.8336680000002</v>
          </cell>
          <cell r="X57">
            <v>2101.800968</v>
          </cell>
          <cell r="Y57">
            <v>2151.8312059999998</v>
          </cell>
          <cell r="Z57">
            <v>2203.9350279999999</v>
          </cell>
          <cell r="AA57">
            <v>2258.1293580000001</v>
          </cell>
          <cell r="AB57">
            <v>2314.4393239999999</v>
          </cell>
          <cell r="AC57">
            <v>2372.9062560000002</v>
          </cell>
          <cell r="AD57">
            <v>2433.5781019999999</v>
          </cell>
          <cell r="AE57">
            <v>2496.4766540000001</v>
          </cell>
          <cell r="AF57">
            <v>2561.5758289999999</v>
          </cell>
          <cell r="AG57">
            <v>2628.8016189999998</v>
          </cell>
          <cell r="AH57">
            <v>2698.0415790000002</v>
          </cell>
          <cell r="AI57">
            <v>2769.1525430000002</v>
          </cell>
          <cell r="AJ57">
            <v>2841.9656209999998</v>
          </cell>
          <cell r="AK57">
            <v>2916.2892350000002</v>
          </cell>
        </row>
        <row r="58">
          <cell r="B58">
            <v>2902.7503710000001</v>
          </cell>
          <cell r="C58">
            <v>2936.294946</v>
          </cell>
          <cell r="D58">
            <v>2969.9282659999999</v>
          </cell>
          <cell r="E58">
            <v>3003.7871850000001</v>
          </cell>
          <cell r="F58">
            <v>3037.8680880000002</v>
          </cell>
          <cell r="G58">
            <v>3072.3429019999999</v>
          </cell>
          <cell r="H58">
            <v>3107.5319930000001</v>
          </cell>
          <cell r="I58">
            <v>3188.5352280000002</v>
          </cell>
          <cell r="J58">
            <v>3333.5892509999999</v>
          </cell>
          <cell r="K58">
            <v>3554.5107210000001</v>
          </cell>
          <cell r="L58">
            <v>3860.9117940000001</v>
          </cell>
          <cell r="M58">
            <v>4261.2391859999998</v>
          </cell>
          <cell r="N58">
            <v>4763.589481</v>
          </cell>
          <cell r="O58">
            <v>5375.5169759999999</v>
          </cell>
          <cell r="P58">
            <v>6104.4737459999997</v>
          </cell>
          <cell r="Q58">
            <v>6957.7300569999998</v>
          </cell>
          <cell r="R58">
            <v>7940.8555370000004</v>
          </cell>
          <cell r="S58">
            <v>9059.6736930000006</v>
          </cell>
          <cell r="T58">
            <v>10319.61788</v>
          </cell>
          <cell r="U58">
            <v>11725.48352</v>
          </cell>
          <cell r="V58">
            <v>13281.46989</v>
          </cell>
          <cell r="W58">
            <v>14991.335660000001</v>
          </cell>
          <cell r="X58">
            <v>16858.623070000001</v>
          </cell>
          <cell r="Y58">
            <v>18886.585579999999</v>
          </cell>
          <cell r="Z58">
            <v>21078.01223</v>
          </cell>
          <cell r="AA58">
            <v>23435.20793</v>
          </cell>
          <cell r="AB58">
            <v>25961.823939999998</v>
          </cell>
          <cell r="AC58">
            <v>28661.623080000001</v>
          </cell>
          <cell r="AD58">
            <v>31538.304550000001</v>
          </cell>
          <cell r="AE58">
            <v>34594.650049999997</v>
          </cell>
          <cell r="AF58">
            <v>37831.857819999997</v>
          </cell>
          <cell r="AG58">
            <v>41249.703430000001</v>
          </cell>
          <cell r="AH58">
            <v>44846.960379999997</v>
          </cell>
          <cell r="AI58">
            <v>48621.236579999997</v>
          </cell>
          <cell r="AJ58">
            <v>52568.77102</v>
          </cell>
          <cell r="AK58">
            <v>56684.297930000001</v>
          </cell>
        </row>
        <row r="59">
          <cell r="B59">
            <v>2902.7503710000001</v>
          </cell>
          <cell r="C59">
            <v>2936.294946</v>
          </cell>
          <cell r="D59">
            <v>2969.9282659999999</v>
          </cell>
          <cell r="E59">
            <v>3003.7871850000001</v>
          </cell>
          <cell r="F59">
            <v>3037.8680880000002</v>
          </cell>
          <cell r="G59">
            <v>3072.3429019999999</v>
          </cell>
          <cell r="H59">
            <v>3107.623345</v>
          </cell>
          <cell r="I59">
            <v>3144.1798560000002</v>
          </cell>
          <cell r="J59">
            <v>3182.5333209999999</v>
          </cell>
          <cell r="K59">
            <v>3223.2621479999998</v>
          </cell>
          <cell r="L59">
            <v>3266.9987000000001</v>
          </cell>
          <cell r="M59">
            <v>3314.3780419999998</v>
          </cell>
          <cell r="N59">
            <v>3365.9127229999999</v>
          </cell>
          <cell r="O59">
            <v>3421.8414849999999</v>
          </cell>
          <cell r="P59">
            <v>3482.2596100000001</v>
          </cell>
          <cell r="Q59">
            <v>3547.1715279999999</v>
          </cell>
          <cell r="R59">
            <v>3616.4353259999998</v>
          </cell>
          <cell r="S59">
            <v>3689.9489010000002</v>
          </cell>
          <cell r="T59">
            <v>3767.6503539999999</v>
          </cell>
          <cell r="U59">
            <v>3849.48839</v>
          </cell>
          <cell r="V59">
            <v>3935.4171289999999</v>
          </cell>
          <cell r="W59">
            <v>4025.396041</v>
          </cell>
          <cell r="X59">
            <v>4119.4091950000002</v>
          </cell>
          <cell r="Y59">
            <v>4217.4655869999997</v>
          </cell>
          <cell r="Z59">
            <v>4319.586088</v>
          </cell>
          <cell r="AA59">
            <v>4425.8038619999998</v>
          </cell>
          <cell r="AB59">
            <v>4536.1681619999999</v>
          </cell>
          <cell r="AC59">
            <v>4650.7599909999999</v>
          </cell>
          <cell r="AD59">
            <v>4769.6733240000003</v>
          </cell>
          <cell r="AE59">
            <v>4892.9508729999998</v>
          </cell>
          <cell r="AF59">
            <v>5020.5415169999997</v>
          </cell>
          <cell r="AG59">
            <v>5152.3002049999996</v>
          </cell>
          <cell r="AH59">
            <v>5288.0065510000004</v>
          </cell>
          <cell r="AI59">
            <v>5427.3799570000001</v>
          </cell>
          <cell r="AJ59">
            <v>5570.0894070000004</v>
          </cell>
          <cell r="AK59">
            <v>5715.7594230000004</v>
          </cell>
        </row>
        <row r="60">
          <cell r="B60">
            <v>825.74708639999994</v>
          </cell>
          <cell r="C60">
            <v>835.28953130000002</v>
          </cell>
          <cell r="D60">
            <v>844.85722139999996</v>
          </cell>
          <cell r="E60">
            <v>854.48908770000003</v>
          </cell>
          <cell r="F60">
            <v>864.18410200000005</v>
          </cell>
          <cell r="G60">
            <v>873.99117230000002</v>
          </cell>
          <cell r="H60">
            <v>884.00143349999996</v>
          </cell>
          <cell r="I60">
            <v>939.261752</v>
          </cell>
          <cell r="J60">
            <v>1063.0851950000001</v>
          </cell>
          <cell r="K60">
            <v>1273.0443889999999</v>
          </cell>
          <cell r="L60">
            <v>1584.2244439999999</v>
          </cell>
          <cell r="M60">
            <v>2010.3377519999999</v>
          </cell>
          <cell r="N60">
            <v>2564.2938039999999</v>
          </cell>
          <cell r="O60">
            <v>3257.8567079999998</v>
          </cell>
          <cell r="P60">
            <v>4101.8720110000004</v>
          </cell>
          <cell r="Q60">
            <v>5106.1545930000002</v>
          </cell>
          <cell r="R60">
            <v>6277.926383</v>
          </cell>
          <cell r="S60">
            <v>7623.8072190000003</v>
          </cell>
          <cell r="T60">
            <v>9149.2793949999996</v>
          </cell>
          <cell r="U60">
            <v>10858.51281</v>
          </cell>
          <cell r="V60">
            <v>12754.497429999999</v>
          </cell>
          <cell r="W60">
            <v>14839.30875</v>
          </cell>
          <cell r="X60">
            <v>17114.454239999999</v>
          </cell>
          <cell r="Y60">
            <v>19580.878850000001</v>
          </cell>
          <cell r="Z60">
            <v>22238.83814</v>
          </cell>
          <cell r="AA60">
            <v>25087.938300000002</v>
          </cell>
          <cell r="AB60">
            <v>28129.299859999999</v>
          </cell>
          <cell r="AC60">
            <v>31364.18936</v>
          </cell>
          <cell r="AD60">
            <v>34793.851499999997</v>
          </cell>
          <cell r="AE60">
            <v>38418.553919999998</v>
          </cell>
          <cell r="AF60">
            <v>42236.849300000002</v>
          </cell>
          <cell r="AG60">
            <v>46245.792809999999</v>
          </cell>
          <cell r="AH60">
            <v>50441.457029999998</v>
          </cell>
          <cell r="AI60">
            <v>54818.772409999998</v>
          </cell>
          <cell r="AJ60">
            <v>59371.321490000002</v>
          </cell>
          <cell r="AK60">
            <v>64091.209540000003</v>
          </cell>
        </row>
        <row r="61">
          <cell r="B61">
            <v>825.74708639999994</v>
          </cell>
          <cell r="C61">
            <v>835.28953130000002</v>
          </cell>
          <cell r="D61">
            <v>844.85722139999996</v>
          </cell>
          <cell r="E61">
            <v>854.48908770000003</v>
          </cell>
          <cell r="F61">
            <v>864.18410200000005</v>
          </cell>
          <cell r="G61">
            <v>873.99117230000002</v>
          </cell>
          <cell r="H61">
            <v>884.02742039999998</v>
          </cell>
          <cell r="I61">
            <v>894.42667259999996</v>
          </cell>
          <cell r="J61">
            <v>905.33710510000003</v>
          </cell>
          <cell r="K61">
            <v>916.9232581</v>
          </cell>
          <cell r="L61">
            <v>929.36502040000005</v>
          </cell>
          <cell r="M61">
            <v>942.84304950000001</v>
          </cell>
          <cell r="N61">
            <v>957.50315020000005</v>
          </cell>
          <cell r="O61">
            <v>973.41323750000004</v>
          </cell>
          <cell r="P61">
            <v>990.60041660000002</v>
          </cell>
          <cell r="Q61">
            <v>1009.065948</v>
          </cell>
          <cell r="R61">
            <v>1028.7694610000001</v>
          </cell>
          <cell r="S61">
            <v>1049.68191</v>
          </cell>
          <cell r="T61">
            <v>1071.7856879999999</v>
          </cell>
          <cell r="U61">
            <v>1095.0662010000001</v>
          </cell>
          <cell r="V61">
            <v>1119.5103999999999</v>
          </cell>
          <cell r="W61">
            <v>1145.106753</v>
          </cell>
          <cell r="X61">
            <v>1171.8507300000001</v>
          </cell>
          <cell r="Y61">
            <v>1199.7448890000001</v>
          </cell>
          <cell r="Z61">
            <v>1228.795167</v>
          </cell>
          <cell r="AA61">
            <v>1259.0109990000001</v>
          </cell>
          <cell r="AB61">
            <v>1290.406395</v>
          </cell>
          <cell r="AC61">
            <v>1323.0044</v>
          </cell>
          <cell r="AD61">
            <v>1356.831745</v>
          </cell>
          <cell r="AE61">
            <v>1391.9005810000001</v>
          </cell>
          <cell r="AF61">
            <v>1428.1963659999999</v>
          </cell>
          <cell r="AG61">
            <v>1465.6778360000001</v>
          </cell>
          <cell r="AH61">
            <v>1504.282299</v>
          </cell>
          <cell r="AI61">
            <v>1543.9299329999999</v>
          </cell>
          <cell r="AJ61">
            <v>1584.526574</v>
          </cell>
          <cell r="AK61">
            <v>1625.965408</v>
          </cell>
        </row>
        <row r="62">
          <cell r="B62">
            <v>8364.3310679999995</v>
          </cell>
          <cell r="C62">
            <v>8460.9904079999997</v>
          </cell>
          <cell r="D62">
            <v>8557.9054670000005</v>
          </cell>
          <cell r="E62">
            <v>8655.4705940000003</v>
          </cell>
          <cell r="F62">
            <v>8753.6753709999994</v>
          </cell>
          <cell r="G62">
            <v>8853.0152109999999</v>
          </cell>
          <cell r="H62">
            <v>8954.4132539999991</v>
          </cell>
          <cell r="I62">
            <v>9062.833697</v>
          </cell>
          <cell r="J62">
            <v>9181.3891650000005</v>
          </cell>
          <cell r="K62">
            <v>9314.895117</v>
          </cell>
          <cell r="L62">
            <v>9466.3317750000006</v>
          </cell>
          <cell r="M62">
            <v>9636.5355450000006</v>
          </cell>
          <cell r="N62">
            <v>9825.4633269999995</v>
          </cell>
          <cell r="O62">
            <v>10032.349990000001</v>
          </cell>
          <cell r="P62">
            <v>10256.499690000001</v>
          </cell>
          <cell r="Q62">
            <v>10497.330309999999</v>
          </cell>
          <cell r="R62">
            <v>10753.4174</v>
          </cell>
          <cell r="S62">
            <v>11024.08597</v>
          </cell>
          <cell r="T62">
            <v>11308.86033</v>
          </cell>
          <cell r="U62">
            <v>11607.31156</v>
          </cell>
          <cell r="V62">
            <v>11919.0854</v>
          </cell>
          <cell r="W62">
            <v>12243.96017</v>
          </cell>
          <cell r="X62">
            <v>12581.905290000001</v>
          </cell>
          <cell r="Y62">
            <v>12933.001850000001</v>
          </cell>
          <cell r="Z62">
            <v>13297.345240000001</v>
          </cell>
          <cell r="AA62">
            <v>13675.025460000001</v>
          </cell>
          <cell r="AB62">
            <v>14066.708629999999</v>
          </cell>
          <cell r="AC62">
            <v>14473.132809999999</v>
          </cell>
          <cell r="AD62">
            <v>14895.032950000001</v>
          </cell>
          <cell r="AE62">
            <v>15332.891739999999</v>
          </cell>
          <cell r="AF62">
            <v>15786.7914</v>
          </cell>
          <cell r="AG62">
            <v>16256.50612</v>
          </cell>
          <cell r="AH62">
            <v>16741.639709999999</v>
          </cell>
          <cell r="AI62">
            <v>17241.59635</v>
          </cell>
          <cell r="AJ62">
            <v>17755.54565</v>
          </cell>
          <cell r="AK62">
            <v>18282.40712</v>
          </cell>
        </row>
        <row r="63">
          <cell r="B63">
            <v>8364.3310679999995</v>
          </cell>
          <cell r="C63">
            <v>8460.9904079999997</v>
          </cell>
          <cell r="D63">
            <v>8557.9054670000005</v>
          </cell>
          <cell r="E63">
            <v>8655.4705940000003</v>
          </cell>
          <cell r="F63">
            <v>8753.6753709999994</v>
          </cell>
          <cell r="G63">
            <v>8853.0152109999999</v>
          </cell>
          <cell r="H63">
            <v>8954.6764860000003</v>
          </cell>
          <cell r="I63">
            <v>9060.0147780000007</v>
          </cell>
          <cell r="J63">
            <v>9170.5310260000006</v>
          </cell>
          <cell r="K63">
            <v>9287.8919239999996</v>
          </cell>
          <cell r="L63">
            <v>9413.9196400000001</v>
          </cell>
          <cell r="M63">
            <v>9550.4441279999992</v>
          </cell>
          <cell r="N63">
            <v>9698.9423019999995</v>
          </cell>
          <cell r="O63">
            <v>9860.1021049999999</v>
          </cell>
          <cell r="P63">
            <v>10034.1981</v>
          </cell>
          <cell r="Q63">
            <v>10221.243039999999</v>
          </cell>
          <cell r="R63">
            <v>10420.828</v>
          </cell>
          <cell r="S63">
            <v>10632.65878</v>
          </cell>
          <cell r="T63">
            <v>10856.55702</v>
          </cell>
          <cell r="U63">
            <v>11092.374889999999</v>
          </cell>
          <cell r="V63">
            <v>11339.98021</v>
          </cell>
          <cell r="W63">
            <v>11599.25618</v>
          </cell>
          <cell r="X63">
            <v>11870.15689</v>
          </cell>
          <cell r="Y63">
            <v>12152.708269999999</v>
          </cell>
          <cell r="Z63">
            <v>12446.97046</v>
          </cell>
          <cell r="AA63">
            <v>12753.03902</v>
          </cell>
          <cell r="AB63">
            <v>13071.05587</v>
          </cell>
          <cell r="AC63">
            <v>13401.254440000001</v>
          </cell>
          <cell r="AD63">
            <v>13743.905489999999</v>
          </cell>
          <cell r="AE63">
            <v>14099.13212</v>
          </cell>
          <cell r="AF63">
            <v>14466.78702</v>
          </cell>
          <cell r="AG63">
            <v>14846.452219999999</v>
          </cell>
          <cell r="AH63">
            <v>15237.49266</v>
          </cell>
          <cell r="AI63">
            <v>15639.099819999999</v>
          </cell>
          <cell r="AJ63">
            <v>16050.31985</v>
          </cell>
          <cell r="AK63">
            <v>16470.070800000001</v>
          </cell>
        </row>
        <row r="64">
          <cell r="B64">
            <v>5288.1036389999999</v>
          </cell>
          <cell r="C64">
            <v>5349.124898</v>
          </cell>
          <cell r="D64">
            <v>5410.7999540000001</v>
          </cell>
          <cell r="E64">
            <v>5473.1665039999998</v>
          </cell>
          <cell r="F64">
            <v>5536.0549819999997</v>
          </cell>
          <cell r="G64">
            <v>5599.5609569999997</v>
          </cell>
          <cell r="H64">
            <v>5663.9922550000001</v>
          </cell>
          <cell r="I64">
            <v>5742.10473</v>
          </cell>
          <cell r="J64">
            <v>5838.6309389999997</v>
          </cell>
          <cell r="K64">
            <v>5957.2474249999996</v>
          </cell>
          <cell r="L64">
            <v>6100.6180379999996</v>
          </cell>
          <cell r="M64">
            <v>6270.4659659999998</v>
          </cell>
          <cell r="N64">
            <v>6468.0960349999996</v>
          </cell>
          <cell r="O64">
            <v>6694.3428759999997</v>
          </cell>
          <cell r="P64">
            <v>6949.9857570000004</v>
          </cell>
          <cell r="Q64">
            <v>7235.8233520000003</v>
          </cell>
          <cell r="R64">
            <v>7552.3181219999997</v>
          </cell>
          <cell r="S64">
            <v>7900.2352810000002</v>
          </cell>
          <cell r="T64">
            <v>8280.4201260000009</v>
          </cell>
          <cell r="U64">
            <v>8693.7353079999993</v>
          </cell>
          <cell r="V64">
            <v>9141.0824560000001</v>
          </cell>
          <cell r="W64">
            <v>9623.4436609999993</v>
          </cell>
          <cell r="X64">
            <v>10141.93715</v>
          </cell>
          <cell r="Y64">
            <v>10697.76504</v>
          </cell>
          <cell r="Z64">
            <v>11292.134260000001</v>
          </cell>
          <cell r="AA64">
            <v>11926.23841</v>
          </cell>
          <cell r="AB64">
            <v>12601.757009999999</v>
          </cell>
          <cell r="AC64">
            <v>13320.51614</v>
          </cell>
          <cell r="AD64">
            <v>14084.402770000001</v>
          </cell>
          <cell r="AE64">
            <v>14895.0834</v>
          </cell>
          <cell r="AF64">
            <v>15753.800670000001</v>
          </cell>
          <cell r="AG64">
            <v>16661.4228</v>
          </cell>
          <cell r="AH64">
            <v>17618.562239999999</v>
          </cell>
          <cell r="AI64">
            <v>18625.517589999999</v>
          </cell>
          <cell r="AJ64">
            <v>19682.197049999999</v>
          </cell>
          <cell r="AK64">
            <v>20788.04163</v>
          </cell>
        </row>
        <row r="65">
          <cell r="B65">
            <v>5288.1036389999999</v>
          </cell>
          <cell r="C65">
            <v>5349.124898</v>
          </cell>
          <cell r="D65">
            <v>5410.7999540000001</v>
          </cell>
          <cell r="E65">
            <v>5473.1665039999998</v>
          </cell>
          <cell r="F65">
            <v>5536.0549819999997</v>
          </cell>
          <cell r="G65">
            <v>5599.5609569999997</v>
          </cell>
          <cell r="H65">
            <v>5663.9175070000001</v>
          </cell>
          <cell r="I65">
            <v>5729.3279650000004</v>
          </cell>
          <cell r="J65">
            <v>5796.01667</v>
          </cell>
          <cell r="K65">
            <v>5864.2795749999996</v>
          </cell>
          <cell r="L65">
            <v>5934.5080589999998</v>
          </cell>
          <cell r="M65">
            <v>6007.1457819999996</v>
          </cell>
          <cell r="N65">
            <v>6082.539315</v>
          </cell>
          <cell r="O65">
            <v>6160.7438629999997</v>
          </cell>
          <cell r="P65">
            <v>6241.7305759999999</v>
          </cell>
          <cell r="Q65">
            <v>6325.4690659999997</v>
          </cell>
          <cell r="R65">
            <v>6411.9085279999999</v>
          </cell>
          <cell r="S65">
            <v>6501.2338040000004</v>
          </cell>
          <cell r="T65">
            <v>6593.7458649999999</v>
          </cell>
          <cell r="U65">
            <v>6689.7456730000004</v>
          </cell>
          <cell r="V65">
            <v>6789.4989320000004</v>
          </cell>
          <cell r="W65">
            <v>6893.2391470000002</v>
          </cell>
          <cell r="X65">
            <v>7001.2007910000002</v>
          </cell>
          <cell r="Y65">
            <v>7113.6261420000001</v>
          </cell>
          <cell r="Z65">
            <v>7230.7515560000002</v>
          </cell>
          <cell r="AA65">
            <v>7352.8088699999998</v>
          </cell>
          <cell r="AB65">
            <v>7480.0325970000004</v>
          </cell>
          <cell r="AC65">
            <v>7612.6844270000001</v>
          </cell>
          <cell r="AD65">
            <v>7751.032424</v>
          </cell>
          <cell r="AE65">
            <v>7895.2687239999996</v>
          </cell>
          <cell r="AF65">
            <v>8045.4538359999997</v>
          </cell>
          <cell r="AG65">
            <v>8201.5167189999993</v>
          </cell>
          <cell r="AH65">
            <v>8363.2799670000004</v>
          </cell>
          <cell r="AI65">
            <v>8530.4804519999998</v>
          </cell>
          <cell r="AJ65">
            <v>8702.7823919999992</v>
          </cell>
          <cell r="AK65">
            <v>8879.7848809999996</v>
          </cell>
        </row>
        <row r="66">
          <cell r="B66">
            <v>102.4242532</v>
          </cell>
          <cell r="C66">
            <v>103.60788169999999</v>
          </cell>
          <cell r="D66">
            <v>104.79464160000001</v>
          </cell>
          <cell r="E66">
            <v>105.9893618</v>
          </cell>
          <cell r="F66">
            <v>107.1919147</v>
          </cell>
          <cell r="G66">
            <v>108.4083669</v>
          </cell>
          <cell r="H66">
            <v>109.65002250000001</v>
          </cell>
          <cell r="I66">
            <v>110.939041</v>
          </cell>
          <cell r="J66">
            <v>112.2997866</v>
          </cell>
          <cell r="K66">
            <v>113.7849997</v>
          </cell>
          <cell r="L66">
            <v>115.4268411</v>
          </cell>
          <cell r="M66">
            <v>117.2319636</v>
          </cell>
          <cell r="N66">
            <v>119.1965926</v>
          </cell>
          <cell r="O66">
            <v>121.30852760000001</v>
          </cell>
          <cell r="P66">
            <v>123.5565543</v>
          </cell>
          <cell r="Q66">
            <v>125.93093519999999</v>
          </cell>
          <cell r="R66">
            <v>128.4124812</v>
          </cell>
          <cell r="S66">
            <v>130.9908868</v>
          </cell>
          <cell r="T66">
            <v>133.65828569999999</v>
          </cell>
          <cell r="U66">
            <v>136.40748550000001</v>
          </cell>
          <cell r="V66">
            <v>139.2322609</v>
          </cell>
          <cell r="W66">
            <v>142.12795679999999</v>
          </cell>
          <cell r="X66">
            <v>145.0920687</v>
          </cell>
          <cell r="Y66">
            <v>148.1233139</v>
          </cell>
          <cell r="Z66">
            <v>151.22055209999999</v>
          </cell>
          <cell r="AA66">
            <v>154.38256939999999</v>
          </cell>
          <cell r="AB66">
            <v>157.61412870000001</v>
          </cell>
          <cell r="AC66">
            <v>160.9205393</v>
          </cell>
          <cell r="AD66">
            <v>164.30685930000001</v>
          </cell>
          <cell r="AE66">
            <v>167.775374</v>
          </cell>
          <cell r="AF66">
            <v>171.3242079</v>
          </cell>
          <cell r="AG66">
            <v>174.94839479999999</v>
          </cell>
          <cell r="AH66">
            <v>178.64134530000001</v>
          </cell>
          <cell r="AI66">
            <v>182.3946248</v>
          </cell>
          <cell r="AJ66">
            <v>186.19768959999999</v>
          </cell>
          <cell r="AK66">
            <v>190.0378236</v>
          </cell>
        </row>
        <row r="67">
          <cell r="B67">
            <v>102.4242532</v>
          </cell>
          <cell r="C67">
            <v>103.60788169999999</v>
          </cell>
          <cell r="D67">
            <v>104.79464160000001</v>
          </cell>
          <cell r="E67">
            <v>105.9893618</v>
          </cell>
          <cell r="F67">
            <v>107.1919147</v>
          </cell>
          <cell r="G67">
            <v>108.4083669</v>
          </cell>
          <cell r="H67">
            <v>109.6532459</v>
          </cell>
          <cell r="I67">
            <v>110.9431513</v>
          </cell>
          <cell r="J67">
            <v>112.29646270000001</v>
          </cell>
          <cell r="K67">
            <v>113.7335892</v>
          </cell>
          <cell r="L67">
            <v>115.27684410000001</v>
          </cell>
          <cell r="M67">
            <v>116.9486357</v>
          </cell>
          <cell r="N67">
            <v>118.7670495</v>
          </cell>
          <cell r="O67">
            <v>120.74050939999999</v>
          </cell>
          <cell r="P67">
            <v>122.8723777</v>
          </cell>
          <cell r="Q67">
            <v>125.16281050000001</v>
          </cell>
          <cell r="R67">
            <v>127.60680050000001</v>
          </cell>
          <cell r="S67">
            <v>130.2007448</v>
          </cell>
          <cell r="T67">
            <v>132.94245950000001</v>
          </cell>
          <cell r="U67">
            <v>135.83013450000001</v>
          </cell>
          <cell r="V67">
            <v>138.86215100000001</v>
          </cell>
          <cell r="W67">
            <v>142.03707879999999</v>
          </cell>
          <cell r="X67">
            <v>145.35435580000001</v>
          </cell>
          <cell r="Y67">
            <v>148.8142995</v>
          </cell>
          <cell r="Z67">
            <v>152.41764620000001</v>
          </cell>
          <cell r="AA67">
            <v>156.1655662</v>
          </cell>
          <cell r="AB67">
            <v>160.05979740000001</v>
          </cell>
          <cell r="AC67">
            <v>164.10319799999999</v>
          </cell>
          <cell r="AD67">
            <v>168.29908380000001</v>
          </cell>
          <cell r="AE67">
            <v>172.6489622</v>
          </cell>
          <cell r="AF67">
            <v>177.15102909999999</v>
          </cell>
          <cell r="AG67">
            <v>181.80016649999999</v>
          </cell>
          <cell r="AH67">
            <v>186.5885979</v>
          </cell>
          <cell r="AI67">
            <v>191.50642239999999</v>
          </cell>
          <cell r="AJ67">
            <v>196.54196010000001</v>
          </cell>
          <cell r="AK67">
            <v>201.68196209999999</v>
          </cell>
        </row>
      </sheetData>
      <sheetData sheetId="6">
        <row r="3">
          <cell r="F3">
            <v>32317.940999999999</v>
          </cell>
          <cell r="G3">
            <v>31931.994600000002</v>
          </cell>
          <cell r="H3">
            <v>31779.039720000001</v>
          </cell>
          <cell r="I3">
            <v>31766.822619999999</v>
          </cell>
          <cell r="J3">
            <v>31869.659909999998</v>
          </cell>
          <cell r="K3">
            <v>32047.67642</v>
          </cell>
          <cell r="L3">
            <v>32260.965889999999</v>
          </cell>
          <cell r="M3">
            <v>32405.359260000001</v>
          </cell>
          <cell r="N3">
            <v>32561.99079</v>
          </cell>
          <cell r="O3">
            <v>32775.542529999999</v>
          </cell>
          <cell r="P3">
            <v>33071.244440000002</v>
          </cell>
          <cell r="Q3">
            <v>33487.27605</v>
          </cell>
          <cell r="R3">
            <v>34004.259870000002</v>
          </cell>
          <cell r="S3">
            <v>34593.033329999998</v>
          </cell>
          <cell r="T3">
            <v>35227.378490000003</v>
          </cell>
          <cell r="U3">
            <v>35887.270900000003</v>
          </cell>
          <cell r="V3">
            <v>36567.024149999997</v>
          </cell>
          <cell r="W3">
            <v>37253.397550000002</v>
          </cell>
          <cell r="X3">
            <v>37939.221649999999</v>
          </cell>
          <cell r="Y3">
            <v>38620.753080000002</v>
          </cell>
          <cell r="Z3">
            <v>39296.299729999999</v>
          </cell>
          <cell r="AA3">
            <v>39965.328840000002</v>
          </cell>
          <cell r="AB3">
            <v>40628.401230000003</v>
          </cell>
          <cell r="AC3">
            <v>41287.05358</v>
          </cell>
          <cell r="AD3">
            <v>41942.834439999999</v>
          </cell>
          <cell r="AE3">
            <v>42597.373630000002</v>
          </cell>
          <cell r="AF3">
            <v>43251.747380000001</v>
          </cell>
          <cell r="AG3">
            <v>43907.555039999999</v>
          </cell>
          <cell r="AH3">
            <v>44567.909489999998</v>
          </cell>
          <cell r="AI3">
            <v>45236.277560000002</v>
          </cell>
          <cell r="AJ3">
            <v>45914.973279999998</v>
          </cell>
          <cell r="AK3">
            <v>46604.627390000001</v>
          </cell>
          <cell r="AL3">
            <v>47304.647870000001</v>
          </cell>
          <cell r="AM3">
            <v>48014.08567</v>
          </cell>
          <cell r="AN3">
            <v>48731.634030000001</v>
          </cell>
          <cell r="AO3">
            <v>49455.490019999997</v>
          </cell>
        </row>
        <row r="4">
          <cell r="F4">
            <v>32271.24</v>
          </cell>
          <cell r="G4">
            <v>31833.17037</v>
          </cell>
          <cell r="H4">
            <v>31580.97522</v>
          </cell>
          <cell r="I4">
            <v>31398.794310000001</v>
          </cell>
          <cell r="J4">
            <v>31241.263360000001</v>
          </cell>
          <cell r="K4">
            <v>31072.43763</v>
          </cell>
          <cell r="L4">
            <v>30853.93506</v>
          </cell>
          <cell r="M4">
            <v>30440.87804</v>
          </cell>
          <cell r="N4">
            <v>29749.01339</v>
          </cell>
          <cell r="O4">
            <v>28731.501240000001</v>
          </cell>
          <cell r="P4">
            <v>27399.35282</v>
          </cell>
          <cell r="Q4">
            <v>25859.671460000001</v>
          </cell>
          <cell r="R4">
            <v>24233.854810000001</v>
          </cell>
          <cell r="S4">
            <v>22602.425220000001</v>
          </cell>
          <cell r="T4">
            <v>21014.001950000002</v>
          </cell>
          <cell r="U4">
            <v>19495.52018</v>
          </cell>
          <cell r="V4">
            <v>18060.74841</v>
          </cell>
          <cell r="W4">
            <v>16714.869790000001</v>
          </cell>
          <cell r="X4">
            <v>15458.34663</v>
          </cell>
          <cell r="Y4">
            <v>14288.946330000001</v>
          </cell>
          <cell r="Z4">
            <v>13202.975780000001</v>
          </cell>
          <cell r="AA4">
            <v>12196.00777</v>
          </cell>
          <cell r="AB4">
            <v>11263.310369999999</v>
          </cell>
          <cell r="AC4">
            <v>10400.0988</v>
          </cell>
          <cell r="AD4">
            <v>9601.6754199999996</v>
          </cell>
          <cell r="AE4">
            <v>8863.5150080000003</v>
          </cell>
          <cell r="AF4">
            <v>8181.3063069999998</v>
          </cell>
          <cell r="AG4">
            <v>7550.9783850000003</v>
          </cell>
          <cell r="AH4">
            <v>6968.7141659999998</v>
          </cell>
          <cell r="AI4">
            <v>6430.9487660000004</v>
          </cell>
          <cell r="AJ4">
            <v>5934.3592410000001</v>
          </cell>
          <cell r="AK4">
            <v>5475.8531139999996</v>
          </cell>
          <cell r="AL4">
            <v>5052.5570660000003</v>
          </cell>
          <cell r="AM4">
            <v>4661.8057060000001</v>
          </cell>
          <cell r="AN4">
            <v>4301.1287560000001</v>
          </cell>
          <cell r="AO4">
            <v>3968.2380330000001</v>
          </cell>
        </row>
        <row r="12">
          <cell r="F12">
            <v>44.765000000000001</v>
          </cell>
          <cell r="G12">
            <v>96.835052719999993</v>
          </cell>
          <cell r="H12">
            <v>196.01271070000001</v>
          </cell>
          <cell r="I12">
            <v>365.91359319999998</v>
          </cell>
          <cell r="J12">
            <v>626.22195039999997</v>
          </cell>
          <cell r="K12">
            <v>973.01004509999996</v>
          </cell>
          <cell r="L12">
            <v>1404.75659</v>
          </cell>
          <cell r="M12">
            <v>1962.1821110000001</v>
          </cell>
          <cell r="N12">
            <v>2810.6810820000001</v>
          </cell>
          <cell r="O12">
            <v>4041.7794789999998</v>
          </cell>
          <cell r="P12">
            <v>5669.6952490000003</v>
          </cell>
          <cell r="Q12">
            <v>7625.4957039999999</v>
          </cell>
          <cell r="R12">
            <v>9768.3955129999995</v>
          </cell>
          <cell r="S12">
            <v>11988.70278</v>
          </cell>
          <cell r="T12">
            <v>14211.57596</v>
          </cell>
          <cell r="U12">
            <v>16390.05286</v>
          </cell>
          <cell r="V12">
            <v>18504.677080000001</v>
          </cell>
          <cell r="W12">
            <v>20537.024010000001</v>
          </cell>
          <cell r="X12">
            <v>22479.46153</v>
          </cell>
          <cell r="Y12">
            <v>24330.478790000001</v>
          </cell>
          <cell r="Z12">
            <v>26092.076789999999</v>
          </cell>
          <cell r="AA12">
            <v>27768.150140000002</v>
          </cell>
          <cell r="AB12">
            <v>29363.991730000002</v>
          </cell>
          <cell r="AC12">
            <v>30885.92323</v>
          </cell>
          <cell r="AD12">
            <v>32340.191030000002</v>
          </cell>
          <cell r="AE12">
            <v>33732.950360000003</v>
          </cell>
          <cell r="AF12">
            <v>35069.588949999998</v>
          </cell>
          <cell r="AG12">
            <v>36355.777260000003</v>
          </cell>
          <cell r="AH12">
            <v>37598.445440000003</v>
          </cell>
          <cell r="AI12">
            <v>38804.625390000001</v>
          </cell>
          <cell r="AJ12">
            <v>39979.954279999998</v>
          </cell>
          <cell r="AK12">
            <v>41128.155469999998</v>
          </cell>
          <cell r="AL12">
            <v>42251.510430000002</v>
          </cell>
          <cell r="AM12">
            <v>43351.735659999998</v>
          </cell>
          <cell r="AN12">
            <v>44429.994809999997</v>
          </cell>
          <cell r="AO12">
            <v>45486.773269999998</v>
          </cell>
        </row>
        <row r="20">
          <cell r="F20">
            <v>1.9359999999999999</v>
          </cell>
          <cell r="G20">
            <v>1.989180913</v>
          </cell>
          <cell r="H20">
            <v>2.0517894989999999</v>
          </cell>
          <cell r="I20">
            <v>2.1147182080000002</v>
          </cell>
          <cell r="J20">
            <v>2.174593674</v>
          </cell>
          <cell r="K20">
            <v>2.2287481279999999</v>
          </cell>
          <cell r="L20">
            <v>2.274240775</v>
          </cell>
          <cell r="M20">
            <v>2.299116889</v>
          </cell>
          <cell r="N20">
            <v>2.2963148470000001</v>
          </cell>
          <cell r="O20">
            <v>2.2618066739999998</v>
          </cell>
          <cell r="P20">
            <v>2.196370044</v>
          </cell>
          <cell r="Q20">
            <v>2.108878808</v>
          </cell>
          <cell r="R20">
            <v>2.009553301</v>
          </cell>
          <cell r="S20">
            <v>1.905334793</v>
          </cell>
          <cell r="T20">
            <v>1.800576951</v>
          </cell>
          <cell r="U20">
            <v>1.697857502</v>
          </cell>
          <cell r="V20">
            <v>1.5986630180000001</v>
          </cell>
          <cell r="W20">
            <v>1.5037559110000001</v>
          </cell>
          <cell r="X20">
            <v>1.4134882259999999</v>
          </cell>
          <cell r="Y20">
            <v>1.327966626</v>
          </cell>
          <cell r="Z20">
            <v>1.247153814</v>
          </cell>
          <cell r="AA20">
            <v>1.1709290029999999</v>
          </cell>
          <cell r="AB20">
            <v>1.0991244149999999</v>
          </cell>
          <cell r="AC20">
            <v>1.031547379</v>
          </cell>
          <cell r="AD20">
            <v>0.96799330569999997</v>
          </cell>
          <cell r="AE20">
            <v>0.90825416510000001</v>
          </cell>
          <cell r="AF20">
            <v>0.85212331919999995</v>
          </cell>
          <cell r="AG20">
            <v>0.79939904890000002</v>
          </cell>
          <cell r="AH20">
            <v>0.74988695419999996</v>
          </cell>
          <cell r="AI20">
            <v>0.70340101639999997</v>
          </cell>
          <cell r="AJ20">
            <v>0.65976386220000005</v>
          </cell>
          <cell r="AK20">
            <v>0.61880684109999995</v>
          </cell>
          <cell r="AL20">
            <v>0.58037003679999999</v>
          </cell>
          <cell r="AM20">
            <v>0.54430221069999996</v>
          </cell>
          <cell r="AN20">
            <v>0.51046054259999996</v>
          </cell>
          <cell r="AO20">
            <v>0.47871028609999999</v>
          </cell>
        </row>
        <row r="28">
          <cell r="F28">
            <v>32317.940999999999</v>
          </cell>
          <cell r="G28">
            <v>31931.994600000002</v>
          </cell>
          <cell r="H28">
            <v>31779.039720000001</v>
          </cell>
          <cell r="I28">
            <v>31766.822619999999</v>
          </cell>
          <cell r="J28">
            <v>31869.659909999998</v>
          </cell>
          <cell r="K28">
            <v>32047.67642</v>
          </cell>
          <cell r="L28">
            <v>32222.465169999999</v>
          </cell>
          <cell r="M28">
            <v>32400.50157</v>
          </cell>
          <cell r="N28">
            <v>32594.997800000001</v>
          </cell>
          <cell r="O28">
            <v>32820.437230000003</v>
          </cell>
          <cell r="P28">
            <v>33088.688779999997</v>
          </cell>
          <cell r="Q28">
            <v>33408.691010000002</v>
          </cell>
          <cell r="R28">
            <v>33783.860139999997</v>
          </cell>
          <cell r="S28">
            <v>34210.104740000002</v>
          </cell>
          <cell r="T28">
            <v>34679.008390000003</v>
          </cell>
          <cell r="U28">
            <v>35180.741159999998</v>
          </cell>
          <cell r="V28">
            <v>35742.999810000001</v>
          </cell>
          <cell r="W28">
            <v>36342.743430000002</v>
          </cell>
          <cell r="X28">
            <v>36961.175810000001</v>
          </cell>
          <cell r="Y28">
            <v>37585.837800000001</v>
          </cell>
          <cell r="Z28">
            <v>38209.6149</v>
          </cell>
          <cell r="AA28">
            <v>38829.295510000004</v>
          </cell>
          <cell r="AB28">
            <v>39444.306770000003</v>
          </cell>
          <cell r="AC28">
            <v>40055.600010000002</v>
          </cell>
          <cell r="AD28">
            <v>40664.59491</v>
          </cell>
          <cell r="AE28">
            <v>41273.263440000002</v>
          </cell>
          <cell r="AF28">
            <v>41884.022830000002</v>
          </cell>
          <cell r="AG28">
            <v>42499.855629999998</v>
          </cell>
          <cell r="AH28">
            <v>43123.94859</v>
          </cell>
          <cell r="AI28">
            <v>43759.311009999998</v>
          </cell>
          <cell r="AJ28">
            <v>44407.831440000002</v>
          </cell>
          <cell r="AK28">
            <v>45070.123299999999</v>
          </cell>
          <cell r="AL28">
            <v>45745.719389999998</v>
          </cell>
          <cell r="AM28">
            <v>46433.303599999999</v>
          </cell>
          <cell r="AN28">
            <v>47130.924870000003</v>
          </cell>
          <cell r="AO28">
            <v>47836.157039999998</v>
          </cell>
        </row>
        <row r="29">
          <cell r="F29">
            <v>32271.24</v>
          </cell>
          <cell r="G29">
            <v>31833.17037</v>
          </cell>
          <cell r="H29">
            <v>31580.97522</v>
          </cell>
          <cell r="I29">
            <v>31398.794310000001</v>
          </cell>
          <cell r="J29">
            <v>31241.263360000001</v>
          </cell>
          <cell r="K29">
            <v>31072.43763</v>
          </cell>
          <cell r="L29">
            <v>30807.532950000001</v>
          </cell>
          <cell r="M29">
            <v>30403.586380000001</v>
          </cell>
          <cell r="N29">
            <v>29820.243869999998</v>
          </cell>
          <cell r="O29">
            <v>29027.176039999998</v>
          </cell>
          <cell r="P29">
            <v>28014.941760000002</v>
          </cell>
          <cell r="Q29">
            <v>26801.778129999999</v>
          </cell>
          <cell r="R29">
            <v>25430.099099999999</v>
          </cell>
          <cell r="S29">
            <v>23955.656879999999</v>
          </cell>
          <cell r="T29">
            <v>22435.46327</v>
          </cell>
          <cell r="U29">
            <v>20918.220939999999</v>
          </cell>
          <cell r="V29">
            <v>19446.767639999998</v>
          </cell>
          <cell r="W29">
            <v>18046.126749999999</v>
          </cell>
          <cell r="X29">
            <v>16726.578239999999</v>
          </cell>
          <cell r="Y29">
            <v>15490.875340000001</v>
          </cell>
          <cell r="Z29">
            <v>14337.970170000001</v>
          </cell>
          <cell r="AA29">
            <v>13264.909089999999</v>
          </cell>
          <cell r="AB29">
            <v>12267.811100000001</v>
          </cell>
          <cell r="AC29">
            <v>11342.38615</v>
          </cell>
          <cell r="AD29">
            <v>10484.21573</v>
          </cell>
          <cell r="AE29">
            <v>9688.9244099999996</v>
          </cell>
          <cell r="AF29">
            <v>8952.2748200000005</v>
          </cell>
          <cell r="AG29">
            <v>8270.2210329999998</v>
          </cell>
          <cell r="AH29">
            <v>7638.9324530000004</v>
          </cell>
          <cell r="AI29">
            <v>7054.8055539999996</v>
          </cell>
          <cell r="AJ29">
            <v>6514.4610510000002</v>
          </cell>
          <cell r="AK29">
            <v>6014.7385190000005</v>
          </cell>
          <cell r="AL29">
            <v>5552.6884440000003</v>
          </cell>
          <cell r="AM29">
            <v>5125.562124</v>
          </cell>
          <cell r="AN29">
            <v>4730.8005190000003</v>
          </cell>
          <cell r="AO29">
            <v>4366.0227519999999</v>
          </cell>
        </row>
        <row r="37">
          <cell r="F37">
            <v>44.765000000000001</v>
          </cell>
          <cell r="G37">
            <v>96.835052719999993</v>
          </cell>
          <cell r="H37">
            <v>196.01271070000001</v>
          </cell>
          <cell r="I37">
            <v>365.91359319999998</v>
          </cell>
          <cell r="J37">
            <v>626.22195039999997</v>
          </cell>
          <cell r="K37">
            <v>973.01004509999996</v>
          </cell>
          <cell r="L37">
            <v>1412.661871</v>
          </cell>
          <cell r="M37">
            <v>1994.6192679999999</v>
          </cell>
          <cell r="N37">
            <v>2772.4517300000002</v>
          </cell>
          <cell r="O37">
            <v>3790.9745509999998</v>
          </cell>
          <cell r="P37">
            <v>5071.4985619999998</v>
          </cell>
          <cell r="Q37">
            <v>6604.7237080000004</v>
          </cell>
          <cell r="R37">
            <v>8351.6486999999997</v>
          </cell>
          <cell r="S37">
            <v>10252.425160000001</v>
          </cell>
          <cell r="T37">
            <v>12241.619919999999</v>
          </cell>
          <cell r="U37">
            <v>14260.69614</v>
          </cell>
          <cell r="V37">
            <v>16294.508949999999</v>
          </cell>
          <cell r="W37">
            <v>18294.991689999999</v>
          </cell>
          <cell r="X37">
            <v>20233.067019999999</v>
          </cell>
          <cell r="Y37">
            <v>22093.52202</v>
          </cell>
          <cell r="Z37">
            <v>23870.28991</v>
          </cell>
          <cell r="AA37">
            <v>25563.112690000002</v>
          </cell>
          <cell r="AB37">
            <v>27175.298579999999</v>
          </cell>
          <cell r="AC37">
            <v>28712.08914</v>
          </cell>
          <cell r="AD37">
            <v>30179.322690000001</v>
          </cell>
          <cell r="AE37">
            <v>31583.346839999998</v>
          </cell>
          <cell r="AF37">
            <v>32930.81637</v>
          </cell>
          <cell r="AG37">
            <v>34228.759960000003</v>
          </cell>
          <cell r="AH37">
            <v>35484.19513</v>
          </cell>
          <cell r="AI37">
            <v>36703.73489</v>
          </cell>
          <cell r="AJ37">
            <v>37892.647259999998</v>
          </cell>
          <cell r="AK37">
            <v>39054.706230000003</v>
          </cell>
          <cell r="AL37">
            <v>40192.3943</v>
          </cell>
          <cell r="AM37">
            <v>41307.144200000002</v>
          </cell>
          <cell r="AN37">
            <v>42399.564059999997</v>
          </cell>
          <cell r="AO37">
            <v>43469.608740000003</v>
          </cell>
        </row>
        <row r="45">
          <cell r="F45">
            <v>1.9359999999999999</v>
          </cell>
          <cell r="G45">
            <v>1.989180913</v>
          </cell>
          <cell r="H45">
            <v>2.0517894989999999</v>
          </cell>
          <cell r="I45">
            <v>2.1147182080000002</v>
          </cell>
          <cell r="J45">
            <v>2.174593674</v>
          </cell>
          <cell r="K45">
            <v>2.2287481279999999</v>
          </cell>
          <cell r="L45">
            <v>2.2703424889999999</v>
          </cell>
          <cell r="M45">
            <v>2.295924254</v>
          </cell>
          <cell r="N45">
            <v>2.302194998</v>
          </cell>
          <cell r="O45">
            <v>2.2866407990000002</v>
          </cell>
          <cell r="P45">
            <v>2.2484614110000001</v>
          </cell>
          <cell r="Q45">
            <v>2.1891701530000001</v>
          </cell>
          <cell r="R45">
            <v>2.1123361159999998</v>
          </cell>
          <cell r="S45">
            <v>2.0227031769999999</v>
          </cell>
          <cell r="T45">
            <v>1.9251890389999999</v>
          </cell>
          <cell r="U45">
            <v>1.8240787199999999</v>
          </cell>
          <cell r="V45">
            <v>1.723215121</v>
          </cell>
          <cell r="W45">
            <v>1.6249844200000001</v>
          </cell>
          <cell r="X45">
            <v>1.5305486500000001</v>
          </cell>
          <cell r="Y45">
            <v>1.440432097</v>
          </cell>
          <cell r="Z45">
            <v>1.3548249450000001</v>
          </cell>
          <cell r="AA45">
            <v>1.273738534</v>
          </cell>
          <cell r="AB45">
            <v>1.197086278</v>
          </cell>
          <cell r="AC45">
            <v>1.124727263</v>
          </cell>
          <cell r="AD45">
            <v>1.0564905440000001</v>
          </cell>
          <cell r="AE45">
            <v>0.99219059170000001</v>
          </cell>
          <cell r="AF45">
            <v>0.93163646450000004</v>
          </cell>
          <cell r="AG45">
            <v>0.87463753519999998</v>
          </cell>
          <cell r="AH45">
            <v>0.82100672910000005</v>
          </cell>
          <cell r="AI45">
            <v>0.77056269669999999</v>
          </cell>
          <cell r="AJ45">
            <v>0.72313070199999996</v>
          </cell>
          <cell r="AK45">
            <v>0.67854322379999998</v>
          </cell>
          <cell r="AL45">
            <v>0.63664026740000002</v>
          </cell>
          <cell r="AM45">
            <v>0.59726942449999998</v>
          </cell>
          <cell r="AN45">
            <v>0.56028577609999997</v>
          </cell>
          <cell r="AO45">
            <v>0.52555169710000005</v>
          </cell>
        </row>
        <row r="104">
          <cell r="F104">
            <v>3.476542051</v>
          </cell>
          <cell r="G104">
            <v>9.3899330590000005</v>
          </cell>
          <cell r="H104">
            <v>16.23543982</v>
          </cell>
          <cell r="I104">
            <v>23.313428680000001</v>
          </cell>
          <cell r="J104">
            <v>30.494529629999999</v>
          </cell>
          <cell r="K104">
            <v>37.50565074</v>
          </cell>
          <cell r="L104">
            <v>44.311045010000001</v>
          </cell>
          <cell r="M104">
            <v>51.29072532</v>
          </cell>
          <cell r="N104">
            <v>61.035328120000003</v>
          </cell>
          <cell r="O104">
            <v>75.330700989999997</v>
          </cell>
          <cell r="P104">
            <v>95.288309380000001</v>
          </cell>
          <cell r="Q104">
            <v>119.8220163</v>
          </cell>
          <cell r="R104">
            <v>145.08665329999999</v>
          </cell>
          <cell r="S104">
            <v>169.36732960000001</v>
          </cell>
          <cell r="T104">
            <v>192.0102235</v>
          </cell>
          <cell r="U104">
            <v>212.8555418</v>
          </cell>
          <cell r="V104">
            <v>232.18768800000001</v>
          </cell>
          <cell r="W104">
            <v>250.7882329</v>
          </cell>
          <cell r="X104">
            <v>268.85489860000001</v>
          </cell>
          <cell r="Y104">
            <v>286.38106440000001</v>
          </cell>
          <cell r="Z104">
            <v>303.30836820000002</v>
          </cell>
          <cell r="AA104">
            <v>319.58209740000001</v>
          </cell>
          <cell r="AB104">
            <v>335.1724226</v>
          </cell>
          <cell r="AC104">
            <v>350.07682949999997</v>
          </cell>
          <cell r="AD104">
            <v>364.31303780000002</v>
          </cell>
          <cell r="AE104">
            <v>377.91309539999997</v>
          </cell>
          <cell r="AF104">
            <v>390.9199721</v>
          </cell>
          <cell r="AG104">
            <v>403.38462090000002</v>
          </cell>
          <cell r="AH104">
            <v>415.36548260000001</v>
          </cell>
          <cell r="AI104">
            <v>426.922391</v>
          </cell>
          <cell r="AJ104">
            <v>438.10693850000001</v>
          </cell>
          <cell r="AK104">
            <v>448.95918330000001</v>
          </cell>
          <cell r="AL104">
            <v>459.50923210000002</v>
          </cell>
          <cell r="AM104">
            <v>469.78157220000003</v>
          </cell>
          <cell r="AN104">
            <v>479.79857909999998</v>
          </cell>
          <cell r="AO104">
            <v>489.58348039999998</v>
          </cell>
        </row>
        <row r="105">
          <cell r="F105">
            <v>68.80476281</v>
          </cell>
          <cell r="G105">
            <v>74.476780860000005</v>
          </cell>
          <cell r="H105">
            <v>79.246083400000003</v>
          </cell>
          <cell r="I105">
            <v>83.332463770000004</v>
          </cell>
          <cell r="J105">
            <v>87.063876710000002</v>
          </cell>
          <cell r="K105">
            <v>90.589004770000003</v>
          </cell>
          <cell r="L105">
            <v>93.988710940000004</v>
          </cell>
          <cell r="M105">
            <v>97.274288010000006</v>
          </cell>
          <cell r="N105">
            <v>100.6054065</v>
          </cell>
          <cell r="O105">
            <v>104.0493025</v>
          </cell>
          <cell r="P105">
            <v>107.7975093</v>
          </cell>
          <cell r="Q105">
            <v>111.46320559999999</v>
          </cell>
          <cell r="R105">
            <v>114.95344489999999</v>
          </cell>
          <cell r="S105">
            <v>118.29651699999999</v>
          </cell>
          <cell r="T105">
            <v>121.518897</v>
          </cell>
          <cell r="U105">
            <v>124.6400099</v>
          </cell>
          <cell r="V105">
            <v>127.6791369</v>
          </cell>
          <cell r="W105">
            <v>130.6551269</v>
          </cell>
          <cell r="X105">
            <v>133.56840030000001</v>
          </cell>
          <cell r="Y105">
            <v>136.41330669999999</v>
          </cell>
          <cell r="Z105">
            <v>139.18447459999999</v>
          </cell>
          <cell r="AA105">
            <v>141.87890089999999</v>
          </cell>
          <cell r="AB105">
            <v>144.4929961</v>
          </cell>
          <cell r="AC105">
            <v>147.02207780000001</v>
          </cell>
          <cell r="AD105">
            <v>149.46081670000001</v>
          </cell>
          <cell r="AE105">
            <v>151.8059083</v>
          </cell>
          <cell r="AF105">
            <v>154.05539469999999</v>
          </cell>
          <cell r="AG105">
            <v>156.2051218</v>
          </cell>
          <cell r="AH105">
            <v>158.25385220000001</v>
          </cell>
          <cell r="AI105">
            <v>160.2025659</v>
          </cell>
          <cell r="AJ105">
            <v>162.0554617</v>
          </cell>
          <cell r="AK105">
            <v>163.8179714</v>
          </cell>
          <cell r="AL105">
            <v>165.49357069999999</v>
          </cell>
          <cell r="AM105">
            <v>167.08464950000001</v>
          </cell>
          <cell r="AN105">
            <v>168.5927944</v>
          </cell>
          <cell r="AO105">
            <v>170.01923239999999</v>
          </cell>
        </row>
        <row r="106">
          <cell r="F106">
            <v>408.28039699999999</v>
          </cell>
          <cell r="G106">
            <v>421.43436380000003</v>
          </cell>
          <cell r="H106">
            <v>433.51228980000002</v>
          </cell>
          <cell r="I106">
            <v>444.25276350000001</v>
          </cell>
          <cell r="J106">
            <v>454.246914</v>
          </cell>
          <cell r="K106">
            <v>463.78016129999997</v>
          </cell>
          <cell r="L106">
            <v>473.01897830000001</v>
          </cell>
          <cell r="M106">
            <v>481.97105390000002</v>
          </cell>
          <cell r="N106">
            <v>490.97341340000003</v>
          </cell>
          <cell r="O106">
            <v>500.02113170000001</v>
          </cell>
          <cell r="P106">
            <v>508.70072370000003</v>
          </cell>
          <cell r="Q106">
            <v>517.20426190000001</v>
          </cell>
          <cell r="R106">
            <v>525.58315730000004</v>
          </cell>
          <cell r="S106">
            <v>533.84306170000002</v>
          </cell>
          <cell r="T106">
            <v>541.97914579999997</v>
          </cell>
          <cell r="U106">
            <v>549.98781699999995</v>
          </cell>
          <cell r="V106">
            <v>557.87386100000003</v>
          </cell>
          <cell r="W106">
            <v>565.64135710000005</v>
          </cell>
          <cell r="X106">
            <v>573.27427729999999</v>
          </cell>
          <cell r="Y106">
            <v>580.75121939999997</v>
          </cell>
          <cell r="Z106">
            <v>588.05550059999996</v>
          </cell>
          <cell r="AA106">
            <v>595.17823090000002</v>
          </cell>
          <cell r="AB106">
            <v>602.10883209999997</v>
          </cell>
          <cell r="AC106">
            <v>608.83376310000006</v>
          </cell>
          <cell r="AD106">
            <v>615.33822559999999</v>
          </cell>
          <cell r="AE106">
            <v>621.61345930000005</v>
          </cell>
          <cell r="AF106">
            <v>627.6548828</v>
          </cell>
          <cell r="AG106">
            <v>633.45231000000001</v>
          </cell>
          <cell r="AH106">
            <v>639.00511240000003</v>
          </cell>
          <cell r="AI106">
            <v>644.32127419999995</v>
          </cell>
          <cell r="AJ106">
            <v>649.42014870000003</v>
          </cell>
          <cell r="AK106">
            <v>654.32623569999998</v>
          </cell>
          <cell r="AL106">
            <v>659.05943590000004</v>
          </cell>
          <cell r="AM106">
            <v>663.6372877</v>
          </cell>
          <cell r="AN106">
            <v>668.07586189999995</v>
          </cell>
          <cell r="AO106">
            <v>672.39046470000005</v>
          </cell>
        </row>
        <row r="107">
          <cell r="F107">
            <v>954.38155940000001</v>
          </cell>
          <cell r="G107">
            <v>950.80634090000001</v>
          </cell>
          <cell r="H107">
            <v>948.69968449999999</v>
          </cell>
          <cell r="I107">
            <v>947.24029169999994</v>
          </cell>
          <cell r="J107">
            <v>946.12534040000003</v>
          </cell>
          <cell r="K107">
            <v>944.92026739999994</v>
          </cell>
          <cell r="L107">
            <v>943.53943819999995</v>
          </cell>
          <cell r="M107">
            <v>942.39058969999996</v>
          </cell>
          <cell r="N107">
            <v>944.90429979999999</v>
          </cell>
          <cell r="O107">
            <v>953.33197470000005</v>
          </cell>
          <cell r="P107">
            <v>968.41202950000002</v>
          </cell>
          <cell r="Q107">
            <v>988.0565388</v>
          </cell>
          <cell r="R107">
            <v>1007.869037</v>
          </cell>
          <cell r="S107">
            <v>1026.0091640000001</v>
          </cell>
          <cell r="T107">
            <v>1041.9195669999999</v>
          </cell>
          <cell r="U107">
            <v>1055.597301</v>
          </cell>
          <cell r="V107">
            <v>1067.4792500000001</v>
          </cell>
          <cell r="W107">
            <v>1078.480125</v>
          </cell>
          <cell r="X107">
            <v>1088.8350419999999</v>
          </cell>
          <cell r="Y107">
            <v>1098.5540820000001</v>
          </cell>
          <cell r="Z107">
            <v>1107.59276</v>
          </cell>
          <cell r="AA107">
            <v>1115.909386</v>
          </cell>
          <cell r="AB107">
            <v>1123.485709</v>
          </cell>
          <cell r="AC107">
            <v>1130.330725</v>
          </cell>
          <cell r="AD107">
            <v>1136.475721</v>
          </cell>
          <cell r="AE107">
            <v>1141.963741</v>
          </cell>
          <cell r="AF107">
            <v>1146.844259</v>
          </cell>
          <cell r="AG107">
            <v>1151.16985</v>
          </cell>
          <cell r="AH107">
            <v>1154.9960249999999</v>
          </cell>
          <cell r="AI107">
            <v>1158.3767640000001</v>
          </cell>
          <cell r="AJ107">
            <v>1161.3569319999999</v>
          </cell>
          <cell r="AK107">
            <v>1163.970008</v>
          </cell>
          <cell r="AL107">
            <v>1166.2393589999999</v>
          </cell>
          <cell r="AM107">
            <v>1168.180969</v>
          </cell>
          <cell r="AN107">
            <v>1169.8039240000001</v>
          </cell>
          <cell r="AO107">
            <v>1171.106657</v>
          </cell>
        </row>
        <row r="108">
          <cell r="F108">
            <v>878.79999729999997</v>
          </cell>
          <cell r="G108">
            <v>868.47807850000004</v>
          </cell>
          <cell r="H108">
            <v>859.58726300000001</v>
          </cell>
          <cell r="I108">
            <v>851.5276159</v>
          </cell>
          <cell r="J108">
            <v>843.81873580000001</v>
          </cell>
          <cell r="K108">
            <v>836.76659519999998</v>
          </cell>
          <cell r="L108">
            <v>830.26558120000004</v>
          </cell>
          <cell r="M108">
            <v>823.51388510000004</v>
          </cell>
          <cell r="N108">
            <v>809.95380369999998</v>
          </cell>
          <cell r="O108">
            <v>785.53176589999998</v>
          </cell>
          <cell r="P108">
            <v>748.67557399999998</v>
          </cell>
          <cell r="Q108">
            <v>702.81464259999996</v>
          </cell>
          <cell r="R108">
            <v>656.29234870000005</v>
          </cell>
          <cell r="S108">
            <v>612.65151089999995</v>
          </cell>
          <cell r="T108">
            <v>573.0801371</v>
          </cell>
          <cell r="U108">
            <v>537.71599230000004</v>
          </cell>
          <cell r="V108">
            <v>505.80465839999999</v>
          </cell>
          <cell r="W108">
            <v>475.60743939999998</v>
          </cell>
          <cell r="X108">
            <v>446.67914089999999</v>
          </cell>
          <cell r="Y108">
            <v>419.01184380000001</v>
          </cell>
          <cell r="Z108">
            <v>392.7047953</v>
          </cell>
          <cell r="AA108">
            <v>367.85025359999997</v>
          </cell>
          <cell r="AB108">
            <v>344.4914564</v>
          </cell>
          <cell r="AC108">
            <v>322.61725589999998</v>
          </cell>
          <cell r="AD108">
            <v>302.17495259999998</v>
          </cell>
          <cell r="AE108">
            <v>283.08674980000001</v>
          </cell>
          <cell r="AF108">
            <v>265.25850059999999</v>
          </cell>
          <cell r="AG108">
            <v>248.58583630000001</v>
          </cell>
          <cell r="AH108">
            <v>232.95559689999999</v>
          </cell>
          <cell r="AI108">
            <v>218.2569331</v>
          </cell>
          <cell r="AJ108">
            <v>204.3979563</v>
          </cell>
          <cell r="AK108">
            <v>191.31025679999999</v>
          </cell>
          <cell r="AL108">
            <v>178.94513939999999</v>
          </cell>
          <cell r="AM108">
            <v>167.26649090000001</v>
          </cell>
          <cell r="AN108">
            <v>156.24700279999999</v>
          </cell>
          <cell r="AO108">
            <v>145.86872020000001</v>
          </cell>
        </row>
        <row r="109">
          <cell r="F109">
            <v>139.85209269999999</v>
          </cell>
          <cell r="G109">
            <v>137.98132409999999</v>
          </cell>
          <cell r="H109">
            <v>136.1628628</v>
          </cell>
          <cell r="I109">
            <v>134.40074670000001</v>
          </cell>
          <cell r="J109">
            <v>132.69412220000001</v>
          </cell>
          <cell r="K109">
            <v>131.0222254</v>
          </cell>
          <cell r="L109">
            <v>129.37650239999999</v>
          </cell>
          <cell r="M109">
            <v>127.7655591</v>
          </cell>
          <cell r="N109">
            <v>126.2396219</v>
          </cell>
          <cell r="O109">
            <v>124.7701115</v>
          </cell>
          <cell r="P109">
            <v>123.32656129999999</v>
          </cell>
          <cell r="Q109">
            <v>121.88073079999999</v>
          </cell>
          <cell r="R109">
            <v>120.4016216</v>
          </cell>
          <cell r="S109">
            <v>118.8850954</v>
          </cell>
          <cell r="T109">
            <v>117.3401271</v>
          </cell>
          <cell r="U109">
            <v>115.780794</v>
          </cell>
          <cell r="V109">
            <v>114.2210036</v>
          </cell>
          <cell r="W109">
            <v>112.6717477</v>
          </cell>
          <cell r="X109">
            <v>111.1404679</v>
          </cell>
          <cell r="Y109">
            <v>109.6317358</v>
          </cell>
          <cell r="Z109">
            <v>108.1479385</v>
          </cell>
          <cell r="AA109">
            <v>106.68969869999999</v>
          </cell>
          <cell r="AB109">
            <v>105.2564485</v>
          </cell>
          <cell r="AC109">
            <v>103.84635249999999</v>
          </cell>
          <cell r="AD109">
            <v>102.4562147</v>
          </cell>
          <cell r="AE109">
            <v>101.0820715</v>
          </cell>
          <cell r="AF109">
            <v>99.719489359999997</v>
          </cell>
          <cell r="AG109">
            <v>98.363814680000004</v>
          </cell>
          <cell r="AH109">
            <v>97.009924510000005</v>
          </cell>
          <cell r="AI109">
            <v>95.651964719999995</v>
          </cell>
          <cell r="AJ109">
            <v>94.283942920000001</v>
          </cell>
          <cell r="AK109">
            <v>92.900450079999999</v>
          </cell>
          <cell r="AL109">
            <v>91.497147029999994</v>
          </cell>
          <cell r="AM109">
            <v>90.070769530000007</v>
          </cell>
          <cell r="AN109">
            <v>88.619004410000002</v>
          </cell>
          <cell r="AO109">
            <v>87.140915019999994</v>
          </cell>
        </row>
        <row r="110">
          <cell r="F110">
            <v>3.874567114</v>
          </cell>
          <cell r="G110">
            <v>3.726195063</v>
          </cell>
          <cell r="H110">
            <v>3.5856474629999999</v>
          </cell>
          <cell r="I110">
            <v>3.4527571309999998</v>
          </cell>
          <cell r="J110">
            <v>3.3271010190000001</v>
          </cell>
          <cell r="K110">
            <v>3.2069332080000001</v>
          </cell>
          <cell r="L110">
            <v>3.0915593220000002</v>
          </cell>
          <cell r="M110">
            <v>2.9813546529999999</v>
          </cell>
          <cell r="N110">
            <v>2.8794196790000002</v>
          </cell>
          <cell r="O110">
            <v>2.7834632500000001</v>
          </cell>
          <cell r="P110">
            <v>2.6914803919999999</v>
          </cell>
          <cell r="Q110">
            <v>2.6017626659999999</v>
          </cell>
          <cell r="R110">
            <v>2.5123157740000002</v>
          </cell>
          <cell r="S110">
            <v>2.4231854309999998</v>
          </cell>
          <cell r="T110">
            <v>2.3352024949999999</v>
          </cell>
          <cell r="U110">
            <v>2.2493451270000002</v>
          </cell>
          <cell r="V110">
            <v>2.1665013790000001</v>
          </cell>
          <cell r="W110">
            <v>2.087437676</v>
          </cell>
          <cell r="X110">
            <v>2.0124487449999999</v>
          </cell>
          <cell r="Y110">
            <v>1.941554201</v>
          </cell>
          <cell r="Z110">
            <v>1.8746165539999999</v>
          </cell>
          <cell r="AA110">
            <v>1.8114055579999999</v>
          </cell>
          <cell r="AB110">
            <v>1.7516461459999999</v>
          </cell>
          <cell r="AC110">
            <v>1.6950263379999999</v>
          </cell>
          <cell r="AD110">
            <v>1.641201108</v>
          </cell>
          <cell r="AE110">
            <v>1.5898220320000001</v>
          </cell>
          <cell r="AF110">
            <v>1.540550283</v>
          </cell>
          <cell r="AG110">
            <v>1.493065474</v>
          </cell>
          <cell r="AH110">
            <v>1.4470572799999999</v>
          </cell>
          <cell r="AI110">
            <v>1.4022201030000001</v>
          </cell>
          <cell r="AJ110">
            <v>1.358279883</v>
          </cell>
          <cell r="AK110">
            <v>1.3150194989999999</v>
          </cell>
          <cell r="AL110">
            <v>1.2722889639999999</v>
          </cell>
          <cell r="AM110">
            <v>1.2299963620000001</v>
          </cell>
          <cell r="AN110">
            <v>1.188094663</v>
          </cell>
          <cell r="AO110">
            <v>1.146583761</v>
          </cell>
        </row>
        <row r="112">
          <cell r="F112">
            <v>3.476542051</v>
          </cell>
          <cell r="G112">
            <v>9.3899330590000005</v>
          </cell>
          <cell r="H112">
            <v>16.23543982</v>
          </cell>
          <cell r="I112">
            <v>23.313428680000001</v>
          </cell>
          <cell r="J112">
            <v>30.494529629999999</v>
          </cell>
          <cell r="K112">
            <v>37.50565074</v>
          </cell>
          <cell r="L112">
            <v>44.350448129999997</v>
          </cell>
          <cell r="M112">
            <v>51.19851053</v>
          </cell>
          <cell r="N112">
            <v>58.166535680000003</v>
          </cell>
          <cell r="O112">
            <v>65.325979180000004</v>
          </cell>
          <cell r="P112">
            <v>72.706542799999994</v>
          </cell>
          <cell r="Q112">
            <v>80.311922249999995</v>
          </cell>
          <cell r="R112">
            <v>88.128065019999994</v>
          </cell>
          <cell r="S112">
            <v>96.127732649999999</v>
          </cell>
          <cell r="T112">
            <v>104.2747488</v>
          </cell>
          <cell r="U112">
            <v>112.5292716</v>
          </cell>
          <cell r="V112">
            <v>120.78844580000001</v>
          </cell>
          <cell r="W112">
            <v>128.83928589999999</v>
          </cell>
          <cell r="X112">
            <v>136.59126449999999</v>
          </cell>
          <cell r="Y112">
            <v>144.03450659999999</v>
          </cell>
          <cell r="Z112">
            <v>151.19899190000001</v>
          </cell>
          <cell r="AA112">
            <v>158.12869620000001</v>
          </cell>
          <cell r="AB112">
            <v>164.86815319999999</v>
          </cell>
          <cell r="AC112">
            <v>171.4572727</v>
          </cell>
          <cell r="AD112">
            <v>177.93036000000001</v>
          </cell>
          <cell r="AE112">
            <v>184.3167243</v>
          </cell>
          <cell r="AF112">
            <v>190.64166589999999</v>
          </cell>
          <cell r="AG112">
            <v>196.92694059999999</v>
          </cell>
          <cell r="AH112">
            <v>203.19123920000001</v>
          </cell>
          <cell r="AI112">
            <v>209.4500965</v>
          </cell>
          <cell r="AJ112">
            <v>215.7157321</v>
          </cell>
          <cell r="AK112">
            <v>221.99698179999999</v>
          </cell>
          <cell r="AL112">
            <v>228.2994674</v>
          </cell>
          <cell r="AM112">
            <v>234.62602939999999</v>
          </cell>
          <cell r="AN112">
            <v>240.9771298</v>
          </cell>
          <cell r="AO112">
            <v>247.35116429999999</v>
          </cell>
        </row>
        <row r="113">
          <cell r="F113">
            <v>68.80476281</v>
          </cell>
          <cell r="G113">
            <v>74.476780860000005</v>
          </cell>
          <cell r="H113">
            <v>79.246083400000003</v>
          </cell>
          <cell r="I113">
            <v>83.332463770000004</v>
          </cell>
          <cell r="J113">
            <v>87.063876710000002</v>
          </cell>
          <cell r="K113">
            <v>90.589004770000003</v>
          </cell>
          <cell r="L113">
            <v>93.986955679999994</v>
          </cell>
          <cell r="M113">
            <v>97.289523979999998</v>
          </cell>
          <cell r="N113">
            <v>100.51537690000001</v>
          </cell>
          <cell r="O113">
            <v>103.678275</v>
          </cell>
          <cell r="P113">
            <v>106.79114300000001</v>
          </cell>
          <cell r="Q113">
            <v>109.86632179999999</v>
          </cell>
          <cell r="R113">
            <v>112.91337110000001</v>
          </cell>
          <cell r="S113">
            <v>115.9381072</v>
          </cell>
          <cell r="T113">
            <v>118.9426496</v>
          </cell>
          <cell r="U113">
            <v>121.92772410000001</v>
          </cell>
          <cell r="V113">
            <v>124.8910679</v>
          </cell>
          <cell r="W113">
            <v>127.8229671</v>
          </cell>
          <cell r="X113">
            <v>130.71626670000001</v>
          </cell>
          <cell r="Y113">
            <v>133.56564539999999</v>
          </cell>
          <cell r="Z113">
            <v>136.36820610000001</v>
          </cell>
          <cell r="AA113">
            <v>139.12327110000001</v>
          </cell>
          <cell r="AB113">
            <v>141.8284869</v>
          </cell>
          <cell r="AC113">
            <v>144.4792123</v>
          </cell>
          <cell r="AD113">
            <v>147.06916939999999</v>
          </cell>
          <cell r="AE113">
            <v>149.5932904</v>
          </cell>
          <cell r="AF113">
            <v>152.04737449999999</v>
          </cell>
          <cell r="AG113">
            <v>154.42496560000001</v>
          </cell>
          <cell r="AH113">
            <v>156.72308140000001</v>
          </cell>
          <cell r="AI113">
            <v>158.94214310000001</v>
          </cell>
          <cell r="AJ113">
            <v>161.08715169999999</v>
          </cell>
          <cell r="AK113">
            <v>163.1655092</v>
          </cell>
          <cell r="AL113">
            <v>165.18347489999999</v>
          </cell>
          <cell r="AM113">
            <v>167.1468356</v>
          </cell>
          <cell r="AN113">
            <v>169.06111089999999</v>
          </cell>
          <cell r="AO113">
            <v>170.93179960000001</v>
          </cell>
        </row>
        <row r="114">
          <cell r="F114">
            <v>408.28039699999999</v>
          </cell>
          <cell r="G114">
            <v>421.43436380000003</v>
          </cell>
          <cell r="H114">
            <v>433.51228980000002</v>
          </cell>
          <cell r="I114">
            <v>444.25276350000001</v>
          </cell>
          <cell r="J114">
            <v>454.246914</v>
          </cell>
          <cell r="K114">
            <v>463.78016129999997</v>
          </cell>
          <cell r="L114">
            <v>473.01436260000003</v>
          </cell>
          <cell r="M114">
            <v>482.01010330000003</v>
          </cell>
          <cell r="N114">
            <v>490.80340439999998</v>
          </cell>
          <cell r="O114">
            <v>499.42215099999999</v>
          </cell>
          <cell r="P114">
            <v>507.89649530000003</v>
          </cell>
          <cell r="Q114">
            <v>516.2584167</v>
          </cell>
          <cell r="R114">
            <v>524.53406270000005</v>
          </cell>
          <cell r="S114">
            <v>532.7391106</v>
          </cell>
          <cell r="T114">
            <v>540.88017930000001</v>
          </cell>
          <cell r="U114">
            <v>548.96055369999999</v>
          </cell>
          <cell r="V114">
            <v>556.97884750000003</v>
          </cell>
          <cell r="W114">
            <v>564.91944409999996</v>
          </cell>
          <cell r="X114">
            <v>572.76654229999997</v>
          </cell>
          <cell r="Y114">
            <v>580.50446769999996</v>
          </cell>
          <cell r="Z114">
            <v>588.12219930000003</v>
          </cell>
          <cell r="AA114">
            <v>595.61438350000003</v>
          </cell>
          <cell r="AB114">
            <v>602.97130760000005</v>
          </cell>
          <cell r="AC114">
            <v>610.17760989999999</v>
          </cell>
          <cell r="AD114">
            <v>617.21423010000001</v>
          </cell>
          <cell r="AE114">
            <v>624.06634080000003</v>
          </cell>
          <cell r="AF114">
            <v>630.72221869999998</v>
          </cell>
          <cell r="AG114">
            <v>637.16423350000002</v>
          </cell>
          <cell r="AH114">
            <v>643.3846757</v>
          </cell>
          <cell r="AI114">
            <v>649.38533610000002</v>
          </cell>
          <cell r="AJ114">
            <v>655.18066420000002</v>
          </cell>
          <cell r="AK114">
            <v>660.79159079999999</v>
          </cell>
          <cell r="AL114">
            <v>666.23560120000002</v>
          </cell>
          <cell r="AM114">
            <v>671.52868190000004</v>
          </cell>
          <cell r="AN114">
            <v>676.68597360000001</v>
          </cell>
          <cell r="AO114">
            <v>681.72252909999997</v>
          </cell>
        </row>
        <row r="115">
          <cell r="F115">
            <v>954.38155940000001</v>
          </cell>
          <cell r="G115">
            <v>950.80634090000001</v>
          </cell>
          <cell r="H115">
            <v>948.69968449999999</v>
          </cell>
          <cell r="I115">
            <v>947.24029169999994</v>
          </cell>
          <cell r="J115">
            <v>946.12534040000003</v>
          </cell>
          <cell r="K115">
            <v>944.92026739999994</v>
          </cell>
          <cell r="L115">
            <v>943.54607199999998</v>
          </cell>
          <cell r="M115">
            <v>942.04961160000005</v>
          </cell>
          <cell r="N115">
            <v>940.4649359</v>
          </cell>
          <cell r="O115">
            <v>938.8278004</v>
          </cell>
          <cell r="P115">
            <v>937.16041429999996</v>
          </cell>
          <cell r="Q115">
            <v>935.47682910000003</v>
          </cell>
          <cell r="R115">
            <v>933.78471830000001</v>
          </cell>
          <cell r="S115">
            <v>932.08590630000003</v>
          </cell>
          <cell r="T115">
            <v>930.37740010000005</v>
          </cell>
          <cell r="U115">
            <v>928.65354219999995</v>
          </cell>
          <cell r="V115">
            <v>926.8830868</v>
          </cell>
          <cell r="W115">
            <v>925.00234350000005</v>
          </cell>
          <cell r="X115">
            <v>923.01150050000001</v>
          </cell>
          <cell r="Y115">
            <v>920.93001400000003</v>
          </cell>
          <cell r="Z115">
            <v>918.77979989999994</v>
          </cell>
          <cell r="AA115">
            <v>916.57951290000005</v>
          </cell>
          <cell r="AB115">
            <v>914.3435958</v>
          </cell>
          <cell r="AC115">
            <v>912.08292300000005</v>
          </cell>
          <cell r="AD115">
            <v>909.80590080000002</v>
          </cell>
          <cell r="AE115">
            <v>907.51950099999999</v>
          </cell>
          <cell r="AF115">
            <v>905.22966199999996</v>
          </cell>
          <cell r="AG115">
            <v>902.94160699999998</v>
          </cell>
          <cell r="AH115">
            <v>900.66005159999997</v>
          </cell>
          <cell r="AI115">
            <v>898.38922830000001</v>
          </cell>
          <cell r="AJ115">
            <v>896.13275490000001</v>
          </cell>
          <cell r="AK115">
            <v>893.89354560000004</v>
          </cell>
          <cell r="AL115">
            <v>891.67372780000005</v>
          </cell>
          <cell r="AM115">
            <v>889.47456769999997</v>
          </cell>
          <cell r="AN115">
            <v>887.29641409999999</v>
          </cell>
          <cell r="AO115">
            <v>885.13868860000002</v>
          </cell>
        </row>
        <row r="116">
          <cell r="F116">
            <v>878.79999729999997</v>
          </cell>
          <cell r="G116">
            <v>868.47807850000004</v>
          </cell>
          <cell r="H116">
            <v>859.58726300000001</v>
          </cell>
          <cell r="I116">
            <v>851.5276159</v>
          </cell>
          <cell r="J116">
            <v>843.81873580000001</v>
          </cell>
          <cell r="K116">
            <v>836.76659519999998</v>
          </cell>
          <cell r="L116">
            <v>830.22184319999997</v>
          </cell>
          <cell r="M116">
            <v>823.87469429999999</v>
          </cell>
          <cell r="N116">
            <v>817.53054359999999</v>
          </cell>
          <cell r="O116">
            <v>811.05886290000001</v>
          </cell>
          <cell r="P116">
            <v>804.39380159999996</v>
          </cell>
          <cell r="Q116">
            <v>797.51013509999996</v>
          </cell>
          <cell r="R116">
            <v>790.41130080000005</v>
          </cell>
          <cell r="S116">
            <v>783.12273930000003</v>
          </cell>
          <cell r="T116">
            <v>775.68525869999996</v>
          </cell>
          <cell r="U116">
            <v>768.14638790000004</v>
          </cell>
          <cell r="V116">
            <v>760.65198729999997</v>
          </cell>
          <cell r="W116">
            <v>753.5078317</v>
          </cell>
          <cell r="X116">
            <v>746.80898279999997</v>
          </cell>
          <cell r="Y116">
            <v>740.53747510000005</v>
          </cell>
          <cell r="Z116">
            <v>734.62850170000002</v>
          </cell>
          <cell r="AA116">
            <v>729.00709340000003</v>
          </cell>
          <cell r="AB116">
            <v>723.60502670000005</v>
          </cell>
          <cell r="AC116">
            <v>718.36629809999999</v>
          </cell>
          <cell r="AD116">
            <v>713.24705080000001</v>
          </cell>
          <cell r="AE116">
            <v>708.21350540000003</v>
          </cell>
          <cell r="AF116">
            <v>703.23962010000002</v>
          </cell>
          <cell r="AG116">
            <v>698.30504540000004</v>
          </cell>
          <cell r="AH116">
            <v>693.39350390000004</v>
          </cell>
          <cell r="AI116">
            <v>688.49179719999995</v>
          </cell>
          <cell r="AJ116">
            <v>683.5893714</v>
          </cell>
          <cell r="AK116">
            <v>678.67797759999996</v>
          </cell>
          <cell r="AL116">
            <v>673.75145190000001</v>
          </cell>
          <cell r="AM116">
            <v>668.80565079999997</v>
          </cell>
          <cell r="AN116">
            <v>663.83849429999998</v>
          </cell>
          <cell r="AO116">
            <v>658.85006120000003</v>
          </cell>
        </row>
        <row r="117">
          <cell r="F117">
            <v>139.85209269999999</v>
          </cell>
          <cell r="G117">
            <v>137.98132409999999</v>
          </cell>
          <cell r="H117">
            <v>136.1628628</v>
          </cell>
          <cell r="I117">
            <v>134.40074670000001</v>
          </cell>
          <cell r="J117">
            <v>132.69412220000001</v>
          </cell>
          <cell r="K117">
            <v>131.0222254</v>
          </cell>
          <cell r="L117">
            <v>129.3804452</v>
          </cell>
          <cell r="M117">
            <v>127.78325150000001</v>
          </cell>
          <cell r="N117">
            <v>126.23360409999999</v>
          </cell>
          <cell r="O117">
            <v>124.72876050000001</v>
          </cell>
          <cell r="P117">
            <v>123.2633345</v>
          </cell>
          <cell r="Q117">
            <v>121.83155069999999</v>
          </cell>
          <cell r="R117">
            <v>120.4281732</v>
          </cell>
          <cell r="S117">
            <v>119.0492938</v>
          </cell>
          <cell r="T117">
            <v>117.6928884</v>
          </cell>
          <cell r="U117">
            <v>116.3588022</v>
          </cell>
          <cell r="V117">
            <v>115.04467889999999</v>
          </cell>
          <cell r="W117">
            <v>113.73935640000001</v>
          </cell>
          <cell r="X117">
            <v>112.44078039999999</v>
          </cell>
          <cell r="Y117">
            <v>111.1512731</v>
          </cell>
          <cell r="Z117">
            <v>109.8741955</v>
          </cell>
          <cell r="AA117">
            <v>108.6123243</v>
          </cell>
          <cell r="AB117">
            <v>107.3672574</v>
          </cell>
          <cell r="AC117">
            <v>106.13938659999999</v>
          </cell>
          <cell r="AD117">
            <v>104.92806950000001</v>
          </cell>
          <cell r="AE117">
            <v>103.731871</v>
          </cell>
          <cell r="AF117">
            <v>102.5487538</v>
          </cell>
          <cell r="AG117">
            <v>101.376265</v>
          </cell>
          <cell r="AH117">
            <v>100.2116853</v>
          </cell>
          <cell r="AI117">
            <v>99.052204230000001</v>
          </cell>
          <cell r="AJ117">
            <v>97.895111029999995</v>
          </cell>
          <cell r="AK117">
            <v>96.738132190000002</v>
          </cell>
          <cell r="AL117">
            <v>95.579680350000004</v>
          </cell>
          <cell r="AM117">
            <v>94.418979070000006</v>
          </cell>
          <cell r="AN117">
            <v>93.256078860000002</v>
          </cell>
          <cell r="AO117">
            <v>92.091795550000001</v>
          </cell>
        </row>
        <row r="118">
          <cell r="F118">
            <v>3.874567114</v>
          </cell>
          <cell r="G118">
            <v>3.726195063</v>
          </cell>
          <cell r="H118">
            <v>3.5856474629999999</v>
          </cell>
          <cell r="I118">
            <v>3.4527571309999998</v>
          </cell>
          <cell r="J118">
            <v>3.3271010190000001</v>
          </cell>
          <cell r="K118">
            <v>3.2069332080000001</v>
          </cell>
          <cell r="L118">
            <v>3.0916885860000001</v>
          </cell>
          <cell r="M118">
            <v>2.9817605359999999</v>
          </cell>
          <cell r="N118">
            <v>2.8768919689999999</v>
          </cell>
          <cell r="O118">
            <v>2.7766210880000002</v>
          </cell>
          <cell r="P118">
            <v>2.6804555479999999</v>
          </cell>
          <cell r="Q118">
            <v>2.5879823219999998</v>
          </cell>
          <cell r="R118">
            <v>2.4988875350000002</v>
          </cell>
          <cell r="S118">
            <v>2.4129753819999999</v>
          </cell>
          <cell r="T118">
            <v>2.3301761619999999</v>
          </cell>
          <cell r="U118">
            <v>2.250520796</v>
          </cell>
          <cell r="V118">
            <v>2.1739867030000002</v>
          </cell>
          <cell r="W118">
            <v>2.1002394440000001</v>
          </cell>
          <cell r="X118">
            <v>2.029340103</v>
          </cell>
          <cell r="Y118">
            <v>1.961426653</v>
          </cell>
          <cell r="Z118">
            <v>1.8965608030000001</v>
          </cell>
          <cell r="AA118">
            <v>1.8346941699999999</v>
          </cell>
          <cell r="AB118">
            <v>1.775685062</v>
          </cell>
          <cell r="AC118">
            <v>1.7193299959999999</v>
          </cell>
          <cell r="AD118">
            <v>1.665391034</v>
          </cell>
          <cell r="AE118">
            <v>1.613616787</v>
          </cell>
          <cell r="AF118">
            <v>1.5637551409999999</v>
          </cell>
          <cell r="AG118">
            <v>1.515563427</v>
          </cell>
          <cell r="AH118">
            <v>1.468815483</v>
          </cell>
          <cell r="AI118">
            <v>1.4233095339999999</v>
          </cell>
          <cell r="AJ118">
            <v>1.3788759370000001</v>
          </cell>
          <cell r="AK118">
            <v>1.335388917</v>
          </cell>
          <cell r="AL118">
            <v>1.2927713750000001</v>
          </cell>
          <cell r="AM118">
            <v>1.2509926499999999</v>
          </cell>
          <cell r="AN118">
            <v>1.210061455</v>
          </cell>
          <cell r="AO118">
            <v>1.170016513</v>
          </cell>
        </row>
        <row r="205">
          <cell r="E205" t="str">
            <v>YG_toe_2</v>
          </cell>
          <cell r="F205">
            <v>141.453406</v>
          </cell>
          <cell r="G205">
            <v>144.19496480000001</v>
          </cell>
          <cell r="H205">
            <v>146.50662460000001</v>
          </cell>
          <cell r="I205">
            <v>148.68272759999999</v>
          </cell>
          <cell r="J205">
            <v>150.8989239</v>
          </cell>
          <cell r="K205">
            <v>153.18866980000001</v>
          </cell>
          <cell r="L205">
            <v>155.53444920000001</v>
          </cell>
          <cell r="M205">
            <v>156.1766427</v>
          </cell>
          <cell r="N205">
            <v>156.78356679999999</v>
          </cell>
          <cell r="O205">
            <v>157.8041393</v>
          </cell>
          <cell r="P205">
            <v>158.73146399999999</v>
          </cell>
          <cell r="Q205">
            <v>159.57483010000001</v>
          </cell>
          <cell r="R205">
            <v>160.32141229999999</v>
          </cell>
          <cell r="S205">
            <v>160.9518703</v>
          </cell>
          <cell r="T205">
            <v>161.60007820000001</v>
          </cell>
          <cell r="U205">
            <v>162.3348359</v>
          </cell>
          <cell r="V205">
            <v>163.26740960000001</v>
          </cell>
          <cell r="W205">
            <v>164.33238879999999</v>
          </cell>
          <cell r="X205">
            <v>165.54566399999999</v>
          </cell>
          <cell r="Y205">
            <v>166.9191414</v>
          </cell>
          <cell r="Z205">
            <v>168.4704227</v>
          </cell>
          <cell r="AA205">
            <v>170.22138390000001</v>
          </cell>
          <cell r="AB205">
            <v>172.2006815</v>
          </cell>
          <cell r="AC205">
            <v>174.41957009999999</v>
          </cell>
          <cell r="AD205">
            <v>176.87869180000001</v>
          </cell>
          <cell r="AE205">
            <v>179.58371529999999</v>
          </cell>
          <cell r="AF205">
            <v>182.65372339999999</v>
          </cell>
          <cell r="AG205">
            <v>186.07000059999999</v>
          </cell>
          <cell r="AH205">
            <v>189.84905040000001</v>
          </cell>
          <cell r="AI205">
            <v>193.97347600000001</v>
          </cell>
          <cell r="AJ205">
            <v>198.4236085</v>
          </cell>
          <cell r="AK205">
            <v>203.2192608</v>
          </cell>
          <cell r="AL205">
            <v>208.4277701</v>
          </cell>
          <cell r="AM205">
            <v>214.16133669999999</v>
          </cell>
          <cell r="AN205">
            <v>220.6416681</v>
          </cell>
          <cell r="AO205">
            <v>228.35726439999999</v>
          </cell>
        </row>
        <row r="206">
          <cell r="E206" t="str">
            <v>YG_toe_ccoa_2</v>
          </cell>
          <cell r="F206">
            <v>2.2569215460000001</v>
          </cell>
          <cell r="G206">
            <v>1.6293367780000001</v>
          </cell>
          <cell r="H206">
            <v>1.112479759</v>
          </cell>
          <cell r="I206">
            <v>0.69877456189999998</v>
          </cell>
          <cell r="J206">
            <v>0.36958686699999999</v>
          </cell>
          <cell r="K206">
            <v>0.1051645298</v>
          </cell>
          <cell r="L206">
            <v>-0.1095072315</v>
          </cell>
          <cell r="M206">
            <v>-0.30846989460000002</v>
          </cell>
          <cell r="N206">
            <v>-0.47670604290000002</v>
          </cell>
          <cell r="O206">
            <v>-0.62961136289999997</v>
          </cell>
          <cell r="P206">
            <v>-0.76265889529999997</v>
          </cell>
          <cell r="Q206">
            <v>-0.87979199220000004</v>
          </cell>
          <cell r="R206">
            <v>-0.98165325319999996</v>
          </cell>
          <cell r="S206">
            <v>-1.069106254</v>
          </cell>
          <cell r="T206">
            <v>-1.146057439</v>
          </cell>
          <cell r="U206">
            <v>-1.215447086</v>
          </cell>
          <cell r="V206">
            <v>-1.2823829790000001</v>
          </cell>
          <cell r="W206">
            <v>-1.34574518</v>
          </cell>
          <cell r="X206">
            <v>-1.4067046700000001</v>
          </cell>
          <cell r="Y206">
            <v>-1.4662566699999999</v>
          </cell>
          <cell r="Z206">
            <v>-1.5253855700000001</v>
          </cell>
          <cell r="AA206">
            <v>-1.584977936</v>
          </cell>
          <cell r="AB206">
            <v>-1.6460174750000001</v>
          </cell>
          <cell r="AC206">
            <v>-1.7090392080000001</v>
          </cell>
          <cell r="AD206">
            <v>-1.7741492679999999</v>
          </cell>
          <cell r="AE206">
            <v>-1.841535119</v>
          </cell>
          <cell r="AF206">
            <v>-1.9095408659999999</v>
          </cell>
          <cell r="AG206">
            <v>-1.9809449029999999</v>
          </cell>
          <cell r="AH206">
            <v>-2.0560984019999999</v>
          </cell>
          <cell r="AI206">
            <v>-2.1341917760000002</v>
          </cell>
          <cell r="AJ206">
            <v>-2.2141089620000001</v>
          </cell>
          <cell r="AK206">
            <v>-2.2951811700000002</v>
          </cell>
          <cell r="AL206">
            <v>-2.377134334</v>
          </cell>
          <cell r="AM206">
            <v>-2.4596251370000002</v>
          </cell>
          <cell r="AN206">
            <v>-2.5422314259999998</v>
          </cell>
          <cell r="AO206">
            <v>-2.6243740259999999</v>
          </cell>
        </row>
        <row r="209">
          <cell r="E209" t="str">
            <v>YG_toe_ccoi_2</v>
          </cell>
          <cell r="F209">
            <v>1.20144183</v>
          </cell>
          <cell r="G209">
            <v>0.96352328350000005</v>
          </cell>
          <cell r="H209">
            <v>0.77319126739999999</v>
          </cell>
          <cell r="I209">
            <v>0.620929493</v>
          </cell>
          <cell r="J209">
            <v>0.49914107270000002</v>
          </cell>
          <cell r="K209">
            <v>0.40173377919999997</v>
          </cell>
          <cell r="L209">
            <v>0.32382010410000001</v>
          </cell>
          <cell r="M209">
            <v>0.26104728579999997</v>
          </cell>
          <cell r="N209">
            <v>0.2106497843</v>
          </cell>
          <cell r="O209">
            <v>0.1702250857</v>
          </cell>
          <cell r="P209">
            <v>0.1377565345</v>
          </cell>
          <cell r="Q209">
            <v>0.1116626173</v>
          </cell>
          <cell r="R209">
            <v>9.0680559399999999E-2</v>
          </cell>
          <cell r="S209">
            <v>7.3799566100000005E-2</v>
          </cell>
          <cell r="T209">
            <v>6.0217349099999998E-2</v>
          </cell>
          <cell r="U209">
            <v>4.9287925099999998E-2</v>
          </cell>
          <cell r="V209">
            <v>4.0479196000000002E-2</v>
          </cell>
          <cell r="W209">
            <v>3.3383414600000001E-2</v>
          </cell>
          <cell r="X209">
            <v>2.7660342500000001E-2</v>
          </cell>
          <cell r="Y209">
            <v>2.3039769599999999E-2</v>
          </cell>
          <cell r="Z209">
            <v>1.9305677699999999E-2</v>
          </cell>
          <cell r="AA209">
            <v>1.62851434E-2</v>
          </cell>
          <cell r="AB209">
            <v>1.3840056999999999E-2</v>
          </cell>
          <cell r="AC209">
            <v>1.18594259E-2</v>
          </cell>
          <cell r="AD209">
            <v>1.02537281E-2</v>
          </cell>
          <cell r="AE209">
            <v>8.9512614699999993E-3</v>
          </cell>
          <cell r="AF209">
            <v>7.8998932099999999E-3</v>
          </cell>
          <cell r="AG209">
            <v>7.0501203500000003E-3</v>
          </cell>
          <cell r="AH209">
            <v>6.3643372500000002E-3</v>
          </cell>
          <cell r="AI209">
            <v>5.8111256900000002E-3</v>
          </cell>
          <cell r="AJ209">
            <v>5.3643991999999998E-3</v>
          </cell>
          <cell r="AK209">
            <v>5.00326299E-3</v>
          </cell>
          <cell r="AL209">
            <v>4.7110930400000002E-3</v>
          </cell>
          <cell r="AM209">
            <v>4.4743209000000003E-3</v>
          </cell>
          <cell r="AN209">
            <v>4.2817192900000004E-3</v>
          </cell>
          <cell r="AO209">
            <v>4.1238457299999998E-3</v>
          </cell>
        </row>
        <row r="212">
          <cell r="E212" t="str">
            <v>YG_toe_cfut_2</v>
          </cell>
          <cell r="F212">
            <v>54.253333179999998</v>
          </cell>
          <cell r="G212">
            <v>55.972274159999998</v>
          </cell>
          <cell r="H212">
            <v>57.431411820000001</v>
          </cell>
          <cell r="I212">
            <v>58.719939930000002</v>
          </cell>
          <cell r="J212">
            <v>59.950484469999999</v>
          </cell>
          <cell r="K212">
            <v>61.139687299999999</v>
          </cell>
          <cell r="L212">
            <v>62.271012460000001</v>
          </cell>
          <cell r="M212">
            <v>61.719745439999997</v>
          </cell>
          <cell r="N212">
            <v>60.970179299999998</v>
          </cell>
          <cell r="O212">
            <v>60.021613510000002</v>
          </cell>
          <cell r="P212">
            <v>58.83039754</v>
          </cell>
          <cell r="Q212">
            <v>57.477097610000001</v>
          </cell>
          <cell r="R212">
            <v>56.014023819999998</v>
          </cell>
          <cell r="S212">
            <v>54.487060999999997</v>
          </cell>
          <cell r="T212">
            <v>52.944092060000003</v>
          </cell>
          <cell r="U212">
            <v>51.415627950000001</v>
          </cell>
          <cell r="V212">
            <v>50.292575800000002</v>
          </cell>
          <cell r="W212">
            <v>49.218758039999997</v>
          </cell>
          <cell r="X212">
            <v>48.196794930000003</v>
          </cell>
          <cell r="Y212">
            <v>47.22983258</v>
          </cell>
          <cell r="Z212">
            <v>46.320273460000003</v>
          </cell>
          <cell r="AA212">
            <v>45.470152749999997</v>
          </cell>
          <cell r="AB212">
            <v>44.682137470000001</v>
          </cell>
          <cell r="AC212">
            <v>43.957343119999997</v>
          </cell>
          <cell r="AD212">
            <v>43.295539310000002</v>
          </cell>
          <cell r="AE212">
            <v>42.697069599999999</v>
          </cell>
          <cell r="AF212">
            <v>42.166446860000001</v>
          </cell>
          <cell r="AG212">
            <v>41.709154869999999</v>
          </cell>
          <cell r="AH212">
            <v>41.32793006</v>
          </cell>
          <cell r="AI212">
            <v>41.0212462</v>
          </cell>
          <cell r="AJ212">
            <v>40.786187890000001</v>
          </cell>
          <cell r="AK212">
            <v>40.62269706</v>
          </cell>
          <cell r="AL212">
            <v>40.534039380000003</v>
          </cell>
          <cell r="AM212">
            <v>40.524612349999998</v>
          </cell>
          <cell r="AN212">
            <v>40.600997200000002</v>
          </cell>
          <cell r="AO212">
            <v>40.773354920000003</v>
          </cell>
        </row>
        <row r="215">
          <cell r="E215" t="str">
            <v>YG_toe_cfuh_2</v>
          </cell>
          <cell r="F215">
            <v>5.0036521389999997</v>
          </cell>
          <cell r="G215">
            <v>4.8842815909999997</v>
          </cell>
          <cell r="H215">
            <v>4.775539416</v>
          </cell>
          <cell r="I215">
            <v>4.677943934</v>
          </cell>
          <cell r="J215">
            <v>4.6041814719999996</v>
          </cell>
          <cell r="K215">
            <v>4.5506195900000002</v>
          </cell>
          <cell r="L215">
            <v>4.505190002</v>
          </cell>
          <cell r="M215">
            <v>4.2757917299999999</v>
          </cell>
          <cell r="N215">
            <v>4.0456047999999996</v>
          </cell>
          <cell r="O215">
            <v>3.8213223200000002</v>
          </cell>
          <cell r="P215">
            <v>3.5982891860000001</v>
          </cell>
          <cell r="Q215">
            <v>3.384526208</v>
          </cell>
          <cell r="R215">
            <v>3.1826360299999998</v>
          </cell>
          <cell r="S215">
            <v>2.9937317509999999</v>
          </cell>
          <cell r="T215">
            <v>2.81817333</v>
          </cell>
          <cell r="U215">
            <v>2.6549292539999998</v>
          </cell>
          <cell r="V215">
            <v>2.505729788</v>
          </cell>
          <cell r="W215">
            <v>2.3655789010000001</v>
          </cell>
          <cell r="X215">
            <v>2.2317158500000001</v>
          </cell>
          <cell r="Y215">
            <v>2.1026362110000001</v>
          </cell>
          <cell r="Z215">
            <v>1.977327794</v>
          </cell>
          <cell r="AA215">
            <v>1.855208722</v>
          </cell>
          <cell r="AB215">
            <v>1.735910286</v>
          </cell>
          <cell r="AC215">
            <v>1.6190368129999999</v>
          </cell>
          <cell r="AD215">
            <v>1.5041088629999999</v>
          </cell>
          <cell r="AE215">
            <v>1.3906341099999999</v>
          </cell>
          <cell r="AF215">
            <v>1.278125545</v>
          </cell>
          <cell r="AG215">
            <v>1.16611921</v>
          </cell>
          <cell r="AH215">
            <v>1.054054337</v>
          </cell>
          <cell r="AI215">
            <v>0.94125692039999997</v>
          </cell>
          <cell r="AJ215">
            <v>0.82703508209999999</v>
          </cell>
          <cell r="AK215">
            <v>0.71074325000000005</v>
          </cell>
          <cell r="AL215">
            <v>0.59176101849999996</v>
          </cell>
          <cell r="AM215">
            <v>0.46944196059999999</v>
          </cell>
          <cell r="AN215">
            <v>0.34308008899999998</v>
          </cell>
          <cell r="AO215">
            <v>0.21187094209999999</v>
          </cell>
        </row>
        <row r="217">
          <cell r="E217" t="str">
            <v>YG_toe_cgas_2</v>
          </cell>
          <cell r="F217">
            <v>2.412417311</v>
          </cell>
          <cell r="G217">
            <v>4.2790721859999996</v>
          </cell>
          <cell r="H217">
            <v>5.6825278480000003</v>
          </cell>
          <cell r="I217">
            <v>6.8068460369999997</v>
          </cell>
          <cell r="J217">
            <v>7.7542953969999999</v>
          </cell>
          <cell r="K217">
            <v>8.5509855459999997</v>
          </cell>
          <cell r="L217">
            <v>9.2268407670000006</v>
          </cell>
          <cell r="M217">
            <v>9.6918394269999997</v>
          </cell>
          <cell r="N217">
            <v>10.101990839999999</v>
          </cell>
          <cell r="O217">
            <v>10.47001448</v>
          </cell>
          <cell r="P217">
            <v>10.79345352</v>
          </cell>
          <cell r="Q217">
            <v>11.112473100000001</v>
          </cell>
          <cell r="R217">
            <v>11.412716809999999</v>
          </cell>
          <cell r="S217">
            <v>11.69132609</v>
          </cell>
          <cell r="T217">
            <v>11.95291887</v>
          </cell>
          <cell r="U217">
            <v>12.201154799999999</v>
          </cell>
          <cell r="V217">
            <v>12.38688677</v>
          </cell>
          <cell r="W217">
            <v>12.56383859</v>
          </cell>
          <cell r="X217">
            <v>12.73902539</v>
          </cell>
          <cell r="Y217">
            <v>12.917847419999999</v>
          </cell>
          <cell r="Z217">
            <v>13.105529239999999</v>
          </cell>
          <cell r="AA217">
            <v>13.30735919</v>
          </cell>
          <cell r="AB217">
            <v>13.52862474</v>
          </cell>
          <cell r="AC217">
            <v>13.7730487</v>
          </cell>
          <cell r="AD217">
            <v>14.0460332</v>
          </cell>
          <cell r="AE217">
            <v>14.35466808</v>
          </cell>
          <cell r="AF217">
            <v>14.709380149999999</v>
          </cell>
          <cell r="AG217">
            <v>15.123569850000001</v>
          </cell>
          <cell r="AH217">
            <v>15.61282847</v>
          </cell>
          <cell r="AI217">
            <v>16.197427909999998</v>
          </cell>
          <cell r="AJ217">
            <v>16.90701155</v>
          </cell>
          <cell r="AK217">
            <v>17.78824496</v>
          </cell>
          <cell r="AL217">
            <v>18.916600819999999</v>
          </cell>
          <cell r="AM217">
            <v>20.42010423</v>
          </cell>
          <cell r="AN217">
            <v>22.537426969999999</v>
          </cell>
          <cell r="AO217">
            <v>25.771560149999999</v>
          </cell>
        </row>
        <row r="223">
          <cell r="E223" t="str">
            <v>YG_toe_cele_2</v>
          </cell>
          <cell r="F223">
            <v>49.441948310000001</v>
          </cell>
          <cell r="G223">
            <v>50.03974848</v>
          </cell>
          <cell r="H223">
            <v>50.601939170000001</v>
          </cell>
          <cell r="I223">
            <v>51.236070650000002</v>
          </cell>
          <cell r="J223">
            <v>51.85943485</v>
          </cell>
          <cell r="K223">
            <v>52.532987159999998</v>
          </cell>
          <cell r="L223">
            <v>53.283906350000002</v>
          </cell>
          <cell r="M223">
            <v>54.643511850000003</v>
          </cell>
          <cell r="N223">
            <v>56.179925580000003</v>
          </cell>
          <cell r="O223">
            <v>58.163376499999998</v>
          </cell>
          <cell r="P223">
            <v>60.307424640000001</v>
          </cell>
          <cell r="Q223">
            <v>62.455255350000002</v>
          </cell>
          <cell r="R223">
            <v>64.582781859999997</v>
          </cell>
          <cell r="S223">
            <v>66.647004350000003</v>
          </cell>
          <cell r="T223">
            <v>68.698901449999994</v>
          </cell>
          <cell r="U223">
            <v>70.762530040000001</v>
          </cell>
          <cell r="V223">
            <v>72.733055579999998</v>
          </cell>
          <cell r="W223">
            <v>74.748399770000006</v>
          </cell>
          <cell r="X223">
            <v>76.811360840000006</v>
          </cell>
          <cell r="Y223">
            <v>78.924710840000003</v>
          </cell>
          <cell r="Z223">
            <v>81.097151859999997</v>
          </cell>
          <cell r="AA223">
            <v>83.341896219999995</v>
          </cell>
          <cell r="AB223">
            <v>85.676351710000006</v>
          </cell>
          <cell r="AC223">
            <v>88.10633713</v>
          </cell>
          <cell r="AD223">
            <v>90.629645249999996</v>
          </cell>
          <cell r="AE223">
            <v>93.245638600000007</v>
          </cell>
          <cell r="AF223">
            <v>96.022205560000003</v>
          </cell>
          <cell r="AG223">
            <v>98.947905910000003</v>
          </cell>
          <cell r="AH223">
            <v>102.0220447</v>
          </cell>
          <cell r="AI223">
            <v>105.21771560000001</v>
          </cell>
          <cell r="AJ223">
            <v>108.5002204</v>
          </cell>
          <cell r="AK223">
            <v>111.8507097</v>
          </cell>
          <cell r="AL223">
            <v>115.2624356</v>
          </cell>
          <cell r="AM223">
            <v>118.7201123</v>
          </cell>
          <cell r="AN223">
            <v>122.2053808</v>
          </cell>
          <cell r="AO223">
            <v>125.6989718</v>
          </cell>
        </row>
        <row r="233">
          <cell r="E233" t="str">
            <v>YG_toe_chea_2</v>
          </cell>
          <cell r="F233">
            <v>3.570662408</v>
          </cell>
          <cell r="G233">
            <v>3.6001132029999998</v>
          </cell>
          <cell r="H233">
            <v>3.629181124</v>
          </cell>
          <cell r="I233">
            <v>3.6599007719999999</v>
          </cell>
          <cell r="J233">
            <v>3.6930056850000001</v>
          </cell>
          <cell r="K233">
            <v>3.7298814149999999</v>
          </cell>
          <cell r="L233">
            <v>3.7702960230000002</v>
          </cell>
          <cell r="M233">
            <v>3.775207725</v>
          </cell>
          <cell r="N233">
            <v>3.7704097810000001</v>
          </cell>
          <cell r="O233">
            <v>3.7728337459999999</v>
          </cell>
          <cell r="P233">
            <v>3.7787197990000001</v>
          </cell>
          <cell r="Q233">
            <v>3.7884005790000002</v>
          </cell>
          <cell r="R233">
            <v>3.8009899159999998</v>
          </cell>
          <cell r="S233">
            <v>3.8140296650000001</v>
          </cell>
          <cell r="T233">
            <v>3.8279583650000002</v>
          </cell>
          <cell r="U233">
            <v>3.8432636809999998</v>
          </cell>
          <cell r="V233">
            <v>3.8614448979999998</v>
          </cell>
          <cell r="W233">
            <v>3.8814929999999999</v>
          </cell>
          <cell r="X233">
            <v>3.9040629710000001</v>
          </cell>
          <cell r="Y233">
            <v>3.9297094530000001</v>
          </cell>
          <cell r="Z233">
            <v>3.958890818</v>
          </cell>
          <cell r="AA233">
            <v>3.9919787499999999</v>
          </cell>
          <cell r="AB233">
            <v>4.0293917600000002</v>
          </cell>
          <cell r="AC233">
            <v>4.0712846440000003</v>
          </cell>
          <cell r="AD233">
            <v>4.1176119760000001</v>
          </cell>
          <cell r="AE233">
            <v>4.1683783989999998</v>
          </cell>
          <cell r="AF233">
            <v>4.2240092919999999</v>
          </cell>
          <cell r="AG233">
            <v>4.2850215389999997</v>
          </cell>
          <cell r="AH233">
            <v>4.3513788279999996</v>
          </cell>
          <cell r="AI233">
            <v>4.4223963089999998</v>
          </cell>
          <cell r="AJ233">
            <v>4.4971978840000002</v>
          </cell>
          <cell r="AK233">
            <v>4.57521792</v>
          </cell>
          <cell r="AL233">
            <v>4.6561424929999999</v>
          </cell>
          <cell r="AM233">
            <v>4.7395321490000004</v>
          </cell>
          <cell r="AN233">
            <v>4.8248103459999996</v>
          </cell>
          <cell r="AO233">
            <v>4.9110446789999997</v>
          </cell>
        </row>
        <row r="235">
          <cell r="E235" t="str">
            <v>YG_toe_cbio_2</v>
          </cell>
          <cell r="F235">
            <v>11.10571706</v>
          </cell>
          <cell r="G235">
            <v>11.034267460000001</v>
          </cell>
          <cell r="H235">
            <v>10.966202940000001</v>
          </cell>
          <cell r="I235">
            <v>10.89108835</v>
          </cell>
          <cell r="J235">
            <v>10.869716650000001</v>
          </cell>
          <cell r="K235">
            <v>10.88109607</v>
          </cell>
          <cell r="L235">
            <v>10.914015060000001</v>
          </cell>
          <cell r="M235">
            <v>10.85956082</v>
          </cell>
          <cell r="N235">
            <v>10.80733219</v>
          </cell>
          <cell r="O235">
            <v>10.777427490000001</v>
          </cell>
          <cell r="P235">
            <v>10.742066810000001</v>
          </cell>
          <cell r="Q235">
            <v>10.73795996</v>
          </cell>
          <cell r="R235">
            <v>10.75339782</v>
          </cell>
          <cell r="S235">
            <v>10.78596286</v>
          </cell>
          <cell r="T235">
            <v>10.84177816</v>
          </cell>
          <cell r="U235">
            <v>10.923292200000001</v>
          </cell>
          <cell r="V235">
            <v>10.9993839</v>
          </cell>
          <cell r="W235">
            <v>11.08781196</v>
          </cell>
          <cell r="X235">
            <v>11.191712880000001</v>
          </cell>
          <cell r="Y235">
            <v>11.312396</v>
          </cell>
          <cell r="Z235">
            <v>11.45111513</v>
          </cell>
          <cell r="AA235">
            <v>11.60919021</v>
          </cell>
          <cell r="AB235">
            <v>11.788198700000001</v>
          </cell>
          <cell r="AC235">
            <v>11.988717790000001</v>
          </cell>
          <cell r="AD235">
            <v>12.21047894</v>
          </cell>
          <cell r="AE235">
            <v>12.453263099999999</v>
          </cell>
          <cell r="AF235">
            <v>12.72241577</v>
          </cell>
          <cell r="AG235">
            <v>13.01678063</v>
          </cell>
          <cell r="AH235">
            <v>13.33613278</v>
          </cell>
          <cell r="AI235">
            <v>13.67792611</v>
          </cell>
          <cell r="AJ235">
            <v>14.03877831</v>
          </cell>
          <cell r="AK235">
            <v>14.41657975</v>
          </cell>
          <cell r="AL235">
            <v>14.81039191</v>
          </cell>
          <cell r="AM235">
            <v>15.218891129999999</v>
          </cell>
          <cell r="AN235">
            <v>15.6407393</v>
          </cell>
          <cell r="AO235">
            <v>16.075001530000002</v>
          </cell>
        </row>
        <row r="238">
          <cell r="E238" t="str">
            <v>YG_toe_cote_2</v>
          </cell>
          <cell r="F238">
            <v>12.20731217</v>
          </cell>
          <cell r="G238">
            <v>11.792347680000001</v>
          </cell>
          <cell r="H238">
            <v>11.534151230000001</v>
          </cell>
          <cell r="I238">
            <v>11.3712339</v>
          </cell>
          <cell r="J238">
            <v>11.299077459999999</v>
          </cell>
          <cell r="K238">
            <v>11.29651441</v>
          </cell>
          <cell r="L238">
            <v>11.34887567</v>
          </cell>
          <cell r="M238">
            <v>11.258408279999999</v>
          </cell>
          <cell r="N238">
            <v>11.1741806</v>
          </cell>
          <cell r="O238">
            <v>11.236937510000001</v>
          </cell>
          <cell r="P238">
            <v>11.30601487</v>
          </cell>
          <cell r="Q238">
            <v>11.38724672</v>
          </cell>
          <cell r="R238">
            <v>11.46583875</v>
          </cell>
          <cell r="S238">
            <v>11.528061279999999</v>
          </cell>
          <cell r="T238">
            <v>11.602096019999999</v>
          </cell>
          <cell r="U238">
            <v>11.70019709</v>
          </cell>
          <cell r="V238">
            <v>11.73023661</v>
          </cell>
          <cell r="W238">
            <v>11.778870299999999</v>
          </cell>
          <cell r="X238">
            <v>11.85003547</v>
          </cell>
          <cell r="Y238">
            <v>11.945225819999999</v>
          </cell>
          <cell r="Z238">
            <v>12.066214309999999</v>
          </cell>
          <cell r="AA238">
            <v>12.21429084</v>
          </cell>
          <cell r="AB238">
            <v>12.392244249999999</v>
          </cell>
          <cell r="AC238">
            <v>12.600981669999999</v>
          </cell>
          <cell r="AD238">
            <v>12.839169760000001</v>
          </cell>
          <cell r="AE238">
            <v>13.10664732</v>
          </cell>
          <cell r="AF238">
            <v>13.432781159999999</v>
          </cell>
          <cell r="AG238">
            <v>13.79534338</v>
          </cell>
          <cell r="AH238">
            <v>14.19441533</v>
          </cell>
          <cell r="AI238">
            <v>14.623887590000001</v>
          </cell>
          <cell r="AJ238">
            <v>15.075921989999999</v>
          </cell>
          <cell r="AK238">
            <v>15.54524601</v>
          </cell>
          <cell r="AL238">
            <v>16.028822120000001</v>
          </cell>
          <cell r="AM238">
            <v>16.523793399999999</v>
          </cell>
          <cell r="AN238">
            <v>17.027183140000002</v>
          </cell>
          <cell r="AO238">
            <v>17.535710559999998</v>
          </cell>
        </row>
        <row r="241">
          <cell r="E241" t="str">
            <v>YG_toe_0</v>
          </cell>
          <cell r="F241">
            <v>141.453406</v>
          </cell>
          <cell r="G241">
            <v>144.19496480000001</v>
          </cell>
          <cell r="H241">
            <v>146.50662460000001</v>
          </cell>
          <cell r="I241">
            <v>148.68272759999999</v>
          </cell>
          <cell r="J241">
            <v>150.8989239</v>
          </cell>
          <cell r="K241">
            <v>153.18866980000001</v>
          </cell>
          <cell r="L241">
            <v>155.48599490000001</v>
          </cell>
          <cell r="M241">
            <v>157.74444500000001</v>
          </cell>
          <cell r="N241">
            <v>159.95146600000001</v>
          </cell>
          <cell r="O241">
            <v>162.1169056</v>
          </cell>
          <cell r="P241">
            <v>164.26176100000001</v>
          </cell>
          <cell r="Q241">
            <v>166.40513730000001</v>
          </cell>
          <cell r="R241">
            <v>168.48972560000001</v>
          </cell>
          <cell r="S241">
            <v>170.36513830000001</v>
          </cell>
          <cell r="T241">
            <v>172.1444046</v>
          </cell>
          <cell r="U241">
            <v>173.92500759999999</v>
          </cell>
          <cell r="V241">
            <v>175.17572530000001</v>
          </cell>
          <cell r="W241">
            <v>176.56640139999999</v>
          </cell>
          <cell r="X241">
            <v>178.131463</v>
          </cell>
          <cell r="Y241">
            <v>179.87420270000001</v>
          </cell>
          <cell r="Z241">
            <v>181.79456239999999</v>
          </cell>
          <cell r="AA241">
            <v>183.8898767</v>
          </cell>
          <cell r="AB241">
            <v>186.16718030000001</v>
          </cell>
          <cell r="AC241">
            <v>188.6292693</v>
          </cell>
          <cell r="AD241">
            <v>191.2708854</v>
          </cell>
          <cell r="AE241">
            <v>194.0909139</v>
          </cell>
          <cell r="AF241">
            <v>197.09152549999999</v>
          </cell>
          <cell r="AG241">
            <v>200.2847122</v>
          </cell>
          <cell r="AH241">
            <v>203.66962229999999</v>
          </cell>
          <cell r="AI241">
            <v>207.21364349999999</v>
          </cell>
          <cell r="AJ241">
            <v>210.8723938</v>
          </cell>
          <cell r="AK241">
            <v>214.60928999999999</v>
          </cell>
          <cell r="AL241">
            <v>218.39782270000001</v>
          </cell>
          <cell r="AM241">
            <v>222.2159786</v>
          </cell>
          <cell r="AN241">
            <v>226.04388800000001</v>
          </cell>
          <cell r="AO241">
            <v>229.8624691</v>
          </cell>
        </row>
        <row r="242">
          <cell r="E242" t="str">
            <v>YG_toe_ccoa_0</v>
          </cell>
          <cell r="F242">
            <v>2.2569215460000001</v>
          </cell>
          <cell r="G242">
            <v>1.6293367780000001</v>
          </cell>
          <cell r="H242">
            <v>1.112479759</v>
          </cell>
          <cell r="I242">
            <v>0.69877456189999998</v>
          </cell>
          <cell r="J242">
            <v>0.36958686699999999</v>
          </cell>
          <cell r="K242">
            <v>0.1051645298</v>
          </cell>
          <cell r="L242">
            <v>-0.1074581508</v>
          </cell>
          <cell r="M242">
            <v>-0.27992831699999998</v>
          </cell>
          <cell r="N242">
            <v>-0.42129269429999999</v>
          </cell>
          <cell r="O242">
            <v>-0.53862927370000002</v>
          </cell>
          <cell r="P242">
            <v>-0.63747738030000001</v>
          </cell>
          <cell r="Q242">
            <v>-0.72195676580000001</v>
          </cell>
          <cell r="R242">
            <v>-0.79419245019999996</v>
          </cell>
          <cell r="S242">
            <v>-0.85443486020000003</v>
          </cell>
          <cell r="T242">
            <v>-0.90540864710000002</v>
          </cell>
          <cell r="U242">
            <v>-0.94961449860000002</v>
          </cell>
          <cell r="V242">
            <v>-0.99883374010000003</v>
          </cell>
          <cell r="W242">
            <v>-1.049189581</v>
          </cell>
          <cell r="X242">
            <v>-1.100992752</v>
          </cell>
          <cell r="Y242">
            <v>-1.154552142</v>
          </cell>
          <cell r="Z242">
            <v>-1.210273159</v>
          </cell>
          <cell r="AA242">
            <v>-1.268504369</v>
          </cell>
          <cell r="AB242">
            <v>-1.329867965</v>
          </cell>
          <cell r="AC242">
            <v>-1.3947367239999999</v>
          </cell>
          <cell r="AD242">
            <v>-1.463087062</v>
          </cell>
          <cell r="AE242">
            <v>-1.5350437050000001</v>
          </cell>
          <cell r="AF242">
            <v>-1.6108768760000001</v>
          </cell>
          <cell r="AG242">
            <v>-1.6912185150000001</v>
          </cell>
          <cell r="AH242">
            <v>-1.77625543</v>
          </cell>
          <cell r="AI242">
            <v>-1.8650769270000001</v>
          </cell>
          <cell r="AJ242">
            <v>-1.9563748430000001</v>
          </cell>
          <cell r="AK242">
            <v>-2.0491920650000002</v>
          </cell>
          <cell r="AL242">
            <v>-2.1429759430000002</v>
          </cell>
          <cell r="AM242">
            <v>-2.2373272200000001</v>
          </cell>
          <cell r="AN242">
            <v>-2.3318759930000001</v>
          </cell>
          <cell r="AO242">
            <v>-2.4262243460000001</v>
          </cell>
        </row>
        <row r="245">
          <cell r="E245" t="str">
            <v>YG_toe_ccoi_0</v>
          </cell>
          <cell r="F245">
            <v>1.20144183</v>
          </cell>
          <cell r="G245">
            <v>0.96352328350000005</v>
          </cell>
          <cell r="H245">
            <v>0.77319126739999999</v>
          </cell>
          <cell r="I245">
            <v>0.620929493</v>
          </cell>
          <cell r="J245">
            <v>0.49914107270000002</v>
          </cell>
          <cell r="K245">
            <v>0.40173377919999997</v>
          </cell>
          <cell r="L245">
            <v>0.32380445060000002</v>
          </cell>
          <cell r="M245">
            <v>0.2614484769</v>
          </cell>
          <cell r="N245">
            <v>0.21154211619999999</v>
          </cell>
          <cell r="O245">
            <v>0.1715868901</v>
          </cell>
          <cell r="P245">
            <v>0.13958562159999999</v>
          </cell>
          <cell r="Q245">
            <v>0.11394366879999999</v>
          </cell>
          <cell r="R245">
            <v>9.3385274000000004E-2</v>
          </cell>
          <cell r="S245">
            <v>7.6886934599999998E-2</v>
          </cell>
          <cell r="T245">
            <v>6.3643599999999995E-2</v>
          </cell>
          <cell r="U245">
            <v>5.3015495900000001E-2</v>
          </cell>
          <cell r="V245">
            <v>4.4469237600000003E-2</v>
          </cell>
          <cell r="W245">
            <v>3.7611595499999997E-2</v>
          </cell>
          <cell r="X245">
            <v>3.2119911600000002E-2</v>
          </cell>
          <cell r="Y245">
            <v>2.7726866100000001E-2</v>
          </cell>
          <cell r="Z245">
            <v>2.42170271E-2</v>
          </cell>
          <cell r="AA245">
            <v>2.1417484600000002E-2</v>
          </cell>
          <cell r="AB245">
            <v>1.9190221600000001E-2</v>
          </cell>
          <cell r="AC245">
            <v>1.7424522500000001E-2</v>
          </cell>
          <cell r="AD245">
            <v>1.60311645E-2</v>
          </cell>
          <cell r="AE245">
            <v>1.4938873199999999E-2</v>
          </cell>
          <cell r="AF245">
            <v>1.40908224E-2</v>
          </cell>
          <cell r="AG245">
            <v>1.3442225299999999E-2</v>
          </cell>
          <cell r="AH245">
            <v>1.29567034E-2</v>
          </cell>
          <cell r="AI245">
            <v>1.2603322599999999E-2</v>
          </cell>
          <cell r="AJ245">
            <v>1.23560795E-2</v>
          </cell>
          <cell r="AK245">
            <v>1.2193989400000001E-2</v>
          </cell>
          <cell r="AL245">
            <v>1.21003827E-2</v>
          </cell>
          <cell r="AM245">
            <v>1.2061823399999999E-2</v>
          </cell>
          <cell r="AN245">
            <v>1.2067339200000001E-2</v>
          </cell>
          <cell r="AO245">
            <v>1.21078568E-2</v>
          </cell>
        </row>
        <row r="248">
          <cell r="E248" t="str">
            <v>YG_toe_cfut_0</v>
          </cell>
          <cell r="F248">
            <v>54.253333179999998</v>
          </cell>
          <cell r="G248">
            <v>55.972274159999998</v>
          </cell>
          <cell r="H248">
            <v>57.431411820000001</v>
          </cell>
          <cell r="I248">
            <v>58.719939930000002</v>
          </cell>
          <cell r="J248">
            <v>59.950484469999999</v>
          </cell>
          <cell r="K248">
            <v>61.139687299999999</v>
          </cell>
          <cell r="L248">
            <v>62.224767589999999</v>
          </cell>
          <cell r="M248">
            <v>63.18394421</v>
          </cell>
          <cell r="N248">
            <v>64.002968199999998</v>
          </cell>
          <cell r="O248">
            <v>64.677183319999997</v>
          </cell>
          <cell r="P248">
            <v>65.211417350000005</v>
          </cell>
          <cell r="Q248">
            <v>65.622332720000003</v>
          </cell>
          <cell r="R248">
            <v>65.897727950000004</v>
          </cell>
          <cell r="S248">
            <v>65.984578929999998</v>
          </cell>
          <cell r="T248">
            <v>65.978550679999998</v>
          </cell>
          <cell r="U248">
            <v>65.960355669999998</v>
          </cell>
          <cell r="V248">
            <v>65.427549549999995</v>
          </cell>
          <cell r="W248">
            <v>64.963405730000005</v>
          </cell>
          <cell r="X248">
            <v>64.582268200000001</v>
          </cell>
          <cell r="Y248">
            <v>64.285072810000003</v>
          </cell>
          <cell r="Z248">
            <v>64.068695430000005</v>
          </cell>
          <cell r="AA248">
            <v>63.928546709999999</v>
          </cell>
          <cell r="AB248">
            <v>63.861096379999999</v>
          </cell>
          <cell r="AC248">
            <v>63.862703920000001</v>
          </cell>
          <cell r="AD248">
            <v>63.92906833</v>
          </cell>
          <cell r="AE248">
            <v>64.056706410000004</v>
          </cell>
          <cell r="AF248">
            <v>64.242996000000005</v>
          </cell>
          <cell r="AG248">
            <v>64.486979439999999</v>
          </cell>
          <cell r="AH248">
            <v>64.786627890000005</v>
          </cell>
          <cell r="AI248">
            <v>65.13614638</v>
          </cell>
          <cell r="AJ248">
            <v>65.527927640000001</v>
          </cell>
          <cell r="AK248">
            <v>65.955086589999993</v>
          </cell>
          <cell r="AL248">
            <v>66.412025200000002</v>
          </cell>
          <cell r="AM248">
            <v>66.893865450000007</v>
          </cell>
          <cell r="AN248">
            <v>67.396127280000002</v>
          </cell>
          <cell r="AO248">
            <v>67.914544539999994</v>
          </cell>
        </row>
        <row r="251">
          <cell r="E251" t="str">
            <v>YG_toe_cfuh_0</v>
          </cell>
          <cell r="F251">
            <v>5.0036521389999997</v>
          </cell>
          <cell r="G251">
            <v>4.8842815909999997</v>
          </cell>
          <cell r="H251">
            <v>4.775539416</v>
          </cell>
          <cell r="I251">
            <v>4.677943934</v>
          </cell>
          <cell r="J251">
            <v>4.6041814719999996</v>
          </cell>
          <cell r="K251">
            <v>4.5506195900000002</v>
          </cell>
          <cell r="L251">
            <v>4.4858389059999997</v>
          </cell>
          <cell r="M251">
            <v>4.418668244</v>
          </cell>
          <cell r="N251">
            <v>4.3537407589999999</v>
          </cell>
          <cell r="O251">
            <v>4.2935448149999997</v>
          </cell>
          <cell r="P251">
            <v>4.2390410599999999</v>
          </cell>
          <cell r="Q251">
            <v>4.1904088589999997</v>
          </cell>
          <cell r="R251">
            <v>4.1469029099999997</v>
          </cell>
          <cell r="S251">
            <v>4.1068482780000002</v>
          </cell>
          <cell r="T251">
            <v>4.0700159200000003</v>
          </cell>
          <cell r="U251">
            <v>4.0364212449999997</v>
          </cell>
          <cell r="V251">
            <v>4.0205692749999997</v>
          </cell>
          <cell r="W251">
            <v>4.0172470469999997</v>
          </cell>
          <cell r="X251">
            <v>4.0227608669999997</v>
          </cell>
          <cell r="Y251">
            <v>4.0346004820000001</v>
          </cell>
          <cell r="Z251">
            <v>4.0511854850000004</v>
          </cell>
          <cell r="AA251">
            <v>4.0715449210000001</v>
          </cell>
          <cell r="AB251">
            <v>4.0952181889999997</v>
          </cell>
          <cell r="AC251">
            <v>4.1219497199999999</v>
          </cell>
          <cell r="AD251">
            <v>4.1514955210000002</v>
          </cell>
          <cell r="AE251">
            <v>4.1837486039999998</v>
          </cell>
          <cell r="AF251">
            <v>4.2187061540000004</v>
          </cell>
          <cell r="AG251">
            <v>4.2565394449999996</v>
          </cell>
          <cell r="AH251">
            <v>4.297320837</v>
          </cell>
          <cell r="AI251">
            <v>4.3407741099999999</v>
          </cell>
          <cell r="AJ251">
            <v>4.3863763670000004</v>
          </cell>
          <cell r="AK251">
            <v>4.4336011559999999</v>
          </cell>
          <cell r="AL251">
            <v>4.4819936849999999</v>
          </cell>
          <cell r="AM251">
            <v>4.5311402640000003</v>
          </cell>
          <cell r="AN251">
            <v>4.5806521929999997</v>
          </cell>
          <cell r="AO251">
            <v>4.6301550279999999</v>
          </cell>
        </row>
        <row r="253">
          <cell r="E253" t="str">
            <v>YG_toe_cgas_0</v>
          </cell>
          <cell r="F253">
            <v>2.412417311</v>
          </cell>
          <cell r="G253">
            <v>4.2790721859999996</v>
          </cell>
          <cell r="H253">
            <v>5.6825278480000003</v>
          </cell>
          <cell r="I253">
            <v>6.8068460369999997</v>
          </cell>
          <cell r="J253">
            <v>7.7542953969999999</v>
          </cell>
          <cell r="K253">
            <v>8.5509855459999997</v>
          </cell>
          <cell r="L253">
            <v>9.2121308010000007</v>
          </cell>
          <cell r="M253">
            <v>9.7605969380000008</v>
          </cell>
          <cell r="N253">
            <v>10.220981099999999</v>
          </cell>
          <cell r="O253">
            <v>10.61648383</v>
          </cell>
          <cell r="P253">
            <v>10.965210669999999</v>
          </cell>
          <cell r="Q253">
            <v>11.27983083</v>
          </cell>
          <cell r="R253">
            <v>11.565244849999999</v>
          </cell>
          <cell r="S253">
            <v>11.81944985</v>
          </cell>
          <cell r="T253">
            <v>12.05157709</v>
          </cell>
          <cell r="U253">
            <v>12.26700011</v>
          </cell>
          <cell r="V253">
            <v>12.47833131</v>
          </cell>
          <cell r="W253">
            <v>12.69634991</v>
          </cell>
          <cell r="X253">
            <v>12.916437549999999</v>
          </cell>
          <cell r="Y253">
            <v>13.136383820000001</v>
          </cell>
          <cell r="Z253">
            <v>13.355930430000001</v>
          </cell>
          <cell r="AA253">
            <v>13.57531696</v>
          </cell>
          <cell r="AB253">
            <v>13.79543788</v>
          </cell>
          <cell r="AC253">
            <v>14.017078420000001</v>
          </cell>
          <cell r="AD253">
            <v>14.240575209999999</v>
          </cell>
          <cell r="AE253">
            <v>14.46653665</v>
          </cell>
          <cell r="AF253">
            <v>14.69560506</v>
          </cell>
          <cell r="AG253">
            <v>14.92866736</v>
          </cell>
          <cell r="AH253">
            <v>15.16594175</v>
          </cell>
          <cell r="AI253">
            <v>15.406223730000001</v>
          </cell>
          <cell r="AJ253">
            <v>15.64797583</v>
          </cell>
          <cell r="AK253">
            <v>15.88994185</v>
          </cell>
          <cell r="AL253">
            <v>16.131131419999999</v>
          </cell>
          <cell r="AM253">
            <v>16.370623139999999</v>
          </cell>
          <cell r="AN253">
            <v>16.607555699999999</v>
          </cell>
          <cell r="AO253">
            <v>16.841050129999999</v>
          </cell>
        </row>
        <row r="259">
          <cell r="E259" t="str">
            <v>YG_toe_cele_0</v>
          </cell>
          <cell r="F259">
            <v>49.441948310000001</v>
          </cell>
          <cell r="G259">
            <v>50.03974848</v>
          </cell>
          <cell r="H259">
            <v>50.601939170000001</v>
          </cell>
          <cell r="I259">
            <v>51.236070650000002</v>
          </cell>
          <cell r="J259">
            <v>51.85943485</v>
          </cell>
          <cell r="K259">
            <v>52.532987159999998</v>
          </cell>
          <cell r="L259">
            <v>53.314643359999998</v>
          </cell>
          <cell r="M259">
            <v>54.192996520000001</v>
          </cell>
          <cell r="N259">
            <v>55.171402399999998</v>
          </cell>
          <cell r="O259">
            <v>56.257790870000001</v>
          </cell>
          <cell r="P259">
            <v>57.461597500000003</v>
          </cell>
          <cell r="Q259">
            <v>58.780956940000003</v>
          </cell>
          <cell r="R259">
            <v>60.182804410000003</v>
          </cell>
          <cell r="S259">
            <v>61.600666140000001</v>
          </cell>
          <cell r="T259">
            <v>63.032195190000003</v>
          </cell>
          <cell r="U259">
            <v>64.477995849999999</v>
          </cell>
          <cell r="V259">
            <v>65.90610264</v>
          </cell>
          <cell r="W259">
            <v>67.356967679999997</v>
          </cell>
          <cell r="X259">
            <v>68.848414790000007</v>
          </cell>
          <cell r="Y259">
            <v>70.38605776</v>
          </cell>
          <cell r="Z259">
            <v>71.974528750000005</v>
          </cell>
          <cell r="AA259">
            <v>73.616990680000001</v>
          </cell>
          <cell r="AB259">
            <v>75.32172851</v>
          </cell>
          <cell r="AC259">
            <v>77.094305349999999</v>
          </cell>
          <cell r="AD259">
            <v>78.935694690000005</v>
          </cell>
          <cell r="AE259">
            <v>80.848366339999998</v>
          </cell>
          <cell r="AF259">
            <v>82.835988810000003</v>
          </cell>
          <cell r="AG259">
            <v>84.90701138</v>
          </cell>
          <cell r="AH259">
            <v>87.062217360000005</v>
          </cell>
          <cell r="AI259">
            <v>89.283754740000006</v>
          </cell>
          <cell r="AJ259">
            <v>91.546939309999999</v>
          </cell>
          <cell r="AK259">
            <v>93.831524479999999</v>
          </cell>
          <cell r="AL259">
            <v>96.123191120000001</v>
          </cell>
          <cell r="AM259">
            <v>98.410475869999999</v>
          </cell>
          <cell r="AN259">
            <v>100.68337959999999</v>
          </cell>
          <cell r="AO259">
            <v>102.93259689999999</v>
          </cell>
        </row>
        <row r="269">
          <cell r="E269" t="str">
            <v>YG_toe_chea_0</v>
          </cell>
          <cell r="F269">
            <v>3.570662408</v>
          </cell>
          <cell r="G269">
            <v>3.6001132029999998</v>
          </cell>
          <cell r="H269">
            <v>3.629181124</v>
          </cell>
          <cell r="I269">
            <v>3.6599007719999999</v>
          </cell>
          <cell r="J269">
            <v>3.6930056850000001</v>
          </cell>
          <cell r="K269">
            <v>3.7298814149999999</v>
          </cell>
          <cell r="L269">
            <v>3.766782794</v>
          </cell>
          <cell r="M269">
            <v>3.8014925270000002</v>
          </cell>
          <cell r="N269">
            <v>3.8332616530000001</v>
          </cell>
          <cell r="O269">
            <v>3.862224436</v>
          </cell>
          <cell r="P269">
            <v>3.8889850300000002</v>
          </cell>
          <cell r="Q269">
            <v>3.9141623160000001</v>
          </cell>
          <cell r="R269">
            <v>3.9374097379999999</v>
          </cell>
          <cell r="S269">
            <v>3.957071027</v>
          </cell>
          <cell r="T269">
            <v>3.9747766900000001</v>
          </cell>
          <cell r="U269">
            <v>3.992359467</v>
          </cell>
          <cell r="V269">
            <v>4.0100079729999996</v>
          </cell>
          <cell r="W269">
            <v>4.0334360980000001</v>
          </cell>
          <cell r="X269">
            <v>4.0635904089999997</v>
          </cell>
          <cell r="Y269">
            <v>4.1000636520000002</v>
          </cell>
          <cell r="Z269">
            <v>4.1422795130000001</v>
          </cell>
          <cell r="AA269">
            <v>4.189800022</v>
          </cell>
          <cell r="AB269">
            <v>4.2425089250000001</v>
          </cell>
          <cell r="AC269">
            <v>4.3002995589999999</v>
          </cell>
          <cell r="AD269">
            <v>4.3629459749999997</v>
          </cell>
          <cell r="AE269">
            <v>4.4302788529999999</v>
          </cell>
          <cell r="AF269">
            <v>4.502218644</v>
          </cell>
          <cell r="AG269">
            <v>4.5789341959999996</v>
          </cell>
          <cell r="AH269">
            <v>4.6603695490000003</v>
          </cell>
          <cell r="AI269">
            <v>4.745776158</v>
          </cell>
          <cell r="AJ269">
            <v>4.8340979529999997</v>
          </cell>
          <cell r="AK269">
            <v>4.9244136589999998</v>
          </cell>
          <cell r="AL269">
            <v>5.0160320970000001</v>
          </cell>
          <cell r="AM269">
            <v>5.1083866130000004</v>
          </cell>
          <cell r="AN269">
            <v>5.2009753869999997</v>
          </cell>
          <cell r="AO269">
            <v>5.2933281499999998</v>
          </cell>
        </row>
        <row r="271">
          <cell r="E271" t="str">
            <v>YG_toe_cbio_0</v>
          </cell>
          <cell r="F271">
            <v>11.10571706</v>
          </cell>
          <cell r="G271">
            <v>11.034267460000001</v>
          </cell>
          <cell r="H271">
            <v>10.966202940000001</v>
          </cell>
          <cell r="I271">
            <v>10.89108835</v>
          </cell>
          <cell r="J271">
            <v>10.869716650000001</v>
          </cell>
          <cell r="K271">
            <v>10.88109607</v>
          </cell>
          <cell r="L271">
            <v>10.915424290000001</v>
          </cell>
          <cell r="M271">
            <v>10.96360853</v>
          </cell>
          <cell r="N271">
            <v>11.020228810000001</v>
          </cell>
          <cell r="O271">
            <v>11.08310174</v>
          </cell>
          <cell r="P271">
            <v>11.151448759999999</v>
          </cell>
          <cell r="Q271">
            <v>11.22469654</v>
          </cell>
          <cell r="R271">
            <v>11.30021232</v>
          </cell>
          <cell r="S271">
            <v>11.37270447</v>
          </cell>
          <cell r="T271">
            <v>11.44341197</v>
          </cell>
          <cell r="U271">
            <v>11.514179370000001</v>
          </cell>
          <cell r="V271">
            <v>11.583528530000001</v>
          </cell>
          <cell r="W271">
            <v>11.65731602</v>
          </cell>
          <cell r="X271">
            <v>11.73842694</v>
          </cell>
          <cell r="Y271">
            <v>11.827705330000001</v>
          </cell>
          <cell r="Z271">
            <v>11.925403149999999</v>
          </cell>
          <cell r="AA271">
            <v>12.03148747</v>
          </cell>
          <cell r="AB271">
            <v>12.146359329999999</v>
          </cell>
          <cell r="AC271">
            <v>12.270166229999999</v>
          </cell>
          <cell r="AD271">
            <v>12.40260176</v>
          </cell>
          <cell r="AE271">
            <v>12.54353109</v>
          </cell>
          <cell r="AF271">
            <v>12.6930183</v>
          </cell>
          <cell r="AG271">
            <v>12.85167963</v>
          </cell>
          <cell r="AH271">
            <v>13.01949196</v>
          </cell>
          <cell r="AI271">
            <v>13.19471482</v>
          </cell>
          <cell r="AJ271">
            <v>13.374949600000001</v>
          </cell>
          <cell r="AK271">
            <v>13.558240870000001</v>
          </cell>
          <cell r="AL271">
            <v>13.74323221</v>
          </cell>
          <cell r="AM271">
            <v>13.92885184</v>
          </cell>
          <cell r="AN271">
            <v>14.11415482</v>
          </cell>
          <cell r="AO271">
            <v>14.29824172</v>
          </cell>
        </row>
        <row r="274">
          <cell r="E274" t="str">
            <v>YG_toe_cote_0</v>
          </cell>
          <cell r="F274">
            <v>12.20731217</v>
          </cell>
          <cell r="G274">
            <v>11.792347680000001</v>
          </cell>
          <cell r="H274">
            <v>11.534151230000001</v>
          </cell>
          <cell r="I274">
            <v>11.3712339</v>
          </cell>
          <cell r="J274">
            <v>11.299077459999999</v>
          </cell>
          <cell r="K274">
            <v>11.29651441</v>
          </cell>
          <cell r="L274">
            <v>11.350060879999999</v>
          </cell>
          <cell r="M274">
            <v>11.44161787</v>
          </cell>
          <cell r="N274">
            <v>11.55863368</v>
          </cell>
          <cell r="O274">
            <v>11.693619</v>
          </cell>
          <cell r="P274">
            <v>11.841952360000001</v>
          </cell>
          <cell r="Q274">
            <v>12.000762229999999</v>
          </cell>
          <cell r="R274">
            <v>12.1602306</v>
          </cell>
          <cell r="S274">
            <v>12.301367490000001</v>
          </cell>
          <cell r="T274">
            <v>12.435642100000001</v>
          </cell>
          <cell r="U274">
            <v>12.573294880000001</v>
          </cell>
          <cell r="V274">
            <v>12.704000519999999</v>
          </cell>
          <cell r="W274">
            <v>12.8532569</v>
          </cell>
          <cell r="X274">
            <v>13.028437070000001</v>
          </cell>
          <cell r="Y274">
            <v>13.231144130000001</v>
          </cell>
          <cell r="Z274">
            <v>13.46259573</v>
          </cell>
          <cell r="AA274">
            <v>13.72327684</v>
          </cell>
          <cell r="AB274">
            <v>14.01550885</v>
          </cell>
          <cell r="AC274">
            <v>14.340078330000001</v>
          </cell>
          <cell r="AD274">
            <v>14.69555982</v>
          </cell>
          <cell r="AE274">
            <v>15.081850790000001</v>
          </cell>
          <cell r="AF274">
            <v>15.499778559999999</v>
          </cell>
          <cell r="AG274">
            <v>15.95267701</v>
          </cell>
          <cell r="AH274">
            <v>16.44095167</v>
          </cell>
          <cell r="AI274">
            <v>16.95872713</v>
          </cell>
          <cell r="AJ274">
            <v>17.498145860000001</v>
          </cell>
          <cell r="AK274">
            <v>18.05347948</v>
          </cell>
          <cell r="AL274">
            <v>18.62109251</v>
          </cell>
          <cell r="AM274">
            <v>19.19790081</v>
          </cell>
          <cell r="AN274">
            <v>19.78085171</v>
          </cell>
          <cell r="AO274">
            <v>20.366669160000001</v>
          </cell>
        </row>
        <row r="281">
          <cell r="F281">
            <v>150.41822110000001</v>
          </cell>
          <cell r="G281">
            <v>150.70981760000001</v>
          </cell>
          <cell r="H281">
            <v>150.83899829999999</v>
          </cell>
          <cell r="I281">
            <v>150.9004545</v>
          </cell>
          <cell r="J281">
            <v>151.21163780000001</v>
          </cell>
          <cell r="K281">
            <v>151.77916880000001</v>
          </cell>
          <cell r="L281">
            <v>152.532985</v>
          </cell>
          <cell r="M281">
            <v>152.185982</v>
          </cell>
          <cell r="N281">
            <v>151.38449829999999</v>
          </cell>
          <cell r="O281">
            <v>150.58492430000001</v>
          </cell>
          <cell r="P281">
            <v>149.54953040000001</v>
          </cell>
          <cell r="Q281">
            <v>148.48550520000001</v>
          </cell>
          <cell r="R281">
            <v>147.44444340000001</v>
          </cell>
          <cell r="S281">
            <v>146.45394440000001</v>
          </cell>
          <cell r="T281">
            <v>145.61312789999999</v>
          </cell>
          <cell r="U281">
            <v>144.976821</v>
          </cell>
          <cell r="V281">
            <v>144.52095750000001</v>
          </cell>
          <cell r="W281">
            <v>144.24363550000001</v>
          </cell>
          <cell r="X281">
            <v>144.1617731</v>
          </cell>
          <cell r="Y281">
            <v>144.28672169999999</v>
          </cell>
          <cell r="Z281">
            <v>144.63126320000001</v>
          </cell>
          <cell r="AA281">
            <v>145.20916130000001</v>
          </cell>
          <cell r="AB281">
            <v>146.03780950000001</v>
          </cell>
          <cell r="AC281">
            <v>147.1212404</v>
          </cell>
          <cell r="AD281">
            <v>148.45589179999999</v>
          </cell>
          <cell r="AE281">
            <v>150.04058230000001</v>
          </cell>
          <cell r="AF281">
            <v>151.8764631</v>
          </cell>
          <cell r="AG281">
            <v>153.99890859999999</v>
          </cell>
          <cell r="AH281">
            <v>156.40884800000001</v>
          </cell>
          <cell r="AI281">
            <v>159.07843919999999</v>
          </cell>
          <cell r="AJ281">
            <v>161.97121899999999</v>
          </cell>
          <cell r="AK281">
            <v>165.06455220000001</v>
          </cell>
          <cell r="AL281">
            <v>168.3486355</v>
          </cell>
          <cell r="AM281">
            <v>171.81173920000001</v>
          </cell>
          <cell r="AN281">
            <v>175.44169779999999</v>
          </cell>
          <cell r="AO281">
            <v>179.22117159999999</v>
          </cell>
        </row>
        <row r="282">
          <cell r="E282" t="str">
            <v>CF_toe_ccoa_2</v>
          </cell>
          <cell r="F282">
            <v>7.5106070709999999</v>
          </cell>
          <cell r="G282">
            <v>7.8268954339999999</v>
          </cell>
          <cell r="H282">
            <v>8.1276060549999993</v>
          </cell>
          <cell r="I282">
            <v>8.3524917649999999</v>
          </cell>
          <cell r="J282">
            <v>8.5520859910000002</v>
          </cell>
          <cell r="K282">
            <v>8.7403787610000006</v>
          </cell>
          <cell r="L282">
            <v>8.9240387479999992</v>
          </cell>
          <cell r="M282">
            <v>8.9187187859999995</v>
          </cell>
          <cell r="N282">
            <v>8.8722889840000008</v>
          </cell>
          <cell r="O282">
            <v>8.8653722689999999</v>
          </cell>
          <cell r="P282">
            <v>8.8575660460000005</v>
          </cell>
          <cell r="Q282">
            <v>8.8663383909999993</v>
          </cell>
          <cell r="R282">
            <v>8.8774024409999992</v>
          </cell>
          <cell r="S282">
            <v>8.8816068799999996</v>
          </cell>
          <cell r="T282">
            <v>8.8877960789999992</v>
          </cell>
          <cell r="U282">
            <v>8.9017114070000005</v>
          </cell>
          <cell r="V282">
            <v>8.9393060609999999</v>
          </cell>
          <cell r="W282">
            <v>8.9862631220000004</v>
          </cell>
          <cell r="X282">
            <v>9.0442703909999995</v>
          </cell>
          <cell r="Y282">
            <v>9.114888895</v>
          </cell>
          <cell r="Z282">
            <v>9.19997781</v>
          </cell>
          <cell r="AA282">
            <v>9.3013018580000004</v>
          </cell>
          <cell r="AB282">
            <v>9.4213325119999993</v>
          </cell>
          <cell r="AC282">
            <v>9.5608006230000004</v>
          </cell>
          <cell r="AD282">
            <v>9.7187613000000006</v>
          </cell>
          <cell r="AE282">
            <v>9.8947872730000004</v>
          </cell>
          <cell r="AF282">
            <v>10.083361139999999</v>
          </cell>
          <cell r="AG282">
            <v>10.293360079999999</v>
          </cell>
          <cell r="AH282">
            <v>10.52516761</v>
          </cell>
          <cell r="AI282">
            <v>10.77439921</v>
          </cell>
          <cell r="AJ282">
            <v>11.03542356</v>
          </cell>
          <cell r="AK282">
            <v>11.30463464</v>
          </cell>
          <cell r="AL282">
            <v>11.580207570000001</v>
          </cell>
          <cell r="AM282">
            <v>11.86009499</v>
          </cell>
          <cell r="AN282">
            <v>12.1420298</v>
          </cell>
          <cell r="AO282">
            <v>12.4232437</v>
          </cell>
        </row>
        <row r="285">
          <cell r="E285" t="str">
            <v>CF_toe_ccoi_2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</row>
        <row r="288">
          <cell r="E288" t="str">
            <v>CF_toe_cfut_2</v>
          </cell>
          <cell r="F288">
            <v>51.622479249999998</v>
          </cell>
          <cell r="G288">
            <v>51.386129279999999</v>
          </cell>
          <cell r="H288">
            <v>51.0474812</v>
          </cell>
          <cell r="I288">
            <v>50.701688040000001</v>
          </cell>
          <cell r="J288">
            <v>50.464516039999999</v>
          </cell>
          <cell r="K288">
            <v>50.310376769999998</v>
          </cell>
          <cell r="L288">
            <v>50.169713160000001</v>
          </cell>
          <cell r="M288">
            <v>49.559045329999996</v>
          </cell>
          <cell r="N288">
            <v>48.616860289999998</v>
          </cell>
          <cell r="O288">
            <v>47.40675237</v>
          </cell>
          <cell r="P288">
            <v>45.884040239999997</v>
          </cell>
          <cell r="Q288">
            <v>44.184047370000002</v>
          </cell>
          <cell r="R288">
            <v>42.400641559999997</v>
          </cell>
          <cell r="S288">
            <v>40.613361259999998</v>
          </cell>
          <cell r="T288">
            <v>38.893982270000002</v>
          </cell>
          <cell r="U288">
            <v>37.28430006</v>
          </cell>
          <cell r="V288">
            <v>35.792946690000001</v>
          </cell>
          <cell r="W288">
            <v>34.432243370000002</v>
          </cell>
          <cell r="X288">
            <v>33.207162599999997</v>
          </cell>
          <cell r="Y288">
            <v>32.11661771</v>
          </cell>
          <cell r="Z288">
            <v>31.157824860000002</v>
          </cell>
          <cell r="AA288">
            <v>30.327675979999999</v>
          </cell>
          <cell r="AB288">
            <v>29.624105199999999</v>
          </cell>
          <cell r="AC288">
            <v>29.04346426</v>
          </cell>
          <cell r="AD288">
            <v>28.58087901</v>
          </cell>
          <cell r="AE288">
            <v>28.232513269999998</v>
          </cell>
          <cell r="AF288">
            <v>27.997492789999999</v>
          </cell>
          <cell r="AG288">
            <v>27.87999997</v>
          </cell>
          <cell r="AH288">
            <v>27.87939192</v>
          </cell>
          <cell r="AI288">
            <v>27.99024515</v>
          </cell>
          <cell r="AJ288">
            <v>28.2059468</v>
          </cell>
          <cell r="AK288">
            <v>28.523387809999999</v>
          </cell>
          <cell r="AL288">
            <v>28.94319029</v>
          </cell>
          <cell r="AM288">
            <v>29.467144220000002</v>
          </cell>
          <cell r="AN288">
            <v>30.099477360000002</v>
          </cell>
          <cell r="AO288">
            <v>30.848379900000001</v>
          </cell>
        </row>
        <row r="291">
          <cell r="E291" t="str">
            <v>CF_toe_cfuh_2</v>
          </cell>
          <cell r="F291">
            <v>9.6468153349999994</v>
          </cell>
          <cell r="G291">
            <v>9.6186700129999991</v>
          </cell>
          <cell r="H291">
            <v>9.5650287110000001</v>
          </cell>
          <cell r="I291">
            <v>9.4979961680000002</v>
          </cell>
          <cell r="J291">
            <v>9.4505046490000009</v>
          </cell>
          <cell r="K291">
            <v>9.4209413180000006</v>
          </cell>
          <cell r="L291">
            <v>9.3872497930000005</v>
          </cell>
          <cell r="M291">
            <v>9.2726853790000003</v>
          </cell>
          <cell r="N291">
            <v>9.1339270569999993</v>
          </cell>
          <cell r="O291">
            <v>8.9811348829999993</v>
          </cell>
          <cell r="P291">
            <v>8.8048854169999995</v>
          </cell>
          <cell r="Q291">
            <v>8.6250722510000006</v>
          </cell>
          <cell r="R291">
            <v>8.4533800419999992</v>
          </cell>
          <cell r="S291">
            <v>8.2979942740000006</v>
          </cell>
          <cell r="T291">
            <v>8.1641077559999999</v>
          </cell>
          <cell r="U291">
            <v>8.0527674059999992</v>
          </cell>
          <cell r="V291">
            <v>7.9759840850000003</v>
          </cell>
          <cell r="W291">
            <v>7.9206168769999996</v>
          </cell>
          <cell r="X291">
            <v>7.8797357630000002</v>
          </cell>
          <cell r="Y291">
            <v>7.8501760259999998</v>
          </cell>
          <cell r="Z291">
            <v>7.8301241419999998</v>
          </cell>
          <cell r="AA291">
            <v>7.819279377</v>
          </cell>
          <cell r="AB291">
            <v>7.8182477950000004</v>
          </cell>
          <cell r="AC291">
            <v>7.827711936</v>
          </cell>
          <cell r="AD291">
            <v>7.8481053940000001</v>
          </cell>
          <cell r="AE291">
            <v>7.8798597719999997</v>
          </cell>
          <cell r="AF291">
            <v>7.9232829950000001</v>
          </cell>
          <cell r="AG291">
            <v>7.9793309060000004</v>
          </cell>
          <cell r="AH291">
            <v>8.048637051</v>
          </cell>
          <cell r="AI291">
            <v>8.1312810720000002</v>
          </cell>
          <cell r="AJ291">
            <v>8.2271815830000001</v>
          </cell>
          <cell r="AK291">
            <v>8.3365928989999993</v>
          </cell>
          <cell r="AL291">
            <v>8.4602774909999994</v>
          </cell>
          <cell r="AM291">
            <v>8.5994569349999992</v>
          </cell>
          <cell r="AN291">
            <v>8.7558618480000003</v>
          </cell>
          <cell r="AO291">
            <v>8.9319585050000008</v>
          </cell>
        </row>
        <row r="293">
          <cell r="E293" t="str">
            <v>CF_toe_cgas_2</v>
          </cell>
          <cell r="F293">
            <v>27.927180809999999</v>
          </cell>
          <cell r="G293">
            <v>27.954564049999998</v>
          </cell>
          <cell r="H293">
            <v>27.965742420000002</v>
          </cell>
          <cell r="I293">
            <v>27.941670800000001</v>
          </cell>
          <cell r="J293">
            <v>27.993233679999999</v>
          </cell>
          <cell r="K293">
            <v>28.10879783</v>
          </cell>
          <cell r="L293">
            <v>28.293346249999999</v>
          </cell>
          <cell r="M293">
            <v>28.145268389999998</v>
          </cell>
          <cell r="N293">
            <v>27.941994130000001</v>
          </cell>
          <cell r="O293">
            <v>27.798562759999999</v>
          </cell>
          <cell r="P293">
            <v>27.67370799</v>
          </cell>
          <cell r="Q293">
            <v>27.647521690000001</v>
          </cell>
          <cell r="R293">
            <v>27.67874952</v>
          </cell>
          <cell r="S293">
            <v>27.73980761</v>
          </cell>
          <cell r="T293">
            <v>27.832475649999999</v>
          </cell>
          <cell r="U293">
            <v>27.959429119999999</v>
          </cell>
          <cell r="V293">
            <v>28.069938430000001</v>
          </cell>
          <cell r="W293">
            <v>28.185698110000001</v>
          </cell>
          <cell r="X293">
            <v>28.322645959999999</v>
          </cell>
          <cell r="Y293">
            <v>28.49081602</v>
          </cell>
          <cell r="Z293">
            <v>28.697855879999999</v>
          </cell>
          <cell r="AA293">
            <v>28.950005869999998</v>
          </cell>
          <cell r="AB293">
            <v>29.25275843</v>
          </cell>
          <cell r="AC293">
            <v>29.606653300000001</v>
          </cell>
          <cell r="AD293">
            <v>30.012164210000002</v>
          </cell>
          <cell r="AE293">
            <v>30.470891609999999</v>
          </cell>
          <cell r="AF293">
            <v>30.985684809999999</v>
          </cell>
          <cell r="AG293">
            <v>31.565176990000001</v>
          </cell>
          <cell r="AH293">
            <v>32.212021890000003</v>
          </cell>
          <cell r="AI293">
            <v>32.923694070000003</v>
          </cell>
          <cell r="AJ293">
            <v>33.696183509999997</v>
          </cell>
          <cell r="AK293">
            <v>34.528082650000002</v>
          </cell>
          <cell r="AL293">
            <v>35.42009264</v>
          </cell>
          <cell r="AM293">
            <v>36.371571420000002</v>
          </cell>
          <cell r="AN293">
            <v>37.378862750000003</v>
          </cell>
          <cell r="AO293">
            <v>38.428212090000002</v>
          </cell>
        </row>
        <row r="299">
          <cell r="E299" t="str">
            <v>CF_toe_cele_2</v>
          </cell>
          <cell r="F299">
            <v>36.415000329999998</v>
          </cell>
          <cell r="G299">
            <v>36.686313830000003</v>
          </cell>
          <cell r="H299">
            <v>36.951110819999997</v>
          </cell>
          <cell r="I299">
            <v>37.299437560000001</v>
          </cell>
          <cell r="J299">
            <v>37.64719779</v>
          </cell>
          <cell r="K299">
            <v>38.045122739999996</v>
          </cell>
          <cell r="L299">
            <v>38.516594660000003</v>
          </cell>
          <cell r="M299">
            <v>39.251522569999999</v>
          </cell>
          <cell r="N299">
            <v>40.042278379999999</v>
          </cell>
          <cell r="O299">
            <v>41.00784823</v>
          </cell>
          <cell r="P299">
            <v>42.072861869999997</v>
          </cell>
          <cell r="Q299">
            <v>43.126305279999997</v>
          </cell>
          <cell r="R299">
            <v>44.188399680000003</v>
          </cell>
          <cell r="S299">
            <v>45.244620349999998</v>
          </cell>
          <cell r="T299">
            <v>46.301097900000002</v>
          </cell>
          <cell r="U299">
            <v>47.358568560000002</v>
          </cell>
          <cell r="V299">
            <v>48.439200900000003</v>
          </cell>
          <cell r="W299">
            <v>49.521625980000003</v>
          </cell>
          <cell r="X299">
            <v>50.600123240000002</v>
          </cell>
          <cell r="Y299">
            <v>51.675079599999997</v>
          </cell>
          <cell r="Z299">
            <v>52.751750180000002</v>
          </cell>
          <cell r="AA299">
            <v>53.837209600000001</v>
          </cell>
          <cell r="AB299">
            <v>54.940315730000002</v>
          </cell>
          <cell r="AC299">
            <v>56.066377060000001</v>
          </cell>
          <cell r="AD299">
            <v>57.217430720000003</v>
          </cell>
          <cell r="AE299">
            <v>58.395178479999998</v>
          </cell>
          <cell r="AF299">
            <v>59.60351077</v>
          </cell>
          <cell r="AG299">
            <v>60.852500079999999</v>
          </cell>
          <cell r="AH299">
            <v>62.141152959999999</v>
          </cell>
          <cell r="AI299">
            <v>63.458078129999997</v>
          </cell>
          <cell r="AJ299">
            <v>64.788184380000004</v>
          </cell>
          <cell r="AK299">
            <v>66.120109409999998</v>
          </cell>
          <cell r="AL299">
            <v>67.445867160000006</v>
          </cell>
          <cell r="AM299">
            <v>68.755951469999999</v>
          </cell>
          <cell r="AN299">
            <v>70.040780859999998</v>
          </cell>
          <cell r="AO299">
            <v>71.291861620000006</v>
          </cell>
        </row>
        <row r="309">
          <cell r="E309" t="str">
            <v>CF_toe_chea_2</v>
          </cell>
          <cell r="F309">
            <v>2.757340423</v>
          </cell>
          <cell r="G309">
            <v>2.7758627599999999</v>
          </cell>
          <cell r="H309">
            <v>2.7949503249999998</v>
          </cell>
          <cell r="I309">
            <v>2.8162663370000001</v>
          </cell>
          <cell r="J309">
            <v>2.839633622</v>
          </cell>
          <cell r="K309">
            <v>2.86625328</v>
          </cell>
          <cell r="L309">
            <v>2.8962138340000001</v>
          </cell>
          <cell r="M309">
            <v>2.919504222</v>
          </cell>
          <cell r="N309">
            <v>2.9378585030000002</v>
          </cell>
          <cell r="O309">
            <v>2.9634056750000002</v>
          </cell>
          <cell r="P309">
            <v>2.9934016880000001</v>
          </cell>
          <cell r="Q309">
            <v>3.0274671909999999</v>
          </cell>
          <cell r="R309">
            <v>3.0642225509999999</v>
          </cell>
          <cell r="S309">
            <v>3.1009686589999998</v>
          </cell>
          <cell r="T309">
            <v>3.1375274499999999</v>
          </cell>
          <cell r="U309">
            <v>3.1740367620000001</v>
          </cell>
          <cell r="V309">
            <v>3.2107143009999999</v>
          </cell>
          <cell r="W309">
            <v>3.247758836</v>
          </cell>
          <cell r="X309">
            <v>3.2859366300000001</v>
          </cell>
          <cell r="Y309">
            <v>3.325823486</v>
          </cell>
          <cell r="Z309">
            <v>3.3678929480000002</v>
          </cell>
          <cell r="AA309">
            <v>3.4125354849999998</v>
          </cell>
          <cell r="AB309">
            <v>3.4601687380000001</v>
          </cell>
          <cell r="AC309">
            <v>3.5109807719999999</v>
          </cell>
          <cell r="AD309">
            <v>3.5649940299999998</v>
          </cell>
          <cell r="AE309">
            <v>3.622268279</v>
          </cell>
          <cell r="AF309">
            <v>3.6830424509999999</v>
          </cell>
          <cell r="AG309">
            <v>3.7479694750000001</v>
          </cell>
          <cell r="AH309">
            <v>3.8170792520000001</v>
          </cell>
          <cell r="AI309">
            <v>3.8898398900000002</v>
          </cell>
          <cell r="AJ309">
            <v>3.9655581620000002</v>
          </cell>
          <cell r="AK309">
            <v>4.0438058549999996</v>
          </cell>
          <cell r="AL309">
            <v>4.1243657750000002</v>
          </cell>
          <cell r="AM309">
            <v>4.2069014840000003</v>
          </cell>
          <cell r="AN309">
            <v>4.2909529290000004</v>
          </cell>
          <cell r="AO309">
            <v>4.3757406669999996</v>
          </cell>
        </row>
        <row r="311">
          <cell r="E311" t="str">
            <v>CF_toe_cbio_2</v>
          </cell>
          <cell r="F311">
            <v>8.0855057420000005</v>
          </cell>
          <cell r="G311">
            <v>8.0063527210000007</v>
          </cell>
          <cell r="H311">
            <v>7.9260115889999998</v>
          </cell>
          <cell r="I311">
            <v>7.8341175280000002</v>
          </cell>
          <cell r="J311">
            <v>7.78848012</v>
          </cell>
          <cell r="K311">
            <v>7.7680960219999999</v>
          </cell>
          <cell r="L311">
            <v>7.762309922</v>
          </cell>
          <cell r="M311">
            <v>7.5899814069999998</v>
          </cell>
          <cell r="N311">
            <v>7.4033159399999997</v>
          </cell>
          <cell r="O311">
            <v>7.2080938840000002</v>
          </cell>
          <cell r="P311">
            <v>6.9922079339999996</v>
          </cell>
          <cell r="Q311">
            <v>6.7958398019999997</v>
          </cell>
          <cell r="R311">
            <v>6.6106183520000004</v>
          </cell>
          <cell r="S311">
            <v>6.4385274690000003</v>
          </cell>
          <cell r="T311">
            <v>6.2835856740000002</v>
          </cell>
          <cell r="U311">
            <v>6.1472309899999997</v>
          </cell>
          <cell r="V311">
            <v>6.0101946589999997</v>
          </cell>
          <cell r="W311">
            <v>5.8797812509999998</v>
          </cell>
          <cell r="X311">
            <v>5.7581390580000003</v>
          </cell>
          <cell r="Y311">
            <v>5.6459784109999998</v>
          </cell>
          <cell r="Z311">
            <v>5.543695305</v>
          </cell>
          <cell r="AA311">
            <v>5.4515594360000001</v>
          </cell>
          <cell r="AB311">
            <v>5.3697382830000002</v>
          </cell>
          <cell r="AC311">
            <v>5.2980032589999997</v>
          </cell>
          <cell r="AD311">
            <v>5.2358700359999997</v>
          </cell>
          <cell r="AE311">
            <v>5.1828069460000004</v>
          </cell>
          <cell r="AF311">
            <v>5.1384493559999997</v>
          </cell>
          <cell r="AG311">
            <v>5.1028103959999997</v>
          </cell>
          <cell r="AH311">
            <v>5.0751921129999999</v>
          </cell>
          <cell r="AI311">
            <v>5.0544588050000003</v>
          </cell>
          <cell r="AJ311">
            <v>5.0394382919999998</v>
          </cell>
          <cell r="AK311">
            <v>5.0293426820000002</v>
          </cell>
          <cell r="AL311">
            <v>5.0236658140000001</v>
          </cell>
          <cell r="AM311">
            <v>5.0218622079999999</v>
          </cell>
          <cell r="AN311">
            <v>5.0234547459999996</v>
          </cell>
          <cell r="AO311">
            <v>5.0279869609999999</v>
          </cell>
        </row>
        <row r="314">
          <cell r="E314" t="str">
            <v>CF_toe_cote_2</v>
          </cell>
          <cell r="F314">
            <v>6.4532921329999997</v>
          </cell>
          <cell r="G314">
            <v>6.455029551</v>
          </cell>
          <cell r="H314">
            <v>6.4610671399999999</v>
          </cell>
          <cell r="I314">
            <v>6.4567862979999999</v>
          </cell>
          <cell r="J314">
            <v>6.475985927</v>
          </cell>
          <cell r="K314">
            <v>6.5192021220000003</v>
          </cell>
          <cell r="L314">
            <v>6.583518658</v>
          </cell>
          <cell r="M314">
            <v>6.5292559160000003</v>
          </cell>
          <cell r="N314">
            <v>6.4359750480000004</v>
          </cell>
          <cell r="O314">
            <v>6.3537542519999999</v>
          </cell>
          <cell r="P314">
            <v>6.2708592400000001</v>
          </cell>
          <cell r="Q314">
            <v>6.2129132169999997</v>
          </cell>
          <cell r="R314">
            <v>6.171029249</v>
          </cell>
          <cell r="S314">
            <v>6.1370578660000001</v>
          </cell>
          <cell r="T314">
            <v>6.1125551729999996</v>
          </cell>
          <cell r="U314">
            <v>6.0987767269999997</v>
          </cell>
          <cell r="V314">
            <v>6.0826724040000002</v>
          </cell>
          <cell r="W314">
            <v>6.0696479400000003</v>
          </cell>
          <cell r="X314">
            <v>6.0637595009999998</v>
          </cell>
          <cell r="Y314">
            <v>6.0673415329999996</v>
          </cell>
          <cell r="Z314">
            <v>6.0821420579999996</v>
          </cell>
          <cell r="AA314">
            <v>6.1095936699999998</v>
          </cell>
          <cell r="AB314">
            <v>6.1511428099999996</v>
          </cell>
          <cell r="AC314">
            <v>6.2072491620000001</v>
          </cell>
          <cell r="AD314">
            <v>6.2776871380000001</v>
          </cell>
          <cell r="AE314">
            <v>6.3622766850000003</v>
          </cell>
          <cell r="AF314">
            <v>6.461638754</v>
          </cell>
          <cell r="AG314">
            <v>6.5777606689999999</v>
          </cell>
          <cell r="AH314">
            <v>6.7102052319999999</v>
          </cell>
          <cell r="AI314">
            <v>6.8564428680000002</v>
          </cell>
          <cell r="AJ314">
            <v>7.0133026860000003</v>
          </cell>
          <cell r="AK314">
            <v>7.1785962239999996</v>
          </cell>
          <cell r="AL314">
            <v>7.3509687340000003</v>
          </cell>
          <cell r="AM314">
            <v>7.5287565150000004</v>
          </cell>
          <cell r="AN314">
            <v>7.7102775450000003</v>
          </cell>
          <cell r="AO314">
            <v>7.893788121</v>
          </cell>
        </row>
        <row r="317">
          <cell r="E317" t="str">
            <v>CF_toe_0</v>
          </cell>
          <cell r="F317">
            <v>150.41822110000001</v>
          </cell>
          <cell r="G317">
            <v>150.70981760000001</v>
          </cell>
          <cell r="H317">
            <v>150.83899829999999</v>
          </cell>
          <cell r="I317">
            <v>150.9004545</v>
          </cell>
          <cell r="J317">
            <v>151.21163780000001</v>
          </cell>
          <cell r="K317">
            <v>151.77916880000001</v>
          </cell>
          <cell r="L317">
            <v>152.35027299999999</v>
          </cell>
          <cell r="M317">
            <v>152.83669090000001</v>
          </cell>
          <cell r="N317">
            <v>153.19218090000001</v>
          </cell>
          <cell r="O317">
            <v>153.40728490000001</v>
          </cell>
          <cell r="P317">
            <v>153.49362479999999</v>
          </cell>
          <cell r="Q317">
            <v>153.47366769999999</v>
          </cell>
          <cell r="R317">
            <v>153.34960340000001</v>
          </cell>
          <cell r="S317">
            <v>153.08777860000001</v>
          </cell>
          <cell r="T317">
            <v>152.76012560000001</v>
          </cell>
          <cell r="U317">
            <v>152.44495929999999</v>
          </cell>
          <cell r="V317">
            <v>152.33862869999999</v>
          </cell>
          <cell r="W317">
            <v>152.51746069999999</v>
          </cell>
          <cell r="X317">
            <v>153.00118330000001</v>
          </cell>
          <cell r="Y317">
            <v>153.77802410000001</v>
          </cell>
          <cell r="Z317">
            <v>154.83253869999999</v>
          </cell>
          <cell r="AA317">
            <v>156.1488722</v>
          </cell>
          <cell r="AB317">
            <v>157.72224689999999</v>
          </cell>
          <cell r="AC317">
            <v>159.54724859999999</v>
          </cell>
          <cell r="AD317">
            <v>161.6126879</v>
          </cell>
          <cell r="AE317">
            <v>163.9116018</v>
          </cell>
          <cell r="AF317">
            <v>166.4412639</v>
          </cell>
          <cell r="AG317">
            <v>169.2087258</v>
          </cell>
          <cell r="AH317">
            <v>172.21119060000001</v>
          </cell>
          <cell r="AI317">
            <v>175.41583399999999</v>
          </cell>
          <cell r="AJ317">
            <v>178.77609799999999</v>
          </cell>
          <cell r="AK317">
            <v>182.25063119999999</v>
          </cell>
          <cell r="AL317">
            <v>185.80740800000001</v>
          </cell>
          <cell r="AM317">
            <v>189.41956289999999</v>
          </cell>
          <cell r="AN317">
            <v>193.06303729999999</v>
          </cell>
          <cell r="AO317">
            <v>196.71511039999999</v>
          </cell>
        </row>
        <row r="318">
          <cell r="E318" t="str">
            <v>CF_toe_ccoa_0</v>
          </cell>
          <cell r="F318">
            <v>7.5106070709999999</v>
          </cell>
          <cell r="G318">
            <v>7.8268954339999999</v>
          </cell>
          <cell r="H318">
            <v>8.1276060549999993</v>
          </cell>
          <cell r="I318">
            <v>8.3524917649999999</v>
          </cell>
          <cell r="J318">
            <v>8.5520859910000002</v>
          </cell>
          <cell r="K318">
            <v>8.7403787610000006</v>
          </cell>
          <cell r="L318">
            <v>8.9129761490000003</v>
          </cell>
          <cell r="M318">
            <v>9.0731506880000001</v>
          </cell>
          <cell r="N318">
            <v>9.2227257250000001</v>
          </cell>
          <cell r="O318">
            <v>9.3648274879999995</v>
          </cell>
          <cell r="P318">
            <v>9.5023121899999996</v>
          </cell>
          <cell r="Q318">
            <v>9.6370746740000008</v>
          </cell>
          <cell r="R318">
            <v>9.7645120960000007</v>
          </cell>
          <cell r="S318">
            <v>9.8722859869999997</v>
          </cell>
          <cell r="T318">
            <v>9.9682153699999994</v>
          </cell>
          <cell r="U318">
            <v>10.06106335</v>
          </cell>
          <cell r="V318">
            <v>10.17427264</v>
          </cell>
          <cell r="W318">
            <v>10.313356150000001</v>
          </cell>
          <cell r="X318">
            <v>10.4799536</v>
          </cell>
          <cell r="Y318">
            <v>10.67307269</v>
          </cell>
          <cell r="Z318">
            <v>10.8920526</v>
          </cell>
          <cell r="AA318">
            <v>11.1362743</v>
          </cell>
          <cell r="AB318">
            <v>11.406793800000001</v>
          </cell>
          <cell r="AC318">
            <v>11.70390334</v>
          </cell>
          <cell r="AD318">
            <v>12.026344679999999</v>
          </cell>
          <cell r="AE318">
            <v>12.37371589</v>
          </cell>
          <cell r="AF318">
            <v>12.746452619999999</v>
          </cell>
          <cell r="AG318">
            <v>13.14684424</v>
          </cell>
          <cell r="AH318">
            <v>13.575248820000001</v>
          </cell>
          <cell r="AI318">
            <v>14.0269108</v>
          </cell>
          <cell r="AJ318">
            <v>14.495108950000001</v>
          </cell>
          <cell r="AK318">
            <v>14.97464828</v>
          </cell>
          <cell r="AL318">
            <v>15.462207899999999</v>
          </cell>
          <cell r="AM318">
            <v>15.95523444</v>
          </cell>
          <cell r="AN318">
            <v>16.451383549999999</v>
          </cell>
          <cell r="AO318">
            <v>16.948251079999999</v>
          </cell>
        </row>
        <row r="321">
          <cell r="E321" t="str">
            <v>CF_toe_ccoi_0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</row>
        <row r="324">
          <cell r="E324" t="str">
            <v>CF_toe_cfut_0</v>
          </cell>
          <cell r="F324">
            <v>51.622479249999998</v>
          </cell>
          <cell r="G324">
            <v>51.386129279999999</v>
          </cell>
          <cell r="H324">
            <v>51.0474812</v>
          </cell>
          <cell r="I324">
            <v>50.701688040000001</v>
          </cell>
          <cell r="J324">
            <v>50.464516039999999</v>
          </cell>
          <cell r="K324">
            <v>50.310376769999998</v>
          </cell>
          <cell r="L324">
            <v>50.090986479999998</v>
          </cell>
          <cell r="M324">
            <v>49.737291259999999</v>
          </cell>
          <cell r="N324">
            <v>49.196507760000003</v>
          </cell>
          <cell r="O324">
            <v>48.435863759999997</v>
          </cell>
          <cell r="P324">
            <v>47.443789469999999</v>
          </cell>
          <cell r="Q324">
            <v>46.234757449999996</v>
          </cell>
          <cell r="R324">
            <v>44.842919889999997</v>
          </cell>
          <cell r="S324">
            <v>43.311701110000001</v>
          </cell>
          <cell r="T324">
            <v>41.710160270000003</v>
          </cell>
          <cell r="U324">
            <v>40.103775329999998</v>
          </cell>
          <cell r="V324">
            <v>38.592604360000003</v>
          </cell>
          <cell r="W324">
            <v>37.21588783</v>
          </cell>
          <cell r="X324">
            <v>35.98840457</v>
          </cell>
          <cell r="Y324">
            <v>34.909765790000002</v>
          </cell>
          <cell r="Z324">
            <v>33.973574589999998</v>
          </cell>
          <cell r="AA324">
            <v>33.171074679999997</v>
          </cell>
          <cell r="AB324">
            <v>32.494887470000002</v>
          </cell>
          <cell r="AC324">
            <v>31.937604579999999</v>
          </cell>
          <cell r="AD324">
            <v>31.491119220000002</v>
          </cell>
          <cell r="AE324">
            <v>31.148670540000001</v>
          </cell>
          <cell r="AF324">
            <v>30.90488083</v>
          </cell>
          <cell r="AG324">
            <v>30.7568214</v>
          </cell>
          <cell r="AH324">
            <v>30.700301849999999</v>
          </cell>
          <cell r="AI324">
            <v>30.726225580000001</v>
          </cell>
          <cell r="AJ324">
            <v>30.823182169999999</v>
          </cell>
          <cell r="AK324">
            <v>30.980817299999998</v>
          </cell>
          <cell r="AL324">
            <v>31.190565429999999</v>
          </cell>
          <cell r="AM324">
            <v>31.444890999999998</v>
          </cell>
          <cell r="AN324">
            <v>31.73686361</v>
          </cell>
          <cell r="AO324">
            <v>32.059910379999998</v>
          </cell>
        </row>
        <row r="327">
          <cell r="E327" t="str">
            <v>CF_toe_cfuh_0</v>
          </cell>
          <cell r="F327">
            <v>9.6468153349999994</v>
          </cell>
          <cell r="G327">
            <v>9.6186700129999991</v>
          </cell>
          <cell r="H327">
            <v>9.5650287110000001</v>
          </cell>
          <cell r="I327">
            <v>9.4979961680000002</v>
          </cell>
          <cell r="J327">
            <v>9.4505046490000009</v>
          </cell>
          <cell r="K327">
            <v>9.4209413180000006</v>
          </cell>
          <cell r="L327">
            <v>9.3427403529999999</v>
          </cell>
          <cell r="M327">
            <v>9.2424482670000003</v>
          </cell>
          <cell r="N327">
            <v>9.1349634920000007</v>
          </cell>
          <cell r="O327">
            <v>9.0287204899999995</v>
          </cell>
          <cell r="P327">
            <v>8.9277970290000006</v>
          </cell>
          <cell r="Q327">
            <v>8.8340118449999991</v>
          </cell>
          <cell r="R327">
            <v>8.7470759040000008</v>
          </cell>
          <cell r="S327">
            <v>8.6647911709999992</v>
          </cell>
          <cell r="T327">
            <v>8.5870047379999992</v>
          </cell>
          <cell r="U327">
            <v>8.513886222</v>
          </cell>
          <cell r="V327">
            <v>8.4800239669999993</v>
          </cell>
          <cell r="W327">
            <v>8.4715222969999999</v>
          </cell>
          <cell r="X327">
            <v>8.4796927669999995</v>
          </cell>
          <cell r="Y327">
            <v>8.4990212070000002</v>
          </cell>
          <cell r="Z327">
            <v>8.5262074099999996</v>
          </cell>
          <cell r="AA327">
            <v>8.5593472950000002</v>
          </cell>
          <cell r="AB327">
            <v>8.5975982250000005</v>
          </cell>
          <cell r="AC327">
            <v>8.6405575510000006</v>
          </cell>
          <cell r="AD327">
            <v>8.6878585420000007</v>
          </cell>
          <cell r="AE327">
            <v>8.7393979050000006</v>
          </cell>
          <cell r="AF327">
            <v>8.7952594800000004</v>
          </cell>
          <cell r="AG327">
            <v>8.8558330200000004</v>
          </cell>
          <cell r="AH327">
            <v>8.9213353410000007</v>
          </cell>
          <cell r="AI327">
            <v>8.991397074</v>
          </cell>
          <cell r="AJ327">
            <v>9.0651867789999994</v>
          </cell>
          <cell r="AK327">
            <v>9.1418305980000003</v>
          </cell>
          <cell r="AL327">
            <v>9.2205492220000007</v>
          </cell>
          <cell r="AM327">
            <v>9.3006160799999993</v>
          </cell>
          <cell r="AN327">
            <v>9.381338521</v>
          </cell>
          <cell r="AO327">
            <v>9.4620442469999997</v>
          </cell>
        </row>
        <row r="329">
          <cell r="E329" t="str">
            <v>CF_toe_cgas_0</v>
          </cell>
          <cell r="F329">
            <v>27.927180809999999</v>
          </cell>
          <cell r="G329">
            <v>27.954564049999998</v>
          </cell>
          <cell r="H329">
            <v>27.965742420000002</v>
          </cell>
          <cell r="I329">
            <v>27.941670800000001</v>
          </cell>
          <cell r="J329">
            <v>27.993233679999999</v>
          </cell>
          <cell r="K329">
            <v>28.10879783</v>
          </cell>
          <cell r="L329">
            <v>28.221200100000001</v>
          </cell>
          <cell r="M329">
            <v>28.309924859999999</v>
          </cell>
          <cell r="N329">
            <v>28.37317346</v>
          </cell>
          <cell r="O329">
            <v>28.42022339</v>
          </cell>
          <cell r="P329">
            <v>28.460522820000001</v>
          </cell>
          <cell r="Q329">
            <v>28.50040426</v>
          </cell>
          <cell r="R329">
            <v>28.537845579999999</v>
          </cell>
          <cell r="S329">
            <v>28.56116673</v>
          </cell>
          <cell r="T329">
            <v>28.577902129999998</v>
          </cell>
          <cell r="U329">
            <v>28.5971303</v>
          </cell>
          <cell r="V329">
            <v>28.6743402</v>
          </cell>
          <cell r="W329">
            <v>28.82345896</v>
          </cell>
          <cell r="X329">
            <v>29.04051505</v>
          </cell>
          <cell r="Y329">
            <v>29.315818480000001</v>
          </cell>
          <cell r="Z329">
            <v>29.641947779999999</v>
          </cell>
          <cell r="AA329">
            <v>30.013202069999998</v>
          </cell>
          <cell r="AB329">
            <v>30.42709777</v>
          </cell>
          <cell r="AC329">
            <v>30.881750400000001</v>
          </cell>
          <cell r="AD329">
            <v>31.374315320000001</v>
          </cell>
          <cell r="AE329">
            <v>31.903306189999999</v>
          </cell>
          <cell r="AF329">
            <v>32.46835634</v>
          </cell>
          <cell r="AG329">
            <v>33.071123040000003</v>
          </cell>
          <cell r="AH329">
            <v>33.711534890000003</v>
          </cell>
          <cell r="AI329">
            <v>34.38392778</v>
          </cell>
          <cell r="AJ329">
            <v>35.080070020000001</v>
          </cell>
          <cell r="AK329">
            <v>35.79265281</v>
          </cell>
          <cell r="AL329">
            <v>36.516054599999997</v>
          </cell>
          <cell r="AM329">
            <v>37.245567170000001</v>
          </cell>
          <cell r="AN329">
            <v>37.976963429999998</v>
          </cell>
          <cell r="AO329">
            <v>38.706119080000001</v>
          </cell>
        </row>
        <row r="335">
          <cell r="E335" t="str">
            <v>CF_toe_cele_0</v>
          </cell>
          <cell r="F335">
            <v>36.415000329999998</v>
          </cell>
          <cell r="G335">
            <v>36.686313830000003</v>
          </cell>
          <cell r="H335">
            <v>36.951110819999997</v>
          </cell>
          <cell r="I335">
            <v>37.299437560000001</v>
          </cell>
          <cell r="J335">
            <v>37.64719779</v>
          </cell>
          <cell r="K335">
            <v>38.045122739999996</v>
          </cell>
          <cell r="L335">
            <v>38.549104440000001</v>
          </cell>
          <cell r="M335">
            <v>39.149446060000002</v>
          </cell>
          <cell r="N335">
            <v>39.848651830000001</v>
          </cell>
          <cell r="O335">
            <v>40.652379430000003</v>
          </cell>
          <cell r="P335">
            <v>41.567282779999999</v>
          </cell>
          <cell r="Q335">
            <v>42.59062943</v>
          </cell>
          <cell r="R335">
            <v>43.700353880000002</v>
          </cell>
          <cell r="S335">
            <v>44.853715139999998</v>
          </cell>
          <cell r="T335">
            <v>46.033807690000003</v>
          </cell>
          <cell r="U335">
            <v>47.22916936</v>
          </cell>
          <cell r="V335">
            <v>48.40861013</v>
          </cell>
          <cell r="W335">
            <v>49.590805330000002</v>
          </cell>
          <cell r="X335">
            <v>50.78617509</v>
          </cell>
          <cell r="Y335">
            <v>51.9989007</v>
          </cell>
          <cell r="Z335">
            <v>53.232227350000002</v>
          </cell>
          <cell r="AA335">
            <v>54.488763249999998</v>
          </cell>
          <cell r="AB335">
            <v>55.773805150000001</v>
          </cell>
          <cell r="AC335">
            <v>57.091915620000002</v>
          </cell>
          <cell r="AD335">
            <v>58.445660590000003</v>
          </cell>
          <cell r="AE335">
            <v>59.837631739999999</v>
          </cell>
          <cell r="AF335">
            <v>61.270667670000002</v>
          </cell>
          <cell r="AG335">
            <v>62.749602529999997</v>
          </cell>
          <cell r="AH335">
            <v>64.275677009999995</v>
          </cell>
          <cell r="AI335">
            <v>65.840033660000003</v>
          </cell>
          <cell r="AJ335">
            <v>67.429113729999997</v>
          </cell>
          <cell r="AK335">
            <v>69.030532429999994</v>
          </cell>
          <cell r="AL335">
            <v>70.634651300000002</v>
          </cell>
          <cell r="AM335">
            <v>72.233546610000005</v>
          </cell>
          <cell r="AN335">
            <v>73.820365229999993</v>
          </cell>
          <cell r="AO335">
            <v>75.388926170000005</v>
          </cell>
        </row>
        <row r="345">
          <cell r="E345" t="str">
            <v>CF_toe_chea_0</v>
          </cell>
          <cell r="F345">
            <v>2.757340423</v>
          </cell>
          <cell r="G345">
            <v>2.7758627599999999</v>
          </cell>
          <cell r="H345">
            <v>2.7949503249999998</v>
          </cell>
          <cell r="I345">
            <v>2.8162663370000001</v>
          </cell>
          <cell r="J345">
            <v>2.839633622</v>
          </cell>
          <cell r="K345">
            <v>2.86625328</v>
          </cell>
          <cell r="L345">
            <v>2.893460777</v>
          </cell>
          <cell r="M345">
            <v>2.9194997009999999</v>
          </cell>
          <cell r="N345">
            <v>2.9438816060000002</v>
          </cell>
          <cell r="O345">
            <v>2.9668532860000001</v>
          </cell>
          <cell r="P345">
            <v>2.9889996220000001</v>
          </cell>
          <cell r="Q345">
            <v>3.010789784</v>
          </cell>
          <cell r="R345">
            <v>3.0319838539999999</v>
          </cell>
          <cell r="S345">
            <v>3.0514485379999998</v>
          </cell>
          <cell r="T345">
            <v>3.0699521810000001</v>
          </cell>
          <cell r="U345">
            <v>3.0884463179999999</v>
          </cell>
          <cell r="V345">
            <v>3.1101687349999998</v>
          </cell>
          <cell r="W345">
            <v>3.1367938660000001</v>
          </cell>
          <cell r="X345">
            <v>3.1686947619999999</v>
          </cell>
          <cell r="Y345">
            <v>3.2054533749999998</v>
          </cell>
          <cell r="Z345">
            <v>3.2465685839999998</v>
          </cell>
          <cell r="AA345">
            <v>3.2916847009999999</v>
          </cell>
          <cell r="AB345">
            <v>3.3407227349999999</v>
          </cell>
          <cell r="AC345">
            <v>3.3936182279999998</v>
          </cell>
          <cell r="AD345">
            <v>3.4502138549999999</v>
          </cell>
          <cell r="AE345">
            <v>3.5103903189999999</v>
          </cell>
          <cell r="AF345">
            <v>3.5740966630000002</v>
          </cell>
          <cell r="AG345">
            <v>3.641481824</v>
          </cell>
          <cell r="AH345">
            <v>3.7125090780000001</v>
          </cell>
          <cell r="AI345">
            <v>3.7865675169999999</v>
          </cell>
          <cell r="AJ345">
            <v>3.8627928319999998</v>
          </cell>
          <cell r="AK345">
            <v>3.9404293830000001</v>
          </cell>
          <cell r="AL345">
            <v>4.0189102050000001</v>
          </cell>
          <cell r="AM345">
            <v>4.0977725400000002</v>
          </cell>
          <cell r="AN345">
            <v>4.1766096050000003</v>
          </cell>
          <cell r="AO345">
            <v>4.2550434050000003</v>
          </cell>
        </row>
        <row r="347">
          <cell r="E347" t="str">
            <v>CF_toe_cbio_0</v>
          </cell>
          <cell r="F347">
            <v>8.0855057420000005</v>
          </cell>
          <cell r="G347">
            <v>8.0063527210000007</v>
          </cell>
          <cell r="H347">
            <v>7.9260115889999998</v>
          </cell>
          <cell r="I347">
            <v>7.8341175280000002</v>
          </cell>
          <cell r="J347">
            <v>7.78848012</v>
          </cell>
          <cell r="K347">
            <v>7.7680960219999999</v>
          </cell>
          <cell r="L347">
            <v>7.7613832509999998</v>
          </cell>
          <cell r="M347">
            <v>7.7611168700000004</v>
          </cell>
          <cell r="N347">
            <v>7.7631315320000001</v>
          </cell>
          <cell r="O347">
            <v>7.7655847749999998</v>
          </cell>
          <cell r="P347">
            <v>7.7677182389999997</v>
          </cell>
          <cell r="Q347">
            <v>7.7692256630000003</v>
          </cell>
          <cell r="R347">
            <v>7.7692911029999996</v>
          </cell>
          <cell r="S347">
            <v>7.7663053550000001</v>
          </cell>
          <cell r="T347">
            <v>7.7612028070000001</v>
          </cell>
          <cell r="U347">
            <v>7.7552612720000003</v>
          </cell>
          <cell r="V347">
            <v>7.7499295269999999</v>
          </cell>
          <cell r="W347">
            <v>7.7483045290000003</v>
          </cell>
          <cell r="X347">
            <v>7.7520041419999997</v>
          </cell>
          <cell r="Y347">
            <v>7.7614834269999999</v>
          </cell>
          <cell r="Z347">
            <v>7.7766685219999996</v>
          </cell>
          <cell r="AA347">
            <v>7.7972137049999999</v>
          </cell>
          <cell r="AB347">
            <v>7.822896257</v>
          </cell>
          <cell r="AC347">
            <v>7.853437596</v>
          </cell>
          <cell r="AD347">
            <v>7.8884522639999997</v>
          </cell>
          <cell r="AE347">
            <v>7.9276500370000003</v>
          </cell>
          <cell r="AF347">
            <v>7.9708592510000003</v>
          </cell>
          <cell r="AG347">
            <v>8.0181355009999997</v>
          </cell>
          <cell r="AH347">
            <v>8.0693408160000004</v>
          </cell>
          <cell r="AI347">
            <v>8.1237025329999994</v>
          </cell>
          <cell r="AJ347">
            <v>8.1802213219999995</v>
          </cell>
          <cell r="AK347">
            <v>8.2380729820000003</v>
          </cell>
          <cell r="AL347">
            <v>8.2966731540000005</v>
          </cell>
          <cell r="AM347">
            <v>8.3555651300000005</v>
          </cell>
          <cell r="AN347">
            <v>8.4143578170000008</v>
          </cell>
          <cell r="AO347">
            <v>8.4726945970000003</v>
          </cell>
        </row>
        <row r="350">
          <cell r="E350" t="str">
            <v>CF_toe_cote_0</v>
          </cell>
          <cell r="F350">
            <v>6.4532921329999997</v>
          </cell>
          <cell r="G350">
            <v>6.455029551</v>
          </cell>
          <cell r="H350">
            <v>6.4610671399999999</v>
          </cell>
          <cell r="I350">
            <v>6.4567862979999999</v>
          </cell>
          <cell r="J350">
            <v>6.475985927</v>
          </cell>
          <cell r="K350">
            <v>6.5192021220000003</v>
          </cell>
          <cell r="L350">
            <v>6.5784214319999998</v>
          </cell>
          <cell r="M350">
            <v>6.6438132120000004</v>
          </cell>
          <cell r="N350">
            <v>6.7091455250000003</v>
          </cell>
          <cell r="O350">
            <v>6.7728322460000001</v>
          </cell>
          <cell r="P350">
            <v>6.8352026099999996</v>
          </cell>
          <cell r="Q350">
            <v>6.896774572</v>
          </cell>
          <cell r="R350">
            <v>6.9556211210000001</v>
          </cell>
          <cell r="S350">
            <v>7.006364531</v>
          </cell>
          <cell r="T350">
            <v>7.0518803739999996</v>
          </cell>
          <cell r="U350">
            <v>7.0962271069999998</v>
          </cell>
          <cell r="V350">
            <v>7.1486791350000001</v>
          </cell>
          <cell r="W350">
            <v>7.2173317480000003</v>
          </cell>
          <cell r="X350">
            <v>7.3057432980000003</v>
          </cell>
          <cell r="Y350">
            <v>7.41450838</v>
          </cell>
          <cell r="Z350">
            <v>7.5432918579999999</v>
          </cell>
          <cell r="AA350">
            <v>7.691312205</v>
          </cell>
          <cell r="AB350">
            <v>7.8584454450000001</v>
          </cell>
          <cell r="AC350">
            <v>8.0444612549999999</v>
          </cell>
          <cell r="AD350">
            <v>8.2487234429999994</v>
          </cell>
          <cell r="AE350">
            <v>8.4708392099999994</v>
          </cell>
          <cell r="AF350">
            <v>8.7106910600000003</v>
          </cell>
          <cell r="AG350">
            <v>8.9688842879999999</v>
          </cell>
          <cell r="AH350">
            <v>9.2452427999999998</v>
          </cell>
          <cell r="AI350">
            <v>9.5370690650000007</v>
          </cell>
          <cell r="AJ350">
            <v>9.8404222410000006</v>
          </cell>
          <cell r="AK350">
            <v>10.151647430000001</v>
          </cell>
          <cell r="AL350">
            <v>10.46779615</v>
          </cell>
          <cell r="AM350">
            <v>10.786369909999999</v>
          </cell>
          <cell r="AN350">
            <v>11.10515558</v>
          </cell>
          <cell r="AO350">
            <v>11.42212142</v>
          </cell>
        </row>
        <row r="353">
          <cell r="F353">
            <v>73.965462770000002</v>
          </cell>
          <cell r="G353">
            <v>73.738772749999995</v>
          </cell>
          <cell r="H353">
            <v>73.287575860000004</v>
          </cell>
          <cell r="I353">
            <v>72.839986249999995</v>
          </cell>
          <cell r="J353">
            <v>72.492965049999995</v>
          </cell>
          <cell r="K353">
            <v>72.227420260000002</v>
          </cell>
          <cell r="L353">
            <v>71.987690209999997</v>
          </cell>
          <cell r="M353">
            <v>71.568801089999994</v>
          </cell>
          <cell r="N353">
            <v>70.974866750000004</v>
          </cell>
          <cell r="O353">
            <v>70.138206650000001</v>
          </cell>
          <cell r="P353">
            <v>69.033724699999993</v>
          </cell>
          <cell r="Q353">
            <v>67.75052393</v>
          </cell>
          <cell r="R353">
            <v>66.409574190000001</v>
          </cell>
          <cell r="S353">
            <v>65.107113119999994</v>
          </cell>
          <cell r="T353">
            <v>63.897073519999999</v>
          </cell>
          <cell r="U353">
            <v>62.800903699999999</v>
          </cell>
          <cell r="V353">
            <v>61.832006190000001</v>
          </cell>
          <cell r="W353">
            <v>60.96909033</v>
          </cell>
          <cell r="X353">
            <v>60.194892379999999</v>
          </cell>
          <cell r="Y353">
            <v>59.498782439999999</v>
          </cell>
          <cell r="Z353">
            <v>58.873903200000001</v>
          </cell>
          <cell r="AA353">
            <v>58.316000610000003</v>
          </cell>
          <cell r="AB353">
            <v>57.82170962</v>
          </cell>
          <cell r="AC353">
            <v>57.385930449999996</v>
          </cell>
          <cell r="AD353">
            <v>57.00525648</v>
          </cell>
          <cell r="AE353">
            <v>56.676953910000002</v>
          </cell>
          <cell r="AF353">
            <v>56.397996169999999</v>
          </cell>
          <cell r="AG353">
            <v>56.16553949</v>
          </cell>
          <cell r="AH353">
            <v>55.977627589999997</v>
          </cell>
          <cell r="AI353">
            <v>55.832744060000003</v>
          </cell>
          <cell r="AJ353">
            <v>55.729485359999998</v>
          </cell>
          <cell r="AK353">
            <v>55.666150960000003</v>
          </cell>
          <cell r="AL353">
            <v>55.640728289999998</v>
          </cell>
          <cell r="AM353">
            <v>55.651053539999999</v>
          </cell>
          <cell r="AN353">
            <v>55.69399954</v>
          </cell>
          <cell r="AO353">
            <v>55.76360794</v>
          </cell>
        </row>
        <row r="354">
          <cell r="F354">
            <v>39.923462319999999</v>
          </cell>
          <cell r="G354">
            <v>40.16425109</v>
          </cell>
          <cell r="H354">
            <v>39.96684612</v>
          </cell>
          <cell r="I354">
            <v>39.670568179999997</v>
          </cell>
          <cell r="J354">
            <v>39.411566479999998</v>
          </cell>
          <cell r="K354">
            <v>39.20971771</v>
          </cell>
          <cell r="L354">
            <v>39.049807139999999</v>
          </cell>
          <cell r="M354">
            <v>38.860270810000003</v>
          </cell>
          <cell r="N354">
            <v>38.663869529999999</v>
          </cell>
          <cell r="O354">
            <v>38.403280450000004</v>
          </cell>
          <cell r="P354">
            <v>38.036397239999999</v>
          </cell>
          <cell r="Q354">
            <v>37.570670829999997</v>
          </cell>
          <cell r="R354">
            <v>37.059840520000002</v>
          </cell>
          <cell r="S354">
            <v>36.561888170000003</v>
          </cell>
          <cell r="T354">
            <v>36.110872759999999</v>
          </cell>
          <cell r="U354">
            <v>35.71926036</v>
          </cell>
          <cell r="V354">
            <v>35.393845560000003</v>
          </cell>
          <cell r="W354">
            <v>35.115229599999999</v>
          </cell>
          <cell r="X354">
            <v>34.86859596</v>
          </cell>
          <cell r="Y354">
            <v>34.646125390000002</v>
          </cell>
          <cell r="Z354">
            <v>34.443910899999999</v>
          </cell>
          <cell r="AA354">
            <v>34.260685180000003</v>
          </cell>
          <cell r="AB354">
            <v>34.095854860000003</v>
          </cell>
          <cell r="AC354">
            <v>33.946756740000005</v>
          </cell>
          <cell r="AD354">
            <v>33.812385729999995</v>
          </cell>
          <cell r="AE354">
            <v>33.692286659999994</v>
          </cell>
          <cell r="AF354">
            <v>33.585821920000001</v>
          </cell>
          <cell r="AG354">
            <v>33.492190600000001</v>
          </cell>
          <cell r="AH354">
            <v>33.410710649999999</v>
          </cell>
          <cell r="AI354">
            <v>33.340829120000002</v>
          </cell>
          <cell r="AJ354">
            <v>33.28240976</v>
          </cell>
          <cell r="AK354">
            <v>33.235546229999997</v>
          </cell>
          <cell r="AL354">
            <v>33.200367890000003</v>
          </cell>
          <cell r="AM354">
            <v>33.17685367</v>
          </cell>
          <cell r="AN354">
            <v>33.164025940000002</v>
          </cell>
          <cell r="AO354">
            <v>33.158146559999999</v>
          </cell>
        </row>
        <row r="362">
          <cell r="F362">
            <v>34.042000460000004</v>
          </cell>
          <cell r="G362">
            <v>33.574521650000001</v>
          </cell>
          <cell r="H362">
            <v>33.320729739999997</v>
          </cell>
          <cell r="I362">
            <v>33.169418069999999</v>
          </cell>
          <cell r="J362">
            <v>33.081398569999998</v>
          </cell>
          <cell r="K362">
            <v>33.017702550000003</v>
          </cell>
          <cell r="L362">
            <v>32.937883069999998</v>
          </cell>
          <cell r="M362">
            <v>32.708530279999998</v>
          </cell>
          <cell r="N362">
            <v>32.310997219999997</v>
          </cell>
          <cell r="O362">
            <v>31.7349262</v>
          </cell>
          <cell r="P362">
            <v>30.997327460000001</v>
          </cell>
          <cell r="Q362">
            <v>30.179853100000003</v>
          </cell>
          <cell r="R362">
            <v>29.349733670000003</v>
          </cell>
          <cell r="S362">
            <v>28.545224949999998</v>
          </cell>
          <cell r="T362">
            <v>27.786200760000003</v>
          </cell>
          <cell r="U362">
            <v>27.081643329999999</v>
          </cell>
          <cell r="V362">
            <v>26.438160629999999</v>
          </cell>
          <cell r="W362">
            <v>25.853860739999998</v>
          </cell>
          <cell r="X362">
            <v>25.326296410000001</v>
          </cell>
          <cell r="Y362">
            <v>24.85265704</v>
          </cell>
          <cell r="Z362">
            <v>24.429992300000002</v>
          </cell>
          <cell r="AA362">
            <v>24.05531543</v>
          </cell>
          <cell r="AB362">
            <v>23.725854769999998</v>
          </cell>
          <cell r="AC362">
            <v>23.439173699999998</v>
          </cell>
          <cell r="AD362">
            <v>23.192870760000002</v>
          </cell>
          <cell r="AE362">
            <v>22.984667250000001</v>
          </cell>
          <cell r="AF362">
            <v>22.812174250000002</v>
          </cell>
          <cell r="AG362">
            <v>22.67334889</v>
          </cell>
          <cell r="AH362">
            <v>22.566916940000002</v>
          </cell>
          <cell r="AI362">
            <v>22.491914940000001</v>
          </cell>
          <cell r="AJ362">
            <v>22.447075609999999</v>
          </cell>
          <cell r="AK362">
            <v>22.430604729999999</v>
          </cell>
          <cell r="AL362">
            <v>22.440360399999999</v>
          </cell>
          <cell r="AM362">
            <v>22.47419987</v>
          </cell>
          <cell r="AN362">
            <v>22.529973600000002</v>
          </cell>
          <cell r="AO362">
            <v>22.605461379999998</v>
          </cell>
        </row>
        <row r="366">
          <cell r="F366">
            <v>8.5241878619999998</v>
          </cell>
          <cell r="G366">
            <v>8.5216595930000008</v>
          </cell>
          <cell r="H366">
            <v>8.5315256159999997</v>
          </cell>
          <cell r="I366">
            <v>8.5582824300000002</v>
          </cell>
          <cell r="J366">
            <v>8.6125838669999997</v>
          </cell>
          <cell r="K366">
            <v>8.6902946340000007</v>
          </cell>
          <cell r="L366">
            <v>8.7842341820000005</v>
          </cell>
          <cell r="M366">
            <v>8.8142118380000003</v>
          </cell>
          <cell r="N366">
            <v>8.8385203990000001</v>
          </cell>
          <cell r="O366">
            <v>8.9132482240000002</v>
          </cell>
          <cell r="P366">
            <v>9.0072097759999998</v>
          </cell>
          <cell r="Q366">
            <v>9.1177985110000002</v>
          </cell>
          <cell r="R366">
            <v>9.2349021530000002</v>
          </cell>
          <cell r="S366">
            <v>9.3485169890000002</v>
          </cell>
          <cell r="T366">
            <v>9.4628520760000008</v>
          </cell>
          <cell r="U366">
            <v>9.5810677559999995</v>
          </cell>
          <cell r="V366">
            <v>9.7034015670000002</v>
          </cell>
          <cell r="W366">
            <v>9.8333267049999993</v>
          </cell>
          <cell r="X366">
            <v>9.9742016509999996</v>
          </cell>
          <cell r="Y366">
            <v>10.12805696</v>
          </cell>
          <cell r="Z366">
            <v>10.296801739999999</v>
          </cell>
          <cell r="AA366">
            <v>10.482289919999999</v>
          </cell>
          <cell r="AB366">
            <v>10.686926830000001</v>
          </cell>
          <cell r="AC366">
            <v>10.91176696</v>
          </cell>
          <cell r="AD366">
            <v>11.15656106</v>
          </cell>
          <cell r="AE366">
            <v>11.42137868</v>
          </cell>
          <cell r="AF366">
            <v>11.708660679999999</v>
          </cell>
          <cell r="AG366">
            <v>12.02251319</v>
          </cell>
          <cell r="AH366">
            <v>12.36439058</v>
          </cell>
          <cell r="AI366">
            <v>12.73242782</v>
          </cell>
          <cell r="AJ366">
            <v>13.12365685</v>
          </cell>
          <cell r="AK366">
            <v>13.53709242</v>
          </cell>
          <cell r="AL366">
            <v>13.973939</v>
          </cell>
          <cell r="AM366">
            <v>14.435815379999999</v>
          </cell>
          <cell r="AN366">
            <v>14.925252589999999</v>
          </cell>
          <cell r="AO366">
            <v>15.446367009999999</v>
          </cell>
        </row>
        <row r="378">
          <cell r="F378">
            <v>4.8842363229999997</v>
          </cell>
          <cell r="G378">
            <v>4.797837039</v>
          </cell>
          <cell r="H378">
            <v>4.7196815519999999</v>
          </cell>
          <cell r="I378">
            <v>4.6650432860000004</v>
          </cell>
          <cell r="J378">
            <v>4.6487243720000002</v>
          </cell>
          <cell r="K378">
            <v>4.6615790779999999</v>
          </cell>
          <cell r="L378">
            <v>4.6914995209999999</v>
          </cell>
          <cell r="M378">
            <v>4.6430952999999997</v>
          </cell>
          <cell r="N378">
            <v>4.5675207259999997</v>
          </cell>
          <cell r="O378">
            <v>4.5013361659999997</v>
          </cell>
          <cell r="P378">
            <v>4.4382506089999998</v>
          </cell>
          <cell r="Q378">
            <v>4.3947028570000004</v>
          </cell>
          <cell r="R378">
            <v>4.3687161940000001</v>
          </cell>
          <cell r="S378">
            <v>4.3547979049999999</v>
          </cell>
          <cell r="T378">
            <v>4.3524432290000004</v>
          </cell>
          <cell r="U378">
            <v>4.3609615350000004</v>
          </cell>
          <cell r="V378">
            <v>4.3759157149999997</v>
          </cell>
          <cell r="W378">
            <v>4.3978832419999998</v>
          </cell>
          <cell r="X378">
            <v>4.4283414570000001</v>
          </cell>
          <cell r="Y378">
            <v>4.4684393929999997</v>
          </cell>
          <cell r="Z378">
            <v>4.5192517299999997</v>
          </cell>
          <cell r="AA378">
            <v>4.5817416670000002</v>
          </cell>
          <cell r="AB378">
            <v>4.6570923110000004</v>
          </cell>
          <cell r="AC378">
            <v>4.7460957009999998</v>
          </cell>
          <cell r="AD378">
            <v>4.8491844769999997</v>
          </cell>
          <cell r="AE378">
            <v>4.9668773159999997</v>
          </cell>
          <cell r="AF378">
            <v>5.0994468169999996</v>
          </cell>
          <cell r="AG378">
            <v>5.2493051270000004</v>
          </cell>
          <cell r="AH378">
            <v>5.417273486</v>
          </cell>
          <cell r="AI378">
            <v>5.6028086049999999</v>
          </cell>
          <cell r="AJ378">
            <v>5.804909898</v>
          </cell>
          <cell r="AK378">
            <v>6.0232131999999998</v>
          </cell>
          <cell r="AL378">
            <v>6.2580971339999998</v>
          </cell>
          <cell r="AM378">
            <v>6.5101565819999996</v>
          </cell>
          <cell r="AN378">
            <v>6.7804298970000003</v>
          </cell>
          <cell r="AO378">
            <v>7.0705049400000002</v>
          </cell>
        </row>
        <row r="390">
          <cell r="F390">
            <v>33.520806069999999</v>
          </cell>
          <cell r="G390">
            <v>34.177375419999997</v>
          </cell>
          <cell r="H390">
            <v>34.868541690000001</v>
          </cell>
          <cell r="I390">
            <v>35.41962994</v>
          </cell>
          <cell r="J390">
            <v>35.931724170000003</v>
          </cell>
          <cell r="K390">
            <v>36.454710400000003</v>
          </cell>
          <cell r="L390">
            <v>37.011859790000003</v>
          </cell>
          <cell r="M390">
            <v>37.124714820000001</v>
          </cell>
          <cell r="N390">
            <v>37.142276379999998</v>
          </cell>
          <cell r="O390">
            <v>37.349052260000001</v>
          </cell>
          <cell r="P390">
            <v>37.581638159999997</v>
          </cell>
          <cell r="Q390">
            <v>37.861634260000002</v>
          </cell>
          <cell r="R390">
            <v>38.143417499999998</v>
          </cell>
          <cell r="S390">
            <v>38.394364959999997</v>
          </cell>
          <cell r="T390">
            <v>38.652332780000002</v>
          </cell>
          <cell r="U390">
            <v>38.943250550000002</v>
          </cell>
          <cell r="V390">
            <v>39.276576669999997</v>
          </cell>
          <cell r="W390">
            <v>39.647666299999997</v>
          </cell>
          <cell r="X390">
            <v>40.069395100000001</v>
          </cell>
          <cell r="Y390">
            <v>40.54949869</v>
          </cell>
          <cell r="Z390">
            <v>41.096197629999999</v>
          </cell>
          <cell r="AA390">
            <v>41.71741849</v>
          </cell>
          <cell r="AB390">
            <v>42.423611700000002</v>
          </cell>
          <cell r="AC390">
            <v>43.219016600000003</v>
          </cell>
          <cell r="AD390">
            <v>44.10186186</v>
          </cell>
          <cell r="AE390">
            <v>45.072135179999997</v>
          </cell>
          <cell r="AF390">
            <v>46.124226800000002</v>
          </cell>
          <cell r="AG390">
            <v>47.282105719999997</v>
          </cell>
          <cell r="AH390">
            <v>48.547910889999997</v>
          </cell>
          <cell r="AI390">
            <v>49.906960939999998</v>
          </cell>
          <cell r="AJ390">
            <v>51.33962313</v>
          </cell>
          <cell r="AK390">
            <v>52.833702010000003</v>
          </cell>
          <cell r="AL390">
            <v>54.383741669999999</v>
          </cell>
          <cell r="AM390">
            <v>55.983495339999997</v>
          </cell>
          <cell r="AN390">
            <v>57.625939889999998</v>
          </cell>
          <cell r="AO390">
            <v>59.300935619999997</v>
          </cell>
        </row>
        <row r="402">
          <cell r="F402">
            <v>29.523528070000001</v>
          </cell>
          <cell r="G402">
            <v>29.474172849999999</v>
          </cell>
          <cell r="H402">
            <v>29.431673530000001</v>
          </cell>
          <cell r="I402">
            <v>29.417512590000001</v>
          </cell>
          <cell r="J402">
            <v>29.525640360000001</v>
          </cell>
          <cell r="K402">
            <v>29.745164469999999</v>
          </cell>
          <cell r="L402">
            <v>30.057701340000001</v>
          </cell>
          <cell r="M402">
            <v>30.03515896</v>
          </cell>
          <cell r="N402">
            <v>29.86131409</v>
          </cell>
          <cell r="O402">
            <v>29.68308103</v>
          </cell>
          <cell r="P402">
            <v>29.488707179999999</v>
          </cell>
          <cell r="Q402">
            <v>29.360845640000001</v>
          </cell>
          <cell r="R402">
            <v>29.28783336</v>
          </cell>
          <cell r="S402">
            <v>29.249151380000001</v>
          </cell>
          <cell r="T402">
            <v>29.248426340000002</v>
          </cell>
          <cell r="U402">
            <v>29.290637499999999</v>
          </cell>
          <cell r="V402">
            <v>29.33305739</v>
          </cell>
          <cell r="W402">
            <v>29.395668910000001</v>
          </cell>
          <cell r="X402">
            <v>29.494942559999998</v>
          </cell>
          <cell r="Y402">
            <v>29.64194419</v>
          </cell>
          <cell r="Z402">
            <v>29.845108880000002</v>
          </cell>
          <cell r="AA402">
            <v>30.11171057</v>
          </cell>
          <cell r="AB402">
            <v>30.448469029999998</v>
          </cell>
          <cell r="AC402">
            <v>30.85843066</v>
          </cell>
          <cell r="AD402">
            <v>31.343027970000001</v>
          </cell>
          <cell r="AE402">
            <v>31.903237229999998</v>
          </cell>
          <cell r="AF402">
            <v>32.5461326</v>
          </cell>
          <cell r="AG402">
            <v>33.27944505</v>
          </cell>
          <cell r="AH402">
            <v>34.101645490000003</v>
          </cell>
          <cell r="AI402">
            <v>35.003497779999996</v>
          </cell>
          <cell r="AJ402">
            <v>35.973543720000002</v>
          </cell>
          <cell r="AK402">
            <v>37.004393579999999</v>
          </cell>
          <cell r="AL402">
            <v>38.092129380000003</v>
          </cell>
          <cell r="AM402">
            <v>39.231218400000003</v>
          </cell>
          <cell r="AN402">
            <v>40.416075919999997</v>
          </cell>
          <cell r="AO402">
            <v>41.639756060000003</v>
          </cell>
        </row>
        <row r="414">
          <cell r="F414">
            <v>73.965462770000002</v>
          </cell>
          <cell r="G414">
            <v>73.738772749999995</v>
          </cell>
          <cell r="H414">
            <v>73.287575860000004</v>
          </cell>
          <cell r="I414">
            <v>72.839986249999995</v>
          </cell>
          <cell r="J414">
            <v>72.492965049999995</v>
          </cell>
          <cell r="K414">
            <v>72.227420260000002</v>
          </cell>
          <cell r="L414">
            <v>71.891507250000004</v>
          </cell>
          <cell r="M414">
            <v>71.461335689999999</v>
          </cell>
          <cell r="N414">
            <v>70.924324350000006</v>
          </cell>
          <cell r="O414">
            <v>70.271701590000006</v>
          </cell>
          <cell r="P414">
            <v>69.502867379999998</v>
          </cell>
          <cell r="Q414">
            <v>68.630587939999998</v>
          </cell>
          <cell r="R414">
            <v>67.680760079999999</v>
          </cell>
          <cell r="S414">
            <v>66.686592360000006</v>
          </cell>
          <cell r="T414">
            <v>65.681905009999994</v>
          </cell>
          <cell r="U414">
            <v>64.695312920000006</v>
          </cell>
          <cell r="V414">
            <v>63.807946520000002</v>
          </cell>
          <cell r="W414">
            <v>63.021778959999999</v>
          </cell>
          <cell r="X414">
            <v>62.324250200000002</v>
          </cell>
          <cell r="Y414">
            <v>61.699919360000003</v>
          </cell>
          <cell r="Z414">
            <v>61.136773859999998</v>
          </cell>
          <cell r="AA414">
            <v>60.626300039999997</v>
          </cell>
          <cell r="AB414">
            <v>60.162733879999998</v>
          </cell>
          <cell r="AC414">
            <v>59.74216629</v>
          </cell>
          <cell r="AD414">
            <v>59.361271160000001</v>
          </cell>
          <cell r="AE414">
            <v>59.017739489999997</v>
          </cell>
          <cell r="AF414">
            <v>58.70989737</v>
          </cell>
          <cell r="AG414">
            <v>58.436521540000001</v>
          </cell>
          <cell r="AH414">
            <v>58.196724770000003</v>
          </cell>
          <cell r="AI414">
            <v>57.989820160000001</v>
          </cell>
          <cell r="AJ414">
            <v>57.814968110000002</v>
          </cell>
          <cell r="AK414">
            <v>57.670924339999999</v>
          </cell>
          <cell r="AL414">
            <v>57.555960550000002</v>
          </cell>
          <cell r="AM414">
            <v>57.467944629999998</v>
          </cell>
          <cell r="AN414">
            <v>57.40446515</v>
          </cell>
          <cell r="AO414">
            <v>57.362818279999999</v>
          </cell>
        </row>
        <row r="415">
          <cell r="F415">
            <v>39.923462319999999</v>
          </cell>
          <cell r="G415">
            <v>40.16425109</v>
          </cell>
          <cell r="H415">
            <v>39.96684612</v>
          </cell>
          <cell r="I415">
            <v>39.670568179999997</v>
          </cell>
          <cell r="J415">
            <v>39.411566479999998</v>
          </cell>
          <cell r="K415">
            <v>39.20971771</v>
          </cell>
          <cell r="L415">
            <v>38.99849605</v>
          </cell>
          <cell r="M415">
            <v>38.778036319999998</v>
          </cell>
          <cell r="N415">
            <v>38.55520508</v>
          </cell>
          <cell r="O415">
            <v>38.333888930000001</v>
          </cell>
          <cell r="P415">
            <v>38.114345759999999</v>
          </cell>
          <cell r="Q415">
            <v>37.894363370000001</v>
          </cell>
          <cell r="R415">
            <v>37.672241759999999</v>
          </cell>
          <cell r="S415">
            <v>37.448422640000004</v>
          </cell>
          <cell r="T415">
            <v>37.224878770000004</v>
          </cell>
          <cell r="U415">
            <v>37.003988299999996</v>
          </cell>
          <cell r="V415">
            <v>36.828680390000002</v>
          </cell>
          <cell r="W415">
            <v>36.694334810000001</v>
          </cell>
          <cell r="X415">
            <v>36.589360030000002</v>
          </cell>
          <cell r="Y415">
            <v>36.501516170000002</v>
          </cell>
          <cell r="Z415">
            <v>36.4222842</v>
          </cell>
          <cell r="AA415">
            <v>36.346312170000004</v>
          </cell>
          <cell r="AB415">
            <v>36.270548170000005</v>
          </cell>
          <cell r="AC415">
            <v>36.193461970000001</v>
          </cell>
          <cell r="AD415">
            <v>36.114022219999995</v>
          </cell>
          <cell r="AE415">
            <v>36.031980829999995</v>
          </cell>
          <cell r="AF415">
            <v>35.947468479999998</v>
          </cell>
          <cell r="AG415">
            <v>35.86072163</v>
          </cell>
          <cell r="AH415">
            <v>35.772095110000002</v>
          </cell>
          <cell r="AI415">
            <v>35.682064859999997</v>
          </cell>
          <cell r="AJ415">
            <v>35.591257159999998</v>
          </cell>
          <cell r="AK415">
            <v>35.500261100000003</v>
          </cell>
          <cell r="AL415">
            <v>35.409474020000005</v>
          </cell>
          <cell r="AM415">
            <v>35.319093270000003</v>
          </cell>
          <cell r="AN415">
            <v>35.229160310000005</v>
          </cell>
          <cell r="AO415">
            <v>35.139489909999995</v>
          </cell>
        </row>
        <row r="423">
          <cell r="F423">
            <v>34.042000460000004</v>
          </cell>
          <cell r="G423">
            <v>33.574521650000001</v>
          </cell>
          <cell r="H423">
            <v>33.320729739999997</v>
          </cell>
          <cell r="I423">
            <v>33.169418069999999</v>
          </cell>
          <cell r="J423">
            <v>33.081398569999998</v>
          </cell>
          <cell r="K423">
            <v>33.017702550000003</v>
          </cell>
          <cell r="L423">
            <v>32.893011209999997</v>
          </cell>
          <cell r="M423">
            <v>32.683299380000001</v>
          </cell>
          <cell r="N423">
            <v>32.369119269999999</v>
          </cell>
          <cell r="O423">
            <v>31.937812659999999</v>
          </cell>
          <cell r="P423">
            <v>31.38852163</v>
          </cell>
          <cell r="Q423">
            <v>30.736224570000001</v>
          </cell>
          <cell r="R423">
            <v>30.00851832</v>
          </cell>
          <cell r="S423">
            <v>29.238169719999998</v>
          </cell>
          <cell r="T423">
            <v>28.457026239999998</v>
          </cell>
          <cell r="U423">
            <v>27.69132462</v>
          </cell>
          <cell r="V423">
            <v>26.979266129999999</v>
          </cell>
          <cell r="W423">
            <v>26.327444149999998</v>
          </cell>
          <cell r="X423">
            <v>25.734890159999999</v>
          </cell>
          <cell r="Y423">
            <v>25.198403190000001</v>
          </cell>
          <cell r="Z423">
            <v>24.714489660000002</v>
          </cell>
          <cell r="AA423">
            <v>24.279987869999999</v>
          </cell>
          <cell r="AB423">
            <v>23.892185720000001</v>
          </cell>
          <cell r="AC423">
            <v>23.548704319999999</v>
          </cell>
          <cell r="AD423">
            <v>23.247248940000002</v>
          </cell>
          <cell r="AE423">
            <v>22.985758660000002</v>
          </cell>
          <cell r="AF423">
            <v>22.762428879999998</v>
          </cell>
          <cell r="AG423">
            <v>22.575799910000001</v>
          </cell>
          <cell r="AH423">
            <v>22.424629670000002</v>
          </cell>
          <cell r="AI423">
            <v>22.3077553</v>
          </cell>
          <cell r="AJ423">
            <v>22.223710950000001</v>
          </cell>
          <cell r="AK423">
            <v>22.17066324</v>
          </cell>
          <cell r="AL423">
            <v>22.146486530000001</v>
          </cell>
          <cell r="AM423">
            <v>22.148851359999998</v>
          </cell>
          <cell r="AN423">
            <v>22.175304839999999</v>
          </cell>
          <cell r="AO423">
            <v>22.223328370000001</v>
          </cell>
        </row>
        <row r="427">
          <cell r="F427">
            <v>8.5241878619999998</v>
          </cell>
          <cell r="G427">
            <v>8.5216595930000008</v>
          </cell>
          <cell r="H427">
            <v>8.5315256159999997</v>
          </cell>
          <cell r="I427">
            <v>8.5582824300000002</v>
          </cell>
          <cell r="J427">
            <v>8.6125838669999997</v>
          </cell>
          <cell r="K427">
            <v>8.6902946340000007</v>
          </cell>
          <cell r="L427">
            <v>8.7773526579999999</v>
          </cell>
          <cell r="M427">
            <v>8.8692100709999995</v>
          </cell>
          <cell r="N427">
            <v>8.9645611610000007</v>
          </cell>
          <cell r="O427">
            <v>9.0639549200000005</v>
          </cell>
          <cell r="P427">
            <v>9.1682131830000007</v>
          </cell>
          <cell r="Q427">
            <v>9.2776572880000003</v>
          </cell>
          <cell r="R427">
            <v>9.3887469679999995</v>
          </cell>
          <cell r="S427">
            <v>9.4931373449999992</v>
          </cell>
          <cell r="T427">
            <v>9.5942212399999995</v>
          </cell>
          <cell r="U427">
            <v>9.6964195600000007</v>
          </cell>
          <cell r="V427">
            <v>9.8089459689999998</v>
          </cell>
          <cell r="W427">
            <v>9.9366703229999995</v>
          </cell>
          <cell r="X427">
            <v>10.081257770000001</v>
          </cell>
          <cell r="Y427">
            <v>10.242518860000001</v>
          </cell>
          <cell r="Z427">
            <v>10.420351459999999</v>
          </cell>
          <cell r="AA427">
            <v>10.614646309999999</v>
          </cell>
          <cell r="AB427">
            <v>10.826314869999999</v>
          </cell>
          <cell r="AC427">
            <v>11.05582366</v>
          </cell>
          <cell r="AD427">
            <v>11.30264158</v>
          </cell>
          <cell r="AE427">
            <v>11.566588919999999</v>
          </cell>
          <cell r="AF427">
            <v>11.847907259999999</v>
          </cell>
          <cell r="AG427">
            <v>12.14797007</v>
          </cell>
          <cell r="AH427">
            <v>12.4669743</v>
          </cell>
          <cell r="AI427">
            <v>12.80203296</v>
          </cell>
          <cell r="AJ427">
            <v>13.148896819999999</v>
          </cell>
          <cell r="AK427">
            <v>13.50404556</v>
          </cell>
          <cell r="AL427">
            <v>13.865044429999999</v>
          </cell>
          <cell r="AM427">
            <v>14.22995231</v>
          </cell>
          <cell r="AN427">
            <v>14.5970192</v>
          </cell>
          <cell r="AO427">
            <v>14.96453415</v>
          </cell>
        </row>
        <row r="439">
          <cell r="F439">
            <v>4.8842363229999997</v>
          </cell>
          <cell r="G439">
            <v>4.797837039</v>
          </cell>
          <cell r="H439">
            <v>4.7196815519999999</v>
          </cell>
          <cell r="I439">
            <v>4.6650432860000004</v>
          </cell>
          <cell r="J439">
            <v>4.6487243720000002</v>
          </cell>
          <cell r="K439">
            <v>4.6615790779999999</v>
          </cell>
          <cell r="L439">
            <v>4.6810121960000002</v>
          </cell>
          <cell r="M439">
            <v>4.6990813779999998</v>
          </cell>
          <cell r="N439">
            <v>4.7131674429999997</v>
          </cell>
          <cell r="O439">
            <v>4.7241398019999998</v>
          </cell>
          <cell r="P439">
            <v>4.7338044249999998</v>
          </cell>
          <cell r="Q439">
            <v>4.7436847569999996</v>
          </cell>
          <cell r="R439">
            <v>4.7532739230000001</v>
          </cell>
          <cell r="S439">
            <v>4.7594446130000003</v>
          </cell>
          <cell r="T439">
            <v>4.7641915680000002</v>
          </cell>
          <cell r="U439">
            <v>4.7699719150000002</v>
          </cell>
          <cell r="V439">
            <v>4.7885631469999996</v>
          </cell>
          <cell r="W439">
            <v>4.8236203289999997</v>
          </cell>
          <cell r="X439">
            <v>4.8756266009999996</v>
          </cell>
          <cell r="Y439">
            <v>4.9434873079999999</v>
          </cell>
          <cell r="Z439">
            <v>5.0258651260000002</v>
          </cell>
          <cell r="AA439">
            <v>5.1214473099999998</v>
          </cell>
          <cell r="AB439">
            <v>5.2296336270000001</v>
          </cell>
          <cell r="AC439">
            <v>5.3499532470000002</v>
          </cell>
          <cell r="AD439">
            <v>5.4817455749999997</v>
          </cell>
          <cell r="AE439">
            <v>5.6245472159999998</v>
          </cell>
          <cell r="AF439">
            <v>5.7781270659999997</v>
          </cell>
          <cell r="AG439">
            <v>5.9428516919999996</v>
          </cell>
          <cell r="AH439">
            <v>6.1185960379999997</v>
          </cell>
          <cell r="AI439">
            <v>6.3037106789999999</v>
          </cell>
          <cell r="AJ439">
            <v>6.4957363079999997</v>
          </cell>
          <cell r="AK439">
            <v>6.6923885700000003</v>
          </cell>
          <cell r="AL439">
            <v>6.8918657290000001</v>
          </cell>
          <cell r="AM439">
            <v>7.0926403990000004</v>
          </cell>
          <cell r="AN439">
            <v>7.2933391219999999</v>
          </cell>
          <cell r="AO439">
            <v>7.4926736619999996</v>
          </cell>
        </row>
        <row r="451">
          <cell r="F451">
            <v>33.520806069999999</v>
          </cell>
          <cell r="G451">
            <v>34.177375419999997</v>
          </cell>
          <cell r="H451">
            <v>34.868541690000001</v>
          </cell>
          <cell r="I451">
            <v>35.41962994</v>
          </cell>
          <cell r="J451">
            <v>35.931724170000003</v>
          </cell>
          <cell r="K451">
            <v>36.454710400000003</v>
          </cell>
          <cell r="L451">
            <v>36.96865863</v>
          </cell>
          <cell r="M451">
            <v>37.469762609999997</v>
          </cell>
          <cell r="N451">
            <v>37.958154690000001</v>
          </cell>
          <cell r="O451">
            <v>38.440517110000002</v>
          </cell>
          <cell r="P451">
            <v>38.924670089999999</v>
          </cell>
          <cell r="Q451">
            <v>39.415483080000001</v>
          </cell>
          <cell r="R451">
            <v>39.896205729999998</v>
          </cell>
          <cell r="S451">
            <v>40.323753529999998</v>
          </cell>
          <cell r="T451">
            <v>40.721703269999999</v>
          </cell>
          <cell r="U451">
            <v>41.11824713</v>
          </cell>
          <cell r="V451">
            <v>41.573375640000002</v>
          </cell>
          <cell r="W451">
            <v>42.116960259999999</v>
          </cell>
          <cell r="X451">
            <v>42.760145559999998</v>
          </cell>
          <cell r="Y451">
            <v>43.501735429999997</v>
          </cell>
          <cell r="Z451">
            <v>44.339819249999998</v>
          </cell>
          <cell r="AA451">
            <v>45.271912380000003</v>
          </cell>
          <cell r="AB451">
            <v>46.300924070000001</v>
          </cell>
          <cell r="AC451">
            <v>47.427317950000003</v>
          </cell>
          <cell r="AD451">
            <v>48.646523870000003</v>
          </cell>
          <cell r="AE451">
            <v>49.956650289999999</v>
          </cell>
          <cell r="AF451">
            <v>51.358538000000003</v>
          </cell>
          <cell r="AG451">
            <v>52.859135539999997</v>
          </cell>
          <cell r="AH451">
            <v>54.45921585</v>
          </cell>
          <cell r="AI451">
            <v>56.142305929999999</v>
          </cell>
          <cell r="AJ451">
            <v>57.8851206</v>
          </cell>
          <cell r="AK451">
            <v>59.669115939999998</v>
          </cell>
          <cell r="AL451">
            <v>61.481882380000002</v>
          </cell>
          <cell r="AM451">
            <v>63.313786579999999</v>
          </cell>
          <cell r="AN451">
            <v>65.156201879999998</v>
          </cell>
          <cell r="AO451">
            <v>67.000602049999998</v>
          </cell>
        </row>
        <row r="463">
          <cell r="F463">
            <v>29.523528070000001</v>
          </cell>
          <cell r="G463">
            <v>29.474172849999999</v>
          </cell>
          <cell r="H463">
            <v>29.431673530000001</v>
          </cell>
          <cell r="I463">
            <v>29.417512590000001</v>
          </cell>
          <cell r="J463">
            <v>29.525640360000001</v>
          </cell>
          <cell r="K463">
            <v>29.745164469999999</v>
          </cell>
          <cell r="L463">
            <v>30.031742250000001</v>
          </cell>
          <cell r="M463">
            <v>30.33730117</v>
          </cell>
          <cell r="N463">
            <v>30.631973290000001</v>
          </cell>
          <cell r="O463">
            <v>30.90697144</v>
          </cell>
          <cell r="P463">
            <v>31.164069680000001</v>
          </cell>
          <cell r="Q463">
            <v>31.406254610000001</v>
          </cell>
          <cell r="R463">
            <v>31.63061673</v>
          </cell>
          <cell r="S463">
            <v>31.82485071</v>
          </cell>
          <cell r="T463">
            <v>31.998104479999999</v>
          </cell>
          <cell r="U463">
            <v>32.165007719999998</v>
          </cell>
          <cell r="V463">
            <v>32.359797409999999</v>
          </cell>
          <cell r="W463">
            <v>32.618430830000001</v>
          </cell>
          <cell r="X463">
            <v>32.959903160000003</v>
          </cell>
          <cell r="Y463">
            <v>33.390363090000001</v>
          </cell>
          <cell r="Z463">
            <v>33.909728989999998</v>
          </cell>
          <cell r="AA463">
            <v>34.514566160000001</v>
          </cell>
          <cell r="AB463">
            <v>35.2026404</v>
          </cell>
          <cell r="AC463">
            <v>35.971987429999999</v>
          </cell>
          <cell r="AD463">
            <v>36.82050572</v>
          </cell>
          <cell r="AE463">
            <v>37.746075920000003</v>
          </cell>
          <cell r="AF463">
            <v>38.746794219999998</v>
          </cell>
          <cell r="AG463">
            <v>39.822246999999997</v>
          </cell>
          <cell r="AH463">
            <v>40.969679640000003</v>
          </cell>
          <cell r="AI463">
            <v>42.177964269999997</v>
          </cell>
          <cell r="AJ463">
            <v>43.431376210000003</v>
          </cell>
          <cell r="AK463">
            <v>44.714156809999999</v>
          </cell>
          <cell r="AL463">
            <v>46.012654859999998</v>
          </cell>
          <cell r="AM463">
            <v>47.315238970000003</v>
          </cell>
          <cell r="AN463">
            <v>48.612011989999999</v>
          </cell>
          <cell r="AO463">
            <v>49.894482240000002</v>
          </cell>
        </row>
        <row r="1365">
          <cell r="E1365" t="str">
            <v>100*(GDP_2/GDP_0-1)</v>
          </cell>
          <cell r="F1365">
            <v>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4.1605090223573171E-2</v>
          </cell>
          <cell r="M1365">
            <v>-0.14377246510621777</v>
          </cell>
          <cell r="N1365">
            <v>-0.3019101015068415</v>
          </cell>
          <cell r="O1365">
            <v>-8.8715681087170317E-2</v>
          </cell>
          <cell r="P1365">
            <v>0.14050337068214347</v>
          </cell>
          <cell r="Q1365">
            <v>0.33254942301226276</v>
          </cell>
          <cell r="R1365">
            <v>0.4846967210885289</v>
          </cell>
          <cell r="S1365">
            <v>0.61384440035523458</v>
          </cell>
          <cell r="T1365">
            <v>0.74152698151495056</v>
          </cell>
          <cell r="U1365">
            <v>0.86579506476145429</v>
          </cell>
          <cell r="V1365">
            <v>0.95509713329577917</v>
          </cell>
          <cell r="W1365">
            <v>1.0021788884413851</v>
          </cell>
          <cell r="X1365">
            <v>1.0175415392618348</v>
          </cell>
          <cell r="Y1365">
            <v>1.0139160848300133</v>
          </cell>
          <cell r="Z1365">
            <v>1.0006745872902956</v>
          </cell>
          <cell r="AA1365">
            <v>0.98274088477783295</v>
          </cell>
          <cell r="AB1365">
            <v>0.96195057709675957</v>
          </cell>
          <cell r="AC1365">
            <v>0.93942022963211524</v>
          </cell>
          <cell r="AD1365">
            <v>0.91596390528647653</v>
          </cell>
          <cell r="AE1365">
            <v>0.89163813712695994</v>
          </cell>
          <cell r="AF1365">
            <v>0.86595466162213697</v>
          </cell>
          <cell r="AG1365">
            <v>0.83700713309604602</v>
          </cell>
          <cell r="AH1365">
            <v>0.80641085307830984</v>
          </cell>
          <cell r="AI1365">
            <v>0.77728816495428177</v>
          </cell>
          <cell r="AJ1365">
            <v>0.75218545893058764</v>
          </cell>
          <cell r="AK1365">
            <v>0.73224649627470217</v>
          </cell>
          <cell r="AL1365">
            <v>0.71819924711724603</v>
          </cell>
          <cell r="AM1365">
            <v>0.71179690651772543</v>
          </cell>
          <cell r="AN1365">
            <v>0.71623815695942561</v>
          </cell>
          <cell r="AO1365">
            <v>0.73718453024789188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4.4643597228999354E-2</v>
          </cell>
          <cell r="M1366">
            <v>-0.20810793049194087</v>
          </cell>
          <cell r="N1366">
            <v>-0.41300390023710776</v>
          </cell>
          <cell r="O1366">
            <v>-0.13268854496635285</v>
          </cell>
          <cell r="P1366">
            <v>0.15185427455013389</v>
          </cell>
          <cell r="Q1366">
            <v>0.37992858185282863</v>
          </cell>
          <cell r="R1366">
            <v>0.54638370562121175</v>
          </cell>
          <cell r="S1366">
            <v>0.67887094566239092</v>
          </cell>
          <cell r="T1366">
            <v>0.8100605473335909</v>
          </cell>
          <cell r="U1366">
            <v>0.93921234874903003</v>
          </cell>
          <cell r="V1366">
            <v>1.0227116083661558</v>
          </cell>
          <cell r="W1366">
            <v>1.0597646222745727</v>
          </cell>
          <cell r="X1366">
            <v>1.0617793361113792</v>
          </cell>
          <cell r="Y1366">
            <v>1.042667800983188</v>
          </cell>
          <cell r="Z1366">
            <v>1.0129940204825383</v>
          </cell>
          <cell r="AA1366">
            <v>0.97889798281098894</v>
          </cell>
          <cell r="AB1366">
            <v>0.94281095272412685</v>
          </cell>
          <cell r="AC1366">
            <v>0.9057267184640283</v>
          </cell>
          <cell r="AD1366">
            <v>0.86839011403916366</v>
          </cell>
          <cell r="AE1366">
            <v>0.83082803614644707</v>
          </cell>
          <cell r="AF1366">
            <v>0.79408572582211345</v>
          </cell>
          <cell r="AG1366">
            <v>0.75707590288611737</v>
          </cell>
          <cell r="AH1366">
            <v>0.72092110919645958</v>
          </cell>
          <cell r="AI1366">
            <v>0.68854022147895044</v>
          </cell>
          <cell r="AJ1366">
            <v>0.66250201594104663</v>
          </cell>
          <cell r="AK1366">
            <v>0.6445648603824905</v>
          </cell>
          <cell r="AL1366">
            <v>0.6361988819173936</v>
          </cell>
          <cell r="AM1366">
            <v>0.63933864147223129</v>
          </cell>
          <cell r="AN1366">
            <v>0.65781844875454354</v>
          </cell>
          <cell r="AO1366">
            <v>0.69920652540593764</v>
          </cell>
        </row>
        <row r="1367">
          <cell r="E1367" t="str">
            <v>100*((CH_2-CH_0)/GDP_0)</v>
          </cell>
          <cell r="F1367">
            <v>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5.3248857431234371E-2</v>
          </cell>
          <cell r="M1367">
            <v>0.10087535771713958</v>
          </cell>
          <cell r="N1367">
            <v>0.12072188460601747</v>
          </cell>
          <cell r="O1367">
            <v>0.1878373923245989</v>
          </cell>
          <cell r="P1367">
            <v>0.31027721981496831</v>
          </cell>
          <cell r="Q1367">
            <v>0.46384585081020774</v>
          </cell>
          <cell r="R1367">
            <v>0.65117449288278928</v>
          </cell>
          <cell r="S1367">
            <v>0.84960209047570745</v>
          </cell>
          <cell r="T1367">
            <v>1.0427409518187167</v>
          </cell>
          <cell r="U1367">
            <v>1.222832122088791</v>
          </cell>
          <cell r="V1367">
            <v>1.3679122043917247</v>
          </cell>
          <cell r="W1367">
            <v>1.469930547314823</v>
          </cell>
          <cell r="X1367">
            <v>1.5431520201964695</v>
          </cell>
          <cell r="Y1367">
            <v>1.6014746019363848</v>
          </cell>
          <cell r="Z1367">
            <v>1.6529224737198982</v>
          </cell>
          <cell r="AA1367">
            <v>1.6985834839947169</v>
          </cell>
          <cell r="AB1367">
            <v>1.7376964401488078</v>
          </cell>
          <cell r="AC1367">
            <v>1.7719714899293575</v>
          </cell>
          <cell r="AD1367">
            <v>1.8028372860911239</v>
          </cell>
          <cell r="AE1367">
            <v>1.830500985973283</v>
          </cell>
          <cell r="AF1367">
            <v>1.8471737580886871</v>
          </cell>
          <cell r="AG1367">
            <v>1.8458857339644534</v>
          </cell>
          <cell r="AH1367">
            <v>1.8311905675417282</v>
          </cell>
          <cell r="AI1367">
            <v>1.8089211958279368</v>
          </cell>
          <cell r="AJ1367">
            <v>1.783031888779971</v>
          </cell>
          <cell r="AK1367">
            <v>1.7526191183573514</v>
          </cell>
          <cell r="AL1367">
            <v>1.7155238799888284</v>
          </cell>
          <cell r="AM1367">
            <v>1.6739084080816951</v>
          </cell>
          <cell r="AN1367">
            <v>1.6306927434571239</v>
          </cell>
          <cell r="AO1367">
            <v>1.5880421310643891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2.7422285497903702E-2</v>
          </cell>
          <cell r="M1368">
            <v>-9.9177931676980493E-3</v>
          </cell>
          <cell r="N1368">
            <v>-2.9407392189572903E-2</v>
          </cell>
          <cell r="O1368">
            <v>-2.2939329962528163E-2</v>
          </cell>
          <cell r="P1368">
            <v>6.7792740664629773E-4</v>
          </cell>
          <cell r="Q1368">
            <v>4.8319842707899401E-2</v>
          </cell>
          <cell r="R1368">
            <v>9.1812765363747412E-2</v>
          </cell>
          <cell r="S1368">
            <v>0.1195357044126179</v>
          </cell>
          <cell r="T1368">
            <v>0.13176184335237809</v>
          </cell>
          <cell r="U1368">
            <v>0.13334509730000457</v>
          </cell>
          <cell r="V1368">
            <v>0.11209550405635671</v>
          </cell>
          <cell r="W1368">
            <v>8.7939451149743178E-2</v>
          </cell>
          <cell r="X1368">
            <v>7.0008570967124276E-2</v>
          </cell>
          <cell r="Y1368">
            <v>5.9995138876662982E-2</v>
          </cell>
          <cell r="Z1368">
            <v>5.6310444739686459E-2</v>
          </cell>
          <cell r="AA1368">
            <v>5.6489618833603261E-2</v>
          </cell>
          <cell r="AB1368">
            <v>5.8534092404761096E-2</v>
          </cell>
          <cell r="AC1368">
            <v>6.1294099124753844E-2</v>
          </cell>
          <cell r="AD1368">
            <v>6.4080358036667492E-2</v>
          </cell>
          <cell r="AE1368">
            <v>6.6408536349231273E-2</v>
          </cell>
          <cell r="AF1368">
            <v>6.7627942135118135E-2</v>
          </cell>
          <cell r="AG1368">
            <v>6.7500651756878985E-2</v>
          </cell>
          <cell r="AH1368">
            <v>6.6609456542672224E-2</v>
          </cell>
          <cell r="AI1368">
            <v>6.5487012862608301E-2</v>
          </cell>
          <cell r="AJ1368">
            <v>6.4360564998075381E-2</v>
          </cell>
          <cell r="AK1368">
            <v>6.3150900718587311E-2</v>
          </cell>
          <cell r="AL1368">
            <v>6.1771203050256331E-2</v>
          </cell>
          <cell r="AM1368">
            <v>6.0403069156001819E-2</v>
          </cell>
          <cell r="AN1368">
            <v>5.9241897750876918E-2</v>
          </cell>
          <cell r="AO1368">
            <v>5.8361376840293584E-2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9.6089192140203297E-3</v>
          </cell>
          <cell r="M1370">
            <v>-2.2006874143906865E-2</v>
          </cell>
          <cell r="N1370">
            <v>-6.3531644794559708E-2</v>
          </cell>
          <cell r="O1370">
            <v>-4.7450421588222914E-2</v>
          </cell>
          <cell r="P1370">
            <v>-2.9037469574226763E-3</v>
          </cell>
          <cell r="Q1370">
            <v>5.2449434410518157E-2</v>
          </cell>
          <cell r="R1370">
            <v>0.11111198240821273</v>
          </cell>
          <cell r="S1370">
            <v>0.17116278985528624</v>
          </cell>
          <cell r="T1370">
            <v>0.23424258057651726</v>
          </cell>
          <cell r="U1370">
            <v>0.30000207760907155</v>
          </cell>
          <cell r="V1370">
            <v>0.35941744853917712</v>
          </cell>
          <cell r="W1370">
            <v>0.40962252632322044</v>
          </cell>
          <cell r="X1370">
            <v>0.45218052052672236</v>
          </cell>
          <cell r="Y1370">
            <v>0.49018505947027557</v>
          </cell>
          <cell r="Z1370">
            <v>0.52628956722157383</v>
          </cell>
          <cell r="AA1370">
            <v>0.56182298629186822</v>
          </cell>
          <cell r="AB1370">
            <v>0.5971429522779077</v>
          </cell>
          <cell r="AC1370">
            <v>0.63239500815723848</v>
          </cell>
          <cell r="AD1370">
            <v>0.66752481704208955</v>
          </cell>
          <cell r="AE1370">
            <v>0.70222869682153555</v>
          </cell>
          <cell r="AF1370">
            <v>0.7355316758368412</v>
          </cell>
          <cell r="AG1370">
            <v>0.76597751615289345</v>
          </cell>
          <cell r="AH1370">
            <v>0.79361743849732358</v>
          </cell>
          <cell r="AI1370">
            <v>0.81908234325675144</v>
          </cell>
          <cell r="AJ1370">
            <v>0.84302770752664025</v>
          </cell>
          <cell r="AK1370">
            <v>0.86560633761293748</v>
          </cell>
          <cell r="AL1370">
            <v>0.88683599104233835</v>
          </cell>
          <cell r="AM1370">
            <v>0.90732147104215022</v>
          </cell>
          <cell r="AN1370">
            <v>0.92815187369442842</v>
          </cell>
          <cell r="AO1370">
            <v>0.95118562842107945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</row>
        <row r="1372">
          <cell r="E1372" t="str">
            <v>100*((X_2-X_0)/GDP_0)-100*((M_2-M_0)/GDP_0)</v>
          </cell>
          <cell r="F1372">
            <v>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-2.1252669706623199E-2</v>
          </cell>
          <cell r="M1372">
            <v>-0.22264099807049406</v>
          </cell>
          <cell r="N1372">
            <v>-0.35910038590637483</v>
          </cell>
          <cell r="O1372">
            <v>-0.22910266778641342</v>
          </cell>
          <cell r="P1372">
            <v>-0.16687011395742102</v>
          </cell>
          <cell r="Q1372">
            <v>-0.18374589697770033</v>
          </cell>
          <cell r="R1372">
            <v>-0.27758972000582083</v>
          </cell>
          <cell r="S1372">
            <v>-0.40692046502007118</v>
          </cell>
          <cell r="T1372">
            <v>-0.53545656928010776</v>
          </cell>
          <cell r="U1372">
            <v>-0.65703913855833096</v>
          </cell>
          <cell r="V1372">
            <v>-0.77223252319834523</v>
          </cell>
          <cell r="W1372">
            <v>-0.87737416768109178</v>
          </cell>
          <cell r="X1372">
            <v>-0.97779103243704901</v>
          </cell>
          <cell r="Y1372">
            <v>-1.0777435698177373</v>
          </cell>
          <cell r="Z1372">
            <v>-1.1785374536511737</v>
          </cell>
          <cell r="AA1372">
            <v>-1.2776655920140443</v>
          </cell>
          <cell r="AB1372">
            <v>-1.3728887962018326</v>
          </cell>
          <cell r="AC1372">
            <v>-1.4649462778221687</v>
          </cell>
          <cell r="AD1372">
            <v>-1.5543982100729183</v>
          </cell>
          <cell r="AE1372">
            <v>-1.6410915486579731</v>
          </cell>
          <cell r="AF1372">
            <v>-1.7167507401467501</v>
          </cell>
          <cell r="AG1372">
            <v>-1.7748561113090453</v>
          </cell>
          <cell r="AH1372">
            <v>-1.8183971445949101</v>
          </cell>
          <cell r="AI1372">
            <v>-1.8507153550809414</v>
          </cell>
          <cell r="AJ1372">
            <v>-1.8738741453409384</v>
          </cell>
          <cell r="AK1372">
            <v>-1.8859789519258752</v>
          </cell>
          <cell r="AL1372">
            <v>-1.8841606264403625</v>
          </cell>
          <cell r="AM1372">
            <v>-1.8694329750709018</v>
          </cell>
          <cell r="AN1372">
            <v>-1.8426064746225606</v>
          </cell>
          <cell r="AO1372">
            <v>-1.8020432292375808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5.3271000316898659E-2</v>
          </cell>
          <cell r="M1373">
            <v>9.7713286438729924E-2</v>
          </cell>
          <cell r="N1373">
            <v>8.589465076007452E-2</v>
          </cell>
          <cell r="O1373">
            <v>9.4047228728556517E-2</v>
          </cell>
          <cell r="P1373">
            <v>0.14052024330534188</v>
          </cell>
          <cell r="Q1373">
            <v>0.2297460219236715</v>
          </cell>
          <cell r="R1373">
            <v>0.39636816289180932</v>
          </cell>
          <cell r="S1373">
            <v>0.60714855156998837</v>
          </cell>
          <cell r="T1373">
            <v>0.82947491647062477</v>
          </cell>
          <cell r="U1373">
            <v>1.0439091521684363</v>
          </cell>
          <cell r="V1373">
            <v>1.219722244305492</v>
          </cell>
          <cell r="W1373">
            <v>1.3414668276922992</v>
          </cell>
          <cell r="X1373">
            <v>1.4272309221595105</v>
          </cell>
          <cell r="Y1373">
            <v>1.4950442345488595</v>
          </cell>
          <cell r="Z1373">
            <v>1.5553334861607933</v>
          </cell>
          <cell r="AA1373">
            <v>1.6101552256744633</v>
          </cell>
          <cell r="AB1373">
            <v>1.6588563820254123</v>
          </cell>
          <cell r="AC1373">
            <v>1.7028511225683214</v>
          </cell>
          <cell r="AD1373">
            <v>1.7431986311275542</v>
          </cell>
          <cell r="AE1373">
            <v>1.7798190327910492</v>
          </cell>
          <cell r="AF1373">
            <v>1.8047799292438764</v>
          </cell>
          <cell r="AG1373">
            <v>1.8110517165585598</v>
          </cell>
          <cell r="AH1373">
            <v>1.8031088538673319</v>
          </cell>
          <cell r="AI1373">
            <v>1.7867591665397979</v>
          </cell>
          <cell r="AJ1373">
            <v>1.7660286232126701</v>
          </cell>
          <cell r="AK1373">
            <v>1.7401591395722806</v>
          </cell>
          <cell r="AL1373">
            <v>1.7071409676555021</v>
          </cell>
          <cell r="AM1373">
            <v>1.6692252151248077</v>
          </cell>
          <cell r="AN1373">
            <v>1.6293807533335176</v>
          </cell>
          <cell r="AO1373">
            <v>1.5898059932239244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0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9.586776328348744E-3</v>
          </cell>
          <cell r="M1374">
            <v>-1.8844802865497223E-2</v>
          </cell>
          <cell r="N1374">
            <v>-2.8704410948616754E-2</v>
          </cell>
          <cell r="O1374">
            <v>4.6339742007819464E-2</v>
          </cell>
          <cell r="P1374">
            <v>0.16685322955219462</v>
          </cell>
          <cell r="Q1374">
            <v>0.28654926329704994</v>
          </cell>
          <cell r="R1374">
            <v>0.36591831239918826</v>
          </cell>
          <cell r="S1374">
            <v>0.41361632876100973</v>
          </cell>
          <cell r="T1374">
            <v>0.44750861592461344</v>
          </cell>
          <cell r="U1374">
            <v>0.47892504752942644</v>
          </cell>
          <cell r="V1374">
            <v>0.50760740862540554</v>
          </cell>
          <cell r="W1374">
            <v>0.53808624594575238</v>
          </cell>
          <cell r="X1374">
            <v>0.56810161856368535</v>
          </cell>
          <cell r="Y1374">
            <v>0.59661542685780478</v>
          </cell>
          <cell r="Z1374">
            <v>0.62387855478067866</v>
          </cell>
          <cell r="AA1374">
            <v>0.65025124461212158</v>
          </cell>
          <cell r="AB1374">
            <v>0.67598301040130326</v>
          </cell>
          <cell r="AC1374">
            <v>0.70151537551827836</v>
          </cell>
          <cell r="AD1374">
            <v>0.72716347200565923</v>
          </cell>
          <cell r="AE1374">
            <v>0.75291065000376955</v>
          </cell>
          <cell r="AF1374">
            <v>0.77792550468165544</v>
          </cell>
          <cell r="AG1374">
            <v>0.80081153355878709</v>
          </cell>
          <cell r="AH1374">
            <v>0.82169915217171663</v>
          </cell>
          <cell r="AI1374">
            <v>0.84124437254489359</v>
          </cell>
          <cell r="AJ1374">
            <v>0.86003097309394105</v>
          </cell>
          <cell r="AK1374">
            <v>0.87806631639801425</v>
          </cell>
          <cell r="AL1374">
            <v>0.89521890337566479</v>
          </cell>
          <cell r="AM1374">
            <v>0.91200466399903191</v>
          </cell>
          <cell r="AN1374">
            <v>0.92946386381803203</v>
          </cell>
          <cell r="AO1374">
            <v>0.94942176626154429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0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7.9924835456631725E-3</v>
          </cell>
          <cell r="M1375">
            <v>-2.0119206159536746E-2</v>
          </cell>
          <cell r="N1375">
            <v>-5.7255137752375666E-2</v>
          </cell>
          <cell r="O1375">
            <v>-3.8631114692686236E-2</v>
          </cell>
          <cell r="P1375">
            <v>7.1791570431444527E-3</v>
          </cell>
          <cell r="Q1375">
            <v>6.1593310780519599E-2</v>
          </cell>
          <cell r="R1375">
            <v>0.11713385297578705</v>
          </cell>
          <cell r="S1375">
            <v>0.17236923583787003</v>
          </cell>
          <cell r="T1375">
            <v>0.22945897170509716</v>
          </cell>
          <cell r="U1375">
            <v>0.28852724227099835</v>
          </cell>
          <cell r="V1375">
            <v>0.34221850984137114</v>
          </cell>
          <cell r="W1375">
            <v>0.38783753386886577</v>
          </cell>
          <cell r="X1375">
            <v>0.42650971167830354</v>
          </cell>
          <cell r="Y1375">
            <v>0.46081163843507045</v>
          </cell>
          <cell r="Z1375">
            <v>0.49305027378532956</v>
          </cell>
          <cell r="AA1375">
            <v>0.52449349907083298</v>
          </cell>
          <cell r="AB1375">
            <v>0.55557463673648311</v>
          </cell>
          <cell r="AC1375">
            <v>0.58646640371011571</v>
          </cell>
          <cell r="AD1375">
            <v>0.61714851177755525</v>
          </cell>
          <cell r="AE1375">
            <v>0.64738893358328775</v>
          </cell>
          <cell r="AF1375">
            <v>0.67659031177681161</v>
          </cell>
          <cell r="AG1375">
            <v>0.70372901551788691</v>
          </cell>
          <cell r="AH1375">
            <v>0.72888305692385047</v>
          </cell>
          <cell r="AI1375">
            <v>0.75259391312527879</v>
          </cell>
          <cell r="AJ1375">
            <v>0.77543248491592243</v>
          </cell>
          <cell r="AK1375">
            <v>0.7976169407392748</v>
          </cell>
          <cell r="AL1375">
            <v>0.81928944125909853</v>
          </cell>
          <cell r="AM1375">
            <v>0.84103678730248732</v>
          </cell>
          <cell r="AN1375">
            <v>0.8638820868764554</v>
          </cell>
          <cell r="AO1375">
            <v>0.88962012832667359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-2.2142885668849213E-5</v>
          </cell>
          <cell r="M1376">
            <v>3.1620712784075468E-3</v>
          </cell>
          <cell r="N1376">
            <v>3.4827233845942066E-2</v>
          </cell>
          <cell r="O1376">
            <v>9.3790163596042392E-2</v>
          </cell>
          <cell r="P1376">
            <v>0.16975697650961985</v>
          </cell>
          <cell r="Q1376">
            <v>0.23409982888653036</v>
          </cell>
          <cell r="R1376">
            <v>0.25480632999097746</v>
          </cell>
          <cell r="S1376">
            <v>0.24245353890572294</v>
          </cell>
          <cell r="T1376">
            <v>0.21326603534809538</v>
          </cell>
          <cell r="U1376">
            <v>0.17892296992035595</v>
          </cell>
          <cell r="V1376">
            <v>0.14818996008623239</v>
          </cell>
          <cell r="W1376">
            <v>0.12846371962253045</v>
          </cell>
          <cell r="X1376">
            <v>0.11592109803696204</v>
          </cell>
          <cell r="Y1376">
            <v>0.10643036738752598</v>
          </cell>
          <cell r="Z1376">
            <v>9.7588987559107027E-2</v>
          </cell>
          <cell r="AA1376">
            <v>8.8428258320253098E-2</v>
          </cell>
          <cell r="AB1376">
            <v>7.8840058123393661E-2</v>
          </cell>
          <cell r="AC1376">
            <v>6.912036736103841E-2</v>
          </cell>
          <cell r="AD1376">
            <v>5.9638654963572187E-2</v>
          </cell>
          <cell r="AE1376">
            <v>5.0681953182233098E-2</v>
          </cell>
          <cell r="AF1376">
            <v>4.2393828844812985E-2</v>
          </cell>
          <cell r="AG1376">
            <v>3.48340174058921E-2</v>
          </cell>
          <cell r="AH1376">
            <v>2.8081713674394212E-2</v>
          </cell>
          <cell r="AI1376">
            <v>2.2162029288140508E-2</v>
          </cell>
          <cell r="AJ1376">
            <v>1.7003265567300571E-2</v>
          </cell>
          <cell r="AK1376">
            <v>1.2459978785075206E-2</v>
          </cell>
          <cell r="AL1376">
            <v>8.3829123333276391E-3</v>
          </cell>
          <cell r="AM1376">
            <v>4.6831929568807084E-3</v>
          </cell>
          <cell r="AN1376">
            <v>1.3119901236066909E-3</v>
          </cell>
          <cell r="AO1376">
            <v>-1.7638621595349956E-3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1.616435668356549E-3</v>
          </cell>
          <cell r="M1377">
            <v>-1.8876679843701171E-3</v>
          </cell>
          <cell r="N1377">
            <v>-6.2765070421852186E-3</v>
          </cell>
          <cell r="O1377">
            <v>-8.819306895537839E-3</v>
          </cell>
          <cell r="P1377">
            <v>-1.0082904000568844E-2</v>
          </cell>
          <cell r="Q1377">
            <v>-9.1438763699997587E-3</v>
          </cell>
          <cell r="R1377">
            <v>-6.0218705675737505E-3</v>
          </cell>
          <cell r="S1377">
            <v>-1.2064459825832684E-3</v>
          </cell>
          <cell r="T1377">
            <v>4.7836088714211574E-3</v>
          </cell>
          <cell r="U1377">
            <v>1.1474835338072122E-2</v>
          </cell>
          <cell r="V1377">
            <v>1.7198938697805425E-2</v>
          </cell>
          <cell r="W1377">
            <v>2.1784992454352593E-2</v>
          </cell>
          <cell r="X1377">
            <v>2.5670808848416778E-2</v>
          </cell>
          <cell r="Y1377">
            <v>2.9373421035203628E-2</v>
          </cell>
          <cell r="Z1377">
            <v>3.3239293436245175E-2</v>
          </cell>
          <cell r="AA1377">
            <v>3.7329487221032367E-2</v>
          </cell>
          <cell r="AB1377">
            <v>4.1568315541425566E-2</v>
          </cell>
          <cell r="AC1377">
            <v>4.5928604447123662E-2</v>
          </cell>
          <cell r="AD1377">
            <v>5.0376305264533794E-2</v>
          </cell>
          <cell r="AE1377">
            <v>5.4839763238245146E-2</v>
          </cell>
          <cell r="AF1377">
            <v>5.8941364060028346E-2</v>
          </cell>
          <cell r="AG1377">
            <v>6.2248500635008128E-2</v>
          </cell>
          <cell r="AH1377">
            <v>6.4734381573475178E-2</v>
          </cell>
          <cell r="AI1377">
            <v>6.6488430131471904E-2</v>
          </cell>
          <cell r="AJ1377">
            <v>6.7595222610714767E-2</v>
          </cell>
          <cell r="AK1377">
            <v>6.7989396873662775E-2</v>
          </cell>
          <cell r="AL1377">
            <v>6.7546549783240636E-2</v>
          </cell>
          <cell r="AM1377">
            <v>6.6284683739662911E-2</v>
          </cell>
          <cell r="AN1377">
            <v>6.4269786817973004E-2</v>
          </cell>
          <cell r="AO1377">
            <v>6.1565500094405201E-2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9.6275395815403897E-2</v>
          </cell>
          <cell r="M1378">
            <v>0.18269338064016427</v>
          </cell>
          <cell r="N1378">
            <v>0.21902278133016928</v>
          </cell>
          <cell r="O1378">
            <v>0.34132484889917158</v>
          </cell>
          <cell r="P1378">
            <v>0.56453814995518492</v>
          </cell>
          <cell r="Q1378">
            <v>0.8447233729450776</v>
          </cell>
          <cell r="R1378">
            <v>1.1862367847896405</v>
          </cell>
          <cell r="S1378">
            <v>1.5467130715055344</v>
          </cell>
          <cell r="T1378">
            <v>1.8964146046520636</v>
          </cell>
          <cell r="U1378">
            <v>2.2218168969210028</v>
          </cell>
          <cell r="V1378">
            <v>2.4824261242640588</v>
          </cell>
          <cell r="W1378">
            <v>2.6651356394099102</v>
          </cell>
          <cell r="X1378">
            <v>2.7968865193541692</v>
          </cell>
          <cell r="Y1378">
            <v>2.9033599763147677</v>
          </cell>
          <cell r="Z1378">
            <v>2.9993248410551621</v>
          </cell>
          <cell r="AA1378">
            <v>3.0867359074817191</v>
          </cell>
          <cell r="AB1378">
            <v>3.1642181933082547</v>
          </cell>
          <cell r="AC1378">
            <v>3.2346939359894744</v>
          </cell>
          <cell r="AD1378">
            <v>3.3004729808261413</v>
          </cell>
          <cell r="AE1378">
            <v>3.3617283352358474</v>
          </cell>
          <cell r="AF1378">
            <v>3.4039280284005491</v>
          </cell>
          <cell r="AG1378">
            <v>3.413942152810967</v>
          </cell>
          <cell r="AH1378">
            <v>3.399525353553523</v>
          </cell>
          <cell r="AI1378">
            <v>3.3704406385679953</v>
          </cell>
          <cell r="AJ1378">
            <v>3.3332412085738561</v>
          </cell>
          <cell r="AK1378">
            <v>3.2859043385510711</v>
          </cell>
          <cell r="AL1378">
            <v>3.2243449758915022</v>
          </cell>
          <cell r="AM1378">
            <v>3.152713454127376</v>
          </cell>
          <cell r="AN1378">
            <v>3.0766766561885373</v>
          </cell>
          <cell r="AO1378">
            <v>3.0005160683950649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0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0.80611856684917882</v>
          </cell>
          <cell r="M1379">
            <v>-0.29563885261509881</v>
          </cell>
          <cell r="N1379">
            <v>-0.8896436930291185</v>
          </cell>
          <cell r="O1379">
            <v>-0.70295906300648081</v>
          </cell>
          <cell r="P1379">
            <v>2.0997831466784689E-2</v>
          </cell>
          <cell r="Q1379">
            <v>1.5103531231479117</v>
          </cell>
          <cell r="R1379">
            <v>2.8944202700350585</v>
          </cell>
          <cell r="S1379">
            <v>3.8026222694802936</v>
          </cell>
          <cell r="T1379">
            <v>4.2381645892654696</v>
          </cell>
          <cell r="U1379">
            <v>4.3483082652170824</v>
          </cell>
          <cell r="V1379">
            <v>3.6893039032733999</v>
          </cell>
          <cell r="W1379">
            <v>2.9272960293048378</v>
          </cell>
          <cell r="X1379">
            <v>2.3664636774622272</v>
          </cell>
          <cell r="Y1379">
            <v>2.0666931009010181</v>
          </cell>
          <cell r="Z1379">
            <v>1.9815416896679094</v>
          </cell>
          <cell r="AA1379">
            <v>2.0331474512549574</v>
          </cell>
          <cell r="AB1379">
            <v>2.155495561742371</v>
          </cell>
          <cell r="AC1379">
            <v>2.3087832167376421</v>
          </cell>
          <cell r="AD1379">
            <v>2.4674835026724073</v>
          </cell>
          <cell r="AE1379">
            <v>2.6120038630675912</v>
          </cell>
          <cell r="AF1379">
            <v>2.7146021258926956</v>
          </cell>
          <cell r="AG1379">
            <v>2.7625265915051989</v>
          </cell>
          <cell r="AH1379">
            <v>2.7765928229474657</v>
          </cell>
          <cell r="AI1379">
            <v>2.7772448328055255</v>
          </cell>
          <cell r="AJ1379">
            <v>2.7738818920098884</v>
          </cell>
          <cell r="AK1379">
            <v>2.763626021622767</v>
          </cell>
          <cell r="AL1379">
            <v>2.743217871846948</v>
          </cell>
          <cell r="AM1379">
            <v>2.7211847160918179</v>
          </cell>
          <cell r="AN1379">
            <v>2.7069851372332421</v>
          </cell>
          <cell r="AO1379">
            <v>2.7047808821623276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4.4718851795155778E-2</v>
          </cell>
          <cell r="M1381">
            <v>-0.10227877177505507</v>
          </cell>
          <cell r="N1381">
            <v>-0.29487401538820235</v>
          </cell>
          <cell r="O1381">
            <v>-0.21992893869797747</v>
          </cell>
          <cell r="P1381">
            <v>-1.3438008424260239E-2</v>
          </cell>
          <cell r="Q1381">
            <v>0.2422984927797911</v>
          </cell>
          <cell r="R1381">
            <v>0.51220678988992407</v>
          </cell>
          <cell r="S1381">
            <v>0.78697788497579246</v>
          </cell>
          <cell r="T1381">
            <v>1.0740297466734106</v>
          </cell>
          <cell r="U1381">
            <v>1.3716093830248965</v>
          </cell>
          <cell r="V1381">
            <v>1.6383185207448969</v>
          </cell>
          <cell r="W1381">
            <v>1.8613291137506982</v>
          </cell>
          <cell r="X1381">
            <v>2.0479653930285613</v>
          </cell>
          <cell r="Y1381">
            <v>2.2124722427024457</v>
          </cell>
          <cell r="Z1381">
            <v>2.367050833712514</v>
          </cell>
          <cell r="AA1381">
            <v>2.517798997603693</v>
          </cell>
          <cell r="AB1381">
            <v>2.6664094583548126</v>
          </cell>
          <cell r="AC1381">
            <v>2.8134997135982553</v>
          </cell>
          <cell r="AD1381">
            <v>2.9587423019696191</v>
          </cell>
          <cell r="AE1381">
            <v>3.1007814489411256</v>
          </cell>
          <cell r="AF1381">
            <v>3.2353257096332078</v>
          </cell>
          <cell r="AG1381">
            <v>3.3560448025106826</v>
          </cell>
          <cell r="AH1381">
            <v>3.4631328703973896</v>
          </cell>
          <cell r="AI1381">
            <v>3.5591621419936326</v>
          </cell>
          <cell r="AJ1381">
            <v>3.6468959025895531</v>
          </cell>
          <cell r="AK1381">
            <v>3.7270558599037606</v>
          </cell>
          <cell r="AL1381">
            <v>3.7998246542816805</v>
          </cell>
          <cell r="AM1381">
            <v>3.867879186214207</v>
          </cell>
          <cell r="AN1381">
            <v>3.9359094978492548</v>
          </cell>
          <cell r="AO1381">
            <v>4.011776655834276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4.4497669114074156E-2</v>
          </cell>
          <cell r="M1382">
            <v>-0.11185383513825364</v>
          </cell>
          <cell r="N1382">
            <v>-0.31785996579652975</v>
          </cell>
          <cell r="O1382">
            <v>-0.21414326716056031</v>
          </cell>
          <cell r="P1382">
            <v>3.9729219376072322E-2</v>
          </cell>
          <cell r="Q1382">
            <v>0.34019351580552026</v>
          </cell>
          <cell r="R1382">
            <v>0.64546876052602453</v>
          </cell>
          <cell r="S1382">
            <v>0.94730549456139013</v>
          </cell>
          <cell r="T1382">
            <v>1.2576022046363766</v>
          </cell>
          <cell r="U1382">
            <v>1.5769495628311203</v>
          </cell>
          <cell r="V1382">
            <v>1.8649963384374857</v>
          </cell>
          <cell r="W1382">
            <v>2.1071702612178944</v>
          </cell>
          <cell r="X1382">
            <v>2.3096727899443392</v>
          </cell>
          <cell r="Y1382">
            <v>2.4866094633826163</v>
          </cell>
          <cell r="Z1382">
            <v>2.6506055392495176</v>
          </cell>
          <cell r="AA1382">
            <v>2.8085541076956044</v>
          </cell>
          <cell r="AB1382">
            <v>2.962798620767404</v>
          </cell>
          <cell r="AC1382">
            <v>3.1141502119301112</v>
          </cell>
          <cell r="AD1382">
            <v>3.2623610566330008</v>
          </cell>
          <cell r="AE1382">
            <v>3.4061610410651921</v>
          </cell>
          <cell r="AF1382">
            <v>3.5423920818671517</v>
          </cell>
          <cell r="AG1382">
            <v>3.6657274614931179</v>
          </cell>
          <cell r="AH1382">
            <v>3.7765272508572201</v>
          </cell>
          <cell r="AI1382">
            <v>3.8774838338796691</v>
          </cell>
          <cell r="AJ1382">
            <v>3.9715885634571624</v>
          </cell>
          <cell r="AK1382">
            <v>4.0601609065580302</v>
          </cell>
          <cell r="AL1382">
            <v>4.1441387007093322</v>
          </cell>
          <cell r="AM1382">
            <v>4.2266457561852766</v>
          </cell>
          <cell r="AN1382">
            <v>4.3129053336067091</v>
          </cell>
          <cell r="AO1382">
            <v>4.4118502678981431</v>
          </cell>
        </row>
        <row r="1383">
          <cell r="E1383" t="str">
            <v>100*(X_2/X_0-1)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1.7359003107775273E-2</v>
          </cell>
          <cell r="M1383">
            <v>-1.1330745920611229</v>
          </cell>
          <cell r="N1383">
            <v>-2.084761655490952</v>
          </cell>
          <cell r="O1383">
            <v>-1.7409815262065087</v>
          </cell>
          <cell r="P1383">
            <v>-1.5126269211460208</v>
          </cell>
          <cell r="Q1383">
            <v>-1.4772820099624995</v>
          </cell>
          <cell r="R1383">
            <v>-1.6656542469765889</v>
          </cell>
          <cell r="S1383">
            <v>-1.9580766961482698</v>
          </cell>
          <cell r="T1383">
            <v>-2.226854698373526</v>
          </cell>
          <cell r="U1383">
            <v>-2.4557529518422827</v>
          </cell>
          <cell r="V1383">
            <v>-2.6937841740884871</v>
          </cell>
          <cell r="W1383">
            <v>-2.9420328417355091</v>
          </cell>
          <cell r="X1383">
            <v>-3.1955369255448729</v>
          </cell>
          <cell r="Y1383">
            <v>-3.4513465376590502</v>
          </cell>
          <cell r="Z1383">
            <v>-3.7055918997301207</v>
          </cell>
          <cell r="AA1383">
            <v>-3.9503517979426417</v>
          </cell>
          <cell r="AB1383">
            <v>-4.1798434194814327</v>
          </cell>
          <cell r="AC1383">
            <v>-4.3955808475031999</v>
          </cell>
          <cell r="AD1383">
            <v>-4.5996946555930673</v>
          </cell>
          <cell r="AE1383">
            <v>-4.7931089065044503</v>
          </cell>
          <cell r="AF1383">
            <v>-4.9568908032073704</v>
          </cell>
          <cell r="AG1383">
            <v>-5.0802398852711983</v>
          </cell>
          <cell r="AH1383">
            <v>-5.1686405088146259</v>
          </cell>
          <cell r="AI1383">
            <v>-5.2296641557209362</v>
          </cell>
          <cell r="AJ1383">
            <v>-5.2692310831146667</v>
          </cell>
          <cell r="AK1383">
            <v>-5.2853757553168563</v>
          </cell>
          <cell r="AL1383">
            <v>-5.2738620601980308</v>
          </cell>
          <cell r="AM1383">
            <v>-5.2384138234252475</v>
          </cell>
          <cell r="AN1383">
            <v>-5.1841287707571126</v>
          </cell>
          <cell r="AO1383">
            <v>-5.1160038510125521</v>
          </cell>
        </row>
        <row r="1384">
          <cell r="E1384" t="str">
            <v>100*(M_2/M_0-1)</v>
          </cell>
          <cell r="F1384">
            <v>0</v>
          </cell>
          <cell r="G1384">
            <v>0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8.4375709602824145E-2</v>
          </cell>
          <cell r="M1384">
            <v>-0.40122822058404894</v>
          </cell>
          <cell r="N1384">
            <v>-0.90755289594551813</v>
          </cell>
          <cell r="O1384">
            <v>-0.98790705977318538</v>
          </cell>
          <cell r="P1384">
            <v>-0.96434461915618774</v>
          </cell>
          <cell r="Q1384">
            <v>-0.88010592813824173</v>
          </cell>
          <cell r="R1384">
            <v>-0.77348991487684593</v>
          </cell>
          <cell r="S1384">
            <v>-0.65466834279752639</v>
          </cell>
          <cell r="T1384">
            <v>-0.51240357539029668</v>
          </cell>
          <cell r="U1384">
            <v>-0.35147905386907485</v>
          </cell>
          <cell r="V1384">
            <v>-0.21782206538605298</v>
          </cell>
          <cell r="W1384">
            <v>-0.12657062372964933</v>
          </cell>
          <cell r="X1384">
            <v>-5.7921002422300916E-2</v>
          </cell>
          <cell r="Y1384">
            <v>3.0846238393111847E-3</v>
          </cell>
          <cell r="Z1384">
            <v>6.3005636870605564E-2</v>
          </cell>
          <cell r="AA1384">
            <v>0.12082849076822111</v>
          </cell>
          <cell r="AB1384">
            <v>0.17405332848741129</v>
          </cell>
          <cell r="AC1384">
            <v>0.22308040431775478</v>
          </cell>
          <cell r="AD1384">
            <v>0.26795813676061542</v>
          </cell>
          <cell r="AE1384">
            <v>0.30747453508019884</v>
          </cell>
          <cell r="AF1384">
            <v>0.33512509113902134</v>
          </cell>
          <cell r="AG1384">
            <v>0.34182481845237422</v>
          </cell>
          <cell r="AH1384">
            <v>0.33300925293187067</v>
          </cell>
          <cell r="AI1384">
            <v>0.31501859112266217</v>
          </cell>
          <cell r="AJ1384">
            <v>0.29182953655946253</v>
          </cell>
          <cell r="AK1384">
            <v>0.26204919870003174</v>
          </cell>
          <cell r="AL1384">
            <v>0.22273080965735659</v>
          </cell>
          <cell r="AM1384">
            <v>0.1740802301309019</v>
          </cell>
          <cell r="AN1384">
            <v>0.11387256027184378</v>
          </cell>
          <cell r="AO1384">
            <v>3.2337238557356152E-2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0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0.10046071664955303</v>
          </cell>
          <cell r="M1385">
            <v>0.18425078482766644</v>
          </cell>
          <cell r="N1385">
            <v>0.16200041846572422</v>
          </cell>
          <cell r="O1385">
            <v>0.17742303501682155</v>
          </cell>
          <cell r="P1385">
            <v>0.26514278899725241</v>
          </cell>
          <cell r="Q1385">
            <v>0.43349176507805343</v>
          </cell>
          <cell r="R1385">
            <v>0.747513942368494</v>
          </cell>
          <cell r="S1385">
            <v>1.1434950617638329</v>
          </cell>
          <cell r="T1385">
            <v>1.5596714790449662</v>
          </cell>
          <cell r="U1385">
            <v>1.9598606306409749</v>
          </cell>
          <cell r="V1385">
            <v>2.2858606028971051</v>
          </cell>
          <cell r="W1385">
            <v>2.5102193167879205</v>
          </cell>
          <cell r="X1385">
            <v>2.6680422699246087</v>
          </cell>
          <cell r="Y1385">
            <v>2.7936613504250696</v>
          </cell>
          <cell r="Z1385">
            <v>2.9068819104673072</v>
          </cell>
          <cell r="AA1385">
            <v>3.011627899303182</v>
          </cell>
          <cell r="AB1385">
            <v>3.1067343363910371</v>
          </cell>
          <cell r="AC1385">
            <v>3.1946821800877379</v>
          </cell>
          <cell r="AD1385">
            <v>3.2771775554245819</v>
          </cell>
          <cell r="AE1385">
            <v>3.3539160486922404</v>
          </cell>
          <cell r="AF1385">
            <v>3.4097876180836817</v>
          </cell>
          <cell r="AG1385">
            <v>3.4312611872968191</v>
          </cell>
          <cell r="AH1385">
            <v>3.4262608560307717</v>
          </cell>
          <cell r="AI1385">
            <v>3.4048575494654232</v>
          </cell>
          <cell r="AJ1385">
            <v>3.3739999210595117</v>
          </cell>
          <cell r="AK1385">
            <v>3.3319549705032925</v>
          </cell>
          <cell r="AL1385">
            <v>3.2748261995792172</v>
          </cell>
          <cell r="AM1385">
            <v>3.2069988064455268</v>
          </cell>
          <cell r="AN1385">
            <v>3.1343197265268463</v>
          </cell>
          <cell r="AO1385">
            <v>3.0611904574396887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0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4.033209144365113E-2</v>
          </cell>
          <cell r="M1386">
            <v>-7.9515759838277855E-2</v>
          </cell>
          <cell r="N1386">
            <v>-0.1214101455263461</v>
          </cell>
          <cell r="O1386">
            <v>0.19635602157239695</v>
          </cell>
          <cell r="P1386">
            <v>0.70785219841094094</v>
          </cell>
          <cell r="Q1386">
            <v>1.2163223825544023</v>
          </cell>
          <cell r="R1386">
            <v>1.5529962229491545</v>
          </cell>
          <cell r="S1386">
            <v>1.753872145603852</v>
          </cell>
          <cell r="T1386">
            <v>1.8952684693480437</v>
          </cell>
          <cell r="U1386">
            <v>2.0254561379466018</v>
          </cell>
          <cell r="V1386">
            <v>2.1433768401844855</v>
          </cell>
          <cell r="W1386">
            <v>2.2684125673580802</v>
          </cell>
          <cell r="X1386">
            <v>2.3910143258769168</v>
          </cell>
          <cell r="Y1386">
            <v>2.5068609246165163</v>
          </cell>
          <cell r="Z1386">
            <v>2.6170962138046816</v>
          </cell>
          <cell r="AA1386">
            <v>2.7232338856759464</v>
          </cell>
          <cell r="AB1386">
            <v>2.8264170137416222</v>
          </cell>
          <cell r="AC1386">
            <v>2.9285108008050953</v>
          </cell>
          <cell r="AD1386">
            <v>3.0307781832620728</v>
          </cell>
          <cell r="AE1386">
            <v>3.1330646275592011</v>
          </cell>
          <cell r="AF1386">
            <v>3.2318028428016898</v>
          </cell>
          <cell r="AG1386">
            <v>3.3212264687177084</v>
          </cell>
          <cell r="AH1386">
            <v>3.4016223148994662</v>
          </cell>
          <cell r="AI1386">
            <v>3.4752471630515869</v>
          </cell>
          <cell r="AJ1386">
            <v>3.5441139386880316</v>
          </cell>
          <cell r="AK1386">
            <v>3.6080870461419945</v>
          </cell>
          <cell r="AL1386">
            <v>3.6666753262843521</v>
          </cell>
          <cell r="AM1386">
            <v>3.7220701908934339</v>
          </cell>
          <cell r="AN1386">
            <v>3.7785776016360462</v>
          </cell>
          <cell r="AO1386">
            <v>3.8436216423104241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-9.7024412315516173E-4</v>
          </cell>
          <cell r="M1387">
            <v>0.14485673353852313</v>
          </cell>
          <cell r="N1387">
            <v>1.6606838700556015</v>
          </cell>
          <cell r="O1387">
            <v>4.6327215386532394</v>
          </cell>
          <cell r="P1387">
            <v>8.6465164832170807</v>
          </cell>
          <cell r="Q1387">
            <v>12.243455278045868</v>
          </cell>
          <cell r="R1387">
            <v>13.631191176979707</v>
          </cell>
          <cell r="S1387">
            <v>13.222380190116345</v>
          </cell>
          <cell r="T1387">
            <v>11.833694642352199</v>
          </cell>
          <cell r="U1387">
            <v>10.091392147611899</v>
          </cell>
          <cell r="V1387">
            <v>8.4951289070613889</v>
          </cell>
          <cell r="W1387">
            <v>7.4956774959042294</v>
          </cell>
          <cell r="X1387">
            <v>6.8985939040125732</v>
          </cell>
          <cell r="Y1387">
            <v>6.4747799374347492</v>
          </cell>
          <cell r="Z1387">
            <v>6.0818226594271385</v>
          </cell>
          <cell r="AA1387">
            <v>5.654507524802721</v>
          </cell>
          <cell r="AB1387">
            <v>5.1814434503766105</v>
          </cell>
          <cell r="AC1387">
            <v>4.6781556108362654</v>
          </cell>
          <cell r="AD1387">
            <v>4.1660713092859236</v>
          </cell>
          <cell r="AE1387">
            <v>3.6612121637581208</v>
          </cell>
          <cell r="AF1387">
            <v>3.1718798244872115</v>
          </cell>
          <cell r="AG1387">
            <v>2.7042836257579195</v>
          </cell>
          <cell r="AH1387">
            <v>2.2647906646951377</v>
          </cell>
          <cell r="AI1387">
            <v>1.8570461815237804</v>
          </cell>
          <cell r="AJ1387">
            <v>1.4783507355264236</v>
          </cell>
          <cell r="AK1387">
            <v>1.1213826067404398</v>
          </cell>
          <cell r="AL1387">
            <v>0.77898177167285976</v>
          </cell>
          <cell r="AM1387">
            <v>0.44825360516875801</v>
          </cell>
          <cell r="AN1387">
            <v>0.12905530688944733</v>
          </cell>
          <cell r="AO1387">
            <v>-0.17791746689002075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0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4.5845621192763808E-2</v>
          </cell>
          <cell r="M1388">
            <v>-5.3482437348628675E-2</v>
          </cell>
          <cell r="N1388">
            <v>-0.17767086374773644</v>
          </cell>
          <cell r="O1388">
            <v>-0.24945028341338826</v>
          </cell>
          <cell r="P1388">
            <v>-0.28496924588711225</v>
          </cell>
          <cell r="Q1388">
            <v>-0.25821074749082795</v>
          </cell>
          <cell r="R1388">
            <v>-0.16983592394080871</v>
          </cell>
          <cell r="S1388">
            <v>-3.3949599891847093E-2</v>
          </cell>
          <cell r="T1388">
            <v>0.13422246011058903</v>
          </cell>
          <cell r="U1388">
            <v>0.3209092806824243</v>
          </cell>
          <cell r="V1388">
            <v>0.47926101014454936</v>
          </cell>
          <cell r="W1388">
            <v>0.60490661707754967</v>
          </cell>
          <cell r="X1388">
            <v>0.71046106719714341</v>
          </cell>
          <cell r="Y1388">
            <v>0.81056748385590627</v>
          </cell>
          <cell r="Z1388">
            <v>0.91503818951510496</v>
          </cell>
          <cell r="AA1388">
            <v>1.0257624751479621</v>
          </cell>
          <cell r="AB1388">
            <v>1.1409408119591014</v>
          </cell>
          <cell r="AC1388">
            <v>1.2600935111575895</v>
          </cell>
          <cell r="AD1388">
            <v>1.3824964287227681</v>
          </cell>
          <cell r="AE1388">
            <v>1.5064131836475037</v>
          </cell>
          <cell r="AF1388">
            <v>1.6216833613879711</v>
          </cell>
          <cell r="AG1388">
            <v>1.7165892144185069</v>
          </cell>
          <cell r="AH1388">
            <v>1.7903105702149258</v>
          </cell>
          <cell r="AI1388">
            <v>1.8448458656295408</v>
          </cell>
          <cell r="AJ1388">
            <v>1.8819229645783198</v>
          </cell>
          <cell r="AK1388">
            <v>1.8991573117056237</v>
          </cell>
          <cell r="AL1388">
            <v>1.8925745641469538</v>
          </cell>
          <cell r="AM1388">
            <v>1.8622382951466676</v>
          </cell>
          <cell r="AN1388">
            <v>1.8096667536708022</v>
          </cell>
          <cell r="AO1388">
            <v>1.7364389801197921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0</v>
          </cell>
          <cell r="G1389">
            <v>0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-3.3441978061621302E-2</v>
          </cell>
          <cell r="M1389">
            <v>0.65302556532944589</v>
          </cell>
          <cell r="N1389">
            <v>1.162348090256704</v>
          </cell>
          <cell r="O1389">
            <v>1.9337708342173965</v>
          </cell>
          <cell r="P1389">
            <v>2.9171104460751662</v>
          </cell>
          <cell r="Q1389">
            <v>3.7568661563576633</v>
          </cell>
          <cell r="R1389">
            <v>4.5863449902677988</v>
          </cell>
          <cell r="S1389">
            <v>5.356057326178254</v>
          </cell>
          <cell r="T1389">
            <v>6.0528898303778389</v>
          </cell>
          <cell r="U1389">
            <v>6.6727948927541858</v>
          </cell>
          <cell r="V1389">
            <v>7.3483669337579327</v>
          </cell>
          <cell r="W1389">
            <v>7.9842451964458716</v>
          </cell>
          <cell r="X1389">
            <v>8.5847611897487575</v>
          </cell>
          <cell r="Y1389">
            <v>9.1445935745856346</v>
          </cell>
          <cell r="Z1389">
            <v>9.6555672209526211</v>
          </cell>
          <cell r="AA1389">
            <v>10.112343351840082</v>
          </cell>
          <cell r="AB1389">
            <v>10.512060835043391</v>
          </cell>
          <cell r="AC1389">
            <v>10.850573889677428</v>
          </cell>
          <cell r="AD1389">
            <v>11.122727353133177</v>
          </cell>
          <cell r="AE1389">
            <v>11.323315814036894</v>
          </cell>
          <cell r="AF1389">
            <v>11.456802640559992</v>
          </cell>
          <cell r="AG1389">
            <v>11.535856958117851</v>
          </cell>
          <cell r="AH1389">
            <v>11.569536316409712</v>
          </cell>
          <cell r="AI1389">
            <v>11.563696444148231</v>
          </cell>
          <cell r="AJ1389">
            <v>11.522131110463917</v>
          </cell>
          <cell r="AK1389">
            <v>11.45149210123575</v>
          </cell>
          <cell r="AL1389">
            <v>11.362057013954274</v>
          </cell>
          <cell r="AM1389">
            <v>11.262845967492229</v>
          </cell>
          <cell r="AN1389">
            <v>11.161342189400036</v>
          </cell>
          <cell r="AO1389">
            <v>11.065092380810126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0</v>
          </cell>
          <cell r="G1390">
            <v>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0.14067353069949773</v>
          </cell>
          <cell r="M1390">
            <v>0.21385506502953344</v>
          </cell>
          <cell r="N1390">
            <v>0.21472965747153516</v>
          </cell>
          <cell r="O1390">
            <v>0.37678972747745565</v>
          </cell>
          <cell r="P1390">
            <v>0.64215204479227683</v>
          </cell>
          <cell r="Q1390">
            <v>0.94060812948939532</v>
          </cell>
          <cell r="R1390">
            <v>1.3077900228742667</v>
          </cell>
          <cell r="S1390">
            <v>1.6757417040349276</v>
          </cell>
          <cell r="T1390">
            <v>2.0228091843177864</v>
          </cell>
          <cell r="U1390">
            <v>2.3441196038106016</v>
          </cell>
          <cell r="V1390">
            <v>2.5876307413407407</v>
          </cell>
          <cell r="W1390">
            <v>2.7548251018010284</v>
          </cell>
          <cell r="X1390">
            <v>2.8922325652420922</v>
          </cell>
          <cell r="Y1390">
            <v>3.0197096499599221</v>
          </cell>
          <cell r="Z1390">
            <v>3.1426963289367782</v>
          </cell>
          <cell r="AA1390">
            <v>3.25489954384215</v>
          </cell>
          <cell r="AB1390">
            <v>3.3531527747875156</v>
          </cell>
          <cell r="AC1390">
            <v>3.4427556445031584</v>
          </cell>
          <cell r="AD1390">
            <v>3.5254061743919429</v>
          </cell>
          <cell r="AE1390">
            <v>3.5999731950282943</v>
          </cell>
          <cell r="AF1390">
            <v>3.6445040157532906</v>
          </cell>
          <cell r="AG1390">
            <v>3.6483852366299354</v>
          </cell>
          <cell r="AH1390">
            <v>3.6314787822442796</v>
          </cell>
          <cell r="AI1390">
            <v>3.603527003855179</v>
          </cell>
          <cell r="AJ1390">
            <v>3.5685228591398879</v>
          </cell>
          <cell r="AK1390">
            <v>3.5197376947485601</v>
          </cell>
          <cell r="AL1390">
            <v>3.4528035300391613</v>
          </cell>
          <cell r="AM1390">
            <v>3.3770365571793795</v>
          </cell>
          <cell r="AN1390">
            <v>3.2987970195523353</v>
          </cell>
          <cell r="AO1390">
            <v>3.2215284235761033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0</v>
          </cell>
          <cell r="G1391">
            <v>0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-4.4980924981030679E-2</v>
          </cell>
          <cell r="M1391">
            <v>0.69506338779288246</v>
          </cell>
          <cell r="N1391">
            <v>1.2911265160422958</v>
          </cell>
          <cell r="O1391">
            <v>1.9788397532512825</v>
          </cell>
          <cell r="P1391">
            <v>2.7663935488611457</v>
          </cell>
          <cell r="Q1391">
            <v>3.3884880418996621</v>
          </cell>
          <cell r="R1391">
            <v>4.0291556233436054</v>
          </cell>
          <cell r="S1391">
            <v>4.6517799299792717</v>
          </cell>
          <cell r="T1391">
            <v>5.2317637991009525</v>
          </cell>
          <cell r="U1391">
            <v>5.7542936149304946</v>
          </cell>
          <cell r="V1391">
            <v>6.3529771680606029</v>
          </cell>
          <cell r="W1391">
            <v>6.93884167395169</v>
          </cell>
          <cell r="X1391">
            <v>7.518658193249661</v>
          </cell>
          <cell r="Y1391">
            <v>8.0837246567419179</v>
          </cell>
          <cell r="Z1391">
            <v>8.6194720255911896</v>
          </cell>
          <cell r="AA1391">
            <v>9.1137512757863526</v>
          </cell>
          <cell r="AB1391">
            <v>9.5582673336108925</v>
          </cell>
          <cell r="AC1391">
            <v>9.9453217581870739</v>
          </cell>
          <cell r="AD1391">
            <v>10.267565905031994</v>
          </cell>
          <cell r="AE1391">
            <v>10.518611067254779</v>
          </cell>
          <cell r="AF1391">
            <v>10.701496993129211</v>
          </cell>
          <cell r="AG1391">
            <v>10.827119845557464</v>
          </cell>
          <cell r="AH1391">
            <v>10.903376758462645</v>
          </cell>
          <cell r="AI1391">
            <v>10.93481678617314</v>
          </cell>
          <cell r="AJ1391">
            <v>10.923927365537644</v>
          </cell>
          <cell r="AK1391">
            <v>10.876070263813565</v>
          </cell>
          <cell r="AL1391">
            <v>10.800381271169535</v>
          </cell>
          <cell r="AM1391">
            <v>10.705352566115334</v>
          </cell>
          <cell r="AN1391">
            <v>10.598264257409173</v>
          </cell>
          <cell r="AO1391">
            <v>10.486521929646141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0</v>
          </cell>
          <cell r="G1392">
            <v>0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0.12913458378008835</v>
          </cell>
          <cell r="M1392">
            <v>0.25589288749297001</v>
          </cell>
          <cell r="N1392">
            <v>0.34350808325712689</v>
          </cell>
          <cell r="O1392">
            <v>0.42185864651134164</v>
          </cell>
          <cell r="P1392">
            <v>0.49143514757825635</v>
          </cell>
          <cell r="Q1392">
            <v>0.57223001503139415</v>
          </cell>
          <cell r="R1392">
            <v>0.7506006559500733</v>
          </cell>
          <cell r="S1392">
            <v>0.97146430783594528</v>
          </cell>
          <cell r="T1392">
            <v>1.2016831530409</v>
          </cell>
          <cell r="U1392">
            <v>1.4256183259869104</v>
          </cell>
          <cell r="V1392">
            <v>1.5922409756434108</v>
          </cell>
          <cell r="W1392">
            <v>1.7094215793068468</v>
          </cell>
          <cell r="X1392">
            <v>1.8261295687429957</v>
          </cell>
          <cell r="Y1392">
            <v>1.9588407321162054</v>
          </cell>
          <cell r="Z1392">
            <v>2.1066011335753467</v>
          </cell>
          <cell r="AA1392">
            <v>2.256307467788421</v>
          </cell>
          <cell r="AB1392">
            <v>2.3993592733550173</v>
          </cell>
          <cell r="AC1392">
            <v>2.5375035130128047</v>
          </cell>
          <cell r="AD1392">
            <v>2.6702447262907594</v>
          </cell>
          <cell r="AE1392">
            <v>2.7952684482461798</v>
          </cell>
          <cell r="AF1392">
            <v>2.8891983683225098</v>
          </cell>
          <cell r="AG1392">
            <v>2.9396481240695485</v>
          </cell>
          <cell r="AH1392">
            <v>2.9653192242972128</v>
          </cell>
          <cell r="AI1392">
            <v>2.9746473458800882</v>
          </cell>
          <cell r="AJ1392">
            <v>2.9703191142136145</v>
          </cell>
          <cell r="AK1392">
            <v>2.9443158573263748</v>
          </cell>
          <cell r="AL1392">
            <v>2.8911277872544217</v>
          </cell>
          <cell r="AM1392">
            <v>2.8195431558024842</v>
          </cell>
          <cell r="AN1392">
            <v>2.7357190875614723</v>
          </cell>
          <cell r="AO1392">
            <v>2.6429579724121179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0</v>
          </cell>
          <cell r="G1394">
            <v>0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0.14067353069949773</v>
          </cell>
          <cell r="M1394">
            <v>0.21385506502953344</v>
          </cell>
          <cell r="N1394">
            <v>0.21472965747153516</v>
          </cell>
          <cell r="O1394">
            <v>0.37678972747745565</v>
          </cell>
          <cell r="P1394">
            <v>0.64215204479227683</v>
          </cell>
          <cell r="Q1394">
            <v>0.94060812948939532</v>
          </cell>
          <cell r="R1394">
            <v>1.3077900228742667</v>
          </cell>
          <cell r="S1394">
            <v>1.6757417040349276</v>
          </cell>
          <cell r="T1394">
            <v>2.0228091843177864</v>
          </cell>
          <cell r="U1394">
            <v>2.3441196038106016</v>
          </cell>
          <cell r="V1394">
            <v>2.5876307413407407</v>
          </cell>
          <cell r="W1394">
            <v>2.7548251018010284</v>
          </cell>
          <cell r="X1394">
            <v>2.8922325652420922</v>
          </cell>
          <cell r="Y1394">
            <v>3.0197096499599221</v>
          </cell>
          <cell r="Z1394">
            <v>3.1426963289367782</v>
          </cell>
          <cell r="AA1394">
            <v>3.25489954384215</v>
          </cell>
          <cell r="AB1394">
            <v>3.3531527747875156</v>
          </cell>
          <cell r="AC1394">
            <v>3.4427556445031584</v>
          </cell>
          <cell r="AD1394">
            <v>3.5254061743919429</v>
          </cell>
          <cell r="AE1394">
            <v>3.5999731950282943</v>
          </cell>
          <cell r="AF1394">
            <v>3.6445040157532906</v>
          </cell>
          <cell r="AG1394">
            <v>3.6483852366299354</v>
          </cell>
          <cell r="AH1394">
            <v>3.6314787822442796</v>
          </cell>
          <cell r="AI1394">
            <v>3.603527003855179</v>
          </cell>
          <cell r="AJ1394">
            <v>3.5685228591398879</v>
          </cell>
          <cell r="AK1394">
            <v>3.5197376947485601</v>
          </cell>
          <cell r="AL1394">
            <v>3.4528035300391613</v>
          </cell>
          <cell r="AM1394">
            <v>3.3770365571793795</v>
          </cell>
          <cell r="AN1394">
            <v>3.2987970195523353</v>
          </cell>
          <cell r="AO1394">
            <v>3.2215284235761033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-0.10881430622805555</v>
          </cell>
          <cell r="M1395">
            <v>0.1043733734753749</v>
          </cell>
          <cell r="N1395">
            <v>0.40699543664806104</v>
          </cell>
          <cell r="O1395">
            <v>0.8544638711704744</v>
          </cell>
          <cell r="P1395">
            <v>1.4580752642893602</v>
          </cell>
          <cell r="Q1395">
            <v>2.0621693867563629</v>
          </cell>
          <cell r="R1395">
            <v>2.6257612507736727</v>
          </cell>
          <cell r="S1395">
            <v>3.1355127890756229</v>
          </cell>
          <cell r="T1395">
            <v>3.5880795733656434</v>
          </cell>
          <cell r="U1395">
            <v>3.980440056662915</v>
          </cell>
          <cell r="V1395">
            <v>4.4370972140225007</v>
          </cell>
          <cell r="W1395">
            <v>4.9317211120577076</v>
          </cell>
          <cell r="X1395">
            <v>5.4320580600250246</v>
          </cell>
          <cell r="Y1395">
            <v>5.9129313041131226</v>
          </cell>
          <cell r="Z1395">
            <v>6.3582683309348464</v>
          </cell>
          <cell r="AA1395">
            <v>6.763341551810198</v>
          </cell>
          <cell r="AB1395">
            <v>7.1264693353362274</v>
          </cell>
          <cell r="AC1395">
            <v>7.440765616359224</v>
          </cell>
          <cell r="AD1395">
            <v>7.6989377978341267</v>
          </cell>
          <cell r="AE1395">
            <v>7.8954257638623071</v>
          </cell>
          <cell r="AF1395">
            <v>8.0441089667746759</v>
          </cell>
          <cell r="AG1395">
            <v>8.164476777560159</v>
          </cell>
          <cell r="AH1395">
            <v>8.2571233956026937</v>
          </cell>
          <cell r="AI1395">
            <v>8.3205804281457851</v>
          </cell>
          <cell r="AJ1395">
            <v>8.3548904243245801</v>
          </cell>
          <cell r="AK1395">
            <v>8.368830364564106</v>
          </cell>
          <cell r="AL1395">
            <v>8.3749419193681405</v>
          </cell>
          <cell r="AM1395">
            <v>8.3780306525317769</v>
          </cell>
          <cell r="AN1395">
            <v>8.3813486583635743</v>
          </cell>
          <cell r="AO1395">
            <v>8.3903440284444528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-0.15903221134309087</v>
          </cell>
          <cell r="M1396">
            <v>0.12352421787085177</v>
          </cell>
          <cell r="N1396">
            <v>0.51156888040413406</v>
          </cell>
          <cell r="O1396">
            <v>1.052606704017478</v>
          </cell>
          <cell r="P1396">
            <v>1.7419614018148399</v>
          </cell>
          <cell r="Q1396">
            <v>2.35859191988117</v>
          </cell>
          <cell r="R1396">
            <v>2.8589536662379622</v>
          </cell>
          <cell r="S1396">
            <v>3.2514736974053937</v>
          </cell>
          <cell r="T1396">
            <v>3.5484662377834209</v>
          </cell>
          <cell r="U1396">
            <v>3.7592679890972036</v>
          </cell>
          <cell r="V1396">
            <v>4.1365992416801278</v>
          </cell>
          <cell r="W1396">
            <v>4.5956113106867091</v>
          </cell>
          <cell r="X1396">
            <v>5.084870819532572</v>
          </cell>
          <cell r="Y1396">
            <v>5.5671027718692923</v>
          </cell>
          <cell r="Z1396">
            <v>6.0186391399098538</v>
          </cell>
          <cell r="AA1396">
            <v>6.4324349408212411</v>
          </cell>
          <cell r="AB1396">
            <v>6.8052444307161508</v>
          </cell>
          <cell r="AC1396">
            <v>7.1264685643573022</v>
          </cell>
          <cell r="AD1396">
            <v>7.3867319927404251</v>
          </cell>
          <cell r="AE1396">
            <v>7.5799793633244628</v>
          </cell>
          <cell r="AF1396">
            <v>7.7280022429824013</v>
          </cell>
          <cell r="AG1396">
            <v>7.8575716866261081</v>
          </cell>
          <cell r="AH1396">
            <v>7.9643066876388113</v>
          </cell>
          <cell r="AI1396">
            <v>8.0437197970605325</v>
          </cell>
          <cell r="AJ1396">
            <v>8.0933969285363894</v>
          </cell>
          <cell r="AK1396">
            <v>8.1236411076974324</v>
          </cell>
          <cell r="AL1396">
            <v>8.1485847502401842</v>
          </cell>
          <cell r="AM1396">
            <v>8.169919447851349</v>
          </cell>
          <cell r="AN1396">
            <v>8.18809505387601</v>
          </cell>
          <cell r="AO1396">
            <v>8.2051553727985791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-0.4982936192548304</v>
          </cell>
          <cell r="M1397">
            <v>-0.24250595332214742</v>
          </cell>
          <cell r="N1397">
            <v>2.473269950140633E-2</v>
          </cell>
          <cell r="O1397">
            <v>0.39420613664260529</v>
          </cell>
          <cell r="P1397">
            <v>0.85268327356757823</v>
          </cell>
          <cell r="Q1397">
            <v>1.1436275622876302</v>
          </cell>
          <cell r="R1397">
            <v>1.1678973358850042</v>
          </cell>
          <cell r="S1397">
            <v>1.0519044543718215</v>
          </cell>
          <cell r="T1397">
            <v>0.84637281973913847</v>
          </cell>
          <cell r="U1397">
            <v>0.57333477523666687</v>
          </cell>
          <cell r="V1397">
            <v>0.67888341234483285</v>
          </cell>
          <cell r="W1397">
            <v>0.86409174244583831</v>
          </cell>
          <cell r="X1397">
            <v>1.0532985274936291</v>
          </cell>
          <cell r="Y1397">
            <v>1.2250258318299068</v>
          </cell>
          <cell r="Z1397">
            <v>1.3721187898664944</v>
          </cell>
          <cell r="AA1397">
            <v>1.5138424593055699</v>
          </cell>
          <cell r="AB1397">
            <v>1.6498679249443926</v>
          </cell>
          <cell r="AC1397">
            <v>1.7488504705231334</v>
          </cell>
          <cell r="AD1397">
            <v>1.7993429265873662</v>
          </cell>
          <cell r="AE1397">
            <v>1.7988682328191397</v>
          </cell>
          <cell r="AF1397">
            <v>1.8323089469391318</v>
          </cell>
          <cell r="AG1397">
            <v>1.9400130930617765</v>
          </cell>
          <cell r="AH1397">
            <v>2.0517825948322965</v>
          </cell>
          <cell r="AI1397">
            <v>2.1506710575860621</v>
          </cell>
          <cell r="AJ1397">
            <v>2.2334634140998899</v>
          </cell>
          <cell r="AK1397">
            <v>2.3349247876171653</v>
          </cell>
          <cell r="AL1397">
            <v>2.4788037703380006</v>
          </cell>
          <cell r="AM1397">
            <v>2.6375515329056576</v>
          </cell>
          <cell r="AN1397">
            <v>2.8001609876749489</v>
          </cell>
          <cell r="AO1397">
            <v>2.9604968669930898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2.6066701988014529E-3</v>
          </cell>
          <cell r="M1398">
            <v>-5.8831005988979612E-2</v>
          </cell>
          <cell r="N1398">
            <v>4.1002365910802752E-2</v>
          </cell>
          <cell r="O1398">
            <v>0.32552880335383616</v>
          </cell>
          <cell r="P1398">
            <v>0.78784256463728664</v>
          </cell>
          <cell r="Q1398">
            <v>1.409120457607993</v>
          </cell>
          <cell r="R1398">
            <v>2.0884084432509775</v>
          </cell>
          <cell r="S1398">
            <v>2.759604917976155</v>
          </cell>
          <cell r="T1398">
            <v>3.3881728187759474</v>
          </cell>
          <cell r="U1398">
            <v>3.9579616217861213</v>
          </cell>
          <cell r="V1398">
            <v>4.459091827999595</v>
          </cell>
          <cell r="W1398">
            <v>4.9381923773686331</v>
          </cell>
          <cell r="X1398">
            <v>5.4161982637636719</v>
          </cell>
          <cell r="Y1398">
            <v>5.8929231746902788</v>
          </cell>
          <cell r="Z1398">
            <v>6.3576851533529544</v>
          </cell>
          <cell r="AA1398">
            <v>6.797165443297204</v>
          </cell>
          <cell r="AB1398">
            <v>7.201465144278707</v>
          </cell>
          <cell r="AC1398">
            <v>7.5640751486125257</v>
          </cell>
          <cell r="AD1398">
            <v>7.8783441071302418</v>
          </cell>
          <cell r="AE1398">
            <v>8.1374777212492422</v>
          </cell>
          <cell r="AF1398">
            <v>8.336267815989352</v>
          </cell>
          <cell r="AG1398">
            <v>8.4787768991204224</v>
          </cell>
          <cell r="AH1398">
            <v>8.5768592410011557</v>
          </cell>
          <cell r="AI1398">
            <v>8.638475462314199</v>
          </cell>
          <cell r="AJ1398">
            <v>8.6680822881953112</v>
          </cell>
          <cell r="AK1398">
            <v>8.6687062410563129</v>
          </cell>
          <cell r="AL1398">
            <v>8.6464684675162431</v>
          </cell>
          <cell r="AM1398">
            <v>8.6107829549921799</v>
          </cell>
          <cell r="AN1398">
            <v>8.5694017951326806</v>
          </cell>
          <cell r="AO1398">
            <v>8.5281582572201753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0.17703041637004979</v>
          </cell>
          <cell r="M1399">
            <v>-0.49582399357568363</v>
          </cell>
          <cell r="N1399">
            <v>-0.89810545404598319</v>
          </cell>
          <cell r="O1399">
            <v>-1.2125727743834802</v>
          </cell>
          <cell r="P1399">
            <v>-1.4540370975374306</v>
          </cell>
          <cell r="Q1399">
            <v>-1.368594419077751</v>
          </cell>
          <cell r="R1399">
            <v>-1.1523655850125825</v>
          </cell>
          <cell r="S1399">
            <v>-0.88802845423679999</v>
          </cell>
          <cell r="T1399">
            <v>-0.61704059373755005</v>
          </cell>
          <cell r="U1399">
            <v>-0.35533247798914536</v>
          </cell>
          <cell r="V1399">
            <v>-0.28793646873916945</v>
          </cell>
          <cell r="W1399">
            <v>-0.27675503391947354</v>
          </cell>
          <cell r="X1399">
            <v>-0.26144739305530296</v>
          </cell>
          <cell r="Y1399">
            <v>-0.21857338388248104</v>
          </cell>
          <cell r="Z1399">
            <v>-0.14569670065529561</v>
          </cell>
          <cell r="AA1399">
            <v>-5.6410075473101173E-2</v>
          </cell>
          <cell r="AB1399">
            <v>3.971399559139499E-2</v>
          </cell>
          <cell r="AC1399">
            <v>0.14548000880305612</v>
          </cell>
          <cell r="AD1399">
            <v>0.2611802276398123</v>
          </cell>
          <cell r="AE1399">
            <v>0.38444323409585479</v>
          </cell>
          <cell r="AF1399">
            <v>0.48600131697968951</v>
          </cell>
          <cell r="AG1399">
            <v>0.5480758499549987</v>
          </cell>
          <cell r="AH1399">
            <v>0.59182249655878039</v>
          </cell>
          <cell r="AI1399">
            <v>0.62829284683205699</v>
          </cell>
          <cell r="AJ1399">
            <v>0.66183432721202973</v>
          </cell>
          <cell r="AK1399">
            <v>0.68279426997326365</v>
          </cell>
          <cell r="AL1399">
            <v>0.68318050565610022</v>
          </cell>
          <cell r="AM1399">
            <v>0.67198230114036139</v>
          </cell>
          <cell r="AN1399">
            <v>0.65533093454444025</v>
          </cell>
          <cell r="AO1399">
            <v>0.6348031119016273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2.6071949777106695E-3</v>
          </cell>
          <cell r="M1400">
            <v>-5.8817681720169102E-2</v>
          </cell>
          <cell r="N1400">
            <v>4.1043475016477871E-2</v>
          </cell>
          <cell r="O1400">
            <v>0.32561272903846028</v>
          </cell>
          <cell r="P1400">
            <v>0.78798287970223146</v>
          </cell>
          <cell r="Q1400">
            <v>1.4093240246420669</v>
          </cell>
          <cell r="R1400">
            <v>2.0886740865952547</v>
          </cell>
          <cell r="S1400">
            <v>2.7599257533436283</v>
          </cell>
          <cell r="T1400">
            <v>3.3885393790472618</v>
          </cell>
          <cell r="U1400">
            <v>3.9583642477024616</v>
          </cell>
          <cell r="V1400">
            <v>4.4595229137108561</v>
          </cell>
          <cell r="W1400">
            <v>4.9386479575096676</v>
          </cell>
          <cell r="X1400">
            <v>5.4166769844985918</v>
          </cell>
          <cell r="Y1400">
            <v>5.8934248620305496</v>
          </cell>
          <cell r="Z1400">
            <v>6.358209646564883</v>
          </cell>
          <cell r="AA1400">
            <v>6.7977123614533896</v>
          </cell>
          <cell r="AB1400">
            <v>7.2020339015666623</v>
          </cell>
          <cell r="AC1400">
            <v>7.5646645023791592</v>
          </cell>
          <cell r="AD1400">
            <v>7.8789521956186492</v>
          </cell>
          <cell r="AE1400">
            <v>8.138101797457109</v>
          </cell>
          <cell r="AF1400">
            <v>8.336905354395018</v>
          </cell>
          <cell r="AG1400">
            <v>8.4794271723655399</v>
          </cell>
          <cell r="AH1400">
            <v>8.5775219736885298</v>
          </cell>
          <cell r="AI1400">
            <v>8.6391510075815034</v>
          </cell>
          <cell r="AJ1400">
            <v>8.6687705489490128</v>
          </cell>
          <cell r="AK1400">
            <v>8.669407021111919</v>
          </cell>
          <cell r="AL1400">
            <v>8.6471822151979119</v>
          </cell>
          <cell r="AM1400">
            <v>8.6115102334529894</v>
          </cell>
          <cell r="AN1400">
            <v>8.5701435313215502</v>
          </cell>
          <cell r="AO1400">
            <v>8.5289150863516063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-3.5739540791501767E-3</v>
          </cell>
          <cell r="M1401">
            <v>0.13809983944692572</v>
          </cell>
          <cell r="N1401">
            <v>0.14772104802855957</v>
          </cell>
          <cell r="O1401">
            <v>0.16205204762276271</v>
          </cell>
          <cell r="P1401">
            <v>0.16327752030911302</v>
          </cell>
          <cell r="Q1401">
            <v>0.12306708644778119</v>
          </cell>
          <cell r="R1401">
            <v>0.12500404690378719</v>
          </cell>
          <cell r="S1401">
            <v>0.14904916355320541</v>
          </cell>
          <cell r="T1401">
            <v>0.17698438070723466</v>
          </cell>
          <cell r="U1401">
            <v>0.20156972186937683</v>
          </cell>
          <cell r="V1401">
            <v>0.25972523867905384</v>
          </cell>
          <cell r="W1401">
            <v>0.26061685668128387</v>
          </cell>
          <cell r="X1401">
            <v>0.24452897230389237</v>
          </cell>
          <cell r="Y1401">
            <v>0.23483658613507874</v>
          </cell>
          <cell r="Z1401">
            <v>0.23818858103801244</v>
          </cell>
          <cell r="AA1401">
            <v>0.25160023479025018</v>
          </cell>
          <cell r="AB1401">
            <v>0.26856193901423353</v>
          </cell>
          <cell r="AC1401">
            <v>0.28565269091300749</v>
          </cell>
          <cell r="AD1401">
            <v>0.30286212978882787</v>
          </cell>
          <cell r="AE1401">
            <v>0.32002378249171848</v>
          </cell>
          <cell r="AF1401">
            <v>0.33294430505013128</v>
          </cell>
          <cell r="AG1401">
            <v>0.33239915210123705</v>
          </cell>
          <cell r="AH1401">
            <v>0.31675077330843848</v>
          </cell>
          <cell r="AI1401">
            <v>0.29185616848255158</v>
          </cell>
          <cell r="AJ1401">
            <v>0.26074632564325739</v>
          </cell>
          <cell r="AK1401">
            <v>0.22243651821380883</v>
          </cell>
          <cell r="AL1401">
            <v>0.17296203384613573</v>
          </cell>
          <cell r="AM1401">
            <v>0.11075643573150717</v>
          </cell>
          <cell r="AN1401">
            <v>3.7313500455593562E-2</v>
          </cell>
          <cell r="AO1401">
            <v>-4.8088511528499023E-2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1.1538946919409376E-2</v>
          </cell>
          <cell r="M1402">
            <v>-4.2037822463436569E-2</v>
          </cell>
          <cell r="N1402">
            <v>-0.12877842578559173</v>
          </cell>
          <cell r="O1402">
            <v>-4.506891903388599E-2</v>
          </cell>
          <cell r="P1402">
            <v>0.15071689721402048</v>
          </cell>
          <cell r="Q1402">
            <v>0.36837811445800117</v>
          </cell>
          <cell r="R1402">
            <v>0.55718936692419341</v>
          </cell>
          <cell r="S1402">
            <v>0.70427739619898233</v>
          </cell>
          <cell r="T1402">
            <v>0.82112603127688644</v>
          </cell>
          <cell r="U1402">
            <v>0.91850127782369118</v>
          </cell>
          <cell r="V1402">
            <v>0.99538976569732984</v>
          </cell>
          <cell r="W1402">
            <v>1.0454035224941816</v>
          </cell>
          <cell r="X1402">
            <v>1.0661029964990965</v>
          </cell>
          <cell r="Y1402">
            <v>1.0608689178437158</v>
          </cell>
          <cell r="Z1402">
            <v>1.0360951953614306</v>
          </cell>
          <cell r="AA1402">
            <v>0.99859207605372813</v>
          </cell>
          <cell r="AB1402">
            <v>0.9537935014324983</v>
          </cell>
          <cell r="AC1402">
            <v>0.90525213149035277</v>
          </cell>
          <cell r="AD1402">
            <v>0.85516144810118266</v>
          </cell>
          <cell r="AE1402">
            <v>0.80470474678211446</v>
          </cell>
          <cell r="AF1402">
            <v>0.75530564743078177</v>
          </cell>
          <cell r="AG1402">
            <v>0.70873711256038696</v>
          </cell>
          <cell r="AH1402">
            <v>0.66615955794706583</v>
          </cell>
          <cell r="AI1402">
            <v>0.62887965797508993</v>
          </cell>
          <cell r="AJ1402">
            <v>0.59820374492627337</v>
          </cell>
          <cell r="AK1402">
            <v>0.57542183742218533</v>
          </cell>
          <cell r="AL1402">
            <v>0.56167574278473964</v>
          </cell>
          <cell r="AM1402">
            <v>0.55749340137689618</v>
          </cell>
          <cell r="AN1402">
            <v>0.56307793199086298</v>
          </cell>
          <cell r="AO1402">
            <v>0.57857045116398442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3.2202499999984866</v>
          </cell>
          <cell r="M1403">
            <v>-11.783290000003035</v>
          </cell>
          <cell r="N1403">
            <v>-36.254959999998391</v>
          </cell>
          <cell r="O1403">
            <v>-12.744399999999587</v>
          </cell>
          <cell r="P1403">
            <v>42.812799999999697</v>
          </cell>
          <cell r="Q1403">
            <v>105.13487000000168</v>
          </cell>
          <cell r="R1403">
            <v>159.77608999999939</v>
          </cell>
          <cell r="S1403">
            <v>202.83523000000059</v>
          </cell>
          <cell r="T1403">
            <v>237.40818999999829</v>
          </cell>
          <cell r="U1403">
            <v>266.49765000000116</v>
          </cell>
          <cell r="V1403">
            <v>289.79203000000052</v>
          </cell>
          <cell r="W1403">
            <v>305.45498999999836</v>
          </cell>
          <cell r="X1403">
            <v>312.76592000000164</v>
          </cell>
          <cell r="Y1403">
            <v>312.65776999999798</v>
          </cell>
          <cell r="Z1403">
            <v>306.93160999999964</v>
          </cell>
          <cell r="AA1403">
            <v>297.5196999999971</v>
          </cell>
          <cell r="AB1403">
            <v>285.97667000000001</v>
          </cell>
          <cell r="AC1403">
            <v>273.31533000000127</v>
          </cell>
          <cell r="AD1403">
            <v>260.14607999999862</v>
          </cell>
          <cell r="AE1403">
            <v>246.78524000000107</v>
          </cell>
          <cell r="AF1403">
            <v>233.63753999999972</v>
          </cell>
          <cell r="AG1403">
            <v>221.24171999999817</v>
          </cell>
          <cell r="AH1403">
            <v>209.96158000000287</v>
          </cell>
          <cell r="AI1403">
            <v>200.20611999999892</v>
          </cell>
          <cell r="AJ1403">
            <v>192.39374999999927</v>
          </cell>
          <cell r="AK1403">
            <v>186.96208000000115</v>
          </cell>
          <cell r="AL1403">
            <v>184.32912999999826</v>
          </cell>
          <cell r="AM1403">
            <v>184.73209000000497</v>
          </cell>
          <cell r="AN1403">
            <v>188.3079099999959</v>
          </cell>
          <cell r="AO1403">
            <v>195.17154000000301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-8.6365599999999043E-3</v>
          </cell>
          <cell r="M1404">
            <v>3.2175850000000505E-2</v>
          </cell>
          <cell r="N1404">
            <v>9.4239329999999677E-2</v>
          </cell>
          <cell r="O1404">
            <v>2.5047770000000136E-2</v>
          </cell>
          <cell r="P1404">
            <v>-0.11941430999999891</v>
          </cell>
          <cell r="Q1404">
            <v>-0.26990332000000061</v>
          </cell>
          <cell r="R1404">
            <v>-0.39314345999999917</v>
          </cell>
          <cell r="S1404">
            <v>-0.48440493000000001</v>
          </cell>
          <cell r="T1404">
            <v>-0.55512324999999896</v>
          </cell>
          <cell r="U1404">
            <v>-0.61390456999999987</v>
          </cell>
          <cell r="V1404">
            <v>-0.65965724999999953</v>
          </cell>
          <cell r="W1404">
            <v>-0.68763478000000022</v>
          </cell>
          <cell r="X1404">
            <v>-0.69645699000000083</v>
          </cell>
          <cell r="Y1404">
            <v>-0.68896470999999937</v>
          </cell>
          <cell r="Z1404">
            <v>-0.66982860999999927</v>
          </cell>
          <cell r="AA1404">
            <v>-0.64367196999999954</v>
          </cell>
          <cell r="AB1404">
            <v>-0.61393720999999979</v>
          </cell>
          <cell r="AC1404">
            <v>-0.58267096000000074</v>
          </cell>
          <cell r="AD1404">
            <v>-0.55100795000000002</v>
          </cell>
          <cell r="AE1404">
            <v>-0.51946114000000065</v>
          </cell>
          <cell r="AF1404">
            <v>-0.4888620499999996</v>
          </cell>
          <cell r="AG1404">
            <v>-0.46037812000000039</v>
          </cell>
          <cell r="AH1404">
            <v>-0.43471030999999993</v>
          </cell>
          <cell r="AI1404">
            <v>-0.41269785999999975</v>
          </cell>
          <cell r="AJ1404">
            <v>-0.39519455999999997</v>
          </cell>
          <cell r="AK1404">
            <v>-0.38307656000000012</v>
          </cell>
          <cell r="AL1404">
            <v>-0.37714230999999976</v>
          </cell>
          <cell r="AM1404">
            <v>-0.37773793999999961</v>
          </cell>
          <cell r="AN1404">
            <v>-0.38500014999999987</v>
          </cell>
          <cell r="AO1404">
            <v>-0.3990500300000005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8.4137798693001156E-2</v>
          </cell>
          <cell r="M1405">
            <v>-0.11145446956927493</v>
          </cell>
          <cell r="N1405">
            <v>-0.21537695652891453</v>
          </cell>
          <cell r="O1405">
            <v>-3.6456661914903085E-2</v>
          </cell>
          <cell r="P1405">
            <v>9.1160653478456963E-2</v>
          </cell>
          <cell r="Q1405">
            <v>0.16673980388519499</v>
          </cell>
          <cell r="R1405">
            <v>0.20804221188050442</v>
          </cell>
          <cell r="S1405">
            <v>0.22194744469747418</v>
          </cell>
          <cell r="T1405">
            <v>0.23381447533027616</v>
          </cell>
          <cell r="U1405">
            <v>0.24662928254366376</v>
          </cell>
          <cell r="V1405">
            <v>0.19890308579237295</v>
          </cell>
          <cell r="W1405">
            <v>0.16139871018230889</v>
          </cell>
          <cell r="X1405">
            <v>0.13521091209593283</v>
          </cell>
          <cell r="Y1405">
            <v>0.11182038227278979</v>
          </cell>
          <cell r="Z1405">
            <v>8.5551675445817016E-2</v>
          </cell>
          <cell r="AA1405">
            <v>5.179266173383143E-2</v>
          </cell>
          <cell r="AB1405">
            <v>1.1998485198924658E-2</v>
          </cell>
          <cell r="AC1405">
            <v>-2.8731456759263294E-2</v>
          </cell>
          <cell r="AD1405">
            <v>-6.9919306553048802E-2</v>
          </cell>
          <cell r="AE1405">
            <v>-0.11230791821946993</v>
          </cell>
          <cell r="AF1405">
            <v>-0.16462813499226459</v>
          </cell>
          <cell r="AG1405">
            <v>-0.22457123197577866</v>
          </cell>
          <cell r="AH1405">
            <v>-0.27768689102718042</v>
          </cell>
          <cell r="AI1405">
            <v>-0.32371643022156626</v>
          </cell>
          <cell r="AJ1405">
            <v>-0.36402133614842558</v>
          </cell>
          <cell r="AK1405">
            <v>-0.40293657199828647</v>
          </cell>
          <cell r="AL1405">
            <v>-0.4402122167660269</v>
          </cell>
          <cell r="AM1405">
            <v>-0.46954151594640958</v>
          </cell>
          <cell r="AN1405">
            <v>-0.48924873421053727</v>
          </cell>
          <cell r="AO1405">
            <v>-0.49681470883679718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-0.12263552023160616</v>
          </cell>
          <cell r="M1406">
            <v>-0.22622017326242219</v>
          </cell>
          <cell r="N1406">
            <v>-0.33637267602822185</v>
          </cell>
          <cell r="O1406">
            <v>-0.45221606611307275</v>
          </cell>
          <cell r="P1406">
            <v>-0.56230385405075101</v>
          </cell>
          <cell r="Q1406">
            <v>-0.65581224935534133</v>
          </cell>
          <cell r="R1406">
            <v>-0.73529082480929642</v>
          </cell>
          <cell r="S1406">
            <v>-0.80003275218328906</v>
          </cell>
          <cell r="T1406">
            <v>-0.85088339033234406</v>
          </cell>
          <cell r="U1406">
            <v>-0.88973688725000577</v>
          </cell>
          <cell r="V1406">
            <v>-0.86765666632388738</v>
          </cell>
          <cell r="W1406">
            <v>-0.85688251412970595</v>
          </cell>
          <cell r="X1406">
            <v>-0.853758384006709</v>
          </cell>
          <cell r="Y1406">
            <v>-0.85443640246718988</v>
          </cell>
          <cell r="Z1406">
            <v>-0.85643353879305895</v>
          </cell>
          <cell r="AA1406">
            <v>-0.85806671569286652</v>
          </cell>
          <cell r="AB1406">
            <v>-0.85876878926702105</v>
          </cell>
          <cell r="AC1406">
            <v>-0.8586963982816862</v>
          </cell>
          <cell r="AD1406">
            <v>-0.85795398683265089</v>
          </cell>
          <cell r="AE1406">
            <v>-0.8563981136606833</v>
          </cell>
          <cell r="AF1406">
            <v>-0.85479153451437084</v>
          </cell>
          <cell r="AG1406">
            <v>-0.85165341945580597</v>
          </cell>
          <cell r="AH1406">
            <v>-0.8480432173949245</v>
          </cell>
          <cell r="AI1406">
            <v>-0.84387412059453315</v>
          </cell>
          <cell r="AJ1406">
            <v>-0.83926639202318942</v>
          </cell>
          <cell r="AK1406">
            <v>-0.83429158779130919</v>
          </cell>
          <cell r="AL1406">
            <v>-0.8295477227979835</v>
          </cell>
          <cell r="AM1406">
            <v>-0.82647668315326517</v>
          </cell>
          <cell r="AN1406">
            <v>-0.82712584405355261</v>
          </cell>
          <cell r="AO1406">
            <v>-0.83560218232386019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-3.0438507496740545E-2</v>
          </cell>
          <cell r="M1407">
            <v>0.14283878661575733</v>
          </cell>
          <cell r="N1407">
            <v>0.26966601141486513</v>
          </cell>
          <cell r="O1407">
            <v>0.25763326023540284</v>
          </cell>
          <cell r="P1407">
            <v>0.17398811769321804</v>
          </cell>
          <cell r="Q1407">
            <v>2.9415537847431606E-2</v>
          </cell>
          <cell r="R1407">
            <v>-0.11299392221965654</v>
          </cell>
          <cell r="S1407">
            <v>-0.2351547104556605</v>
          </cell>
          <cell r="T1407">
            <v>-0.33867863021441486</v>
          </cell>
          <cell r="U1407">
            <v>-0.42749454523327357</v>
          </cell>
          <cell r="V1407">
            <v>-0.48026694577040291</v>
          </cell>
          <cell r="W1407">
            <v>-0.50999871536755603</v>
          </cell>
          <cell r="X1407">
            <v>-0.52749431816464298</v>
          </cell>
          <cell r="Y1407">
            <v>-0.53835397175277944</v>
          </cell>
          <cell r="Z1407">
            <v>-0.54479670943768255</v>
          </cell>
          <cell r="AA1407">
            <v>-0.54627510007895164</v>
          </cell>
          <cell r="AB1407">
            <v>-0.54262166116946564</v>
          </cell>
          <cell r="AC1407">
            <v>-0.53552421506313719</v>
          </cell>
          <cell r="AD1407">
            <v>-0.52601506952380872</v>
          </cell>
          <cell r="AE1407">
            <v>-0.51420157548186485</v>
          </cell>
          <cell r="AF1407">
            <v>-0.49608029680557747</v>
          </cell>
          <cell r="AG1407">
            <v>-0.46973352154877879</v>
          </cell>
          <cell r="AH1407">
            <v>-0.43995035489018885</v>
          </cell>
          <cell r="AI1407">
            <v>-0.41024862850865679</v>
          </cell>
          <cell r="AJ1407">
            <v>-0.38256953578988462</v>
          </cell>
          <cell r="AK1407">
            <v>-0.35633774596828471</v>
          </cell>
          <cell r="AL1407">
            <v>-0.33111734071506888</v>
          </cell>
          <cell r="AM1407">
            <v>-0.30898550867177327</v>
          </cell>
          <cell r="AN1407">
            <v>-0.29162367230696901</v>
          </cell>
          <cell r="AO1407">
            <v>-0.27983331789804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-3.0817134500616891E-2</v>
          </cell>
          <cell r="M1408">
            <v>9.7092370795651486E-2</v>
          </cell>
          <cell r="N1408">
            <v>0.38196570518207429</v>
          </cell>
          <cell r="O1408">
            <v>0.41687130690393415</v>
          </cell>
          <cell r="P1408">
            <v>0.37118588635565231</v>
          </cell>
          <cell r="Q1408">
            <v>0.26301330050033411</v>
          </cell>
          <cell r="R1408">
            <v>9.2711013389844971E-2</v>
          </cell>
          <cell r="S1408">
            <v>-6.8051133903278965E-2</v>
          </cell>
          <cell r="T1408">
            <v>-0.211439843429931</v>
          </cell>
          <cell r="U1408">
            <v>-0.33842026740409942</v>
          </cell>
          <cell r="V1408">
            <v>-0.4283525329614658</v>
          </cell>
          <cell r="W1408">
            <v>-0.4581240049056734</v>
          </cell>
          <cell r="X1408">
            <v>-0.47620786302619456</v>
          </cell>
          <cell r="Y1408">
            <v>-0.49551052259481382</v>
          </cell>
          <cell r="Z1408">
            <v>-0.51841484171599839</v>
          </cell>
          <cell r="AA1408">
            <v>-0.5421920317384038</v>
          </cell>
          <cell r="AB1408">
            <v>-0.56308459626739338</v>
          </cell>
          <cell r="AC1408">
            <v>-0.58110796867544412</v>
          </cell>
          <cell r="AD1408">
            <v>-0.59780019755408587</v>
          </cell>
          <cell r="AE1408">
            <v>-0.61298959681199761</v>
          </cell>
          <cell r="AF1408">
            <v>-0.62191624864390316</v>
          </cell>
          <cell r="AG1408">
            <v>-0.61867539509304526</v>
          </cell>
          <cell r="AH1408">
            <v>-0.60700299761160048</v>
          </cell>
          <cell r="AI1408">
            <v>-0.59357676575596641</v>
          </cell>
          <cell r="AJ1408">
            <v>-0.58059656509613222</v>
          </cell>
          <cell r="AK1408">
            <v>-0.56712153685697719</v>
          </cell>
          <cell r="AL1408">
            <v>-0.55170085459477636</v>
          </cell>
          <cell r="AM1408">
            <v>-0.53638271269154447</v>
          </cell>
          <cell r="AN1408">
            <v>-0.52388626209970846</v>
          </cell>
          <cell r="AO1408">
            <v>-0.51549965266790698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-4.9767989216764619E-2</v>
          </cell>
          <cell r="M1409">
            <v>-0.17220395429325963</v>
          </cell>
          <cell r="N1409">
            <v>-3.5585864617204699E-2</v>
          </cell>
          <cell r="O1409">
            <v>-0.31741670703285818</v>
          </cell>
          <cell r="P1409">
            <v>-0.76695719754406033</v>
          </cell>
          <cell r="Q1409">
            <v>-1.2179660486606236</v>
          </cell>
          <cell r="R1409">
            <v>-1.7667492250416417</v>
          </cell>
          <cell r="S1409">
            <v>-2.387491697200872</v>
          </cell>
          <cell r="T1409">
            <v>-3.0715416196320788</v>
          </cell>
          <cell r="U1409">
            <v>-3.7969490658255833</v>
          </cell>
          <cell r="V1409">
            <v>-4.5531248080447178</v>
          </cell>
          <cell r="W1409">
            <v>-5.2922920075994977</v>
          </cell>
          <cell r="X1409">
            <v>-5.9940682549182949</v>
          </cell>
          <cell r="Y1409">
            <v>-6.6530343048873508</v>
          </cell>
          <cell r="Z1409">
            <v>-7.2692717422710773</v>
          </cell>
          <cell r="AA1409">
            <v>-7.842809219841862</v>
          </cell>
          <cell r="AB1409">
            <v>-8.3713176350295964</v>
          </cell>
          <cell r="AC1409">
            <v>-8.8515641176365563</v>
          </cell>
          <cell r="AD1409">
            <v>-9.2808288190747152</v>
          </cell>
          <cell r="AE1409">
            <v>-9.6565824860644689</v>
          </cell>
          <cell r="AF1409">
            <v>-9.9765289770598002</v>
          </cell>
          <cell r="AG1409">
            <v>-10.237319406557017</v>
          </cell>
          <cell r="AH1409">
            <v>-10.439118888601223</v>
          </cell>
          <cell r="AI1409">
            <v>-10.587100035248504</v>
          </cell>
          <cell r="AJ1409">
            <v>-10.690020076434298</v>
          </cell>
          <cell r="AK1409">
            <v>-10.75634457281989</v>
          </cell>
          <cell r="AL1409">
            <v>-10.793270030414536</v>
          </cell>
          <cell r="AM1409">
            <v>-10.808188803089768</v>
          </cell>
          <cell r="AN1409">
            <v>-10.808862070095643</v>
          </cell>
          <cell r="AO1409">
            <v>-10.802733419039862</v>
          </cell>
        </row>
        <row r="1410">
          <cell r="C1410" t="str">
            <v>PIB</v>
          </cell>
          <cell r="E1410" t="str">
            <v>GDP_2</v>
          </cell>
          <cell r="F1410">
            <v>2194093.5350000001</v>
          </cell>
          <cell r="G1410">
            <v>2218377.8250000002</v>
          </cell>
          <cell r="H1410">
            <v>2250613.0580000002</v>
          </cell>
          <cell r="I1410">
            <v>2285429.2050000001</v>
          </cell>
          <cell r="J1410">
            <v>2320657.003</v>
          </cell>
          <cell r="K1410">
            <v>2356848.5989999999</v>
          </cell>
          <cell r="L1410">
            <v>2394044.16</v>
          </cell>
          <cell r="M1410">
            <v>2426097.3110000002</v>
          </cell>
          <cell r="N1410">
            <v>2459579.219</v>
          </cell>
          <cell r="O1410">
            <v>2503593.2510000002</v>
          </cell>
          <cell r="P1410">
            <v>2549832.5019999999</v>
          </cell>
          <cell r="Q1410">
            <v>2597102.6669999999</v>
          </cell>
          <cell r="R1410">
            <v>2644592.4649999999</v>
          </cell>
          <cell r="S1410">
            <v>2690987.5049999999</v>
          </cell>
          <cell r="T1410">
            <v>2737568.84</v>
          </cell>
          <cell r="U1410">
            <v>2784866.42</v>
          </cell>
          <cell r="V1410">
            <v>2833252.4739999999</v>
          </cell>
          <cell r="W1410">
            <v>2883211.469</v>
          </cell>
          <cell r="X1410">
            <v>2935068.7969999998</v>
          </cell>
          <cell r="Y1410">
            <v>2989054.983</v>
          </cell>
          <cell r="Z1410">
            <v>3045491.2230000002</v>
          </cell>
          <cell r="AA1410">
            <v>3104642.182</v>
          </cell>
          <cell r="AB1410">
            <v>3166917.821</v>
          </cell>
          <cell r="AC1410">
            <v>3232576.6749999998</v>
          </cell>
          <cell r="AD1410">
            <v>3301633.9780000001</v>
          </cell>
          <cell r="AE1410">
            <v>3374183.074</v>
          </cell>
          <cell r="AF1410">
            <v>3450377.2590000001</v>
          </cell>
          <cell r="AG1410">
            <v>3530557.61</v>
          </cell>
          <cell r="AH1410">
            <v>3614932.4950000001</v>
          </cell>
          <cell r="AI1410">
            <v>3703207.6209999998</v>
          </cell>
          <cell r="AJ1410">
            <v>3794852.5890000002</v>
          </cell>
          <cell r="AK1410">
            <v>3889416.176</v>
          </cell>
          <cell r="AL1410">
            <v>3986568.2179999999</v>
          </cell>
          <cell r="AM1410">
            <v>4086047.7420000001</v>
          </cell>
          <cell r="AN1410">
            <v>4187657.64</v>
          </cell>
          <cell r="AO1410">
            <v>4291299.6610000003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4.5576897811372419E-8</v>
          </cell>
          <cell r="G1411">
            <v>-4.5077996890796612E-8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-3.7812997177866237E-8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-3.4070746224301729E-8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-2.5084223587157339E-8</v>
          </cell>
          <cell r="AM1411">
            <v>0</v>
          </cell>
          <cell r="AN1411">
            <v>0</v>
          </cell>
          <cell r="AO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1189810.844</v>
          </cell>
          <cell r="G1412">
            <v>1229453.7819999999</v>
          </cell>
          <cell r="H1412">
            <v>1267814.72</v>
          </cell>
          <cell r="I1412">
            <v>1307340.7709999999</v>
          </cell>
          <cell r="J1412">
            <v>1347496.2649999999</v>
          </cell>
          <cell r="K1412">
            <v>1387519.726</v>
          </cell>
          <cell r="L1412">
            <v>1429276.969</v>
          </cell>
          <cell r="M1412">
            <v>1480044.02</v>
          </cell>
          <cell r="N1412">
            <v>1539046.0190000001</v>
          </cell>
          <cell r="O1412">
            <v>1598704.3289999999</v>
          </cell>
          <cell r="P1412">
            <v>1661719.6429999999</v>
          </cell>
          <cell r="Q1412">
            <v>1725616.683</v>
          </cell>
          <cell r="R1412">
            <v>1788220.294</v>
          </cell>
          <cell r="S1412">
            <v>1850594.7819999999</v>
          </cell>
          <cell r="T1412">
            <v>1912529.2120000001</v>
          </cell>
          <cell r="U1412">
            <v>1973793.345</v>
          </cell>
          <cell r="V1412">
            <v>2034536.48</v>
          </cell>
          <cell r="W1412">
            <v>2095021.804</v>
          </cell>
          <cell r="X1412">
            <v>2155052.7340000002</v>
          </cell>
          <cell r="Y1412">
            <v>2214531.8190000001</v>
          </cell>
          <cell r="Z1412">
            <v>2273564.6349999998</v>
          </cell>
          <cell r="AA1412">
            <v>2332437.5830000001</v>
          </cell>
          <cell r="AB1412">
            <v>2391503.9989999998</v>
          </cell>
          <cell r="AC1412">
            <v>2450968.2999999998</v>
          </cell>
          <cell r="AD1412">
            <v>2511058.5580000002</v>
          </cell>
          <cell r="AE1412">
            <v>2572062.1039999998</v>
          </cell>
          <cell r="AF1412">
            <v>2634689.4019999998</v>
          </cell>
          <cell r="AG1412">
            <v>2699807.0830000001</v>
          </cell>
          <cell r="AH1412">
            <v>2767570.1749999998</v>
          </cell>
          <cell r="AI1412">
            <v>2837698.0809999998</v>
          </cell>
          <cell r="AJ1412">
            <v>2909943.7689999999</v>
          </cell>
          <cell r="AK1412">
            <v>2984274.4709999999</v>
          </cell>
          <cell r="AL1412">
            <v>3060705.3650000002</v>
          </cell>
          <cell r="AM1412">
            <v>3138900.8229999999</v>
          </cell>
          <cell r="AN1412">
            <v>3218410.3760000002</v>
          </cell>
          <cell r="AO1412">
            <v>3298838.9780000001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1022443.505</v>
          </cell>
          <cell r="G1413">
            <v>1054847.3589999999</v>
          </cell>
          <cell r="H1413">
            <v>1089830.9439999999</v>
          </cell>
          <cell r="I1413">
            <v>1126180.04</v>
          </cell>
          <cell r="J1413">
            <v>1162936.173</v>
          </cell>
          <cell r="K1413">
            <v>1200395.4380000001</v>
          </cell>
          <cell r="L1413">
            <v>1239183.709</v>
          </cell>
          <cell r="M1413">
            <v>1280724.821</v>
          </cell>
          <cell r="N1413">
            <v>1325909.48</v>
          </cell>
          <cell r="O1413">
            <v>1378699.6640000001</v>
          </cell>
          <cell r="P1413">
            <v>1438329.2420000001</v>
          </cell>
          <cell r="Q1413">
            <v>1502600.898</v>
          </cell>
          <cell r="R1413">
            <v>1569619.906</v>
          </cell>
          <cell r="S1413">
            <v>1637517.129</v>
          </cell>
          <cell r="T1413">
            <v>1705519.1850000001</v>
          </cell>
          <cell r="U1413">
            <v>1773279.0830000001</v>
          </cell>
          <cell r="V1413">
            <v>1840801.4990000001</v>
          </cell>
          <cell r="W1413">
            <v>1908552.709</v>
          </cell>
          <cell r="X1413">
            <v>1976857.65</v>
          </cell>
          <cell r="Y1413">
            <v>2046088.0009999999</v>
          </cell>
          <cell r="Z1413">
            <v>2116700.554</v>
          </cell>
          <cell r="AA1413">
            <v>2189267.5989999999</v>
          </cell>
          <cell r="AB1413">
            <v>2264525.83</v>
          </cell>
          <cell r="AC1413">
            <v>2343212.1850000001</v>
          </cell>
          <cell r="AD1413">
            <v>2426027.594</v>
          </cell>
          <cell r="AE1413">
            <v>2513693.3339999998</v>
          </cell>
          <cell r="AF1413">
            <v>2607258.8080000002</v>
          </cell>
          <cell r="AG1413">
            <v>2708085.8</v>
          </cell>
          <cell r="AH1413">
            <v>2817420.048</v>
          </cell>
          <cell r="AI1413">
            <v>2936116.727</v>
          </cell>
          <cell r="AJ1413">
            <v>3064595.568</v>
          </cell>
          <cell r="AK1413">
            <v>3203105.9419999998</v>
          </cell>
          <cell r="AL1413">
            <v>3351844.7030000002</v>
          </cell>
          <cell r="AM1413">
            <v>3510844.6140000001</v>
          </cell>
          <cell r="AN1413">
            <v>3680027.8020000001</v>
          </cell>
          <cell r="AO1413">
            <v>3859222.2179999999</v>
          </cell>
        </row>
        <row r="1414">
          <cell r="C1414" t="str">
            <v>Solde public</v>
          </cell>
          <cell r="E1414" t="str">
            <v>Bal_G_tot_VAL_2</v>
          </cell>
          <cell r="F1414">
            <v>-65780.894400000005</v>
          </cell>
          <cell r="G1414">
            <v>-69730.933050000007</v>
          </cell>
          <cell r="H1414">
            <v>-69621.738410000005</v>
          </cell>
          <cell r="I1414">
            <v>-69317.607650000005</v>
          </cell>
          <cell r="J1414">
            <v>-69251.087650000001</v>
          </cell>
          <cell r="K1414">
            <v>-68352.729519999993</v>
          </cell>
          <cell r="L1414">
            <v>-67904.065310000005</v>
          </cell>
          <cell r="M1414">
            <v>-73734.800340000002</v>
          </cell>
          <cell r="N1414">
            <v>-83865.400349999996</v>
          </cell>
          <cell r="O1414">
            <v>-86540.256980000006</v>
          </cell>
          <cell r="P1414">
            <v>-85598.980009999999</v>
          </cell>
          <cell r="Q1414">
            <v>-80944.41562</v>
          </cell>
          <cell r="R1414">
            <v>-72481.797380000004</v>
          </cell>
          <cell r="S1414">
            <v>-63334.973149999998</v>
          </cell>
          <cell r="T1414">
            <v>-54100.597090000003</v>
          </cell>
          <cell r="U1414">
            <v>-44899.803030000003</v>
          </cell>
          <cell r="V1414">
            <v>-35875.531430000003</v>
          </cell>
          <cell r="W1414">
            <v>-26815.868709999999</v>
          </cell>
          <cell r="X1414">
            <v>-17201.064330000001</v>
          </cell>
          <cell r="Y1414">
            <v>-6589.7454120000002</v>
          </cell>
          <cell r="Z1414">
            <v>5319.478865</v>
          </cell>
          <cell r="AA1414">
            <v>18747.601790000001</v>
          </cell>
          <cell r="AB1414">
            <v>34002.036090000001</v>
          </cell>
          <cell r="AC1414">
            <v>51523.989229999999</v>
          </cell>
          <cell r="AD1414">
            <v>71672.940669999996</v>
          </cell>
          <cell r="AE1414">
            <v>94751.487269999998</v>
          </cell>
          <cell r="AF1414">
            <v>120952.0885</v>
          </cell>
          <cell r="AG1414">
            <v>150613.79610000001</v>
          </cell>
          <cell r="AH1414">
            <v>184654.2617</v>
          </cell>
          <cell r="AI1414">
            <v>223990.32180000001</v>
          </cell>
          <cell r="AJ1414">
            <v>269023.9583</v>
          </cell>
          <cell r="AK1414">
            <v>319752.43349999998</v>
          </cell>
          <cell r="AL1414">
            <v>376072.67800000001</v>
          </cell>
          <cell r="AM1414">
            <v>438073.49709999998</v>
          </cell>
          <cell r="AN1414">
            <v>505843.45819999999</v>
          </cell>
          <cell r="AO1414">
            <v>579317.09909999999</v>
          </cell>
        </row>
        <row r="1415">
          <cell r="C1415" t="str">
            <v>Dette publique</v>
          </cell>
          <cell r="E1415" t="str">
            <v>DEBT_G_VAL_2</v>
          </cell>
          <cell r="F1415">
            <v>2097509.801</v>
          </cell>
          <cell r="G1415">
            <v>2167240.7340000002</v>
          </cell>
          <cell r="H1415">
            <v>2236862.4720000001</v>
          </cell>
          <cell r="I1415">
            <v>2306180.08</v>
          </cell>
          <cell r="J1415">
            <v>2375431.1680000001</v>
          </cell>
          <cell r="K1415">
            <v>2443783.8969999999</v>
          </cell>
          <cell r="L1415">
            <v>2511687.9619999998</v>
          </cell>
          <cell r="M1415">
            <v>2585422.7629999998</v>
          </cell>
          <cell r="N1415">
            <v>2669288.1630000002</v>
          </cell>
          <cell r="O1415">
            <v>2755828.42</v>
          </cell>
          <cell r="P1415">
            <v>2841427.4</v>
          </cell>
          <cell r="Q1415">
            <v>2922371.8160000001</v>
          </cell>
          <cell r="R1415">
            <v>2994853.6129999999</v>
          </cell>
          <cell r="S1415">
            <v>3058188.5860000001</v>
          </cell>
          <cell r="T1415">
            <v>3112289.1830000002</v>
          </cell>
          <cell r="U1415">
            <v>3157188.986</v>
          </cell>
          <cell r="V1415">
            <v>3193064.5180000002</v>
          </cell>
          <cell r="W1415">
            <v>3219880.3859999999</v>
          </cell>
          <cell r="X1415">
            <v>3237081.4509999999</v>
          </cell>
          <cell r="Y1415">
            <v>3243671.196</v>
          </cell>
          <cell r="Z1415">
            <v>3238351.7170000002</v>
          </cell>
          <cell r="AA1415">
            <v>3219604.1159999999</v>
          </cell>
          <cell r="AB1415">
            <v>3185602.0789999999</v>
          </cell>
          <cell r="AC1415">
            <v>3134078.09</v>
          </cell>
          <cell r="AD1415">
            <v>3062405.15</v>
          </cell>
          <cell r="AE1415">
            <v>2967653.662</v>
          </cell>
          <cell r="AF1415">
            <v>2846701.574</v>
          </cell>
          <cell r="AG1415">
            <v>2696087.7779999999</v>
          </cell>
          <cell r="AH1415">
            <v>2511433.5159999998</v>
          </cell>
          <cell r="AI1415">
            <v>2287443.1940000001</v>
          </cell>
          <cell r="AJ1415">
            <v>2018419.236</v>
          </cell>
          <cell r="AK1415">
            <v>1698666.8019999999</v>
          </cell>
          <cell r="AL1415">
            <v>1322594.1240000001</v>
          </cell>
          <cell r="AM1415">
            <v>884520.6274</v>
          </cell>
          <cell r="AN1415">
            <v>378677.1691</v>
          </cell>
          <cell r="AO1415">
            <v>-200639.93</v>
          </cell>
        </row>
        <row r="1434">
          <cell r="F1434">
            <v>27379.04247</v>
          </cell>
          <cell r="G1434">
            <v>27405.3495</v>
          </cell>
          <cell r="H1434">
            <v>27463.627670000002</v>
          </cell>
          <cell r="I1434">
            <v>27557.365849999998</v>
          </cell>
          <cell r="J1434">
            <v>27666.856029999999</v>
          </cell>
          <cell r="K1434">
            <v>27785.41562</v>
          </cell>
          <cell r="L1434">
            <v>27910.87961</v>
          </cell>
          <cell r="M1434">
            <v>28018.426909999998</v>
          </cell>
          <cell r="N1434">
            <v>28116.721580000001</v>
          </cell>
          <cell r="O1434">
            <v>28264.83641</v>
          </cell>
          <cell r="P1434">
            <v>28448.917750000001</v>
          </cell>
          <cell r="Q1434">
            <v>28645.068670000001</v>
          </cell>
          <cell r="R1434">
            <v>28835.142039999999</v>
          </cell>
          <cell r="S1434">
            <v>29003.30946</v>
          </cell>
          <cell r="T1434">
            <v>29149.923559999999</v>
          </cell>
          <cell r="U1434">
            <v>29280.899310000001</v>
          </cell>
          <cell r="V1434">
            <v>29403.21473</v>
          </cell>
          <cell r="W1434">
            <v>29524.314829999999</v>
          </cell>
          <cell r="X1434">
            <v>29650.073950000002</v>
          </cell>
          <cell r="Y1434">
            <v>29784.514729999999</v>
          </cell>
          <cell r="Z1434">
            <v>29930.812829999999</v>
          </cell>
          <cell r="AA1434">
            <v>30091.437269999999</v>
          </cell>
          <cell r="AB1434">
            <v>30269.056820000002</v>
          </cell>
          <cell r="AC1434">
            <v>30465.49279</v>
          </cell>
          <cell r="AD1434">
            <v>30680.8439</v>
          </cell>
          <cell r="AE1434">
            <v>30914.58495</v>
          </cell>
          <cell r="AF1434">
            <v>31166.484499999999</v>
          </cell>
          <cell r="AG1434">
            <v>31437.5723</v>
          </cell>
          <cell r="AH1434">
            <v>31728.173320000002</v>
          </cell>
          <cell r="AI1434">
            <v>32035.568810000001</v>
          </cell>
          <cell r="AJ1434">
            <v>32354.303739999999</v>
          </cell>
          <cell r="AK1434">
            <v>32678.269820000001</v>
          </cell>
          <cell r="AL1434">
            <v>33002.041550000002</v>
          </cell>
          <cell r="AM1434">
            <v>33320.925190000002</v>
          </cell>
          <cell r="AN1434">
            <v>33630.909599999999</v>
          </cell>
          <cell r="AO1434">
            <v>33928.581120000003</v>
          </cell>
        </row>
        <row r="1435">
          <cell r="F1435">
            <v>760.76053509999997</v>
          </cell>
          <cell r="G1435">
            <v>752.30415689999995</v>
          </cell>
          <cell r="H1435">
            <v>741.83323800000005</v>
          </cell>
          <cell r="I1435">
            <v>734.14386569999999</v>
          </cell>
          <cell r="J1435">
            <v>729.9253473</v>
          </cell>
          <cell r="K1435">
            <v>728.69197210000004</v>
          </cell>
          <cell r="L1435">
            <v>729.64463880000005</v>
          </cell>
          <cell r="M1435">
            <v>730.82481210000003</v>
          </cell>
          <cell r="N1435">
            <v>731.92010089999997</v>
          </cell>
          <cell r="O1435">
            <v>734.82282710000004</v>
          </cell>
          <cell r="P1435">
            <v>738.73345110000002</v>
          </cell>
          <cell r="Q1435">
            <v>742.8606939</v>
          </cell>
          <cell r="R1435">
            <v>746.89376749999997</v>
          </cell>
          <cell r="S1435">
            <v>750.46369549999997</v>
          </cell>
          <cell r="T1435">
            <v>753.6518337</v>
          </cell>
          <cell r="U1435">
            <v>756.62146659999996</v>
          </cell>
          <cell r="V1435">
            <v>759.63129309999999</v>
          </cell>
          <cell r="W1435">
            <v>762.76427809999996</v>
          </cell>
          <cell r="X1435">
            <v>766.13694910000004</v>
          </cell>
          <cell r="Y1435">
            <v>769.86320350000005</v>
          </cell>
          <cell r="Z1435">
            <v>774.05634429999998</v>
          </cell>
          <cell r="AA1435">
            <v>778.80771200000004</v>
          </cell>
          <cell r="AB1435">
            <v>784.22095239999999</v>
          </cell>
          <cell r="AC1435">
            <v>790.36912570000004</v>
          </cell>
          <cell r="AD1435">
            <v>797.25836159999994</v>
          </cell>
          <cell r="AE1435">
            <v>804.86973780000005</v>
          </cell>
          <cell r="AF1435">
            <v>813.09556350000003</v>
          </cell>
          <cell r="AG1435">
            <v>822.00668240000005</v>
          </cell>
          <cell r="AH1435">
            <v>831.6316984</v>
          </cell>
          <cell r="AI1435">
            <v>841.86645680000004</v>
          </cell>
          <cell r="AJ1435">
            <v>852.49505910000005</v>
          </cell>
          <cell r="AK1435">
            <v>863.27772359999994</v>
          </cell>
          <cell r="AL1435">
            <v>874.00649850000002</v>
          </cell>
          <cell r="AM1435">
            <v>884.50605370000005</v>
          </cell>
          <cell r="AN1435">
            <v>894.62828079999997</v>
          </cell>
          <cell r="AO1435">
            <v>904.24439470000004</v>
          </cell>
        </row>
        <row r="1438">
          <cell r="F1438">
            <v>4364.8400359999996</v>
          </cell>
          <cell r="G1438">
            <v>4420.7640520000004</v>
          </cell>
          <cell r="H1438">
            <v>4501.2332040000001</v>
          </cell>
          <cell r="I1438">
            <v>4567.5203309999997</v>
          </cell>
          <cell r="J1438">
            <v>4608.2212879999997</v>
          </cell>
          <cell r="K1438">
            <v>4629.1002390000003</v>
          </cell>
          <cell r="L1438">
            <v>4639.4492200000004</v>
          </cell>
          <cell r="M1438">
            <v>4637.7458360000001</v>
          </cell>
          <cell r="N1438">
            <v>4635.3861550000001</v>
          </cell>
          <cell r="O1438">
            <v>4651.2367400000003</v>
          </cell>
          <cell r="P1438">
            <v>4681.7147720000003</v>
          </cell>
          <cell r="Q1438">
            <v>4719.3004920000003</v>
          </cell>
          <cell r="R1438">
            <v>4755.017116</v>
          </cell>
          <cell r="S1438">
            <v>4783.119412</v>
          </cell>
          <cell r="T1438">
            <v>4804.2115110000004</v>
          </cell>
          <cell r="U1438">
            <v>4821.0163350000003</v>
          </cell>
          <cell r="V1438">
            <v>4836.4163349999999</v>
          </cell>
          <cell r="W1438">
            <v>4853.3138559999998</v>
          </cell>
          <cell r="X1438">
            <v>4873.2473090000003</v>
          </cell>
          <cell r="Y1438">
            <v>4896.703861</v>
          </cell>
          <cell r="Z1438">
            <v>4923.8819359999998</v>
          </cell>
          <cell r="AA1438">
            <v>4954.9750370000002</v>
          </cell>
          <cell r="AB1438">
            <v>4990.3573429999997</v>
          </cell>
          <cell r="AC1438">
            <v>5030.2348499999998</v>
          </cell>
          <cell r="AD1438">
            <v>5074.4362080000001</v>
          </cell>
          <cell r="AE1438">
            <v>5122.7692459999998</v>
          </cell>
          <cell r="AF1438">
            <v>5175.1059070000001</v>
          </cell>
          <cell r="AG1438">
            <v>5231.9292530000002</v>
          </cell>
          <cell r="AH1438">
            <v>5293.4825639999999</v>
          </cell>
          <cell r="AI1438">
            <v>5359.2276590000001</v>
          </cell>
          <cell r="AJ1438">
            <v>5428.0104469999997</v>
          </cell>
          <cell r="AK1438">
            <v>5498.6018350000004</v>
          </cell>
          <cell r="AL1438">
            <v>5569.93487</v>
          </cell>
          <cell r="AM1438">
            <v>5641.0526250000003</v>
          </cell>
          <cell r="AN1438">
            <v>5711.1140919999998</v>
          </cell>
          <cell r="AO1438">
            <v>5779.4127760000001</v>
          </cell>
        </row>
        <row r="1448">
          <cell r="F1448">
            <v>1769.446175</v>
          </cell>
          <cell r="G1448">
            <v>1831.5895169999999</v>
          </cell>
          <cell r="H1448">
            <v>1917.2881299999999</v>
          </cell>
          <cell r="I1448">
            <v>1984.2372250000001</v>
          </cell>
          <cell r="J1448">
            <v>2021.623302</v>
          </cell>
          <cell r="K1448">
            <v>2035.8183449999999</v>
          </cell>
          <cell r="L1448">
            <v>2036.8171</v>
          </cell>
          <cell r="M1448">
            <v>2030.7896720000001</v>
          </cell>
          <cell r="N1448">
            <v>2025.0603080000001</v>
          </cell>
          <cell r="O1448">
            <v>2026.1873330000001</v>
          </cell>
          <cell r="P1448">
            <v>2035.3780670000001</v>
          </cell>
          <cell r="Q1448">
            <v>2049.8542729999999</v>
          </cell>
          <cell r="R1448">
            <v>2064.7326790000002</v>
          </cell>
          <cell r="S1448">
            <v>2077.4518370000001</v>
          </cell>
          <cell r="T1448">
            <v>2087.8984359999999</v>
          </cell>
          <cell r="U1448">
            <v>2097.0495559999999</v>
          </cell>
          <cell r="V1448">
            <v>2106.2060329999999</v>
          </cell>
          <cell r="W1448">
            <v>2116.5441460000002</v>
          </cell>
          <cell r="X1448">
            <v>2128.3071150000001</v>
          </cell>
          <cell r="Y1448">
            <v>2141.2377510000001</v>
          </cell>
          <cell r="Z1448">
            <v>2155.0505870000002</v>
          </cell>
          <cell r="AA1448">
            <v>2169.6087389999998</v>
          </cell>
          <cell r="AB1448">
            <v>2184.8995060000002</v>
          </cell>
          <cell r="AC1448">
            <v>2200.9743899999999</v>
          </cell>
          <cell r="AD1448">
            <v>2217.8603779999999</v>
          </cell>
          <cell r="AE1448">
            <v>2235.6321240000002</v>
          </cell>
          <cell r="AF1448">
            <v>2254.3689730000001</v>
          </cell>
          <cell r="AG1448">
            <v>2274.0989129999998</v>
          </cell>
          <cell r="AH1448">
            <v>2294.980967</v>
          </cell>
          <cell r="AI1448">
            <v>2317.178848</v>
          </cell>
          <cell r="AJ1448">
            <v>2340.7721630000001</v>
          </cell>
          <cell r="AK1448">
            <v>2365.6966029999999</v>
          </cell>
          <cell r="AL1448">
            <v>2391.7266199999999</v>
          </cell>
          <cell r="AM1448">
            <v>2418.5844400000001</v>
          </cell>
          <cell r="AN1448">
            <v>2445.9961050000002</v>
          </cell>
          <cell r="AO1448">
            <v>2473.71965</v>
          </cell>
        </row>
        <row r="1450">
          <cell r="F1450">
            <v>868.28542909999999</v>
          </cell>
          <cell r="G1450">
            <v>862.7582218</v>
          </cell>
          <cell r="H1450">
            <v>855.59783570000002</v>
          </cell>
          <cell r="I1450">
            <v>849.51524689999997</v>
          </cell>
          <cell r="J1450">
            <v>845.25468939999996</v>
          </cell>
          <cell r="K1450">
            <v>842.86226509999995</v>
          </cell>
          <cell r="L1450">
            <v>842.00909720000004</v>
          </cell>
          <cell r="M1450">
            <v>840.32254980000005</v>
          </cell>
          <cell r="N1450">
            <v>838.25202969999998</v>
          </cell>
          <cell r="O1450">
            <v>838.36429699999997</v>
          </cell>
          <cell r="P1450">
            <v>839.89151349999997</v>
          </cell>
          <cell r="Q1450">
            <v>842.11436140000001</v>
          </cell>
          <cell r="R1450">
            <v>844.36115070000005</v>
          </cell>
          <cell r="S1450">
            <v>845.97140449999995</v>
          </cell>
          <cell r="T1450">
            <v>846.9688142</v>
          </cell>
          <cell r="U1450">
            <v>847.57963099999995</v>
          </cell>
          <cell r="V1450">
            <v>848.04665379999994</v>
          </cell>
          <cell r="W1450">
            <v>848.61579489999997</v>
          </cell>
          <cell r="X1450">
            <v>849.52180209999995</v>
          </cell>
          <cell r="Y1450">
            <v>850.93584899999996</v>
          </cell>
          <cell r="Z1450">
            <v>852.9936265</v>
          </cell>
          <cell r="AA1450">
            <v>855.79940499999998</v>
          </cell>
          <cell r="AB1450">
            <v>859.46392049999997</v>
          </cell>
          <cell r="AC1450">
            <v>864.04725940000003</v>
          </cell>
          <cell r="AD1450">
            <v>869.53089569999997</v>
          </cell>
          <cell r="AE1450">
            <v>875.87317029999997</v>
          </cell>
          <cell r="AF1450">
            <v>883.07799539999996</v>
          </cell>
          <cell r="AG1450">
            <v>891.21965320000004</v>
          </cell>
          <cell r="AH1450">
            <v>900.31390829999998</v>
          </cell>
          <cell r="AI1450">
            <v>910.22053430000005</v>
          </cell>
          <cell r="AJ1450">
            <v>920.68302200000005</v>
          </cell>
          <cell r="AK1450">
            <v>931.44779389999997</v>
          </cell>
          <cell r="AL1450">
            <v>942.32326780000005</v>
          </cell>
          <cell r="AM1450">
            <v>953.1551058</v>
          </cell>
          <cell r="AN1450">
            <v>963.8157056</v>
          </cell>
          <cell r="AO1450">
            <v>974.19858490000001</v>
          </cell>
        </row>
        <row r="1455">
          <cell r="F1455">
            <v>21284.268169999999</v>
          </cell>
          <cell r="G1455">
            <v>21267.93188</v>
          </cell>
          <cell r="H1455">
            <v>21262.60843</v>
          </cell>
          <cell r="I1455">
            <v>21303.151290000002</v>
          </cell>
          <cell r="J1455">
            <v>21379.859339999999</v>
          </cell>
          <cell r="K1455">
            <v>21480.680530000001</v>
          </cell>
          <cell r="L1455">
            <v>21595.234909999999</v>
          </cell>
          <cell r="M1455">
            <v>21703.915690000002</v>
          </cell>
          <cell r="N1455">
            <v>21804.09778</v>
          </cell>
          <cell r="O1455">
            <v>21931.403320000001</v>
          </cell>
          <cell r="P1455">
            <v>22077.367190000001</v>
          </cell>
          <cell r="Q1455">
            <v>22227.37156</v>
          </cell>
          <cell r="R1455">
            <v>22373.40307</v>
          </cell>
          <cell r="S1455">
            <v>22506.518830000001</v>
          </cell>
          <cell r="T1455">
            <v>22626.358779999999</v>
          </cell>
          <cell r="U1455">
            <v>22735.6803</v>
          </cell>
          <cell r="V1455">
            <v>22838.018550000001</v>
          </cell>
          <cell r="W1455">
            <v>22937.541099999999</v>
          </cell>
          <cell r="X1455">
            <v>23038.193579999999</v>
          </cell>
          <cell r="Y1455">
            <v>23143.19543</v>
          </cell>
          <cell r="Z1455">
            <v>23255.24784</v>
          </cell>
          <cell r="AA1455">
            <v>23376.405490000001</v>
          </cell>
          <cell r="AB1455">
            <v>23508.723569999998</v>
          </cell>
          <cell r="AC1455">
            <v>23653.668580000001</v>
          </cell>
          <cell r="AD1455">
            <v>23811.517179999999</v>
          </cell>
          <cell r="AE1455">
            <v>23981.994760000001</v>
          </cell>
          <cell r="AF1455">
            <v>24165.066719999999</v>
          </cell>
          <cell r="AG1455">
            <v>24361.121070000001</v>
          </cell>
          <cell r="AH1455">
            <v>24570.189679999999</v>
          </cell>
          <cell r="AI1455">
            <v>24790.34993</v>
          </cell>
          <cell r="AJ1455">
            <v>25017.799869999999</v>
          </cell>
          <cell r="AK1455">
            <v>25248.176370000001</v>
          </cell>
          <cell r="AL1455">
            <v>25477.5324</v>
          </cell>
          <cell r="AM1455">
            <v>25702.469990000001</v>
          </cell>
          <cell r="AN1455">
            <v>25920.104149999999</v>
          </cell>
          <cell r="AO1455">
            <v>26127.984469999999</v>
          </cell>
        </row>
        <row r="1458">
          <cell r="F1458">
            <v>43.667123519999997</v>
          </cell>
          <cell r="G1458">
            <v>44.305364390000001</v>
          </cell>
          <cell r="H1458">
            <v>45.073914889999998</v>
          </cell>
          <cell r="I1458">
            <v>45.751619009999999</v>
          </cell>
          <cell r="J1458">
            <v>46.317941419999997</v>
          </cell>
          <cell r="K1458">
            <v>46.78169037</v>
          </cell>
          <cell r="L1458">
            <v>47.161325669999997</v>
          </cell>
          <cell r="M1458">
            <v>47.861048719999999</v>
          </cell>
          <cell r="N1458">
            <v>48.632092370000002</v>
          </cell>
          <cell r="O1458">
            <v>49.430235170000003</v>
          </cell>
          <cell r="P1458">
            <v>50.141186830000002</v>
          </cell>
          <cell r="Q1458">
            <v>50.72470208</v>
          </cell>
          <cell r="R1458">
            <v>51.146655340000002</v>
          </cell>
          <cell r="S1458">
            <v>51.396075260000003</v>
          </cell>
          <cell r="T1458">
            <v>51.498008980000002</v>
          </cell>
          <cell r="U1458">
            <v>51.489271180000003</v>
          </cell>
          <cell r="V1458">
            <v>51.462928130000002</v>
          </cell>
          <cell r="W1458">
            <v>51.412795799999998</v>
          </cell>
          <cell r="X1458">
            <v>51.346768439999998</v>
          </cell>
          <cell r="Y1458">
            <v>51.276371699999999</v>
          </cell>
          <cell r="Z1458">
            <v>51.213150859999999</v>
          </cell>
          <cell r="AA1458">
            <v>51.167618040000001</v>
          </cell>
          <cell r="AB1458">
            <v>51.149412920000003</v>
          </cell>
          <cell r="AC1458">
            <v>51.164529729999998</v>
          </cell>
          <cell r="AD1458">
            <v>51.216168799999998</v>
          </cell>
          <cell r="AE1458">
            <v>51.306802980000001</v>
          </cell>
          <cell r="AF1458">
            <v>51.44431608</v>
          </cell>
          <cell r="AG1458">
            <v>51.635983420000002</v>
          </cell>
          <cell r="AH1458">
            <v>51.887206569999996</v>
          </cell>
          <cell r="AI1458">
            <v>52.19804559</v>
          </cell>
          <cell r="AJ1458">
            <v>52.564684849999999</v>
          </cell>
          <cell r="AK1458">
            <v>52.984264670000002</v>
          </cell>
          <cell r="AL1458">
            <v>53.457409239999997</v>
          </cell>
          <cell r="AM1458">
            <v>53.986743779999998</v>
          </cell>
          <cell r="AN1458">
            <v>54.57515179</v>
          </cell>
          <cell r="AO1458">
            <v>55.215061749999997</v>
          </cell>
        </row>
        <row r="1463">
          <cell r="F1463">
            <v>57.221174349999998</v>
          </cell>
          <cell r="G1463">
            <v>57.285821460000001</v>
          </cell>
          <cell r="H1463">
            <v>57.281050929999999</v>
          </cell>
          <cell r="I1463">
            <v>57.283494599999997</v>
          </cell>
          <cell r="J1463">
            <v>57.277426660000003</v>
          </cell>
          <cell r="K1463">
            <v>57.298919589999997</v>
          </cell>
          <cell r="L1463">
            <v>57.380416949999997</v>
          </cell>
          <cell r="M1463">
            <v>57.75696791</v>
          </cell>
          <cell r="N1463">
            <v>58.43342406</v>
          </cell>
          <cell r="O1463">
            <v>59.578989759999999</v>
          </cell>
          <cell r="P1463">
            <v>61.069634360000002</v>
          </cell>
          <cell r="Q1463">
            <v>62.69685905</v>
          </cell>
          <cell r="R1463">
            <v>64.320274710000007</v>
          </cell>
          <cell r="S1463">
            <v>65.840038129999996</v>
          </cell>
          <cell r="T1463">
            <v>67.234610660000001</v>
          </cell>
          <cell r="U1463">
            <v>68.512304499999999</v>
          </cell>
          <cell r="V1463">
            <v>69.638969110000005</v>
          </cell>
          <cell r="W1463">
            <v>70.667007729999995</v>
          </cell>
          <cell r="X1463">
            <v>71.627537320000002</v>
          </cell>
          <cell r="Y1463">
            <v>72.540016429999994</v>
          </cell>
          <cell r="Z1463">
            <v>73.419932599999996</v>
          </cell>
          <cell r="AA1463">
            <v>74.282006629999998</v>
          </cell>
          <cell r="AB1463">
            <v>75.141617519999997</v>
          </cell>
          <cell r="AC1463">
            <v>76.008436399999994</v>
          </cell>
          <cell r="AD1463">
            <v>76.885079070000003</v>
          </cell>
          <cell r="AE1463">
            <v>77.771235770000004</v>
          </cell>
          <cell r="AF1463">
            <v>78.693995670000007</v>
          </cell>
          <cell r="AG1463">
            <v>79.659659450000007</v>
          </cell>
          <cell r="AH1463">
            <v>80.668262819999995</v>
          </cell>
          <cell r="AI1463">
            <v>81.706180739999994</v>
          </cell>
          <cell r="AJ1463">
            <v>82.75065051</v>
          </cell>
          <cell r="AK1463">
            <v>83.781833399999996</v>
          </cell>
          <cell r="AL1463">
            <v>84.787099459999993</v>
          </cell>
          <cell r="AM1463">
            <v>85.75466788</v>
          </cell>
          <cell r="AN1463">
            <v>86.672219429999998</v>
          </cell>
          <cell r="AO1463">
            <v>87.52582846</v>
          </cell>
        </row>
        <row r="1473">
          <cell r="F1473">
            <v>27379.04247</v>
          </cell>
          <cell r="G1473">
            <v>27405.3495</v>
          </cell>
          <cell r="H1473">
            <v>27463.627670000002</v>
          </cell>
          <cell r="I1473">
            <v>27557.365849999998</v>
          </cell>
          <cell r="J1473">
            <v>27666.856029999999</v>
          </cell>
          <cell r="K1473">
            <v>27785.41562</v>
          </cell>
          <cell r="L1473">
            <v>27907.659360000001</v>
          </cell>
          <cell r="M1473">
            <v>28030.210200000001</v>
          </cell>
          <cell r="N1473">
            <v>28152.97654</v>
          </cell>
          <cell r="O1473">
            <v>28277.580809999999</v>
          </cell>
          <cell r="P1473">
            <v>28406.104950000001</v>
          </cell>
          <cell r="Q1473">
            <v>28539.933799999999</v>
          </cell>
          <cell r="R1473">
            <v>28675.365949999999</v>
          </cell>
          <cell r="S1473">
            <v>28800.47423</v>
          </cell>
          <cell r="T1473">
            <v>28912.515370000001</v>
          </cell>
          <cell r="U1473">
            <v>29014.40166</v>
          </cell>
          <cell r="V1473">
            <v>29113.422699999999</v>
          </cell>
          <cell r="W1473">
            <v>29218.859840000001</v>
          </cell>
          <cell r="X1473">
            <v>29337.30803</v>
          </cell>
          <cell r="Y1473">
            <v>29471.856960000001</v>
          </cell>
          <cell r="Z1473">
            <v>29623.881219999999</v>
          </cell>
          <cell r="AA1473">
            <v>29793.917570000001</v>
          </cell>
          <cell r="AB1473">
            <v>29983.080150000002</v>
          </cell>
          <cell r="AC1473">
            <v>30192.177459999999</v>
          </cell>
          <cell r="AD1473">
            <v>30420.697820000001</v>
          </cell>
          <cell r="AE1473">
            <v>30667.799709999999</v>
          </cell>
          <cell r="AF1473">
            <v>30932.846959999999</v>
          </cell>
          <cell r="AG1473">
            <v>31216.330580000002</v>
          </cell>
          <cell r="AH1473">
            <v>31518.211739999999</v>
          </cell>
          <cell r="AI1473">
            <v>31835.362690000002</v>
          </cell>
          <cell r="AJ1473">
            <v>32161.90999</v>
          </cell>
          <cell r="AK1473">
            <v>32491.30774</v>
          </cell>
          <cell r="AL1473">
            <v>32817.712420000003</v>
          </cell>
          <cell r="AM1473">
            <v>33136.193099999997</v>
          </cell>
          <cell r="AN1473">
            <v>33442.601690000003</v>
          </cell>
          <cell r="AO1473">
            <v>33733.40958</v>
          </cell>
        </row>
        <row r="1474">
          <cell r="F1474">
            <v>760.76053509999997</v>
          </cell>
          <cell r="G1474">
            <v>752.30415689999995</v>
          </cell>
          <cell r="H1474">
            <v>741.83323800000005</v>
          </cell>
          <cell r="I1474">
            <v>734.14386569999999</v>
          </cell>
          <cell r="J1474">
            <v>729.9253473</v>
          </cell>
          <cell r="K1474">
            <v>728.69197210000004</v>
          </cell>
          <cell r="L1474">
            <v>729.56448590000002</v>
          </cell>
          <cell r="M1474">
            <v>731.68372869999996</v>
          </cell>
          <cell r="N1474">
            <v>734.49080030000005</v>
          </cell>
          <cell r="O1474">
            <v>737.69039789999999</v>
          </cell>
          <cell r="P1474">
            <v>741.1572807</v>
          </cell>
          <cell r="Q1474">
            <v>744.83992709999995</v>
          </cell>
          <cell r="R1474">
            <v>748.54398890000004</v>
          </cell>
          <cell r="S1474">
            <v>751.7863208</v>
          </cell>
          <cell r="T1474">
            <v>754.50006399999995</v>
          </cell>
          <cell r="U1474">
            <v>756.83638120000001</v>
          </cell>
          <cell r="V1474">
            <v>759.0953121</v>
          </cell>
          <cell r="W1474">
            <v>761.66951310000002</v>
          </cell>
          <cell r="X1474">
            <v>764.8454941</v>
          </cell>
          <cell r="Y1474">
            <v>768.75186199999996</v>
          </cell>
          <cell r="Z1474">
            <v>773.43122419999997</v>
          </cell>
          <cell r="AA1474">
            <v>778.87963009999999</v>
          </cell>
          <cell r="AB1474">
            <v>785.11816539999995</v>
          </cell>
          <cell r="AC1474">
            <v>792.16006879999998</v>
          </cell>
          <cell r="AD1474">
            <v>799.97009409999998</v>
          </cell>
          <cell r="AE1474">
            <v>808.50334699999996</v>
          </cell>
          <cell r="AF1474">
            <v>817.72591599999998</v>
          </cell>
          <cell r="AG1474">
            <v>827.65781010000001</v>
          </cell>
          <cell r="AH1474">
            <v>838.29210139999998</v>
          </cell>
          <cell r="AI1474">
            <v>849.49145129999999</v>
          </cell>
          <cell r="AJ1474">
            <v>861.00781840000002</v>
          </cell>
          <cell r="AK1474">
            <v>872.57400500000006</v>
          </cell>
          <cell r="AL1474">
            <v>883.96281669999996</v>
          </cell>
          <cell r="AM1474">
            <v>894.99003700000003</v>
          </cell>
          <cell r="AN1474">
            <v>905.50468309999997</v>
          </cell>
          <cell r="AO1474">
            <v>915.37964069999998</v>
          </cell>
        </row>
        <row r="1477">
          <cell r="F1477">
            <v>4364.8400359999996</v>
          </cell>
          <cell r="G1477">
            <v>4420.7640520000004</v>
          </cell>
          <cell r="H1477">
            <v>4501.2332040000001</v>
          </cell>
          <cell r="I1477">
            <v>4567.5203309999997</v>
          </cell>
          <cell r="J1477">
            <v>4608.2212879999997</v>
          </cell>
          <cell r="K1477">
            <v>4629.1002390000003</v>
          </cell>
          <cell r="L1477">
            <v>4638.5551379999997</v>
          </cell>
          <cell r="M1477">
            <v>4643.5137240000004</v>
          </cell>
          <cell r="N1477">
            <v>4648.4554369999996</v>
          </cell>
          <cell r="O1477">
            <v>4655.8449879999998</v>
          </cell>
          <cell r="P1477">
            <v>4666.8442660000001</v>
          </cell>
          <cell r="Q1477">
            <v>4681.7706200000002</v>
          </cell>
          <cell r="R1477">
            <v>4699.3480179999997</v>
          </cell>
          <cell r="S1477">
            <v>4716.1661409999997</v>
          </cell>
          <cell r="T1477">
            <v>4731.3111909999998</v>
          </cell>
          <cell r="U1477">
            <v>4745.3219449999997</v>
          </cell>
          <cell r="V1477">
            <v>4759.9970890000004</v>
          </cell>
          <cell r="W1477">
            <v>4777.0516809999999</v>
          </cell>
          <cell r="X1477">
            <v>4797.6155650000001</v>
          </cell>
          <cell r="Y1477">
            <v>4822.1117979999999</v>
          </cell>
          <cell r="Z1477">
            <v>4850.7192839999998</v>
          </cell>
          <cell r="AA1477">
            <v>4883.538313</v>
          </cell>
          <cell r="AB1477">
            <v>4920.8243119999997</v>
          </cell>
          <cell r="AC1477">
            <v>4962.7147530000002</v>
          </cell>
          <cell r="AD1477">
            <v>5009.0061139999998</v>
          </cell>
          <cell r="AE1477">
            <v>5059.5058209999997</v>
          </cell>
          <cell r="AF1477">
            <v>5114.1473919999999</v>
          </cell>
          <cell r="AG1477">
            <v>5173.1289989999996</v>
          </cell>
          <cell r="AH1477">
            <v>5236.571602</v>
          </cell>
          <cell r="AI1477">
            <v>5303.8754600000002</v>
          </cell>
          <cell r="AJ1477">
            <v>5373.8476090000004</v>
          </cell>
          <cell r="AK1477">
            <v>5445.1802669999997</v>
          </cell>
          <cell r="AL1477">
            <v>5516.6930389999998</v>
          </cell>
          <cell r="AM1477">
            <v>5587.3749040000002</v>
          </cell>
          <cell r="AN1477">
            <v>5656.3574660000004</v>
          </cell>
          <cell r="AO1477">
            <v>5722.880529</v>
          </cell>
        </row>
        <row r="1487">
          <cell r="F1487">
            <v>1769.446175</v>
          </cell>
          <cell r="G1487">
            <v>1831.5895169999999</v>
          </cell>
          <cell r="H1487">
            <v>1917.2881299999999</v>
          </cell>
          <cell r="I1487">
            <v>1984.2372250000001</v>
          </cell>
          <cell r="J1487">
            <v>2021.623302</v>
          </cell>
          <cell r="K1487">
            <v>2035.8183449999999</v>
          </cell>
          <cell r="L1487">
            <v>2036.3909060000001</v>
          </cell>
          <cell r="M1487">
            <v>2031.0894940000001</v>
          </cell>
          <cell r="N1487">
            <v>2024.792694</v>
          </cell>
          <cell r="O1487">
            <v>2020.1187399999999</v>
          </cell>
          <cell r="P1487">
            <v>2018.2766939999999</v>
          </cell>
          <cell r="Q1487">
            <v>2019.6972009999999</v>
          </cell>
          <cell r="R1487">
            <v>2024.142188</v>
          </cell>
          <cell r="S1487">
            <v>2030.6625799999999</v>
          </cell>
          <cell r="T1487">
            <v>2038.4361570000001</v>
          </cell>
          <cell r="U1487">
            <v>2046.97983</v>
          </cell>
          <cell r="V1487">
            <v>2056.404775</v>
          </cell>
          <cell r="W1487">
            <v>2066.7865940000002</v>
          </cell>
          <cell r="X1487">
            <v>2078.0819820000002</v>
          </cell>
          <cell r="Y1487">
            <v>2090.1351140000002</v>
          </cell>
          <cell r="Z1487">
            <v>2102.8230229999999</v>
          </cell>
          <cell r="AA1487">
            <v>2116.132224</v>
          </cell>
          <cell r="AB1487">
            <v>2130.1150040000002</v>
          </cell>
          <cell r="AC1487">
            <v>2144.8240959999998</v>
          </cell>
          <cell r="AD1487">
            <v>2160.2552260000002</v>
          </cell>
          <cell r="AE1487">
            <v>2176.4528</v>
          </cell>
          <cell r="AF1487">
            <v>2193.525427</v>
          </cell>
          <cell r="AG1487">
            <v>2211.603012</v>
          </cell>
          <cell r="AH1487">
            <v>2230.896432</v>
          </cell>
          <cell r="AI1487">
            <v>2251.5656570000001</v>
          </cell>
          <cell r="AJ1487">
            <v>2273.6654990000002</v>
          </cell>
          <cell r="AK1487">
            <v>2297.1365129999999</v>
          </cell>
          <cell r="AL1487">
            <v>2321.7903139999999</v>
          </cell>
          <cell r="AM1487">
            <v>2347.3675600000001</v>
          </cell>
          <cell r="AN1487">
            <v>2373.5793079999999</v>
          </cell>
          <cell r="AO1487">
            <v>2400.1326429999999</v>
          </cell>
        </row>
        <row r="1489">
          <cell r="F1489">
            <v>868.28542909999999</v>
          </cell>
          <cell r="G1489">
            <v>862.7582218</v>
          </cell>
          <cell r="H1489">
            <v>855.59783570000002</v>
          </cell>
          <cell r="I1489">
            <v>849.51524689999997</v>
          </cell>
          <cell r="J1489">
            <v>845.25468939999996</v>
          </cell>
          <cell r="K1489">
            <v>842.86226509999995</v>
          </cell>
          <cell r="L1489">
            <v>841.81488460000003</v>
          </cell>
          <cell r="M1489">
            <v>841.63029189999997</v>
          </cell>
          <cell r="N1489">
            <v>842.00276280000003</v>
          </cell>
          <cell r="O1489">
            <v>842.77315060000001</v>
          </cell>
          <cell r="P1489">
            <v>843.86937479999995</v>
          </cell>
          <cell r="Q1489">
            <v>845.23901360000002</v>
          </cell>
          <cell r="R1489">
            <v>846.64835110000001</v>
          </cell>
          <cell r="S1489">
            <v>847.55836620000002</v>
          </cell>
          <cell r="T1489">
            <v>847.90380159999995</v>
          </cell>
          <cell r="U1489">
            <v>847.86602470000003</v>
          </cell>
          <cell r="V1489">
            <v>847.85964220000005</v>
          </cell>
          <cell r="W1489">
            <v>848.29476460000001</v>
          </cell>
          <cell r="X1489">
            <v>849.43476729999998</v>
          </cell>
          <cell r="Y1489">
            <v>851.38523710000004</v>
          </cell>
          <cell r="Z1489">
            <v>854.17804079999996</v>
          </cell>
          <cell r="AA1489">
            <v>857.80565669999999</v>
          </cell>
          <cell r="AB1489">
            <v>862.28551010000001</v>
          </cell>
          <cell r="AC1489">
            <v>867.62087259999998</v>
          </cell>
          <cell r="AD1489">
            <v>873.76311599999997</v>
          </cell>
          <cell r="AE1489">
            <v>880.65669730000002</v>
          </cell>
          <cell r="AF1489">
            <v>888.25924540000005</v>
          </cell>
          <cell r="AG1489">
            <v>896.57946400000003</v>
          </cell>
          <cell r="AH1489">
            <v>905.59614859999999</v>
          </cell>
          <cell r="AI1489">
            <v>915.14931019999995</v>
          </cell>
          <cell r="AJ1489">
            <v>924.97054509999998</v>
          </cell>
          <cell r="AK1489">
            <v>934.78237750000005</v>
          </cell>
          <cell r="AL1489">
            <v>944.35630260000005</v>
          </cell>
          <cell r="AM1489">
            <v>953.51416810000001</v>
          </cell>
          <cell r="AN1489">
            <v>962.11650090000001</v>
          </cell>
          <cell r="AO1489">
            <v>970.05137990000003</v>
          </cell>
        </row>
        <row r="1494">
          <cell r="F1494">
            <v>21284.268169999999</v>
          </cell>
          <cell r="G1494">
            <v>21267.93188</v>
          </cell>
          <cell r="H1494">
            <v>21262.60843</v>
          </cell>
          <cell r="I1494">
            <v>21303.151290000002</v>
          </cell>
          <cell r="J1494">
            <v>21379.859339999999</v>
          </cell>
          <cell r="K1494">
            <v>21480.680530000001</v>
          </cell>
          <cell r="L1494">
            <v>21593.209419999999</v>
          </cell>
          <cell r="M1494">
            <v>21708.47795</v>
          </cell>
          <cell r="N1494">
            <v>21822.765009999999</v>
          </cell>
          <cell r="O1494">
            <v>21935.655890000002</v>
          </cell>
          <cell r="P1494">
            <v>22048.236089999999</v>
          </cell>
          <cell r="Q1494">
            <v>22161.653880000002</v>
          </cell>
          <cell r="R1494">
            <v>22273.924370000001</v>
          </cell>
          <cell r="S1494">
            <v>22377.615679999999</v>
          </cell>
          <cell r="T1494">
            <v>22471.04882</v>
          </cell>
          <cell r="U1494">
            <v>22556.260590000002</v>
          </cell>
          <cell r="V1494">
            <v>22638.092390000002</v>
          </cell>
          <cell r="W1494">
            <v>22723.225989999999</v>
          </cell>
          <cell r="X1494">
            <v>22816.528890000001</v>
          </cell>
          <cell r="Y1494">
            <v>22920.415400000002</v>
          </cell>
          <cell r="Z1494">
            <v>23036.00345</v>
          </cell>
          <cell r="AA1494">
            <v>23163.744190000001</v>
          </cell>
          <cell r="AB1494">
            <v>23304.459200000001</v>
          </cell>
          <cell r="AC1494">
            <v>23458.803960000001</v>
          </cell>
          <cell r="AD1494">
            <v>23626.557479999999</v>
          </cell>
          <cell r="AE1494">
            <v>23807.174070000001</v>
          </cell>
          <cell r="AF1494">
            <v>24000.161680000001</v>
          </cell>
          <cell r="AG1494">
            <v>24205.781930000001</v>
          </cell>
          <cell r="AH1494">
            <v>24423.90321</v>
          </cell>
          <cell r="AI1494">
            <v>24652.307400000002</v>
          </cell>
          <cell r="AJ1494">
            <v>24886.853070000001</v>
          </cell>
          <cell r="AK1494">
            <v>25122.870989999999</v>
          </cell>
          <cell r="AL1494">
            <v>25356.174180000002</v>
          </cell>
          <cell r="AM1494">
            <v>25583.22119</v>
          </cell>
          <cell r="AN1494">
            <v>25801.035349999998</v>
          </cell>
          <cell r="AO1494">
            <v>26007.09706</v>
          </cell>
        </row>
        <row r="1497">
          <cell r="F1497">
            <v>43.667123519999997</v>
          </cell>
          <cell r="G1497">
            <v>44.305364390000001</v>
          </cell>
          <cell r="H1497">
            <v>45.073914889999998</v>
          </cell>
          <cell r="I1497">
            <v>45.751619009999999</v>
          </cell>
          <cell r="J1497">
            <v>46.317941419999997</v>
          </cell>
          <cell r="K1497">
            <v>46.78169037</v>
          </cell>
          <cell r="L1497">
            <v>47.118670119999997</v>
          </cell>
          <cell r="M1497">
            <v>47.314832090000003</v>
          </cell>
          <cell r="N1497">
            <v>47.371253430000003</v>
          </cell>
          <cell r="O1497">
            <v>47.30228872</v>
          </cell>
          <cell r="P1497">
            <v>47.128974390000003</v>
          </cell>
          <cell r="Q1497">
            <v>46.873964110000003</v>
          </cell>
          <cell r="R1497">
            <v>46.549037859999999</v>
          </cell>
          <cell r="S1497">
            <v>46.147015160000002</v>
          </cell>
          <cell r="T1497">
            <v>45.6874179</v>
          </cell>
          <cell r="U1497">
            <v>45.20019576</v>
          </cell>
          <cell r="V1497">
            <v>44.650636429999999</v>
          </cell>
          <cell r="W1497">
            <v>44.118053189999998</v>
          </cell>
          <cell r="X1497">
            <v>43.642198229999998</v>
          </cell>
          <cell r="Y1497">
            <v>43.235915849999998</v>
          </cell>
          <cell r="Z1497">
            <v>42.898535109999997</v>
          </cell>
          <cell r="AA1497">
            <v>42.623593560000003</v>
          </cell>
          <cell r="AB1497">
            <v>42.404103300000003</v>
          </cell>
          <cell r="AC1497">
            <v>42.233524469999999</v>
          </cell>
          <cell r="AD1497">
            <v>42.105299979999998</v>
          </cell>
          <cell r="AE1497">
            <v>42.013965949999999</v>
          </cell>
          <cell r="AF1497">
            <v>41.955442789999999</v>
          </cell>
          <cell r="AG1497">
            <v>41.927626779999997</v>
          </cell>
          <cell r="AH1497">
            <v>41.928351290000002</v>
          </cell>
          <cell r="AI1497">
            <v>41.952152499999997</v>
          </cell>
          <cell r="AJ1497">
            <v>41.990649570000002</v>
          </cell>
          <cell r="AK1497">
            <v>42.034954319999997</v>
          </cell>
          <cell r="AL1497">
            <v>42.077334299999997</v>
          </cell>
          <cell r="AM1497">
            <v>42.111465019999997</v>
          </cell>
          <cell r="AN1497">
            <v>42.132228140000002</v>
          </cell>
          <cell r="AO1497">
            <v>42.13543439</v>
          </cell>
        </row>
        <row r="1502">
          <cell r="F1502">
            <v>57.221174349999998</v>
          </cell>
          <cell r="G1502">
            <v>57.285821460000001</v>
          </cell>
          <cell r="H1502">
            <v>57.281050929999999</v>
          </cell>
          <cell r="I1502">
            <v>57.283494599999997</v>
          </cell>
          <cell r="J1502">
            <v>57.277426660000003</v>
          </cell>
          <cell r="K1502">
            <v>57.298919589999997</v>
          </cell>
          <cell r="L1502">
            <v>57.396756019999998</v>
          </cell>
          <cell r="M1502">
            <v>57.58967174</v>
          </cell>
          <cell r="N1502">
            <v>57.89127122</v>
          </cell>
          <cell r="O1502">
            <v>58.314101350000001</v>
          </cell>
          <cell r="P1502">
            <v>58.868960690000002</v>
          </cell>
          <cell r="Q1502">
            <v>59.556393509999999</v>
          </cell>
          <cell r="R1502">
            <v>60.352175000000003</v>
          </cell>
          <cell r="S1502">
            <v>61.20070527</v>
          </cell>
          <cell r="T1502">
            <v>62.06406879</v>
          </cell>
          <cell r="U1502">
            <v>62.916523650000002</v>
          </cell>
          <cell r="V1502">
            <v>63.727631930000001</v>
          </cell>
          <cell r="W1502">
            <v>64.499835020000006</v>
          </cell>
          <cell r="X1502">
            <v>65.241116030000001</v>
          </cell>
          <cell r="Y1502">
            <v>65.956748730000001</v>
          </cell>
          <cell r="Z1502">
            <v>66.650686829999998</v>
          </cell>
          <cell r="AA1502">
            <v>67.32618429</v>
          </cell>
          <cell r="AB1502">
            <v>67.988858129999997</v>
          </cell>
          <cell r="AC1502">
            <v>68.644287270000007</v>
          </cell>
          <cell r="AD1502">
            <v>69.295719890000001</v>
          </cell>
          <cell r="AE1502">
            <v>69.94580492</v>
          </cell>
          <cell r="AF1502">
            <v>70.597278099999997</v>
          </cell>
          <cell r="AG1502">
            <v>71.254753260000001</v>
          </cell>
          <cell r="AH1502">
            <v>71.920327819999997</v>
          </cell>
          <cell r="AI1502">
            <v>72.586914620000002</v>
          </cell>
          <cell r="AJ1502">
            <v>73.240291380000002</v>
          </cell>
          <cell r="AK1502">
            <v>73.865145049999995</v>
          </cell>
          <cell r="AL1502">
            <v>74.448752549999995</v>
          </cell>
          <cell r="AM1502">
            <v>74.981329169999995</v>
          </cell>
          <cell r="AN1502">
            <v>75.455463719999997</v>
          </cell>
          <cell r="AO1502">
            <v>75.865534949999997</v>
          </cell>
        </row>
        <row r="1512">
          <cell r="F1512">
            <v>1958164.7379999999</v>
          </cell>
          <cell r="G1512">
            <v>1978890.939</v>
          </cell>
          <cell r="H1512">
            <v>2006397.953</v>
          </cell>
          <cell r="I1512">
            <v>2036736.45</v>
          </cell>
          <cell r="J1512">
            <v>2067923.8489999999</v>
          </cell>
          <cell r="K1512">
            <v>2100227.6630000002</v>
          </cell>
          <cell r="L1512">
            <v>2133577.3319999999</v>
          </cell>
          <cell r="M1512">
            <v>2162385.2089999998</v>
          </cell>
          <cell r="N1512">
            <v>2192575.1469999999</v>
          </cell>
          <cell r="O1512">
            <v>2232461.3840000001</v>
          </cell>
          <cell r="P1512">
            <v>2274084.5049999999</v>
          </cell>
          <cell r="Q1512">
            <v>2316404.9350000001</v>
          </cell>
          <cell r="R1512">
            <v>2358715.7349999999</v>
          </cell>
          <cell r="S1512">
            <v>2399877.0049999999</v>
          </cell>
          <cell r="T1512">
            <v>2441175.861</v>
          </cell>
          <cell r="U1512">
            <v>2483141.8969999999</v>
          </cell>
          <cell r="V1512">
            <v>2526003.8339999998</v>
          </cell>
          <cell r="W1512">
            <v>2570329.0380000002</v>
          </cell>
          <cell r="X1512">
            <v>2616432.5329999998</v>
          </cell>
          <cell r="Y1512">
            <v>2664522.0070000002</v>
          </cell>
          <cell r="Z1512">
            <v>2714884.59</v>
          </cell>
          <cell r="AA1512">
            <v>2767756.4160000002</v>
          </cell>
          <cell r="AB1512">
            <v>2823506.7349999999</v>
          </cell>
          <cell r="AC1512">
            <v>2882350.4679999999</v>
          </cell>
          <cell r="AD1512">
            <v>2944283.5980000002</v>
          </cell>
          <cell r="AE1512">
            <v>3009379.3670000001</v>
          </cell>
          <cell r="AF1512">
            <v>3077796.9649999999</v>
          </cell>
          <cell r="AG1512">
            <v>3149860.5150000001</v>
          </cell>
          <cell r="AH1512">
            <v>3225720.949</v>
          </cell>
          <cell r="AI1512">
            <v>3305049.6630000002</v>
          </cell>
          <cell r="AJ1512">
            <v>3387321.0970000001</v>
          </cell>
          <cell r="AK1512">
            <v>3472122.3790000002</v>
          </cell>
          <cell r="AL1512">
            <v>3559172.773</v>
          </cell>
          <cell r="AM1512">
            <v>3648244.747</v>
          </cell>
          <cell r="AN1512">
            <v>3739172.6770000001</v>
          </cell>
          <cell r="AO1512">
            <v>3831894.8620000002</v>
          </cell>
        </row>
        <row r="1513">
          <cell r="F1513">
            <v>35178.573069999999</v>
          </cell>
          <cell r="G1513">
            <v>34761.955529999999</v>
          </cell>
          <cell r="H1513">
            <v>34704.99469</v>
          </cell>
          <cell r="I1513">
            <v>34923.758549999999</v>
          </cell>
          <cell r="J1513">
            <v>35269.110520000002</v>
          </cell>
          <cell r="K1513">
            <v>35694.56783</v>
          </cell>
          <cell r="L1513">
            <v>36175.361859999997</v>
          </cell>
          <cell r="M1513">
            <v>36575.432990000001</v>
          </cell>
          <cell r="N1513">
            <v>37005.348899999997</v>
          </cell>
          <cell r="O1513">
            <v>37640.323069999999</v>
          </cell>
          <cell r="P1513">
            <v>38285.782310000002</v>
          </cell>
          <cell r="Q1513">
            <v>38935.521760000003</v>
          </cell>
          <cell r="R1513">
            <v>39598.750059999998</v>
          </cell>
          <cell r="S1513">
            <v>40251.003859999997</v>
          </cell>
          <cell r="T1513">
            <v>40918.239179999997</v>
          </cell>
          <cell r="U1513">
            <v>41606.221669999999</v>
          </cell>
          <cell r="V1513">
            <v>42325.886740000002</v>
          </cell>
          <cell r="W1513">
            <v>43070.761180000001</v>
          </cell>
          <cell r="X1513">
            <v>43849.231019999999</v>
          </cell>
          <cell r="Y1513">
            <v>44666.692069999997</v>
          </cell>
          <cell r="Z1513">
            <v>45529.606319999999</v>
          </cell>
          <cell r="AA1513">
            <v>46442.369879999998</v>
          </cell>
          <cell r="AB1513">
            <v>47412.921269999999</v>
          </cell>
          <cell r="AC1513">
            <v>48445.807159999997</v>
          </cell>
          <cell r="AD1513">
            <v>49540.363530000002</v>
          </cell>
          <cell r="AE1513">
            <v>50697.734859999997</v>
          </cell>
          <cell r="AF1513">
            <v>51908.77994</v>
          </cell>
          <cell r="AG1513">
            <v>53191.202680000002</v>
          </cell>
          <cell r="AH1513">
            <v>54546.500039999999</v>
          </cell>
          <cell r="AI1513">
            <v>55965.444210000001</v>
          </cell>
          <cell r="AJ1513">
            <v>57434.538189999999</v>
          </cell>
          <cell r="AK1513">
            <v>58942.947330000003</v>
          </cell>
          <cell r="AL1513">
            <v>60482.894719999997</v>
          </cell>
          <cell r="AM1513">
            <v>62047.371529999997</v>
          </cell>
          <cell r="AN1513">
            <v>63629.193200000002</v>
          </cell>
          <cell r="AO1513">
            <v>65220.055050000003</v>
          </cell>
        </row>
        <row r="1516">
          <cell r="F1516">
            <v>334992.53200000001</v>
          </cell>
          <cell r="G1516">
            <v>344462.0073</v>
          </cell>
          <cell r="H1516">
            <v>353718.00400000002</v>
          </cell>
          <cell r="I1516">
            <v>360065.97470000002</v>
          </cell>
          <cell r="J1516">
            <v>365091.54920000001</v>
          </cell>
          <cell r="K1516">
            <v>369874.2548</v>
          </cell>
          <cell r="L1516">
            <v>374819.55820000003</v>
          </cell>
          <cell r="M1516">
            <v>378359.2415</v>
          </cell>
          <cell r="N1516">
            <v>383003.68819999998</v>
          </cell>
          <cell r="O1516">
            <v>390812.03649999999</v>
          </cell>
          <cell r="P1516">
            <v>398928.78480000002</v>
          </cell>
          <cell r="Q1516">
            <v>407029.98149999999</v>
          </cell>
          <cell r="R1516">
            <v>414478.17330000002</v>
          </cell>
          <cell r="S1516">
            <v>421128.37339999998</v>
          </cell>
          <cell r="T1516">
            <v>427621.44929999998</v>
          </cell>
          <cell r="U1516">
            <v>434225.47619999998</v>
          </cell>
          <cell r="V1516">
            <v>441069.16759999999</v>
          </cell>
          <cell r="W1516">
            <v>448411.52179999999</v>
          </cell>
          <cell r="X1516">
            <v>456276.23749999999</v>
          </cell>
          <cell r="Y1516">
            <v>464654.2806</v>
          </cell>
          <cell r="Z1516">
            <v>473591.1275</v>
          </cell>
          <cell r="AA1516">
            <v>483142.41440000001</v>
          </cell>
          <cell r="AB1516">
            <v>493400.83039999998</v>
          </cell>
          <cell r="AC1516">
            <v>504394.49959999998</v>
          </cell>
          <cell r="AD1516">
            <v>516096.54820000002</v>
          </cell>
          <cell r="AE1516">
            <v>528524.70010000002</v>
          </cell>
          <cell r="AF1516">
            <v>541723.63430000003</v>
          </cell>
          <cell r="AG1516">
            <v>555836.78449999995</v>
          </cell>
          <cell r="AH1516">
            <v>570875.18070000003</v>
          </cell>
          <cell r="AI1516">
            <v>586708.13159999996</v>
          </cell>
          <cell r="AJ1516">
            <v>603179.35770000005</v>
          </cell>
          <cell r="AK1516">
            <v>620197.99219999998</v>
          </cell>
          <cell r="AL1516">
            <v>637706.36300000001</v>
          </cell>
          <cell r="AM1516">
            <v>655632.19799999997</v>
          </cell>
          <cell r="AN1516">
            <v>673906.39379999996</v>
          </cell>
          <cell r="AO1516">
            <v>692466.56359999999</v>
          </cell>
        </row>
        <row r="1526">
          <cell r="F1526">
            <v>107850.85830000001</v>
          </cell>
          <cell r="G1526">
            <v>116088.5898</v>
          </cell>
          <cell r="H1526">
            <v>122792.4567</v>
          </cell>
          <cell r="I1526">
            <v>126134.6992</v>
          </cell>
          <cell r="J1526">
            <v>127956.72380000001</v>
          </cell>
          <cell r="K1526">
            <v>129313.1482</v>
          </cell>
          <cell r="L1526">
            <v>130631.0493</v>
          </cell>
          <cell r="M1526">
            <v>131838.23449999999</v>
          </cell>
          <cell r="N1526">
            <v>133428.2616</v>
          </cell>
          <cell r="O1526">
            <v>135722.6483</v>
          </cell>
          <cell r="P1526">
            <v>138469.6599</v>
          </cell>
          <cell r="Q1526">
            <v>141333.01790000001</v>
          </cell>
          <cell r="R1526">
            <v>143953.59469999999</v>
          </cell>
          <cell r="S1526">
            <v>146387.81229999999</v>
          </cell>
          <cell r="T1526">
            <v>148784.47080000001</v>
          </cell>
          <cell r="U1526">
            <v>151246.43890000001</v>
          </cell>
          <cell r="V1526">
            <v>153855.09330000001</v>
          </cell>
          <cell r="W1526">
            <v>156670.72700000001</v>
          </cell>
          <cell r="X1526">
            <v>159645.6342</v>
          </cell>
          <cell r="Y1526">
            <v>162744.277</v>
          </cell>
          <cell r="Z1526">
            <v>165962.0405</v>
          </cell>
          <cell r="AA1526">
            <v>169310.15909999999</v>
          </cell>
          <cell r="AB1526">
            <v>172802.35490000001</v>
          </cell>
          <cell r="AC1526">
            <v>176451.57870000001</v>
          </cell>
          <cell r="AD1526">
            <v>180262.8811</v>
          </cell>
          <cell r="AE1526">
            <v>184251.7518</v>
          </cell>
          <cell r="AF1526">
            <v>188429.68830000001</v>
          </cell>
          <cell r="AG1526">
            <v>192801.29579999999</v>
          </cell>
          <cell r="AH1526">
            <v>197398.7194</v>
          </cell>
          <cell r="AI1526">
            <v>202242.9123</v>
          </cell>
          <cell r="AJ1526">
            <v>207343.34580000001</v>
          </cell>
          <cell r="AK1526">
            <v>212694.63130000001</v>
          </cell>
          <cell r="AL1526">
            <v>218277.44620000001</v>
          </cell>
          <cell r="AM1526">
            <v>224077.9711</v>
          </cell>
          <cell r="AN1526">
            <v>230084.7323</v>
          </cell>
          <cell r="AO1526">
            <v>236287.7151</v>
          </cell>
        </row>
        <row r="1528">
          <cell r="F1528">
            <v>51991.341939999998</v>
          </cell>
          <cell r="G1528">
            <v>52040.826130000001</v>
          </cell>
          <cell r="H1528">
            <v>52312.503389999998</v>
          </cell>
          <cell r="I1528">
            <v>52739.147140000001</v>
          </cell>
          <cell r="J1528">
            <v>53264.176639999998</v>
          </cell>
          <cell r="K1528">
            <v>53870.160669999997</v>
          </cell>
          <cell r="L1528">
            <v>54537.19425</v>
          </cell>
          <cell r="M1528">
            <v>55015.482969999997</v>
          </cell>
          <cell r="N1528">
            <v>55566.199220000002</v>
          </cell>
          <cell r="O1528">
            <v>56475.07645</v>
          </cell>
          <cell r="P1528">
            <v>57400.910159999999</v>
          </cell>
          <cell r="Q1528">
            <v>58349.207520000004</v>
          </cell>
          <cell r="R1528">
            <v>59276.224069999997</v>
          </cell>
          <cell r="S1528">
            <v>60140.686990000002</v>
          </cell>
          <cell r="T1528">
            <v>60999.318429999999</v>
          </cell>
          <cell r="U1528">
            <v>61869.304759999999</v>
          </cell>
          <cell r="V1528">
            <v>62764.584730000002</v>
          </cell>
          <cell r="W1528">
            <v>63702.397400000002</v>
          </cell>
          <cell r="X1528">
            <v>64698.908080000001</v>
          </cell>
          <cell r="Y1528">
            <v>65762.470029999997</v>
          </cell>
          <cell r="Z1528">
            <v>66904.204790000003</v>
          </cell>
          <cell r="AA1528">
            <v>68134.929000000004</v>
          </cell>
          <cell r="AB1528">
            <v>69469.622829999993</v>
          </cell>
          <cell r="AC1528">
            <v>70911.929170000003</v>
          </cell>
          <cell r="AD1528">
            <v>72458.025129999995</v>
          </cell>
          <cell r="AE1528">
            <v>74108.729699999996</v>
          </cell>
          <cell r="AF1528">
            <v>75879.946509999994</v>
          </cell>
          <cell r="AG1528">
            <v>77794.109859999997</v>
          </cell>
          <cell r="AH1528">
            <v>79849.866259999995</v>
          </cell>
          <cell r="AI1528">
            <v>82026.484360000002</v>
          </cell>
          <cell r="AJ1528">
            <v>84299.691959999996</v>
          </cell>
          <cell r="AK1528">
            <v>86658.619160000002</v>
          </cell>
          <cell r="AL1528">
            <v>89099.855890000006</v>
          </cell>
          <cell r="AM1528">
            <v>91613.807270000005</v>
          </cell>
          <cell r="AN1528">
            <v>94190.391099999993</v>
          </cell>
          <cell r="AO1528">
            <v>96818.475250000003</v>
          </cell>
        </row>
        <row r="1533">
          <cell r="F1533">
            <v>1518391.3119999999</v>
          </cell>
          <cell r="G1533">
            <v>1529647.051</v>
          </cell>
          <cell r="H1533">
            <v>1547478.9920000001</v>
          </cell>
          <cell r="I1533">
            <v>1570604.1710000001</v>
          </cell>
          <cell r="J1533">
            <v>1595665.888</v>
          </cell>
          <cell r="K1533">
            <v>1621904.7390000001</v>
          </cell>
          <cell r="L1533">
            <v>1648886.024</v>
          </cell>
          <cell r="M1533">
            <v>1673304.0020000001</v>
          </cell>
          <cell r="N1533">
            <v>1697838.145</v>
          </cell>
          <cell r="O1533">
            <v>1728201.5490000001</v>
          </cell>
          <cell r="P1533">
            <v>1759950.172</v>
          </cell>
          <cell r="Q1533">
            <v>1792376.443</v>
          </cell>
          <cell r="R1533">
            <v>1825449.9669999999</v>
          </cell>
          <cell r="S1533">
            <v>1858257.1040000001</v>
          </cell>
          <cell r="T1533">
            <v>1891344.335</v>
          </cell>
          <cell r="U1533">
            <v>1924951.6569999999</v>
          </cell>
          <cell r="V1533">
            <v>1959184.7120000001</v>
          </cell>
          <cell r="W1533">
            <v>1994323.7520000001</v>
          </cell>
          <cell r="X1533">
            <v>2030626.737</v>
          </cell>
          <cell r="Y1533">
            <v>2068295.5360000001</v>
          </cell>
          <cell r="Z1533">
            <v>2107551.6090000002</v>
          </cell>
          <cell r="AA1533">
            <v>2148556.59</v>
          </cell>
          <cell r="AB1533">
            <v>2191559.37</v>
          </cell>
          <cell r="AC1533">
            <v>2236737.7429999998</v>
          </cell>
          <cell r="AD1533">
            <v>2284118.952</v>
          </cell>
          <cell r="AE1533">
            <v>2333754.517</v>
          </cell>
          <cell r="AF1533">
            <v>2385730.7280000001</v>
          </cell>
          <cell r="AG1533">
            <v>2440194.3169999998</v>
          </cell>
          <cell r="AH1533">
            <v>2497279.2489999998</v>
          </cell>
          <cell r="AI1533">
            <v>2556817.11</v>
          </cell>
          <cell r="AJ1533">
            <v>2618471.327</v>
          </cell>
          <cell r="AK1533">
            <v>2681924.4479999999</v>
          </cell>
          <cell r="AL1533">
            <v>2746933.6009999998</v>
          </cell>
          <cell r="AM1533">
            <v>2813309.7039999999</v>
          </cell>
          <cell r="AN1533">
            <v>2880875.8659999999</v>
          </cell>
          <cell r="AO1533">
            <v>2949440.2179999999</v>
          </cell>
        </row>
        <row r="1536">
          <cell r="F1536">
            <v>3868.321856</v>
          </cell>
          <cell r="G1536">
            <v>4088.261211</v>
          </cell>
          <cell r="H1536">
            <v>4162.1291039999996</v>
          </cell>
          <cell r="I1536">
            <v>4223.0961459999999</v>
          </cell>
          <cell r="J1536">
            <v>4300.5660870000002</v>
          </cell>
          <cell r="K1536">
            <v>4379.09429</v>
          </cell>
          <cell r="L1536">
            <v>4455.8134019999998</v>
          </cell>
          <cell r="M1536">
            <v>4229.7329470000004</v>
          </cell>
          <cell r="N1536">
            <v>4084.3868419999999</v>
          </cell>
          <cell r="O1536">
            <v>3962.3966759999998</v>
          </cell>
          <cell r="P1536">
            <v>3830.7546699999998</v>
          </cell>
          <cell r="Q1536">
            <v>3722.3277889999999</v>
          </cell>
          <cell r="R1536">
            <v>3628.4298570000001</v>
          </cell>
          <cell r="S1536">
            <v>3546.6749119999999</v>
          </cell>
          <cell r="T1536">
            <v>3481.6263220000001</v>
          </cell>
          <cell r="U1536">
            <v>3431.5907240000001</v>
          </cell>
          <cell r="V1536">
            <v>3395.8682880000001</v>
          </cell>
          <cell r="W1536">
            <v>3353.475418</v>
          </cell>
          <cell r="X1536">
            <v>3321.5533489999998</v>
          </cell>
          <cell r="Y1536">
            <v>3302.2393299999999</v>
          </cell>
          <cell r="Z1536">
            <v>3296.5089619999999</v>
          </cell>
          <cell r="AA1536">
            <v>3305.451865</v>
          </cell>
          <cell r="AB1536">
            <v>3330.5942409999998</v>
          </cell>
          <cell r="AC1536">
            <v>3372.707508</v>
          </cell>
          <cell r="AD1536">
            <v>3433.199415</v>
          </cell>
          <cell r="AE1536">
            <v>3514.572083</v>
          </cell>
          <cell r="AF1536">
            <v>3623.0650249999999</v>
          </cell>
          <cell r="AG1536">
            <v>3760.3912220000002</v>
          </cell>
          <cell r="AH1536">
            <v>3933.2448789999999</v>
          </cell>
          <cell r="AI1536">
            <v>4148.8241509999998</v>
          </cell>
          <cell r="AJ1536">
            <v>4418.8216910000001</v>
          </cell>
          <cell r="AK1536">
            <v>4762.83043</v>
          </cell>
          <cell r="AL1536">
            <v>5212.604182</v>
          </cell>
          <cell r="AM1536">
            <v>5821.842654</v>
          </cell>
          <cell r="AN1536">
            <v>6691.427576</v>
          </cell>
          <cell r="AO1536">
            <v>8035.8585080000003</v>
          </cell>
        </row>
        <row r="1541">
          <cell r="F1541">
            <v>13742.65776</v>
          </cell>
          <cell r="G1541">
            <v>13890.837820000001</v>
          </cell>
          <cell r="H1541">
            <v>14021.32965</v>
          </cell>
          <cell r="I1541">
            <v>14180.302240000001</v>
          </cell>
          <cell r="J1541">
            <v>14332.558360000001</v>
          </cell>
          <cell r="K1541">
            <v>14504.84555</v>
          </cell>
          <cell r="L1541">
            <v>14703.380359999999</v>
          </cell>
          <cell r="M1541">
            <v>14901.31675</v>
          </cell>
          <cell r="N1541">
            <v>15077.37859</v>
          </cell>
          <cell r="O1541">
            <v>15370.003140000001</v>
          </cell>
          <cell r="P1541">
            <v>15688.10094</v>
          </cell>
          <cell r="Q1541">
            <v>15991.4534</v>
          </cell>
          <cell r="R1541">
            <v>16284.19017</v>
          </cell>
          <cell r="S1541">
            <v>16553.16129</v>
          </cell>
          <cell r="T1541">
            <v>16810.893189999999</v>
          </cell>
          <cell r="U1541">
            <v>17057.646700000001</v>
          </cell>
          <cell r="V1541">
            <v>17263.61476</v>
          </cell>
          <cell r="W1541">
            <v>17467.130669999999</v>
          </cell>
          <cell r="X1541">
            <v>17659.86679</v>
          </cell>
          <cell r="Y1541">
            <v>17840.788670000002</v>
          </cell>
          <cell r="Z1541">
            <v>18011.533869999999</v>
          </cell>
          <cell r="AA1541">
            <v>18174.66129</v>
          </cell>
          <cell r="AB1541">
            <v>18333.396049999999</v>
          </cell>
          <cell r="AC1541">
            <v>18487.780989999999</v>
          </cell>
          <cell r="AD1541">
            <v>18636.509139999998</v>
          </cell>
          <cell r="AE1541">
            <v>18779.113399999998</v>
          </cell>
          <cell r="AF1541">
            <v>18930.81063</v>
          </cell>
          <cell r="AG1541">
            <v>19083.70968</v>
          </cell>
          <cell r="AH1541">
            <v>19236.908070000001</v>
          </cell>
          <cell r="AI1541">
            <v>19383.66833</v>
          </cell>
          <cell r="AJ1541">
            <v>19517.36032</v>
          </cell>
          <cell r="AK1541">
            <v>19635.541669999999</v>
          </cell>
          <cell r="AL1541">
            <v>19737.453880000001</v>
          </cell>
          <cell r="AM1541">
            <v>19819.82343</v>
          </cell>
          <cell r="AN1541">
            <v>19879.405839999999</v>
          </cell>
          <cell r="AO1541">
            <v>19913.69167</v>
          </cell>
        </row>
        <row r="1551">
          <cell r="F1551">
            <v>1958164.7379999999</v>
          </cell>
          <cell r="G1551">
            <v>1978890.939</v>
          </cell>
          <cell r="H1551">
            <v>2006397.953</v>
          </cell>
          <cell r="I1551">
            <v>2036736.45</v>
          </cell>
          <cell r="J1551">
            <v>2067923.8489999999</v>
          </cell>
          <cell r="K1551">
            <v>2100227.6630000002</v>
          </cell>
          <cell r="L1551">
            <v>2132792.0639999998</v>
          </cell>
          <cell r="M1551">
            <v>2165766.6850000001</v>
          </cell>
          <cell r="N1551">
            <v>2199556.2850000001</v>
          </cell>
          <cell r="O1551">
            <v>2234525.7609999999</v>
          </cell>
          <cell r="P1551">
            <v>2270925.6179999998</v>
          </cell>
          <cell r="Q1551">
            <v>2308874.6260000002</v>
          </cell>
          <cell r="R1551">
            <v>2347714.7850000001</v>
          </cell>
          <cell r="S1551">
            <v>2385883.3029999998</v>
          </cell>
          <cell r="T1551">
            <v>2424110.2799999998</v>
          </cell>
          <cell r="U1551">
            <v>2462965.1630000002</v>
          </cell>
          <cell r="V1551">
            <v>2503548.8470000001</v>
          </cell>
          <cell r="W1551">
            <v>2546535.537</v>
          </cell>
          <cell r="X1551">
            <v>2592037.1860000002</v>
          </cell>
          <cell r="Y1551">
            <v>2639983.6830000002</v>
          </cell>
          <cell r="Z1551">
            <v>2690443.148</v>
          </cell>
          <cell r="AA1551">
            <v>2743524.7769999998</v>
          </cell>
          <cell r="AB1551">
            <v>2799546.9619999998</v>
          </cell>
          <cell r="AC1551">
            <v>2858702.6230000001</v>
          </cell>
          <cell r="AD1551">
            <v>2920973.3220000002</v>
          </cell>
          <cell r="AE1551">
            <v>2986434.6770000001</v>
          </cell>
          <cell r="AF1551">
            <v>3055232.7790000001</v>
          </cell>
          <cell r="AG1551">
            <v>3127731.162</v>
          </cell>
          <cell r="AH1551">
            <v>3204050.8960000002</v>
          </cell>
          <cell r="AI1551">
            <v>3283785.1430000002</v>
          </cell>
          <cell r="AJ1551">
            <v>3366334.3760000002</v>
          </cell>
          <cell r="AK1551">
            <v>3451232.6129999999</v>
          </cell>
          <cell r="AL1551">
            <v>3538149.9049999998</v>
          </cell>
          <cell r="AM1551">
            <v>3626784.6060000001</v>
          </cell>
          <cell r="AN1551">
            <v>3716834.432</v>
          </cell>
          <cell r="AO1551">
            <v>3807980.3309999998</v>
          </cell>
        </row>
        <row r="1552">
          <cell r="F1552">
            <v>35178.573069999999</v>
          </cell>
          <cell r="G1552">
            <v>34761.955529999999</v>
          </cell>
          <cell r="H1552">
            <v>34704.99469</v>
          </cell>
          <cell r="I1552">
            <v>34923.758549999999</v>
          </cell>
          <cell r="J1552">
            <v>35269.110520000002</v>
          </cell>
          <cell r="K1552">
            <v>35694.56783</v>
          </cell>
          <cell r="L1552">
            <v>36166.03428</v>
          </cell>
          <cell r="M1552">
            <v>36667.920890000001</v>
          </cell>
          <cell r="N1552">
            <v>37199.998749999999</v>
          </cell>
          <cell r="O1552">
            <v>37764.610999999997</v>
          </cell>
          <cell r="P1552">
            <v>38363.503259999998</v>
          </cell>
          <cell r="Q1552">
            <v>38996.783020000003</v>
          </cell>
          <cell r="R1552">
            <v>39647.21241</v>
          </cell>
          <cell r="S1552">
            <v>40277.669560000002</v>
          </cell>
          <cell r="T1552">
            <v>40907.739159999997</v>
          </cell>
          <cell r="U1552">
            <v>41550.25013</v>
          </cell>
          <cell r="V1552">
            <v>42225.954729999998</v>
          </cell>
          <cell r="W1552">
            <v>42950.744899999998</v>
          </cell>
          <cell r="X1552">
            <v>43728.997880000003</v>
          </cell>
          <cell r="Y1552">
            <v>44558.774649999999</v>
          </cell>
          <cell r="Z1552">
            <v>45440.742939999996</v>
          </cell>
          <cell r="AA1552">
            <v>46376.131000000001</v>
          </cell>
          <cell r="AB1552">
            <v>47371.723850000002</v>
          </cell>
          <cell r="AC1552">
            <v>48431.31338</v>
          </cell>
          <cell r="AD1552">
            <v>49553.683420000001</v>
          </cell>
          <cell r="AE1552">
            <v>50739.982859999996</v>
          </cell>
          <cell r="AF1552">
            <v>51993.075349999999</v>
          </cell>
          <cell r="AG1552">
            <v>53321.595399999998</v>
          </cell>
          <cell r="AH1552">
            <v>54727.274559999998</v>
          </cell>
          <cell r="AI1552">
            <v>56199.219089999999</v>
          </cell>
          <cell r="AJ1552">
            <v>57722.438990000002</v>
          </cell>
          <cell r="AK1552">
            <v>59286.019419999997</v>
          </cell>
          <cell r="AL1552">
            <v>60883.004410000001</v>
          </cell>
          <cell r="AM1552">
            <v>62506.983200000002</v>
          </cell>
          <cell r="AN1552">
            <v>64151.370669999997</v>
          </cell>
          <cell r="AO1552">
            <v>65809.095889999997</v>
          </cell>
        </row>
        <row r="1555">
          <cell r="F1555">
            <v>334992.53200000001</v>
          </cell>
          <cell r="G1555">
            <v>344462.0073</v>
          </cell>
          <cell r="H1555">
            <v>353718.00400000002</v>
          </cell>
          <cell r="I1555">
            <v>360065.97470000002</v>
          </cell>
          <cell r="J1555">
            <v>365091.54920000001</v>
          </cell>
          <cell r="K1555">
            <v>369874.2548</v>
          </cell>
          <cell r="L1555">
            <v>374654.57400000002</v>
          </cell>
          <cell r="M1555">
            <v>379653.28879999998</v>
          </cell>
          <cell r="N1555">
            <v>384959.13520000002</v>
          </cell>
          <cell r="O1555">
            <v>390612.6568</v>
          </cell>
          <cell r="P1555">
            <v>396633.66210000002</v>
          </cell>
          <cell r="Q1555">
            <v>403016.63650000002</v>
          </cell>
          <cell r="R1555">
            <v>409537.49300000002</v>
          </cell>
          <cell r="S1555">
            <v>415745.19510000001</v>
          </cell>
          <cell r="T1555">
            <v>421923.859</v>
          </cell>
          <cell r="U1555">
            <v>428243.24300000002</v>
          </cell>
          <cell r="V1555">
            <v>434985.09570000001</v>
          </cell>
          <cell r="W1555">
            <v>442236.53600000002</v>
          </cell>
          <cell r="X1555">
            <v>450047.73950000003</v>
          </cell>
          <cell r="Y1555">
            <v>458418.89529999997</v>
          </cell>
          <cell r="Z1555">
            <v>467390.86009999999</v>
          </cell>
          <cell r="AA1555">
            <v>477003.66519999999</v>
          </cell>
          <cell r="AB1555">
            <v>487340.77740000002</v>
          </cell>
          <cell r="AC1555">
            <v>498433.45880000002</v>
          </cell>
          <cell r="AD1555">
            <v>510257.20390000002</v>
          </cell>
          <cell r="AE1555">
            <v>522833.9915</v>
          </cell>
          <cell r="AF1555">
            <v>536204.88309999998</v>
          </cell>
          <cell r="AG1555">
            <v>550459.14269999997</v>
          </cell>
          <cell r="AH1555">
            <v>565617.57979999995</v>
          </cell>
          <cell r="AI1555">
            <v>581547.36589999998</v>
          </cell>
          <cell r="AJ1555">
            <v>598088.54539999994</v>
          </cell>
          <cell r="AK1555">
            <v>615133.69689999998</v>
          </cell>
          <cell r="AL1555">
            <v>632605.82510000002</v>
          </cell>
          <cell r="AM1555">
            <v>650432.51879999996</v>
          </cell>
          <cell r="AN1555">
            <v>668540.77410000004</v>
          </cell>
          <cell r="AO1555">
            <v>686854.07570000004</v>
          </cell>
        </row>
        <row r="1565">
          <cell r="F1565">
            <v>107850.85830000001</v>
          </cell>
          <cell r="G1565">
            <v>116088.5898</v>
          </cell>
          <cell r="H1565">
            <v>122792.4567</v>
          </cell>
          <cell r="I1565">
            <v>126134.6992</v>
          </cell>
          <cell r="J1565">
            <v>127956.72380000001</v>
          </cell>
          <cell r="K1565">
            <v>129313.1482</v>
          </cell>
          <cell r="L1565">
            <v>130577.2884</v>
          </cell>
          <cell r="M1565">
            <v>131912.6635</v>
          </cell>
          <cell r="N1565">
            <v>133380</v>
          </cell>
          <cell r="O1565">
            <v>135007.3855</v>
          </cell>
          <cell r="P1565">
            <v>136812.66529999999</v>
          </cell>
          <cell r="Q1565">
            <v>138809.6219</v>
          </cell>
          <cell r="R1565">
            <v>140973.2905</v>
          </cell>
          <cell r="S1565">
            <v>143226.9921</v>
          </cell>
          <cell r="T1565">
            <v>145555.56789999999</v>
          </cell>
          <cell r="U1565">
            <v>147965.33429999999</v>
          </cell>
          <cell r="V1565">
            <v>150514.1575</v>
          </cell>
          <cell r="W1565">
            <v>153201.1624</v>
          </cell>
          <cell r="X1565">
            <v>156018.32889999999</v>
          </cell>
          <cell r="Y1565">
            <v>158952.52530000001</v>
          </cell>
          <cell r="Z1565">
            <v>162004.40640000001</v>
          </cell>
          <cell r="AA1565">
            <v>165185.74400000001</v>
          </cell>
          <cell r="AB1565">
            <v>168508.3174</v>
          </cell>
          <cell r="AC1565">
            <v>171979.40030000001</v>
          </cell>
          <cell r="AD1565">
            <v>175599.1194</v>
          </cell>
          <cell r="AE1565">
            <v>179380.6292</v>
          </cell>
          <cell r="AF1565">
            <v>183342.52309999999</v>
          </cell>
          <cell r="AG1565">
            <v>187502.37899999999</v>
          </cell>
          <cell r="AH1565">
            <v>191890.3817</v>
          </cell>
          <cell r="AI1565">
            <v>196522.67600000001</v>
          </cell>
          <cell r="AJ1565">
            <v>201405.8254</v>
          </cell>
          <cell r="AK1565">
            <v>206538.3334</v>
          </cell>
          <cell r="AL1565">
            <v>211907.03049999999</v>
          </cell>
          <cell r="AM1565">
            <v>217497.7292</v>
          </cell>
          <cell r="AN1565">
            <v>223295.3596</v>
          </cell>
          <cell r="AO1565">
            <v>229283.63459999999</v>
          </cell>
        </row>
        <row r="1567">
          <cell r="F1567">
            <v>51991.341939999998</v>
          </cell>
          <cell r="G1567">
            <v>52040.826130000001</v>
          </cell>
          <cell r="H1567">
            <v>52312.503389999998</v>
          </cell>
          <cell r="I1567">
            <v>52739.147140000001</v>
          </cell>
          <cell r="J1567">
            <v>53264.176639999998</v>
          </cell>
          <cell r="K1567">
            <v>53870.160669999997</v>
          </cell>
          <cell r="L1567">
            <v>54511.395969999998</v>
          </cell>
          <cell r="M1567">
            <v>55182.400600000001</v>
          </cell>
          <cell r="N1567">
            <v>55885.255469999996</v>
          </cell>
          <cell r="O1567">
            <v>56623.276339999997</v>
          </cell>
          <cell r="P1567">
            <v>57398.529000000002</v>
          </cell>
          <cell r="Q1567">
            <v>58209.628689999998</v>
          </cell>
          <cell r="R1567">
            <v>59028.016369999998</v>
          </cell>
          <cell r="S1567">
            <v>59796.868710000002</v>
          </cell>
          <cell r="T1567">
            <v>60554.414129999997</v>
          </cell>
          <cell r="U1567">
            <v>61323.815999999999</v>
          </cell>
          <cell r="V1567">
            <v>62148.084690000003</v>
          </cell>
          <cell r="W1567">
            <v>63047.835169999998</v>
          </cell>
          <cell r="X1567">
            <v>64029.820820000001</v>
          </cell>
          <cell r="Y1567">
            <v>65093.060219999999</v>
          </cell>
          <cell r="Z1567">
            <v>66240.789139999993</v>
          </cell>
          <cell r="AA1567">
            <v>67475.72421</v>
          </cell>
          <cell r="AB1567">
            <v>68807.763800000001</v>
          </cell>
          <cell r="AC1567">
            <v>70240.940749999994</v>
          </cell>
          <cell r="AD1567">
            <v>71772.207890000005</v>
          </cell>
          <cell r="AE1567">
            <v>73402.878060000003</v>
          </cell>
          <cell r="AF1567">
            <v>75136.407030000002</v>
          </cell>
          <cell r="AG1567">
            <v>76983.780190000005</v>
          </cell>
          <cell r="AH1567">
            <v>78944.894459999996</v>
          </cell>
          <cell r="AI1567">
            <v>80999.266010000007</v>
          </cell>
          <cell r="AJ1567">
            <v>83122.022089999999</v>
          </cell>
          <cell r="AK1567">
            <v>85295.714389999994</v>
          </cell>
          <cell r="AL1567">
            <v>87508.82071</v>
          </cell>
          <cell r="AM1567">
            <v>89750.897360000003</v>
          </cell>
          <cell r="AN1567">
            <v>92011.742910000001</v>
          </cell>
          <cell r="AO1567">
            <v>94280.960139999996</v>
          </cell>
        </row>
        <row r="1572">
          <cell r="F1572">
            <v>1518391.3119999999</v>
          </cell>
          <cell r="G1572">
            <v>1529647.051</v>
          </cell>
          <cell r="H1572">
            <v>1547478.9920000001</v>
          </cell>
          <cell r="I1572">
            <v>1570604.1710000001</v>
          </cell>
          <cell r="J1572">
            <v>1595665.888</v>
          </cell>
          <cell r="K1572">
            <v>1621904.7390000001</v>
          </cell>
          <cell r="L1572">
            <v>1648305.453</v>
          </cell>
          <cell r="M1572">
            <v>1674816.0179999999</v>
          </cell>
          <cell r="N1572">
            <v>1701743.5759999999</v>
          </cell>
          <cell r="O1572">
            <v>1729399.4480000001</v>
          </cell>
          <cell r="P1572">
            <v>1758004.6329999999</v>
          </cell>
          <cell r="Q1572">
            <v>1787684.193</v>
          </cell>
          <cell r="R1572">
            <v>1818064.442</v>
          </cell>
          <cell r="S1572">
            <v>1848154.047</v>
          </cell>
          <cell r="T1572">
            <v>1878328.412</v>
          </cell>
          <cell r="U1572">
            <v>1908954.0330000001</v>
          </cell>
          <cell r="V1572">
            <v>1940829.169</v>
          </cell>
          <cell r="W1572">
            <v>1974424.213</v>
          </cell>
          <cell r="X1572">
            <v>2009824.669</v>
          </cell>
          <cell r="Y1572">
            <v>2046968.34</v>
          </cell>
          <cell r="Z1572">
            <v>2085877.7749999999</v>
          </cell>
          <cell r="AA1572">
            <v>2126616.9210000001</v>
          </cell>
          <cell r="AB1572">
            <v>2169400.48</v>
          </cell>
          <cell r="AC1572">
            <v>2214380.3080000002</v>
          </cell>
          <cell r="AD1572">
            <v>2261566.4210000001</v>
          </cell>
          <cell r="AE1572">
            <v>2311008.5249999999</v>
          </cell>
          <cell r="AF1572">
            <v>2362803.5550000002</v>
          </cell>
          <cell r="AG1572">
            <v>2417202.727</v>
          </cell>
          <cell r="AH1572">
            <v>2474304.7289999998</v>
          </cell>
          <cell r="AI1572">
            <v>2533873.3450000002</v>
          </cell>
          <cell r="AJ1572">
            <v>2595516.0759999999</v>
          </cell>
          <cell r="AK1572">
            <v>2658907.5869999998</v>
          </cell>
          <cell r="AL1572">
            <v>2723816.645</v>
          </cell>
          <cell r="AM1572">
            <v>2790033.875</v>
          </cell>
          <cell r="AN1572">
            <v>2857349.6970000002</v>
          </cell>
          <cell r="AO1572">
            <v>2925541.9440000001</v>
          </cell>
        </row>
        <row r="1575">
          <cell r="F1575">
            <v>3868.321856</v>
          </cell>
          <cell r="G1575">
            <v>4088.261211</v>
          </cell>
          <cell r="H1575">
            <v>4162.1291039999996</v>
          </cell>
          <cell r="I1575">
            <v>4223.0961459999999</v>
          </cell>
          <cell r="J1575">
            <v>4300.5660870000002</v>
          </cell>
          <cell r="K1575">
            <v>4379.09429</v>
          </cell>
          <cell r="L1575">
            <v>4441.3280059999997</v>
          </cell>
          <cell r="M1575">
            <v>4492.7659729999996</v>
          </cell>
          <cell r="N1575">
            <v>4535.5714349999998</v>
          </cell>
          <cell r="O1575">
            <v>4572.1374459999997</v>
          </cell>
          <cell r="P1575">
            <v>4604.3157810000002</v>
          </cell>
          <cell r="Q1575">
            <v>4633.7544959999996</v>
          </cell>
          <cell r="R1575">
            <v>4657.5805849999997</v>
          </cell>
          <cell r="S1575">
            <v>4670.4610709999997</v>
          </cell>
          <cell r="T1575">
            <v>4686.5085399999998</v>
          </cell>
          <cell r="U1575">
            <v>4706.6917590000003</v>
          </cell>
          <cell r="V1575">
            <v>4699.3916090000002</v>
          </cell>
          <cell r="W1575">
            <v>4734.9678590000003</v>
          </cell>
          <cell r="X1575">
            <v>4777.6720009999999</v>
          </cell>
          <cell r="Y1575">
            <v>4822.9424010000002</v>
          </cell>
          <cell r="Z1575">
            <v>4870.9741889999996</v>
          </cell>
          <cell r="AA1575">
            <v>4922.3197440000004</v>
          </cell>
          <cell r="AB1575">
            <v>4977.9583830000001</v>
          </cell>
          <cell r="AC1575">
            <v>5038.2279989999997</v>
          </cell>
          <cell r="AD1575">
            <v>5102.9721300000001</v>
          </cell>
          <cell r="AE1575">
            <v>5172.4779900000003</v>
          </cell>
          <cell r="AF1575">
            <v>5247.0415220000004</v>
          </cell>
          <cell r="AG1575">
            <v>5327.3065489999999</v>
          </cell>
          <cell r="AH1575">
            <v>5412.960118</v>
          </cell>
          <cell r="AI1575">
            <v>5502.4446790000002</v>
          </cell>
          <cell r="AJ1575">
            <v>5594.4814329999999</v>
          </cell>
          <cell r="AK1575">
            <v>5688.5338430000002</v>
          </cell>
          <cell r="AL1575">
            <v>5784.2995559999999</v>
          </cell>
          <cell r="AM1575">
            <v>5881.3299390000002</v>
          </cell>
          <cell r="AN1575">
            <v>5979.0969590000004</v>
          </cell>
          <cell r="AO1575">
            <v>6077.0173500000001</v>
          </cell>
        </row>
        <row r="1580">
          <cell r="F1580">
            <v>13742.65776</v>
          </cell>
          <cell r="G1580">
            <v>13890.837820000001</v>
          </cell>
          <cell r="H1580">
            <v>14021.32965</v>
          </cell>
          <cell r="I1580">
            <v>14180.302240000001</v>
          </cell>
          <cell r="J1580">
            <v>14332.558360000001</v>
          </cell>
          <cell r="K1580">
            <v>14504.84555</v>
          </cell>
          <cell r="L1580">
            <v>14713.2791</v>
          </cell>
          <cell r="M1580">
            <v>14954.29016</v>
          </cell>
          <cell r="N1580">
            <v>15232.7487</v>
          </cell>
          <cell r="O1580">
            <v>15553.63183</v>
          </cell>
          <cell r="P1580">
            <v>15920.974850000001</v>
          </cell>
          <cell r="Q1580">
            <v>16333.630429999999</v>
          </cell>
          <cell r="R1580">
            <v>16780.040710000001</v>
          </cell>
          <cell r="S1580">
            <v>17239.06234</v>
          </cell>
          <cell r="T1580">
            <v>17709.34721</v>
          </cell>
          <cell r="U1580">
            <v>18187.129000000001</v>
          </cell>
          <cell r="V1580">
            <v>18661.151290000002</v>
          </cell>
          <cell r="W1580">
            <v>19141.240010000001</v>
          </cell>
          <cell r="X1580">
            <v>19628.286520000001</v>
          </cell>
          <cell r="Y1580">
            <v>20121.670699999999</v>
          </cell>
          <cell r="Z1580">
            <v>20622.006549999998</v>
          </cell>
          <cell r="AA1580">
            <v>21130.01585</v>
          </cell>
          <cell r="AB1580">
            <v>21648.259180000001</v>
          </cell>
          <cell r="AC1580">
            <v>22178.374940000002</v>
          </cell>
          <cell r="AD1580">
            <v>22720.832999999999</v>
          </cell>
          <cell r="AE1580">
            <v>23276.821970000001</v>
          </cell>
          <cell r="AF1580">
            <v>23847.81783</v>
          </cell>
          <cell r="AG1580">
            <v>24436.61001</v>
          </cell>
          <cell r="AH1580">
            <v>25043.45822</v>
          </cell>
          <cell r="AI1580">
            <v>25663.50275</v>
          </cell>
          <cell r="AJ1580">
            <v>26290.811959999999</v>
          </cell>
          <cell r="AK1580">
            <v>26921.061320000001</v>
          </cell>
          <cell r="AL1580">
            <v>27551.310519999999</v>
          </cell>
          <cell r="AM1580">
            <v>28179.00172</v>
          </cell>
          <cell r="AN1580">
            <v>28801.749810000001</v>
          </cell>
          <cell r="AO1580">
            <v>29417.23804</v>
          </cell>
        </row>
        <row r="1600">
          <cell r="F1600">
            <v>472777.57949999999</v>
          </cell>
          <cell r="G1600">
            <v>477375.7671</v>
          </cell>
          <cell r="H1600">
            <v>482907.80219999998</v>
          </cell>
          <cell r="I1600">
            <v>489726.42259999999</v>
          </cell>
          <cell r="J1600">
            <v>497441.59759999998</v>
          </cell>
          <cell r="K1600">
            <v>505748.71950000001</v>
          </cell>
          <cell r="L1600">
            <v>514433.8909</v>
          </cell>
          <cell r="M1600">
            <v>522229.61790000001</v>
          </cell>
          <cell r="N1600">
            <v>529962.40119999996</v>
          </cell>
          <cell r="O1600">
            <v>539449.42720000003</v>
          </cell>
          <cell r="P1600">
            <v>550132.5943</v>
          </cell>
          <cell r="Q1600">
            <v>561679.25430000003</v>
          </cell>
          <cell r="R1600">
            <v>573843.15190000006</v>
          </cell>
          <cell r="S1600">
            <v>586280.1483</v>
          </cell>
          <cell r="T1600">
            <v>599025.9473</v>
          </cell>
          <cell r="U1600">
            <v>612167.97860000003</v>
          </cell>
          <cell r="V1600">
            <v>625770.82770000002</v>
          </cell>
          <cell r="W1600">
            <v>639905.36910000001</v>
          </cell>
          <cell r="X1600">
            <v>654658.90040000004</v>
          </cell>
          <cell r="Y1600">
            <v>670098.78099999996</v>
          </cell>
          <cell r="Z1600">
            <v>686294.3848</v>
          </cell>
          <cell r="AA1600">
            <v>703302.43449999997</v>
          </cell>
          <cell r="AB1600">
            <v>721205.29220000003</v>
          </cell>
          <cell r="AC1600">
            <v>740081.8088</v>
          </cell>
          <cell r="AD1600">
            <v>759963.18949999998</v>
          </cell>
          <cell r="AE1600">
            <v>780877.37879999995</v>
          </cell>
          <cell r="AF1600">
            <v>802848.65350000001</v>
          </cell>
          <cell r="AG1600">
            <v>825938.11609999998</v>
          </cell>
          <cell r="AH1600">
            <v>850236.43530000001</v>
          </cell>
          <cell r="AI1600">
            <v>875757.1923</v>
          </cell>
          <cell r="AJ1600">
            <v>902433.51670000004</v>
          </cell>
          <cell r="AK1600">
            <v>930170.31050000002</v>
          </cell>
          <cell r="AL1600">
            <v>958887.42099999997</v>
          </cell>
          <cell r="AM1600">
            <v>988536.35069999995</v>
          </cell>
          <cell r="AN1600">
            <v>1019086.939</v>
          </cell>
          <cell r="AO1600">
            <v>1050533.9240000001</v>
          </cell>
        </row>
        <row r="1601">
          <cell r="F1601">
            <v>12186.07504</v>
          </cell>
          <cell r="G1601">
            <v>12164.777830000001</v>
          </cell>
          <cell r="H1601">
            <v>12136.855250000001</v>
          </cell>
          <cell r="I1601">
            <v>12173.640939999999</v>
          </cell>
          <cell r="J1601">
            <v>12262.541649999999</v>
          </cell>
          <cell r="K1601">
            <v>12390.61501</v>
          </cell>
          <cell r="L1601">
            <v>12547.65177</v>
          </cell>
          <cell r="M1601">
            <v>12720.56755</v>
          </cell>
          <cell r="N1601">
            <v>12904.947620000001</v>
          </cell>
          <cell r="O1601">
            <v>13145.18384</v>
          </cell>
          <cell r="P1601">
            <v>13421.438319999999</v>
          </cell>
          <cell r="Q1601">
            <v>13713.73833</v>
          </cell>
          <cell r="R1601">
            <v>14021.56602</v>
          </cell>
          <cell r="S1601">
            <v>14338.90661</v>
          </cell>
          <cell r="T1601">
            <v>14667.804260000001</v>
          </cell>
          <cell r="U1601">
            <v>15010.14035</v>
          </cell>
          <cell r="V1601">
            <v>15371.654640000001</v>
          </cell>
          <cell r="W1601">
            <v>15750.2647</v>
          </cell>
          <cell r="X1601">
            <v>16146.647790000001</v>
          </cell>
          <cell r="Y1601">
            <v>16562.130430000001</v>
          </cell>
          <cell r="Z1601">
            <v>16998.518530000001</v>
          </cell>
          <cell r="AA1601">
            <v>17457.255570000001</v>
          </cell>
          <cell r="AB1601">
            <v>17940.554380000001</v>
          </cell>
          <cell r="AC1601">
            <v>18450.505150000001</v>
          </cell>
          <cell r="AD1601">
            <v>18987.740570000002</v>
          </cell>
          <cell r="AE1601">
            <v>19552.698710000001</v>
          </cell>
          <cell r="AF1601">
            <v>20142.558819999998</v>
          </cell>
          <cell r="AG1601">
            <v>20759.809740000001</v>
          </cell>
          <cell r="AH1601">
            <v>21406.695540000001</v>
          </cell>
          <cell r="AI1601">
            <v>22082.444230000001</v>
          </cell>
          <cell r="AJ1601">
            <v>22783.490890000001</v>
          </cell>
          <cell r="AK1601">
            <v>23505.143680000001</v>
          </cell>
          <cell r="AL1601">
            <v>24242.85902</v>
          </cell>
          <cell r="AM1601">
            <v>24992.62097</v>
          </cell>
          <cell r="AN1601">
            <v>25750.306519999998</v>
          </cell>
          <cell r="AO1601">
            <v>26511.19081</v>
          </cell>
        </row>
        <row r="1604">
          <cell r="F1604">
            <v>67360.754610000004</v>
          </cell>
          <cell r="G1604">
            <v>68340.084270000007</v>
          </cell>
          <cell r="H1604">
            <v>69532.851989999996</v>
          </cell>
          <cell r="I1604">
            <v>70739.195999999996</v>
          </cell>
          <cell r="J1604">
            <v>71899.646160000004</v>
          </cell>
          <cell r="K1604">
            <v>73047.639779999998</v>
          </cell>
          <cell r="L1604">
            <v>74215.04466</v>
          </cell>
          <cell r="M1604">
            <v>75162.034530000004</v>
          </cell>
          <cell r="N1604">
            <v>76136.79019</v>
          </cell>
          <cell r="O1604">
            <v>77604.950410000005</v>
          </cell>
          <cell r="P1604">
            <v>79338.047930000001</v>
          </cell>
          <cell r="Q1604">
            <v>81177.033920000002</v>
          </cell>
          <cell r="R1604">
            <v>82986.846439999994</v>
          </cell>
          <cell r="S1604">
            <v>84668.763269999996</v>
          </cell>
          <cell r="T1604">
            <v>86268.407890000002</v>
          </cell>
          <cell r="U1604">
            <v>87847.195720000003</v>
          </cell>
          <cell r="V1604">
            <v>89452.242620000005</v>
          </cell>
          <cell r="W1604">
            <v>91133.268110000005</v>
          </cell>
          <cell r="X1604">
            <v>92924.536749999999</v>
          </cell>
          <cell r="Y1604">
            <v>94843.946070000005</v>
          </cell>
          <cell r="Z1604">
            <v>96907.601370000004</v>
          </cell>
          <cell r="AA1604">
            <v>99131.145139999993</v>
          </cell>
          <cell r="AB1604">
            <v>101536.95600000001</v>
          </cell>
          <cell r="AC1604">
            <v>104140.70480000001</v>
          </cell>
          <cell r="AD1604">
            <v>106945.136</v>
          </cell>
          <cell r="AE1604">
            <v>109953.53049999999</v>
          </cell>
          <cell r="AF1604">
            <v>113176.5347</v>
          </cell>
          <cell r="AG1604">
            <v>116641.8193</v>
          </cell>
          <cell r="AH1604">
            <v>120364.8934</v>
          </cell>
          <cell r="AI1604">
            <v>124329.37</v>
          </cell>
          <cell r="AJ1604">
            <v>128498.2969</v>
          </cell>
          <cell r="AK1604">
            <v>132837.32380000001</v>
          </cell>
          <cell r="AL1604">
            <v>137321.80869999999</v>
          </cell>
          <cell r="AM1604">
            <v>141929.6139</v>
          </cell>
          <cell r="AN1604">
            <v>146638.78140000001</v>
          </cell>
          <cell r="AO1604">
            <v>151428.00870000001</v>
          </cell>
        </row>
        <row r="1614">
          <cell r="F1614">
            <v>7520.3798610000003</v>
          </cell>
          <cell r="G1614">
            <v>7913.0890570000001</v>
          </cell>
          <cell r="H1614">
            <v>8396.7167079999999</v>
          </cell>
          <cell r="I1614">
            <v>8776.6031679999996</v>
          </cell>
          <cell r="J1614">
            <v>9034.9368579999991</v>
          </cell>
          <cell r="K1614">
            <v>9216.8114829999995</v>
          </cell>
          <cell r="L1614">
            <v>9363.7543380000006</v>
          </cell>
          <cell r="M1614">
            <v>9494.2977119999996</v>
          </cell>
          <cell r="N1614">
            <v>9635.6862490000003</v>
          </cell>
          <cell r="O1614">
            <v>9815.5969179999993</v>
          </cell>
          <cell r="P1614">
            <v>10035.611129999999</v>
          </cell>
          <cell r="Q1614">
            <v>10279.386839999999</v>
          </cell>
          <cell r="R1614">
            <v>10523.86505</v>
          </cell>
          <cell r="S1614">
            <v>10760.276089999999</v>
          </cell>
          <cell r="T1614">
            <v>10991.45802</v>
          </cell>
          <cell r="U1614">
            <v>11223.46595</v>
          </cell>
          <cell r="V1614">
            <v>11463.868049999999</v>
          </cell>
          <cell r="W1614">
            <v>11717.62702</v>
          </cell>
          <cell r="X1614">
            <v>11984.67887</v>
          </cell>
          <cell r="Y1614">
            <v>12263.00776</v>
          </cell>
          <cell r="Z1614">
            <v>12551.26161</v>
          </cell>
          <cell r="AA1614">
            <v>12849.185090000001</v>
          </cell>
          <cell r="AB1614">
            <v>13157.21831</v>
          </cell>
          <cell r="AC1614">
            <v>13476.20161</v>
          </cell>
          <cell r="AD1614">
            <v>13806.70882</v>
          </cell>
          <cell r="AE1614">
            <v>14149.719279999999</v>
          </cell>
          <cell r="AF1614">
            <v>14505.92139</v>
          </cell>
          <cell r="AG1614">
            <v>14875.68021</v>
          </cell>
          <cell r="AH1614">
            <v>15261.03242</v>
          </cell>
          <cell r="AI1614">
            <v>15664.360839999999</v>
          </cell>
          <cell r="AJ1614">
            <v>16087.55312</v>
          </cell>
          <cell r="AK1614">
            <v>16531.328699999998</v>
          </cell>
          <cell r="AL1614">
            <v>16995.126459999999</v>
          </cell>
          <cell r="AM1614">
            <v>17478.196090000001</v>
          </cell>
          <cell r="AN1614">
            <v>17979.727510000001</v>
          </cell>
          <cell r="AO1614">
            <v>18498.835309999999</v>
          </cell>
        </row>
        <row r="1616">
          <cell r="F1616">
            <v>15659.823969999999</v>
          </cell>
          <cell r="G1616">
            <v>15766.69881</v>
          </cell>
          <cell r="H1616">
            <v>15878.74401</v>
          </cell>
          <cell r="I1616">
            <v>16023.29477</v>
          </cell>
          <cell r="J1616">
            <v>16195.451209999999</v>
          </cell>
          <cell r="K1616">
            <v>16393.365040000001</v>
          </cell>
          <cell r="L1616">
            <v>16613.09374</v>
          </cell>
          <cell r="M1616">
            <v>16818.107049999999</v>
          </cell>
          <cell r="N1616">
            <v>17036.003369999999</v>
          </cell>
          <cell r="O1616">
            <v>17349.42512</v>
          </cell>
          <cell r="P1616">
            <v>17722.71326</v>
          </cell>
          <cell r="Q1616">
            <v>18127.316729999999</v>
          </cell>
          <cell r="R1616">
            <v>18542.458579999999</v>
          </cell>
          <cell r="S1616">
            <v>18947.406070000001</v>
          </cell>
          <cell r="T1616">
            <v>19344.73589</v>
          </cell>
          <cell r="U1616">
            <v>19740.086650000001</v>
          </cell>
          <cell r="V1616">
            <v>20144.014439999999</v>
          </cell>
          <cell r="W1616">
            <v>20562.3995</v>
          </cell>
          <cell r="X1616">
            <v>21001.512879999998</v>
          </cell>
          <cell r="Y1616">
            <v>21465.534680000001</v>
          </cell>
          <cell r="Z1616">
            <v>21958.269990000001</v>
          </cell>
          <cell r="AA1616">
            <v>22483.656330000002</v>
          </cell>
          <cell r="AB1616">
            <v>23046.960330000002</v>
          </cell>
          <cell r="AC1616">
            <v>23651.227849999999</v>
          </cell>
          <cell r="AD1616">
            <v>24296.259150000002</v>
          </cell>
          <cell r="AE1616">
            <v>24981.56782</v>
          </cell>
          <cell r="AF1616">
            <v>25711.086729999999</v>
          </cell>
          <cell r="AG1616">
            <v>26493.595270000002</v>
          </cell>
          <cell r="AH1616">
            <v>27333.753540000002</v>
          </cell>
          <cell r="AI1616">
            <v>28228.5334</v>
          </cell>
          <cell r="AJ1616">
            <v>29170.071520000001</v>
          </cell>
          <cell r="AK1616">
            <v>30152.072909999999</v>
          </cell>
          <cell r="AL1616">
            <v>31171.537410000001</v>
          </cell>
          <cell r="AM1616">
            <v>32225.140729999999</v>
          </cell>
          <cell r="AN1616">
            <v>33308.577700000002</v>
          </cell>
          <cell r="AO1616">
            <v>34416.538719999997</v>
          </cell>
        </row>
        <row r="1621">
          <cell r="F1621">
            <v>366908.98749999999</v>
          </cell>
          <cell r="G1621">
            <v>370245.4143</v>
          </cell>
          <cell r="H1621">
            <v>374300.54149999999</v>
          </cell>
          <cell r="I1621">
            <v>379539.24709999998</v>
          </cell>
          <cell r="J1621">
            <v>385648.15899999999</v>
          </cell>
          <cell r="K1621">
            <v>392296.48320000002</v>
          </cell>
          <cell r="L1621">
            <v>399245.86790000001</v>
          </cell>
          <cell r="M1621">
            <v>405475.04739999998</v>
          </cell>
          <cell r="N1621">
            <v>411554.16279999999</v>
          </cell>
          <cell r="O1621">
            <v>418676.12229999999</v>
          </cell>
          <cell r="P1621">
            <v>426583.09590000001</v>
          </cell>
          <cell r="Q1621">
            <v>435162.87719999999</v>
          </cell>
          <cell r="R1621">
            <v>444333.26990000001</v>
          </cell>
          <cell r="S1621">
            <v>453883.96870000003</v>
          </cell>
          <cell r="T1621">
            <v>463799.47149999999</v>
          </cell>
          <cell r="U1621">
            <v>474096.60320000001</v>
          </cell>
          <cell r="V1621">
            <v>484782.88280000002</v>
          </cell>
          <cell r="W1621">
            <v>495871.60879999999</v>
          </cell>
          <cell r="X1621">
            <v>507407.35489999998</v>
          </cell>
          <cell r="Y1621">
            <v>519433.57449999999</v>
          </cell>
          <cell r="Z1621">
            <v>531997.08940000006</v>
          </cell>
          <cell r="AA1621">
            <v>545132.0736</v>
          </cell>
          <cell r="AB1621">
            <v>558888.59539999999</v>
          </cell>
          <cell r="AC1621">
            <v>573323.21120000002</v>
          </cell>
          <cell r="AD1621">
            <v>588463.49</v>
          </cell>
          <cell r="AE1621">
            <v>604333.61939999997</v>
          </cell>
          <cell r="AF1621">
            <v>620937.63219999999</v>
          </cell>
          <cell r="AG1621">
            <v>638293.85439999995</v>
          </cell>
          <cell r="AH1621">
            <v>656467.11620000005</v>
          </cell>
          <cell r="AI1621">
            <v>675490.62230000005</v>
          </cell>
          <cell r="AJ1621">
            <v>695346.53249999997</v>
          </cell>
          <cell r="AK1621">
            <v>715982.527</v>
          </cell>
          <cell r="AL1621">
            <v>737342.12719999999</v>
          </cell>
          <cell r="AM1621">
            <v>759390.50230000005</v>
          </cell>
          <cell r="AN1621">
            <v>782096.973</v>
          </cell>
          <cell r="AO1621">
            <v>805421.6899</v>
          </cell>
        </row>
        <row r="1624">
          <cell r="F1624">
            <v>3908.2854010000001</v>
          </cell>
          <cell r="G1624">
            <v>4027.782393</v>
          </cell>
          <cell r="H1624">
            <v>4157.0120550000001</v>
          </cell>
          <cell r="I1624">
            <v>4274.5009870000004</v>
          </cell>
          <cell r="J1624">
            <v>4384.3036780000002</v>
          </cell>
          <cell r="K1624">
            <v>4488.9595600000002</v>
          </cell>
          <cell r="L1624">
            <v>4590.6427679999997</v>
          </cell>
          <cell r="M1624">
            <v>4695.5869409999996</v>
          </cell>
          <cell r="N1624">
            <v>4792.8682509999999</v>
          </cell>
          <cell r="O1624">
            <v>4889.1974799999998</v>
          </cell>
          <cell r="P1624">
            <v>4980.965776</v>
          </cell>
          <cell r="Q1624">
            <v>5072.7546190000003</v>
          </cell>
          <cell r="R1624">
            <v>5163.5665989999998</v>
          </cell>
          <cell r="S1624">
            <v>5251.3109990000003</v>
          </cell>
          <cell r="T1624">
            <v>5336.3073340000001</v>
          </cell>
          <cell r="U1624">
            <v>5419.445772</v>
          </cell>
          <cell r="V1624">
            <v>5503.5835079999997</v>
          </cell>
          <cell r="W1624">
            <v>5586.8501800000004</v>
          </cell>
          <cell r="X1624">
            <v>5669.9815319999998</v>
          </cell>
          <cell r="Y1624">
            <v>5754.2685190000002</v>
          </cell>
          <cell r="Z1624">
            <v>5841.1036219999996</v>
          </cell>
          <cell r="AA1624">
            <v>5931.9178389999997</v>
          </cell>
          <cell r="AB1624">
            <v>6028.2539829999996</v>
          </cell>
          <cell r="AC1624">
            <v>6131.3664159999998</v>
          </cell>
          <cell r="AD1624">
            <v>6242.4405969999998</v>
          </cell>
          <cell r="AE1624">
            <v>6362.8946120000001</v>
          </cell>
          <cell r="AF1624">
            <v>6495.1220370000001</v>
          </cell>
          <cell r="AG1624">
            <v>6642.0011780000004</v>
          </cell>
          <cell r="AH1624">
            <v>6806.730759</v>
          </cell>
          <cell r="AI1624">
            <v>6992.6534089999996</v>
          </cell>
          <cell r="AJ1624">
            <v>7203.9968820000004</v>
          </cell>
          <cell r="AK1624">
            <v>7447.4340140000004</v>
          </cell>
          <cell r="AL1624">
            <v>7734.0755410000002</v>
          </cell>
          <cell r="AM1624">
            <v>8082.74557</v>
          </cell>
          <cell r="AN1624">
            <v>8527.8825080000006</v>
          </cell>
          <cell r="AO1624">
            <v>9139.3464220000005</v>
          </cell>
        </row>
        <row r="1629">
          <cell r="F1629">
            <v>6753.6530009999997</v>
          </cell>
          <cell r="G1629">
            <v>6831.00947</v>
          </cell>
          <cell r="H1629">
            <v>6901.7974199999999</v>
          </cell>
          <cell r="I1629">
            <v>6976.542813</v>
          </cell>
          <cell r="J1629">
            <v>7051.4958900000001</v>
          </cell>
          <cell r="K1629">
            <v>7131.656962</v>
          </cell>
          <cell r="L1629">
            <v>7221.5901229999999</v>
          </cell>
          <cell r="M1629">
            <v>7358.2743829999999</v>
          </cell>
          <cell r="N1629">
            <v>7537.6288770000001</v>
          </cell>
          <cell r="O1629">
            <v>7784.5480040000002</v>
          </cell>
          <cell r="P1629">
            <v>8086.3331410000001</v>
          </cell>
          <cell r="Q1629">
            <v>8425.5334789999997</v>
          </cell>
          <cell r="R1629">
            <v>8795.4443169999995</v>
          </cell>
          <cell r="S1629">
            <v>9189.7927189999991</v>
          </cell>
          <cell r="T1629">
            <v>9609.2203969999991</v>
          </cell>
          <cell r="U1629">
            <v>10054.506939999999</v>
          </cell>
          <cell r="V1629">
            <v>10516.449710000001</v>
          </cell>
          <cell r="W1629">
            <v>11000.97775</v>
          </cell>
          <cell r="X1629">
            <v>11508.86656</v>
          </cell>
          <cell r="Y1629">
            <v>12039.326880000001</v>
          </cell>
          <cell r="Z1629">
            <v>12591.80193</v>
          </cell>
          <cell r="AA1629">
            <v>13166.386049999999</v>
          </cell>
          <cell r="AB1629">
            <v>13763.972100000001</v>
          </cell>
          <cell r="AC1629">
            <v>14384.793379999999</v>
          </cell>
          <cell r="AD1629">
            <v>15028.123089999999</v>
          </cell>
          <cell r="AE1629">
            <v>15693.0677</v>
          </cell>
          <cell r="AF1629">
            <v>16385.71905</v>
          </cell>
          <cell r="AG1629">
            <v>17107.036220000002</v>
          </cell>
          <cell r="AH1629">
            <v>17857.24581</v>
          </cell>
          <cell r="AI1629">
            <v>18633.568899999998</v>
          </cell>
          <cell r="AJ1629">
            <v>19431.128049999999</v>
          </cell>
          <cell r="AK1629">
            <v>20245.809140000001</v>
          </cell>
          <cell r="AL1629">
            <v>21075.013210000001</v>
          </cell>
          <cell r="AM1629">
            <v>21915.727299999999</v>
          </cell>
          <cell r="AN1629">
            <v>22764.417590000001</v>
          </cell>
          <cell r="AO1629">
            <v>23617.149590000001</v>
          </cell>
        </row>
        <row r="1639">
          <cell r="F1639">
            <v>472777.57949999999</v>
          </cell>
          <cell r="G1639">
            <v>477375.7671</v>
          </cell>
          <cell r="H1639">
            <v>482907.80219999998</v>
          </cell>
          <cell r="I1639">
            <v>489726.42259999999</v>
          </cell>
          <cell r="J1639">
            <v>497441.59759999998</v>
          </cell>
          <cell r="K1639">
            <v>505748.71950000001</v>
          </cell>
          <cell r="L1639">
            <v>514203.9448</v>
          </cell>
          <cell r="M1639">
            <v>522764.29479999997</v>
          </cell>
          <cell r="N1639">
            <v>531529.74430000002</v>
          </cell>
          <cell r="O1639">
            <v>540638.44759999996</v>
          </cell>
          <cell r="P1639">
            <v>550206.53110000002</v>
          </cell>
          <cell r="Q1639">
            <v>560321.60349999997</v>
          </cell>
          <cell r="R1639">
            <v>570918.86670000001</v>
          </cell>
          <cell r="S1639">
            <v>581702.28</v>
          </cell>
          <cell r="T1639">
            <v>592660.59620000003</v>
          </cell>
          <cell r="U1639">
            <v>603885.03480000002</v>
          </cell>
          <cell r="V1639">
            <v>615683.96329999994</v>
          </cell>
          <cell r="W1639">
            <v>628212.27119999996</v>
          </cell>
          <cell r="X1639">
            <v>641520.77690000006</v>
          </cell>
          <cell r="Y1639">
            <v>655593.94689999998</v>
          </cell>
          <cell r="Z1639">
            <v>670425.08230000001</v>
          </cell>
          <cell r="AA1639">
            <v>686029.58840000001</v>
          </cell>
          <cell r="AB1639">
            <v>702474.44709999999</v>
          </cell>
          <cell r="AC1639">
            <v>719829.41040000005</v>
          </cell>
          <cell r="AD1639">
            <v>738124.0024</v>
          </cell>
          <cell r="AE1639">
            <v>757392.29890000005</v>
          </cell>
          <cell r="AF1639">
            <v>777687.91639999999</v>
          </cell>
          <cell r="AG1639">
            <v>799119.31389999995</v>
          </cell>
          <cell r="AH1639">
            <v>821777.19900000002</v>
          </cell>
          <cell r="AI1639">
            <v>845658.8236</v>
          </cell>
          <cell r="AJ1639">
            <v>870680.69799999997</v>
          </cell>
          <cell r="AK1639">
            <v>896748.01119999995</v>
          </cell>
          <cell r="AL1639">
            <v>923785.20310000004</v>
          </cell>
          <cell r="AM1639">
            <v>951724.78579999995</v>
          </cell>
          <cell r="AN1639">
            <v>980495.52260000003</v>
          </cell>
          <cell r="AO1639">
            <v>1010014.402</v>
          </cell>
        </row>
        <row r="1640">
          <cell r="F1640">
            <v>12186.07504</v>
          </cell>
          <cell r="G1640">
            <v>12164.777830000001</v>
          </cell>
          <cell r="H1640">
            <v>12136.855250000001</v>
          </cell>
          <cell r="I1640">
            <v>12173.640939999999</v>
          </cell>
          <cell r="J1640">
            <v>12262.541649999999</v>
          </cell>
          <cell r="K1640">
            <v>12390.61501</v>
          </cell>
          <cell r="L1640">
            <v>12547.64633</v>
          </cell>
          <cell r="M1640">
            <v>12725.17022</v>
          </cell>
          <cell r="N1640">
            <v>12920.667100000001</v>
          </cell>
          <cell r="O1640">
            <v>13134.2423</v>
          </cell>
          <cell r="P1640">
            <v>13366.920599999999</v>
          </cell>
          <cell r="Q1640">
            <v>13619.782520000001</v>
          </cell>
          <cell r="R1640">
            <v>13889.97399</v>
          </cell>
          <cell r="S1640">
            <v>14168.190979999999</v>
          </cell>
          <cell r="T1640">
            <v>14454.10288</v>
          </cell>
          <cell r="U1640">
            <v>14750.43871</v>
          </cell>
          <cell r="V1640">
            <v>15059.24768</v>
          </cell>
          <cell r="W1640">
            <v>15386.34611</v>
          </cell>
          <cell r="X1640">
            <v>15735.005730000001</v>
          </cell>
          <cell r="Y1640">
            <v>16106.082979999999</v>
          </cell>
          <cell r="Z1640">
            <v>16500.127349999999</v>
          </cell>
          <cell r="AA1640">
            <v>16917.892090000001</v>
          </cell>
          <cell r="AB1640">
            <v>17361.532899999998</v>
          </cell>
          <cell r="AC1640">
            <v>17833.236400000002</v>
          </cell>
          <cell r="AD1640">
            <v>18333.97265</v>
          </cell>
          <cell r="AE1640">
            <v>18864.77188</v>
          </cell>
          <cell r="AF1640">
            <v>19427.178339999999</v>
          </cell>
          <cell r="AG1640">
            <v>20024.41502</v>
          </cell>
          <cell r="AH1640">
            <v>20658.985359999999</v>
          </cell>
          <cell r="AI1640">
            <v>21330.244770000001</v>
          </cell>
          <cell r="AJ1640">
            <v>22034.92913</v>
          </cell>
          <cell r="AK1640">
            <v>22769.420770000001</v>
          </cell>
          <cell r="AL1640">
            <v>23530.793829999999</v>
          </cell>
          <cell r="AM1640">
            <v>24316.431629999999</v>
          </cell>
          <cell r="AN1640">
            <v>25123.633470000001</v>
          </cell>
          <cell r="AO1640">
            <v>25949.363020000001</v>
          </cell>
        </row>
        <row r="1643">
          <cell r="F1643">
            <v>67360.754610000004</v>
          </cell>
          <cell r="G1643">
            <v>68340.084270000007</v>
          </cell>
          <cell r="H1643">
            <v>69532.851989999996</v>
          </cell>
          <cell r="I1643">
            <v>70739.195999999996</v>
          </cell>
          <cell r="J1643">
            <v>71899.646160000004</v>
          </cell>
          <cell r="K1643">
            <v>73047.639779999998</v>
          </cell>
          <cell r="L1643">
            <v>74191.205270000006</v>
          </cell>
          <cell r="M1643">
            <v>75360.954180000001</v>
          </cell>
          <cell r="N1643">
            <v>76583.457349999997</v>
          </cell>
          <cell r="O1643">
            <v>77876.105169999995</v>
          </cell>
          <cell r="P1643">
            <v>79248.482950000005</v>
          </cell>
          <cell r="Q1643">
            <v>80702.936820000003</v>
          </cell>
          <cell r="R1643">
            <v>82204.934720000005</v>
          </cell>
          <cell r="S1643">
            <v>83667.369359999997</v>
          </cell>
          <cell r="T1643">
            <v>85095.725189999997</v>
          </cell>
          <cell r="U1643">
            <v>86524.76079</v>
          </cell>
          <cell r="V1643">
            <v>88013.833540000007</v>
          </cell>
          <cell r="W1643">
            <v>89601.491370000003</v>
          </cell>
          <cell r="X1643">
            <v>91313.082840000003</v>
          </cell>
          <cell r="Y1643">
            <v>93161.855349999998</v>
          </cell>
          <cell r="Z1643">
            <v>95161.786630000002</v>
          </cell>
          <cell r="AA1643">
            <v>97326.812789999996</v>
          </cell>
          <cell r="AB1643">
            <v>99678.502840000001</v>
          </cell>
          <cell r="AC1643">
            <v>102233.94289999999</v>
          </cell>
          <cell r="AD1643">
            <v>104998.4509</v>
          </cell>
          <cell r="AE1643">
            <v>107978.3177</v>
          </cell>
          <cell r="AF1643">
            <v>111183.7311</v>
          </cell>
          <cell r="AG1643">
            <v>114635.8268</v>
          </cell>
          <cell r="AH1643">
            <v>118347.857</v>
          </cell>
          <cell r="AI1643">
            <v>122303.1979</v>
          </cell>
          <cell r="AJ1643">
            <v>126465.2372</v>
          </cell>
          <cell r="AK1643">
            <v>130797.8885</v>
          </cell>
          <cell r="AL1643">
            <v>135272.58979999999</v>
          </cell>
          <cell r="AM1643">
            <v>139864.98490000001</v>
          </cell>
          <cell r="AN1643">
            <v>144551.75580000001</v>
          </cell>
          <cell r="AO1643">
            <v>149308.60920000001</v>
          </cell>
        </row>
        <row r="1653">
          <cell r="F1653">
            <v>7520.3798610000003</v>
          </cell>
          <cell r="G1653">
            <v>7913.0890570000001</v>
          </cell>
          <cell r="H1653">
            <v>8396.7167079999999</v>
          </cell>
          <cell r="I1653">
            <v>8776.6031679999996</v>
          </cell>
          <cell r="J1653">
            <v>9034.9368579999991</v>
          </cell>
          <cell r="K1653">
            <v>9216.8114829999995</v>
          </cell>
          <cell r="L1653">
            <v>9360.9965969999994</v>
          </cell>
          <cell r="M1653">
            <v>9492.4382850000002</v>
          </cell>
          <cell r="N1653">
            <v>9624.4887159999998</v>
          </cell>
          <cell r="O1653">
            <v>9763.9318789999998</v>
          </cell>
          <cell r="P1653">
            <v>9914.4366690000006</v>
          </cell>
          <cell r="Q1653">
            <v>10078.411179999999</v>
          </cell>
          <cell r="R1653">
            <v>10256.03325</v>
          </cell>
          <cell r="S1653">
            <v>10444.06403</v>
          </cell>
          <cell r="T1653">
            <v>10640.255520000001</v>
          </cell>
          <cell r="U1653">
            <v>10843.85324</v>
          </cell>
          <cell r="V1653">
            <v>11057.25576</v>
          </cell>
          <cell r="W1653">
            <v>11281.09</v>
          </cell>
          <cell r="X1653">
            <v>11514.89696</v>
          </cell>
          <cell r="Y1653">
            <v>11757.651099999999</v>
          </cell>
          <cell r="Z1653">
            <v>12008.84556</v>
          </cell>
          <cell r="AA1653">
            <v>12268.859189999999</v>
          </cell>
          <cell r="AB1653">
            <v>12538.51838</v>
          </cell>
          <cell r="AC1653">
            <v>12818.64134</v>
          </cell>
          <cell r="AD1653">
            <v>13109.669540000001</v>
          </cell>
          <cell r="AE1653">
            <v>13412.53168</v>
          </cell>
          <cell r="AF1653">
            <v>13728.700940000001</v>
          </cell>
          <cell r="AG1653">
            <v>14059.905220000001</v>
          </cell>
          <cell r="AH1653">
            <v>14408.612880000001</v>
          </cell>
          <cell r="AI1653">
            <v>14777.153560000001</v>
          </cell>
          <cell r="AJ1653">
            <v>15167.32123</v>
          </cell>
          <cell r="AK1653">
            <v>15580.273020000001</v>
          </cell>
          <cell r="AL1653">
            <v>16016.28701</v>
          </cell>
          <cell r="AM1653">
            <v>16475.121569999999</v>
          </cell>
          <cell r="AN1653">
            <v>16956.202140000001</v>
          </cell>
          <cell r="AO1653">
            <v>17458.68</v>
          </cell>
        </row>
        <row r="1655">
          <cell r="F1655">
            <v>15659.823969999999</v>
          </cell>
          <cell r="G1655">
            <v>15766.69881</v>
          </cell>
          <cell r="H1655">
            <v>15878.74401</v>
          </cell>
          <cell r="I1655">
            <v>16023.29477</v>
          </cell>
          <cell r="J1655">
            <v>16195.451209999999</v>
          </cell>
          <cell r="K1655">
            <v>16393.365040000001</v>
          </cell>
          <cell r="L1655">
            <v>16608.207910000001</v>
          </cell>
          <cell r="M1655">
            <v>16836.009450000001</v>
          </cell>
          <cell r="N1655">
            <v>17076.632580000001</v>
          </cell>
          <cell r="O1655">
            <v>17331.263630000001</v>
          </cell>
          <cell r="P1655">
            <v>17601.287530000001</v>
          </cell>
          <cell r="Q1655">
            <v>17887.464650000002</v>
          </cell>
          <cell r="R1655">
            <v>18184.109049999999</v>
          </cell>
          <cell r="S1655">
            <v>18475.972330000001</v>
          </cell>
          <cell r="T1655">
            <v>18764.22018</v>
          </cell>
          <cell r="U1655">
            <v>19055.026900000001</v>
          </cell>
          <cell r="V1655">
            <v>19358.79825</v>
          </cell>
          <cell r="W1655">
            <v>19684.64863</v>
          </cell>
          <cell r="X1655">
            <v>20037.808720000001</v>
          </cell>
          <cell r="Y1655">
            <v>20420.265810000001</v>
          </cell>
          <cell r="Z1655">
            <v>20833.717929999999</v>
          </cell>
          <cell r="AA1655">
            <v>21279.860949999998</v>
          </cell>
          <cell r="AB1655">
            <v>21762.063900000001</v>
          </cell>
          <cell r="AC1655">
            <v>22283.21356</v>
          </cell>
          <cell r="AD1655">
            <v>22844.255710000001</v>
          </cell>
          <cell r="AE1655">
            <v>23446.31508</v>
          </cell>
          <cell r="AF1655">
            <v>24091.227630000001</v>
          </cell>
          <cell r="AG1655">
            <v>24782.968779999999</v>
          </cell>
          <cell r="AH1655">
            <v>25524.04423</v>
          </cell>
          <cell r="AI1655">
            <v>26311.583920000001</v>
          </cell>
          <cell r="AJ1655">
            <v>27138.980329999999</v>
          </cell>
          <cell r="AK1655">
            <v>27999.609670000002</v>
          </cell>
          <cell r="AL1655">
            <v>28888.221539999999</v>
          </cell>
          <cell r="AM1655">
            <v>29800.30241</v>
          </cell>
          <cell r="AN1655">
            <v>30731.483090000002</v>
          </cell>
          <cell r="AO1655">
            <v>31677.169559999998</v>
          </cell>
        </row>
        <row r="1660">
          <cell r="F1660">
            <v>366908.98749999999</v>
          </cell>
          <cell r="G1660">
            <v>370245.4143</v>
          </cell>
          <cell r="H1660">
            <v>374300.54149999999</v>
          </cell>
          <cell r="I1660">
            <v>379539.24709999998</v>
          </cell>
          <cell r="J1660">
            <v>385648.15899999999</v>
          </cell>
          <cell r="K1660">
            <v>392296.48320000002</v>
          </cell>
          <cell r="L1660">
            <v>399047.91940000001</v>
          </cell>
          <cell r="M1660">
            <v>405841.16149999999</v>
          </cell>
          <cell r="N1660">
            <v>412750.47960000002</v>
          </cell>
          <cell r="O1660">
            <v>419891.79180000001</v>
          </cell>
          <cell r="P1660">
            <v>427365.05780000001</v>
          </cell>
          <cell r="Q1660">
            <v>435250.78989999997</v>
          </cell>
          <cell r="R1660">
            <v>443529.08230000001</v>
          </cell>
          <cell r="S1660">
            <v>452023.85629999998</v>
          </cell>
          <cell r="T1660">
            <v>460719.5356</v>
          </cell>
          <cell r="U1660">
            <v>469663.43469999998</v>
          </cell>
          <cell r="V1660">
            <v>479097.44410000002</v>
          </cell>
          <cell r="W1660">
            <v>489113.49819999997</v>
          </cell>
          <cell r="X1660">
            <v>499724.33639999997</v>
          </cell>
          <cell r="Y1660">
            <v>510897.44260000001</v>
          </cell>
          <cell r="Z1660">
            <v>522609.8958</v>
          </cell>
          <cell r="AA1660">
            <v>534860.88069999998</v>
          </cell>
          <cell r="AB1660">
            <v>547689.70180000004</v>
          </cell>
          <cell r="AC1660">
            <v>561143.23809999996</v>
          </cell>
          <cell r="AD1660">
            <v>575243.49069999997</v>
          </cell>
          <cell r="AE1660">
            <v>590015.7095</v>
          </cell>
          <cell r="AF1660">
            <v>605499.33050000004</v>
          </cell>
          <cell r="AG1660">
            <v>621773.17200000002</v>
          </cell>
          <cell r="AH1660">
            <v>638908.94790000003</v>
          </cell>
          <cell r="AI1660">
            <v>656925.6997</v>
          </cell>
          <cell r="AJ1660">
            <v>675789.86100000003</v>
          </cell>
          <cell r="AK1660">
            <v>695456.68489999999</v>
          </cell>
          <cell r="AL1660">
            <v>715890.65009999997</v>
          </cell>
          <cell r="AM1660">
            <v>737058.68729999999</v>
          </cell>
          <cell r="AN1660">
            <v>758922.67240000004</v>
          </cell>
          <cell r="AO1660">
            <v>781434.1692</v>
          </cell>
        </row>
        <row r="1663">
          <cell r="F1663">
            <v>3908.2854010000001</v>
          </cell>
          <cell r="G1663">
            <v>4027.782393</v>
          </cell>
          <cell r="H1663">
            <v>4157.0120550000001</v>
          </cell>
          <cell r="I1663">
            <v>4274.5009870000004</v>
          </cell>
          <cell r="J1663">
            <v>4384.3036780000002</v>
          </cell>
          <cell r="K1663">
            <v>4488.9595600000002</v>
          </cell>
          <cell r="L1663">
            <v>4584.9765710000001</v>
          </cell>
          <cell r="M1663">
            <v>4670.1508940000003</v>
          </cell>
          <cell r="N1663">
            <v>4743.9813439999998</v>
          </cell>
          <cell r="O1663">
            <v>4807.3915360000001</v>
          </cell>
          <cell r="P1663">
            <v>4861.8816989999996</v>
          </cell>
          <cell r="Q1663">
            <v>4909.0117129999999</v>
          </cell>
          <cell r="R1663">
            <v>4949.1438719999996</v>
          </cell>
          <cell r="S1663">
            <v>4980.6882690000002</v>
          </cell>
          <cell r="T1663">
            <v>5005.1679480000003</v>
          </cell>
          <cell r="U1663">
            <v>5025.1096530000004</v>
          </cell>
          <cell r="V1663">
            <v>5039.155264</v>
          </cell>
          <cell r="W1663">
            <v>5055.7397490000003</v>
          </cell>
          <cell r="X1663">
            <v>5078.0661620000001</v>
          </cell>
          <cell r="Y1663">
            <v>5106.8352420000001</v>
          </cell>
          <cell r="Z1663">
            <v>5142.0081499999997</v>
          </cell>
          <cell r="AA1663">
            <v>5183.3761459999996</v>
          </cell>
          <cell r="AB1663">
            <v>5230.9159179999997</v>
          </cell>
          <cell r="AC1663">
            <v>5284.6719620000003</v>
          </cell>
          <cell r="AD1663">
            <v>5344.5838160000003</v>
          </cell>
          <cell r="AE1663">
            <v>5410.6472370000001</v>
          </cell>
          <cell r="AF1663">
            <v>5482.9572170000001</v>
          </cell>
          <cell r="AG1663">
            <v>5561.8240900000001</v>
          </cell>
          <cell r="AH1663">
            <v>5647.4507480000002</v>
          </cell>
          <cell r="AI1663">
            <v>5739.4538389999998</v>
          </cell>
          <cell r="AJ1663">
            <v>5836.9722519999996</v>
          </cell>
          <cell r="AK1663">
            <v>5939.037797</v>
          </cell>
          <cell r="AL1663">
            <v>6044.775705</v>
          </cell>
          <cell r="AM1663">
            <v>6153.39959</v>
          </cell>
          <cell r="AN1663">
            <v>6264.1717239999998</v>
          </cell>
          <cell r="AO1663">
            <v>6376.3598949999996</v>
          </cell>
        </row>
        <row r="1668">
          <cell r="F1668">
            <v>6753.6530009999997</v>
          </cell>
          <cell r="G1668">
            <v>6831.00947</v>
          </cell>
          <cell r="H1668">
            <v>6901.7974199999999</v>
          </cell>
          <cell r="I1668">
            <v>6976.542813</v>
          </cell>
          <cell r="J1668">
            <v>7051.4958900000001</v>
          </cell>
          <cell r="K1668">
            <v>7131.656962</v>
          </cell>
          <cell r="L1668">
            <v>7223.9892730000001</v>
          </cell>
          <cell r="M1668">
            <v>7330.8486140000005</v>
          </cell>
          <cell r="N1668">
            <v>7454.5263459999996</v>
          </cell>
          <cell r="O1668">
            <v>7597.6531139999997</v>
          </cell>
          <cell r="P1668">
            <v>7762.9005459999998</v>
          </cell>
          <cell r="Q1668">
            <v>7951.6179009999996</v>
          </cell>
          <cell r="R1668">
            <v>8161.62273</v>
          </cell>
          <cell r="S1668">
            <v>8386.2027400000006</v>
          </cell>
          <cell r="T1668">
            <v>8621.8444029999991</v>
          </cell>
          <cell r="U1668">
            <v>8866.2640489999994</v>
          </cell>
          <cell r="V1668">
            <v>9115.4844499999999</v>
          </cell>
          <cell r="W1668">
            <v>9370.5472100000006</v>
          </cell>
          <cell r="X1668">
            <v>9632.4770769999996</v>
          </cell>
          <cell r="Y1668">
            <v>9901.4649759999993</v>
          </cell>
          <cell r="Z1668">
            <v>10177.546410000001</v>
          </cell>
          <cell r="AA1668">
            <v>10460.765729999999</v>
          </cell>
          <cell r="AB1668">
            <v>10751.7297</v>
          </cell>
          <cell r="AC1668">
            <v>11051.10749</v>
          </cell>
          <cell r="AD1668">
            <v>11359.248600000001</v>
          </cell>
          <cell r="AE1668">
            <v>11676.53751</v>
          </cell>
          <cell r="AF1668">
            <v>12003.49151</v>
          </cell>
          <cell r="AG1668">
            <v>12341.107190000001</v>
          </cell>
          <cell r="AH1668">
            <v>12689.913710000001</v>
          </cell>
          <cell r="AI1668">
            <v>13048.64351</v>
          </cell>
          <cell r="AJ1668">
            <v>13414.71803</v>
          </cell>
          <cell r="AK1668">
            <v>13785.36953</v>
          </cell>
          <cell r="AL1668">
            <v>14158.17211</v>
          </cell>
          <cell r="AM1668">
            <v>14530.98006</v>
          </cell>
          <cell r="AN1668">
            <v>14901.806119999999</v>
          </cell>
          <cell r="AO1668">
            <v>15268.73122</v>
          </cell>
        </row>
        <row r="1702">
          <cell r="F1702">
            <v>1207544.8959999999</v>
          </cell>
          <cell r="G1702">
            <v>1220478.429</v>
          </cell>
          <cell r="H1702">
            <v>1241413.9040000001</v>
          </cell>
          <cell r="I1702">
            <v>1263688.9029999999</v>
          </cell>
          <cell r="J1702">
            <v>1284646.304</v>
          </cell>
          <cell r="K1702">
            <v>1304975.912</v>
          </cell>
          <cell r="L1702">
            <v>1324842.966</v>
          </cell>
          <cell r="M1702">
            <v>1343965.253</v>
          </cell>
          <cell r="N1702">
            <v>1362764.645</v>
          </cell>
          <cell r="O1702">
            <v>1383704.0279999999</v>
          </cell>
          <cell r="P1702">
            <v>1407353.9669999999</v>
          </cell>
          <cell r="Q1702">
            <v>1433374.304</v>
          </cell>
          <cell r="R1702">
            <v>1461861.632</v>
          </cell>
          <cell r="S1702">
            <v>1491851.601</v>
          </cell>
          <cell r="T1702">
            <v>1522504.4169999999</v>
          </cell>
          <cell r="U1702">
            <v>1553326.0349999999</v>
          </cell>
          <cell r="V1702">
            <v>1584850.551</v>
          </cell>
          <cell r="W1702">
            <v>1616390.308</v>
          </cell>
          <cell r="X1702">
            <v>1647916.9380000001</v>
          </cell>
          <cell r="Y1702">
            <v>1679582.81</v>
          </cell>
          <cell r="Z1702">
            <v>1711576.976</v>
          </cell>
          <cell r="AA1702">
            <v>1744032.65</v>
          </cell>
          <cell r="AB1702">
            <v>1777115.443</v>
          </cell>
          <cell r="AC1702">
            <v>1811078.351</v>
          </cell>
          <cell r="AD1702">
            <v>1846085.08</v>
          </cell>
          <cell r="AE1702">
            <v>1882264.2080000001</v>
          </cell>
          <cell r="AF1702">
            <v>1919492.402</v>
          </cell>
          <cell r="AG1702">
            <v>1957722.375</v>
          </cell>
          <cell r="AH1702">
            <v>1997311.6850000001</v>
          </cell>
          <cell r="AI1702">
            <v>2038659.6459999999</v>
          </cell>
          <cell r="AJ1702">
            <v>2081962.2709999999</v>
          </cell>
          <cell r="AK1702">
            <v>2127108.2009999999</v>
          </cell>
          <cell r="AL1702">
            <v>2173845.3769999999</v>
          </cell>
          <cell r="AM1702">
            <v>2222035.2250000001</v>
          </cell>
          <cell r="AN1702">
            <v>2271550.3250000002</v>
          </cell>
          <cell r="AO1702">
            <v>2322226.077</v>
          </cell>
        </row>
        <row r="1731">
          <cell r="F1731">
            <v>1207544.8959999999</v>
          </cell>
          <cell r="G1731">
            <v>1220478.429</v>
          </cell>
          <cell r="H1731">
            <v>1241413.9040000001</v>
          </cell>
          <cell r="I1731">
            <v>1263688.9029999999</v>
          </cell>
          <cell r="J1731">
            <v>1284646.304</v>
          </cell>
          <cell r="K1731">
            <v>1304975.912</v>
          </cell>
          <cell r="L1731">
            <v>1323568.6950000001</v>
          </cell>
          <cell r="M1731">
            <v>1341514.395</v>
          </cell>
          <cell r="N1731">
            <v>1359786.4029999999</v>
          </cell>
          <cell r="O1731">
            <v>1378997.1680000001</v>
          </cell>
          <cell r="P1731">
            <v>1399453.5179999999</v>
          </cell>
          <cell r="Q1731">
            <v>1421367.679</v>
          </cell>
          <cell r="R1731">
            <v>1444723.787</v>
          </cell>
          <cell r="S1731">
            <v>1469128.4</v>
          </cell>
          <cell r="T1731">
            <v>1494168.7819999999</v>
          </cell>
          <cell r="U1731">
            <v>1519564.1029999999</v>
          </cell>
          <cell r="V1731">
            <v>1546460.804</v>
          </cell>
          <cell r="W1731">
            <v>1574429.6229999999</v>
          </cell>
          <cell r="X1731">
            <v>1603080.5930000001</v>
          </cell>
          <cell r="Y1731">
            <v>1632194.3330000001</v>
          </cell>
          <cell r="Z1731">
            <v>1661736.112</v>
          </cell>
          <cell r="AA1731">
            <v>1691810.915</v>
          </cell>
          <cell r="AB1731">
            <v>1722608.3559999999</v>
          </cell>
          <cell r="AC1731">
            <v>1754331.1089999999</v>
          </cell>
          <cell r="AD1731">
            <v>1787102.253</v>
          </cell>
          <cell r="AE1731">
            <v>1821045.602</v>
          </cell>
          <cell r="AF1731">
            <v>1856305.112</v>
          </cell>
          <cell r="AG1731">
            <v>1893093.2660000001</v>
          </cell>
          <cell r="AH1731">
            <v>1931644.926</v>
          </cell>
          <cell r="AI1731">
            <v>1972188.213</v>
          </cell>
          <cell r="AJ1731">
            <v>2014803.9939999999</v>
          </cell>
          <cell r="AK1731">
            <v>2059437.0689999999</v>
          </cell>
          <cell r="AL1731">
            <v>2105942.5249999999</v>
          </cell>
          <cell r="AM1731">
            <v>2154121.9330000002</v>
          </cell>
          <cell r="AN1731">
            <v>2203748.1209999998</v>
          </cell>
          <cell r="AO1731">
            <v>2254577.128</v>
          </cell>
        </row>
        <row r="1760">
          <cell r="F1760">
            <v>1.0018240979999999</v>
          </cell>
          <cell r="G1760">
            <v>1.0198636539999999</v>
          </cell>
          <cell r="H1760">
            <v>1.037421843</v>
          </cell>
          <cell r="I1760">
            <v>1.0558040390000001</v>
          </cell>
          <cell r="J1760">
            <v>1.0727013780000001</v>
          </cell>
          <cell r="K1760">
            <v>1.0897449269999999</v>
          </cell>
          <cell r="L1760">
            <v>1.107704888</v>
          </cell>
          <cell r="M1760">
            <v>1.1357615619999999</v>
          </cell>
          <cell r="N1760">
            <v>1.1637796149999999</v>
          </cell>
          <cell r="O1760">
            <v>1.193770749</v>
          </cell>
          <cell r="P1760">
            <v>1.22573065</v>
          </cell>
          <cell r="Q1760">
            <v>1.255935866</v>
          </cell>
          <cell r="R1760">
            <v>1.285158646</v>
          </cell>
          <cell r="S1760">
            <v>1.31322655</v>
          </cell>
          <cell r="T1760">
            <v>1.3400497810000001</v>
          </cell>
          <cell r="U1760">
            <v>1.365578569</v>
          </cell>
          <cell r="V1760">
            <v>1.390225091</v>
          </cell>
          <cell r="W1760">
            <v>1.414057911</v>
          </cell>
          <cell r="X1760">
            <v>1.4370499240000001</v>
          </cell>
          <cell r="Y1760">
            <v>1.4593050190000001</v>
          </cell>
          <cell r="Z1760">
            <v>1.4809961060000001</v>
          </cell>
          <cell r="AA1760">
            <v>1.502428688</v>
          </cell>
          <cell r="AB1760">
            <v>1.523911434</v>
          </cell>
          <cell r="AC1760">
            <v>1.545639196</v>
          </cell>
          <cell r="AD1760">
            <v>1.5679086710000001</v>
          </cell>
          <cell r="AE1760">
            <v>1.5909930619999999</v>
          </cell>
          <cell r="AF1760">
            <v>1.615593517</v>
          </cell>
          <cell r="AG1760">
            <v>1.642342695</v>
          </cell>
          <cell r="AH1760">
            <v>1.67132602</v>
          </cell>
          <cell r="AI1760">
            <v>1.702509303</v>
          </cell>
          <cell r="AJ1760">
            <v>1.7358455290000001</v>
          </cell>
          <cell r="AK1760">
            <v>1.771435101</v>
          </cell>
          <cell r="AL1760">
            <v>1.8093685880000001</v>
          </cell>
          <cell r="AM1760">
            <v>1.8494671579999999</v>
          </cell>
          <cell r="AN1760">
            <v>1.891543083</v>
          </cell>
          <cell r="AO1760">
            <v>1.9354319470000001</v>
          </cell>
        </row>
        <row r="1789">
          <cell r="F1789">
            <v>1.0018240979999999</v>
          </cell>
          <cell r="G1789">
            <v>1.0198636539999999</v>
          </cell>
          <cell r="H1789">
            <v>1.037421843</v>
          </cell>
          <cell r="I1789">
            <v>1.0558040390000001</v>
          </cell>
          <cell r="J1789">
            <v>1.0727013780000001</v>
          </cell>
          <cell r="K1789">
            <v>1.0897449269999999</v>
          </cell>
          <cell r="L1789">
            <v>1.109636938</v>
          </cell>
          <cell r="M1789">
            <v>1.1307954419999999</v>
          </cell>
          <cell r="N1789">
            <v>1.152854949</v>
          </cell>
          <cell r="O1789">
            <v>1.1754689199999999</v>
          </cell>
          <cell r="P1789">
            <v>1.1984660460000001</v>
          </cell>
          <cell r="Q1789">
            <v>1.2215343080000001</v>
          </cell>
          <cell r="R1789">
            <v>1.244361568</v>
          </cell>
          <cell r="S1789">
            <v>1.266611258</v>
          </cell>
          <cell r="T1789">
            <v>1.2881368280000001</v>
          </cell>
          <cell r="U1789">
            <v>1.3089196860000001</v>
          </cell>
          <cell r="V1789">
            <v>1.327047844</v>
          </cell>
          <cell r="W1789">
            <v>1.343785711</v>
          </cell>
          <cell r="X1789">
            <v>1.3596513800000001</v>
          </cell>
          <cell r="Y1789">
            <v>1.3750827940000001</v>
          </cell>
          <cell r="Z1789">
            <v>1.390438633</v>
          </cell>
          <cell r="AA1789">
            <v>1.4060121919999999</v>
          </cell>
          <cell r="AB1789">
            <v>1.422104295</v>
          </cell>
          <cell r="AC1789">
            <v>1.4390378850000001</v>
          </cell>
          <cell r="AD1789">
            <v>1.4572004709999999</v>
          </cell>
          <cell r="AE1789">
            <v>1.4769250780000001</v>
          </cell>
          <cell r="AF1789">
            <v>1.498524322</v>
          </cell>
          <cell r="AG1789">
            <v>1.522273781</v>
          </cell>
          <cell r="AH1789">
            <v>1.5484121710000001</v>
          </cell>
          <cell r="AI1789">
            <v>1.576979095</v>
          </cell>
          <cell r="AJ1789">
            <v>1.6079550810000001</v>
          </cell>
          <cell r="AK1789">
            <v>1.6412548010000001</v>
          </cell>
          <cell r="AL1789">
            <v>1.676750167</v>
          </cell>
          <cell r="AM1789">
            <v>1.714282136</v>
          </cell>
          <cell r="AN1789">
            <v>1.753660717</v>
          </cell>
          <cell r="AO1789">
            <v>1.7946661589999999</v>
          </cell>
        </row>
      </sheetData>
      <sheetData sheetId="7"/>
      <sheetData sheetId="8">
        <row r="820">
          <cell r="B820">
            <v>350.89655829999998</v>
          </cell>
          <cell r="C820">
            <v>351.5896434</v>
          </cell>
          <cell r="D820">
            <v>352.15218390000001</v>
          </cell>
          <cell r="E820">
            <v>352.26143309999998</v>
          </cell>
          <cell r="F820">
            <v>353.10244899999998</v>
          </cell>
          <cell r="G820">
            <v>354.6276818</v>
          </cell>
          <cell r="H820">
            <v>356.1053584</v>
          </cell>
          <cell r="I820">
            <v>357.31055149999997</v>
          </cell>
          <cell r="J820">
            <v>358.09993889999998</v>
          </cell>
          <cell r="K820">
            <v>358.43237699999997</v>
          </cell>
          <cell r="L820">
            <v>358.32119920000002</v>
          </cell>
          <cell r="M820">
            <v>357.82230770000001</v>
          </cell>
          <cell r="N820">
            <v>356.93615829999999</v>
          </cell>
          <cell r="O820">
            <v>355.56068579999999</v>
          </cell>
          <cell r="P820">
            <v>353.93638759999999</v>
          </cell>
          <cell r="Q820">
            <v>352.31874809999999</v>
          </cell>
          <cell r="R820">
            <v>351.07410729999998</v>
          </cell>
          <cell r="S820">
            <v>350.5775567</v>
          </cell>
          <cell r="T820">
            <v>350.90142309999999</v>
          </cell>
          <cell r="U820">
            <v>352.01785690000003</v>
          </cell>
          <cell r="V820">
            <v>353.8866281</v>
          </cell>
          <cell r="W820">
            <v>356.46564499999999</v>
          </cell>
          <cell r="X820">
            <v>359.7410241</v>
          </cell>
          <cell r="Y820">
            <v>363.69472029999997</v>
          </cell>
          <cell r="Z820">
            <v>368.29110379999997</v>
          </cell>
          <cell r="AA820">
            <v>373.50803639999998</v>
          </cell>
          <cell r="AB820">
            <v>379.33681819999998</v>
          </cell>
          <cell r="AC820">
            <v>385.7970479</v>
          </cell>
          <cell r="AD820">
            <v>392.8832893</v>
          </cell>
          <cell r="AE820">
            <v>400.51380879999999</v>
          </cell>
          <cell r="AF820">
            <v>408.57235580000003</v>
          </cell>
          <cell r="AG820">
            <v>416.95809209999999</v>
          </cell>
          <cell r="AH820">
            <v>425.59461829999998</v>
          </cell>
          <cell r="AI820">
            <v>434.41786839999997</v>
          </cell>
          <cell r="AJ820">
            <v>443.3696243</v>
          </cell>
          <cell r="AK820">
            <v>452.39377239999999</v>
          </cell>
        </row>
        <row r="821">
          <cell r="B821">
            <v>183.68613199999999</v>
          </cell>
          <cell r="C821">
            <v>184.06782709999999</v>
          </cell>
          <cell r="D821">
            <v>184.53971609999999</v>
          </cell>
          <cell r="E821">
            <v>184.7233166</v>
          </cell>
          <cell r="F821">
            <v>185.5198341</v>
          </cell>
          <cell r="G821">
            <v>186.91034099999999</v>
          </cell>
          <cell r="H821">
            <v>188.45646919999999</v>
          </cell>
          <cell r="I821">
            <v>190.0034584</v>
          </cell>
          <cell r="J821">
            <v>191.47565589999999</v>
          </cell>
          <cell r="K821">
            <v>192.8877961</v>
          </cell>
          <cell r="L821">
            <v>194.27913240000001</v>
          </cell>
          <cell r="M821">
            <v>195.68374829999999</v>
          </cell>
          <cell r="N821">
            <v>197.05533</v>
          </cell>
          <cell r="O821">
            <v>198.24272769999999</v>
          </cell>
          <cell r="P821">
            <v>199.33596650000001</v>
          </cell>
          <cell r="Q821">
            <v>200.44363970000001</v>
          </cell>
          <cell r="R821">
            <v>201.76821190000001</v>
          </cell>
          <cell r="S821">
            <v>203.5612883</v>
          </cell>
          <cell r="T821">
            <v>205.8666322</v>
          </cell>
          <cell r="U821">
            <v>208.66153439999999</v>
          </cell>
          <cell r="V821">
            <v>211.91611940000001</v>
          </cell>
          <cell r="W821">
            <v>215.60084689999999</v>
          </cell>
          <cell r="X821">
            <v>219.70887519999999</v>
          </cell>
          <cell r="Y821">
            <v>224.23213200000001</v>
          </cell>
          <cell r="Z821">
            <v>229.15123539999999</v>
          </cell>
          <cell r="AA821">
            <v>234.4558548</v>
          </cell>
          <cell r="AB821">
            <v>240.14487410000001</v>
          </cell>
          <cell r="AC821">
            <v>246.23788920000001</v>
          </cell>
          <cell r="AD821">
            <v>252.73556099999999</v>
          </cell>
          <cell r="AE821">
            <v>259.58059919999999</v>
          </cell>
          <cell r="AF821">
            <v>266.6882951</v>
          </cell>
          <cell r="AG821">
            <v>273.98380600000002</v>
          </cell>
          <cell r="AH821">
            <v>281.40998480000002</v>
          </cell>
          <cell r="AI821">
            <v>288.91891829999997</v>
          </cell>
          <cell r="AJ821">
            <v>296.46726360000002</v>
          </cell>
          <cell r="AK821">
            <v>304.01363329999998</v>
          </cell>
        </row>
        <row r="822">
          <cell r="B822">
            <v>2.749112996</v>
          </cell>
          <cell r="C822">
            <v>2.7310493550000001</v>
          </cell>
          <cell r="D822">
            <v>2.729500442</v>
          </cell>
          <cell r="E822">
            <v>2.7478887360000002</v>
          </cell>
          <cell r="F822">
            <v>2.7775226599999998</v>
          </cell>
          <cell r="G822">
            <v>2.8142607810000002</v>
          </cell>
          <cell r="H822">
            <v>2.8542400730000002</v>
          </cell>
          <cell r="I822">
            <v>2.8957760430000001</v>
          </cell>
          <cell r="J822">
            <v>2.938702916</v>
          </cell>
          <cell r="K822">
            <v>2.9833479390000002</v>
          </cell>
          <cell r="L822">
            <v>3.0300711900000001</v>
          </cell>
          <cell r="M822">
            <v>3.079089309</v>
          </cell>
          <cell r="N822">
            <v>3.1293676330000002</v>
          </cell>
          <cell r="O822">
            <v>3.1782960230000001</v>
          </cell>
          <cell r="P822">
            <v>3.226910728</v>
          </cell>
          <cell r="Q822">
            <v>3.2762554110000002</v>
          </cell>
          <cell r="R822">
            <v>3.3284522760000002</v>
          </cell>
          <cell r="S822">
            <v>3.3849367149999998</v>
          </cell>
          <cell r="T822">
            <v>3.4461489539999999</v>
          </cell>
          <cell r="U822">
            <v>3.5119408860000001</v>
          </cell>
          <cell r="V822">
            <v>3.5822586379999999</v>
          </cell>
          <cell r="W822">
            <v>3.6571076740000001</v>
          </cell>
          <cell r="X822">
            <v>3.736902401</v>
          </cell>
          <cell r="Y822">
            <v>3.8219261690000002</v>
          </cell>
          <cell r="Z822">
            <v>3.9121176709999999</v>
          </cell>
          <cell r="AA822">
            <v>4.0075305859999997</v>
          </cell>
          <cell r="AB822">
            <v>4.1083499200000002</v>
          </cell>
          <cell r="AC822">
            <v>4.2151797929999999</v>
          </cell>
          <cell r="AD822">
            <v>4.328211295</v>
          </cell>
          <cell r="AE822">
            <v>4.4467146299999998</v>
          </cell>
          <cell r="AF822">
            <v>4.569537994</v>
          </cell>
          <cell r="AG822">
            <v>4.6957328890000003</v>
          </cell>
          <cell r="AH822">
            <v>4.8246469440000004</v>
          </cell>
          <cell r="AI822">
            <v>4.9557139010000002</v>
          </cell>
          <cell r="AJ822">
            <v>5.0883773310000002</v>
          </cell>
          <cell r="AK822">
            <v>5.2220551759999996</v>
          </cell>
        </row>
        <row r="823">
          <cell r="B823">
            <v>49.149386380000003</v>
          </cell>
          <cell r="C823">
            <v>50.13045709</v>
          </cell>
          <cell r="D823">
            <v>51.188193910000003</v>
          </cell>
          <cell r="E823">
            <v>52.087579689999998</v>
          </cell>
          <cell r="F823">
            <v>52.867890590000002</v>
          </cell>
          <cell r="G823">
            <v>53.61539037</v>
          </cell>
          <cell r="H823">
            <v>54.355138189999998</v>
          </cell>
          <cell r="I823">
            <v>55.097328670000003</v>
          </cell>
          <cell r="J823">
            <v>55.844085679999999</v>
          </cell>
          <cell r="K823">
            <v>56.596239179999998</v>
          </cell>
          <cell r="L823">
            <v>57.355610300000002</v>
          </cell>
          <cell r="M823">
            <v>58.123608869999998</v>
          </cell>
          <cell r="N823">
            <v>58.877695410000001</v>
          </cell>
          <cell r="O823">
            <v>59.564211329999999</v>
          </cell>
          <cell r="P823">
            <v>60.214779980000003</v>
          </cell>
          <cell r="Q823">
            <v>60.867031869999998</v>
          </cell>
          <cell r="R823">
            <v>61.507333619999997</v>
          </cell>
          <cell r="S823">
            <v>62.220210880000003</v>
          </cell>
          <cell r="T823">
            <v>63.026493170000002</v>
          </cell>
          <cell r="U823">
            <v>63.929045080000002</v>
          </cell>
          <cell r="V823">
            <v>64.929575940000007</v>
          </cell>
          <cell r="W823">
            <v>66.028962980000003</v>
          </cell>
          <cell r="X823">
            <v>67.233085700000004</v>
          </cell>
          <cell r="Y823">
            <v>68.544285060000007</v>
          </cell>
          <cell r="Z823">
            <v>69.958744190000004</v>
          </cell>
          <cell r="AA823">
            <v>71.475378269999993</v>
          </cell>
          <cell r="AB823">
            <v>73.095971180000006</v>
          </cell>
          <cell r="AC823">
            <v>74.828532760000002</v>
          </cell>
          <cell r="AD823">
            <v>76.674548470000005</v>
          </cell>
          <cell r="AE823">
            <v>78.617251569999993</v>
          </cell>
          <cell r="AF823">
            <v>80.632674730000005</v>
          </cell>
          <cell r="AG823">
            <v>82.701860719999999</v>
          </cell>
          <cell r="AH823">
            <v>84.812070879999993</v>
          </cell>
          <cell r="AI823">
            <v>86.95333522</v>
          </cell>
          <cell r="AJ823">
            <v>89.116666620000004</v>
          </cell>
          <cell r="AK823">
            <v>91.293131849999995</v>
          </cell>
        </row>
        <row r="824">
          <cell r="B824">
            <v>115.311927</v>
          </cell>
          <cell r="C824">
            <v>114.66030979999999</v>
          </cell>
          <cell r="D824">
            <v>113.6947734</v>
          </cell>
          <cell r="E824">
            <v>112.7026481</v>
          </cell>
          <cell r="F824">
            <v>111.9372017</v>
          </cell>
          <cell r="G824">
            <v>111.2876897</v>
          </cell>
          <cell r="H824">
            <v>110.4395109</v>
          </cell>
          <cell r="I824">
            <v>109.3139884</v>
          </cell>
          <cell r="J824">
            <v>107.8414944</v>
          </cell>
          <cell r="K824">
            <v>105.9649938</v>
          </cell>
          <cell r="L824">
            <v>103.6563853</v>
          </cell>
          <cell r="M824">
            <v>100.93586120000001</v>
          </cell>
          <cell r="N824">
            <v>97.873765280000001</v>
          </cell>
          <cell r="O824">
            <v>94.575450689999997</v>
          </cell>
          <cell r="P824">
            <v>91.158730399999996</v>
          </cell>
          <cell r="Q824">
            <v>87.731821089999997</v>
          </cell>
          <cell r="R824">
            <v>84.470109550000004</v>
          </cell>
          <cell r="S824">
            <v>81.411120800000006</v>
          </cell>
          <cell r="T824">
            <v>78.562148710000002</v>
          </cell>
          <cell r="U824">
            <v>75.915336569999994</v>
          </cell>
          <cell r="V824">
            <v>73.458674079999994</v>
          </cell>
          <cell r="W824">
            <v>71.178727460000005</v>
          </cell>
          <cell r="X824">
            <v>69.062160809999995</v>
          </cell>
          <cell r="Y824">
            <v>67.096377029999999</v>
          </cell>
          <cell r="Z824">
            <v>65.269006559999994</v>
          </cell>
          <cell r="AA824">
            <v>63.5692728</v>
          </cell>
          <cell r="AB824">
            <v>61.987622940000001</v>
          </cell>
          <cell r="AC824">
            <v>60.515446130000001</v>
          </cell>
          <cell r="AD824">
            <v>59.144968550000002</v>
          </cell>
          <cell r="AE824">
            <v>57.869243439999998</v>
          </cell>
          <cell r="AF824">
            <v>56.68184797</v>
          </cell>
          <cell r="AG824">
            <v>55.576692510000001</v>
          </cell>
          <cell r="AH824">
            <v>54.54791573</v>
          </cell>
          <cell r="AI824">
            <v>53.58990094</v>
          </cell>
          <cell r="AJ824">
            <v>52.69731676</v>
          </cell>
          <cell r="AK824">
            <v>51.864952099999996</v>
          </cell>
        </row>
        <row r="825">
          <cell r="B825">
            <v>350.89655829999998</v>
          </cell>
          <cell r="C825">
            <v>351.5896434</v>
          </cell>
          <cell r="D825">
            <v>352.15218390000001</v>
          </cell>
          <cell r="E825">
            <v>352.26143309999998</v>
          </cell>
          <cell r="F825">
            <v>353.10244899999998</v>
          </cell>
          <cell r="G825">
            <v>354.6276818</v>
          </cell>
          <cell r="H825">
            <v>356.6039864</v>
          </cell>
          <cell r="I825">
            <v>348.10812950000002</v>
          </cell>
          <cell r="J825">
            <v>338.53167139999999</v>
          </cell>
          <cell r="K825">
            <v>329.1542887</v>
          </cell>
          <cell r="L825">
            <v>319.30754239999999</v>
          </cell>
          <cell r="M825">
            <v>309.7142551</v>
          </cell>
          <cell r="N825">
            <v>300.31340290000003</v>
          </cell>
          <cell r="O825">
            <v>291.08901090000001</v>
          </cell>
          <cell r="P825">
            <v>282.26026530000001</v>
          </cell>
          <cell r="Q825">
            <v>273.9394542</v>
          </cell>
          <cell r="R825">
            <v>266.09419159999999</v>
          </cell>
          <cell r="S825">
            <v>258.67298790000001</v>
          </cell>
          <cell r="T825">
            <v>251.69947239999999</v>
          </cell>
          <cell r="U825">
            <v>245.1726687</v>
          </cell>
          <cell r="V825">
            <v>239.0855449</v>
          </cell>
          <cell r="W825">
            <v>233.42757180000001</v>
          </cell>
          <cell r="X825">
            <v>228.19197610000001</v>
          </cell>
          <cell r="Y825">
            <v>223.34490740000001</v>
          </cell>
          <cell r="Z825">
            <v>218.8338522</v>
          </cell>
          <cell r="AA825">
            <v>214.61155629999999</v>
          </cell>
          <cell r="AB825">
            <v>210.65332040000001</v>
          </cell>
          <cell r="AC825">
            <v>206.9582273</v>
          </cell>
          <cell r="AD825">
            <v>203.47686469999999</v>
          </cell>
          <cell r="AE825">
            <v>200.11339390000001</v>
          </cell>
          <cell r="AF825">
            <v>196.76095720000001</v>
          </cell>
          <cell r="AG825">
            <v>193.3366939</v>
          </cell>
          <cell r="AH825">
            <v>189.7763305</v>
          </cell>
          <cell r="AI825">
            <v>186.01100299999999</v>
          </cell>
          <cell r="AJ825">
            <v>181.9691315</v>
          </cell>
          <cell r="AK825">
            <v>177.57446379999999</v>
          </cell>
        </row>
        <row r="826">
          <cell r="B826">
            <v>183.68613199999999</v>
          </cell>
          <cell r="C826">
            <v>184.06782709999999</v>
          </cell>
          <cell r="D826">
            <v>184.53971609999999</v>
          </cell>
          <cell r="E826">
            <v>184.7233166</v>
          </cell>
          <cell r="F826">
            <v>185.5198341</v>
          </cell>
          <cell r="G826">
            <v>186.91034099999999</v>
          </cell>
          <cell r="H826">
            <v>188.75390999999999</v>
          </cell>
          <cell r="I826">
            <v>183.57958450000001</v>
          </cell>
          <cell r="J826">
            <v>177.73783750000001</v>
          </cell>
          <cell r="K826">
            <v>172.42850899999999</v>
          </cell>
          <cell r="L826">
            <v>167.2236183</v>
          </cell>
          <cell r="M826">
            <v>162.55898120000001</v>
          </cell>
          <cell r="N826">
            <v>158.18008750000001</v>
          </cell>
          <cell r="O826">
            <v>153.88150150000001</v>
          </cell>
          <cell r="P826">
            <v>149.69323170000001</v>
          </cell>
          <cell r="Q826">
            <v>145.6292828</v>
          </cell>
          <cell r="R826">
            <v>141.58151530000001</v>
          </cell>
          <cell r="S826">
            <v>137.55715269999999</v>
          </cell>
          <cell r="T826">
            <v>133.60017010000001</v>
          </cell>
          <cell r="U826">
            <v>129.7312814</v>
          </cell>
          <cell r="V826">
            <v>125.9619704</v>
          </cell>
          <cell r="W826">
            <v>122.297062</v>
          </cell>
          <cell r="X826">
            <v>118.74010989999999</v>
          </cell>
          <cell r="Y826">
            <v>115.27451120000001</v>
          </cell>
          <cell r="Z826">
            <v>111.8693231</v>
          </cell>
          <cell r="AA826">
            <v>108.49481110000001</v>
          </cell>
          <cell r="AB826">
            <v>105.14173270000001</v>
          </cell>
          <cell r="AC826">
            <v>101.8021377</v>
          </cell>
          <cell r="AD826">
            <v>98.436530550000001</v>
          </cell>
          <cell r="AE826">
            <v>94.976795949999996</v>
          </cell>
          <cell r="AF826">
            <v>91.349063279999996</v>
          </cell>
          <cell r="AG826">
            <v>87.494399290000004</v>
          </cell>
          <cell r="AH826">
            <v>83.363527619999999</v>
          </cell>
          <cell r="AI826">
            <v>78.901291850000007</v>
          </cell>
          <cell r="AJ826">
            <v>74.047920700000006</v>
          </cell>
          <cell r="AK826">
            <v>68.736675430000005</v>
          </cell>
        </row>
        <row r="827">
          <cell r="B827">
            <v>2.749112996</v>
          </cell>
          <cell r="C827">
            <v>2.7310493550000001</v>
          </cell>
          <cell r="D827">
            <v>2.729500442</v>
          </cell>
          <cell r="E827">
            <v>2.7478887360000002</v>
          </cell>
          <cell r="F827">
            <v>2.7775226599999998</v>
          </cell>
          <cell r="G827">
            <v>2.8142607810000002</v>
          </cell>
          <cell r="H827">
            <v>2.8554515980000001</v>
          </cell>
          <cell r="I827">
            <v>2.8889392580000002</v>
          </cell>
          <cell r="J827">
            <v>2.921507064</v>
          </cell>
          <cell r="K827">
            <v>2.9672289489999999</v>
          </cell>
          <cell r="L827">
            <v>3.0153070230000001</v>
          </cell>
          <cell r="M827">
            <v>3.064633089</v>
          </cell>
          <cell r="N827">
            <v>3.115723553</v>
          </cell>
          <cell r="O827">
            <v>3.166722252</v>
          </cell>
          <cell r="P827">
            <v>3.2189678399999999</v>
          </cell>
          <cell r="Q827">
            <v>3.2729034819999998</v>
          </cell>
          <cell r="R827">
            <v>3.329288166</v>
          </cell>
          <cell r="S827">
            <v>3.387739802</v>
          </cell>
          <cell r="T827">
            <v>3.4488195400000001</v>
          </cell>
          <cell r="U827">
            <v>3.5130113189999999</v>
          </cell>
          <cell r="V827">
            <v>3.5808597290000002</v>
          </cell>
          <cell r="W827">
            <v>3.6527630109999998</v>
          </cell>
          <cell r="X827">
            <v>3.7293394160000002</v>
          </cell>
          <cell r="Y827">
            <v>3.8110113590000001</v>
          </cell>
          <cell r="Z827">
            <v>3.897826947</v>
          </cell>
          <cell r="AA827">
            <v>3.9899023329999999</v>
          </cell>
          <cell r="AB827">
            <v>4.0867126770000004</v>
          </cell>
          <cell r="AC827">
            <v>4.1893497689999997</v>
          </cell>
          <cell r="AD827">
            <v>4.298100915</v>
          </cell>
          <cell r="AE827">
            <v>4.4124344850000004</v>
          </cell>
          <cell r="AF827">
            <v>4.5314055800000004</v>
          </cell>
          <cell r="AG827">
            <v>4.6541803540000002</v>
          </cell>
          <cell r="AH827">
            <v>4.780154188</v>
          </cell>
          <cell r="AI827">
            <v>4.9088348379999998</v>
          </cell>
          <cell r="AJ827">
            <v>5.0397620319999996</v>
          </cell>
          <cell r="AK827">
            <v>5.1724313239999997</v>
          </cell>
        </row>
        <row r="828">
          <cell r="B828">
            <v>49.149386380000003</v>
          </cell>
          <cell r="C828">
            <v>50.13045709</v>
          </cell>
          <cell r="D828">
            <v>51.188193910000003</v>
          </cell>
          <cell r="E828">
            <v>52.087579689999998</v>
          </cell>
          <cell r="F828">
            <v>52.867890590000002</v>
          </cell>
          <cell r="G828">
            <v>53.61539037</v>
          </cell>
          <cell r="H828">
            <v>54.377835939999997</v>
          </cell>
          <cell r="I828">
            <v>55.493974350000002</v>
          </cell>
          <cell r="J828">
            <v>56.608231670000002</v>
          </cell>
          <cell r="K828">
            <v>57.901835509999998</v>
          </cell>
          <cell r="L828">
            <v>59.147510619999998</v>
          </cell>
          <cell r="M828">
            <v>60.307929979999997</v>
          </cell>
          <cell r="N828">
            <v>61.34758454</v>
          </cell>
          <cell r="O828">
            <v>62.251839230000002</v>
          </cell>
          <cell r="P828">
            <v>63.084399830000002</v>
          </cell>
          <cell r="Q828">
            <v>63.89064836</v>
          </cell>
          <cell r="R828">
            <v>64.77247217</v>
          </cell>
          <cell r="S828">
            <v>65.679482960000001</v>
          </cell>
          <cell r="T828">
            <v>66.616931039999997</v>
          </cell>
          <cell r="U828">
            <v>67.591426560000002</v>
          </cell>
          <cell r="V828">
            <v>68.612526990000006</v>
          </cell>
          <cell r="W828">
            <v>69.690611880000006</v>
          </cell>
          <cell r="X828">
            <v>70.839353389999999</v>
          </cell>
          <cell r="Y828">
            <v>72.065778420000001</v>
          </cell>
          <cell r="Z828">
            <v>73.369813399999998</v>
          </cell>
          <cell r="AA828">
            <v>74.753281130000005</v>
          </cell>
          <cell r="AB828">
            <v>76.21898813</v>
          </cell>
          <cell r="AC828">
            <v>77.789317409999995</v>
          </cell>
          <cell r="AD828">
            <v>79.469300430000004</v>
          </cell>
          <cell r="AE828">
            <v>81.245614270000004</v>
          </cell>
          <cell r="AF828">
            <v>83.098738609999998</v>
          </cell>
          <cell r="AG828">
            <v>85.016845520000004</v>
          </cell>
          <cell r="AH828">
            <v>86.995814530000004</v>
          </cell>
          <cell r="AI828">
            <v>89.031948610000001</v>
          </cell>
          <cell r="AJ828">
            <v>91.122693220000002</v>
          </cell>
          <cell r="AK828">
            <v>93.267234380000005</v>
          </cell>
        </row>
        <row r="829">
          <cell r="B829">
            <v>115.311927</v>
          </cell>
          <cell r="C829">
            <v>114.66030979999999</v>
          </cell>
          <cell r="D829">
            <v>113.6947734</v>
          </cell>
          <cell r="E829">
            <v>112.7026481</v>
          </cell>
          <cell r="F829">
            <v>111.9372017</v>
          </cell>
          <cell r="G829">
            <v>111.2876897</v>
          </cell>
          <cell r="H829">
            <v>110.6167889</v>
          </cell>
          <cell r="I829">
            <v>106.1456314</v>
          </cell>
          <cell r="J829">
            <v>101.2640952</v>
          </cell>
          <cell r="K829">
            <v>95.856715260000001</v>
          </cell>
          <cell r="L829">
            <v>89.921106449999996</v>
          </cell>
          <cell r="M829">
            <v>83.782710820000005</v>
          </cell>
          <cell r="N829">
            <v>77.670007319999996</v>
          </cell>
          <cell r="O829">
            <v>71.78894794</v>
          </cell>
          <cell r="P829">
            <v>66.263665979999999</v>
          </cell>
          <cell r="Q829">
            <v>61.146619540000003</v>
          </cell>
          <cell r="R829">
            <v>56.410916020000002</v>
          </cell>
          <cell r="S829">
            <v>52.048612409999997</v>
          </cell>
          <cell r="T829">
            <v>48.033551760000002</v>
          </cell>
          <cell r="U829">
            <v>44.336949359999998</v>
          </cell>
          <cell r="V829">
            <v>40.930187779999997</v>
          </cell>
          <cell r="W829">
            <v>37.787134870000003</v>
          </cell>
          <cell r="X829">
            <v>34.883173470000003</v>
          </cell>
          <cell r="Y829">
            <v>32.1936064</v>
          </cell>
          <cell r="Z829">
            <v>29.69688876</v>
          </cell>
          <cell r="AA829">
            <v>27.3735617</v>
          </cell>
          <cell r="AB829">
            <v>25.20588691</v>
          </cell>
          <cell r="AC829">
            <v>23.17742243</v>
          </cell>
          <cell r="AD829">
            <v>21.27293281</v>
          </cell>
          <cell r="AE829">
            <v>19.478549170000001</v>
          </cell>
          <cell r="AF829">
            <v>17.781749699999999</v>
          </cell>
          <cell r="AG829">
            <v>16.171268770000001</v>
          </cell>
          <cell r="AH829">
            <v>14.636834179999999</v>
          </cell>
          <cell r="AI829">
            <v>13.168927699999999</v>
          </cell>
          <cell r="AJ829">
            <v>11.75875557</v>
          </cell>
          <cell r="AK829">
            <v>10.39812264</v>
          </cell>
        </row>
        <row r="830">
          <cell r="A830" t="str">
            <v>ems_ci_co2_sagr_2</v>
          </cell>
          <cell r="B830">
            <v>11.80637836</v>
          </cell>
          <cell r="C830">
            <v>11.575444640000001</v>
          </cell>
          <cell r="D830">
            <v>11.360748320000001</v>
          </cell>
          <cell r="E830">
            <v>11.194046999999999</v>
          </cell>
          <cell r="F830">
            <v>11.13013726</v>
          </cell>
          <cell r="G830">
            <v>11.143240990000001</v>
          </cell>
          <cell r="H830">
            <v>11.19787204</v>
          </cell>
          <cell r="I830">
            <v>10.6904193</v>
          </cell>
          <cell r="J830">
            <v>10.1204728</v>
          </cell>
          <cell r="K830">
            <v>9.5825125349999993</v>
          </cell>
          <cell r="L830">
            <v>9.0668659649999999</v>
          </cell>
          <cell r="M830">
            <v>8.6213268700000008</v>
          </cell>
          <cell r="N830">
            <v>8.2326135209999993</v>
          </cell>
          <cell r="O830">
            <v>7.8826523169999998</v>
          </cell>
          <cell r="P830">
            <v>7.5646678459999999</v>
          </cell>
          <cell r="Q830">
            <v>7.272597932</v>
          </cell>
          <cell r="R830">
            <v>6.992953118</v>
          </cell>
          <cell r="S830">
            <v>6.7253405219999998</v>
          </cell>
          <cell r="T830">
            <v>6.4703488260000004</v>
          </cell>
          <cell r="U830">
            <v>6.2276609470000004</v>
          </cell>
          <cell r="V830">
            <v>5.9965498669999997</v>
          </cell>
          <cell r="W830">
            <v>5.7758743560000001</v>
          </cell>
          <cell r="X830">
            <v>5.5645273480000004</v>
          </cell>
          <cell r="Y830">
            <v>5.3606785849999996</v>
          </cell>
          <cell r="Z830">
            <v>5.1619064699999999</v>
          </cell>
          <cell r="AA830">
            <v>4.9657384330000003</v>
          </cell>
          <cell r="AB830">
            <v>4.7692709090000003</v>
          </cell>
          <cell r="AC830">
            <v>4.571358397</v>
          </cell>
          <cell r="AD830">
            <v>4.3689000910000004</v>
          </cell>
          <cell r="AE830">
            <v>4.157492661</v>
          </cell>
          <cell r="AF830">
            <v>3.9324286339999999</v>
          </cell>
          <cell r="AG830">
            <v>3.6894759220000002</v>
          </cell>
          <cell r="AH830">
            <v>3.4247099849999998</v>
          </cell>
          <cell r="AI830">
            <v>3.1339953249999999</v>
          </cell>
          <cell r="AJ830">
            <v>2.8129591110000001</v>
          </cell>
          <cell r="AK830">
            <v>2.456809421</v>
          </cell>
        </row>
        <row r="831">
          <cell r="A831" t="str">
            <v>ems_y_co2_sagr_2</v>
          </cell>
          <cell r="B831">
            <v>2.3457487299999999</v>
          </cell>
          <cell r="C831">
            <v>2.3251276540000001</v>
          </cell>
          <cell r="D831">
            <v>2.3192842819999999</v>
          </cell>
          <cell r="E831">
            <v>2.3317011170000002</v>
          </cell>
          <cell r="F831">
            <v>2.3546577609999999</v>
          </cell>
          <cell r="G831">
            <v>2.384310325</v>
          </cell>
          <cell r="H831">
            <v>2.418178814</v>
          </cell>
          <cell r="I831">
            <v>2.445333003</v>
          </cell>
          <cell r="J831">
            <v>2.4716592460000002</v>
          </cell>
          <cell r="K831">
            <v>2.5092846070000001</v>
          </cell>
          <cell r="L831">
            <v>2.5487459139999999</v>
          </cell>
          <cell r="M831">
            <v>2.589228979</v>
          </cell>
          <cell r="N831">
            <v>2.6313185589999999</v>
          </cell>
          <cell r="O831">
            <v>2.6734612260000001</v>
          </cell>
          <cell r="P831">
            <v>2.7168234610000002</v>
          </cell>
          <cell r="Q831">
            <v>2.761749182</v>
          </cell>
          <cell r="R831">
            <v>2.8089723430000002</v>
          </cell>
          <cell r="S831">
            <v>2.858002081</v>
          </cell>
          <cell r="T831">
            <v>2.909305872</v>
          </cell>
          <cell r="U831">
            <v>2.9632957879999999</v>
          </cell>
          <cell r="V831">
            <v>3.0204405059999999</v>
          </cell>
          <cell r="W831">
            <v>3.081081202</v>
          </cell>
          <cell r="X831">
            <v>3.145751953</v>
          </cell>
          <cell r="Y831">
            <v>3.214813736</v>
          </cell>
          <cell r="Z831">
            <v>3.288303456</v>
          </cell>
          <cell r="AA831">
            <v>3.3663210819999998</v>
          </cell>
          <cell r="AB831">
            <v>3.4483104550000001</v>
          </cell>
          <cell r="AC831">
            <v>3.535312926</v>
          </cell>
          <cell r="AD831">
            <v>3.6275733020000001</v>
          </cell>
          <cell r="AE831">
            <v>3.7246194500000001</v>
          </cell>
          <cell r="AF831">
            <v>3.8256274289999999</v>
          </cell>
          <cell r="AG831">
            <v>3.9298793879999998</v>
          </cell>
          <cell r="AH831">
            <v>4.0368596739999996</v>
          </cell>
          <cell r="AI831">
            <v>4.1461464570000004</v>
          </cell>
          <cell r="AJ831">
            <v>4.2573444360000003</v>
          </cell>
          <cell r="AK831">
            <v>4.3700181599999999</v>
          </cell>
        </row>
        <row r="832">
          <cell r="A832" t="str">
            <v>ems_mat_co2_sagr_2</v>
          </cell>
          <cell r="B832">
            <v>0</v>
          </cell>
          <cell r="C832">
            <v>0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0</v>
          </cell>
          <cell r="Y832">
            <v>0</v>
          </cell>
          <cell r="Z832">
            <v>0</v>
          </cell>
          <cell r="AA832">
            <v>0</v>
          </cell>
          <cell r="AB832">
            <v>0</v>
          </cell>
          <cell r="AC832">
            <v>0</v>
          </cell>
          <cell r="AD832">
            <v>0</v>
          </cell>
          <cell r="AE832">
            <v>0</v>
          </cell>
          <cell r="AF832">
            <v>0</v>
          </cell>
          <cell r="AG832">
            <v>0</v>
          </cell>
          <cell r="AH832">
            <v>0</v>
          </cell>
          <cell r="AI832">
            <v>0</v>
          </cell>
          <cell r="AJ832">
            <v>0</v>
          </cell>
          <cell r="AK832">
            <v>0</v>
          </cell>
        </row>
        <row r="833">
          <cell r="A833" t="str">
            <v>ems_ci_co2_sfor_2</v>
          </cell>
          <cell r="B833">
            <v>0.50982053059999999</v>
          </cell>
          <cell r="C833">
            <v>0.484554331</v>
          </cell>
          <cell r="D833">
            <v>0.4590019367</v>
          </cell>
          <cell r="E833">
            <v>0.43318517550000002</v>
          </cell>
          <cell r="F833">
            <v>0.41547702209999998</v>
          </cell>
          <cell r="G833">
            <v>0.40394792460000001</v>
          </cell>
          <cell r="H833">
            <v>0.39640509200000001</v>
          </cell>
          <cell r="I833">
            <v>0.360679694</v>
          </cell>
          <cell r="J833">
            <v>0.32519192460000002</v>
          </cell>
          <cell r="K833">
            <v>0.29407891470000003</v>
          </cell>
          <cell r="L833">
            <v>0.26672529909999998</v>
          </cell>
          <cell r="M833">
            <v>0.24524212749999999</v>
          </cell>
          <cell r="N833">
            <v>0.22768969189999999</v>
          </cell>
          <cell r="O833">
            <v>0.21277699759999999</v>
          </cell>
          <cell r="P833">
            <v>0.19994971349999999</v>
          </cell>
          <cell r="Q833">
            <v>0.1888238558</v>
          </cell>
          <cell r="R833">
            <v>0.17824942569999999</v>
          </cell>
          <cell r="S833">
            <v>0.16844565180000001</v>
          </cell>
          <cell r="T833">
            <v>0.15948452460000001</v>
          </cell>
          <cell r="U833">
            <v>0.15133400289999999</v>
          </cell>
          <cell r="V833">
            <v>0.14392988609999999</v>
          </cell>
          <cell r="W833">
            <v>0.13720059949999999</v>
          </cell>
          <cell r="X833">
            <v>0.13107531750000001</v>
          </cell>
          <cell r="Y833">
            <v>0.12546019820000001</v>
          </cell>
          <cell r="Z833">
            <v>0.1202514522</v>
          </cell>
          <cell r="AA833">
            <v>0.1153519368</v>
          </cell>
          <cell r="AB833">
            <v>0.1106971078</v>
          </cell>
          <cell r="AC833">
            <v>0.1062327352</v>
          </cell>
          <cell r="AD833">
            <v>0.1018540356</v>
          </cell>
          <cell r="AE833">
            <v>9.7418744400000007E-2</v>
          </cell>
          <cell r="AF833">
            <v>9.2779513899999999E-2</v>
          </cell>
          <cell r="AG833">
            <v>8.7809412500000003E-2</v>
          </cell>
          <cell r="AH833">
            <v>8.2389094199999999E-2</v>
          </cell>
          <cell r="AI833">
            <v>7.6378319099999994E-2</v>
          </cell>
          <cell r="AJ833">
            <v>6.9610885299999994E-2</v>
          </cell>
          <cell r="AK833">
            <v>6.18804934E-2</v>
          </cell>
        </row>
        <row r="834">
          <cell r="A834" t="str">
            <v>ems_y_co2_sfor_2</v>
          </cell>
          <cell r="B834">
            <v>0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  <cell r="Z834">
            <v>0</v>
          </cell>
          <cell r="AA834">
            <v>0</v>
          </cell>
          <cell r="AB834">
            <v>0</v>
          </cell>
          <cell r="AC834">
            <v>0</v>
          </cell>
          <cell r="AD834">
            <v>0</v>
          </cell>
          <cell r="AE834">
            <v>0</v>
          </cell>
          <cell r="AF834">
            <v>0</v>
          </cell>
          <cell r="AG834">
            <v>0</v>
          </cell>
          <cell r="AH834">
            <v>0</v>
          </cell>
          <cell r="AI834">
            <v>0</v>
          </cell>
          <cell r="AJ834">
            <v>0</v>
          </cell>
          <cell r="AK834">
            <v>0</v>
          </cell>
        </row>
        <row r="835">
          <cell r="A835" t="str">
            <v>ems_mat_co2_sfor_2</v>
          </cell>
          <cell r="B835">
            <v>0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0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</row>
        <row r="836">
          <cell r="A836" t="str">
            <v>ems_ci_co2_sfoo_2</v>
          </cell>
          <cell r="B836">
            <v>9.7930422020000005</v>
          </cell>
          <cell r="C836">
            <v>9.6616597629999994</v>
          </cell>
          <cell r="D836">
            <v>9.5539564309999996</v>
          </cell>
          <cell r="E836">
            <v>9.4818029429999999</v>
          </cell>
          <cell r="F836">
            <v>9.4907554330000004</v>
          </cell>
          <cell r="G836">
            <v>9.5550503080000002</v>
          </cell>
          <cell r="H836">
            <v>9.6578049999999998</v>
          </cell>
          <cell r="I836">
            <v>9.3180603679999994</v>
          </cell>
          <cell r="J836">
            <v>8.9276030429999995</v>
          </cell>
          <cell r="K836">
            <v>8.5552444970000003</v>
          </cell>
          <cell r="L836">
            <v>8.1973677850000009</v>
          </cell>
          <cell r="M836">
            <v>7.899783523</v>
          </cell>
          <cell r="N836">
            <v>7.6494678150000004</v>
          </cell>
          <cell r="O836">
            <v>7.4296201499999999</v>
          </cell>
          <cell r="P836">
            <v>7.2323510779999998</v>
          </cell>
          <cell r="Q836">
            <v>7.051581273</v>
          </cell>
          <cell r="R836">
            <v>6.8656308270000004</v>
          </cell>
          <cell r="S836">
            <v>6.6773967179999998</v>
          </cell>
          <cell r="T836">
            <v>6.4908497980000002</v>
          </cell>
          <cell r="U836">
            <v>6.3085145489999999</v>
          </cell>
          <cell r="V836">
            <v>6.1317701180000004</v>
          </cell>
          <cell r="W836">
            <v>5.9609871950000004</v>
          </cell>
          <cell r="X836">
            <v>5.7961770570000004</v>
          </cell>
          <cell r="Y836">
            <v>5.6366287440000002</v>
          </cell>
          <cell r="Z836">
            <v>5.4809574559999996</v>
          </cell>
          <cell r="AA836">
            <v>5.3275819929999999</v>
          </cell>
          <cell r="AB836">
            <v>5.173965065</v>
          </cell>
          <cell r="AC836">
            <v>5.0196515420000001</v>
          </cell>
          <cell r="AD836">
            <v>4.8625905810000001</v>
          </cell>
          <cell r="AE836">
            <v>4.6997546049999999</v>
          </cell>
          <cell r="AF836">
            <v>4.5277357050000004</v>
          </cell>
          <cell r="AG836">
            <v>4.3432959279999999</v>
          </cell>
          <cell r="AH836">
            <v>4.1433417410000004</v>
          </cell>
          <cell r="AI836">
            <v>3.9246297979999998</v>
          </cell>
          <cell r="AJ836">
            <v>3.6837022770000001</v>
          </cell>
          <cell r="AK836">
            <v>3.4166946079999998</v>
          </cell>
        </row>
        <row r="837">
          <cell r="A837" t="str">
            <v>ems_y_co2_sfoo_2</v>
          </cell>
          <cell r="B837">
            <v>0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0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0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0</v>
          </cell>
          <cell r="AK837">
            <v>0</v>
          </cell>
        </row>
        <row r="838">
          <cell r="A838" t="str">
            <v>ems_mat_co2_sfoo_2</v>
          </cell>
          <cell r="B838">
            <v>0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0</v>
          </cell>
          <cell r="AJ838">
            <v>0</v>
          </cell>
          <cell r="AK838">
            <v>0</v>
          </cell>
        </row>
        <row r="839">
          <cell r="A839" t="str">
            <v>ems_ci_co2_sveh_2</v>
          </cell>
          <cell r="B839">
            <v>1.2212767819999999</v>
          </cell>
          <cell r="C839">
            <v>1.21202685</v>
          </cell>
          <cell r="D839">
            <v>1.20214193</v>
          </cell>
          <cell r="E839">
            <v>1.1869243840000001</v>
          </cell>
          <cell r="F839">
            <v>1.1804628690000001</v>
          </cell>
          <cell r="G839">
            <v>1.181363368</v>
          </cell>
          <cell r="H839">
            <v>1.1879889210000001</v>
          </cell>
          <cell r="I839">
            <v>1.1198229449999999</v>
          </cell>
          <cell r="J839">
            <v>1.044280061</v>
          </cell>
          <cell r="K839">
            <v>0.97877714579999997</v>
          </cell>
          <cell r="L839">
            <v>0.91550977339999995</v>
          </cell>
          <cell r="M839">
            <v>0.86289217439999999</v>
          </cell>
          <cell r="N839">
            <v>0.81693367630000002</v>
          </cell>
          <cell r="O839">
            <v>0.77486114770000003</v>
          </cell>
          <cell r="P839">
            <v>0.73716282280000001</v>
          </cell>
          <cell r="Q839">
            <v>0.70392050770000003</v>
          </cell>
          <cell r="R839">
            <v>0.67076564059999999</v>
          </cell>
          <cell r="S839">
            <v>0.63950200800000001</v>
          </cell>
          <cell r="T839">
            <v>0.61088395979999999</v>
          </cell>
          <cell r="U839">
            <v>0.58511316660000001</v>
          </cell>
          <cell r="V839">
            <v>0.5621933845</v>
          </cell>
          <cell r="W839">
            <v>0.54199136189999997</v>
          </cell>
          <cell r="X839">
            <v>0.52436248860000001</v>
          </cell>
          <cell r="Y839">
            <v>0.50901822379999995</v>
          </cell>
          <cell r="Z839">
            <v>0.49558571610000002</v>
          </cell>
          <cell r="AA839">
            <v>0.48373650029999998</v>
          </cell>
          <cell r="AB839">
            <v>0.47353074220000002</v>
          </cell>
          <cell r="AC839">
            <v>0.46450271300000001</v>
          </cell>
          <cell r="AD839">
            <v>0.45618953769999998</v>
          </cell>
          <cell r="AE839">
            <v>0.44792602809999998</v>
          </cell>
          <cell r="AF839">
            <v>0.43904202889999999</v>
          </cell>
          <cell r="AG839">
            <v>0.42901570280000001</v>
          </cell>
          <cell r="AH839">
            <v>0.41741135540000002</v>
          </cell>
          <cell r="AI839">
            <v>0.40375580709999997</v>
          </cell>
          <cell r="AJ839">
            <v>0.38752350870000002</v>
          </cell>
          <cell r="AK839">
            <v>0.3680686393</v>
          </cell>
        </row>
        <row r="840">
          <cell r="A840" t="str">
            <v>ems_y_co2_sveh_2</v>
          </cell>
          <cell r="B840">
            <v>0</v>
          </cell>
          <cell r="C840">
            <v>0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0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0</v>
          </cell>
          <cell r="AH840">
            <v>0</v>
          </cell>
          <cell r="AI840">
            <v>0</v>
          </cell>
          <cell r="AJ840">
            <v>0</v>
          </cell>
          <cell r="AK840">
            <v>0</v>
          </cell>
        </row>
        <row r="841">
          <cell r="A841" t="str">
            <v>ems_mat_co2_sveh_2</v>
          </cell>
          <cell r="B841">
            <v>0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H841">
            <v>0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0</v>
          </cell>
          <cell r="Z841">
            <v>0</v>
          </cell>
          <cell r="AA841">
            <v>0</v>
          </cell>
          <cell r="AB841">
            <v>0</v>
          </cell>
          <cell r="AC841">
            <v>0</v>
          </cell>
          <cell r="AD841">
            <v>0</v>
          </cell>
          <cell r="AE841">
            <v>0</v>
          </cell>
          <cell r="AF841">
            <v>0</v>
          </cell>
          <cell r="AG841">
            <v>0</v>
          </cell>
          <cell r="AH841">
            <v>0</v>
          </cell>
          <cell r="AI841">
            <v>0</v>
          </cell>
          <cell r="AJ841">
            <v>0</v>
          </cell>
          <cell r="AK841">
            <v>0</v>
          </cell>
        </row>
        <row r="842">
          <cell r="A842" t="str">
            <v>ems_ci_co2_sgla_2</v>
          </cell>
          <cell r="B842">
            <v>5.7059507040000002</v>
          </cell>
          <cell r="C842">
            <v>5.86688922</v>
          </cell>
          <cell r="D842">
            <v>6.0421510769999998</v>
          </cell>
          <cell r="E842">
            <v>6.1445044409999996</v>
          </cell>
          <cell r="F842">
            <v>6.206422431</v>
          </cell>
          <cell r="G842">
            <v>6.2563155110000004</v>
          </cell>
          <cell r="H842">
            <v>6.3099334770000004</v>
          </cell>
          <cell r="I842">
            <v>6.1526697019999999</v>
          </cell>
          <cell r="J842">
            <v>5.9782700860000002</v>
          </cell>
          <cell r="K842">
            <v>5.8238869930000003</v>
          </cell>
          <cell r="L842">
            <v>5.679494407</v>
          </cell>
          <cell r="M842">
            <v>5.5545229320000002</v>
          </cell>
          <cell r="N842">
            <v>5.4370427299999999</v>
          </cell>
          <cell r="O842">
            <v>5.3212343390000001</v>
          </cell>
          <cell r="P842">
            <v>5.2093060859999998</v>
          </cell>
          <cell r="Q842">
            <v>5.1030844740000001</v>
          </cell>
          <cell r="R842">
            <v>4.9987639560000003</v>
          </cell>
          <cell r="S842">
            <v>4.8964601679999999</v>
          </cell>
          <cell r="T842">
            <v>4.7967768719999997</v>
          </cell>
          <cell r="U842">
            <v>4.6997607050000001</v>
          </cell>
          <cell r="V842">
            <v>4.6056368379999997</v>
          </cell>
          <cell r="W842">
            <v>4.5147285930000001</v>
          </cell>
          <cell r="X842">
            <v>4.4273746489999999</v>
          </cell>
          <cell r="Y842">
            <v>4.3433638119999998</v>
          </cell>
          <cell r="Z842">
            <v>4.262011566</v>
          </cell>
          <cell r="AA842">
            <v>4.1826955220000004</v>
          </cell>
          <cell r="AB842">
            <v>4.1043076169999999</v>
          </cell>
          <cell r="AC842">
            <v>4.0275176400000001</v>
          </cell>
          <cell r="AD842">
            <v>3.9516405410000002</v>
          </cell>
          <cell r="AE842">
            <v>3.8751659959999998</v>
          </cell>
          <cell r="AF842">
            <v>3.7963738039999999</v>
          </cell>
          <cell r="AG842">
            <v>3.7138663109999999</v>
          </cell>
          <cell r="AH842">
            <v>3.6264712810000002</v>
          </cell>
          <cell r="AI842">
            <v>3.5329874000000001</v>
          </cell>
          <cell r="AJ842">
            <v>3.4322676209999998</v>
          </cell>
          <cell r="AK842">
            <v>3.3231863289999999</v>
          </cell>
        </row>
        <row r="843">
          <cell r="A843" t="str">
            <v>ems_y_co2_sgla_2</v>
          </cell>
          <cell r="B843">
            <v>0</v>
          </cell>
          <cell r="C843">
            <v>0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>
            <v>0</v>
          </cell>
          <cell r="V843">
            <v>0</v>
          </cell>
          <cell r="W843">
            <v>0</v>
          </cell>
          <cell r="X843">
            <v>0</v>
          </cell>
          <cell r="Y843">
            <v>0</v>
          </cell>
          <cell r="Z843">
            <v>0</v>
          </cell>
          <cell r="AA843">
            <v>0</v>
          </cell>
          <cell r="AB843">
            <v>0</v>
          </cell>
          <cell r="AC843">
            <v>0</v>
          </cell>
          <cell r="AD843">
            <v>0</v>
          </cell>
          <cell r="AE843">
            <v>0</v>
          </cell>
          <cell r="AF843">
            <v>0</v>
          </cell>
          <cell r="AG843">
            <v>0</v>
          </cell>
          <cell r="AH843">
            <v>0</v>
          </cell>
          <cell r="AI843">
            <v>0</v>
          </cell>
          <cell r="AJ843">
            <v>0</v>
          </cell>
          <cell r="AK843">
            <v>0</v>
          </cell>
        </row>
        <row r="844">
          <cell r="A844" t="str">
            <v>ems_mat_co2_sgla_2</v>
          </cell>
          <cell r="B844">
            <v>13.76792696</v>
          </cell>
          <cell r="C844">
            <v>14.228154760000001</v>
          </cell>
          <cell r="D844">
            <v>14.741321790000001</v>
          </cell>
          <cell r="E844">
            <v>15.10461282</v>
          </cell>
          <cell r="F844">
            <v>15.34318831</v>
          </cell>
          <cell r="G844">
            <v>15.52945697</v>
          </cell>
          <cell r="H844">
            <v>15.709605010000001</v>
          </cell>
          <cell r="I844">
            <v>15.8211149</v>
          </cell>
          <cell r="J844">
            <v>15.926852670000001</v>
          </cell>
          <cell r="K844">
            <v>16.099698</v>
          </cell>
          <cell r="L844">
            <v>16.302555380000001</v>
          </cell>
          <cell r="M844">
            <v>16.518769389999999</v>
          </cell>
          <cell r="N844">
            <v>16.72371274</v>
          </cell>
          <cell r="O844">
            <v>16.908444970000001</v>
          </cell>
          <cell r="P844">
            <v>17.086453500000001</v>
          </cell>
          <cell r="Q844">
            <v>17.26955001</v>
          </cell>
          <cell r="R844">
            <v>17.468453579999998</v>
          </cell>
          <cell r="S844">
            <v>17.68140679</v>
          </cell>
          <cell r="T844">
            <v>17.908951210000001</v>
          </cell>
          <cell r="U844">
            <v>18.150842279999999</v>
          </cell>
          <cell r="V844">
            <v>18.408424230000001</v>
          </cell>
          <cell r="W844">
            <v>18.684167179999999</v>
          </cell>
          <cell r="X844">
            <v>18.981413790000001</v>
          </cell>
          <cell r="Y844">
            <v>19.301981349999998</v>
          </cell>
          <cell r="Z844">
            <v>19.645867890000002</v>
          </cell>
          <cell r="AA844">
            <v>20.013518980000001</v>
          </cell>
          <cell r="AB844">
            <v>20.402711140000001</v>
          </cell>
          <cell r="AC844">
            <v>20.820347829999999</v>
          </cell>
          <cell r="AD844">
            <v>21.268051620000001</v>
          </cell>
          <cell r="AE844">
            <v>21.74330166</v>
          </cell>
          <cell r="AF844">
            <v>22.2417953</v>
          </cell>
          <cell r="AG844">
            <v>22.760125510000002</v>
          </cell>
          <cell r="AH844">
            <v>23.2957125</v>
          </cell>
          <cell r="AI844">
            <v>23.845769520000001</v>
          </cell>
          <cell r="AJ844">
            <v>24.407598419999999</v>
          </cell>
          <cell r="AK844">
            <v>24.978570770000001</v>
          </cell>
        </row>
        <row r="845">
          <cell r="A845" t="str">
            <v>ems_ci_co2_spap_2</v>
          </cell>
          <cell r="B845">
            <v>3.0049750990000001</v>
          </cell>
          <cell r="C845">
            <v>3.0142260009999999</v>
          </cell>
          <cell r="D845">
            <v>3.028446325</v>
          </cell>
          <cell r="E845">
            <v>3.0479054410000002</v>
          </cell>
          <cell r="F845">
            <v>3.0789252569999999</v>
          </cell>
          <cell r="G845">
            <v>3.1179581820000002</v>
          </cell>
          <cell r="H845">
            <v>3.1626487569999999</v>
          </cell>
          <cell r="I845">
            <v>3.1164391770000002</v>
          </cell>
          <cell r="J845">
            <v>3.0613816850000002</v>
          </cell>
          <cell r="K845">
            <v>3.018523665</v>
          </cell>
          <cell r="L845">
            <v>2.9773736999999998</v>
          </cell>
          <cell r="M845">
            <v>2.9430657500000001</v>
          </cell>
          <cell r="N845">
            <v>2.9119328210000002</v>
          </cell>
          <cell r="O845">
            <v>2.880557161</v>
          </cell>
          <cell r="P845">
            <v>2.850019605</v>
          </cell>
          <cell r="Q845">
            <v>2.8209755900000002</v>
          </cell>
          <cell r="R845">
            <v>2.789187928</v>
          </cell>
          <cell r="S845">
            <v>2.7568026219999999</v>
          </cell>
          <cell r="T845">
            <v>2.7251277680000001</v>
          </cell>
          <cell r="U845">
            <v>2.6948545589999999</v>
          </cell>
          <cell r="V845">
            <v>2.6664603410000001</v>
          </cell>
          <cell r="W845">
            <v>2.6401943640000001</v>
          </cell>
          <cell r="X845">
            <v>2.6163250439999999</v>
          </cell>
          <cell r="Y845">
            <v>2.5948083959999999</v>
          </cell>
          <cell r="Z845">
            <v>2.5752758550000001</v>
          </cell>
          <cell r="AA845">
            <v>2.5573735420000001</v>
          </cell>
          <cell r="AB845">
            <v>2.5409262030000002</v>
          </cell>
          <cell r="AC845">
            <v>2.5259069699999999</v>
          </cell>
          <cell r="AD845">
            <v>2.511878909</v>
          </cell>
          <cell r="AE845">
            <v>2.4977984590000002</v>
          </cell>
          <cell r="AF845">
            <v>2.4824345760000002</v>
          </cell>
          <cell r="AG845">
            <v>2.4648161339999999</v>
          </cell>
          <cell r="AH845">
            <v>2.4442366199999999</v>
          </cell>
          <cell r="AI845">
            <v>2.420049685</v>
          </cell>
          <cell r="AJ845">
            <v>2.3916598929999999</v>
          </cell>
          <cell r="AK845">
            <v>2.3585039640000001</v>
          </cell>
        </row>
        <row r="846">
          <cell r="A846" t="str">
            <v>ems_y_co2_spap_2</v>
          </cell>
          <cell r="B846">
            <v>0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</row>
        <row r="847">
          <cell r="A847" t="str">
            <v>ems_mat_co2_spap_2</v>
          </cell>
          <cell r="B847">
            <v>0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0</v>
          </cell>
          <cell r="AK847">
            <v>0</v>
          </cell>
        </row>
        <row r="848">
          <cell r="A848" t="str">
            <v>ems_ci_co2_sche_2</v>
          </cell>
          <cell r="B848">
            <v>3.8195038600000002</v>
          </cell>
          <cell r="C848">
            <v>3.8202637309999998</v>
          </cell>
          <cell r="D848">
            <v>3.8289986690000002</v>
          </cell>
          <cell r="E848">
            <v>3.8426798710000001</v>
          </cell>
          <cell r="F848">
            <v>3.8682781639999999</v>
          </cell>
          <cell r="G848">
            <v>3.9043482909999998</v>
          </cell>
          <cell r="H848">
            <v>3.9489923679999999</v>
          </cell>
          <cell r="I848">
            <v>3.8752633259999998</v>
          </cell>
          <cell r="J848">
            <v>3.8005204629999998</v>
          </cell>
          <cell r="K848">
            <v>3.7573587009999998</v>
          </cell>
          <cell r="L848">
            <v>3.7182499889999998</v>
          </cell>
          <cell r="M848">
            <v>3.6825021160000002</v>
          </cell>
          <cell r="N848">
            <v>3.6428104060000002</v>
          </cell>
          <cell r="O848">
            <v>3.5948705799999998</v>
          </cell>
          <cell r="P848">
            <v>3.5437483090000002</v>
          </cell>
          <cell r="Q848">
            <v>3.4925429920000002</v>
          </cell>
          <cell r="R848">
            <v>3.440499983</v>
          </cell>
          <cell r="S848">
            <v>3.3900256190000002</v>
          </cell>
          <cell r="T848">
            <v>3.3424962709999999</v>
          </cell>
          <cell r="U848">
            <v>3.2981248509999999</v>
          </cell>
          <cell r="V848">
            <v>3.256991454</v>
          </cell>
          <cell r="W848">
            <v>3.2190992070000002</v>
          </cell>
          <cell r="X848">
            <v>3.1846653960000002</v>
          </cell>
          <cell r="Y848">
            <v>3.1531861459999999</v>
          </cell>
          <cell r="Z848">
            <v>3.1235862390000002</v>
          </cell>
          <cell r="AA848">
            <v>3.0950048620000001</v>
          </cell>
          <cell r="AB848">
            <v>3.066803637</v>
          </cell>
          <cell r="AC848">
            <v>3.0399248650000001</v>
          </cell>
          <cell r="AD848">
            <v>3.0134751230000001</v>
          </cell>
          <cell r="AE848">
            <v>2.985224734</v>
          </cell>
          <cell r="AF848">
            <v>2.9527702969999998</v>
          </cell>
          <cell r="AG848">
            <v>2.914561264</v>
          </cell>
          <cell r="AH848">
            <v>2.8696901260000001</v>
          </cell>
          <cell r="AI848">
            <v>2.8171765450000001</v>
          </cell>
          <cell r="AJ848">
            <v>2.7560631039999999</v>
          </cell>
          <cell r="AK848">
            <v>2.6854911370000001</v>
          </cell>
        </row>
        <row r="849">
          <cell r="A849" t="str">
            <v>ems_y_co2_sche_2</v>
          </cell>
          <cell r="B849">
            <v>0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0</v>
          </cell>
          <cell r="AH849">
            <v>0</v>
          </cell>
          <cell r="AI849">
            <v>0</v>
          </cell>
          <cell r="AJ849">
            <v>0</v>
          </cell>
          <cell r="AK849">
            <v>0</v>
          </cell>
        </row>
        <row r="850">
          <cell r="A850" t="str">
            <v>ems_mat_co2_sche_2</v>
          </cell>
          <cell r="B850">
            <v>2.5901569210000002</v>
          </cell>
          <cell r="C850">
            <v>2.5999729669999998</v>
          </cell>
          <cell r="D850">
            <v>2.6171290190000001</v>
          </cell>
          <cell r="E850">
            <v>2.6408157179999998</v>
          </cell>
          <cell r="F850">
            <v>2.6693831339999998</v>
          </cell>
          <cell r="G850">
            <v>2.7024348090000001</v>
          </cell>
          <cell r="H850">
            <v>2.7395325119999998</v>
          </cell>
          <cell r="I850">
            <v>2.7650041320000001</v>
          </cell>
          <cell r="J850">
            <v>2.7955200819999999</v>
          </cell>
          <cell r="K850">
            <v>2.852836538</v>
          </cell>
          <cell r="L850">
            <v>2.916006833</v>
          </cell>
          <cell r="M850">
            <v>2.9785680430000001</v>
          </cell>
          <cell r="N850">
            <v>3.0354471869999999</v>
          </cell>
          <cell r="O850">
            <v>3.0836317850000001</v>
          </cell>
          <cell r="P850">
            <v>3.1278115120000001</v>
          </cell>
          <cell r="Q850">
            <v>3.1712485410000002</v>
          </cell>
          <cell r="R850">
            <v>3.2162670709999999</v>
          </cell>
          <cell r="S850">
            <v>3.2648888070000002</v>
          </cell>
          <cell r="T850">
            <v>3.3184526839999999</v>
          </cell>
          <cell r="U850">
            <v>3.3774305529999999</v>
          </cell>
          <cell r="V850">
            <v>3.4423166379999999</v>
          </cell>
          <cell r="W850">
            <v>3.513642768</v>
          </cell>
          <cell r="X850">
            <v>3.5922974179999998</v>
          </cell>
          <cell r="Y850">
            <v>3.678488948</v>
          </cell>
          <cell r="Z850">
            <v>3.771776671</v>
          </cell>
          <cell r="AA850">
            <v>3.8719481870000001</v>
          </cell>
          <cell r="AB850">
            <v>3.9790313469999998</v>
          </cell>
          <cell r="AC850">
            <v>4.0952378520000003</v>
          </cell>
          <cell r="AD850">
            <v>4.2206654190000004</v>
          </cell>
          <cell r="AE850">
            <v>4.3535204179999996</v>
          </cell>
          <cell r="AF850">
            <v>4.4914599019999999</v>
          </cell>
          <cell r="AG850">
            <v>4.6330884750000001</v>
          </cell>
          <cell r="AH850">
            <v>4.7778704469999997</v>
          </cell>
          <cell r="AI850">
            <v>4.9251392459999996</v>
          </cell>
          <cell r="AJ850">
            <v>5.0741860259999996</v>
          </cell>
          <cell r="AK850">
            <v>5.2243496450000002</v>
          </cell>
        </row>
        <row r="851">
          <cell r="A851" t="str">
            <v>ems_ci_co2_spla_2</v>
          </cell>
          <cell r="B851">
            <v>1.250528673</v>
          </cell>
          <cell r="C851">
            <v>1.204278266</v>
          </cell>
          <cell r="D851">
            <v>1.1585112339999999</v>
          </cell>
          <cell r="E851">
            <v>1.1057844139999999</v>
          </cell>
          <cell r="F851">
            <v>1.0729763640000001</v>
          </cell>
          <cell r="G851">
            <v>1.056184357</v>
          </cell>
          <cell r="H851">
            <v>1.050877802</v>
          </cell>
          <cell r="I851">
            <v>0.9642336829</v>
          </cell>
          <cell r="J851">
            <v>0.87372773960000005</v>
          </cell>
          <cell r="K851">
            <v>0.79719432700000004</v>
          </cell>
          <cell r="L851">
            <v>0.73087664720000001</v>
          </cell>
          <cell r="M851">
            <v>0.68079722330000003</v>
          </cell>
          <cell r="N851">
            <v>0.64148779830000002</v>
          </cell>
          <cell r="O851">
            <v>0.60887658950000001</v>
          </cell>
          <cell r="P851">
            <v>0.58156409460000003</v>
          </cell>
          <cell r="Q851">
            <v>0.55854545560000002</v>
          </cell>
          <cell r="R851">
            <v>0.53589790660000003</v>
          </cell>
          <cell r="S851">
            <v>0.5144247274</v>
          </cell>
          <cell r="T851">
            <v>0.49466685069999999</v>
          </cell>
          <cell r="U851">
            <v>0.4768027507</v>
          </cell>
          <cell r="V851">
            <v>0.46086223869999998</v>
          </cell>
          <cell r="W851">
            <v>0.44678473530000001</v>
          </cell>
          <cell r="X851">
            <v>0.43449713020000003</v>
          </cell>
          <cell r="Y851">
            <v>0.42383458480000002</v>
          </cell>
          <cell r="Z851">
            <v>0.41457620099999998</v>
          </cell>
          <cell r="AA851">
            <v>0.40653059949999998</v>
          </cell>
          <cell r="AB851">
            <v>0.39958557160000002</v>
          </cell>
          <cell r="AC851">
            <v>0.39366689510000002</v>
          </cell>
          <cell r="AD851">
            <v>0.38856360540000001</v>
          </cell>
          <cell r="AE851">
            <v>0.38392807490000003</v>
          </cell>
          <cell r="AF851">
            <v>0.37940417040000002</v>
          </cell>
          <cell r="AG851">
            <v>0.37473172780000003</v>
          </cell>
          <cell r="AH851">
            <v>0.36971783359999999</v>
          </cell>
          <cell r="AI851">
            <v>0.3641628865</v>
          </cell>
          <cell r="AJ851">
            <v>0.3578614228</v>
          </cell>
          <cell r="AK851">
            <v>0.3505826333</v>
          </cell>
        </row>
        <row r="852">
          <cell r="A852" t="str">
            <v>ems_y_co2_spla_2</v>
          </cell>
          <cell r="B852">
            <v>0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0</v>
          </cell>
          <cell r="Y852">
            <v>0</v>
          </cell>
          <cell r="Z852">
            <v>0</v>
          </cell>
          <cell r="AA852">
            <v>0</v>
          </cell>
          <cell r="AB852">
            <v>0</v>
          </cell>
          <cell r="AC852">
            <v>0</v>
          </cell>
          <cell r="AD852">
            <v>0</v>
          </cell>
          <cell r="AE852">
            <v>0</v>
          </cell>
          <cell r="AF852">
            <v>0</v>
          </cell>
          <cell r="AG852">
            <v>0</v>
          </cell>
          <cell r="AH852">
            <v>0</v>
          </cell>
          <cell r="AI852">
            <v>0</v>
          </cell>
          <cell r="AJ852">
            <v>0</v>
          </cell>
          <cell r="AK852">
            <v>0</v>
          </cell>
        </row>
        <row r="853">
          <cell r="A853" t="str">
            <v>ems_mat_co2_spla_2</v>
          </cell>
          <cell r="B853">
            <v>0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  <cell r="Z853">
            <v>0</v>
          </cell>
          <cell r="AA853">
            <v>0</v>
          </cell>
          <cell r="AB853">
            <v>0</v>
          </cell>
          <cell r="AC853">
            <v>0</v>
          </cell>
          <cell r="AD853">
            <v>0</v>
          </cell>
          <cell r="AE853">
            <v>0</v>
          </cell>
          <cell r="AF853">
            <v>0</v>
          </cell>
          <cell r="AG853">
            <v>0</v>
          </cell>
          <cell r="AH853">
            <v>0</v>
          </cell>
          <cell r="AI853">
            <v>0</v>
          </cell>
          <cell r="AJ853">
            <v>0</v>
          </cell>
          <cell r="AK853">
            <v>0</v>
          </cell>
        </row>
        <row r="854">
          <cell r="A854" t="str">
            <v>ems_ci_co2_smet_2</v>
          </cell>
          <cell r="B854">
            <v>7.5072151199999997</v>
          </cell>
          <cell r="C854">
            <v>7.5884832280000003</v>
          </cell>
          <cell r="D854">
            <v>7.6654377059999996</v>
          </cell>
          <cell r="E854">
            <v>7.7110583009999996</v>
          </cell>
          <cell r="F854">
            <v>7.7696541530000003</v>
          </cell>
          <cell r="G854">
            <v>7.8453717569999997</v>
          </cell>
          <cell r="H854">
            <v>7.9368338109999996</v>
          </cell>
          <cell r="I854">
            <v>7.7996238780000002</v>
          </cell>
          <cell r="J854">
            <v>7.6238376280000004</v>
          </cell>
          <cell r="K854">
            <v>7.5007086989999996</v>
          </cell>
          <cell r="L854">
            <v>7.372782409</v>
          </cell>
          <cell r="M854">
            <v>7.264875387</v>
          </cell>
          <cell r="N854">
            <v>7.164142419</v>
          </cell>
          <cell r="O854">
            <v>7.0607682010000001</v>
          </cell>
          <cell r="P854">
            <v>6.964961121</v>
          </cell>
          <cell r="Q854">
            <v>6.8817950569999997</v>
          </cell>
          <cell r="R854">
            <v>6.8003911459999999</v>
          </cell>
          <cell r="S854">
            <v>6.7233550500000003</v>
          </cell>
          <cell r="T854">
            <v>6.6538664110000001</v>
          </cell>
          <cell r="U854">
            <v>6.5934698110000003</v>
          </cell>
          <cell r="V854">
            <v>6.543704999</v>
          </cell>
          <cell r="W854">
            <v>6.505766382</v>
          </cell>
          <cell r="X854">
            <v>6.481286892</v>
          </cell>
          <cell r="Y854">
            <v>6.4703035489999996</v>
          </cell>
          <cell r="Z854">
            <v>6.4714426740000004</v>
          </cell>
          <cell r="AA854">
            <v>6.4837751939999997</v>
          </cell>
          <cell r="AB854">
            <v>6.5063955929999997</v>
          </cell>
          <cell r="AC854">
            <v>6.5420361700000003</v>
          </cell>
          <cell r="AD854">
            <v>6.5896307910000003</v>
          </cell>
          <cell r="AE854">
            <v>6.6448133379999996</v>
          </cell>
          <cell r="AF854">
            <v>6.7026409549999997</v>
          </cell>
          <cell r="AG854">
            <v>6.7600420559999996</v>
          </cell>
          <cell r="AH854">
            <v>6.815476909</v>
          </cell>
          <cell r="AI854">
            <v>6.8674193260000003</v>
          </cell>
          <cell r="AJ854">
            <v>6.9144216949999997</v>
          </cell>
          <cell r="AK854">
            <v>6.9551247810000003</v>
          </cell>
        </row>
        <row r="855">
          <cell r="A855" t="str">
            <v>ems_y_co2_smet_2</v>
          </cell>
          <cell r="B855">
            <v>0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>
            <v>0</v>
          </cell>
          <cell r="V855">
            <v>0</v>
          </cell>
          <cell r="W855">
            <v>0</v>
          </cell>
          <cell r="X855">
            <v>0</v>
          </cell>
          <cell r="Y855">
            <v>0</v>
          </cell>
          <cell r="Z855">
            <v>0</v>
          </cell>
          <cell r="AA855">
            <v>0</v>
          </cell>
          <cell r="AB855">
            <v>0</v>
          </cell>
          <cell r="AC855">
            <v>0</v>
          </cell>
          <cell r="AD855">
            <v>0</v>
          </cell>
          <cell r="AE855">
            <v>0</v>
          </cell>
          <cell r="AF855">
            <v>0</v>
          </cell>
          <cell r="AG855">
            <v>0</v>
          </cell>
          <cell r="AH855">
            <v>0</v>
          </cell>
          <cell r="AI855">
            <v>0</v>
          </cell>
          <cell r="AJ855">
            <v>0</v>
          </cell>
          <cell r="AK855">
            <v>0</v>
          </cell>
        </row>
        <row r="856">
          <cell r="A856" t="str">
            <v>ems_mat_co2_smet_2</v>
          </cell>
          <cell r="B856">
            <v>12.781652830000001</v>
          </cell>
          <cell r="C856">
            <v>13.001497029999999</v>
          </cell>
          <cell r="D856">
            <v>13.23190183</v>
          </cell>
          <cell r="E856">
            <v>13.439435769999999</v>
          </cell>
          <cell r="F856">
            <v>13.639395199999999</v>
          </cell>
          <cell r="G856">
            <v>13.84722739</v>
          </cell>
          <cell r="H856">
            <v>14.06951147</v>
          </cell>
          <cell r="I856">
            <v>14.1471611</v>
          </cell>
          <cell r="J856">
            <v>14.19464247</v>
          </cell>
          <cell r="K856">
            <v>14.354162929999999</v>
          </cell>
          <cell r="L856">
            <v>14.505888369999999</v>
          </cell>
          <cell r="M856">
            <v>14.64048712</v>
          </cell>
          <cell r="N856">
            <v>14.745348549999999</v>
          </cell>
          <cell r="O856">
            <v>14.8113616</v>
          </cell>
          <cell r="P856">
            <v>14.868397440000001</v>
          </cell>
          <cell r="Q856">
            <v>14.93462443</v>
          </cell>
          <cell r="R856">
            <v>15.01076246</v>
          </cell>
          <cell r="S856">
            <v>15.100481350000001</v>
          </cell>
          <cell r="T856">
            <v>15.20926455</v>
          </cell>
          <cell r="U856">
            <v>15.339916730000001</v>
          </cell>
          <cell r="V856">
            <v>15.49600785</v>
          </cell>
          <cell r="W856">
            <v>15.680934260000001</v>
          </cell>
          <cell r="X856">
            <v>15.899626120000001</v>
          </cell>
          <cell r="Y856">
            <v>16.153451010000001</v>
          </cell>
          <cell r="Z856">
            <v>16.440364689999999</v>
          </cell>
          <cell r="AA856">
            <v>16.759406500000001</v>
          </cell>
          <cell r="AB856">
            <v>17.109688500000001</v>
          </cell>
          <cell r="AC856">
            <v>17.50010661</v>
          </cell>
          <cell r="AD856">
            <v>17.92978201</v>
          </cell>
          <cell r="AE856">
            <v>18.388504019999999</v>
          </cell>
          <cell r="AF856">
            <v>18.863763370000001</v>
          </cell>
          <cell r="AG856">
            <v>19.34767171</v>
          </cell>
          <cell r="AH856">
            <v>19.83643206</v>
          </cell>
          <cell r="AI856">
            <v>20.326150049999999</v>
          </cell>
          <cell r="AJ856">
            <v>20.812866710000002</v>
          </cell>
          <cell r="AK856">
            <v>21.292547070000001</v>
          </cell>
        </row>
        <row r="857">
          <cell r="A857" t="str">
            <v>ems_ci_co2_sigo_2</v>
          </cell>
          <cell r="B857">
            <v>2.9902437110000002</v>
          </cell>
          <cell r="C857">
            <v>2.9844043980000001</v>
          </cell>
          <cell r="D857">
            <v>2.9813716060000002</v>
          </cell>
          <cell r="E857">
            <v>2.97595652</v>
          </cell>
          <cell r="F857">
            <v>2.9825035479999999</v>
          </cell>
          <cell r="G857">
            <v>2.9999374419999998</v>
          </cell>
          <cell r="H857">
            <v>3.0264948889999999</v>
          </cell>
          <cell r="I857">
            <v>2.932314222</v>
          </cell>
          <cell r="J857">
            <v>2.8323424180000001</v>
          </cell>
          <cell r="K857">
            <v>2.7531269960000002</v>
          </cell>
          <cell r="L857">
            <v>2.6777743300000001</v>
          </cell>
          <cell r="M857">
            <v>2.6130374019999998</v>
          </cell>
          <cell r="N857">
            <v>2.5516641230000001</v>
          </cell>
          <cell r="O857">
            <v>2.4893506269999999</v>
          </cell>
          <cell r="P857">
            <v>2.4285304069999998</v>
          </cell>
          <cell r="Q857">
            <v>2.3706375940000002</v>
          </cell>
          <cell r="R857">
            <v>2.3113234820000002</v>
          </cell>
          <cell r="S857">
            <v>2.2535918939999999</v>
          </cell>
          <cell r="T857">
            <v>2.1988541499999998</v>
          </cell>
          <cell r="U857">
            <v>2.1474535779999999</v>
          </cell>
          <cell r="V857">
            <v>2.099479197</v>
          </cell>
          <cell r="W857">
            <v>2.0549110310000001</v>
          </cell>
          <cell r="X857">
            <v>2.0137668099999999</v>
          </cell>
          <cell r="Y857">
            <v>1.9755373089999999</v>
          </cell>
          <cell r="Z857">
            <v>1.9393715410000001</v>
          </cell>
          <cell r="AA857">
            <v>1.9045293139999999</v>
          </cell>
          <cell r="AB857">
            <v>1.8705216469999999</v>
          </cell>
          <cell r="AC857">
            <v>1.8377331830000001</v>
          </cell>
          <cell r="AD857">
            <v>1.805294231</v>
          </cell>
          <cell r="AE857">
            <v>1.771547918</v>
          </cell>
          <cell r="AF857">
            <v>1.734772223</v>
          </cell>
          <cell r="AG857">
            <v>1.6937898389999999</v>
          </cell>
          <cell r="AH857">
            <v>1.6477814369999999</v>
          </cell>
          <cell r="AI857">
            <v>1.5957909530000001</v>
          </cell>
          <cell r="AJ857">
            <v>1.536800835</v>
          </cell>
          <cell r="AK857">
            <v>1.4697178399999999</v>
          </cell>
        </row>
        <row r="858">
          <cell r="A858" t="str">
            <v>ems_y_co2_sigo_2</v>
          </cell>
          <cell r="B858">
            <v>0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H858">
            <v>0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0</v>
          </cell>
          <cell r="Y858">
            <v>0</v>
          </cell>
          <cell r="Z858">
            <v>0</v>
          </cell>
          <cell r="AA858">
            <v>0</v>
          </cell>
          <cell r="AB858">
            <v>0</v>
          </cell>
          <cell r="AC858">
            <v>0</v>
          </cell>
          <cell r="AD858">
            <v>0</v>
          </cell>
          <cell r="AE858">
            <v>0</v>
          </cell>
          <cell r="AF858">
            <v>0</v>
          </cell>
          <cell r="AG858">
            <v>0</v>
          </cell>
          <cell r="AH858">
            <v>0</v>
          </cell>
          <cell r="AI858">
            <v>0</v>
          </cell>
          <cell r="AJ858">
            <v>0</v>
          </cell>
          <cell r="AK858">
            <v>0</v>
          </cell>
        </row>
        <row r="859">
          <cell r="A859" t="str">
            <v>ems_mat_co2_sigo_2</v>
          </cell>
          <cell r="B859">
            <v>0.4724401258</v>
          </cell>
          <cell r="C859">
            <v>0.47518991729999999</v>
          </cell>
          <cell r="D859">
            <v>0.47924331860000002</v>
          </cell>
          <cell r="E859">
            <v>0.48417626850000001</v>
          </cell>
          <cell r="F859">
            <v>0.48972929069999999</v>
          </cell>
          <cell r="G859">
            <v>0.49592438890000001</v>
          </cell>
          <cell r="H859">
            <v>0.50275246429999998</v>
          </cell>
          <cell r="I859">
            <v>0.50787459670000001</v>
          </cell>
          <cell r="J859">
            <v>0.51400768370000005</v>
          </cell>
          <cell r="K859">
            <v>0.52493528369999998</v>
          </cell>
          <cell r="L859">
            <v>0.53713977869999996</v>
          </cell>
          <cell r="M859">
            <v>0.54937041529999997</v>
          </cell>
          <cell r="N859">
            <v>0.5606021659</v>
          </cell>
          <cell r="O859">
            <v>0.57024306069999997</v>
          </cell>
          <cell r="P859">
            <v>0.57907727060000003</v>
          </cell>
          <cell r="Q859">
            <v>0.58768544300000003</v>
          </cell>
          <cell r="R859">
            <v>0.59636237410000004</v>
          </cell>
          <cell r="S859">
            <v>0.60564293790000001</v>
          </cell>
          <cell r="T859">
            <v>0.61578932610000003</v>
          </cell>
          <cell r="U859">
            <v>0.62688982299999996</v>
          </cell>
          <cell r="V859">
            <v>0.63903173390000001</v>
          </cell>
          <cell r="W859">
            <v>0.65231613879999994</v>
          </cell>
          <cell r="X859">
            <v>0.66690405360000005</v>
          </cell>
          <cell r="Y859">
            <v>0.68283180239999997</v>
          </cell>
          <cell r="Z859">
            <v>0.70002056450000005</v>
          </cell>
          <cell r="AA859">
            <v>0.71842739739999995</v>
          </cell>
          <cell r="AB859">
            <v>0.73807464599999995</v>
          </cell>
          <cell r="AC859">
            <v>0.75937717520000003</v>
          </cell>
          <cell r="AD859">
            <v>0.78236183790000002</v>
          </cell>
          <cell r="AE859">
            <v>0.80672168200000005</v>
          </cell>
          <cell r="AF859">
            <v>0.83204777549999998</v>
          </cell>
          <cell r="AG859">
            <v>0.85810092240000002</v>
          </cell>
          <cell r="AH859">
            <v>0.88479750020000003</v>
          </cell>
          <cell r="AI859">
            <v>0.91202233249999998</v>
          </cell>
          <cell r="AJ859">
            <v>0.93965225730000002</v>
          </cell>
          <cell r="AK859">
            <v>0.96758068340000003</v>
          </cell>
        </row>
        <row r="860">
          <cell r="A860" t="str">
            <v>ems_ci_co2_scgo_2</v>
          </cell>
          <cell r="B860">
            <v>0.69085593759999997</v>
          </cell>
          <cell r="C860">
            <v>0.67197649380000002</v>
          </cell>
          <cell r="D860">
            <v>0.65574219830000002</v>
          </cell>
          <cell r="E860">
            <v>0.64309546250000005</v>
          </cell>
          <cell r="F860">
            <v>0.63712890440000003</v>
          </cell>
          <cell r="G860">
            <v>0.63593106170000002</v>
          </cell>
          <cell r="H860">
            <v>0.63814316800000004</v>
          </cell>
          <cell r="I860">
            <v>0.60895205429999999</v>
          </cell>
          <cell r="J860">
            <v>0.57871115559999997</v>
          </cell>
          <cell r="K860">
            <v>0.55283907740000005</v>
          </cell>
          <cell r="L860">
            <v>0.52873561099999999</v>
          </cell>
          <cell r="M860">
            <v>0.50860454460000004</v>
          </cell>
          <cell r="N860">
            <v>0.49110937360000001</v>
          </cell>
          <cell r="O860">
            <v>0.47502151409999999</v>
          </cell>
          <cell r="P860">
            <v>0.46018114449999997</v>
          </cell>
          <cell r="Q860">
            <v>0.44638524950000003</v>
          </cell>
          <cell r="R860">
            <v>0.4320141461</v>
          </cell>
          <cell r="S860">
            <v>0.4176951941</v>
          </cell>
          <cell r="T860">
            <v>0.4037082145</v>
          </cell>
          <cell r="U860">
            <v>0.39016084309999999</v>
          </cell>
          <cell r="V860">
            <v>0.3770914045</v>
          </cell>
          <cell r="W860">
            <v>0.36447754830000001</v>
          </cell>
          <cell r="X860">
            <v>0.35228968500000002</v>
          </cell>
          <cell r="Y860">
            <v>0.34044149509999999</v>
          </cell>
          <cell r="Z860">
            <v>0.32879196599999999</v>
          </cell>
          <cell r="AA860">
            <v>0.31720103910000003</v>
          </cell>
          <cell r="AB860">
            <v>0.30562497500000002</v>
          </cell>
          <cell r="AC860">
            <v>0.29386644220000002</v>
          </cell>
          <cell r="AD860">
            <v>0.28173507320000002</v>
          </cell>
          <cell r="AE860">
            <v>0.2689633428</v>
          </cell>
          <cell r="AF860">
            <v>0.25526048470000001</v>
          </cell>
          <cell r="AG860">
            <v>0.24036201469999999</v>
          </cell>
          <cell r="AH860">
            <v>0.2240196116</v>
          </cell>
          <cell r="AI860">
            <v>0.20596981919999999</v>
          </cell>
          <cell r="AJ860">
            <v>0.18591990929999999</v>
          </cell>
          <cell r="AK860">
            <v>0.16352923650000001</v>
          </cell>
        </row>
        <row r="861">
          <cell r="A861" t="str">
            <v>ems_y_co2_scgo_2</v>
          </cell>
          <cell r="B861">
            <v>0</v>
          </cell>
          <cell r="C861">
            <v>0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0</v>
          </cell>
          <cell r="Y861">
            <v>0</v>
          </cell>
          <cell r="Z861">
            <v>0</v>
          </cell>
          <cell r="AA861">
            <v>0</v>
          </cell>
          <cell r="AB861">
            <v>0</v>
          </cell>
          <cell r="AC861">
            <v>0</v>
          </cell>
          <cell r="AD861">
            <v>0</v>
          </cell>
          <cell r="AE861">
            <v>0</v>
          </cell>
          <cell r="AF861">
            <v>0</v>
          </cell>
          <cell r="AG861">
            <v>0</v>
          </cell>
          <cell r="AH861">
            <v>0</v>
          </cell>
          <cell r="AI861">
            <v>0</v>
          </cell>
          <cell r="AJ861">
            <v>0</v>
          </cell>
          <cell r="AK861">
            <v>0</v>
          </cell>
        </row>
        <row r="862">
          <cell r="A862" t="str">
            <v>ems_mat_co2_scgo_2</v>
          </cell>
          <cell r="B862">
            <v>0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0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0</v>
          </cell>
          <cell r="Z862">
            <v>0</v>
          </cell>
          <cell r="AA862">
            <v>0</v>
          </cell>
          <cell r="AB862">
            <v>0</v>
          </cell>
          <cell r="AC862">
            <v>0</v>
          </cell>
          <cell r="AD862">
            <v>0</v>
          </cell>
          <cell r="AE862">
            <v>0</v>
          </cell>
          <cell r="AF862">
            <v>0</v>
          </cell>
          <cell r="AG862">
            <v>0</v>
          </cell>
          <cell r="AH862">
            <v>0</v>
          </cell>
          <cell r="AI862">
            <v>0</v>
          </cell>
          <cell r="AJ862">
            <v>0</v>
          </cell>
          <cell r="AK862">
            <v>0</v>
          </cell>
        </row>
        <row r="863">
          <cell r="A863" t="str">
            <v>ems_ci_co2_scon_2</v>
          </cell>
          <cell r="B863">
            <v>7.4702449880000001</v>
          </cell>
          <cell r="C863">
            <v>7.8628093510000001</v>
          </cell>
          <cell r="D863">
            <v>8.2414312190000008</v>
          </cell>
          <cell r="E863">
            <v>8.3947576870000002</v>
          </cell>
          <cell r="F863">
            <v>8.4461670980000001</v>
          </cell>
          <cell r="G863">
            <v>8.4691494550000002</v>
          </cell>
          <cell r="H863">
            <v>8.4950519520000007</v>
          </cell>
          <cell r="I863">
            <v>8.1314516050000005</v>
          </cell>
          <cell r="J863">
            <v>7.759942369</v>
          </cell>
          <cell r="K863">
            <v>7.4288989409999999</v>
          </cell>
          <cell r="L863">
            <v>7.1385929509999997</v>
          </cell>
          <cell r="M863">
            <v>6.9035577630000002</v>
          </cell>
          <cell r="N863">
            <v>6.6935849310000002</v>
          </cell>
          <cell r="O863">
            <v>6.4975508460000002</v>
          </cell>
          <cell r="P863">
            <v>6.3141360029999998</v>
          </cell>
          <cell r="Q863">
            <v>6.1431202709999999</v>
          </cell>
          <cell r="R863">
            <v>5.9744919430000003</v>
          </cell>
          <cell r="S863">
            <v>5.8115299159999996</v>
          </cell>
          <cell r="T863">
            <v>5.6535143970000004</v>
          </cell>
          <cell r="U863">
            <v>5.4988505740000004</v>
          </cell>
          <cell r="V863">
            <v>5.346538829</v>
          </cell>
          <cell r="W863">
            <v>5.1960449229999996</v>
          </cell>
          <cell r="X863">
            <v>5.0468454940000003</v>
          </cell>
          <cell r="Y863">
            <v>4.8982428499999999</v>
          </cell>
          <cell r="Z863">
            <v>4.7492560299999997</v>
          </cell>
          <cell r="AA863">
            <v>4.5989795139999998</v>
          </cell>
          <cell r="AB863">
            <v>4.4464241680000001</v>
          </cell>
          <cell r="AC863">
            <v>4.2902809069999996</v>
          </cell>
          <cell r="AD863">
            <v>4.1294338189999999</v>
          </cell>
          <cell r="AE863">
            <v>3.962444037</v>
          </cell>
          <cell r="AF863">
            <v>3.78747079</v>
          </cell>
          <cell r="AG863">
            <v>3.6022407059999999</v>
          </cell>
          <cell r="AH863">
            <v>3.404029602</v>
          </cell>
          <cell r="AI863">
            <v>3.1898566270000002</v>
          </cell>
          <cell r="AJ863">
            <v>2.9564133410000002</v>
          </cell>
          <cell r="AK863">
            <v>2.6998450790000001</v>
          </cell>
        </row>
        <row r="864">
          <cell r="A864" t="str">
            <v>ems_y_co2_scon_2</v>
          </cell>
          <cell r="B864">
            <v>0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  <cell r="Z864">
            <v>0</v>
          </cell>
          <cell r="AA864">
            <v>0</v>
          </cell>
          <cell r="AB864">
            <v>0</v>
          </cell>
          <cell r="AC864">
            <v>0</v>
          </cell>
          <cell r="AD864">
            <v>0</v>
          </cell>
          <cell r="AE864">
            <v>0</v>
          </cell>
          <cell r="AF864">
            <v>0</v>
          </cell>
          <cell r="AG864">
            <v>0</v>
          </cell>
          <cell r="AH864">
            <v>0</v>
          </cell>
          <cell r="AI864">
            <v>0</v>
          </cell>
          <cell r="AJ864">
            <v>0</v>
          </cell>
          <cell r="AK864">
            <v>0</v>
          </cell>
        </row>
        <row r="865">
          <cell r="A865" t="str">
            <v>ems_mat_co2_scon_2</v>
          </cell>
          <cell r="B865">
            <v>0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0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>
            <v>0</v>
          </cell>
          <cell r="V865">
            <v>0</v>
          </cell>
          <cell r="W865">
            <v>0</v>
          </cell>
          <cell r="X865">
            <v>0</v>
          </cell>
          <cell r="Y865">
            <v>0</v>
          </cell>
          <cell r="Z865">
            <v>0</v>
          </cell>
          <cell r="AA865">
            <v>0</v>
          </cell>
          <cell r="AB865">
            <v>0</v>
          </cell>
          <cell r="AC865">
            <v>0</v>
          </cell>
          <cell r="AD865">
            <v>0</v>
          </cell>
          <cell r="AE865">
            <v>0</v>
          </cell>
          <cell r="AF865">
            <v>0</v>
          </cell>
          <cell r="AG865">
            <v>0</v>
          </cell>
          <cell r="AH865">
            <v>0</v>
          </cell>
          <cell r="AI865">
            <v>0</v>
          </cell>
          <cell r="AJ865">
            <v>0</v>
          </cell>
          <cell r="AK865">
            <v>0</v>
          </cell>
        </row>
        <row r="866">
          <cell r="A866" t="str">
            <v>ems_ci_co2_srai_2</v>
          </cell>
          <cell r="B866">
            <v>5.5685759990000001</v>
          </cell>
          <cell r="C866">
            <v>5.5455901179999998</v>
          </cell>
          <cell r="D866">
            <v>5.5328933429999996</v>
          </cell>
          <cell r="E866">
            <v>5.5335798790000004</v>
          </cell>
          <cell r="F866">
            <v>5.5553354229999998</v>
          </cell>
          <cell r="G866">
            <v>5.592748866</v>
          </cell>
          <cell r="H866">
            <v>5.639617919</v>
          </cell>
          <cell r="I866">
            <v>5.4577934480000003</v>
          </cell>
          <cell r="J866">
            <v>5.2711175920000004</v>
          </cell>
          <cell r="K866">
            <v>5.1061533560000001</v>
          </cell>
          <cell r="L866">
            <v>4.9485504589999998</v>
          </cell>
          <cell r="M866">
            <v>4.8005126630000001</v>
          </cell>
          <cell r="N866">
            <v>4.6559817849999998</v>
          </cell>
          <cell r="O866">
            <v>4.5098793070000003</v>
          </cell>
          <cell r="P866">
            <v>4.3629939350000004</v>
          </cell>
          <cell r="Q866">
            <v>4.2158848139999998</v>
          </cell>
          <cell r="R866">
            <v>4.0674036439999997</v>
          </cell>
          <cell r="S866">
            <v>3.9184608750000001</v>
          </cell>
          <cell r="T866">
            <v>3.7696220880000002</v>
          </cell>
          <cell r="U866">
            <v>3.6208693940000001</v>
          </cell>
          <cell r="V866">
            <v>3.4719983239999999</v>
          </cell>
          <cell r="W866">
            <v>3.3226075989999999</v>
          </cell>
          <cell r="X866">
            <v>3.1723166800000002</v>
          </cell>
          <cell r="Y866">
            <v>3.02039328</v>
          </cell>
          <cell r="Z866">
            <v>2.8657689039999998</v>
          </cell>
          <cell r="AA866">
            <v>2.707396659</v>
          </cell>
          <cell r="AB866">
            <v>2.5444027359999999</v>
          </cell>
          <cell r="AC866">
            <v>2.3760519389999999</v>
          </cell>
          <cell r="AD866">
            <v>2.2011559599999999</v>
          </cell>
          <cell r="AE866">
            <v>2.0180376</v>
          </cell>
          <cell r="AF866">
            <v>1.8249493210000001</v>
          </cell>
          <cell r="AG866">
            <v>1.620413155</v>
          </cell>
          <cell r="AH866">
            <v>1.4031665449999999</v>
          </cell>
          <cell r="AI866">
            <v>1.171972062</v>
          </cell>
          <cell r="AJ866">
            <v>0.92556731930000002</v>
          </cell>
          <cell r="AK866">
            <v>0.66260392619999997</v>
          </cell>
        </row>
        <row r="867">
          <cell r="A867" t="str">
            <v>ems_y_co2_srai_2</v>
          </cell>
          <cell r="B867">
            <v>0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0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0</v>
          </cell>
          <cell r="AJ867">
            <v>0</v>
          </cell>
          <cell r="AK867">
            <v>0</v>
          </cell>
        </row>
        <row r="868">
          <cell r="A868" t="str">
            <v>ems_mat_co2_srai_2</v>
          </cell>
          <cell r="B868">
            <v>0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0</v>
          </cell>
          <cell r="Y868">
            <v>0</v>
          </cell>
          <cell r="Z868">
            <v>0</v>
          </cell>
          <cell r="AA868">
            <v>0</v>
          </cell>
          <cell r="AB868">
            <v>0</v>
          </cell>
          <cell r="AC868">
            <v>0</v>
          </cell>
          <cell r="AD868">
            <v>0</v>
          </cell>
          <cell r="AE868">
            <v>0</v>
          </cell>
          <cell r="AF868">
            <v>0</v>
          </cell>
          <cell r="AG868">
            <v>0</v>
          </cell>
          <cell r="AH868">
            <v>0</v>
          </cell>
          <cell r="AI868">
            <v>0</v>
          </cell>
          <cell r="AJ868">
            <v>0</v>
          </cell>
          <cell r="AK868">
            <v>0</v>
          </cell>
        </row>
        <row r="869">
          <cell r="A869" t="str">
            <v>ems_ci_co2_sroa_2</v>
          </cell>
          <cell r="B869">
            <v>15.963741819999999</v>
          </cell>
          <cell r="C869">
            <v>15.8515985</v>
          </cell>
          <cell r="D869">
            <v>15.75964551</v>
          </cell>
          <cell r="E869">
            <v>15.699473429999999</v>
          </cell>
          <cell r="F869">
            <v>15.71363586</v>
          </cell>
          <cell r="G869">
            <v>15.78505872</v>
          </cell>
          <cell r="H869">
            <v>15.88973846</v>
          </cell>
          <cell r="I869">
            <v>15.29738908</v>
          </cell>
          <cell r="J869">
            <v>14.67667683</v>
          </cell>
          <cell r="K869">
            <v>14.114714230000001</v>
          </cell>
          <cell r="L869">
            <v>13.57797618</v>
          </cell>
          <cell r="M869">
            <v>13.08820687</v>
          </cell>
          <cell r="N869">
            <v>12.627928799999999</v>
          </cell>
          <cell r="O869">
            <v>12.180420870000001</v>
          </cell>
          <cell r="P869">
            <v>11.74470064</v>
          </cell>
          <cell r="Q869">
            <v>11.31937488</v>
          </cell>
          <cell r="R869">
            <v>10.89616996</v>
          </cell>
          <cell r="S869">
            <v>10.476304320000001</v>
          </cell>
          <cell r="T869">
            <v>10.060657880000001</v>
          </cell>
          <cell r="U869">
            <v>9.6487692969999994</v>
          </cell>
          <cell r="V869">
            <v>9.2397861040000002</v>
          </cell>
          <cell r="W869">
            <v>8.8323169959999994</v>
          </cell>
          <cell r="X869">
            <v>8.4250594299999992</v>
          </cell>
          <cell r="Y869">
            <v>8.0159116519999998</v>
          </cell>
          <cell r="Z869">
            <v>7.601947161</v>
          </cell>
          <cell r="AA869">
            <v>7.1802670989999999</v>
          </cell>
          <cell r="AB869">
            <v>6.7481631450000004</v>
          </cell>
          <cell r="AC869">
            <v>6.3031692909999997</v>
          </cell>
          <cell r="AD869">
            <v>5.8418315300000003</v>
          </cell>
          <cell r="AE869">
            <v>5.3594764819999998</v>
          </cell>
          <cell r="AF869">
            <v>4.8512273859999997</v>
          </cell>
          <cell r="AG869">
            <v>4.3127788479999998</v>
          </cell>
          <cell r="AH869">
            <v>3.7402577799999999</v>
          </cell>
          <cell r="AI869">
            <v>3.129790469</v>
          </cell>
          <cell r="AJ869">
            <v>2.477293537</v>
          </cell>
          <cell r="AK869">
            <v>1.778226466</v>
          </cell>
        </row>
        <row r="870">
          <cell r="A870" t="str">
            <v>ems_y_co2_sroa_2</v>
          </cell>
          <cell r="B870">
            <v>0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>
            <v>0</v>
          </cell>
          <cell r="V870">
            <v>0</v>
          </cell>
          <cell r="W870">
            <v>0</v>
          </cell>
          <cell r="X870">
            <v>0</v>
          </cell>
          <cell r="Y870">
            <v>0</v>
          </cell>
          <cell r="Z870">
            <v>0</v>
          </cell>
          <cell r="AA870">
            <v>0</v>
          </cell>
          <cell r="AB870">
            <v>0</v>
          </cell>
          <cell r="AC870">
            <v>0</v>
          </cell>
          <cell r="AD870">
            <v>0</v>
          </cell>
          <cell r="AE870">
            <v>0</v>
          </cell>
          <cell r="AF870">
            <v>0</v>
          </cell>
          <cell r="AG870">
            <v>0</v>
          </cell>
          <cell r="AH870">
            <v>0</v>
          </cell>
          <cell r="AI870">
            <v>0</v>
          </cell>
          <cell r="AJ870">
            <v>0</v>
          </cell>
          <cell r="AK870">
            <v>0</v>
          </cell>
        </row>
        <row r="871">
          <cell r="A871" t="str">
            <v>ems_mat_co2_sroa_2</v>
          </cell>
          <cell r="B871">
            <v>0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0</v>
          </cell>
          <cell r="Y871">
            <v>0</v>
          </cell>
          <cell r="Z871">
            <v>0</v>
          </cell>
          <cell r="AA871">
            <v>0</v>
          </cell>
          <cell r="AB871">
            <v>0</v>
          </cell>
          <cell r="AC871">
            <v>0</v>
          </cell>
          <cell r="AD871">
            <v>0</v>
          </cell>
          <cell r="AE871">
            <v>0</v>
          </cell>
          <cell r="AF871">
            <v>0</v>
          </cell>
          <cell r="AG871">
            <v>0</v>
          </cell>
          <cell r="AH871">
            <v>0</v>
          </cell>
          <cell r="AI871">
            <v>0</v>
          </cell>
          <cell r="AJ871">
            <v>0</v>
          </cell>
          <cell r="AK871">
            <v>0</v>
          </cell>
        </row>
        <row r="872">
          <cell r="A872" t="str">
            <v>ems_ci_co2_swat_2</v>
          </cell>
          <cell r="B872">
            <v>3.7606019540000002</v>
          </cell>
          <cell r="C872">
            <v>3.8202090649999998</v>
          </cell>
          <cell r="D872">
            <v>3.8784297510000001</v>
          </cell>
          <cell r="E872">
            <v>3.929035308</v>
          </cell>
          <cell r="F872">
            <v>3.9877354060000001</v>
          </cell>
          <cell r="G872">
            <v>4.0550773449999999</v>
          </cell>
          <cell r="H872">
            <v>4.1284634320000002</v>
          </cell>
          <cell r="I872">
            <v>4.027281007</v>
          </cell>
          <cell r="J872">
            <v>3.9365683730000001</v>
          </cell>
          <cell r="K872">
            <v>3.9011496939999999</v>
          </cell>
          <cell r="L872">
            <v>3.8757036079999998</v>
          </cell>
          <cell r="M872">
            <v>3.850977962</v>
          </cell>
          <cell r="N872">
            <v>3.8095302150000001</v>
          </cell>
          <cell r="O872">
            <v>3.7437028529999998</v>
          </cell>
          <cell r="P872">
            <v>3.6620131140000001</v>
          </cell>
          <cell r="Q872">
            <v>3.570145916</v>
          </cell>
          <cell r="R872">
            <v>3.4737532689999999</v>
          </cell>
          <cell r="S872">
            <v>3.3769103829999998</v>
          </cell>
          <cell r="T872">
            <v>3.281770056</v>
          </cell>
          <cell r="U872">
            <v>3.1880960690000002</v>
          </cell>
          <cell r="V872">
            <v>3.0952942320000001</v>
          </cell>
          <cell r="W872">
            <v>3.0030507480000002</v>
          </cell>
          <cell r="X872">
            <v>2.9112201340000001</v>
          </cell>
          <cell r="Y872">
            <v>2.8179701480000001</v>
          </cell>
          <cell r="Z872">
            <v>2.7207043959999999</v>
          </cell>
          <cell r="AA872">
            <v>2.617384071</v>
          </cell>
          <cell r="AB872">
            <v>2.508392379</v>
          </cell>
          <cell r="AC872">
            <v>2.3948692930000002</v>
          </cell>
          <cell r="AD872">
            <v>2.2744505350000002</v>
          </cell>
          <cell r="AE872">
            <v>2.1430904200000001</v>
          </cell>
          <cell r="AF872">
            <v>1.9969955859999999</v>
          </cell>
          <cell r="AG872">
            <v>1.8340373670000001</v>
          </cell>
          <cell r="AH872">
            <v>1.652829836</v>
          </cell>
          <cell r="AI872">
            <v>1.451235236</v>
          </cell>
          <cell r="AJ872">
            <v>1.2267585940000001</v>
          </cell>
          <cell r="AK872">
            <v>0.9766292285</v>
          </cell>
        </row>
        <row r="873">
          <cell r="A873" t="str">
            <v>ems_y_co2_swat_2</v>
          </cell>
          <cell r="B873">
            <v>0</v>
          </cell>
          <cell r="C873">
            <v>0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  <cell r="Z873">
            <v>0</v>
          </cell>
          <cell r="AA873">
            <v>0</v>
          </cell>
          <cell r="AB873">
            <v>0</v>
          </cell>
          <cell r="AC873">
            <v>0</v>
          </cell>
          <cell r="AD873">
            <v>0</v>
          </cell>
          <cell r="AE873">
            <v>0</v>
          </cell>
          <cell r="AF873">
            <v>0</v>
          </cell>
          <cell r="AG873">
            <v>0</v>
          </cell>
          <cell r="AH873">
            <v>0</v>
          </cell>
          <cell r="AI873">
            <v>0</v>
          </cell>
          <cell r="AJ873">
            <v>0</v>
          </cell>
          <cell r="AK873">
            <v>0</v>
          </cell>
        </row>
        <row r="874">
          <cell r="A874" t="str">
            <v>ems_mat_co2_swat_2</v>
          </cell>
          <cell r="B874">
            <v>0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0</v>
          </cell>
          <cell r="Y874">
            <v>0</v>
          </cell>
          <cell r="Z874">
            <v>0</v>
          </cell>
          <cell r="AA874">
            <v>0</v>
          </cell>
          <cell r="AB874">
            <v>0</v>
          </cell>
          <cell r="AC874">
            <v>0</v>
          </cell>
          <cell r="AD874">
            <v>0</v>
          </cell>
          <cell r="AE874">
            <v>0</v>
          </cell>
          <cell r="AF874">
            <v>0</v>
          </cell>
          <cell r="AG874">
            <v>0</v>
          </cell>
          <cell r="AH874">
            <v>0</v>
          </cell>
          <cell r="AI874">
            <v>0</v>
          </cell>
          <cell r="AJ874">
            <v>0</v>
          </cell>
          <cell r="AK874">
            <v>0</v>
          </cell>
        </row>
        <row r="875">
          <cell r="A875" t="str">
            <v>ems_ci_co2_sair_2</v>
          </cell>
          <cell r="B875">
            <v>19.721460579999999</v>
          </cell>
          <cell r="C875">
            <v>19.881738299999999</v>
          </cell>
          <cell r="D875">
            <v>20.047571820000002</v>
          </cell>
          <cell r="E875">
            <v>20.18646017</v>
          </cell>
          <cell r="F875">
            <v>20.38485592</v>
          </cell>
          <cell r="G875">
            <v>20.649143389999999</v>
          </cell>
          <cell r="H875">
            <v>20.963280340000001</v>
          </cell>
          <cell r="I875">
            <v>20.335913560000002</v>
          </cell>
          <cell r="J875">
            <v>19.651786049999998</v>
          </cell>
          <cell r="K875">
            <v>19.111740569999998</v>
          </cell>
          <cell r="L875">
            <v>18.615363890000001</v>
          </cell>
          <cell r="M875">
            <v>18.18284641</v>
          </cell>
          <cell r="N875">
            <v>17.774912199999999</v>
          </cell>
          <cell r="O875">
            <v>17.353642789999999</v>
          </cell>
          <cell r="P875">
            <v>16.923478849999999</v>
          </cell>
          <cell r="Q875">
            <v>16.48543716</v>
          </cell>
          <cell r="R875">
            <v>16.021107829999998</v>
          </cell>
          <cell r="S875">
            <v>15.543321580000001</v>
          </cell>
          <cell r="T875">
            <v>15.06079984</v>
          </cell>
          <cell r="U875">
            <v>14.5771099</v>
          </cell>
          <cell r="V875">
            <v>14.09385165</v>
          </cell>
          <cell r="W875">
            <v>13.611430609999999</v>
          </cell>
          <cell r="X875">
            <v>13.129790789999999</v>
          </cell>
          <cell r="Y875">
            <v>12.644526859999999</v>
          </cell>
          <cell r="Z875">
            <v>12.148264620000001</v>
          </cell>
          <cell r="AA875">
            <v>11.63410577</v>
          </cell>
          <cell r="AB875">
            <v>11.100201719999999</v>
          </cell>
          <cell r="AC875">
            <v>10.544507250000001</v>
          </cell>
          <cell r="AD875">
            <v>9.9592023919999999</v>
          </cell>
          <cell r="AE875">
            <v>9.3317020409999998</v>
          </cell>
          <cell r="AF875">
            <v>8.6485480359999993</v>
          </cell>
          <cell r="AG875">
            <v>7.8987129559999998</v>
          </cell>
          <cell r="AH875">
            <v>7.0722405540000004</v>
          </cell>
          <cell r="AI875">
            <v>6.1572468589999998</v>
          </cell>
          <cell r="AJ875">
            <v>5.1398433790000002</v>
          </cell>
          <cell r="AK875">
            <v>4.0034729450000004</v>
          </cell>
        </row>
        <row r="876">
          <cell r="A876" t="str">
            <v>ems_y_co2_sair_2</v>
          </cell>
          <cell r="B876">
            <v>0</v>
          </cell>
          <cell r="C876">
            <v>0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0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</row>
        <row r="877">
          <cell r="A877" t="str">
            <v>ems_mat_co2_sair_2</v>
          </cell>
          <cell r="B877">
            <v>0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0</v>
          </cell>
          <cell r="V877">
            <v>0</v>
          </cell>
          <cell r="W877">
            <v>0</v>
          </cell>
          <cell r="X877">
            <v>0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0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0</v>
          </cell>
          <cell r="AK877">
            <v>0</v>
          </cell>
        </row>
        <row r="878">
          <cell r="A878" t="str">
            <v>ems_ci_co2_spri_2</v>
          </cell>
          <cell r="B878">
            <v>30.743293649999998</v>
          </cell>
          <cell r="C878">
            <v>30.47361321</v>
          </cell>
          <cell r="D878">
            <v>30.192816019999999</v>
          </cell>
          <cell r="E878">
            <v>29.90769654</v>
          </cell>
          <cell r="F878">
            <v>29.82737084</v>
          </cell>
          <cell r="G878">
            <v>29.918764060000001</v>
          </cell>
          <cell r="H878">
            <v>30.13979745</v>
          </cell>
          <cell r="I878">
            <v>29.191077199999999</v>
          </cell>
          <cell r="J878">
            <v>28.024300910000001</v>
          </cell>
          <cell r="K878">
            <v>26.872706869999998</v>
          </cell>
          <cell r="L878">
            <v>25.735924690000001</v>
          </cell>
          <cell r="M878">
            <v>24.776080220000001</v>
          </cell>
          <cell r="N878">
            <v>23.947831959999998</v>
          </cell>
          <cell r="O878">
            <v>23.20560502</v>
          </cell>
          <cell r="P878">
            <v>22.53772708</v>
          </cell>
          <cell r="Q878">
            <v>21.936992889999999</v>
          </cell>
          <cell r="R878">
            <v>21.331023389999999</v>
          </cell>
          <cell r="S878">
            <v>20.744028440000001</v>
          </cell>
          <cell r="T878">
            <v>20.192269060000001</v>
          </cell>
          <cell r="U878">
            <v>19.684207130000001</v>
          </cell>
          <cell r="V878">
            <v>19.224286419999999</v>
          </cell>
          <cell r="W878">
            <v>18.814746450000001</v>
          </cell>
          <cell r="X878">
            <v>18.456657209999999</v>
          </cell>
          <cell r="Y878">
            <v>18.14766066</v>
          </cell>
          <cell r="Z878">
            <v>17.883750110000001</v>
          </cell>
          <cell r="AA878">
            <v>17.66045433</v>
          </cell>
          <cell r="AB878">
            <v>17.47731967</v>
          </cell>
          <cell r="AC878">
            <v>17.33360952</v>
          </cell>
          <cell r="AD878">
            <v>17.222017690000001</v>
          </cell>
          <cell r="AE878">
            <v>17.130218450000001</v>
          </cell>
          <cell r="AF878">
            <v>17.044829849999999</v>
          </cell>
          <cell r="AG878">
            <v>16.95536354</v>
          </cell>
          <cell r="AH878">
            <v>16.853518099999999</v>
          </cell>
          <cell r="AI878">
            <v>16.730084269999999</v>
          </cell>
          <cell r="AJ878">
            <v>16.576005540000001</v>
          </cell>
          <cell r="AK878">
            <v>16.3821938</v>
          </cell>
        </row>
        <row r="879">
          <cell r="A879" t="str">
            <v>ems_y_co2_spri_2</v>
          </cell>
          <cell r="B879">
            <v>0.40336426619999999</v>
          </cell>
          <cell r="C879">
            <v>0.40592170109999998</v>
          </cell>
          <cell r="D879">
            <v>0.4102161601</v>
          </cell>
          <cell r="E879">
            <v>0.41618761970000001</v>
          </cell>
          <cell r="F879">
            <v>0.42286489890000001</v>
          </cell>
          <cell r="G879">
            <v>0.42995045640000001</v>
          </cell>
          <cell r="H879">
            <v>0.43727278409999998</v>
          </cell>
          <cell r="I879">
            <v>0.44360625479999999</v>
          </cell>
          <cell r="J879">
            <v>0.4498478185</v>
          </cell>
          <cell r="K879">
            <v>0.45794434210000001</v>
          </cell>
          <cell r="L879">
            <v>0.46656110890000002</v>
          </cell>
          <cell r="M879">
            <v>0.47540411059999998</v>
          </cell>
          <cell r="N879">
            <v>0.4844049943</v>
          </cell>
          <cell r="O879">
            <v>0.49326102570000002</v>
          </cell>
          <cell r="P879">
            <v>0.50214437820000002</v>
          </cell>
          <cell r="Q879">
            <v>0.51115429980000004</v>
          </cell>
          <cell r="R879">
            <v>0.52031582340000004</v>
          </cell>
          <cell r="S879">
            <v>0.52973772050000001</v>
          </cell>
          <cell r="T879">
            <v>0.53951366730000005</v>
          </cell>
          <cell r="U879">
            <v>0.54971553070000001</v>
          </cell>
          <cell r="V879">
            <v>0.56041922249999998</v>
          </cell>
          <cell r="W879">
            <v>0.57168180889999998</v>
          </cell>
          <cell r="X879">
            <v>0.58358746309999998</v>
          </cell>
          <cell r="Y879">
            <v>0.59619762369999996</v>
          </cell>
          <cell r="Z879">
            <v>0.60952349110000004</v>
          </cell>
          <cell r="AA879">
            <v>0.62358125129999997</v>
          </cell>
          <cell r="AB879">
            <v>0.63840222150000003</v>
          </cell>
          <cell r="AC879">
            <v>0.65403684309999999</v>
          </cell>
          <cell r="AD879">
            <v>0.67052761319999998</v>
          </cell>
          <cell r="AE879">
            <v>0.68781503519999998</v>
          </cell>
          <cell r="AF879">
            <v>0.7057781514</v>
          </cell>
          <cell r="AG879">
            <v>0.72430096610000005</v>
          </cell>
          <cell r="AH879">
            <v>0.74329451449999995</v>
          </cell>
          <cell r="AI879">
            <v>0.76268838019999996</v>
          </cell>
          <cell r="AJ879">
            <v>0.78241759600000005</v>
          </cell>
          <cell r="AK879">
            <v>0.80241316429999998</v>
          </cell>
        </row>
        <row r="880">
          <cell r="A880" t="str">
            <v>ems_mat_co2_spri_2</v>
          </cell>
          <cell r="B880">
            <v>0.59151289789999995</v>
          </cell>
          <cell r="C880">
            <v>0.5955298618</v>
          </cell>
          <cell r="D880">
            <v>0.60158177540000002</v>
          </cell>
          <cell r="E880">
            <v>0.61012637240000001</v>
          </cell>
          <cell r="F880">
            <v>0.6198829428</v>
          </cell>
          <cell r="G880">
            <v>0.63029927750000003</v>
          </cell>
          <cell r="H880">
            <v>0.64108275299999995</v>
          </cell>
          <cell r="I880">
            <v>0.6505506244</v>
          </cell>
          <cell r="J880">
            <v>0.65973894499999997</v>
          </cell>
          <cell r="K880">
            <v>0.67139736189999999</v>
          </cell>
          <cell r="L880">
            <v>0.68401716359999998</v>
          </cell>
          <cell r="M880">
            <v>0.69702590600000003</v>
          </cell>
          <cell r="N880">
            <v>0.71026915030000004</v>
          </cell>
          <cell r="O880">
            <v>0.72332488610000001</v>
          </cell>
          <cell r="P880">
            <v>0.73638390779999996</v>
          </cell>
          <cell r="Q880">
            <v>0.74960545030000003</v>
          </cell>
          <cell r="R880">
            <v>0.76304245370000001</v>
          </cell>
          <cell r="S880">
            <v>0.77684782529999996</v>
          </cell>
          <cell r="T880">
            <v>0.79116409170000002</v>
          </cell>
          <cell r="U880">
            <v>0.80610216400000001</v>
          </cell>
          <cell r="V880">
            <v>0.82177436979999996</v>
          </cell>
          <cell r="W880">
            <v>0.83826748470000001</v>
          </cell>
          <cell r="X880">
            <v>0.85570194749999995</v>
          </cell>
          <cell r="Y880">
            <v>0.87417111780000001</v>
          </cell>
          <cell r="Z880">
            <v>0.89369751750000004</v>
          </cell>
          <cell r="AA880">
            <v>0.91430293640000004</v>
          </cell>
          <cell r="AB880">
            <v>0.93603001519999995</v>
          </cell>
          <cell r="AC880">
            <v>0.95894977619999999</v>
          </cell>
          <cell r="AD880">
            <v>0.98312566010000002</v>
          </cell>
          <cell r="AE880">
            <v>1.0084826119999999</v>
          </cell>
          <cell r="AF880">
            <v>1.034847928</v>
          </cell>
          <cell r="AG880">
            <v>1.0620461590000001</v>
          </cell>
          <cell r="AH880">
            <v>1.0899394120000001</v>
          </cell>
          <cell r="AI880">
            <v>1.1184198439999999</v>
          </cell>
          <cell r="AJ880">
            <v>1.1473906519999999</v>
          </cell>
          <cell r="AK880">
            <v>1.1767509169999999</v>
          </cell>
        </row>
        <row r="881">
          <cell r="A881" t="str">
            <v>ems_ci_co2_spub_2</v>
          </cell>
          <cell r="B881">
            <v>14.96650101</v>
          </cell>
          <cell r="C881">
            <v>14.88687522</v>
          </cell>
          <cell r="D881">
            <v>14.78920492</v>
          </cell>
          <cell r="E881">
            <v>14.6527899</v>
          </cell>
          <cell r="F881">
            <v>14.613783939999999</v>
          </cell>
          <cell r="G881">
            <v>14.651320309999999</v>
          </cell>
          <cell r="H881">
            <v>14.74247534</v>
          </cell>
          <cell r="I881">
            <v>14.04263868</v>
          </cell>
          <cell r="J881">
            <v>13.28390061</v>
          </cell>
          <cell r="K881">
            <v>12.53885891</v>
          </cell>
          <cell r="L881">
            <v>11.830419300000001</v>
          </cell>
          <cell r="M881">
            <v>11.236441170000001</v>
          </cell>
          <cell r="N881">
            <v>10.72425885</v>
          </cell>
          <cell r="O881">
            <v>10.26873958</v>
          </cell>
          <cell r="P881">
            <v>9.8548411950000006</v>
          </cell>
          <cell r="Q881">
            <v>9.4724344279999997</v>
          </cell>
          <cell r="R881">
            <v>9.0898926069999995</v>
          </cell>
          <cell r="S881">
            <v>8.7142954479999997</v>
          </cell>
          <cell r="T881">
            <v>8.3496772359999998</v>
          </cell>
          <cell r="U881">
            <v>7.9976163079999996</v>
          </cell>
          <cell r="V881">
            <v>7.6582033049999998</v>
          </cell>
          <cell r="W881">
            <v>7.3306955919999996</v>
          </cell>
          <cell r="X881">
            <v>7.013684595</v>
          </cell>
          <cell r="Y881">
            <v>6.7048876809999998</v>
          </cell>
          <cell r="Z881">
            <v>6.4016816509999996</v>
          </cell>
          <cell r="AA881">
            <v>6.101157852</v>
          </cell>
          <cell r="AB881">
            <v>5.8009263300000002</v>
          </cell>
          <cell r="AC881">
            <v>5.4981980899999998</v>
          </cell>
          <cell r="AD881">
            <v>5.1887814700000003</v>
          </cell>
          <cell r="AE881">
            <v>4.8677373719999997</v>
          </cell>
          <cell r="AF881">
            <v>4.5299347990000003</v>
          </cell>
          <cell r="AG881">
            <v>4.1703730170000002</v>
          </cell>
          <cell r="AH881">
            <v>3.7838052850000001</v>
          </cell>
          <cell r="AI881">
            <v>3.3641688510000001</v>
          </cell>
          <cell r="AJ881">
            <v>2.9045130029999999</v>
          </cell>
          <cell r="AK881">
            <v>2.396608273</v>
          </cell>
        </row>
        <row r="882">
          <cell r="A882" t="str">
            <v>ems_y_co2_spub_2</v>
          </cell>
          <cell r="B882">
            <v>0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H882">
            <v>0</v>
          </cell>
          <cell r="I882">
            <v>0</v>
          </cell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0</v>
          </cell>
          <cell r="Y882">
            <v>0</v>
          </cell>
          <cell r="Z882">
            <v>0</v>
          </cell>
          <cell r="AA882">
            <v>0</v>
          </cell>
          <cell r="AB882">
            <v>0</v>
          </cell>
          <cell r="AC882">
            <v>0</v>
          </cell>
          <cell r="AD882">
            <v>0</v>
          </cell>
          <cell r="AE882">
            <v>0</v>
          </cell>
          <cell r="AF882">
            <v>0</v>
          </cell>
          <cell r="AG882">
            <v>0</v>
          </cell>
          <cell r="AH882">
            <v>0</v>
          </cell>
          <cell r="AI882">
            <v>0</v>
          </cell>
          <cell r="AJ882">
            <v>0</v>
          </cell>
          <cell r="AK882">
            <v>0</v>
          </cell>
        </row>
        <row r="883">
          <cell r="A883" t="str">
            <v>ems_mat_co2_spub_2</v>
          </cell>
          <cell r="B883">
            <v>9.7250820460000007</v>
          </cell>
          <cell r="C883">
            <v>9.8260946550000003</v>
          </cell>
          <cell r="D883">
            <v>9.9475888529999992</v>
          </cell>
          <cell r="E883">
            <v>10.08961133</v>
          </cell>
          <cell r="F883">
            <v>10.24219501</v>
          </cell>
          <cell r="G883">
            <v>10.40102778</v>
          </cell>
          <cell r="H883">
            <v>10.56443672</v>
          </cell>
          <cell r="I883">
            <v>10.727507510000001</v>
          </cell>
          <cell r="J883">
            <v>10.890838799999999</v>
          </cell>
          <cell r="K883">
            <v>11.06519992</v>
          </cell>
          <cell r="L883">
            <v>11.24628229</v>
          </cell>
          <cell r="M883">
            <v>11.43196676</v>
          </cell>
          <cell r="N883">
            <v>11.623054979999999</v>
          </cell>
          <cell r="O883">
            <v>11.817754770000001</v>
          </cell>
          <cell r="P883">
            <v>12.01604043</v>
          </cell>
          <cell r="Q883">
            <v>12.21802022</v>
          </cell>
          <cell r="R883">
            <v>12.42427915</v>
          </cell>
          <cell r="S883">
            <v>12.63495736</v>
          </cell>
          <cell r="T883">
            <v>12.85067973</v>
          </cell>
          <cell r="U883">
            <v>13.07208449</v>
          </cell>
          <cell r="V883">
            <v>13.29981476</v>
          </cell>
          <cell r="W883">
            <v>13.53435816</v>
          </cell>
          <cell r="X883">
            <v>13.77630873</v>
          </cell>
          <cell r="Y883">
            <v>14.026171700000001</v>
          </cell>
          <cell r="Z883">
            <v>14.284141079999999</v>
          </cell>
          <cell r="AA883">
            <v>14.550356130000001</v>
          </cell>
          <cell r="AB883">
            <v>14.824922219999999</v>
          </cell>
          <cell r="AC883">
            <v>15.108148480000001</v>
          </cell>
          <cell r="AD883">
            <v>15.40048532</v>
          </cell>
          <cell r="AE883">
            <v>15.701928880000001</v>
          </cell>
          <cell r="AF883">
            <v>16.012047800000001</v>
          </cell>
          <cell r="AG883">
            <v>16.33026753</v>
          </cell>
          <cell r="AH883">
            <v>16.656068779999998</v>
          </cell>
          <cell r="AI883">
            <v>16.989090650000001</v>
          </cell>
          <cell r="AJ883">
            <v>17.329038799999999</v>
          </cell>
          <cell r="AK883">
            <v>17.67557721</v>
          </cell>
        </row>
        <row r="884">
          <cell r="A884" t="str">
            <v>ems_ci_co2_smin_2</v>
          </cell>
          <cell r="B884">
            <v>1.7619968939999999</v>
          </cell>
          <cell r="C884">
            <v>1.9613436420000001</v>
          </cell>
          <cell r="D884">
            <v>2.151302067</v>
          </cell>
          <cell r="E884">
            <v>2.3049257619999999</v>
          </cell>
          <cell r="F884">
            <v>2.4295518230000002</v>
          </cell>
          <cell r="G884">
            <v>2.5350642680000002</v>
          </cell>
          <cell r="H884">
            <v>2.6282392020000001</v>
          </cell>
          <cell r="I884">
            <v>2.6360992360000002</v>
          </cell>
          <cell r="J884">
            <v>2.631443306</v>
          </cell>
          <cell r="K884">
            <v>2.6296120900000002</v>
          </cell>
          <cell r="L884">
            <v>2.6240907830000002</v>
          </cell>
          <cell r="M884">
            <v>2.6137372499999998</v>
          </cell>
          <cell r="N884">
            <v>2.5964937369999999</v>
          </cell>
          <cell r="O884">
            <v>2.571878984</v>
          </cell>
          <cell r="P884">
            <v>2.5427435319999998</v>
          </cell>
          <cell r="Q884">
            <v>2.511288344</v>
          </cell>
          <cell r="R884">
            <v>2.4908448929999998</v>
          </cell>
          <cell r="S884">
            <v>2.47183799</v>
          </cell>
          <cell r="T884">
            <v>2.4537940549999999</v>
          </cell>
          <cell r="U884">
            <v>2.436729669</v>
          </cell>
          <cell r="V884">
            <v>2.4208022960000002</v>
          </cell>
          <cell r="W884">
            <v>2.4061790859999999</v>
          </cell>
          <cell r="X884">
            <v>2.3931849569999999</v>
          </cell>
          <cell r="Y884">
            <v>2.3817134759999998</v>
          </cell>
          <cell r="Z884">
            <v>2.3712667440000001</v>
          </cell>
          <cell r="AA884">
            <v>2.3614715980000001</v>
          </cell>
          <cell r="AB884">
            <v>2.3498370259999999</v>
          </cell>
          <cell r="AC884">
            <v>2.3390037490000002</v>
          </cell>
          <cell r="AD884">
            <v>2.328847229</v>
          </cell>
          <cell r="AE884">
            <v>2.3181876610000001</v>
          </cell>
          <cell r="AF884">
            <v>2.305650317</v>
          </cell>
          <cell r="AG884">
            <v>2.2903214840000001</v>
          </cell>
          <cell r="AH884">
            <v>2.2716646410000001</v>
          </cell>
          <cell r="AI884">
            <v>2.2491198269999999</v>
          </cell>
          <cell r="AJ884">
            <v>2.2221001440000001</v>
          </cell>
          <cell r="AK884">
            <v>2.1899224340000001</v>
          </cell>
        </row>
        <row r="885">
          <cell r="A885" t="str">
            <v>ems_y_co2_smin_2</v>
          </cell>
          <cell r="B885">
            <v>0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</row>
        <row r="886">
          <cell r="A886" t="str">
            <v>ems_mat_co2_smin_2</v>
          </cell>
          <cell r="B886">
            <v>9.7029069400000001E-2</v>
          </cell>
          <cell r="C886">
            <v>0.1080709177</v>
          </cell>
          <cell r="D886">
            <v>0.1186334309</v>
          </cell>
          <cell r="E886">
            <v>0.12722121149999999</v>
          </cell>
          <cell r="F886">
            <v>0.13420182380000001</v>
          </cell>
          <cell r="G886">
            <v>0.14010829850000001</v>
          </cell>
          <cell r="H886">
            <v>0.14530978259999999</v>
          </cell>
          <cell r="I886">
            <v>0.14865397259999999</v>
          </cell>
          <cell r="J886">
            <v>0.15144583910000001</v>
          </cell>
          <cell r="K886">
            <v>0.15454900299999999</v>
          </cell>
          <cell r="L886">
            <v>0.1575845052</v>
          </cell>
          <cell r="M886">
            <v>0.16045138149999999</v>
          </cell>
          <cell r="N886">
            <v>0.16301126220000001</v>
          </cell>
          <cell r="O886">
            <v>0.16521073889999999</v>
          </cell>
          <cell r="P886">
            <v>0.16720851819999999</v>
          </cell>
          <cell r="Q886">
            <v>0.16913482739999999</v>
          </cell>
          <cell r="R886">
            <v>0.1719087973</v>
          </cell>
          <cell r="S886">
            <v>0.17490931600000001</v>
          </cell>
          <cell r="T886">
            <v>0.17811639500000001</v>
          </cell>
          <cell r="U886">
            <v>0.18154547800000001</v>
          </cell>
          <cell r="V886">
            <v>0.18522460669999999</v>
          </cell>
          <cell r="W886">
            <v>0.18918506090000001</v>
          </cell>
          <cell r="X886">
            <v>0.19347475110000001</v>
          </cell>
          <cell r="Y886">
            <v>0.198112974</v>
          </cell>
          <cell r="Z886">
            <v>0.20308782980000001</v>
          </cell>
          <cell r="AA886">
            <v>0.20839754050000001</v>
          </cell>
          <cell r="AB886">
            <v>0.2138440717</v>
          </cell>
          <cell r="AC886">
            <v>0.2196866066</v>
          </cell>
          <cell r="AD886">
            <v>0.22595718270000001</v>
          </cell>
          <cell r="AE886">
            <v>0.2325898408</v>
          </cell>
          <cell r="AF886">
            <v>0.23948940069999999</v>
          </cell>
          <cell r="AG886">
            <v>0.24659385819999999</v>
          </cell>
          <cell r="AH886">
            <v>0.25387240150000001</v>
          </cell>
          <cell r="AI886">
            <v>0.26128827469999999</v>
          </cell>
          <cell r="AJ886">
            <v>0.26879499019999997</v>
          </cell>
          <cell r="AK886">
            <v>0.27632432239999999</v>
          </cell>
        </row>
        <row r="887">
          <cell r="A887" t="str">
            <v>ems_ci_co2_soil_2</v>
          </cell>
          <cell r="B887">
            <v>16.602035879999999</v>
          </cell>
          <cell r="C887">
            <v>16.862559409999999</v>
          </cell>
          <cell r="D887">
            <v>17.095154019999999</v>
          </cell>
          <cell r="E887">
            <v>17.30592536</v>
          </cell>
          <cell r="F887">
            <v>17.522870690000001</v>
          </cell>
          <cell r="G887">
            <v>17.748227140000001</v>
          </cell>
          <cell r="H887">
            <v>17.972759239999998</v>
          </cell>
          <cell r="I887">
            <v>17.264002080000001</v>
          </cell>
          <cell r="J887">
            <v>16.443559270000002</v>
          </cell>
          <cell r="K887">
            <v>15.61997066</v>
          </cell>
          <cell r="L887">
            <v>14.77270785</v>
          </cell>
          <cell r="M887">
            <v>13.92374599</v>
          </cell>
          <cell r="N887">
            <v>13.088734219999999</v>
          </cell>
          <cell r="O887">
            <v>12.279065149999999</v>
          </cell>
          <cell r="P887">
            <v>11.510447299999999</v>
          </cell>
          <cell r="Q887">
            <v>10.790604310000001</v>
          </cell>
          <cell r="R887">
            <v>10.15007093</v>
          </cell>
          <cell r="S887">
            <v>9.5564629669999999</v>
          </cell>
          <cell r="T887">
            <v>9.0046067310000009</v>
          </cell>
          <cell r="U887">
            <v>8.4919912709999998</v>
          </cell>
          <cell r="V887">
            <v>8.016466651</v>
          </cell>
          <cell r="W887">
            <v>7.5759855900000002</v>
          </cell>
          <cell r="X887">
            <v>7.1689622049999997</v>
          </cell>
          <cell r="Y887">
            <v>6.7934546559999998</v>
          </cell>
          <cell r="Z887">
            <v>6.4470598629999998</v>
          </cell>
          <cell r="AA887">
            <v>6.1276736930000002</v>
          </cell>
          <cell r="AB887">
            <v>5.838550476</v>
          </cell>
          <cell r="AC887">
            <v>5.5746097350000001</v>
          </cell>
          <cell r="AD887">
            <v>5.3336545759999998</v>
          </cell>
          <cell r="AE887">
            <v>5.112596795</v>
          </cell>
          <cell r="AF887">
            <v>4.9080720810000003</v>
          </cell>
          <cell r="AG887">
            <v>4.7173869069999999</v>
          </cell>
          <cell r="AH887">
            <v>4.5384835719999996</v>
          </cell>
          <cell r="AI887">
            <v>4.3694712420000004</v>
          </cell>
          <cell r="AJ887">
            <v>4.2085081539999996</v>
          </cell>
          <cell r="AK887">
            <v>4.053730141</v>
          </cell>
        </row>
        <row r="888">
          <cell r="A888" t="str">
            <v>ems_y_co2_soil_2</v>
          </cell>
          <cell r="B888">
            <v>0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</row>
        <row r="889">
          <cell r="A889" t="str">
            <v>ems_mat_co2_soil_2</v>
          </cell>
          <cell r="B889">
            <v>4.7795047750000004</v>
          </cell>
          <cell r="C889">
            <v>4.8552813959999996</v>
          </cell>
          <cell r="D889">
            <v>4.9231202009999997</v>
          </cell>
          <cell r="E889">
            <v>4.9849607200000001</v>
          </cell>
          <cell r="F889">
            <v>5.0481997490000001</v>
          </cell>
          <cell r="G889">
            <v>5.1135544050000004</v>
          </cell>
          <cell r="H889">
            <v>5.1783956209999999</v>
          </cell>
          <cell r="I889">
            <v>5.0161937480000001</v>
          </cell>
          <cell r="J889">
            <v>4.8188365380000002</v>
          </cell>
          <cell r="K889">
            <v>4.6171857550000004</v>
          </cell>
          <cell r="L889">
            <v>4.4048359210000001</v>
          </cell>
          <cell r="M889">
            <v>4.1877280839999997</v>
          </cell>
          <cell r="N889">
            <v>3.9706903539999998</v>
          </cell>
          <cell r="O889">
            <v>3.7573570150000002</v>
          </cell>
          <cell r="P889">
            <v>3.5527815120000001</v>
          </cell>
          <cell r="Q889">
            <v>3.3596794700000001</v>
          </cell>
          <cell r="R889">
            <v>3.1881824280000002</v>
          </cell>
          <cell r="S889">
            <v>3.0284860560000002</v>
          </cell>
          <cell r="T889">
            <v>2.8792136959999999</v>
          </cell>
          <cell r="U889">
            <v>2.7398312439999999</v>
          </cell>
          <cell r="V889">
            <v>2.609917356</v>
          </cell>
          <cell r="W889">
            <v>2.4890742989999999</v>
          </cell>
          <cell r="X889">
            <v>2.377045002</v>
          </cell>
          <cell r="Y889">
            <v>2.273444172</v>
          </cell>
          <cell r="Z889">
            <v>2.17771391</v>
          </cell>
          <cell r="AA889">
            <v>2.0893751809999999</v>
          </cell>
          <cell r="AB889">
            <v>2.009772044</v>
          </cell>
          <cell r="AC889">
            <v>1.937403159</v>
          </cell>
          <cell r="AD889">
            <v>1.8717208919999999</v>
          </cell>
          <cell r="AE889">
            <v>1.811838386</v>
          </cell>
          <cell r="AF889">
            <v>1.7567330000000001</v>
          </cell>
          <cell r="AG889">
            <v>1.705582446</v>
          </cell>
          <cell r="AH889">
            <v>1.657763111</v>
          </cell>
          <cell r="AI889">
            <v>1.612687464</v>
          </cell>
          <cell r="AJ889">
            <v>1.569761663</v>
          </cell>
          <cell r="AK889">
            <v>1.52835823</v>
          </cell>
        </row>
        <row r="890">
          <cell r="A890" t="str">
            <v>ems_ci_co2_sbfu_2</v>
          </cell>
          <cell r="B890">
            <v>3.9471017019999999</v>
          </cell>
          <cell r="C890">
            <v>4.0484337909999999</v>
          </cell>
          <cell r="D890">
            <v>4.1396878639999999</v>
          </cell>
          <cell r="E890">
            <v>4.2200013849999998</v>
          </cell>
          <cell r="F890">
            <v>4.295861929</v>
          </cell>
          <cell r="G890">
            <v>4.3687747630000002</v>
          </cell>
          <cell r="H890">
            <v>4.4375497079999997</v>
          </cell>
          <cell r="I890">
            <v>5.3110777650000003</v>
          </cell>
          <cell r="J890">
            <v>6.1863439580000001</v>
          </cell>
          <cell r="K890">
            <v>6.936825443</v>
          </cell>
          <cell r="L890">
            <v>7.5375377840000004</v>
          </cell>
          <cell r="M890">
            <v>7.9939293999999999</v>
          </cell>
          <cell r="N890">
            <v>8.3184808439999998</v>
          </cell>
          <cell r="O890">
            <v>8.526240928</v>
          </cell>
          <cell r="P890">
            <v>8.6335064349999993</v>
          </cell>
          <cell r="Q890">
            <v>8.6544623549999997</v>
          </cell>
          <cell r="R890">
            <v>8.6578862870000002</v>
          </cell>
          <cell r="S890">
            <v>8.6054564419999995</v>
          </cell>
          <cell r="T890">
            <v>8.4984303249999993</v>
          </cell>
          <cell r="U890">
            <v>8.3418737899999993</v>
          </cell>
          <cell r="V890">
            <v>8.140575535</v>
          </cell>
          <cell r="W890">
            <v>7.8987088659999998</v>
          </cell>
          <cell r="X890">
            <v>7.6199732879999997</v>
          </cell>
          <cell r="Y890">
            <v>7.3073154479999998</v>
          </cell>
          <cell r="Z890">
            <v>6.9629589559999996</v>
          </cell>
          <cell r="AA890">
            <v>6.5887009599999997</v>
          </cell>
          <cell r="AB890">
            <v>6.1863054430000002</v>
          </cell>
          <cell r="AC890">
            <v>5.7572732819999999</v>
          </cell>
          <cell r="AD890">
            <v>5.3021024499999996</v>
          </cell>
          <cell r="AE890">
            <v>4.8201993170000001</v>
          </cell>
          <cell r="AF890">
            <v>4.310328427</v>
          </cell>
          <cell r="AG890">
            <v>3.7710934200000001</v>
          </cell>
          <cell r="AH890">
            <v>3.2008738970000001</v>
          </cell>
          <cell r="AI890">
            <v>2.5974806749999999</v>
          </cell>
          <cell r="AJ890">
            <v>1.9580590950000001</v>
          </cell>
          <cell r="AK890">
            <v>1.278914879</v>
          </cell>
        </row>
        <row r="891">
          <cell r="A891" t="str">
            <v>ems_y_co2_sbfu_2</v>
          </cell>
          <cell r="B891">
            <v>0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  <cell r="Z891">
            <v>0</v>
          </cell>
          <cell r="AA891">
            <v>0</v>
          </cell>
          <cell r="AB891">
            <v>0</v>
          </cell>
          <cell r="AC891">
            <v>0</v>
          </cell>
          <cell r="AD891">
            <v>0</v>
          </cell>
          <cell r="AE891">
            <v>0</v>
          </cell>
          <cell r="AF891">
            <v>0</v>
          </cell>
          <cell r="AG891">
            <v>0</v>
          </cell>
          <cell r="AH891">
            <v>0</v>
          </cell>
          <cell r="AI891">
            <v>0</v>
          </cell>
          <cell r="AJ891">
            <v>0</v>
          </cell>
          <cell r="AK891">
            <v>0</v>
          </cell>
        </row>
        <row r="892">
          <cell r="A892" t="str">
            <v>ems_mat_co2_sbfu_2</v>
          </cell>
          <cell r="B892">
            <v>3.2921661719999999</v>
          </cell>
          <cell r="C892">
            <v>3.3766844620000001</v>
          </cell>
          <cell r="D892">
            <v>3.4527969700000001</v>
          </cell>
          <cell r="E892">
            <v>3.51978429</v>
          </cell>
          <cell r="F892">
            <v>3.5830574830000002</v>
          </cell>
          <cell r="G892">
            <v>3.6438720550000001</v>
          </cell>
          <cell r="H892">
            <v>3.7012353139999998</v>
          </cell>
          <cell r="I892">
            <v>4.5788532039999996</v>
          </cell>
          <cell r="J892">
            <v>5.5191290029999998</v>
          </cell>
          <cell r="K892">
            <v>6.4118943960000001</v>
          </cell>
          <cell r="L892">
            <v>7.22785849</v>
          </cell>
          <cell r="M892">
            <v>7.9634916909999998</v>
          </cell>
          <cell r="N892">
            <v>8.6219828780000007</v>
          </cell>
          <cell r="O892">
            <v>9.2098319330000002</v>
          </cell>
          <cell r="P892">
            <v>9.7360908479999999</v>
          </cell>
          <cell r="Q892">
            <v>10.208987179999999</v>
          </cell>
          <cell r="R892">
            <v>10.70584287</v>
          </cell>
          <cell r="S892">
            <v>11.180513149999999</v>
          </cell>
          <cell r="T892">
            <v>11.631164460000001</v>
          </cell>
          <cell r="U892">
            <v>12.06105573</v>
          </cell>
          <cell r="V892">
            <v>12.473800649999999</v>
          </cell>
          <cell r="W892">
            <v>12.872929340000001</v>
          </cell>
          <cell r="X892">
            <v>13.262106259999999</v>
          </cell>
          <cell r="Y892">
            <v>13.644658229999999</v>
          </cell>
          <cell r="Z892">
            <v>14.023501700000001</v>
          </cell>
          <cell r="AA892">
            <v>14.40161606</v>
          </cell>
          <cell r="AB892">
            <v>14.78301278</v>
          </cell>
          <cell r="AC892">
            <v>15.17266016</v>
          </cell>
          <cell r="AD892">
            <v>15.57485861</v>
          </cell>
          <cell r="AE892">
            <v>15.992514</v>
          </cell>
          <cell r="AF892">
            <v>16.427814829999999</v>
          </cell>
          <cell r="AG892">
            <v>16.88375877</v>
          </cell>
          <cell r="AH892">
            <v>17.36466669</v>
          </cell>
          <cell r="AI892">
            <v>17.875586980000001</v>
          </cell>
          <cell r="AJ892">
            <v>18.422721540000001</v>
          </cell>
          <cell r="AK892">
            <v>19.01418305</v>
          </cell>
        </row>
        <row r="893">
          <cell r="A893" t="str">
            <v>ems_ci_co2_seoi_2</v>
          </cell>
          <cell r="B893">
            <v>1.7975471110000001</v>
          </cell>
          <cell r="C893">
            <v>1.817676772</v>
          </cell>
          <cell r="D893">
            <v>1.835673702</v>
          </cell>
          <cell r="E893">
            <v>1.85580334</v>
          </cell>
          <cell r="F893">
            <v>1.8758359979999999</v>
          </cell>
          <cell r="G893">
            <v>1.897773771</v>
          </cell>
          <cell r="H893">
            <v>1.9227821979999999</v>
          </cell>
          <cell r="I893">
            <v>1.848225075</v>
          </cell>
          <cell r="J893">
            <v>1.773696229</v>
          </cell>
          <cell r="K893">
            <v>1.7093183670000001</v>
          </cell>
          <cell r="L893">
            <v>1.6475839210000001</v>
          </cell>
          <cell r="M893">
            <v>1.58324866</v>
          </cell>
          <cell r="N893">
            <v>1.515626548</v>
          </cell>
          <cell r="O893">
            <v>1.444108181</v>
          </cell>
          <cell r="P893">
            <v>1.3698498349999999</v>
          </cell>
          <cell r="Q893">
            <v>1.2935825679999999</v>
          </cell>
          <cell r="R893">
            <v>1.214368723</v>
          </cell>
          <cell r="S893">
            <v>1.1343969789999999</v>
          </cell>
          <cell r="T893">
            <v>1.054129941</v>
          </cell>
          <cell r="U893">
            <v>0.9739302205</v>
          </cell>
          <cell r="V893">
            <v>0.89423664940000003</v>
          </cell>
          <cell r="W893">
            <v>0.81551371070000001</v>
          </cell>
          <cell r="X893">
            <v>0.73821878249999995</v>
          </cell>
          <cell r="Y893">
            <v>0.66268935579999999</v>
          </cell>
          <cell r="Z893">
            <v>0.58920723760000004</v>
          </cell>
          <cell r="AA893">
            <v>0.51808342009999997</v>
          </cell>
          <cell r="AB893">
            <v>0.44991324490000001</v>
          </cell>
          <cell r="AC893">
            <v>0.38491703109999997</v>
          </cell>
          <cell r="AD893">
            <v>0.3233835323</v>
          </cell>
          <cell r="AE893">
            <v>0.26560092810000002</v>
          </cell>
          <cell r="AF893">
            <v>0.21193940859999999</v>
          </cell>
          <cell r="AG893">
            <v>0.16288644520000001</v>
          </cell>
          <cell r="AH893">
            <v>0.1189989345</v>
          </cell>
          <cell r="AI893">
            <v>8.0859194100000004E-2</v>
          </cell>
          <cell r="AJ893">
            <v>4.9078956E-2</v>
          </cell>
          <cell r="AK893">
            <v>2.4293655800000001E-2</v>
          </cell>
        </row>
        <row r="894">
          <cell r="A894" t="str">
            <v>ems_y_co2_seoi_2</v>
          </cell>
          <cell r="B894">
            <v>0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  <cell r="Z894">
            <v>0</v>
          </cell>
          <cell r="AA894">
            <v>0</v>
          </cell>
          <cell r="AB894">
            <v>0</v>
          </cell>
          <cell r="AC894">
            <v>0</v>
          </cell>
          <cell r="AD894">
            <v>0</v>
          </cell>
          <cell r="AE894">
            <v>0</v>
          </cell>
          <cell r="AF894">
            <v>0</v>
          </cell>
          <cell r="AG894">
            <v>0</v>
          </cell>
          <cell r="AH894">
            <v>0</v>
          </cell>
          <cell r="AI894">
            <v>0</v>
          </cell>
          <cell r="AJ894">
            <v>0</v>
          </cell>
          <cell r="AK894">
            <v>0</v>
          </cell>
        </row>
        <row r="895">
          <cell r="A895" t="str">
            <v>ems_mat_co2_seoi_2</v>
          </cell>
          <cell r="B895">
            <v>0.1231988455</v>
          </cell>
          <cell r="C895">
            <v>0.1245784761</v>
          </cell>
          <cell r="D895">
            <v>0.12581193530000001</v>
          </cell>
          <cell r="E895">
            <v>0.1271915643</v>
          </cell>
          <cell r="F895">
            <v>0.12856454649999999</v>
          </cell>
          <cell r="G895">
            <v>0.1300681001</v>
          </cell>
          <cell r="H895">
            <v>0.13178210770000001</v>
          </cell>
          <cell r="I895">
            <v>0.13093621</v>
          </cell>
          <cell r="J895">
            <v>0.13003345180000001</v>
          </cell>
          <cell r="K895">
            <v>0.12983657870000001</v>
          </cell>
          <cell r="L895">
            <v>0.1298332697</v>
          </cell>
          <cell r="M895">
            <v>0.1296167808</v>
          </cell>
          <cell r="N895">
            <v>0.12910278850000001</v>
          </cell>
          <cell r="O895">
            <v>0.12819954759999999</v>
          </cell>
          <cell r="P895">
            <v>0.1269627998</v>
          </cell>
          <cell r="Q895">
            <v>0.12541733159999999</v>
          </cell>
          <cell r="R895">
            <v>0.123423117</v>
          </cell>
          <cell r="S895">
            <v>0.1211455788</v>
          </cell>
          <cell r="T895">
            <v>0.1185913252</v>
          </cell>
          <cell r="U895">
            <v>0.1157565722</v>
          </cell>
          <cell r="V895">
            <v>0.1126462312</v>
          </cell>
          <cell r="W895">
            <v>0.1092699015</v>
          </cell>
          <cell r="X895">
            <v>0.1056387764</v>
          </cell>
          <cell r="Y895">
            <v>0.1017489083</v>
          </cell>
          <cell r="Z895">
            <v>9.7585884400000003E-2</v>
          </cell>
          <cell r="AA895">
            <v>9.3135614199999994E-2</v>
          </cell>
          <cell r="AB895">
            <v>8.8434634299999995E-2</v>
          </cell>
          <cell r="AC895">
            <v>8.3453229399999995E-2</v>
          </cell>
          <cell r="AD895">
            <v>7.8164574099999995E-2</v>
          </cell>
          <cell r="AE895">
            <v>7.2527763800000006E-2</v>
          </cell>
          <cell r="AF895">
            <v>6.6503232800000006E-2</v>
          </cell>
          <cell r="AG895">
            <v>6.0066933500000003E-2</v>
          </cell>
          <cell r="AH895">
            <v>5.3205423299999999E-2</v>
          </cell>
          <cell r="AI895">
            <v>4.5905185899999999E-2</v>
          </cell>
          <cell r="AJ895">
            <v>3.8155598800000003E-2</v>
          </cell>
          <cell r="AK895">
            <v>2.99503983E-2</v>
          </cell>
        </row>
        <row r="896">
          <cell r="A896" t="str">
            <v>ems_ci_co2_sega_2</v>
          </cell>
          <cell r="B896">
            <v>4.5543633970000004</v>
          </cell>
          <cell r="C896">
            <v>4.6053649979999998</v>
          </cell>
          <cell r="D896">
            <v>4.6509629930000003</v>
          </cell>
          <cell r="E896">
            <v>4.7019645319999999</v>
          </cell>
          <cell r="F896">
            <v>4.7527203570000003</v>
          </cell>
          <cell r="G896">
            <v>4.808303091</v>
          </cell>
          <cell r="H896">
            <v>4.8716658009999998</v>
          </cell>
          <cell r="I896">
            <v>4.6752711370000002</v>
          </cell>
          <cell r="J896">
            <v>4.4779518779999998</v>
          </cell>
          <cell r="K896">
            <v>4.3063226319999997</v>
          </cell>
          <cell r="L896">
            <v>4.1414473349999996</v>
          </cell>
          <cell r="M896">
            <v>3.9701245300000001</v>
          </cell>
          <cell r="N896">
            <v>3.7906786970000002</v>
          </cell>
          <cell r="O896">
            <v>3.6016568840000001</v>
          </cell>
          <cell r="P896">
            <v>3.4060309530000001</v>
          </cell>
          <cell r="Q896">
            <v>3.205701178</v>
          </cell>
          <cell r="R896">
            <v>2.9984400529999999</v>
          </cell>
          <cell r="S896">
            <v>2.7897637280000001</v>
          </cell>
          <cell r="T896">
            <v>2.5808953109999999</v>
          </cell>
          <cell r="U896">
            <v>2.3728120640000001</v>
          </cell>
          <cell r="V896">
            <v>2.1666780989999999</v>
          </cell>
          <cell r="W896">
            <v>1.963717334</v>
          </cell>
          <cell r="X896">
            <v>1.7651322460000001</v>
          </cell>
          <cell r="Y896">
            <v>1.57183545</v>
          </cell>
          <cell r="Z896">
            <v>1.3846116500000001</v>
          </cell>
          <cell r="AA896">
            <v>1.2043230700000001</v>
          </cell>
          <cell r="AB896">
            <v>1.032494598</v>
          </cell>
          <cell r="AC896">
            <v>0.86977878060000002</v>
          </cell>
          <cell r="AD896">
            <v>0.71700548580000001</v>
          </cell>
          <cell r="AE896">
            <v>0.57502924119999999</v>
          </cell>
          <cell r="AF896">
            <v>0.44491935529999999</v>
          </cell>
          <cell r="AG896">
            <v>0.32802745570000003</v>
          </cell>
          <cell r="AH896">
            <v>0.22586948200000001</v>
          </cell>
          <cell r="AI896">
            <v>0.1400223364</v>
          </cell>
          <cell r="AJ896">
            <v>7.2126113300000003E-2</v>
          </cell>
          <cell r="AK896">
            <v>2.3821417300000002E-2</v>
          </cell>
        </row>
        <row r="897">
          <cell r="A897" t="str">
            <v>ems_y_co2_sega_2</v>
          </cell>
          <cell r="B897">
            <v>0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  <cell r="Z897">
            <v>0</v>
          </cell>
          <cell r="AA897">
            <v>0</v>
          </cell>
          <cell r="AB897">
            <v>0</v>
          </cell>
          <cell r="AC897">
            <v>0</v>
          </cell>
          <cell r="AD897">
            <v>0</v>
          </cell>
          <cell r="AE897">
            <v>0</v>
          </cell>
          <cell r="AF897">
            <v>0</v>
          </cell>
          <cell r="AG897">
            <v>0</v>
          </cell>
          <cell r="AH897">
            <v>0</v>
          </cell>
          <cell r="AI897">
            <v>0</v>
          </cell>
          <cell r="AJ897">
            <v>0</v>
          </cell>
          <cell r="AK897">
            <v>0</v>
          </cell>
        </row>
        <row r="898">
          <cell r="A898" t="str">
            <v>ems_mat_co2_sega_2</v>
          </cell>
          <cell r="B898">
            <v>0.31214331439999998</v>
          </cell>
          <cell r="C898">
            <v>0.31563882170000002</v>
          </cell>
          <cell r="D898">
            <v>0.31876398109999998</v>
          </cell>
          <cell r="E898">
            <v>0.32225948450000003</v>
          </cell>
          <cell r="F898">
            <v>0.32573814719999999</v>
          </cell>
          <cell r="G898">
            <v>0.32954763250000002</v>
          </cell>
          <cell r="H898">
            <v>0.33389033550000002</v>
          </cell>
          <cell r="I898">
            <v>0.33094961509999998</v>
          </cell>
          <cell r="J898">
            <v>0.32774158180000001</v>
          </cell>
          <cell r="K898">
            <v>0.32625442840000002</v>
          </cell>
          <cell r="L898">
            <v>0.32518928629999999</v>
          </cell>
          <cell r="M898">
            <v>0.3235182399</v>
          </cell>
          <cell r="N898">
            <v>0.3210279935</v>
          </cell>
          <cell r="O898">
            <v>0.31748999880000001</v>
          </cell>
          <cell r="P898">
            <v>0.3130434137</v>
          </cell>
          <cell r="Q898">
            <v>0.30774930560000002</v>
          </cell>
          <cell r="R898">
            <v>0.30126539000000002</v>
          </cell>
          <cell r="S898">
            <v>0.2939985276</v>
          </cell>
          <cell r="T898">
            <v>0.28596353949999997</v>
          </cell>
          <cell r="U898">
            <v>0.2771497429</v>
          </cell>
          <cell r="V898">
            <v>0.26756708159999998</v>
          </cell>
          <cell r="W898">
            <v>0.25723575069999999</v>
          </cell>
          <cell r="X898">
            <v>0.2461781797</v>
          </cell>
          <cell r="Y898">
            <v>0.2343797809</v>
          </cell>
          <cell r="Z898">
            <v>0.22180114109999999</v>
          </cell>
          <cell r="AA898">
            <v>0.20840360920000001</v>
          </cell>
          <cell r="AB898">
            <v>0.19425972150000001</v>
          </cell>
          <cell r="AC898">
            <v>0.1792899339</v>
          </cell>
          <cell r="AD898">
            <v>0.16342148440000001</v>
          </cell>
          <cell r="AE898">
            <v>0.1465534942</v>
          </cell>
          <cell r="AF898">
            <v>0.1285930703</v>
          </cell>
          <cell r="AG898">
            <v>0.1094840091</v>
          </cell>
          <cell r="AH898">
            <v>8.9193594900000006E-2</v>
          </cell>
          <cell r="AI898">
            <v>6.7690452499999998E-2</v>
          </cell>
          <cell r="AJ898">
            <v>4.4944580300000002E-2</v>
          </cell>
          <cell r="AK898">
            <v>2.08776686E-2</v>
          </cell>
        </row>
        <row r="899">
          <cell r="A899" t="str">
            <v>ems_ci_co2_seco_2</v>
          </cell>
          <cell r="B899">
            <v>4.5430306859999998</v>
          </cell>
          <cell r="C899">
            <v>4.5939053220000003</v>
          </cell>
          <cell r="D899">
            <v>4.6393897910000002</v>
          </cell>
          <cell r="E899">
            <v>4.690264344</v>
          </cell>
          <cell r="F899">
            <v>4.7408938159999998</v>
          </cell>
          <cell r="G899">
            <v>4.796338199</v>
          </cell>
          <cell r="H899">
            <v>4.8595432059999997</v>
          </cell>
          <cell r="I899">
            <v>4.8212802310000002</v>
          </cell>
          <cell r="J899">
            <v>4.7798275779999999</v>
          </cell>
          <cell r="K899">
            <v>4.7638055030000004</v>
          </cell>
          <cell r="L899">
            <v>4.7543147030000004</v>
          </cell>
          <cell r="M899">
            <v>4.7363796589999998</v>
          </cell>
          <cell r="N899">
            <v>4.7068940699999997</v>
          </cell>
          <cell r="O899">
            <v>4.6625093209999999</v>
          </cell>
          <cell r="P899">
            <v>4.6052625420000002</v>
          </cell>
          <cell r="Q899">
            <v>4.5360523800000001</v>
          </cell>
          <cell r="R899">
            <v>4.4498260280000004</v>
          </cell>
          <cell r="S899">
            <v>4.3525748220000002</v>
          </cell>
          <cell r="T899">
            <v>4.244525383</v>
          </cell>
          <cell r="U899">
            <v>4.1255284369999998</v>
          </cell>
          <cell r="V899">
            <v>3.995742898</v>
          </cell>
          <cell r="W899">
            <v>3.8554861219999998</v>
          </cell>
          <cell r="X899">
            <v>3.7051182310000002</v>
          </cell>
          <cell r="Y899">
            <v>3.5444529189999998</v>
          </cell>
          <cell r="Z899">
            <v>3.3729329199999998</v>
          </cell>
          <cell r="AA899">
            <v>3.1900123250000001</v>
          </cell>
          <cell r="AB899">
            <v>2.9968606169999998</v>
          </cell>
          <cell r="AC899">
            <v>2.792344001</v>
          </cell>
          <cell r="AD899">
            <v>2.5754303529999998</v>
          </cell>
          <cell r="AE899">
            <v>2.344635223</v>
          </cell>
          <cell r="AF899">
            <v>2.0985641730000002</v>
          </cell>
          <cell r="AG899">
            <v>1.8363719999999999</v>
          </cell>
          <cell r="AH899">
            <v>1.557576818</v>
          </cell>
          <cell r="AI899">
            <v>1.261715208</v>
          </cell>
          <cell r="AJ899">
            <v>0.94843537369999997</v>
          </cell>
          <cell r="AK899">
            <v>0.6174037027</v>
          </cell>
        </row>
        <row r="900">
          <cell r="A900" t="str">
            <v>ems_y_co2_seco_2</v>
          </cell>
          <cell r="B900">
            <v>0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0</v>
          </cell>
          <cell r="Y900">
            <v>0</v>
          </cell>
          <cell r="Z900">
            <v>0</v>
          </cell>
          <cell r="AA900">
            <v>0</v>
          </cell>
          <cell r="AB900">
            <v>0</v>
          </cell>
          <cell r="AC900">
            <v>0</v>
          </cell>
          <cell r="AD900">
            <v>0</v>
          </cell>
          <cell r="AE900">
            <v>0</v>
          </cell>
          <cell r="AF900">
            <v>0</v>
          </cell>
          <cell r="AG900">
            <v>0</v>
          </cell>
          <cell r="AH900">
            <v>0</v>
          </cell>
          <cell r="AI900">
            <v>0</v>
          </cell>
          <cell r="AJ900">
            <v>0</v>
          </cell>
          <cell r="AK900">
            <v>0</v>
          </cell>
        </row>
        <row r="901">
          <cell r="A901" t="str">
            <v>ems_mat_co2_seco_2</v>
          </cell>
          <cell r="B901">
            <v>0.31136660529999999</v>
          </cell>
          <cell r="C901">
            <v>0.31485341480000001</v>
          </cell>
          <cell r="D901">
            <v>0.31797079779999998</v>
          </cell>
          <cell r="E901">
            <v>0.32145760330000001</v>
          </cell>
          <cell r="F901">
            <v>0.32492760999999998</v>
          </cell>
          <cell r="G901">
            <v>0.32872761620000002</v>
          </cell>
          <cell r="H901">
            <v>0.33305951319999999</v>
          </cell>
          <cell r="I901">
            <v>0.33043713590000001</v>
          </cell>
          <cell r="J901">
            <v>0.32759614469999998</v>
          </cell>
          <cell r="K901">
            <v>0.32649809390000001</v>
          </cell>
          <cell r="L901">
            <v>0.3258476776</v>
          </cell>
          <cell r="M901">
            <v>0.32461851429999999</v>
          </cell>
          <cell r="N901">
            <v>0.32259770329999998</v>
          </cell>
          <cell r="O901">
            <v>0.31955574320000002</v>
          </cell>
          <cell r="P901">
            <v>0.31563225340000001</v>
          </cell>
          <cell r="Q901">
            <v>0.31088882410000002</v>
          </cell>
          <cell r="R901">
            <v>0.30497914980000002</v>
          </cell>
          <cell r="S901">
            <v>0.2983138595</v>
          </cell>
          <cell r="T901">
            <v>0.2909084851</v>
          </cell>
          <cell r="U901">
            <v>0.28275279510000001</v>
          </cell>
          <cell r="V901">
            <v>0.27385768090000001</v>
          </cell>
          <cell r="W901">
            <v>0.26424489249999999</v>
          </cell>
          <cell r="X901">
            <v>0.25393911180000001</v>
          </cell>
          <cell r="Y901">
            <v>0.24292756930000001</v>
          </cell>
          <cell r="Z901">
            <v>0.2311720713</v>
          </cell>
          <cell r="AA901">
            <v>0.21863520219999999</v>
          </cell>
          <cell r="AB901">
            <v>0.2053971151</v>
          </cell>
          <cell r="AC901">
            <v>0.19138010229999999</v>
          </cell>
          <cell r="AD901">
            <v>0.17651342449999999</v>
          </cell>
          <cell r="AE901">
            <v>0.1606953411</v>
          </cell>
          <cell r="AF901">
            <v>0.14383028110000001</v>
          </cell>
          <cell r="AG901">
            <v>0.12586031340000001</v>
          </cell>
          <cell r="AH901">
            <v>0.1067523757</v>
          </cell>
          <cell r="AI901">
            <v>8.6474761100000005E-2</v>
          </cell>
          <cell r="AJ901">
            <v>6.5002857400000003E-2</v>
          </cell>
          <cell r="AK901">
            <v>4.2314910400000003E-2</v>
          </cell>
        </row>
        <row r="902">
          <cell r="A902" t="str">
            <v>ems_ci_co2_sech_2</v>
          </cell>
          <cell r="B902">
            <v>2.5433200010000001</v>
          </cell>
          <cell r="C902">
            <v>2.5377520910000002</v>
          </cell>
          <cell r="D902">
            <v>2.5430616189999999</v>
          </cell>
          <cell r="E902">
            <v>2.5554738700000001</v>
          </cell>
          <cell r="F902">
            <v>2.5732524840000002</v>
          </cell>
          <cell r="G902">
            <v>2.5961263130000001</v>
          </cell>
          <cell r="H902">
            <v>2.6237686770000002</v>
          </cell>
          <cell r="I902">
            <v>2.7130079450000002</v>
          </cell>
          <cell r="J902">
            <v>2.8146925669999998</v>
          </cell>
          <cell r="K902">
            <v>2.931733114</v>
          </cell>
          <cell r="L902">
            <v>3.0587397439999999</v>
          </cell>
          <cell r="M902">
            <v>3.1923474180000002</v>
          </cell>
          <cell r="N902">
            <v>3.3304577499999999</v>
          </cell>
          <cell r="O902">
            <v>3.4701196799999998</v>
          </cell>
          <cell r="P902">
            <v>3.6114650949999998</v>
          </cell>
          <cell r="Q902">
            <v>3.7545806939999999</v>
          </cell>
          <cell r="R902">
            <v>3.8957666209999999</v>
          </cell>
          <cell r="S902">
            <v>4.0377639070000004</v>
          </cell>
          <cell r="T902">
            <v>4.1808944769999998</v>
          </cell>
          <cell r="U902">
            <v>4.3252859920000004</v>
          </cell>
          <cell r="V902">
            <v>4.4712513229999997</v>
          </cell>
          <cell r="W902">
            <v>4.6192724949999997</v>
          </cell>
          <cell r="X902">
            <v>4.7700130649999997</v>
          </cell>
          <cell r="Y902">
            <v>4.9237125529999997</v>
          </cell>
          <cell r="Z902">
            <v>5.0802346910000002</v>
          </cell>
          <cell r="AA902">
            <v>5.2394411539999997</v>
          </cell>
          <cell r="AB902">
            <v>5.4035996080000004</v>
          </cell>
          <cell r="AC902">
            <v>5.5726870579999996</v>
          </cell>
          <cell r="AD902">
            <v>5.7465372710000002</v>
          </cell>
          <cell r="AE902">
            <v>5.9238530620000001</v>
          </cell>
          <cell r="AF902">
            <v>6.1028552009999997</v>
          </cell>
          <cell r="AG902">
            <v>6.2823430660000001</v>
          </cell>
          <cell r="AH902">
            <v>6.4616779510000004</v>
          </cell>
          <cell r="AI902">
            <v>6.6399548949999998</v>
          </cell>
          <cell r="AJ902">
            <v>6.8162014329999998</v>
          </cell>
          <cell r="AK902">
            <v>6.9896526540000004</v>
          </cell>
        </row>
        <row r="903">
          <cell r="A903" t="str">
            <v>ems_y_co2_sech_2</v>
          </cell>
          <cell r="B903">
            <v>0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  <cell r="Z903">
            <v>0</v>
          </cell>
          <cell r="AA903">
            <v>0</v>
          </cell>
          <cell r="AB903">
            <v>0</v>
          </cell>
          <cell r="AC903">
            <v>0</v>
          </cell>
          <cell r="AD903">
            <v>0</v>
          </cell>
          <cell r="AE903">
            <v>0</v>
          </cell>
          <cell r="AF903">
            <v>0</v>
          </cell>
          <cell r="AG903">
            <v>0</v>
          </cell>
          <cell r="AH903">
            <v>0</v>
          </cell>
          <cell r="AI903">
            <v>0</v>
          </cell>
          <cell r="AJ903">
            <v>0</v>
          </cell>
          <cell r="AK903">
            <v>0</v>
          </cell>
        </row>
        <row r="904">
          <cell r="A904" t="str">
            <v>ems_mat_co2_sech_2</v>
          </cell>
          <cell r="B904">
            <v>0.17845922289999999</v>
          </cell>
          <cell r="C904">
            <v>0.1806151872</v>
          </cell>
          <cell r="D904">
            <v>0.18265118399999999</v>
          </cell>
          <cell r="E904">
            <v>0.18474975199999999</v>
          </cell>
          <cell r="F904">
            <v>0.18677283110000001</v>
          </cell>
          <cell r="G904">
            <v>0.1888877155</v>
          </cell>
          <cell r="H904">
            <v>0.19118303119999999</v>
          </cell>
          <cell r="I904">
            <v>0.2005291655</v>
          </cell>
          <cell r="J904">
            <v>0.21110537469999999</v>
          </cell>
          <cell r="K904">
            <v>0.22314980949999999</v>
          </cell>
          <cell r="L904">
            <v>0.23629241209999999</v>
          </cell>
          <cell r="M904">
            <v>0.25015554639999998</v>
          </cell>
          <cell r="N904">
            <v>0.26464030179999998</v>
          </cell>
          <cell r="O904">
            <v>0.27956081929999999</v>
          </cell>
          <cell r="P904">
            <v>0.29496329630000001</v>
          </cell>
          <cell r="Q904">
            <v>0.3108866656</v>
          </cell>
          <cell r="R904">
            <v>0.32717322059999998</v>
          </cell>
          <cell r="S904">
            <v>0.34404458290000001</v>
          </cell>
          <cell r="T904">
            <v>0.36153424350000002</v>
          </cell>
          <cell r="U904">
            <v>0.37966548890000001</v>
          </cell>
          <cell r="V904">
            <v>0.39848303390000001</v>
          </cell>
          <cell r="W904">
            <v>0.41805174490000002</v>
          </cell>
          <cell r="X904">
            <v>0.4384594047</v>
          </cell>
          <cell r="Y904">
            <v>0.45976229819999997</v>
          </cell>
          <cell r="Z904">
            <v>0.48198537870000002</v>
          </cell>
          <cell r="AA904">
            <v>0.50515592720000002</v>
          </cell>
          <cell r="AB904">
            <v>0.52953599579999999</v>
          </cell>
          <cell r="AC904">
            <v>0.5551772828</v>
          </cell>
          <cell r="AD904">
            <v>0.58212491420000001</v>
          </cell>
          <cell r="AE904">
            <v>0.61031163870000005</v>
          </cell>
          <cell r="AF904">
            <v>0.63961410220000003</v>
          </cell>
          <cell r="AG904">
            <v>0.66995832330000005</v>
          </cell>
          <cell r="AH904">
            <v>0.70132194739999998</v>
          </cell>
          <cell r="AI904">
            <v>0.73364674789999995</v>
          </cell>
          <cell r="AJ904">
            <v>0.76684677840000004</v>
          </cell>
          <cell r="AK904">
            <v>0.80081099239999998</v>
          </cell>
        </row>
        <row r="905">
          <cell r="A905" t="str">
            <v>ems_ci_co2_seot_2</v>
          </cell>
          <cell r="B905">
            <v>1.37899843</v>
          </cell>
          <cell r="C905">
            <v>1.1678327909999999</v>
          </cell>
          <cell r="D905">
            <v>1.0371870599999999</v>
          </cell>
          <cell r="E905">
            <v>0.94744879449999997</v>
          </cell>
          <cell r="F905">
            <v>0.89471198220000003</v>
          </cell>
          <cell r="G905">
            <v>0.86467226529999996</v>
          </cell>
          <cell r="H905">
            <v>0.84947267879999999</v>
          </cell>
          <cell r="I905">
            <v>0.81437497619999999</v>
          </cell>
          <cell r="J905">
            <v>0.78728530100000005</v>
          </cell>
          <cell r="K905">
            <v>0.77183059740000004</v>
          </cell>
          <cell r="L905">
            <v>0.76410005869999997</v>
          </cell>
          <cell r="M905">
            <v>0.76308277250000001</v>
          </cell>
          <cell r="N905">
            <v>0.76633763040000002</v>
          </cell>
          <cell r="O905">
            <v>0.77199717430000003</v>
          </cell>
          <cell r="P905">
            <v>0.77947982920000003</v>
          </cell>
          <cell r="Q905">
            <v>0.78830785989999996</v>
          </cell>
          <cell r="R905">
            <v>0.79617566390000005</v>
          </cell>
          <cell r="S905">
            <v>0.80424926640000005</v>
          </cell>
          <cell r="T905">
            <v>0.81264682529999999</v>
          </cell>
          <cell r="U905">
            <v>0.8213785898</v>
          </cell>
          <cell r="V905">
            <v>0.83049535839999999</v>
          </cell>
          <cell r="W905">
            <v>0.8400846985</v>
          </cell>
          <cell r="X905">
            <v>0.85026413639999998</v>
          </cell>
          <cell r="Y905">
            <v>0.86105406470000001</v>
          </cell>
          <cell r="Z905">
            <v>0.87240122799999997</v>
          </cell>
          <cell r="AA905">
            <v>0.88425838599999995</v>
          </cell>
          <cell r="AB905">
            <v>0.89710160679999995</v>
          </cell>
          <cell r="AC905">
            <v>0.91084293370000002</v>
          </cell>
          <cell r="AD905">
            <v>0.92541739700000003</v>
          </cell>
          <cell r="AE905">
            <v>0.94057806340000005</v>
          </cell>
          <cell r="AF905">
            <v>0.95601736189999997</v>
          </cell>
          <cell r="AG905">
            <v>0.97155131179999998</v>
          </cell>
          <cell r="AH905">
            <v>0.98710435019999998</v>
          </cell>
          <cell r="AI905">
            <v>1.0025607379999999</v>
          </cell>
          <cell r="AJ905">
            <v>1.0177998539999999</v>
          </cell>
          <cell r="AK905">
            <v>1.03273865</v>
          </cell>
        </row>
        <row r="906">
          <cell r="A906" t="str">
            <v>ems_y_co2_seot_2</v>
          </cell>
          <cell r="B906">
            <v>0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  <cell r="Z906">
            <v>0</v>
          </cell>
          <cell r="AA906">
            <v>0</v>
          </cell>
          <cell r="AB906">
            <v>0</v>
          </cell>
          <cell r="AC906">
            <v>0</v>
          </cell>
          <cell r="AD906">
            <v>0</v>
          </cell>
          <cell r="AE906">
            <v>0</v>
          </cell>
          <cell r="AF906">
            <v>0</v>
          </cell>
          <cell r="AG906">
            <v>0</v>
          </cell>
          <cell r="AH906">
            <v>0</v>
          </cell>
          <cell r="AI906">
            <v>0</v>
          </cell>
          <cell r="AJ906">
            <v>0</v>
          </cell>
          <cell r="AK906">
            <v>0</v>
          </cell>
        </row>
        <row r="907">
          <cell r="A907" t="str">
            <v>ems_mat_co2_seot_2</v>
          </cell>
          <cell r="B907">
            <v>0.122788782</v>
          </cell>
          <cell r="C907">
            <v>0.12416382049999999</v>
          </cell>
          <cell r="D907">
            <v>0.1253931741</v>
          </cell>
          <cell r="E907">
            <v>0.1267682111</v>
          </cell>
          <cell r="F907">
            <v>0.12813662340000001</v>
          </cell>
          <cell r="G907">
            <v>0.12963517250000001</v>
          </cell>
          <cell r="H907">
            <v>0.13134347499999999</v>
          </cell>
          <cell r="I907">
            <v>0.13345389160000001</v>
          </cell>
          <cell r="J907">
            <v>0.1359693776</v>
          </cell>
          <cell r="K907">
            <v>0.13944142509999999</v>
          </cell>
          <cell r="L907">
            <v>0.14336087680000001</v>
          </cell>
          <cell r="M907">
            <v>0.14731202039999999</v>
          </cell>
          <cell r="N907">
            <v>0.15120931230000001</v>
          </cell>
          <cell r="O907">
            <v>0.1549467823</v>
          </cell>
          <cell r="P907">
            <v>0.1585877054</v>
          </cell>
          <cell r="Q907">
            <v>0.16216329439999999</v>
          </cell>
          <cell r="R907">
            <v>0.16548773820000001</v>
          </cell>
          <cell r="S907">
            <v>0.16877154690000001</v>
          </cell>
          <cell r="T907">
            <v>0.1720285886</v>
          </cell>
          <cell r="U907">
            <v>0.17525933090000001</v>
          </cell>
          <cell r="V907">
            <v>0.17847814719999999</v>
          </cell>
          <cell r="W907">
            <v>0.18171015679999999</v>
          </cell>
          <cell r="X907">
            <v>0.18498881649999999</v>
          </cell>
          <cell r="Y907">
            <v>0.18832757489999999</v>
          </cell>
          <cell r="Z907">
            <v>0.19172327519999999</v>
          </cell>
          <cell r="AA907">
            <v>0.19517341590000001</v>
          </cell>
          <cell r="AB907">
            <v>0.1987895656</v>
          </cell>
          <cell r="AC907">
            <v>0.20255894860000001</v>
          </cell>
          <cell r="AD907">
            <v>0.20647402419999999</v>
          </cell>
          <cell r="AE907">
            <v>0.21048562840000001</v>
          </cell>
          <cell r="AF907">
            <v>0.21452942159999999</v>
          </cell>
          <cell r="AG907">
            <v>0.2185667862</v>
          </cell>
          <cell r="AH907">
            <v>0.2225818859</v>
          </cell>
          <cell r="AI907">
            <v>0.2265481691</v>
          </cell>
          <cell r="AJ907">
            <v>0.23043386839999999</v>
          </cell>
          <cell r="AK907">
            <v>0.23420620289999999</v>
          </cell>
        </row>
        <row r="908">
          <cell r="A908" t="str">
            <v>ems_ci_co2_sagr_0</v>
          </cell>
          <cell r="B908">
            <v>11.80637836</v>
          </cell>
          <cell r="C908">
            <v>11.575444640000001</v>
          </cell>
          <cell r="D908">
            <v>11.360748320000001</v>
          </cell>
          <cell r="E908">
            <v>11.194046999999999</v>
          </cell>
          <cell r="F908">
            <v>11.13013726</v>
          </cell>
          <cell r="G908">
            <v>11.143240990000001</v>
          </cell>
          <cell r="H908">
            <v>11.16328934</v>
          </cell>
          <cell r="I908">
            <v>11.1723426</v>
          </cell>
          <cell r="J908">
            <v>11.16561619</v>
          </cell>
          <cell r="K908">
            <v>11.147452019999999</v>
          </cell>
          <cell r="L908">
            <v>11.123965480000001</v>
          </cell>
          <cell r="M908">
            <v>11.100202299999999</v>
          </cell>
          <cell r="N908">
            <v>11.07602683</v>
          </cell>
          <cell r="O908">
            <v>11.044808809999999</v>
          </cell>
          <cell r="P908">
            <v>11.01149839</v>
          </cell>
          <cell r="Q908">
            <v>10.981768539999999</v>
          </cell>
          <cell r="R908">
            <v>10.992870610000001</v>
          </cell>
          <cell r="S908">
            <v>11.0509477</v>
          </cell>
          <cell r="T908">
            <v>11.1546614</v>
          </cell>
          <cell r="U908">
            <v>11.29940352</v>
          </cell>
          <cell r="V908">
            <v>11.48048183</v>
          </cell>
          <cell r="W908">
            <v>11.693705230000001</v>
          </cell>
          <cell r="X908">
            <v>11.93687124</v>
          </cell>
          <cell r="Y908">
            <v>12.20834498</v>
          </cell>
          <cell r="Z908">
            <v>12.50622504</v>
          </cell>
          <cell r="AA908">
            <v>12.82921696</v>
          </cell>
          <cell r="AB908">
            <v>13.176673299999999</v>
          </cell>
          <cell r="AC908">
            <v>13.54942076</v>
          </cell>
          <cell r="AD908">
            <v>13.94724364</v>
          </cell>
          <cell r="AE908">
            <v>14.366560460000001</v>
          </cell>
          <cell r="AF908">
            <v>14.801940610000001</v>
          </cell>
          <cell r="AG908">
            <v>15.24830014</v>
          </cell>
          <cell r="AH908">
            <v>15.70158818</v>
          </cell>
          <cell r="AI908">
            <v>16.158313750000001</v>
          </cell>
          <cell r="AJ908">
            <v>16.615282839999999</v>
          </cell>
          <cell r="AK908">
            <v>17.069452040000002</v>
          </cell>
        </row>
        <row r="909">
          <cell r="A909" t="str">
            <v>ems_y_co2_sagr_0</v>
          </cell>
          <cell r="B909">
            <v>2.3457487299999999</v>
          </cell>
          <cell r="C909">
            <v>2.3251276540000001</v>
          </cell>
          <cell r="D909">
            <v>2.3192842819999999</v>
          </cell>
          <cell r="E909">
            <v>2.3317011170000002</v>
          </cell>
          <cell r="F909">
            <v>2.3546577609999999</v>
          </cell>
          <cell r="G909">
            <v>2.384310325</v>
          </cell>
          <cell r="H909">
            <v>2.417158213</v>
          </cell>
          <cell r="I909">
            <v>2.451566417</v>
          </cell>
          <cell r="J909">
            <v>2.4872802649999999</v>
          </cell>
          <cell r="K909">
            <v>2.5245216309999998</v>
          </cell>
          <cell r="L909">
            <v>2.5635714439999999</v>
          </cell>
          <cell r="M909">
            <v>2.604602157</v>
          </cell>
          <cell r="N909">
            <v>2.6467022729999998</v>
          </cell>
          <cell r="O909">
            <v>2.6875978819999999</v>
          </cell>
          <cell r="P909">
            <v>2.728222503</v>
          </cell>
          <cell r="Q909">
            <v>2.7694897749999998</v>
          </cell>
          <cell r="R909">
            <v>2.8132490680000002</v>
          </cell>
          <cell r="S909">
            <v>2.860758696</v>
          </cell>
          <cell r="T909">
            <v>2.9124135670000002</v>
          </cell>
          <cell r="U909">
            <v>2.9680809450000001</v>
          </cell>
          <cell r="V909">
            <v>3.0277021369999999</v>
          </cell>
          <cell r="W909">
            <v>3.0912645240000001</v>
          </cell>
          <cell r="X909">
            <v>3.159114094</v>
          </cell>
          <cell r="Y909">
            <v>3.2314825219999999</v>
          </cell>
          <cell r="Z909">
            <v>3.3083035930000002</v>
          </cell>
          <cell r="AA909">
            <v>3.3896161450000002</v>
          </cell>
          <cell r="AB909">
            <v>3.4755747509999999</v>
          </cell>
          <cell r="AC909">
            <v>3.5667018819999998</v>
          </cell>
          <cell r="AD909">
            <v>3.6631543190000002</v>
          </cell>
          <cell r="AE909">
            <v>3.764283313</v>
          </cell>
          <cell r="AF909">
            <v>3.8690780450000002</v>
          </cell>
          <cell r="AG909">
            <v>3.9767125889999999</v>
          </cell>
          <cell r="AH909">
            <v>4.0866232880000002</v>
          </cell>
          <cell r="AI909">
            <v>4.1983217130000003</v>
          </cell>
          <cell r="AJ909">
            <v>4.3113277610000003</v>
          </cell>
          <cell r="AK909">
            <v>4.4251389129999996</v>
          </cell>
        </row>
        <row r="910">
          <cell r="A910" t="str">
            <v>ems_mat_co2_sagr_0</v>
          </cell>
          <cell r="B910">
            <v>0</v>
          </cell>
          <cell r="C910">
            <v>0</v>
          </cell>
          <cell r="D910">
            <v>0</v>
          </cell>
          <cell r="E910">
            <v>0</v>
          </cell>
          <cell r="F910">
            <v>0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  <cell r="Z910">
            <v>0</v>
          </cell>
          <cell r="AA910">
            <v>0</v>
          </cell>
          <cell r="AB910">
            <v>0</v>
          </cell>
          <cell r="AC910">
            <v>0</v>
          </cell>
          <cell r="AD910">
            <v>0</v>
          </cell>
          <cell r="AE910">
            <v>0</v>
          </cell>
          <cell r="AF910">
            <v>0</v>
          </cell>
          <cell r="AG910">
            <v>0</v>
          </cell>
          <cell r="AH910">
            <v>0</v>
          </cell>
          <cell r="AI910">
            <v>0</v>
          </cell>
          <cell r="AJ910">
            <v>0</v>
          </cell>
          <cell r="AK910">
            <v>0</v>
          </cell>
        </row>
        <row r="911">
          <cell r="A911" t="str">
            <v>ems_ci_co2_sfor_0</v>
          </cell>
          <cell r="B911">
            <v>0.50982053059999999</v>
          </cell>
          <cell r="C911">
            <v>0.484554331</v>
          </cell>
          <cell r="D911">
            <v>0.4590019367</v>
          </cell>
          <cell r="E911">
            <v>0.43318517550000002</v>
          </cell>
          <cell r="F911">
            <v>0.41547702209999998</v>
          </cell>
          <cell r="G911">
            <v>0.40394792460000001</v>
          </cell>
          <cell r="H911">
            <v>0.3953491354</v>
          </cell>
          <cell r="I911">
            <v>0.38839390829999998</v>
          </cell>
          <cell r="J911">
            <v>0.3822339072</v>
          </cell>
          <cell r="K911">
            <v>0.37661167649999999</v>
          </cell>
          <cell r="L911">
            <v>0.37144580529999999</v>
          </cell>
          <cell r="M911">
            <v>0.36669574630000001</v>
          </cell>
          <cell r="N911">
            <v>0.3622206188</v>
          </cell>
          <cell r="O911">
            <v>0.35773175270000002</v>
          </cell>
          <cell r="P911">
            <v>0.35333768119999998</v>
          </cell>
          <cell r="Q911">
            <v>0.34921462060000003</v>
          </cell>
          <cell r="R911">
            <v>0.34639930730000001</v>
          </cell>
          <cell r="S911">
            <v>0.34503862349999997</v>
          </cell>
          <cell r="T911">
            <v>0.34510357450000001</v>
          </cell>
          <cell r="U911">
            <v>0.34646919970000001</v>
          </cell>
          <cell r="V911">
            <v>0.34899701430000002</v>
          </cell>
          <cell r="W911">
            <v>0.35255337219999999</v>
          </cell>
          <cell r="X911">
            <v>0.3570529959</v>
          </cell>
          <cell r="Y911">
            <v>0.3624231597</v>
          </cell>
          <cell r="Z911">
            <v>0.36858641120000002</v>
          </cell>
          <cell r="AA911">
            <v>0.37548593470000002</v>
          </cell>
          <cell r="AB911">
            <v>0.38308577579999997</v>
          </cell>
          <cell r="AC911">
            <v>0.39138670050000002</v>
          </cell>
          <cell r="AD911">
            <v>0.40036113420000002</v>
          </cell>
          <cell r="AE911">
            <v>0.40987553409999999</v>
          </cell>
          <cell r="AF911">
            <v>0.41974704909999999</v>
          </cell>
          <cell r="AG911">
            <v>0.42981404239999998</v>
          </cell>
          <cell r="AH911">
            <v>0.43995504390000001</v>
          </cell>
          <cell r="AI911">
            <v>0.45007496000000002</v>
          </cell>
          <cell r="AJ911">
            <v>0.46009433840000002</v>
          </cell>
          <cell r="AK911">
            <v>0.46994282310000002</v>
          </cell>
        </row>
        <row r="912">
          <cell r="A912" t="str">
            <v>ems_y_co2_sfor_0</v>
          </cell>
          <cell r="B912">
            <v>0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  <cell r="Z912">
            <v>0</v>
          </cell>
          <cell r="AA912">
            <v>0</v>
          </cell>
          <cell r="AB912">
            <v>0</v>
          </cell>
          <cell r="AC912">
            <v>0</v>
          </cell>
          <cell r="AD912">
            <v>0</v>
          </cell>
          <cell r="AE912">
            <v>0</v>
          </cell>
          <cell r="AF912">
            <v>0</v>
          </cell>
          <cell r="AG912">
            <v>0</v>
          </cell>
          <cell r="AH912">
            <v>0</v>
          </cell>
          <cell r="AI912">
            <v>0</v>
          </cell>
          <cell r="AJ912">
            <v>0</v>
          </cell>
          <cell r="AK912">
            <v>0</v>
          </cell>
        </row>
        <row r="913">
          <cell r="A913" t="str">
            <v>ems_mat_co2_sfor_0</v>
          </cell>
          <cell r="B913">
            <v>0</v>
          </cell>
          <cell r="C913">
            <v>0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  <cell r="Z913">
            <v>0</v>
          </cell>
          <cell r="AA913">
            <v>0</v>
          </cell>
          <cell r="AB913">
            <v>0</v>
          </cell>
          <cell r="AC913">
            <v>0</v>
          </cell>
          <cell r="AD913">
            <v>0</v>
          </cell>
          <cell r="AE913">
            <v>0</v>
          </cell>
          <cell r="AF913">
            <v>0</v>
          </cell>
          <cell r="AG913">
            <v>0</v>
          </cell>
          <cell r="AH913">
            <v>0</v>
          </cell>
          <cell r="AI913">
            <v>0</v>
          </cell>
          <cell r="AJ913">
            <v>0</v>
          </cell>
          <cell r="AK913">
            <v>0</v>
          </cell>
        </row>
        <row r="914">
          <cell r="A914" t="str">
            <v>ems_ci_co2_sfoo_0</v>
          </cell>
          <cell r="B914">
            <v>9.7930422020000005</v>
          </cell>
          <cell r="C914">
            <v>9.6616597629999994</v>
          </cell>
          <cell r="D914">
            <v>9.5539564309999996</v>
          </cell>
          <cell r="E914">
            <v>9.4818029429999999</v>
          </cell>
          <cell r="F914">
            <v>9.4907554330000004</v>
          </cell>
          <cell r="G914">
            <v>9.5550503080000002</v>
          </cell>
          <cell r="H914">
            <v>9.6331305819999997</v>
          </cell>
          <cell r="I914">
            <v>9.709047258</v>
          </cell>
          <cell r="J914">
            <v>9.7769791529999992</v>
          </cell>
          <cell r="K914">
            <v>9.8392335529999997</v>
          </cell>
          <cell r="L914">
            <v>9.89953781</v>
          </cell>
          <cell r="M914">
            <v>9.961141671</v>
          </cell>
          <cell r="N914">
            <v>10.023690330000001</v>
          </cell>
          <cell r="O914">
            <v>10.08196257</v>
          </cell>
          <cell r="P914">
            <v>10.13877763</v>
          </cell>
          <cell r="Q914">
            <v>10.19749418</v>
          </cell>
          <cell r="R914">
            <v>10.28181223</v>
          </cell>
          <cell r="S914">
            <v>10.39814737</v>
          </cell>
          <cell r="T914">
            <v>10.546375510000001</v>
          </cell>
          <cell r="U914">
            <v>10.72328154</v>
          </cell>
          <cell r="V914">
            <v>10.925426529999999</v>
          </cell>
          <cell r="W914">
            <v>11.14980624</v>
          </cell>
          <cell r="X914">
            <v>11.39501415</v>
          </cell>
          <cell r="Y914">
            <v>11.66010253</v>
          </cell>
          <cell r="Z914">
            <v>11.9438271</v>
          </cell>
          <cell r="AA914">
            <v>12.245381699999999</v>
          </cell>
          <cell r="AB914">
            <v>12.56449164</v>
          </cell>
          <cell r="AC914">
            <v>12.902142100000001</v>
          </cell>
          <cell r="AD914">
            <v>13.25858828</v>
          </cell>
          <cell r="AE914">
            <v>13.631763680000001</v>
          </cell>
          <cell r="AF914">
            <v>14.01822924</v>
          </cell>
          <cell r="AG914">
            <v>14.414758089999999</v>
          </cell>
          <cell r="AH914">
            <v>14.81884157</v>
          </cell>
          <cell r="AI914">
            <v>15.22829286</v>
          </cell>
          <cell r="AJ914">
            <v>15.641051879999999</v>
          </cell>
          <cell r="AK914">
            <v>16.055078559999998</v>
          </cell>
        </row>
        <row r="915">
          <cell r="A915" t="str">
            <v>ems_y_co2_sfoo_0</v>
          </cell>
          <cell r="B915">
            <v>0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0</v>
          </cell>
          <cell r="AF915">
            <v>0</v>
          </cell>
          <cell r="AG915">
            <v>0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</row>
        <row r="916">
          <cell r="A916" t="str">
            <v>ems_mat_co2_sfoo_0</v>
          </cell>
          <cell r="B916">
            <v>0</v>
          </cell>
          <cell r="C916">
            <v>0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0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</row>
        <row r="917">
          <cell r="A917" t="str">
            <v>ems_ci_co2_sveh_0</v>
          </cell>
          <cell r="B917">
            <v>1.2212767819999999</v>
          </cell>
          <cell r="C917">
            <v>1.21202685</v>
          </cell>
          <cell r="D917">
            <v>1.20214193</v>
          </cell>
          <cell r="E917">
            <v>1.1869243840000001</v>
          </cell>
          <cell r="F917">
            <v>1.1804628690000001</v>
          </cell>
          <cell r="G917">
            <v>1.181363368</v>
          </cell>
          <cell r="H917">
            <v>1.182915307</v>
          </cell>
          <cell r="I917">
            <v>1.1832516500000001</v>
          </cell>
          <cell r="J917">
            <v>1.181551142</v>
          </cell>
          <cell r="K917">
            <v>1.1780977459999999</v>
          </cell>
          <cell r="L917">
            <v>1.173384456</v>
          </cell>
          <cell r="M917">
            <v>1.167752992</v>
          </cell>
          <cell r="N917">
            <v>1.1606357410000001</v>
          </cell>
          <cell r="O917">
            <v>1.150482335</v>
          </cell>
          <cell r="P917">
            <v>1.138743249</v>
          </cell>
          <cell r="Q917">
            <v>1.126906164</v>
          </cell>
          <cell r="R917">
            <v>1.119911973</v>
          </cell>
          <cell r="S917">
            <v>1.11908396</v>
          </cell>
          <cell r="T917">
            <v>1.124650089</v>
          </cell>
          <cell r="U917">
            <v>1.136258046</v>
          </cell>
          <cell r="V917">
            <v>1.153473475</v>
          </cell>
          <cell r="W917">
            <v>1.1758029809999999</v>
          </cell>
          <cell r="X917">
            <v>1.2029955379999999</v>
          </cell>
          <cell r="Y917">
            <v>1.234757331</v>
          </cell>
          <cell r="Z917">
            <v>1.270679771</v>
          </cell>
          <cell r="AA917">
            <v>1.3104898009999999</v>
          </cell>
          <cell r="AB917">
            <v>1.3540337250000001</v>
          </cell>
          <cell r="AC917">
            <v>1.4014120219999999</v>
          </cell>
          <cell r="AD917">
            <v>1.4524632209999999</v>
          </cell>
          <cell r="AE917">
            <v>1.506294872</v>
          </cell>
          <cell r="AF917">
            <v>1.561768995</v>
          </cell>
          <cell r="AG917">
            <v>1.6179829299999999</v>
          </cell>
          <cell r="AH917">
            <v>1.674332299</v>
          </cell>
          <cell r="AI917">
            <v>1.7303658019999999</v>
          </cell>
          <cell r="AJ917">
            <v>1.785707776</v>
          </cell>
          <cell r="AK917">
            <v>1.8400146980000001</v>
          </cell>
        </row>
        <row r="918">
          <cell r="A918" t="str">
            <v>ems_y_co2_sveh_0</v>
          </cell>
          <cell r="B918">
            <v>0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</row>
        <row r="919">
          <cell r="A919" t="str">
            <v>ems_mat_co2_sveh_0</v>
          </cell>
          <cell r="B919">
            <v>0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</row>
        <row r="920">
          <cell r="A920" t="str">
            <v>ems_ci_co2_sgla_0</v>
          </cell>
          <cell r="B920">
            <v>5.7059507040000002</v>
          </cell>
          <cell r="C920">
            <v>5.86688922</v>
          </cell>
          <cell r="D920">
            <v>6.0421510769999998</v>
          </cell>
          <cell r="E920">
            <v>6.1445044409999996</v>
          </cell>
          <cell r="F920">
            <v>6.206422431</v>
          </cell>
          <cell r="G920">
            <v>6.2563155110000004</v>
          </cell>
          <cell r="H920">
            <v>6.2974996169999997</v>
          </cell>
          <cell r="I920">
            <v>6.335464269</v>
          </cell>
          <cell r="J920">
            <v>6.3725961770000001</v>
          </cell>
          <cell r="K920">
            <v>6.4110283929999996</v>
          </cell>
          <cell r="L920">
            <v>6.4524561150000004</v>
          </cell>
          <cell r="M920">
            <v>6.4980230929999996</v>
          </cell>
          <cell r="N920">
            <v>6.5462862489999996</v>
          </cell>
          <cell r="O920">
            <v>6.5924570930000002</v>
          </cell>
          <cell r="P920">
            <v>6.6379371479999998</v>
          </cell>
          <cell r="Q920">
            <v>6.6851541479999996</v>
          </cell>
          <cell r="R920">
            <v>6.7465271510000004</v>
          </cell>
          <cell r="S920">
            <v>6.8248343279999997</v>
          </cell>
          <cell r="T920">
            <v>6.919985735</v>
          </cell>
          <cell r="U920">
            <v>7.0304830750000002</v>
          </cell>
          <cell r="V920">
            <v>7.1549808739999996</v>
          </cell>
          <cell r="W920">
            <v>7.2924792780000001</v>
          </cell>
          <cell r="X920">
            <v>7.4427039669999999</v>
          </cell>
          <cell r="Y920">
            <v>7.605324564</v>
          </cell>
          <cell r="Z920">
            <v>7.7796196200000001</v>
          </cell>
          <cell r="AA920">
            <v>7.9653188049999999</v>
          </cell>
          <cell r="AB920">
            <v>8.162586074</v>
          </cell>
          <cell r="AC920">
            <v>8.3721772219999995</v>
          </cell>
          <cell r="AD920">
            <v>8.5945645600000002</v>
          </cell>
          <cell r="AE920">
            <v>8.8286352089999998</v>
          </cell>
          <cell r="AF920">
            <v>9.0724822029999999</v>
          </cell>
          <cell r="AG920">
            <v>9.3243945589999999</v>
          </cell>
          <cell r="AH920">
            <v>9.5829656720000003</v>
          </cell>
          <cell r="AI920">
            <v>9.8469693800000009</v>
          </cell>
          <cell r="AJ920">
            <v>10.11526729</v>
          </cell>
          <cell r="AK920">
            <v>10.386738490000001</v>
          </cell>
        </row>
        <row r="921">
          <cell r="A921" t="str">
            <v>ems_y_co2_sgla_0</v>
          </cell>
          <cell r="B921">
            <v>0</v>
          </cell>
          <cell r="C921">
            <v>0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  <cell r="Z921">
            <v>0</v>
          </cell>
          <cell r="AA921">
            <v>0</v>
          </cell>
          <cell r="AB921">
            <v>0</v>
          </cell>
          <cell r="AC921">
            <v>0</v>
          </cell>
          <cell r="AD921">
            <v>0</v>
          </cell>
          <cell r="AE921">
            <v>0</v>
          </cell>
          <cell r="AF921">
            <v>0</v>
          </cell>
          <cell r="AG921">
            <v>0</v>
          </cell>
          <cell r="AH921">
            <v>0</v>
          </cell>
          <cell r="AI921">
            <v>0</v>
          </cell>
          <cell r="AJ921">
            <v>0</v>
          </cell>
          <cell r="AK921">
            <v>0</v>
          </cell>
        </row>
        <row r="922">
          <cell r="A922" t="str">
            <v>ems_mat_co2_sgla_0</v>
          </cell>
          <cell r="B922">
            <v>13.76792696</v>
          </cell>
          <cell r="C922">
            <v>14.228154760000001</v>
          </cell>
          <cell r="D922">
            <v>14.741321790000001</v>
          </cell>
          <cell r="E922">
            <v>15.10461282</v>
          </cell>
          <cell r="F922">
            <v>15.34318831</v>
          </cell>
          <cell r="G922">
            <v>15.52945697</v>
          </cell>
          <cell r="H922">
            <v>15.70288959</v>
          </cell>
          <cell r="I922">
            <v>15.88126164</v>
          </cell>
          <cell r="J922">
            <v>16.070996319999999</v>
          </cell>
          <cell r="K922">
            <v>16.27435784</v>
          </cell>
          <cell r="L922">
            <v>16.49238815</v>
          </cell>
          <cell r="M922">
            <v>16.725284859999999</v>
          </cell>
          <cell r="N922">
            <v>16.967241219999998</v>
          </cell>
          <cell r="O922">
            <v>17.204367359999999</v>
          </cell>
          <cell r="P922">
            <v>17.43920984</v>
          </cell>
          <cell r="Q922">
            <v>17.677478650000001</v>
          </cell>
          <cell r="R922">
            <v>17.930760859999999</v>
          </cell>
          <cell r="S922">
            <v>18.206547199999999</v>
          </cell>
          <cell r="T922">
            <v>18.507939879999999</v>
          </cell>
          <cell r="U922">
            <v>18.834881110000001</v>
          </cell>
          <cell r="V922">
            <v>19.187489800000002</v>
          </cell>
          <cell r="W922">
            <v>19.56625532</v>
          </cell>
          <cell r="X922">
            <v>19.972919149999999</v>
          </cell>
          <cell r="Y922">
            <v>20.40840549</v>
          </cell>
          <cell r="Z922">
            <v>20.872054089999999</v>
          </cell>
          <cell r="AA922">
            <v>21.36406611</v>
          </cell>
          <cell r="AB922">
            <v>21.885550949999999</v>
          </cell>
          <cell r="AC922">
            <v>22.43898647</v>
          </cell>
          <cell r="AD922">
            <v>23.02591644</v>
          </cell>
          <cell r="AE922">
            <v>23.64360065</v>
          </cell>
          <cell r="AF922">
            <v>24.287172739999999</v>
          </cell>
          <cell r="AG922">
            <v>24.952318290000001</v>
          </cell>
          <cell r="AH922">
            <v>25.635543699999999</v>
          </cell>
          <cell r="AI922">
            <v>26.333823509999998</v>
          </cell>
          <cell r="AJ922">
            <v>27.044349369999999</v>
          </cell>
          <cell r="AK922">
            <v>27.764349249999999</v>
          </cell>
        </row>
        <row r="923">
          <cell r="A923" t="str">
            <v>ems_ci_co2_spap_0</v>
          </cell>
          <cell r="B923">
            <v>3.0049750990000001</v>
          </cell>
          <cell r="C923">
            <v>3.0142260009999999</v>
          </cell>
          <cell r="D923">
            <v>3.028446325</v>
          </cell>
          <cell r="E923">
            <v>3.0479054410000002</v>
          </cell>
          <cell r="F923">
            <v>3.0789252569999999</v>
          </cell>
          <cell r="G923">
            <v>3.1179581820000002</v>
          </cell>
          <cell r="H923">
            <v>3.1592740880000001</v>
          </cell>
          <cell r="I923">
            <v>3.2006137130000001</v>
          </cell>
          <cell r="J923">
            <v>3.2413444010000001</v>
          </cell>
          <cell r="K923">
            <v>3.2820377490000001</v>
          </cell>
          <cell r="L923">
            <v>3.3233889589999999</v>
          </cell>
          <cell r="M923">
            <v>3.365837843</v>
          </cell>
          <cell r="N923">
            <v>3.4083473409999998</v>
          </cell>
          <cell r="O923">
            <v>3.4480264420000002</v>
          </cell>
          <cell r="P923">
            <v>3.4861412829999998</v>
          </cell>
          <cell r="Q923">
            <v>3.5243958009999998</v>
          </cell>
          <cell r="R923">
            <v>3.5669501210000001</v>
          </cell>
          <cell r="S923">
            <v>3.615967736</v>
          </cell>
          <cell r="T923">
            <v>3.6721354000000002</v>
          </cell>
          <cell r="U923">
            <v>3.7352304709999999</v>
          </cell>
          <cell r="V923">
            <v>3.8049881929999998</v>
          </cell>
          <cell r="W923">
            <v>3.8811683779999999</v>
          </cell>
          <cell r="X923">
            <v>3.9639668530000001</v>
          </cell>
          <cell r="Y923">
            <v>4.0534844010000004</v>
          </cell>
          <cell r="Z923">
            <v>4.1494907430000003</v>
          </cell>
          <cell r="AA923">
            <v>4.2518810599999997</v>
          </cell>
          <cell r="AB923">
            <v>4.3607205819999999</v>
          </cell>
          <cell r="AC923">
            <v>4.4765152849999996</v>
          </cell>
          <cell r="AD923">
            <v>4.5993589830000001</v>
          </cell>
          <cell r="AE923">
            <v>4.7282066179999998</v>
          </cell>
          <cell r="AF923">
            <v>4.8614896749999996</v>
          </cell>
          <cell r="AG923">
            <v>4.997897429</v>
          </cell>
          <cell r="AH923">
            <v>5.1365336519999998</v>
          </cell>
          <cell r="AI923">
            <v>5.2766937609999998</v>
          </cell>
          <cell r="AJ923">
            <v>5.4177406670000003</v>
          </cell>
          <cell r="AK923">
            <v>5.5590431889999996</v>
          </cell>
        </row>
        <row r="924">
          <cell r="A924" t="str">
            <v>ems_y_co2_spap_0</v>
          </cell>
          <cell r="B924">
            <v>0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0</v>
          </cell>
          <cell r="AH924">
            <v>0</v>
          </cell>
          <cell r="AI924">
            <v>0</v>
          </cell>
          <cell r="AJ924">
            <v>0</v>
          </cell>
          <cell r="AK924">
            <v>0</v>
          </cell>
        </row>
        <row r="925">
          <cell r="A925" t="str">
            <v>ems_mat_co2_spap_0</v>
          </cell>
          <cell r="B925">
            <v>0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</row>
        <row r="926">
          <cell r="A926" t="str">
            <v>ems_ci_co2_sche_0</v>
          </cell>
          <cell r="B926">
            <v>3.8195038600000002</v>
          </cell>
          <cell r="C926">
            <v>3.8202637309999998</v>
          </cell>
          <cell r="D926">
            <v>3.8289986690000002</v>
          </cell>
          <cell r="E926">
            <v>3.8426798710000001</v>
          </cell>
          <cell r="F926">
            <v>3.8682781639999999</v>
          </cell>
          <cell r="G926">
            <v>3.9043482909999998</v>
          </cell>
          <cell r="H926">
            <v>3.9427623249999999</v>
          </cell>
          <cell r="I926">
            <v>3.982107391</v>
          </cell>
          <cell r="J926">
            <v>4.0220598719999998</v>
          </cell>
          <cell r="K926">
            <v>4.0630968899999997</v>
          </cell>
          <cell r="L926">
            <v>4.1057634199999997</v>
          </cell>
          <cell r="M926">
            <v>4.1502514709999998</v>
          </cell>
          <cell r="N926">
            <v>4.1940223659999996</v>
          </cell>
          <cell r="O926">
            <v>4.2313505869999997</v>
          </cell>
          <cell r="P926">
            <v>4.2654915600000001</v>
          </cell>
          <cell r="Q926">
            <v>4.299984834</v>
          </cell>
          <cell r="R926">
            <v>4.3426993209999996</v>
          </cell>
          <cell r="S926">
            <v>4.3960908830000003</v>
          </cell>
          <cell r="T926">
            <v>4.4609848249999997</v>
          </cell>
          <cell r="U926">
            <v>4.537063474</v>
          </cell>
          <cell r="V926">
            <v>4.6241325929999997</v>
          </cell>
          <cell r="W926">
            <v>4.721960621</v>
          </cell>
          <cell r="X926">
            <v>4.8310289839999996</v>
          </cell>
          <cell r="Y926">
            <v>4.9514444219999998</v>
          </cell>
          <cell r="Z926">
            <v>5.0826251339999997</v>
          </cell>
          <cell r="AA926">
            <v>5.224342225</v>
          </cell>
          <cell r="AB926">
            <v>5.376703365</v>
          </cell>
          <cell r="AC926">
            <v>5.5406189120000002</v>
          </cell>
          <cell r="AD926">
            <v>5.7160940279999997</v>
          </cell>
          <cell r="AE926">
            <v>5.9009028629999998</v>
          </cell>
          <cell r="AF926">
            <v>6.092029117</v>
          </cell>
          <cell r="AG926">
            <v>6.2871870760000004</v>
          </cell>
          <cell r="AH926">
            <v>6.4849532759999997</v>
          </cell>
          <cell r="AI926">
            <v>6.6842536639999999</v>
          </cell>
          <cell r="AJ926">
            <v>6.8841178669999996</v>
          </cell>
          <cell r="AK926">
            <v>7.0835640719999997</v>
          </cell>
        </row>
        <row r="927">
          <cell r="A927" t="str">
            <v>ems_y_co2_sche_0</v>
          </cell>
          <cell r="B927">
            <v>0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0</v>
          </cell>
          <cell r="AK927">
            <v>0</v>
          </cell>
        </row>
        <row r="928">
          <cell r="A928" t="str">
            <v>ems_mat_co2_sche_0</v>
          </cell>
          <cell r="B928">
            <v>2.5901569210000002</v>
          </cell>
          <cell r="C928">
            <v>2.5999729669999998</v>
          </cell>
          <cell r="D928">
            <v>2.6171290190000001</v>
          </cell>
          <cell r="E928">
            <v>2.6408157179999998</v>
          </cell>
          <cell r="F928">
            <v>2.6693831339999998</v>
          </cell>
          <cell r="G928">
            <v>2.7024348090000001</v>
          </cell>
          <cell r="H928">
            <v>2.7388432840000001</v>
          </cell>
          <cell r="I928">
            <v>2.7779475009999999</v>
          </cell>
          <cell r="J928">
            <v>2.819423483</v>
          </cell>
          <cell r="K928">
            <v>2.8631166989999999</v>
          </cell>
          <cell r="L928">
            <v>2.9089380450000002</v>
          </cell>
          <cell r="M928">
            <v>2.956622619</v>
          </cell>
          <cell r="N928">
            <v>3.0040430950000001</v>
          </cell>
          <cell r="O928">
            <v>3.0468521599999998</v>
          </cell>
          <cell r="P928">
            <v>3.087206836</v>
          </cell>
          <cell r="Q928">
            <v>3.1275805839999999</v>
          </cell>
          <cell r="R928">
            <v>3.170536979</v>
          </cell>
          <cell r="S928">
            <v>3.2180595350000001</v>
          </cell>
          <cell r="T928">
            <v>3.2713204359999999</v>
          </cell>
          <cell r="U928">
            <v>3.33068857</v>
          </cell>
          <cell r="V928">
            <v>3.396558615</v>
          </cell>
          <cell r="W928">
            <v>3.4691999330000001</v>
          </cell>
          <cell r="X928">
            <v>3.5492999169999999</v>
          </cell>
          <cell r="Y928">
            <v>3.637175005</v>
          </cell>
          <cell r="Z928">
            <v>3.7325650380000002</v>
          </cell>
          <cell r="AA928">
            <v>3.8354171049999999</v>
          </cell>
          <cell r="AB928">
            <v>3.9458863690000001</v>
          </cell>
          <cell r="AC928">
            <v>4.0646814249999998</v>
          </cell>
          <cell r="AD928">
            <v>4.1918176579999997</v>
          </cell>
          <cell r="AE928">
            <v>4.3256565370000004</v>
          </cell>
          <cell r="AF928">
            <v>4.4639815690000004</v>
          </cell>
          <cell r="AG928">
            <v>4.6051227140000002</v>
          </cell>
          <cell r="AH928">
            <v>4.7480522130000002</v>
          </cell>
          <cell r="AI928">
            <v>4.8920064180000002</v>
          </cell>
          <cell r="AJ928">
            <v>5.036304608</v>
          </cell>
          <cell r="AK928">
            <v>5.1802646790000004</v>
          </cell>
        </row>
        <row r="929">
          <cell r="A929" t="str">
            <v>ems_ci_co2_spla_0</v>
          </cell>
          <cell r="B929">
            <v>1.250528673</v>
          </cell>
          <cell r="C929">
            <v>1.204278266</v>
          </cell>
          <cell r="D929">
            <v>1.1585112339999999</v>
          </cell>
          <cell r="E929">
            <v>1.1057844139999999</v>
          </cell>
          <cell r="F929">
            <v>1.0729763640000001</v>
          </cell>
          <cell r="G929">
            <v>1.056184357</v>
          </cell>
          <cell r="H929">
            <v>1.0496988110000001</v>
          </cell>
          <cell r="I929">
            <v>1.04937459</v>
          </cell>
          <cell r="J929">
            <v>1.052059584</v>
          </cell>
          <cell r="K929">
            <v>1.0566040290000001</v>
          </cell>
          <cell r="L929">
            <v>1.06245919</v>
          </cell>
          <cell r="M929">
            <v>1.0692476019999999</v>
          </cell>
          <cell r="N929">
            <v>1.076120969</v>
          </cell>
          <cell r="O929">
            <v>1.081579498</v>
          </cell>
          <cell r="P929">
            <v>1.086279663</v>
          </cell>
          <cell r="Q929">
            <v>1.0910679860000001</v>
          </cell>
          <cell r="R929">
            <v>1.097705945</v>
          </cell>
          <cell r="S929">
            <v>1.1073825420000001</v>
          </cell>
          <cell r="T929">
            <v>1.120543168</v>
          </cell>
          <cell r="U929">
            <v>1.137167168</v>
          </cell>
          <cell r="V929">
            <v>1.1571585339999999</v>
          </cell>
          <cell r="W929">
            <v>1.180374166</v>
          </cell>
          <cell r="X929">
            <v>1.2068297240000001</v>
          </cell>
          <cell r="Y929">
            <v>1.2364780799999999</v>
          </cell>
          <cell r="Z929">
            <v>1.26914328</v>
          </cell>
          <cell r="AA929">
            <v>1.3047226590000001</v>
          </cell>
          <cell r="AB929">
            <v>1.343188922</v>
          </cell>
          <cell r="AC929">
            <v>1.3846901119999999</v>
          </cell>
          <cell r="AD929">
            <v>1.429177653</v>
          </cell>
          <cell r="AE929">
            <v>1.4760543989999999</v>
          </cell>
          <cell r="AF929">
            <v>1.524515429</v>
          </cell>
          <cell r="AG929">
            <v>1.5739061809999999</v>
          </cell>
          <cell r="AH929">
            <v>1.623774485</v>
          </cell>
          <cell r="AI929">
            <v>1.673769292</v>
          </cell>
          <cell r="AJ929">
            <v>1.723585849</v>
          </cell>
          <cell r="AK929">
            <v>1.772937797</v>
          </cell>
        </row>
        <row r="930">
          <cell r="A930" t="str">
            <v>ems_y_co2_spla_0</v>
          </cell>
          <cell r="B930">
            <v>0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  <cell r="Z930">
            <v>0</v>
          </cell>
          <cell r="AA930">
            <v>0</v>
          </cell>
          <cell r="AB930">
            <v>0</v>
          </cell>
          <cell r="AC930">
            <v>0</v>
          </cell>
          <cell r="AD930">
            <v>0</v>
          </cell>
          <cell r="AE930">
            <v>0</v>
          </cell>
          <cell r="AF930">
            <v>0</v>
          </cell>
          <cell r="AG930">
            <v>0</v>
          </cell>
          <cell r="AH930">
            <v>0</v>
          </cell>
          <cell r="AI930">
            <v>0</v>
          </cell>
          <cell r="AJ930">
            <v>0</v>
          </cell>
          <cell r="AK930">
            <v>0</v>
          </cell>
        </row>
        <row r="931">
          <cell r="A931" t="str">
            <v>ems_mat_co2_spla_0</v>
          </cell>
          <cell r="B931">
            <v>0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  <cell r="Z931">
            <v>0</v>
          </cell>
          <cell r="AA931">
            <v>0</v>
          </cell>
          <cell r="AB931">
            <v>0</v>
          </cell>
          <cell r="AC931">
            <v>0</v>
          </cell>
          <cell r="AD931">
            <v>0</v>
          </cell>
          <cell r="AE931">
            <v>0</v>
          </cell>
          <cell r="AF931">
            <v>0</v>
          </cell>
          <cell r="AG931">
            <v>0</v>
          </cell>
          <cell r="AH931">
            <v>0</v>
          </cell>
          <cell r="AI931">
            <v>0</v>
          </cell>
          <cell r="AJ931">
            <v>0</v>
          </cell>
          <cell r="AK931">
            <v>0</v>
          </cell>
        </row>
        <row r="932">
          <cell r="A932" t="str">
            <v>ems_ci_co2_smet_0</v>
          </cell>
          <cell r="B932">
            <v>7.5072151199999997</v>
          </cell>
          <cell r="C932">
            <v>7.5884832280000003</v>
          </cell>
          <cell r="D932">
            <v>7.6654377059999996</v>
          </cell>
          <cell r="E932">
            <v>7.7110583009999996</v>
          </cell>
          <cell r="F932">
            <v>7.7696541530000003</v>
          </cell>
          <cell r="G932">
            <v>7.8453717569999997</v>
          </cell>
          <cell r="H932">
            <v>7.918248449</v>
          </cell>
          <cell r="I932">
            <v>7.9891084819999998</v>
          </cell>
          <cell r="J932">
            <v>8.0580039879999994</v>
          </cell>
          <cell r="K932">
            <v>8.1263970479999994</v>
          </cell>
          <cell r="L932">
            <v>8.1955825739999995</v>
          </cell>
          <cell r="M932">
            <v>8.2661076619999996</v>
          </cell>
          <cell r="N932">
            <v>8.3321265489999998</v>
          </cell>
          <cell r="O932">
            <v>8.3804001269999997</v>
          </cell>
          <cell r="P932">
            <v>8.4190874600000001</v>
          </cell>
          <cell r="Q932">
            <v>8.4568575119999991</v>
          </cell>
          <cell r="R932">
            <v>8.5235366569999993</v>
          </cell>
          <cell r="S932">
            <v>8.6209524169999998</v>
          </cell>
          <cell r="T932">
            <v>8.7486498560000001</v>
          </cell>
          <cell r="U932">
            <v>8.9044697270000004</v>
          </cell>
          <cell r="V932">
            <v>9.0871006049999998</v>
          </cell>
          <cell r="W932">
            <v>9.2954631699999997</v>
          </cell>
          <cell r="X932">
            <v>9.5303212609999992</v>
          </cell>
          <cell r="Y932">
            <v>9.7916635509999992</v>
          </cell>
          <cell r="Z932">
            <v>10.07791787</v>
          </cell>
          <cell r="AA932">
            <v>10.388472480000001</v>
          </cell>
          <cell r="AB932">
            <v>10.723604529999999</v>
          </cell>
          <cell r="AC932">
            <v>11.08555335</v>
          </cell>
          <cell r="AD932">
            <v>11.474479179999999</v>
          </cell>
          <cell r="AE932">
            <v>11.88533305</v>
          </cell>
          <cell r="AF932">
            <v>12.31121896</v>
          </cell>
          <cell r="AG932">
            <v>12.746997410000001</v>
          </cell>
          <cell r="AH932">
            <v>13.18955089</v>
          </cell>
          <cell r="AI932">
            <v>13.636533930000001</v>
          </cell>
          <cell r="AJ932">
            <v>14.085774860000001</v>
          </cell>
          <cell r="AK932">
            <v>14.535003850000001</v>
          </cell>
        </row>
        <row r="933">
          <cell r="A933" t="str">
            <v>ems_y_co2_smet_0</v>
          </cell>
          <cell r="B933">
            <v>0</v>
          </cell>
          <cell r="C933">
            <v>0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0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</row>
        <row r="934">
          <cell r="A934" t="str">
            <v>ems_mat_co2_smet_0</v>
          </cell>
          <cell r="B934">
            <v>12.781652830000001</v>
          </cell>
          <cell r="C934">
            <v>13.001497029999999</v>
          </cell>
          <cell r="D934">
            <v>13.23190183</v>
          </cell>
          <cell r="E934">
            <v>13.439435769999999</v>
          </cell>
          <cell r="F934">
            <v>13.639395199999999</v>
          </cell>
          <cell r="G934">
            <v>13.84722739</v>
          </cell>
          <cell r="H934">
            <v>14.06240393</v>
          </cell>
          <cell r="I934">
            <v>14.283608729999999</v>
          </cell>
          <cell r="J934">
            <v>14.50931199</v>
          </cell>
          <cell r="K934">
            <v>14.738838060000001</v>
          </cell>
          <cell r="L934">
            <v>14.97216712</v>
          </cell>
          <cell r="M934">
            <v>15.20828322</v>
          </cell>
          <cell r="N934">
            <v>15.43489241</v>
          </cell>
          <cell r="O934">
            <v>15.626454900000001</v>
          </cell>
          <cell r="P934">
            <v>15.79775645</v>
          </cell>
          <cell r="Q934">
            <v>15.96535392</v>
          </cell>
          <cell r="R934">
            <v>16.150073809999999</v>
          </cell>
          <cell r="S934">
            <v>16.365705729999998</v>
          </cell>
          <cell r="T934">
            <v>16.619693739999999</v>
          </cell>
          <cell r="U934">
            <v>16.913849419999998</v>
          </cell>
          <cell r="V934">
            <v>17.249760250000001</v>
          </cell>
          <cell r="W934">
            <v>17.628092689999999</v>
          </cell>
          <cell r="X934">
            <v>18.052045410000002</v>
          </cell>
          <cell r="Y934">
            <v>18.522659699999998</v>
          </cell>
          <cell r="Z934">
            <v>19.037680890000001</v>
          </cell>
          <cell r="AA934">
            <v>19.596279549999998</v>
          </cell>
          <cell r="AB934">
            <v>20.199003090000001</v>
          </cell>
          <cell r="AC934">
            <v>20.849762569999999</v>
          </cell>
          <cell r="AD934">
            <v>21.54828418</v>
          </cell>
          <cell r="AE934">
            <v>22.284138630000001</v>
          </cell>
          <cell r="AF934">
            <v>23.043549479999999</v>
          </cell>
          <cell r="AG934">
            <v>23.816306839999999</v>
          </cell>
          <cell r="AH934">
            <v>24.59627352</v>
          </cell>
          <cell r="AI934">
            <v>25.37901497</v>
          </cell>
          <cell r="AJ934">
            <v>26.1606439</v>
          </cell>
          <cell r="AK934">
            <v>26.937289740000001</v>
          </cell>
        </row>
        <row r="935">
          <cell r="A935" t="str">
            <v>ems_ci_co2_sigo_0</v>
          </cell>
          <cell r="B935">
            <v>2.9902437110000002</v>
          </cell>
          <cell r="C935">
            <v>2.9844043980000001</v>
          </cell>
          <cell r="D935">
            <v>2.9813716060000002</v>
          </cell>
          <cell r="E935">
            <v>2.97595652</v>
          </cell>
          <cell r="F935">
            <v>2.9825035479999999</v>
          </cell>
          <cell r="G935">
            <v>2.9999374419999998</v>
          </cell>
          <cell r="H935">
            <v>3.0185955729999998</v>
          </cell>
          <cell r="I935">
            <v>3.0355445140000001</v>
          </cell>
          <cell r="J935">
            <v>3.0498534789999998</v>
          </cell>
          <cell r="K935">
            <v>3.0622904750000002</v>
          </cell>
          <cell r="L935">
            <v>3.0739551399999998</v>
          </cell>
          <cell r="M935">
            <v>3.0856328180000001</v>
          </cell>
          <cell r="N935">
            <v>3.0961179030000001</v>
          </cell>
          <cell r="O935">
            <v>3.101906064</v>
          </cell>
          <cell r="P935">
            <v>3.1054983950000001</v>
          </cell>
          <cell r="Q935">
            <v>3.109579058</v>
          </cell>
          <cell r="R935">
            <v>3.1223664009999998</v>
          </cell>
          <cell r="S935">
            <v>3.1466136229999999</v>
          </cell>
          <cell r="T935">
            <v>3.1828307630000001</v>
          </cell>
          <cell r="U935">
            <v>3.2302398559999999</v>
          </cell>
          <cell r="V935">
            <v>3.2879850730000002</v>
          </cell>
          <cell r="W935">
            <v>3.3552228180000001</v>
          </cell>
          <cell r="X935">
            <v>3.43169909</v>
          </cell>
          <cell r="Y935">
            <v>3.5170668119999999</v>
          </cell>
          <cell r="Z935">
            <v>3.6106584220000002</v>
          </cell>
          <cell r="AA935">
            <v>3.7120931179999999</v>
          </cell>
          <cell r="AB935">
            <v>3.8212603449999998</v>
          </cell>
          <cell r="AC935">
            <v>3.9386131130000002</v>
          </cell>
          <cell r="AD935">
            <v>4.0640597420000004</v>
          </cell>
          <cell r="AE935">
            <v>4.1960079879999999</v>
          </cell>
          <cell r="AF935">
            <v>4.3323186529999997</v>
          </cell>
          <cell r="AG935">
            <v>4.4713207930000003</v>
          </cell>
          <cell r="AH935">
            <v>4.6119299299999996</v>
          </cell>
          <cell r="AI935">
            <v>4.7533273530000004</v>
          </cell>
          <cell r="AJ935">
            <v>4.8947926239999999</v>
          </cell>
          <cell r="AK935">
            <v>5.0356193549999997</v>
          </cell>
        </row>
        <row r="936">
          <cell r="A936" t="str">
            <v>ems_y_co2_sigo_0</v>
          </cell>
          <cell r="B936">
            <v>0</v>
          </cell>
          <cell r="C936">
            <v>0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0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</row>
        <row r="937">
          <cell r="A937" t="str">
            <v>ems_mat_co2_sigo_0</v>
          </cell>
          <cell r="B937">
            <v>0.4724401258</v>
          </cell>
          <cell r="C937">
            <v>0.47518991729999999</v>
          </cell>
          <cell r="D937">
            <v>0.47924331860000002</v>
          </cell>
          <cell r="E937">
            <v>0.48417626850000001</v>
          </cell>
          <cell r="F937">
            <v>0.48972929069999999</v>
          </cell>
          <cell r="G937">
            <v>0.49592438890000001</v>
          </cell>
          <cell r="H937">
            <v>0.502615692</v>
          </cell>
          <cell r="I937">
            <v>0.50973220470000002</v>
          </cell>
          <cell r="J937">
            <v>0.51724905070000005</v>
          </cell>
          <cell r="K937">
            <v>0.52515948619999997</v>
          </cell>
          <cell r="L937">
            <v>0.53346019079999996</v>
          </cell>
          <cell r="M937">
            <v>0.54211176849999998</v>
          </cell>
          <cell r="N937">
            <v>0.55075430030000005</v>
          </cell>
          <cell r="O937">
            <v>0.55864087279999997</v>
          </cell>
          <cell r="P937">
            <v>0.56611182309999997</v>
          </cell>
          <cell r="Q937">
            <v>0.57358347730000003</v>
          </cell>
          <cell r="R937">
            <v>0.58150367979999995</v>
          </cell>
          <cell r="S937">
            <v>0.59022221470000003</v>
          </cell>
          <cell r="T937">
            <v>0.59994332419999996</v>
          </cell>
          <cell r="U937">
            <v>0.61073344610000002</v>
          </cell>
          <cell r="V937">
            <v>0.62266293009999996</v>
          </cell>
          <cell r="W937">
            <v>0.63578289870000004</v>
          </cell>
          <cell r="X937">
            <v>0.65021509209999995</v>
          </cell>
          <cell r="Y937">
            <v>0.66602000309999998</v>
          </cell>
          <cell r="Z937">
            <v>0.68315963989999995</v>
          </cell>
          <cell r="AA937">
            <v>0.70162813680000002</v>
          </cell>
          <cell r="AB937">
            <v>0.72145438080000002</v>
          </cell>
          <cell r="AC937">
            <v>0.74276025180000005</v>
          </cell>
          <cell r="AD937">
            <v>0.76555353530000003</v>
          </cell>
          <cell r="AE937">
            <v>0.78956041700000001</v>
          </cell>
          <cell r="AF937">
            <v>0.81440205349999994</v>
          </cell>
          <cell r="AG937">
            <v>0.83978572969999998</v>
          </cell>
          <cell r="AH937">
            <v>0.86552539230000003</v>
          </cell>
          <cell r="AI937">
            <v>0.89148064839999996</v>
          </cell>
          <cell r="AJ937">
            <v>0.91752628209999998</v>
          </cell>
          <cell r="AK937">
            <v>0.94353785779999999</v>
          </cell>
        </row>
        <row r="938">
          <cell r="A938" t="str">
            <v>ems_ci_co2_scgo_0</v>
          </cell>
          <cell r="B938">
            <v>0.69085593759999997</v>
          </cell>
          <cell r="C938">
            <v>0.67197649380000002</v>
          </cell>
          <cell r="D938">
            <v>0.65574219830000002</v>
          </cell>
          <cell r="E938">
            <v>0.64309546250000005</v>
          </cell>
          <cell r="F938">
            <v>0.63712890440000003</v>
          </cell>
          <cell r="G938">
            <v>0.63593106170000002</v>
          </cell>
          <cell r="H938">
            <v>0.6367354543</v>
          </cell>
          <cell r="I938">
            <v>0.63844318460000005</v>
          </cell>
          <cell r="J938">
            <v>0.64056057440000003</v>
          </cell>
          <cell r="K938">
            <v>0.64308678289999999</v>
          </cell>
          <cell r="L938">
            <v>0.64610436199999999</v>
          </cell>
          <cell r="M938">
            <v>0.64967130819999996</v>
          </cell>
          <cell r="N938">
            <v>0.65352612259999998</v>
          </cell>
          <cell r="O938">
            <v>0.65700845109999995</v>
          </cell>
          <cell r="P938">
            <v>0.66040156940000005</v>
          </cell>
          <cell r="Q938">
            <v>0.66402328759999996</v>
          </cell>
          <cell r="R938">
            <v>0.66925720440000003</v>
          </cell>
          <cell r="S938">
            <v>0.67652898939999995</v>
          </cell>
          <cell r="T938">
            <v>0.68586543040000003</v>
          </cell>
          <cell r="U938">
            <v>0.69709123200000001</v>
          </cell>
          <cell r="V938">
            <v>0.71004061370000005</v>
          </cell>
          <cell r="W938">
            <v>0.72457211590000004</v>
          </cell>
          <cell r="X938">
            <v>0.74066209289999996</v>
          </cell>
          <cell r="Y938">
            <v>0.75828135149999998</v>
          </cell>
          <cell r="Z938">
            <v>0.77734148250000001</v>
          </cell>
          <cell r="AA938">
            <v>0.7977980925</v>
          </cell>
          <cell r="AB938">
            <v>0.81965145049999999</v>
          </cell>
          <cell r="AC938">
            <v>0.84300736440000001</v>
          </cell>
          <cell r="AD938">
            <v>0.86787890879999996</v>
          </cell>
          <cell r="AE938">
            <v>0.89403897919999997</v>
          </cell>
          <cell r="AF938">
            <v>0.92115091179999997</v>
          </cell>
          <cell r="AG938">
            <v>0.94893269000000002</v>
          </cell>
          <cell r="AH938">
            <v>0.97718502640000005</v>
          </cell>
          <cell r="AI938">
            <v>1.00574092</v>
          </cell>
          <cell r="AJ938">
            <v>1.0344433049999999</v>
          </cell>
          <cell r="AK938">
            <v>1.0631347840000001</v>
          </cell>
        </row>
        <row r="939">
          <cell r="A939" t="str">
            <v>ems_y_co2_scgo_0</v>
          </cell>
          <cell r="B939">
            <v>0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  <cell r="Z939">
            <v>0</v>
          </cell>
          <cell r="AA939">
            <v>0</v>
          </cell>
          <cell r="AB939">
            <v>0</v>
          </cell>
          <cell r="AC939">
            <v>0</v>
          </cell>
          <cell r="AD939">
            <v>0</v>
          </cell>
          <cell r="AE939">
            <v>0</v>
          </cell>
          <cell r="AF939">
            <v>0</v>
          </cell>
          <cell r="AG939">
            <v>0</v>
          </cell>
          <cell r="AH939">
            <v>0</v>
          </cell>
          <cell r="AI939">
            <v>0</v>
          </cell>
          <cell r="AJ939">
            <v>0</v>
          </cell>
          <cell r="AK939">
            <v>0</v>
          </cell>
        </row>
        <row r="940">
          <cell r="A940" t="str">
            <v>ems_mat_co2_scgo_0</v>
          </cell>
          <cell r="B940">
            <v>0</v>
          </cell>
          <cell r="C940">
            <v>0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  <cell r="Z940">
            <v>0</v>
          </cell>
          <cell r="AA940">
            <v>0</v>
          </cell>
          <cell r="AB940">
            <v>0</v>
          </cell>
          <cell r="AC940">
            <v>0</v>
          </cell>
          <cell r="AD940">
            <v>0</v>
          </cell>
          <cell r="AE940">
            <v>0</v>
          </cell>
          <cell r="AF940">
            <v>0</v>
          </cell>
          <cell r="AG940">
            <v>0</v>
          </cell>
          <cell r="AH940">
            <v>0</v>
          </cell>
          <cell r="AI940">
            <v>0</v>
          </cell>
          <cell r="AJ940">
            <v>0</v>
          </cell>
          <cell r="AK940">
            <v>0</v>
          </cell>
        </row>
        <row r="941">
          <cell r="A941" t="str">
            <v>ems_ci_co2_scon_0</v>
          </cell>
          <cell r="B941">
            <v>7.4702449880000001</v>
          </cell>
          <cell r="C941">
            <v>7.8628093510000001</v>
          </cell>
          <cell r="D941">
            <v>8.2414312190000008</v>
          </cell>
          <cell r="E941">
            <v>8.3947576870000002</v>
          </cell>
          <cell r="F941">
            <v>8.4461670980000001</v>
          </cell>
          <cell r="G941">
            <v>8.4691494550000002</v>
          </cell>
          <cell r="H941">
            <v>8.4762220960000008</v>
          </cell>
          <cell r="I941">
            <v>8.4811827149999992</v>
          </cell>
          <cell r="J941">
            <v>8.4888953909999998</v>
          </cell>
          <cell r="K941">
            <v>8.5033432619999996</v>
          </cell>
          <cell r="L941">
            <v>8.5272299060000005</v>
          </cell>
          <cell r="M941">
            <v>8.5625528719999995</v>
          </cell>
          <cell r="N941">
            <v>8.6089650219999996</v>
          </cell>
          <cell r="O941">
            <v>8.6627368740000001</v>
          </cell>
          <cell r="P941">
            <v>8.7223473820000006</v>
          </cell>
          <cell r="Q941">
            <v>8.7878017980000003</v>
          </cell>
          <cell r="R941">
            <v>8.8766314939999997</v>
          </cell>
          <cell r="S941">
            <v>8.988549656</v>
          </cell>
          <cell r="T941">
            <v>9.1206349089999996</v>
          </cell>
          <cell r="U941">
            <v>9.2693707659999998</v>
          </cell>
          <cell r="V941">
            <v>9.4320997510000009</v>
          </cell>
          <cell r="W941">
            <v>9.6072857020000004</v>
          </cell>
          <cell r="X941">
            <v>9.7940359949999998</v>
          </cell>
          <cell r="Y941">
            <v>9.9917097029999997</v>
          </cell>
          <cell r="Z941">
            <v>10.199601100000001</v>
          </cell>
          <cell r="AA941">
            <v>10.417769</v>
          </cell>
          <cell r="AB941">
            <v>10.64684121</v>
          </cell>
          <cell r="AC941">
            <v>10.887643219999999</v>
          </cell>
          <cell r="AD941">
            <v>11.141726269999999</v>
          </cell>
          <cell r="AE941">
            <v>11.41018294</v>
          </cell>
          <cell r="AF941">
            <v>11.693519569999999</v>
          </cell>
          <cell r="AG941">
            <v>11.991690200000001</v>
          </cell>
          <cell r="AH941">
            <v>12.303951339999999</v>
          </cell>
          <cell r="AI941">
            <v>12.62934813</v>
          </cell>
          <cell r="AJ941">
            <v>12.966844030000001</v>
          </cell>
          <cell r="AK941">
            <v>13.315330790000001</v>
          </cell>
        </row>
        <row r="942">
          <cell r="A942" t="str">
            <v>ems_y_co2_scon_0</v>
          </cell>
          <cell r="B942">
            <v>0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  <cell r="Z942">
            <v>0</v>
          </cell>
          <cell r="AA942">
            <v>0</v>
          </cell>
          <cell r="AB942">
            <v>0</v>
          </cell>
          <cell r="AC942">
            <v>0</v>
          </cell>
          <cell r="AD942">
            <v>0</v>
          </cell>
          <cell r="AE942">
            <v>0</v>
          </cell>
          <cell r="AF942">
            <v>0</v>
          </cell>
          <cell r="AG942">
            <v>0</v>
          </cell>
          <cell r="AH942">
            <v>0</v>
          </cell>
          <cell r="AI942">
            <v>0</v>
          </cell>
          <cell r="AJ942">
            <v>0</v>
          </cell>
          <cell r="AK942">
            <v>0</v>
          </cell>
        </row>
        <row r="943">
          <cell r="A943" t="str">
            <v>ems_mat_co2_scon_0</v>
          </cell>
          <cell r="B943">
            <v>0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  <cell r="Z943">
            <v>0</v>
          </cell>
          <cell r="AA943">
            <v>0</v>
          </cell>
          <cell r="AB943">
            <v>0</v>
          </cell>
          <cell r="AC943">
            <v>0</v>
          </cell>
          <cell r="AD943">
            <v>0</v>
          </cell>
          <cell r="AE943">
            <v>0</v>
          </cell>
          <cell r="AF943">
            <v>0</v>
          </cell>
          <cell r="AG943">
            <v>0</v>
          </cell>
          <cell r="AH943">
            <v>0</v>
          </cell>
          <cell r="AI943">
            <v>0</v>
          </cell>
          <cell r="AJ943">
            <v>0</v>
          </cell>
          <cell r="AK943">
            <v>0</v>
          </cell>
        </row>
        <row r="944">
          <cell r="A944" t="str">
            <v>ems_ci_co2_srai_0</v>
          </cell>
          <cell r="B944">
            <v>5.5685759990000001</v>
          </cell>
          <cell r="C944">
            <v>5.5455901179999998</v>
          </cell>
          <cell r="D944">
            <v>5.5328933429999996</v>
          </cell>
          <cell r="E944">
            <v>5.5335798790000004</v>
          </cell>
          <cell r="F944">
            <v>5.5553354229999998</v>
          </cell>
          <cell r="G944">
            <v>5.592748866</v>
          </cell>
          <cell r="H944">
            <v>5.6326748650000003</v>
          </cell>
          <cell r="I944">
            <v>5.6735393289999996</v>
          </cell>
          <cell r="J944">
            <v>5.7154201179999999</v>
          </cell>
          <cell r="K944">
            <v>5.7593196239999997</v>
          </cell>
          <cell r="L944">
            <v>5.8060470970000004</v>
          </cell>
          <cell r="M944">
            <v>5.8559797480000002</v>
          </cell>
          <cell r="N944">
            <v>5.907437206</v>
          </cell>
          <cell r="O944">
            <v>5.9561590740000003</v>
          </cell>
          <cell r="P944">
            <v>6.0035042929999998</v>
          </cell>
          <cell r="Q944">
            <v>6.0515683349999998</v>
          </cell>
          <cell r="R944">
            <v>6.1085985279999999</v>
          </cell>
          <cell r="S944">
            <v>6.1763821339999998</v>
          </cell>
          <cell r="T944">
            <v>6.2550854219999996</v>
          </cell>
          <cell r="U944">
            <v>6.3440725809999998</v>
          </cell>
          <cell r="V944">
            <v>6.4428739190000002</v>
          </cell>
          <cell r="W944">
            <v>6.5511430910000001</v>
          </cell>
          <cell r="X944">
            <v>6.6691237049999996</v>
          </cell>
          <cell r="Y944">
            <v>6.7969244360000003</v>
          </cell>
          <cell r="Z944">
            <v>6.9341889490000002</v>
          </cell>
          <cell r="AA944">
            <v>7.0807335790000003</v>
          </cell>
          <cell r="AB944">
            <v>7.236604474</v>
          </cell>
          <cell r="AC944">
            <v>7.4024381860000004</v>
          </cell>
          <cell r="AD944">
            <v>7.578340399</v>
          </cell>
          <cell r="AE944">
            <v>7.7629162870000004</v>
          </cell>
          <cell r="AF944">
            <v>7.9540087689999996</v>
          </cell>
          <cell r="AG944">
            <v>8.1497289819999992</v>
          </cell>
          <cell r="AH944">
            <v>8.3486912400000008</v>
          </cell>
          <cell r="AI944">
            <v>8.5497597390000006</v>
          </cell>
          <cell r="AJ944">
            <v>8.7519096360000006</v>
          </cell>
          <cell r="AK944">
            <v>8.9541539869999998</v>
          </cell>
        </row>
        <row r="945">
          <cell r="A945" t="str">
            <v>ems_y_co2_srai_0</v>
          </cell>
          <cell r="B945">
            <v>0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  <cell r="Z945">
            <v>0</v>
          </cell>
          <cell r="AA945">
            <v>0</v>
          </cell>
          <cell r="AB945">
            <v>0</v>
          </cell>
          <cell r="AC945">
            <v>0</v>
          </cell>
          <cell r="AD945">
            <v>0</v>
          </cell>
          <cell r="AE945">
            <v>0</v>
          </cell>
          <cell r="AF945">
            <v>0</v>
          </cell>
          <cell r="AG945">
            <v>0</v>
          </cell>
          <cell r="AH945">
            <v>0</v>
          </cell>
          <cell r="AI945">
            <v>0</v>
          </cell>
          <cell r="AJ945">
            <v>0</v>
          </cell>
          <cell r="AK945">
            <v>0</v>
          </cell>
        </row>
        <row r="946">
          <cell r="A946" t="str">
            <v>ems_mat_co2_srai_0</v>
          </cell>
          <cell r="B946">
            <v>0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  <cell r="Z946">
            <v>0</v>
          </cell>
          <cell r="AA946">
            <v>0</v>
          </cell>
          <cell r="AB946">
            <v>0</v>
          </cell>
          <cell r="AC946">
            <v>0</v>
          </cell>
          <cell r="AD946">
            <v>0</v>
          </cell>
          <cell r="AE946">
            <v>0</v>
          </cell>
          <cell r="AF946">
            <v>0</v>
          </cell>
          <cell r="AG946">
            <v>0</v>
          </cell>
          <cell r="AH946">
            <v>0</v>
          </cell>
          <cell r="AI946">
            <v>0</v>
          </cell>
          <cell r="AJ946">
            <v>0</v>
          </cell>
          <cell r="AK946">
            <v>0</v>
          </cell>
        </row>
        <row r="947">
          <cell r="A947" t="str">
            <v>ems_ci_co2_sroa_0</v>
          </cell>
          <cell r="B947">
            <v>15.963741819999999</v>
          </cell>
          <cell r="C947">
            <v>15.8515985</v>
          </cell>
          <cell r="D947">
            <v>15.75964551</v>
          </cell>
          <cell r="E947">
            <v>15.699473429999999</v>
          </cell>
          <cell r="F947">
            <v>15.71363586</v>
          </cell>
          <cell r="G947">
            <v>15.78505872</v>
          </cell>
          <cell r="H947">
            <v>15.86387539</v>
          </cell>
          <cell r="I947">
            <v>15.94209013</v>
          </cell>
          <cell r="J947">
            <v>16.01895923</v>
          </cell>
          <cell r="K947">
            <v>16.09835975</v>
          </cell>
          <cell r="L947">
            <v>16.184056129999998</v>
          </cell>
          <cell r="M947">
            <v>16.278430589999999</v>
          </cell>
          <cell r="N947">
            <v>16.377842810000001</v>
          </cell>
          <cell r="O947">
            <v>16.471237680000002</v>
          </cell>
          <cell r="P947">
            <v>16.562880150000002</v>
          </cell>
          <cell r="Q947">
            <v>16.658628950000001</v>
          </cell>
          <cell r="R947">
            <v>16.787067759999999</v>
          </cell>
          <cell r="S947">
            <v>16.952731530000001</v>
          </cell>
          <cell r="T947">
            <v>17.154409909999998</v>
          </cell>
          <cell r="U947">
            <v>17.388518789999999</v>
          </cell>
          <cell r="V947">
            <v>17.652151100000001</v>
          </cell>
          <cell r="W947">
            <v>17.943087670000001</v>
          </cell>
          <cell r="X947">
            <v>18.261092779999998</v>
          </cell>
          <cell r="Y947">
            <v>18.60586606</v>
          </cell>
          <cell r="Z947">
            <v>18.976072599999998</v>
          </cell>
          <cell r="AA947">
            <v>19.37099405</v>
          </cell>
          <cell r="AB947">
            <v>19.790635569999999</v>
          </cell>
          <cell r="AC947">
            <v>20.2366782</v>
          </cell>
          <cell r="AD947">
            <v>20.709389479999999</v>
          </cell>
          <cell r="AE947">
            <v>21.204959469999999</v>
          </cell>
          <cell r="AF947">
            <v>21.717585809999999</v>
          </cell>
          <cell r="AG947">
            <v>22.242282039999999</v>
          </cell>
          <cell r="AH947">
            <v>22.77547921</v>
          </cell>
          <cell r="AI947">
            <v>23.314290360000001</v>
          </cell>
          <cell r="AJ947">
            <v>23.85610191</v>
          </cell>
          <cell r="AK947">
            <v>24.398360669999999</v>
          </cell>
        </row>
        <row r="948">
          <cell r="A948" t="str">
            <v>ems_y_co2_sroa_0</v>
          </cell>
          <cell r="B948">
            <v>0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H948">
            <v>0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0</v>
          </cell>
          <cell r="Y948">
            <v>0</v>
          </cell>
          <cell r="Z948">
            <v>0</v>
          </cell>
          <cell r="AA948">
            <v>0</v>
          </cell>
          <cell r="AB948">
            <v>0</v>
          </cell>
          <cell r="AC948">
            <v>0</v>
          </cell>
          <cell r="AD948">
            <v>0</v>
          </cell>
          <cell r="AE948">
            <v>0</v>
          </cell>
          <cell r="AF948">
            <v>0</v>
          </cell>
          <cell r="AG948">
            <v>0</v>
          </cell>
          <cell r="AH948">
            <v>0</v>
          </cell>
          <cell r="AI948">
            <v>0</v>
          </cell>
          <cell r="AJ948">
            <v>0</v>
          </cell>
          <cell r="AK948">
            <v>0</v>
          </cell>
        </row>
        <row r="949">
          <cell r="A949" t="str">
            <v>ems_mat_co2_sroa_0</v>
          </cell>
          <cell r="B949">
            <v>0</v>
          </cell>
          <cell r="C949">
            <v>0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  <cell r="Z949">
            <v>0</v>
          </cell>
          <cell r="AA949">
            <v>0</v>
          </cell>
          <cell r="AB949">
            <v>0</v>
          </cell>
          <cell r="AC949">
            <v>0</v>
          </cell>
          <cell r="AD949">
            <v>0</v>
          </cell>
          <cell r="AE949">
            <v>0</v>
          </cell>
          <cell r="AF949">
            <v>0</v>
          </cell>
          <cell r="AG949">
            <v>0</v>
          </cell>
          <cell r="AH949">
            <v>0</v>
          </cell>
          <cell r="AI949">
            <v>0</v>
          </cell>
          <cell r="AJ949">
            <v>0</v>
          </cell>
          <cell r="AK949">
            <v>0</v>
          </cell>
        </row>
        <row r="950">
          <cell r="A950" t="str">
            <v>ems_ci_co2_swat_0</v>
          </cell>
          <cell r="B950">
            <v>3.7606019540000002</v>
          </cell>
          <cell r="C950">
            <v>3.8202090649999998</v>
          </cell>
          <cell r="D950">
            <v>3.8784297510000001</v>
          </cell>
          <cell r="E950">
            <v>3.929035308</v>
          </cell>
          <cell r="F950">
            <v>3.9877354060000001</v>
          </cell>
          <cell r="G950">
            <v>4.0550773449999999</v>
          </cell>
          <cell r="H950">
            <v>4.1253634449999996</v>
          </cell>
          <cell r="I950">
            <v>4.1961056110000001</v>
          </cell>
          <cell r="J950">
            <v>4.2658860110000001</v>
          </cell>
          <cell r="K950">
            <v>4.3347095820000003</v>
          </cell>
          <cell r="L950">
            <v>4.4030433819999999</v>
          </cell>
          <cell r="M950">
            <v>4.4710593579999998</v>
          </cell>
          <cell r="N950">
            <v>4.5349252660000001</v>
          </cell>
          <cell r="O950">
            <v>4.5862502589999998</v>
          </cell>
          <cell r="P950">
            <v>4.6309535960000003</v>
          </cell>
          <cell r="Q950">
            <v>4.6748385429999999</v>
          </cell>
          <cell r="R950">
            <v>4.7258048940000004</v>
          </cell>
          <cell r="S950">
            <v>4.788017033</v>
          </cell>
          <cell r="T950">
            <v>4.8635627640000001</v>
          </cell>
          <cell r="U950">
            <v>4.9526819770000001</v>
          </cell>
          <cell r="V950">
            <v>5.0556238660000004</v>
          </cell>
          <cell r="W950">
            <v>5.172348543</v>
          </cell>
          <cell r="X950">
            <v>5.3037826890000002</v>
          </cell>
          <cell r="Y950">
            <v>5.450129038</v>
          </cell>
          <cell r="Z950">
            <v>5.6104912489999998</v>
          </cell>
          <cell r="AA950">
            <v>5.7845516449999996</v>
          </cell>
          <cell r="AB950">
            <v>5.972487976</v>
          </cell>
          <cell r="AC950">
            <v>6.1756919229999996</v>
          </cell>
          <cell r="AD950">
            <v>6.3940379790000001</v>
          </cell>
          <cell r="AE950">
            <v>6.6239424260000002</v>
          </cell>
          <cell r="AF950">
            <v>6.8608042559999998</v>
          </cell>
          <cell r="AG950">
            <v>7.1013636379999996</v>
          </cell>
          <cell r="AH950">
            <v>7.3437897039999998</v>
          </cell>
          <cell r="AI950">
            <v>7.586796766</v>
          </cell>
          <cell r="AJ950">
            <v>7.8292445270000002</v>
          </cell>
          <cell r="AK950">
            <v>8.0699550539999994</v>
          </cell>
        </row>
        <row r="951">
          <cell r="A951" t="str">
            <v>ems_y_co2_swat_0</v>
          </cell>
          <cell r="B951">
            <v>0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  <cell r="Z951">
            <v>0</v>
          </cell>
          <cell r="AA951">
            <v>0</v>
          </cell>
          <cell r="AB951">
            <v>0</v>
          </cell>
          <cell r="AC951">
            <v>0</v>
          </cell>
          <cell r="AD951">
            <v>0</v>
          </cell>
          <cell r="AE951">
            <v>0</v>
          </cell>
          <cell r="AF951">
            <v>0</v>
          </cell>
          <cell r="AG951">
            <v>0</v>
          </cell>
          <cell r="AH951">
            <v>0</v>
          </cell>
          <cell r="AI951">
            <v>0</v>
          </cell>
          <cell r="AJ951">
            <v>0</v>
          </cell>
          <cell r="AK951">
            <v>0</v>
          </cell>
        </row>
        <row r="952">
          <cell r="A952" t="str">
            <v>ems_mat_co2_swat_0</v>
          </cell>
          <cell r="B952">
            <v>0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  <cell r="Z952">
            <v>0</v>
          </cell>
          <cell r="AA952">
            <v>0</v>
          </cell>
          <cell r="AB952">
            <v>0</v>
          </cell>
          <cell r="AC952">
            <v>0</v>
          </cell>
          <cell r="AD952">
            <v>0</v>
          </cell>
          <cell r="AE952">
            <v>0</v>
          </cell>
          <cell r="AF952">
            <v>0</v>
          </cell>
          <cell r="AG952">
            <v>0</v>
          </cell>
          <cell r="AH952">
            <v>0</v>
          </cell>
          <cell r="AI952">
            <v>0</v>
          </cell>
          <cell r="AJ952">
            <v>0</v>
          </cell>
          <cell r="AK952">
            <v>0</v>
          </cell>
        </row>
        <row r="953">
          <cell r="A953" t="str">
            <v>ems_ci_co2_sair_0</v>
          </cell>
          <cell r="B953">
            <v>19.721460579999999</v>
          </cell>
          <cell r="C953">
            <v>19.881738299999999</v>
          </cell>
          <cell r="D953">
            <v>20.047571820000002</v>
          </cell>
          <cell r="E953">
            <v>20.18646017</v>
          </cell>
          <cell r="F953">
            <v>20.38485592</v>
          </cell>
          <cell r="G953">
            <v>20.649143389999999</v>
          </cell>
          <cell r="H953">
            <v>20.943888600000001</v>
          </cell>
          <cell r="I953">
            <v>21.254125999999999</v>
          </cell>
          <cell r="J953">
            <v>21.57190524</v>
          </cell>
          <cell r="K953">
            <v>21.896715610000001</v>
          </cell>
          <cell r="L953">
            <v>22.22998419</v>
          </cell>
          <cell r="M953">
            <v>22.572710090000001</v>
          </cell>
          <cell r="N953">
            <v>22.913647090000001</v>
          </cell>
          <cell r="O953">
            <v>23.226055120000002</v>
          </cell>
          <cell r="P953">
            <v>23.522743999999999</v>
          </cell>
          <cell r="Q953">
            <v>23.818363949999998</v>
          </cell>
          <cell r="R953">
            <v>24.147880149999999</v>
          </cell>
          <cell r="S953">
            <v>24.52636232</v>
          </cell>
          <cell r="T953">
            <v>24.958861930000001</v>
          </cell>
          <cell r="U953">
            <v>25.444461960000002</v>
          </cell>
          <cell r="V953">
            <v>25.98285199</v>
          </cell>
          <cell r="W953">
            <v>26.573892839999999</v>
          </cell>
          <cell r="X953">
            <v>27.22095479</v>
          </cell>
          <cell r="Y953">
            <v>27.92585738</v>
          </cell>
          <cell r="Z953">
            <v>28.687030530000001</v>
          </cell>
          <cell r="AA953">
            <v>29.50443778</v>
          </cell>
          <cell r="AB953">
            <v>30.379614790000002</v>
          </cell>
          <cell r="AC953">
            <v>31.31803425</v>
          </cell>
          <cell r="AD953">
            <v>32.321293099999998</v>
          </cell>
          <cell r="AE953">
            <v>33.381105030000001</v>
          </cell>
          <cell r="AF953">
            <v>34.484790429999997</v>
          </cell>
          <cell r="AG953">
            <v>35.621910530000001</v>
          </cell>
          <cell r="AH953">
            <v>36.785140720000001</v>
          </cell>
          <cell r="AI953">
            <v>37.968283370000002</v>
          </cell>
          <cell r="AJ953">
            <v>39.16540715</v>
          </cell>
          <cell r="AK953">
            <v>40.37045655</v>
          </cell>
        </row>
        <row r="954">
          <cell r="A954" t="str">
            <v>ems_y_co2_sair_0</v>
          </cell>
          <cell r="B954">
            <v>0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  <cell r="Z954">
            <v>0</v>
          </cell>
          <cell r="AA954">
            <v>0</v>
          </cell>
          <cell r="AB954">
            <v>0</v>
          </cell>
          <cell r="AC954">
            <v>0</v>
          </cell>
          <cell r="AD954">
            <v>0</v>
          </cell>
          <cell r="AE954">
            <v>0</v>
          </cell>
          <cell r="AF954">
            <v>0</v>
          </cell>
          <cell r="AG954">
            <v>0</v>
          </cell>
          <cell r="AH954">
            <v>0</v>
          </cell>
          <cell r="AI954">
            <v>0</v>
          </cell>
          <cell r="AJ954">
            <v>0</v>
          </cell>
          <cell r="AK954">
            <v>0</v>
          </cell>
        </row>
        <row r="955">
          <cell r="A955" t="str">
            <v>ems_mat_co2_sair_0</v>
          </cell>
          <cell r="B955">
            <v>0</v>
          </cell>
          <cell r="C955">
            <v>0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0</v>
          </cell>
          <cell r="AF955">
            <v>0</v>
          </cell>
          <cell r="AG955">
            <v>0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</row>
        <row r="956">
          <cell r="A956" t="str">
            <v>ems_ci_co2_spri_0</v>
          </cell>
          <cell r="B956">
            <v>30.743293649999998</v>
          </cell>
          <cell r="C956">
            <v>30.47361321</v>
          </cell>
          <cell r="D956">
            <v>30.192816019999999</v>
          </cell>
          <cell r="E956">
            <v>29.90769654</v>
          </cell>
          <cell r="F956">
            <v>29.82737084</v>
          </cell>
          <cell r="G956">
            <v>29.918764060000001</v>
          </cell>
          <cell r="H956">
            <v>30.079500339999999</v>
          </cell>
          <cell r="I956">
            <v>30.246719949999999</v>
          </cell>
          <cell r="J956">
            <v>30.384653310000001</v>
          </cell>
          <cell r="K956">
            <v>30.488713870000002</v>
          </cell>
          <cell r="L956">
            <v>30.566194540000001</v>
          </cell>
          <cell r="M956">
            <v>30.624802509999999</v>
          </cell>
          <cell r="N956">
            <v>30.662964150000001</v>
          </cell>
          <cell r="O956">
            <v>30.665425209999999</v>
          </cell>
          <cell r="P956">
            <v>30.64419595</v>
          </cell>
          <cell r="Q956">
            <v>30.616966980000001</v>
          </cell>
          <cell r="R956">
            <v>30.652963450000001</v>
          </cell>
          <cell r="S956">
            <v>30.790321240000001</v>
          </cell>
          <cell r="T956">
            <v>31.043764339999999</v>
          </cell>
          <cell r="U956">
            <v>31.41327454</v>
          </cell>
          <cell r="V956">
            <v>31.89327428</v>
          </cell>
          <cell r="W956">
            <v>32.476034820000002</v>
          </cell>
          <cell r="X956">
            <v>33.156847229999997</v>
          </cell>
          <cell r="Y956">
            <v>33.932212800000002</v>
          </cell>
          <cell r="Z956">
            <v>34.79876453</v>
          </cell>
          <cell r="AA956">
            <v>35.753765739999999</v>
          </cell>
          <cell r="AB956">
            <v>36.795268040000003</v>
          </cell>
          <cell r="AC956">
            <v>37.923755370000002</v>
          </cell>
          <cell r="AD956">
            <v>39.136992220000003</v>
          </cell>
          <cell r="AE956">
            <v>40.422626579999999</v>
          </cell>
          <cell r="AF956">
            <v>41.762438039999999</v>
          </cell>
          <cell r="AG956">
            <v>43.137959479999999</v>
          </cell>
          <cell r="AH956">
            <v>44.533046089999999</v>
          </cell>
          <cell r="AI956">
            <v>45.933606660000002</v>
          </cell>
          <cell r="AJ956">
            <v>47.327235190000003</v>
          </cell>
          <cell r="AK956">
            <v>48.702880950000001</v>
          </cell>
        </row>
        <row r="957">
          <cell r="A957" t="str">
            <v>ems_y_co2_spri_0</v>
          </cell>
          <cell r="B957">
            <v>0.40336426619999999</v>
          </cell>
          <cell r="C957">
            <v>0.40592170109999998</v>
          </cell>
          <cell r="D957">
            <v>0.4102161601</v>
          </cell>
          <cell r="E957">
            <v>0.41618761970000001</v>
          </cell>
          <cell r="F957">
            <v>0.42286489890000001</v>
          </cell>
          <cell r="G957">
            <v>0.42995045640000001</v>
          </cell>
          <cell r="H957">
            <v>0.43708185970000002</v>
          </cell>
          <cell r="I957">
            <v>0.44420962559999999</v>
          </cell>
          <cell r="J957">
            <v>0.45142265069999998</v>
          </cell>
          <cell r="K957">
            <v>0.45882630790000001</v>
          </cell>
          <cell r="L957">
            <v>0.46649974570000002</v>
          </cell>
          <cell r="M957">
            <v>0.47448715180000001</v>
          </cell>
          <cell r="N957">
            <v>0.48266536040000002</v>
          </cell>
          <cell r="O957">
            <v>0.49069814090000002</v>
          </cell>
          <cell r="P957">
            <v>0.49868822439999999</v>
          </cell>
          <cell r="Q957">
            <v>0.50676563549999998</v>
          </cell>
          <cell r="R957">
            <v>0.51520320819999998</v>
          </cell>
          <cell r="S957">
            <v>0.52417801919999996</v>
          </cell>
          <cell r="T957">
            <v>0.53373538679999999</v>
          </cell>
          <cell r="U957">
            <v>0.54385994069999999</v>
          </cell>
          <cell r="V957">
            <v>0.55455650069999995</v>
          </cell>
          <cell r="W957">
            <v>0.56584314999999996</v>
          </cell>
          <cell r="X957">
            <v>0.57778830699999995</v>
          </cell>
          <cell r="Y957">
            <v>0.59044364699999996</v>
          </cell>
          <cell r="Z957">
            <v>0.60381407799999998</v>
          </cell>
          <cell r="AA957">
            <v>0.6179144406</v>
          </cell>
          <cell r="AB957">
            <v>0.63277516889999996</v>
          </cell>
          <cell r="AC957">
            <v>0.64847791109999997</v>
          </cell>
          <cell r="AD957">
            <v>0.66505697559999999</v>
          </cell>
          <cell r="AE957">
            <v>0.68243131769999998</v>
          </cell>
          <cell r="AF957">
            <v>0.70045994869999995</v>
          </cell>
          <cell r="AG957">
            <v>0.71902030019999996</v>
          </cell>
          <cell r="AH957">
            <v>0.73802365609999998</v>
          </cell>
          <cell r="AI957">
            <v>0.75739218750000004</v>
          </cell>
          <cell r="AJ957">
            <v>0.77704957070000003</v>
          </cell>
          <cell r="AK957">
            <v>0.79691626339999999</v>
          </cell>
        </row>
        <row r="958">
          <cell r="A958" t="str">
            <v>ems_mat_co2_spri_0</v>
          </cell>
          <cell r="B958">
            <v>0.59151289789999995</v>
          </cell>
          <cell r="C958">
            <v>0.5955298618</v>
          </cell>
          <cell r="D958">
            <v>0.60158177540000002</v>
          </cell>
          <cell r="E958">
            <v>0.61012637240000001</v>
          </cell>
          <cell r="F958">
            <v>0.6198829428</v>
          </cell>
          <cell r="G958">
            <v>0.63029927750000003</v>
          </cell>
          <cell r="H958">
            <v>0.64082522860000002</v>
          </cell>
          <cell r="I958">
            <v>0.65133755810000005</v>
          </cell>
          <cell r="J958">
            <v>0.66194813370000005</v>
          </cell>
          <cell r="K958">
            <v>0.67281530280000001</v>
          </cell>
          <cell r="L958">
            <v>0.68406488340000005</v>
          </cell>
          <cell r="M958">
            <v>0.69577031310000004</v>
          </cell>
          <cell r="N958">
            <v>0.70777269659999997</v>
          </cell>
          <cell r="O958">
            <v>0.71960082820000004</v>
          </cell>
          <cell r="P958">
            <v>0.73134420060000005</v>
          </cell>
          <cell r="Q958">
            <v>0.743191398</v>
          </cell>
          <cell r="R958">
            <v>0.7555323987</v>
          </cell>
          <cell r="S958">
            <v>0.76864721660000002</v>
          </cell>
          <cell r="T958">
            <v>0.7826237707</v>
          </cell>
          <cell r="U958">
            <v>0.79744670949999996</v>
          </cell>
          <cell r="V958">
            <v>0.8131175236</v>
          </cell>
          <cell r="W958">
            <v>0.82965843620000002</v>
          </cell>
          <cell r="X958">
            <v>0.84716240089999995</v>
          </cell>
          <cell r="Y958">
            <v>0.8657075783</v>
          </cell>
          <cell r="Z958">
            <v>0.88530721670000001</v>
          </cell>
          <cell r="AA958">
            <v>0.9059810023</v>
          </cell>
          <cell r="AB958">
            <v>0.92777072260000004</v>
          </cell>
          <cell r="AC958">
            <v>0.95078982229999998</v>
          </cell>
          <cell r="AD958">
            <v>0.9750955053</v>
          </cell>
          <cell r="AE958">
            <v>1.0005829129999999</v>
          </cell>
          <cell r="AF958">
            <v>1.0270491340000001</v>
          </cell>
          <cell r="AG958">
            <v>1.054306835</v>
          </cell>
          <cell r="AH958">
            <v>1.0822175469999999</v>
          </cell>
          <cell r="AI958">
            <v>1.110663712</v>
          </cell>
          <cell r="AJ958">
            <v>1.1395324309999999</v>
          </cell>
          <cell r="AK958">
            <v>1.1687071090000001</v>
          </cell>
        </row>
        <row r="959">
          <cell r="A959" t="str">
            <v>ems_ci_co2_spub_0</v>
          </cell>
          <cell r="B959">
            <v>14.96650101</v>
          </cell>
          <cell r="C959">
            <v>14.88687522</v>
          </cell>
          <cell r="D959">
            <v>14.78920492</v>
          </cell>
          <cell r="E959">
            <v>14.6527899</v>
          </cell>
          <cell r="F959">
            <v>14.613783939999999</v>
          </cell>
          <cell r="G959">
            <v>14.651320309999999</v>
          </cell>
          <cell r="H959">
            <v>14.705098899999999</v>
          </cell>
          <cell r="I959">
            <v>14.75492438</v>
          </cell>
          <cell r="J959">
            <v>14.78953353</v>
          </cell>
          <cell r="K959">
            <v>14.81030928</v>
          </cell>
          <cell r="L959">
            <v>14.821840910000001</v>
          </cell>
          <cell r="M959">
            <v>14.828567659999999</v>
          </cell>
          <cell r="N959">
            <v>14.83322384</v>
          </cell>
          <cell r="O959">
            <v>14.83587968</v>
          </cell>
          <cell r="P959">
            <v>14.839218779999999</v>
          </cell>
          <cell r="Q959">
            <v>14.84655995</v>
          </cell>
          <cell r="R959">
            <v>14.891410580000001</v>
          </cell>
          <cell r="S959">
            <v>14.981022400000001</v>
          </cell>
          <cell r="T959">
            <v>15.11554134</v>
          </cell>
          <cell r="U959">
            <v>15.29145033</v>
          </cell>
          <cell r="V959">
            <v>15.504057339999999</v>
          </cell>
          <cell r="W959">
            <v>15.74861624</v>
          </cell>
          <cell r="X959">
            <v>16.021411000000001</v>
          </cell>
          <cell r="Y959">
            <v>16.319666689999998</v>
          </cell>
          <cell r="Z959">
            <v>16.641376090000001</v>
          </cell>
          <cell r="AA959">
            <v>16.98489305</v>
          </cell>
          <cell r="AB959">
            <v>17.34886101</v>
          </cell>
          <cell r="AC959">
            <v>17.732341460000001</v>
          </cell>
          <cell r="AD959">
            <v>18.1341869</v>
          </cell>
          <cell r="AE959">
            <v>18.551767359999999</v>
          </cell>
          <cell r="AF959">
            <v>18.981629479999999</v>
          </cell>
          <cell r="AG959">
            <v>19.42023446</v>
          </cell>
          <cell r="AH959">
            <v>19.864395420000001</v>
          </cell>
          <cell r="AI959">
            <v>20.311396070000001</v>
          </cell>
          <cell r="AJ959">
            <v>20.75899282</v>
          </cell>
          <cell r="AK959">
            <v>21.20533266</v>
          </cell>
        </row>
        <row r="960">
          <cell r="A960" t="str">
            <v>ems_y_co2_spub_0</v>
          </cell>
          <cell r="B960">
            <v>0</v>
          </cell>
          <cell r="C960">
            <v>0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0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</row>
        <row r="961">
          <cell r="A961" t="str">
            <v>ems_mat_co2_spub_0</v>
          </cell>
          <cell r="B961">
            <v>9.7250820460000007</v>
          </cell>
          <cell r="C961">
            <v>9.8260946550000003</v>
          </cell>
          <cell r="D961">
            <v>9.9475888529999992</v>
          </cell>
          <cell r="E961">
            <v>10.08961133</v>
          </cell>
          <cell r="F961">
            <v>10.24219501</v>
          </cell>
          <cell r="G961">
            <v>10.40102778</v>
          </cell>
          <cell r="H961">
            <v>10.5631994</v>
          </cell>
          <cell r="I961">
            <v>10.727740219999999</v>
          </cell>
          <cell r="J961">
            <v>10.89500999</v>
          </cell>
          <cell r="K961">
            <v>11.06571886</v>
          </cell>
          <cell r="L961">
            <v>11.24052107</v>
          </cell>
          <cell r="M961">
            <v>11.41995376</v>
          </cell>
          <cell r="N961">
            <v>11.603674440000001</v>
          </cell>
          <cell r="O961">
            <v>11.789985959999999</v>
          </cell>
          <cell r="P961">
            <v>11.979132570000001</v>
          </cell>
          <cell r="Q961">
            <v>12.171803840000001</v>
          </cell>
          <cell r="R961">
            <v>12.36984513</v>
          </cell>
          <cell r="S961">
            <v>12.5746942</v>
          </cell>
          <cell r="T961">
            <v>12.78677375</v>
          </cell>
          <cell r="U961">
            <v>13.005999790000001</v>
          </cell>
          <cell r="V961">
            <v>13.232376670000001</v>
          </cell>
          <cell r="W961">
            <v>13.466032820000001</v>
          </cell>
          <cell r="X961">
            <v>13.707400959999999</v>
          </cell>
          <cell r="Y961">
            <v>13.956869319999999</v>
          </cell>
          <cell r="Z961">
            <v>14.214557129999999</v>
          </cell>
          <cell r="AA961">
            <v>14.48058249</v>
          </cell>
          <cell r="AB961">
            <v>14.75516505</v>
          </cell>
          <cell r="AC961">
            <v>15.0388404</v>
          </cell>
          <cell r="AD961">
            <v>15.33197491</v>
          </cell>
          <cell r="AE961">
            <v>15.634367109999999</v>
          </cell>
          <cell r="AF961">
            <v>15.94541401</v>
          </cell>
          <cell r="AG961">
            <v>16.264509409999999</v>
          </cell>
          <cell r="AH961">
            <v>16.591167070000001</v>
          </cell>
          <cell r="AI961">
            <v>16.924961320000001</v>
          </cell>
          <cell r="AJ961">
            <v>17.2654915</v>
          </cell>
          <cell r="AK961">
            <v>17.612333459999999</v>
          </cell>
        </row>
        <row r="962">
          <cell r="A962" t="str">
            <v>ems_ci_co2_smin_0</v>
          </cell>
          <cell r="B962">
            <v>1.7619968939999999</v>
          </cell>
          <cell r="C962">
            <v>1.9613436420000001</v>
          </cell>
          <cell r="D962">
            <v>2.151302067</v>
          </cell>
          <cell r="E962">
            <v>2.3049257619999999</v>
          </cell>
          <cell r="F962">
            <v>2.4295518230000002</v>
          </cell>
          <cell r="G962">
            <v>2.5350642680000002</v>
          </cell>
          <cell r="H962">
            <v>2.6265220440000001</v>
          </cell>
          <cell r="I962">
            <v>2.7072068800000002</v>
          </cell>
          <cell r="J962">
            <v>2.7795889260000002</v>
          </cell>
          <cell r="K962">
            <v>2.8457970380000002</v>
          </cell>
          <cell r="L962">
            <v>2.9076465439999999</v>
          </cell>
          <cell r="M962">
            <v>2.9664551079999999</v>
          </cell>
          <cell r="N962">
            <v>3.0215419369999998</v>
          </cell>
          <cell r="O962">
            <v>3.0698655260000001</v>
          </cell>
          <cell r="P962">
            <v>3.1137481180000002</v>
          </cell>
          <cell r="Q962">
            <v>3.1558481650000001</v>
          </cell>
          <cell r="R962">
            <v>3.1999964310000002</v>
          </cell>
          <cell r="S962">
            <v>3.2492291849999999</v>
          </cell>
          <cell r="T962">
            <v>3.3048107409999998</v>
          </cell>
          <cell r="U962">
            <v>3.3668881599999998</v>
          </cell>
          <cell r="V962">
            <v>3.4355114590000002</v>
          </cell>
          <cell r="W962">
            <v>3.5106668230000002</v>
          </cell>
          <cell r="X962">
            <v>3.5927521900000001</v>
          </cell>
          <cell r="Y962">
            <v>3.6819414739999998</v>
          </cell>
          <cell r="Z962">
            <v>3.7779704970000001</v>
          </cell>
          <cell r="AA962">
            <v>3.8807884719999999</v>
          </cell>
          <cell r="AB962">
            <v>3.9905653569999999</v>
          </cell>
          <cell r="AC962">
            <v>4.1079551580000002</v>
          </cell>
          <cell r="AD962">
            <v>4.2331019679999997</v>
          </cell>
          <cell r="AE962">
            <v>4.3647336340000003</v>
          </cell>
          <cell r="AF962">
            <v>4.5010087480000003</v>
          </cell>
          <cell r="AG962">
            <v>4.6404735329999998</v>
          </cell>
          <cell r="AH962">
            <v>4.7821745360000003</v>
          </cell>
          <cell r="AI962">
            <v>4.9253797119999998</v>
          </cell>
          <cell r="AJ962">
            <v>5.0694271320000004</v>
          </cell>
          <cell r="AK962">
            <v>5.2136481950000002</v>
          </cell>
        </row>
        <row r="963">
          <cell r="A963" t="str">
            <v>ems_y_co2_smin_0</v>
          </cell>
          <cell r="B963">
            <v>0</v>
          </cell>
          <cell r="C963">
            <v>0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  <cell r="Z963">
            <v>0</v>
          </cell>
          <cell r="AA963">
            <v>0</v>
          </cell>
          <cell r="AB963">
            <v>0</v>
          </cell>
          <cell r="AC963">
            <v>0</v>
          </cell>
          <cell r="AD963">
            <v>0</v>
          </cell>
          <cell r="AE963">
            <v>0</v>
          </cell>
          <cell r="AF963">
            <v>0</v>
          </cell>
          <cell r="AG963">
            <v>0</v>
          </cell>
          <cell r="AH963">
            <v>0</v>
          </cell>
          <cell r="AI963">
            <v>0</v>
          </cell>
          <cell r="AJ963">
            <v>0</v>
          </cell>
          <cell r="AK963">
            <v>0</v>
          </cell>
        </row>
        <row r="964">
          <cell r="A964" t="str">
            <v>ems_mat_co2_smin_0</v>
          </cell>
          <cell r="B964">
            <v>9.7029069400000001E-2</v>
          </cell>
          <cell r="C964">
            <v>0.1080709177</v>
          </cell>
          <cell r="D964">
            <v>0.1186334309</v>
          </cell>
          <cell r="E964">
            <v>0.12722121149999999</v>
          </cell>
          <cell r="F964">
            <v>0.13420182380000001</v>
          </cell>
          <cell r="G964">
            <v>0.14010829850000001</v>
          </cell>
          <cell r="H964">
            <v>0.1452220471</v>
          </cell>
          <cell r="I964">
            <v>0.1497336923</v>
          </cell>
          <cell r="J964">
            <v>0.153790289</v>
          </cell>
          <cell r="K964">
            <v>0.1575165617</v>
          </cell>
          <cell r="L964">
            <v>0.16101614959999999</v>
          </cell>
          <cell r="M964">
            <v>0.16436387790000001</v>
          </cell>
          <cell r="N964">
            <v>0.1675228839</v>
          </cell>
          <cell r="O964">
            <v>0.1703249379</v>
          </cell>
          <cell r="P964">
            <v>0.1728970994</v>
          </cell>
          <cell r="Q964">
            <v>0.1753835027</v>
          </cell>
          <cell r="R964">
            <v>0.17797265109999999</v>
          </cell>
          <cell r="S964">
            <v>0.18082577289999999</v>
          </cell>
          <cell r="T964">
            <v>0.1840085487</v>
          </cell>
          <cell r="U964">
            <v>0.18752591090000001</v>
          </cell>
          <cell r="V964">
            <v>0.19137923000000001</v>
          </cell>
          <cell r="W964">
            <v>0.19556793389999999</v>
          </cell>
          <cell r="X964">
            <v>0.2001148697</v>
          </cell>
          <cell r="Y964">
            <v>0.2050301434</v>
          </cell>
          <cell r="Z964">
            <v>0.21029862699999999</v>
          </cell>
          <cell r="AA964">
            <v>0.21591731950000001</v>
          </cell>
          <cell r="AB964">
            <v>0.2218959194</v>
          </cell>
          <cell r="AC964">
            <v>0.2282715451</v>
          </cell>
          <cell r="AD964">
            <v>0.23505347360000001</v>
          </cell>
          <cell r="AE964">
            <v>0.24217461509999999</v>
          </cell>
          <cell r="AF964">
            <v>0.2495379204</v>
          </cell>
          <cell r="AG964">
            <v>0.25706891129999998</v>
          </cell>
          <cell r="AH964">
            <v>0.26472112060000003</v>
          </cell>
          <cell r="AI964">
            <v>0.27246001580000001</v>
          </cell>
          <cell r="AJ964">
            <v>0.28025435399999998</v>
          </cell>
          <cell r="AK964">
            <v>0.28807185730000001</v>
          </cell>
        </row>
        <row r="965">
          <cell r="A965" t="str">
            <v>ems_ci_co2_soil_0</v>
          </cell>
          <cell r="B965">
            <v>16.602035879999999</v>
          </cell>
          <cell r="C965">
            <v>16.862559409999999</v>
          </cell>
          <cell r="D965">
            <v>17.095154019999999</v>
          </cell>
          <cell r="E965">
            <v>17.30592536</v>
          </cell>
          <cell r="F965">
            <v>17.522870690000001</v>
          </cell>
          <cell r="G965">
            <v>17.748227140000001</v>
          </cell>
          <cell r="H965">
            <v>17.961167190000001</v>
          </cell>
          <cell r="I965">
            <v>18.150617359999998</v>
          </cell>
          <cell r="J965">
            <v>18.309174840000001</v>
          </cell>
          <cell r="K965">
            <v>18.432557899999999</v>
          </cell>
          <cell r="L965">
            <v>18.519693029999999</v>
          </cell>
          <cell r="M965">
            <v>18.573510769999999</v>
          </cell>
          <cell r="N965">
            <v>18.591427790000001</v>
          </cell>
          <cell r="O965">
            <v>18.561258729999999</v>
          </cell>
          <cell r="P965">
            <v>18.50531398</v>
          </cell>
          <cell r="Q965">
            <v>18.446075919999998</v>
          </cell>
          <cell r="R965">
            <v>18.288418440000001</v>
          </cell>
          <cell r="S965">
            <v>18.143078039999999</v>
          </cell>
          <cell r="T965">
            <v>18.026037479999999</v>
          </cell>
          <cell r="U965">
            <v>17.938857710000001</v>
          </cell>
          <cell r="V965">
            <v>17.88066968</v>
          </cell>
          <cell r="W965">
            <v>17.84999539</v>
          </cell>
          <cell r="X965">
            <v>17.845976230000002</v>
          </cell>
          <cell r="Y965">
            <v>17.867578009999999</v>
          </cell>
          <cell r="Z965">
            <v>17.913241710000001</v>
          </cell>
          <cell r="AA965">
            <v>17.981839959999999</v>
          </cell>
          <cell r="AB965">
            <v>18.072692190000001</v>
          </cell>
          <cell r="AC965">
            <v>18.186028589999999</v>
          </cell>
          <cell r="AD965">
            <v>18.321390869999998</v>
          </cell>
          <cell r="AE965">
            <v>18.476261239999999</v>
          </cell>
          <cell r="AF965">
            <v>18.647174960000001</v>
          </cell>
          <cell r="AG965">
            <v>18.831166410000002</v>
          </cell>
          <cell r="AH965">
            <v>19.026018310000001</v>
          </cell>
          <cell r="AI965">
            <v>19.229855369999999</v>
          </cell>
          <cell r="AJ965">
            <v>19.440928360000001</v>
          </cell>
          <cell r="AK965">
            <v>19.65750281</v>
          </cell>
        </row>
        <row r="966">
          <cell r="A966" t="str">
            <v>ems_y_co2_soil_0</v>
          </cell>
          <cell r="B966">
            <v>0</v>
          </cell>
          <cell r="C966">
            <v>0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</row>
        <row r="967">
          <cell r="A967" t="str">
            <v>ems_mat_co2_soil_0</v>
          </cell>
          <cell r="B967">
            <v>4.7795047750000004</v>
          </cell>
          <cell r="C967">
            <v>4.8552813959999996</v>
          </cell>
          <cell r="D967">
            <v>4.9231202009999997</v>
          </cell>
          <cell r="E967">
            <v>4.9849607200000001</v>
          </cell>
          <cell r="F967">
            <v>5.0481997490000001</v>
          </cell>
          <cell r="G967">
            <v>5.1135544050000004</v>
          </cell>
          <cell r="H967">
            <v>5.1740427599999999</v>
          </cell>
          <cell r="I967">
            <v>5.2270769890000004</v>
          </cell>
          <cell r="J967">
            <v>5.2708747889999996</v>
          </cell>
          <cell r="K967">
            <v>5.3043757789999999</v>
          </cell>
          <cell r="L967">
            <v>5.3273633379999996</v>
          </cell>
          <cell r="M967">
            <v>5.3407401439999997</v>
          </cell>
          <cell r="N967">
            <v>5.3438024000000004</v>
          </cell>
          <cell r="O967">
            <v>5.3330737810000004</v>
          </cell>
          <cell r="P967">
            <v>5.3149804100000004</v>
          </cell>
          <cell r="Q967">
            <v>5.2959852859999996</v>
          </cell>
          <cell r="R967">
            <v>5.2496043859999997</v>
          </cell>
          <cell r="S967">
            <v>5.2071582440000004</v>
          </cell>
          <cell r="T967">
            <v>5.1730086960000001</v>
          </cell>
          <cell r="U967">
            <v>5.1475063719999996</v>
          </cell>
          <cell r="V967">
            <v>5.1303649089999999</v>
          </cell>
          <cell r="W967">
            <v>5.1211493089999998</v>
          </cell>
          <cell r="X967">
            <v>5.1196108310000001</v>
          </cell>
          <cell r="Y967">
            <v>5.1254518129999997</v>
          </cell>
          <cell r="Z967">
            <v>5.1382214599999996</v>
          </cell>
          <cell r="AA967">
            <v>5.1575939870000003</v>
          </cell>
          <cell r="AB967">
            <v>5.1833722619999998</v>
          </cell>
          <cell r="AC967">
            <v>5.2156217839999996</v>
          </cell>
          <cell r="AD967">
            <v>5.2542114230000001</v>
          </cell>
          <cell r="AE967">
            <v>5.2984233319999996</v>
          </cell>
          <cell r="AF967">
            <v>5.3472658859999997</v>
          </cell>
          <cell r="AG967">
            <v>5.3998883590000002</v>
          </cell>
          <cell r="AH967">
            <v>5.4556529979999997</v>
          </cell>
          <cell r="AI967">
            <v>5.5140191280000002</v>
          </cell>
          <cell r="AJ967">
            <v>5.5744817519999996</v>
          </cell>
          <cell r="AK967">
            <v>5.6365398280000001</v>
          </cell>
        </row>
        <row r="968">
          <cell r="A968" t="str">
            <v>ems_ci_co2_sbfu_0</v>
          </cell>
          <cell r="B968">
            <v>3.9471017019999999</v>
          </cell>
          <cell r="C968">
            <v>4.0484337909999999</v>
          </cell>
          <cell r="D968">
            <v>4.1396878639999999</v>
          </cell>
          <cell r="E968">
            <v>4.2200013849999998</v>
          </cell>
          <cell r="F968">
            <v>4.295861929</v>
          </cell>
          <cell r="G968">
            <v>4.3687747630000002</v>
          </cell>
          <cell r="H968">
            <v>4.4345397990000004</v>
          </cell>
          <cell r="I968">
            <v>4.490681747</v>
          </cell>
          <cell r="J968">
            <v>4.5354324760000004</v>
          </cell>
          <cell r="K968">
            <v>4.5677876910000004</v>
          </cell>
          <cell r="L968">
            <v>4.5876584989999998</v>
          </cell>
          <cell r="M968">
            <v>4.5961442300000002</v>
          </cell>
          <cell r="N968">
            <v>4.5931266549999998</v>
          </cell>
          <cell r="O968">
            <v>4.5761947940000001</v>
          </cell>
          <cell r="P968">
            <v>4.5516757959999996</v>
          </cell>
          <cell r="Q968">
            <v>4.5258082440000003</v>
          </cell>
          <cell r="R968">
            <v>4.4693017599999996</v>
          </cell>
          <cell r="S968">
            <v>4.414757378</v>
          </cell>
          <cell r="T968">
            <v>4.3666561860000002</v>
          </cell>
          <cell r="U968">
            <v>4.3254792929999999</v>
          </cell>
          <cell r="V968">
            <v>4.2909885699999997</v>
          </cell>
          <cell r="W968">
            <v>4.2627724320000002</v>
          </cell>
          <cell r="X968">
            <v>4.2404612730000002</v>
          </cell>
          <cell r="Y968">
            <v>4.2236951339999997</v>
          </cell>
          <cell r="Z968">
            <v>4.2120925009999999</v>
          </cell>
          <cell r="AA968">
            <v>4.2053271929999996</v>
          </cell>
          <cell r="AB968">
            <v>4.2031370529999998</v>
          </cell>
          <cell r="AC968">
            <v>4.2053656149999998</v>
          </cell>
          <cell r="AD968">
            <v>4.2118179400000004</v>
          </cell>
          <cell r="AE968">
            <v>4.2221007039999998</v>
          </cell>
          <cell r="AF968">
            <v>4.2357102519999996</v>
          </cell>
          <cell r="AG968">
            <v>4.2521777590000003</v>
          </cell>
          <cell r="AH968">
            <v>4.2711132210000002</v>
          </cell>
          <cell r="AI968">
            <v>4.2921779740000003</v>
          </cell>
          <cell r="AJ968">
            <v>4.3150633200000001</v>
          </cell>
          <cell r="AK968">
            <v>4.3394777539999998</v>
          </cell>
        </row>
        <row r="969">
          <cell r="A969" t="str">
            <v>ems_y_co2_sbfu_0</v>
          </cell>
          <cell r="B969">
            <v>0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0</v>
          </cell>
          <cell r="AH969">
            <v>0</v>
          </cell>
          <cell r="AI969">
            <v>0</v>
          </cell>
          <cell r="AJ969">
            <v>0</v>
          </cell>
          <cell r="AK969">
            <v>0</v>
          </cell>
        </row>
        <row r="970">
          <cell r="A970" t="str">
            <v>ems_mat_co2_sbfu_0</v>
          </cell>
          <cell r="B970">
            <v>3.2921661719999999</v>
          </cell>
          <cell r="C970">
            <v>3.3766844620000001</v>
          </cell>
          <cell r="D970">
            <v>3.4527969700000001</v>
          </cell>
          <cell r="E970">
            <v>3.51978429</v>
          </cell>
          <cell r="F970">
            <v>3.5830574830000002</v>
          </cell>
          <cell r="G970">
            <v>3.6438720550000001</v>
          </cell>
          <cell r="H970">
            <v>3.6987248259999999</v>
          </cell>
          <cell r="I970">
            <v>3.7455512209999999</v>
          </cell>
          <cell r="J970">
            <v>3.782876489</v>
          </cell>
          <cell r="K970">
            <v>3.8098629769999999</v>
          </cell>
          <cell r="L970">
            <v>3.8264365429999998</v>
          </cell>
          <cell r="M970">
            <v>3.8335141109999999</v>
          </cell>
          <cell r="N970">
            <v>3.8309970760000001</v>
          </cell>
          <cell r="O970">
            <v>3.8168745120000001</v>
          </cell>
          <cell r="P970">
            <v>3.796423721</v>
          </cell>
          <cell r="Q970">
            <v>3.7748481329999999</v>
          </cell>
          <cell r="R970">
            <v>3.727717524</v>
          </cell>
          <cell r="S970">
            <v>3.6822234890000001</v>
          </cell>
          <cell r="T970">
            <v>3.6421035650000002</v>
          </cell>
          <cell r="U970">
            <v>3.607759025</v>
          </cell>
          <cell r="V970">
            <v>3.5789912429999999</v>
          </cell>
          <cell r="W970">
            <v>3.5554569260000002</v>
          </cell>
          <cell r="X970">
            <v>3.536847791</v>
          </cell>
          <cell r="Y970">
            <v>3.5228636020000001</v>
          </cell>
          <cell r="Z970">
            <v>3.513186149</v>
          </cell>
          <cell r="AA970">
            <v>3.5075433729999999</v>
          </cell>
          <cell r="AB970">
            <v>3.5057166130000001</v>
          </cell>
          <cell r="AC970">
            <v>3.5075753679999999</v>
          </cell>
          <cell r="AD970">
            <v>3.5129570440000002</v>
          </cell>
          <cell r="AE970">
            <v>3.5215335790000002</v>
          </cell>
          <cell r="AF970">
            <v>3.5328848910000001</v>
          </cell>
          <cell r="AG970">
            <v>3.5466199440000001</v>
          </cell>
          <cell r="AH970">
            <v>3.5624134490000001</v>
          </cell>
          <cell r="AI970">
            <v>3.5799829349999999</v>
          </cell>
          <cell r="AJ970">
            <v>3.599070926</v>
          </cell>
          <cell r="AK970">
            <v>3.6194342860000002</v>
          </cell>
        </row>
        <row r="971">
          <cell r="A971" t="str">
            <v>ems_ci_co2_seoi_0</v>
          </cell>
          <cell r="B971">
            <v>1.7975471110000001</v>
          </cell>
          <cell r="C971">
            <v>1.817676772</v>
          </cell>
          <cell r="D971">
            <v>1.835673702</v>
          </cell>
          <cell r="E971">
            <v>1.85580334</v>
          </cell>
          <cell r="F971">
            <v>1.8758359979999999</v>
          </cell>
          <cell r="G971">
            <v>1.897773771</v>
          </cell>
          <cell r="H971">
            <v>1.9237062549999999</v>
          </cell>
          <cell r="I971">
            <v>1.953748619</v>
          </cell>
          <cell r="J971">
            <v>1.988315748</v>
          </cell>
          <cell r="K971">
            <v>2.0279551630000001</v>
          </cell>
          <cell r="L971">
            <v>2.0731799299999998</v>
          </cell>
          <cell r="M971">
            <v>2.1239985649999999</v>
          </cell>
          <cell r="N971">
            <v>2.1792630599999998</v>
          </cell>
          <cell r="O971">
            <v>2.236568176</v>
          </cell>
          <cell r="P971">
            <v>2.2951626809999999</v>
          </cell>
          <cell r="Q971">
            <v>2.3545692470000001</v>
          </cell>
          <cell r="R971">
            <v>2.4136189099999998</v>
          </cell>
          <cell r="S971">
            <v>2.4731021050000002</v>
          </cell>
          <cell r="T971">
            <v>2.533414595</v>
          </cell>
          <cell r="U971">
            <v>2.5946211030000002</v>
          </cell>
          <cell r="V971">
            <v>2.6567911149999999</v>
          </cell>
          <cell r="W971">
            <v>2.7200068279999998</v>
          </cell>
          <cell r="X971">
            <v>2.7845380199999998</v>
          </cell>
          <cell r="Y971">
            <v>2.8506154430000001</v>
          </cell>
          <cell r="Z971">
            <v>2.9183385350000002</v>
          </cell>
          <cell r="AA971">
            <v>2.9878375789999998</v>
          </cell>
          <cell r="AB971">
            <v>3.0592807390000001</v>
          </cell>
          <cell r="AC971">
            <v>3.1329784389999999</v>
          </cell>
          <cell r="AD971">
            <v>3.2090304540000001</v>
          </cell>
          <cell r="AE971">
            <v>3.2869662609999999</v>
          </cell>
          <cell r="AF971">
            <v>3.3660503949999998</v>
          </cell>
          <cell r="AG971">
            <v>3.4456446249999999</v>
          </cell>
          <cell r="AH971">
            <v>3.525289753</v>
          </cell>
          <cell r="AI971">
            <v>3.604623658</v>
          </cell>
          <cell r="AJ971">
            <v>3.6833316059999999</v>
          </cell>
          <cell r="AK971">
            <v>3.7611191960000001</v>
          </cell>
        </row>
        <row r="972">
          <cell r="A972" t="str">
            <v>ems_y_co2_seoi_0</v>
          </cell>
          <cell r="B972">
            <v>0</v>
          </cell>
          <cell r="C972">
            <v>0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H972">
            <v>0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0</v>
          </cell>
          <cell r="Y972">
            <v>0</v>
          </cell>
          <cell r="Z972">
            <v>0</v>
          </cell>
          <cell r="AA972">
            <v>0</v>
          </cell>
          <cell r="AB972">
            <v>0</v>
          </cell>
          <cell r="AC972">
            <v>0</v>
          </cell>
          <cell r="AD972">
            <v>0</v>
          </cell>
          <cell r="AE972">
            <v>0</v>
          </cell>
          <cell r="AF972">
            <v>0</v>
          </cell>
          <cell r="AG972">
            <v>0</v>
          </cell>
          <cell r="AH972">
            <v>0</v>
          </cell>
          <cell r="AI972">
            <v>0</v>
          </cell>
          <cell r="AJ972">
            <v>0</v>
          </cell>
          <cell r="AK972">
            <v>0</v>
          </cell>
        </row>
        <row r="973">
          <cell r="A973" t="str">
            <v>ems_mat_co2_seoi_0</v>
          </cell>
          <cell r="B973">
            <v>0.1231988455</v>
          </cell>
          <cell r="C973">
            <v>0.1245784761</v>
          </cell>
          <cell r="D973">
            <v>0.12581193530000001</v>
          </cell>
          <cell r="E973">
            <v>0.1271915643</v>
          </cell>
          <cell r="F973">
            <v>0.12856454649999999</v>
          </cell>
          <cell r="G973">
            <v>0.1300681001</v>
          </cell>
          <cell r="H973">
            <v>0.1318454399</v>
          </cell>
          <cell r="I973">
            <v>0.13390445940000001</v>
          </cell>
          <cell r="J973">
            <v>0.13627359359999999</v>
          </cell>
          <cell r="K973">
            <v>0.138990368</v>
          </cell>
          <cell r="L973">
            <v>0.1420899467</v>
          </cell>
          <cell r="M973">
            <v>0.14557291350000001</v>
          </cell>
          <cell r="N973">
            <v>0.1493605871</v>
          </cell>
          <cell r="O973">
            <v>0.153288119</v>
          </cell>
          <cell r="P973">
            <v>0.1573040221</v>
          </cell>
          <cell r="Q973">
            <v>0.1613755815</v>
          </cell>
          <cell r="R973">
            <v>0.1654226798</v>
          </cell>
          <cell r="S973">
            <v>0.1694994913</v>
          </cell>
          <cell r="T973">
            <v>0.17363314029999999</v>
          </cell>
          <cell r="U973">
            <v>0.17782806279999999</v>
          </cell>
          <cell r="V973">
            <v>0.18208902120000001</v>
          </cell>
          <cell r="W973">
            <v>0.18642164899999999</v>
          </cell>
          <cell r="X973">
            <v>0.19084443619999999</v>
          </cell>
          <cell r="Y973">
            <v>0.19537319759999999</v>
          </cell>
          <cell r="Z973">
            <v>0.20001474850000001</v>
          </cell>
          <cell r="AA973">
            <v>0.2047780183</v>
          </cell>
          <cell r="AB973">
            <v>0.20967453229999999</v>
          </cell>
          <cell r="AC973">
            <v>0.2147255662</v>
          </cell>
          <cell r="AD973">
            <v>0.21993795820000001</v>
          </cell>
          <cell r="AE973">
            <v>0.22527945999999999</v>
          </cell>
          <cell r="AF973">
            <v>0.230699665</v>
          </cell>
          <cell r="AG973">
            <v>0.2361548305</v>
          </cell>
          <cell r="AH973">
            <v>0.24161348439999999</v>
          </cell>
          <cell r="AI973">
            <v>0.24705080800000001</v>
          </cell>
          <cell r="AJ973">
            <v>0.25244523019999998</v>
          </cell>
          <cell r="AK973">
            <v>0.25777657370000001</v>
          </cell>
        </row>
        <row r="974">
          <cell r="A974" t="str">
            <v>ems_ci_co2_sega_0</v>
          </cell>
          <cell r="B974">
            <v>4.5543633970000004</v>
          </cell>
          <cell r="C974">
            <v>4.6053649979999998</v>
          </cell>
          <cell r="D974">
            <v>4.6509629930000003</v>
          </cell>
          <cell r="E974">
            <v>4.7019645319999999</v>
          </cell>
          <cell r="F974">
            <v>4.7527203570000003</v>
          </cell>
          <cell r="G974">
            <v>4.808303091</v>
          </cell>
          <cell r="H974">
            <v>4.8740070370000002</v>
          </cell>
          <cell r="I974">
            <v>4.9501239970000004</v>
          </cell>
          <cell r="J974">
            <v>5.0377051479999997</v>
          </cell>
          <cell r="K974">
            <v>5.1381377129999999</v>
          </cell>
          <cell r="L974">
            <v>5.2527216320000001</v>
          </cell>
          <cell r="M974">
            <v>5.3814784790000001</v>
          </cell>
          <cell r="N974">
            <v>5.5214995990000002</v>
          </cell>
          <cell r="O974">
            <v>5.6666909429999999</v>
          </cell>
          <cell r="P974">
            <v>5.8151491540000002</v>
          </cell>
          <cell r="Q974">
            <v>5.9656648480000003</v>
          </cell>
          <cell r="R974">
            <v>6.1152762740000002</v>
          </cell>
          <cell r="S974">
            <v>6.2659861259999996</v>
          </cell>
          <cell r="T974">
            <v>6.4187971250000002</v>
          </cell>
          <cell r="U974">
            <v>6.573873259</v>
          </cell>
          <cell r="V974">
            <v>6.7313905810000003</v>
          </cell>
          <cell r="W974">
            <v>6.891557347</v>
          </cell>
          <cell r="X974">
            <v>7.0550570859999997</v>
          </cell>
          <cell r="Y974">
            <v>7.2224744379999999</v>
          </cell>
          <cell r="Z974">
            <v>7.394061346</v>
          </cell>
          <cell r="AA974">
            <v>7.5701479049999998</v>
          </cell>
          <cell r="AB974">
            <v>7.7511601790000002</v>
          </cell>
          <cell r="AC974">
            <v>7.9378846809999999</v>
          </cell>
          <cell r="AD974">
            <v>8.1305742030000001</v>
          </cell>
          <cell r="AE974">
            <v>8.3280366019999992</v>
          </cell>
          <cell r="AF974">
            <v>8.528408465</v>
          </cell>
          <cell r="AG974">
            <v>8.7300727350000003</v>
          </cell>
          <cell r="AH974">
            <v>8.931865964</v>
          </cell>
          <cell r="AI974">
            <v>9.1328706589999999</v>
          </cell>
          <cell r="AJ974">
            <v>9.3322893960000002</v>
          </cell>
          <cell r="AK974">
            <v>9.5293762649999998</v>
          </cell>
        </row>
        <row r="975">
          <cell r="A975" t="str">
            <v>ems_y_co2_sega_0</v>
          </cell>
          <cell r="B975">
            <v>0</v>
          </cell>
          <cell r="C975">
            <v>0</v>
          </cell>
          <cell r="D975">
            <v>0</v>
          </cell>
          <cell r="E975">
            <v>0</v>
          </cell>
          <cell r="F975">
            <v>0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</row>
        <row r="976">
          <cell r="A976" t="str">
            <v>ems_mat_co2_sega_0</v>
          </cell>
          <cell r="B976">
            <v>0.31214331439999998</v>
          </cell>
          <cell r="C976">
            <v>0.31563882170000002</v>
          </cell>
          <cell r="D976">
            <v>0.31876398109999998</v>
          </cell>
          <cell r="E976">
            <v>0.32225948450000003</v>
          </cell>
          <cell r="F976">
            <v>0.32573814719999999</v>
          </cell>
          <cell r="G976">
            <v>0.32954763250000002</v>
          </cell>
          <cell r="H976">
            <v>0.3340507976</v>
          </cell>
          <cell r="I976">
            <v>0.3392676416</v>
          </cell>
          <cell r="J976">
            <v>0.34527020930000002</v>
          </cell>
          <cell r="K976">
            <v>0.35215357689999999</v>
          </cell>
          <cell r="L976">
            <v>0.36000683880000001</v>
          </cell>
          <cell r="M976">
            <v>0.3688314734</v>
          </cell>
          <cell r="N976">
            <v>0.37842812980000001</v>
          </cell>
          <cell r="O976">
            <v>0.38837913889999998</v>
          </cell>
          <cell r="P976">
            <v>0.39855404989999998</v>
          </cell>
          <cell r="Q976">
            <v>0.408869975</v>
          </cell>
          <cell r="R976">
            <v>0.41912392389999997</v>
          </cell>
          <cell r="S976">
            <v>0.42945315579999999</v>
          </cell>
          <cell r="T976">
            <v>0.43992639439999998</v>
          </cell>
          <cell r="U976">
            <v>0.4505548788</v>
          </cell>
          <cell r="V976">
            <v>0.46135067549999997</v>
          </cell>
          <cell r="W976">
            <v>0.47232805760000002</v>
          </cell>
          <cell r="X976">
            <v>0.4835338723</v>
          </cell>
          <cell r="Y976">
            <v>0.4950081892</v>
          </cell>
          <cell r="Z976">
            <v>0.50676827579999995</v>
          </cell>
          <cell r="AA976">
            <v>0.5188367559</v>
          </cell>
          <cell r="AB976">
            <v>0.53124283080000001</v>
          </cell>
          <cell r="AC976">
            <v>0.54404040570000001</v>
          </cell>
          <cell r="AD976">
            <v>0.55724680640000002</v>
          </cell>
          <cell r="AE976">
            <v>0.57078032680000002</v>
          </cell>
          <cell r="AF976">
            <v>0.58451325379999997</v>
          </cell>
          <cell r="AG976">
            <v>0.59833475859999996</v>
          </cell>
          <cell r="AH976">
            <v>0.61216510199999996</v>
          </cell>
          <cell r="AI976">
            <v>0.62594140139999999</v>
          </cell>
          <cell r="AJ976">
            <v>0.63960900379999996</v>
          </cell>
          <cell r="AK976">
            <v>0.65311678650000005</v>
          </cell>
        </row>
        <row r="977">
          <cell r="A977" t="str">
            <v>ems_ci_co2_seco_0</v>
          </cell>
          <cell r="B977">
            <v>4.5430306859999998</v>
          </cell>
          <cell r="C977">
            <v>4.5939053220000003</v>
          </cell>
          <cell r="D977">
            <v>4.6393897910000002</v>
          </cell>
          <cell r="E977">
            <v>4.690264344</v>
          </cell>
          <cell r="F977">
            <v>4.7408938159999998</v>
          </cell>
          <cell r="G977">
            <v>4.796338199</v>
          </cell>
          <cell r="H977">
            <v>4.8618786160000003</v>
          </cell>
          <cell r="I977">
            <v>4.9378061430000004</v>
          </cell>
          <cell r="J977">
            <v>5.0251693409999998</v>
          </cell>
          <cell r="K977">
            <v>5.1253519780000003</v>
          </cell>
          <cell r="L977">
            <v>5.2396507579999998</v>
          </cell>
          <cell r="M977">
            <v>5.3680871999999997</v>
          </cell>
          <cell r="N977">
            <v>5.5077598859999997</v>
          </cell>
          <cell r="O977">
            <v>5.6525899319999997</v>
          </cell>
          <cell r="P977">
            <v>5.8006787160000002</v>
          </cell>
          <cell r="Q977">
            <v>5.9508198630000004</v>
          </cell>
          <cell r="R977">
            <v>6.1000590020000001</v>
          </cell>
          <cell r="S977">
            <v>6.2503938379999999</v>
          </cell>
          <cell r="T977">
            <v>6.4028245940000001</v>
          </cell>
          <cell r="U977">
            <v>6.5575148490000004</v>
          </cell>
          <cell r="V977">
            <v>6.7146402180000004</v>
          </cell>
          <cell r="W977">
            <v>6.8744084389999998</v>
          </cell>
          <cell r="X977">
            <v>7.0375013400000004</v>
          </cell>
          <cell r="Y977">
            <v>7.2045021059999996</v>
          </cell>
          <cell r="Z977">
            <v>7.3756620530000001</v>
          </cell>
          <cell r="AA977">
            <v>7.5513104569999996</v>
          </cell>
          <cell r="AB977">
            <v>7.7318723199999999</v>
          </cell>
          <cell r="AC977">
            <v>7.9181321980000003</v>
          </cell>
          <cell r="AD977">
            <v>8.1103422540000008</v>
          </cell>
          <cell r="AE977">
            <v>8.3073133119999998</v>
          </cell>
          <cell r="AF977">
            <v>8.5071865970000005</v>
          </cell>
          <cell r="AG977">
            <v>8.7083490739999991</v>
          </cell>
          <cell r="AH977">
            <v>8.9096401909999994</v>
          </cell>
          <cell r="AI977">
            <v>9.1101447380000007</v>
          </cell>
          <cell r="AJ977">
            <v>9.3090672750000003</v>
          </cell>
          <cell r="AK977">
            <v>9.505663749</v>
          </cell>
        </row>
        <row r="978">
          <cell r="A978" t="str">
            <v>ems_y_co2_seco_0</v>
          </cell>
          <cell r="B978">
            <v>0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</row>
        <row r="979">
          <cell r="A979" t="str">
            <v>ems_mat_co2_seco_0</v>
          </cell>
          <cell r="B979">
            <v>0.31136660529999999</v>
          </cell>
          <cell r="C979">
            <v>0.31485341480000001</v>
          </cell>
          <cell r="D979">
            <v>0.31797079779999998</v>
          </cell>
          <cell r="E979">
            <v>0.32145760330000001</v>
          </cell>
          <cell r="F979">
            <v>0.32492760999999998</v>
          </cell>
          <cell r="G979">
            <v>0.32872761620000002</v>
          </cell>
          <cell r="H979">
            <v>0.33321957600000002</v>
          </cell>
          <cell r="I979">
            <v>0.33842343889999998</v>
          </cell>
          <cell r="J979">
            <v>0.34441107030000001</v>
          </cell>
          <cell r="K979">
            <v>0.35127731000000001</v>
          </cell>
          <cell r="L979">
            <v>0.35911103049999998</v>
          </cell>
          <cell r="M979">
            <v>0.36791370670000001</v>
          </cell>
          <cell r="N979">
            <v>0.37748648369999999</v>
          </cell>
          <cell r="O979">
            <v>0.3874127316</v>
          </cell>
          <cell r="P979">
            <v>0.39756232419999998</v>
          </cell>
          <cell r="Q979">
            <v>0.40785258009999997</v>
          </cell>
          <cell r="R979">
            <v>0.41808101409999998</v>
          </cell>
          <cell r="S979">
            <v>0.4283845436</v>
          </cell>
          <cell r="T979">
            <v>0.4388317216</v>
          </cell>
          <cell r="U979">
            <v>0.44943375899999999</v>
          </cell>
          <cell r="V979">
            <v>0.46020269250000001</v>
          </cell>
          <cell r="W979">
            <v>0.47115275940000001</v>
          </cell>
          <cell r="X979">
            <v>0.4823306906</v>
          </cell>
          <cell r="Y979">
            <v>0.49377645590000002</v>
          </cell>
          <cell r="Z979">
            <v>0.50550727979999999</v>
          </cell>
          <cell r="AA979">
            <v>0.51754572970000001</v>
          </cell>
          <cell r="AB979">
            <v>0.5299209345</v>
          </cell>
          <cell r="AC979">
            <v>0.54268666509999997</v>
          </cell>
          <cell r="AD979">
            <v>0.55586020420000004</v>
          </cell>
          <cell r="AE979">
            <v>0.56936004900000003</v>
          </cell>
          <cell r="AF979">
            <v>0.5830588042</v>
          </cell>
          <cell r="AG979">
            <v>0.59684591679999999</v>
          </cell>
          <cell r="AH979">
            <v>0.61064184600000004</v>
          </cell>
          <cell r="AI979">
            <v>0.62438386580000005</v>
          </cell>
          <cell r="AJ979">
            <v>0.63801745889999995</v>
          </cell>
          <cell r="AK979">
            <v>0.6514916301</v>
          </cell>
        </row>
        <row r="980">
          <cell r="A980" t="str">
            <v>ems_ci_co2_sech_0</v>
          </cell>
          <cell r="B980">
            <v>2.5433200010000001</v>
          </cell>
          <cell r="C980">
            <v>2.5377520910000002</v>
          </cell>
          <cell r="D980">
            <v>2.5430616189999999</v>
          </cell>
          <cell r="E980">
            <v>2.5554738700000001</v>
          </cell>
          <cell r="F980">
            <v>2.5732524840000002</v>
          </cell>
          <cell r="G980">
            <v>2.5961263130000001</v>
          </cell>
          <cell r="H980">
            <v>2.624515004</v>
          </cell>
          <cell r="I980">
            <v>2.6570078380000002</v>
          </cell>
          <cell r="J980">
            <v>2.6929869360000001</v>
          </cell>
          <cell r="K980">
            <v>2.732464738</v>
          </cell>
          <cell r="L980">
            <v>2.7756996439999999</v>
          </cell>
          <cell r="M980">
            <v>2.8226948489999999</v>
          </cell>
          <cell r="N980">
            <v>2.8724754199999998</v>
          </cell>
          <cell r="O980">
            <v>2.92289142</v>
          </cell>
          <cell r="P980">
            <v>2.9737350509999998</v>
          </cell>
          <cell r="Q980">
            <v>3.025152367</v>
          </cell>
          <cell r="R980">
            <v>3.0757913719999999</v>
          </cell>
          <cell r="S980">
            <v>3.127553485</v>
          </cell>
          <cell r="T980">
            <v>3.181179008</v>
          </cell>
          <cell r="U980">
            <v>3.236724422</v>
          </cell>
          <cell r="V980">
            <v>3.2941589019999999</v>
          </cell>
          <cell r="W980">
            <v>3.3535089330000001</v>
          </cell>
          <cell r="X980">
            <v>3.4150134489999999</v>
          </cell>
          <cell r="Y980">
            <v>3.4788748649999999</v>
          </cell>
          <cell r="Z980">
            <v>3.545152324</v>
          </cell>
          <cell r="AA980">
            <v>3.6139142689999999</v>
          </cell>
          <cell r="AB980">
            <v>3.6852667929999998</v>
          </cell>
          <cell r="AC980">
            <v>3.759475525</v>
          </cell>
          <cell r="AD980">
            <v>3.8366008360000001</v>
          </cell>
          <cell r="AE980">
            <v>3.9161052999999999</v>
          </cell>
          <cell r="AF980">
            <v>3.9971680420000002</v>
          </cell>
          <cell r="AG980">
            <v>4.0790698919999997</v>
          </cell>
          <cell r="AH980">
            <v>4.1612878310000001</v>
          </cell>
          <cell r="AI980">
            <v>4.2434113079999998</v>
          </cell>
          <cell r="AJ980">
            <v>4.3250867489999996</v>
          </cell>
          <cell r="AK980">
            <v>4.4059869210000002</v>
          </cell>
        </row>
        <row r="981">
          <cell r="A981" t="str">
            <v>ems_y_co2_sech_0</v>
          </cell>
          <cell r="B981">
            <v>0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</row>
        <row r="982">
          <cell r="A982" t="str">
            <v>ems_mat_co2_sech_0</v>
          </cell>
          <cell r="B982">
            <v>0.17845922289999999</v>
          </cell>
          <cell r="C982">
            <v>0.1806151872</v>
          </cell>
          <cell r="D982">
            <v>0.18265118399999999</v>
          </cell>
          <cell r="E982">
            <v>0.18474975199999999</v>
          </cell>
          <cell r="F982">
            <v>0.18677283110000001</v>
          </cell>
          <cell r="G982">
            <v>0.1888877155</v>
          </cell>
          <cell r="H982">
            <v>0.19114181199999999</v>
          </cell>
          <cell r="I982">
            <v>0.1935021894</v>
          </cell>
          <cell r="J982">
            <v>0.1959841185</v>
          </cell>
          <cell r="K982">
            <v>0.19862705620000001</v>
          </cell>
          <cell r="L982">
            <v>0.201478243</v>
          </cell>
          <cell r="M982">
            <v>0.2045587911</v>
          </cell>
          <cell r="N982">
            <v>0.20781282670000001</v>
          </cell>
          <cell r="O982">
            <v>0.21109485419999999</v>
          </cell>
          <cell r="P982">
            <v>0.21439631349999999</v>
          </cell>
          <cell r="Q982">
            <v>0.2177314209</v>
          </cell>
          <cell r="R982">
            <v>0.2210923823</v>
          </cell>
          <cell r="S982">
            <v>0.22461289300000001</v>
          </cell>
          <cell r="T982">
            <v>0.2283322736</v>
          </cell>
          <cell r="U982">
            <v>0.2322382754</v>
          </cell>
          <cell r="V982">
            <v>0.2363139329</v>
          </cell>
          <cell r="W982">
            <v>0.240549387</v>
          </cell>
          <cell r="X982">
            <v>0.24495310040000001</v>
          </cell>
          <cell r="Y982">
            <v>0.2495335716</v>
          </cell>
          <cell r="Z982">
            <v>0.25429085610000002</v>
          </cell>
          <cell r="AA982">
            <v>0.25922733640000001</v>
          </cell>
          <cell r="AB982">
            <v>0.26434933259999999</v>
          </cell>
          <cell r="AC982">
            <v>0.2696756797</v>
          </cell>
          <cell r="AD982">
            <v>0.2752112565</v>
          </cell>
          <cell r="AE982">
            <v>0.28091891959999998</v>
          </cell>
          <cell r="AF982">
            <v>0.28674121800000002</v>
          </cell>
          <cell r="AG982">
            <v>0.29262772300000001</v>
          </cell>
          <cell r="AH982">
            <v>0.29854169600000002</v>
          </cell>
          <cell r="AI982">
            <v>0.30445407120000001</v>
          </cell>
          <cell r="AJ982">
            <v>0.31033950430000001</v>
          </cell>
          <cell r="AK982">
            <v>0.31617419899999999</v>
          </cell>
        </row>
        <row r="983">
          <cell r="A983" t="str">
            <v>ems_ci_co2_seot_0</v>
          </cell>
          <cell r="B983">
            <v>1.37899843</v>
          </cell>
          <cell r="C983">
            <v>1.1678327909999999</v>
          </cell>
          <cell r="D983">
            <v>1.0371870599999999</v>
          </cell>
          <cell r="E983">
            <v>0.94744879439999996</v>
          </cell>
          <cell r="F983">
            <v>0.89471198210000003</v>
          </cell>
          <cell r="G983">
            <v>0.86467226519999996</v>
          </cell>
          <cell r="H983">
            <v>0.85044050910000002</v>
          </cell>
          <cell r="I983">
            <v>0.84710848949999995</v>
          </cell>
          <cell r="J983">
            <v>0.85137147410000003</v>
          </cell>
          <cell r="K983">
            <v>0.86164867339999995</v>
          </cell>
          <cell r="L983">
            <v>0.87695130109999997</v>
          </cell>
          <cell r="M983">
            <v>0.89646525710000002</v>
          </cell>
          <cell r="N983">
            <v>0.9191515536</v>
          </cell>
          <cell r="O983">
            <v>0.94361635700000002</v>
          </cell>
          <cell r="P983">
            <v>0.96928641469999999</v>
          </cell>
          <cell r="Q983">
            <v>0.99578653549999996</v>
          </cell>
          <cell r="R983">
            <v>1.021992435</v>
          </cell>
          <cell r="S983">
            <v>1.0480867359999999</v>
          </cell>
          <cell r="T983">
            <v>1.074229586</v>
          </cell>
          <cell r="U983">
            <v>1.1005120740000001</v>
          </cell>
          <cell r="V983">
            <v>1.127044044</v>
          </cell>
          <cell r="W983">
            <v>1.153932862</v>
          </cell>
          <cell r="X983">
            <v>1.181350863</v>
          </cell>
          <cell r="Y983">
            <v>1.209438078</v>
          </cell>
          <cell r="Z983">
            <v>1.238267089</v>
          </cell>
          <cell r="AA983">
            <v>1.2679100459999999</v>
          </cell>
          <cell r="AB983">
            <v>1.2984460289999999</v>
          </cell>
          <cell r="AC983">
            <v>1.3300066829999999</v>
          </cell>
          <cell r="AD983">
            <v>1.3626282359999999</v>
          </cell>
          <cell r="AE983">
            <v>1.3960935329999999</v>
          </cell>
          <cell r="AF983">
            <v>1.4300702249999999</v>
          </cell>
          <cell r="AG983">
            <v>1.464266501</v>
          </cell>
          <cell r="AH983">
            <v>1.4984685440000001</v>
          </cell>
          <cell r="AI983">
            <v>1.5325070519999999</v>
          </cell>
          <cell r="AJ983">
            <v>1.5662364</v>
          </cell>
          <cell r="AK983">
            <v>1.5995231350000001</v>
          </cell>
        </row>
        <row r="984">
          <cell r="A984" t="str">
            <v>ems_y_co2_seot_0</v>
          </cell>
          <cell r="B984">
            <v>0</v>
          </cell>
          <cell r="C984">
            <v>0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</row>
        <row r="985">
          <cell r="A985" t="str">
            <v>ems_mat_co2_seot_0</v>
          </cell>
          <cell r="B985">
            <v>0.122788782</v>
          </cell>
          <cell r="C985">
            <v>0.12416382049999999</v>
          </cell>
          <cell r="D985">
            <v>0.1253931741</v>
          </cell>
          <cell r="E985">
            <v>0.1267682111</v>
          </cell>
          <cell r="F985">
            <v>0.12813662340000001</v>
          </cell>
          <cell r="G985">
            <v>0.12963517250000001</v>
          </cell>
          <cell r="H985">
            <v>0.1314065965</v>
          </cell>
          <cell r="I985">
            <v>0.13345876249999999</v>
          </cell>
          <cell r="J985">
            <v>0.13582001120000001</v>
          </cell>
          <cell r="K985">
            <v>0.13852774279999999</v>
          </cell>
          <cell r="L985">
            <v>0.14161700469999999</v>
          </cell>
          <cell r="M985">
            <v>0.14508837860000001</v>
          </cell>
          <cell r="N985">
            <v>0.14886344500000001</v>
          </cell>
          <cell r="O985">
            <v>0.15277790429999999</v>
          </cell>
          <cell r="P985">
            <v>0.15678044050000001</v>
          </cell>
          <cell r="Q985">
            <v>0.16083844789999999</v>
          </cell>
          <cell r="R985">
            <v>0.1648720756</v>
          </cell>
          <cell r="S985">
            <v>0.16893531749999999</v>
          </cell>
          <cell r="T985">
            <v>0.1730552078</v>
          </cell>
          <cell r="U985">
            <v>0.17723616759999999</v>
          </cell>
          <cell r="V985">
            <v>0.1814829436</v>
          </cell>
          <cell r="W985">
            <v>0.1858011503</v>
          </cell>
          <cell r="X985">
            <v>0.19020921639999999</v>
          </cell>
          <cell r="Y985">
            <v>0.19472290389999999</v>
          </cell>
          <cell r="Z985">
            <v>0.19934900559999999</v>
          </cell>
          <cell r="AA985">
            <v>0.204096421</v>
          </cell>
          <cell r="AB985">
            <v>0.2089766371</v>
          </cell>
          <cell r="AC985">
            <v>0.2140108587</v>
          </cell>
          <cell r="AD985">
            <v>0.21920590149999999</v>
          </cell>
          <cell r="AE985">
            <v>0.22452962430000001</v>
          </cell>
          <cell r="AF985">
            <v>0.2299317883</v>
          </cell>
          <cell r="AG985">
            <v>0.2353687964</v>
          </cell>
          <cell r="AH985">
            <v>0.24080928139999999</v>
          </cell>
          <cell r="AI985">
            <v>0.24622850700000001</v>
          </cell>
          <cell r="AJ985">
            <v>0.25160497399999998</v>
          </cell>
          <cell r="AK985">
            <v>0.25691857229999998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7133.3075660000004</v>
          </cell>
          <cell r="D18">
            <v>7215.8078619999997</v>
          </cell>
          <cell r="E18">
            <v>7311.6603359999999</v>
          </cell>
          <cell r="F18">
            <v>7408.5291779999998</v>
          </cell>
          <cell r="G18">
            <v>7496.0179699999999</v>
          </cell>
          <cell r="H18">
            <v>7562.9825300000002</v>
          </cell>
          <cell r="I18">
            <v>7567.0090149999996</v>
          </cell>
          <cell r="J18">
            <v>7480.4766929999996</v>
          </cell>
          <cell r="K18">
            <v>7284.4004640000003</v>
          </cell>
          <cell r="L18">
            <v>6978.869788</v>
          </cell>
          <cell r="M18">
            <v>6597.7127119999996</v>
          </cell>
          <cell r="N18">
            <v>6181.9510149999996</v>
          </cell>
          <cell r="O18">
            <v>5759.1276090000001</v>
          </cell>
          <cell r="P18">
            <v>5345.7074220000004</v>
          </cell>
          <cell r="Q18">
            <v>4950.5864529999999</v>
          </cell>
          <cell r="R18">
            <v>4578.0854289999997</v>
          </cell>
          <cell r="S18">
            <v>4229.7494429999997</v>
          </cell>
          <cell r="T18">
            <v>3905.6201540000002</v>
          </cell>
          <cell r="U18">
            <v>3604.9387929999998</v>
          </cell>
          <cell r="V18">
            <v>3326.549062</v>
          </cell>
          <cell r="W18">
            <v>3069.1203660000001</v>
          </cell>
          <cell r="X18">
            <v>2831.2704440000002</v>
          </cell>
          <cell r="Y18">
            <v>2611.6317979999999</v>
          </cell>
          <cell r="Z18">
            <v>2408.886614</v>
          </cell>
          <cell r="AA18">
            <v>2221.7844810000001</v>
          </cell>
          <cell r="AB18">
            <v>2049.1500460000002</v>
          </cell>
          <cell r="AC18">
            <v>1889.8852979999999</v>
          </cell>
          <cell r="AD18">
            <v>1742.9686569999999</v>
          </cell>
          <cell r="AE18">
            <v>1607.4521099999999</v>
          </cell>
          <cell r="AF18">
            <v>1482.4574459999999</v>
          </cell>
          <cell r="AG18">
            <v>1367.172114</v>
          </cell>
          <cell r="AH18">
            <v>1260.8449820000001</v>
          </cell>
          <cell r="AI18">
            <v>1162.7821449999999</v>
          </cell>
          <cell r="AJ18">
            <v>1072.3428429999999</v>
          </cell>
          <cell r="AK18">
            <v>988.93557120000003</v>
          </cell>
        </row>
        <row r="19">
          <cell r="A19" t="str">
            <v>auto_ca_cfut_0</v>
          </cell>
          <cell r="B19">
            <v>7095.7005250000002</v>
          </cell>
          <cell r="C19">
            <v>7133.3075660000004</v>
          </cell>
          <cell r="D19">
            <v>7215.8078619999997</v>
          </cell>
          <cell r="E19">
            <v>7311.6603359999999</v>
          </cell>
          <cell r="F19">
            <v>7408.5291779999998</v>
          </cell>
          <cell r="G19">
            <v>7496.0179699999999</v>
          </cell>
          <cell r="H19">
            <v>7549.4625260000003</v>
          </cell>
          <cell r="I19">
            <v>7556.065329</v>
          </cell>
          <cell r="J19">
            <v>7502.5440269999999</v>
          </cell>
          <cell r="K19">
            <v>7377.7217300000002</v>
          </cell>
          <cell r="L19">
            <v>7176.6026380000003</v>
          </cell>
          <cell r="M19">
            <v>6903.3537969999998</v>
          </cell>
          <cell r="N19">
            <v>6570.9068749999997</v>
          </cell>
          <cell r="O19">
            <v>6197.6580750000003</v>
          </cell>
          <cell r="P19">
            <v>5803.1689130000004</v>
          </cell>
          <cell r="Q19">
            <v>5404.4652459999998</v>
          </cell>
          <cell r="R19">
            <v>5015.9710640000003</v>
          </cell>
          <cell r="S19">
            <v>4646.0731610000003</v>
          </cell>
          <cell r="T19">
            <v>4298.1512670000002</v>
          </cell>
          <cell r="U19">
            <v>3973.1107390000002</v>
          </cell>
          <cell r="V19">
            <v>3670.6571720000002</v>
          </cell>
          <cell r="W19">
            <v>3389.921006</v>
          </cell>
          <cell r="X19">
            <v>3129.768317</v>
          </cell>
          <cell r="Y19">
            <v>2888.9597100000001</v>
          </cell>
          <cell r="Z19">
            <v>2666.2338450000002</v>
          </cell>
          <cell r="AA19">
            <v>2460.3529239999998</v>
          </cell>
          <cell r="AB19">
            <v>2270.1267039999998</v>
          </cell>
          <cell r="AC19">
            <v>2094.4247639999999</v>
          </cell>
          <cell r="AD19">
            <v>1932.181818</v>
          </cell>
          <cell r="AE19">
            <v>1782.3992679999999</v>
          </cell>
          <cell r="AF19">
            <v>1644.1444160000001</v>
          </cell>
          <cell r="AG19">
            <v>1516.548481</v>
          </cell>
          <cell r="AH19">
            <v>1398.8038529999999</v>
          </cell>
          <cell r="AI19">
            <v>1290.1609189999999</v>
          </cell>
          <cell r="AJ19">
            <v>1189.9246889999999</v>
          </cell>
          <cell r="AK19">
            <v>1097.4513910000001</v>
          </cell>
        </row>
        <row r="20">
          <cell r="A20" t="str">
            <v>auto_cb_cfut_2</v>
          </cell>
          <cell r="B20">
            <v>8251.256421</v>
          </cell>
          <cell r="C20">
            <v>8173.2410410000002</v>
          </cell>
          <cell r="D20">
            <v>8144.2144850000004</v>
          </cell>
          <cell r="E20">
            <v>8132.368727</v>
          </cell>
          <cell r="F20">
            <v>8124.8867659999996</v>
          </cell>
          <cell r="G20">
            <v>8111.9835519999997</v>
          </cell>
          <cell r="H20">
            <v>8083.0245750000004</v>
          </cell>
          <cell r="I20">
            <v>7996.3401800000001</v>
          </cell>
          <cell r="J20">
            <v>7823.3190039999999</v>
          </cell>
          <cell r="K20">
            <v>7549.2565789999999</v>
          </cell>
          <cell r="L20">
            <v>7180.0659029999997</v>
          </cell>
          <cell r="M20">
            <v>6751.3111410000001</v>
          </cell>
          <cell r="N20">
            <v>6301.4389190000002</v>
          </cell>
          <cell r="O20">
            <v>5854.5344349999996</v>
          </cell>
          <cell r="P20">
            <v>5424.0142519999999</v>
          </cell>
          <cell r="Q20">
            <v>5016.5088589999996</v>
          </cell>
          <cell r="R20">
            <v>4634.763379</v>
          </cell>
          <cell r="S20">
            <v>4279.2994909999998</v>
          </cell>
          <cell r="T20">
            <v>3949.49586</v>
          </cell>
          <cell r="U20">
            <v>3644.165375</v>
          </cell>
          <cell r="V20">
            <v>3361.8718260000001</v>
          </cell>
          <cell r="W20">
            <v>3101.0983940000001</v>
          </cell>
          <cell r="X20">
            <v>2860.336131</v>
          </cell>
          <cell r="Y20">
            <v>2638.1292199999998</v>
          </cell>
          <cell r="Z20">
            <v>2433.0967620000001</v>
          </cell>
          <cell r="AA20">
            <v>2243.9420810000001</v>
          </cell>
          <cell r="AB20">
            <v>2069.4550389999999</v>
          </cell>
          <cell r="AC20">
            <v>1908.5107410000001</v>
          </cell>
          <cell r="AD20">
            <v>1760.066243</v>
          </cell>
          <cell r="AE20">
            <v>1623.1561670000001</v>
          </cell>
          <cell r="AF20">
            <v>1496.8879039999999</v>
          </cell>
          <cell r="AG20">
            <v>1380.436745</v>
          </cell>
          <cell r="AH20">
            <v>1273.041123</v>
          </cell>
          <cell r="AI20">
            <v>1173.998047</v>
          </cell>
          <cell r="AJ20">
            <v>1082.6587549999999</v>
          </cell>
          <cell r="AK20">
            <v>998.42464319999999</v>
          </cell>
        </row>
        <row r="21">
          <cell r="A21" t="str">
            <v>auto_cb_cfut_0</v>
          </cell>
          <cell r="B21">
            <v>8251.256421</v>
          </cell>
          <cell r="C21">
            <v>8173.2410410000002</v>
          </cell>
          <cell r="D21">
            <v>8144.2144850000004</v>
          </cell>
          <cell r="E21">
            <v>8132.368727</v>
          </cell>
          <cell r="F21">
            <v>8124.8867659999996</v>
          </cell>
          <cell r="G21">
            <v>8111.9835519999997</v>
          </cell>
          <cell r="H21">
            <v>8069.8524809999999</v>
          </cell>
          <cell r="I21">
            <v>7984.9400409999998</v>
          </cell>
          <cell r="J21">
            <v>7844.2523659999997</v>
          </cell>
          <cell r="K21">
            <v>7638.2016880000001</v>
          </cell>
          <cell r="L21">
            <v>7364.3744340000003</v>
          </cell>
          <cell r="M21">
            <v>7029.5719939999999</v>
          </cell>
          <cell r="N21">
            <v>6648.3640210000003</v>
          </cell>
          <cell r="O21">
            <v>6239.1817860000001</v>
          </cell>
          <cell r="P21">
            <v>5820.1052250000002</v>
          </cell>
          <cell r="Q21">
            <v>5405.8114670000004</v>
          </cell>
          <cell r="R21">
            <v>5007.7560549999998</v>
          </cell>
          <cell r="S21">
            <v>4632.0297430000001</v>
          </cell>
          <cell r="T21">
            <v>4280.6305089999996</v>
          </cell>
          <cell r="U21">
            <v>3953.6312480000001</v>
          </cell>
          <cell r="V21">
            <v>3650.2222689999999</v>
          </cell>
          <cell r="W21">
            <v>3369.2040729999999</v>
          </cell>
          <cell r="X21">
            <v>3109.2245549999998</v>
          </cell>
          <cell r="Y21">
            <v>2868.8961340000001</v>
          </cell>
          <cell r="Z21">
            <v>2646.8547619999999</v>
          </cell>
          <cell r="AA21">
            <v>2441.7901360000001</v>
          </cell>
          <cell r="AB21">
            <v>2252.4601710000002</v>
          </cell>
          <cell r="AC21">
            <v>2077.6970379999998</v>
          </cell>
          <cell r="AD21">
            <v>1916.4084130000001</v>
          </cell>
          <cell r="AE21">
            <v>1767.5761990000001</v>
          </cell>
          <cell r="AF21">
            <v>1630.253784</v>
          </cell>
          <cell r="AG21">
            <v>1503.562602</v>
          </cell>
          <cell r="AH21">
            <v>1386.6883250000001</v>
          </cell>
          <cell r="AI21">
            <v>1278.876921</v>
          </cell>
          <cell r="AJ21">
            <v>1179.4307160000001</v>
          </cell>
          <cell r="AK21">
            <v>1087.7045660000001</v>
          </cell>
        </row>
        <row r="22">
          <cell r="A22" t="str">
            <v>auto_cc_cfut_2</v>
          </cell>
          <cell r="B22">
            <v>6777.6024520000001</v>
          </cell>
          <cell r="C22">
            <v>6638.8651630000004</v>
          </cell>
          <cell r="D22">
            <v>6538.1976340000001</v>
          </cell>
          <cell r="E22">
            <v>6452.4103789999999</v>
          </cell>
          <cell r="F22">
            <v>6371.9259529999999</v>
          </cell>
          <cell r="G22">
            <v>6290.2081209999997</v>
          </cell>
          <cell r="H22">
            <v>6200.0377070000004</v>
          </cell>
          <cell r="I22">
            <v>6072.0174800000004</v>
          </cell>
          <cell r="J22">
            <v>5885.1896200000001</v>
          </cell>
          <cell r="K22">
            <v>5632.4747809999999</v>
          </cell>
          <cell r="L22">
            <v>5322.3241090000001</v>
          </cell>
          <cell r="M22">
            <v>4981.0617739999998</v>
          </cell>
          <cell r="N22">
            <v>4634.0041179999998</v>
          </cell>
          <cell r="O22">
            <v>4295.8086270000003</v>
          </cell>
          <cell r="P22">
            <v>3973.9529560000001</v>
          </cell>
          <cell r="Q22">
            <v>3671.6753779999999</v>
          </cell>
          <cell r="R22">
            <v>3389.9295160000001</v>
          </cell>
          <cell r="S22">
            <v>3128.446821</v>
          </cell>
          <cell r="T22">
            <v>2886.373317</v>
          </cell>
          <cell r="U22">
            <v>2662.5962960000002</v>
          </cell>
          <cell r="V22">
            <v>2455.914808</v>
          </cell>
          <cell r="W22">
            <v>2265.125896</v>
          </cell>
          <cell r="X22">
            <v>2089.0671299999999</v>
          </cell>
          <cell r="Y22">
            <v>1926.6364249999999</v>
          </cell>
          <cell r="Z22">
            <v>1776.799982</v>
          </cell>
          <cell r="AA22">
            <v>1638.594151</v>
          </cell>
          <cell r="AB22">
            <v>1511.1240700000001</v>
          </cell>
          <cell r="AC22">
            <v>1393.5607640000001</v>
          </cell>
          <cell r="AD22">
            <v>1285.137469</v>
          </cell>
          <cell r="AE22">
            <v>1185.1456519999999</v>
          </cell>
          <cell r="AF22">
            <v>1092.9309989999999</v>
          </cell>
          <cell r="AG22">
            <v>1007.889515</v>
          </cell>
          <cell r="AH22">
            <v>929.46382289999997</v>
          </cell>
          <cell r="AI22">
            <v>857.13966559999994</v>
          </cell>
          <cell r="AJ22">
            <v>790.442635</v>
          </cell>
          <cell r="AK22">
            <v>728.93512490000001</v>
          </cell>
        </row>
        <row r="23">
          <cell r="A23" t="str">
            <v>auto_cc_cfut_0</v>
          </cell>
          <cell r="B23">
            <v>6777.6024520000001</v>
          </cell>
          <cell r="C23">
            <v>6638.8651630000004</v>
          </cell>
          <cell r="D23">
            <v>6538.1976340000001</v>
          </cell>
          <cell r="E23">
            <v>6452.4103789999999</v>
          </cell>
          <cell r="F23">
            <v>6371.9259529999999</v>
          </cell>
          <cell r="G23">
            <v>6290.2081209999997</v>
          </cell>
          <cell r="H23">
            <v>6190.786865</v>
          </cell>
          <cell r="I23">
            <v>6063.4555540000001</v>
          </cell>
          <cell r="J23">
            <v>5899.2630479999998</v>
          </cell>
          <cell r="K23">
            <v>5692.7061460000004</v>
          </cell>
          <cell r="L23">
            <v>5444.0901990000002</v>
          </cell>
          <cell r="M23">
            <v>5160.1853090000004</v>
          </cell>
          <cell r="N23">
            <v>4852.4043689999999</v>
          </cell>
          <cell r="O23">
            <v>4533.6698390000001</v>
          </cell>
          <cell r="P23">
            <v>4215.6120510000001</v>
          </cell>
          <cell r="Q23">
            <v>3906.9412659999998</v>
          </cell>
          <cell r="R23">
            <v>3613.8149969999999</v>
          </cell>
          <cell r="S23">
            <v>3339.090432</v>
          </cell>
          <cell r="T23">
            <v>3083.3241830000002</v>
          </cell>
          <cell r="U23">
            <v>2846.053821</v>
          </cell>
          <cell r="V23">
            <v>2626.3851079999999</v>
          </cell>
          <cell r="W23">
            <v>2423.2585429999999</v>
          </cell>
          <cell r="X23">
            <v>2235.572643</v>
          </cell>
          <cell r="Y23">
            <v>2062.2420430000002</v>
          </cell>
          <cell r="Z23">
            <v>1902.2249400000001</v>
          </cell>
          <cell r="AA23">
            <v>1754.5356810000001</v>
          </cell>
          <cell r="AB23">
            <v>1618.249548</v>
          </cell>
          <cell r="AC23">
            <v>1492.5034889999999</v>
          </cell>
          <cell r="AD23">
            <v>1376.4946629999999</v>
          </cell>
          <cell r="AE23">
            <v>1269.4779129999999</v>
          </cell>
          <cell r="AF23">
            <v>1170.762686</v>
          </cell>
          <cell r="AG23">
            <v>1079.709748</v>
          </cell>
          <cell r="AH23">
            <v>995.72785580000004</v>
          </cell>
          <cell r="AI23">
            <v>918.27049550000004</v>
          </cell>
          <cell r="AJ23">
            <v>846.83273350000002</v>
          </cell>
          <cell r="AK23">
            <v>780.94822369999997</v>
          </cell>
        </row>
        <row r="24">
          <cell r="A24" t="str">
            <v>auto_cd_cfut_2</v>
          </cell>
          <cell r="B24">
            <v>4159.6639080000004</v>
          </cell>
          <cell r="C24">
            <v>4052.7611179999999</v>
          </cell>
          <cell r="D24">
            <v>3970.9613119999999</v>
          </cell>
          <cell r="E24">
            <v>3902.4638920000002</v>
          </cell>
          <cell r="F24">
            <v>3842.7079899999999</v>
          </cell>
          <cell r="G24">
            <v>3787.4295780000002</v>
          </cell>
          <cell r="H24">
            <v>3732.18651</v>
          </cell>
          <cell r="I24">
            <v>3662.721693</v>
          </cell>
          <cell r="J24">
            <v>3574.305922</v>
          </cell>
          <cell r="K24">
            <v>3462.2437340000001</v>
          </cell>
          <cell r="L24">
            <v>3323.486958</v>
          </cell>
          <cell r="M24">
            <v>3162.9638060000002</v>
          </cell>
          <cell r="N24">
            <v>2989.0499869999999</v>
          </cell>
          <cell r="O24">
            <v>2808.9831989999998</v>
          </cell>
          <cell r="P24">
            <v>2628.4372800000001</v>
          </cell>
          <cell r="Q24">
            <v>2451.4692960000002</v>
          </cell>
          <cell r="R24">
            <v>2280.8566230000001</v>
          </cell>
          <cell r="S24">
            <v>2118.2265309999998</v>
          </cell>
          <cell r="T24">
            <v>1964.462912</v>
          </cell>
          <cell r="U24">
            <v>1819.9319129999999</v>
          </cell>
          <cell r="V24">
            <v>1684.6581140000001</v>
          </cell>
          <cell r="W24">
            <v>1558.4476810000001</v>
          </cell>
          <cell r="X24">
            <v>1440.9725209999999</v>
          </cell>
          <cell r="Y24">
            <v>1331.826178</v>
          </cell>
          <cell r="Z24">
            <v>1230.559712</v>
          </cell>
          <cell r="AA24">
            <v>1136.706461</v>
          </cell>
          <cell r="AB24">
            <v>1049.797534</v>
          </cell>
          <cell r="AC24">
            <v>969.37303459999998</v>
          </cell>
          <cell r="AD24">
            <v>894.98941669999999</v>
          </cell>
          <cell r="AE24">
            <v>826.22315920000005</v>
          </cell>
          <cell r="AF24">
            <v>762.67258149999998</v>
          </cell>
          <cell r="AG24">
            <v>703.95885480000004</v>
          </cell>
          <cell r="AH24">
            <v>649.72641420000002</v>
          </cell>
          <cell r="AI24">
            <v>599.64285229999996</v>
          </cell>
          <cell r="AJ24">
            <v>553.39820450000002</v>
          </cell>
          <cell r="AK24">
            <v>510.70397050000003</v>
          </cell>
        </row>
        <row r="25">
          <cell r="A25" t="str">
            <v>auto_cd_cfut_0</v>
          </cell>
          <cell r="B25">
            <v>4159.6639080000004</v>
          </cell>
          <cell r="C25">
            <v>4052.7611179999999</v>
          </cell>
          <cell r="D25">
            <v>3970.9613119999999</v>
          </cell>
          <cell r="E25">
            <v>3902.4638920000002</v>
          </cell>
          <cell r="F25">
            <v>3842.7079899999999</v>
          </cell>
          <cell r="G25">
            <v>3787.4295780000002</v>
          </cell>
          <cell r="H25">
            <v>3727.6223420000001</v>
          </cell>
          <cell r="I25">
            <v>3659.8039020000001</v>
          </cell>
          <cell r="J25">
            <v>3580.7190369999998</v>
          </cell>
          <cell r="K25">
            <v>3487.4247599999999</v>
          </cell>
          <cell r="L25">
            <v>3377.8194149999999</v>
          </cell>
          <cell r="M25">
            <v>3251.330187</v>
          </cell>
          <cell r="N25">
            <v>3109.133824</v>
          </cell>
          <cell r="O25">
            <v>2953.9641019999999</v>
          </cell>
          <cell r="P25">
            <v>2789.6812009999999</v>
          </cell>
          <cell r="Q25">
            <v>2620.5719629999999</v>
          </cell>
          <cell r="R25">
            <v>2452.0425989999999</v>
          </cell>
          <cell r="S25">
            <v>2288.0284459999998</v>
          </cell>
          <cell r="T25">
            <v>2130.739399</v>
          </cell>
          <cell r="U25">
            <v>1981.3159659999999</v>
          </cell>
          <cell r="V25">
            <v>1840.2575260000001</v>
          </cell>
          <cell r="W25">
            <v>1707.6816530000001</v>
          </cell>
          <cell r="X25">
            <v>1583.4775480000001</v>
          </cell>
          <cell r="Y25">
            <v>1467.3972309999999</v>
          </cell>
          <cell r="Z25">
            <v>1359.1108489999999</v>
          </cell>
          <cell r="AA25">
            <v>1258.2440099999999</v>
          </cell>
          <cell r="AB25">
            <v>1164.4010350000001</v>
          </cell>
          <cell r="AC25">
            <v>1077.1801390000001</v>
          </cell>
          <cell r="AD25">
            <v>996.18258860000003</v>
          </cell>
          <cell r="AE25">
            <v>921.01893610000002</v>
          </cell>
          <cell r="AF25">
            <v>851.3125556</v>
          </cell>
          <cell r="AG25">
            <v>786.70236250000005</v>
          </cell>
          <cell r="AH25">
            <v>726.84454500000004</v>
          </cell>
          <cell r="AI25">
            <v>671.41339960000005</v>
          </cell>
          <cell r="AJ25">
            <v>620.10155429999998</v>
          </cell>
          <cell r="AK25">
            <v>572.619778</v>
          </cell>
        </row>
        <row r="26">
          <cell r="A26" t="str">
            <v>auto_ce_cfut_2</v>
          </cell>
          <cell r="B26">
            <v>2503.7292430000002</v>
          </cell>
          <cell r="C26">
            <v>2441.6230310000001</v>
          </cell>
          <cell r="D26">
            <v>2393.7318479999999</v>
          </cell>
          <cell r="E26">
            <v>2352.7143689999998</v>
          </cell>
          <cell r="F26">
            <v>2315.8002759999999</v>
          </cell>
          <cell r="G26">
            <v>2280.5650989999999</v>
          </cell>
          <cell r="H26">
            <v>2244.4782180000002</v>
          </cell>
          <cell r="I26">
            <v>2199.0708239999999</v>
          </cell>
          <cell r="J26">
            <v>2141.753604</v>
          </cell>
          <cell r="K26">
            <v>2070.4770720000001</v>
          </cell>
          <cell r="L26">
            <v>1984.205537</v>
          </cell>
          <cell r="M26">
            <v>1886.1559070000001</v>
          </cell>
          <cell r="N26">
            <v>1781.1129060000001</v>
          </cell>
          <cell r="O26">
            <v>1673.1084860000001</v>
          </cell>
          <cell r="P26">
            <v>1565.270221</v>
          </cell>
          <cell r="Q26">
            <v>1459.825738</v>
          </cell>
          <cell r="R26">
            <v>1358.3019179999999</v>
          </cell>
          <cell r="S26">
            <v>1261.5884579999999</v>
          </cell>
          <cell r="T26">
            <v>1170.1665410000001</v>
          </cell>
          <cell r="U26">
            <v>1084.2306840000001</v>
          </cell>
          <cell r="V26">
            <v>1003.784887</v>
          </cell>
          <cell r="W26">
            <v>928.71041170000001</v>
          </cell>
          <cell r="X26">
            <v>858.81252310000002</v>
          </cell>
          <cell r="Y26">
            <v>793.85179830000004</v>
          </cell>
          <cell r="Z26">
            <v>733.56425869999998</v>
          </cell>
          <cell r="AA26">
            <v>677.67549759999997</v>
          </cell>
          <cell r="AB26">
            <v>625.90951359999997</v>
          </cell>
          <cell r="AC26">
            <v>577.99527479999995</v>
          </cell>
          <cell r="AD26">
            <v>533.67111729999999</v>
          </cell>
          <cell r="AE26">
            <v>492.68694570000002</v>
          </cell>
          <cell r="AF26">
            <v>454.80530149999998</v>
          </cell>
          <cell r="AG26">
            <v>419.80198350000001</v>
          </cell>
          <cell r="AH26">
            <v>387.46633960000003</v>
          </cell>
          <cell r="AI26">
            <v>357.60126170000001</v>
          </cell>
          <cell r="AJ26">
            <v>330.02280839999997</v>
          </cell>
          <cell r="AK26">
            <v>304.5596582</v>
          </cell>
        </row>
        <row r="27">
          <cell r="A27" t="str">
            <v>auto_ce_cfut_0</v>
          </cell>
          <cell r="B27">
            <v>2503.7292430000002</v>
          </cell>
          <cell r="C27">
            <v>2441.6230310000001</v>
          </cell>
          <cell r="D27">
            <v>2393.7318479999999</v>
          </cell>
          <cell r="E27">
            <v>2352.7143689999998</v>
          </cell>
          <cell r="F27">
            <v>2315.8002759999999</v>
          </cell>
          <cell r="G27">
            <v>2280.5650989999999</v>
          </cell>
          <cell r="H27">
            <v>2241.7231670000001</v>
          </cell>
          <cell r="I27">
            <v>2197.266658</v>
          </cell>
          <cell r="J27">
            <v>2145.4916210000001</v>
          </cell>
          <cell r="K27">
            <v>2085.021514</v>
          </cell>
          <cell r="L27">
            <v>2015.0474569999999</v>
          </cell>
          <cell r="M27">
            <v>1935.637152</v>
          </cell>
          <cell r="N27">
            <v>1847.771416</v>
          </cell>
          <cell r="O27">
            <v>1753.180668</v>
          </cell>
          <cell r="P27">
            <v>1654.09718</v>
          </cell>
          <cell r="Q27">
            <v>1552.897307</v>
          </cell>
          <cell r="R27">
            <v>1452.5337959999999</v>
          </cell>
          <cell r="S27">
            <v>1355.12601</v>
          </cell>
          <cell r="T27">
            <v>1261.8589750000001</v>
          </cell>
          <cell r="U27">
            <v>1173.3364670000001</v>
          </cell>
          <cell r="V27">
            <v>1089.8122330000001</v>
          </cell>
          <cell r="W27">
            <v>1011.3311200000001</v>
          </cell>
          <cell r="X27">
            <v>937.81297849999999</v>
          </cell>
          <cell r="Y27">
            <v>869.10267539999995</v>
          </cell>
          <cell r="Z27">
            <v>805.00041880000003</v>
          </cell>
          <cell r="AA27">
            <v>745.28253930000005</v>
          </cell>
          <cell r="AB27">
            <v>689.71437790000004</v>
          </cell>
          <cell r="AC27">
            <v>638.05869170000005</v>
          </cell>
          <cell r="AD27">
            <v>590.08064339999999</v>
          </cell>
          <cell r="AE27">
            <v>545.55124809999995</v>
          </cell>
          <cell r="AF27">
            <v>504.24921189999998</v>
          </cell>
          <cell r="AG27">
            <v>465.96237150000002</v>
          </cell>
          <cell r="AH27">
            <v>430.48861570000003</v>
          </cell>
          <cell r="AI27">
            <v>397.63632580000001</v>
          </cell>
          <cell r="AJ27">
            <v>367.22448889999998</v>
          </cell>
          <cell r="AK27">
            <v>339.08258840000002</v>
          </cell>
        </row>
        <row r="28">
          <cell r="A28" t="str">
            <v>auto_cf_cfut_2</v>
          </cell>
          <cell r="B28">
            <v>1243.6668460000001</v>
          </cell>
          <cell r="C28">
            <v>1210.4196260000001</v>
          </cell>
          <cell r="D28">
            <v>1183.2416189999999</v>
          </cell>
          <cell r="E28">
            <v>1158.608471</v>
          </cell>
          <cell r="F28">
            <v>1135.2945970000001</v>
          </cell>
          <cell r="G28">
            <v>1112.2367400000001</v>
          </cell>
          <cell r="H28">
            <v>1088.399484</v>
          </cell>
          <cell r="I28">
            <v>1060.446007</v>
          </cell>
          <cell r="J28">
            <v>1028.3394390000001</v>
          </cell>
          <cell r="K28">
            <v>992.02246209999998</v>
          </cell>
          <cell r="L28">
            <v>951.39562190000004</v>
          </cell>
          <cell r="M28">
            <v>907.43967459999999</v>
          </cell>
          <cell r="N28">
            <v>861.32402750000006</v>
          </cell>
          <cell r="O28">
            <v>814.12194290000002</v>
          </cell>
          <cell r="P28">
            <v>766.77893059999997</v>
          </cell>
          <cell r="Q28">
            <v>720.05984279999996</v>
          </cell>
          <cell r="R28">
            <v>674.58157670000003</v>
          </cell>
          <cell r="S28">
            <v>630.73950850000006</v>
          </cell>
          <cell r="T28">
            <v>588.79763679999996</v>
          </cell>
          <cell r="U28">
            <v>548.91219579999995</v>
          </cell>
          <cell r="V28">
            <v>511.1584249</v>
          </cell>
          <cell r="W28">
            <v>475.55284990000001</v>
          </cell>
          <cell r="X28">
            <v>442.07117679999999</v>
          </cell>
          <cell r="Y28">
            <v>410.66163760000001</v>
          </cell>
          <cell r="Z28">
            <v>381.2530539</v>
          </cell>
          <cell r="AA28">
            <v>353.76213150000001</v>
          </cell>
          <cell r="AB28">
            <v>328.09735030000002</v>
          </cell>
          <cell r="AC28">
            <v>304.16345740000003</v>
          </cell>
          <cell r="AD28">
            <v>281.86535629999997</v>
          </cell>
          <cell r="AE28">
            <v>261.10969879999999</v>
          </cell>
          <cell r="AF28">
            <v>241.80513110000001</v>
          </cell>
          <cell r="AG28">
            <v>223.86269859999999</v>
          </cell>
          <cell r="AH28">
            <v>207.19650179999999</v>
          </cell>
          <cell r="AI28">
            <v>191.7244082</v>
          </cell>
          <cell r="AJ28">
            <v>177.36825859999999</v>
          </cell>
          <cell r="AK28">
            <v>164.05386970000001</v>
          </cell>
        </row>
        <row r="29">
          <cell r="A29" t="str">
            <v>auto_cf_cfut_0</v>
          </cell>
          <cell r="B29">
            <v>1243.6668460000001</v>
          </cell>
          <cell r="C29">
            <v>1210.4196260000001</v>
          </cell>
          <cell r="D29">
            <v>1183.2416189999999</v>
          </cell>
          <cell r="E29">
            <v>1158.608471</v>
          </cell>
          <cell r="F29">
            <v>1135.2945970000001</v>
          </cell>
          <cell r="G29">
            <v>1112.2367400000001</v>
          </cell>
          <cell r="H29">
            <v>1087.2460619999999</v>
          </cell>
          <cell r="I29">
            <v>1059.850353</v>
          </cell>
          <cell r="J29">
            <v>1029.802117</v>
          </cell>
          <cell r="K29">
            <v>996.98066740000002</v>
          </cell>
          <cell r="L29">
            <v>961.37655280000001</v>
          </cell>
          <cell r="M29">
            <v>923.15782509999997</v>
          </cell>
          <cell r="N29">
            <v>882.65890149999996</v>
          </cell>
          <cell r="O29">
            <v>840.34246910000002</v>
          </cell>
          <cell r="P29">
            <v>796.7750992</v>
          </cell>
          <cell r="Q29">
            <v>752.57107859999996</v>
          </cell>
          <cell r="R29">
            <v>708.73348199999998</v>
          </cell>
          <cell r="S29">
            <v>665.95722539999997</v>
          </cell>
          <cell r="T29">
            <v>624.67032740000002</v>
          </cell>
          <cell r="U29">
            <v>585.11900619999994</v>
          </cell>
          <cell r="V29">
            <v>547.42983500000003</v>
          </cell>
          <cell r="W29">
            <v>511.6528366</v>
          </cell>
          <cell r="X29">
            <v>477.78892710000002</v>
          </cell>
          <cell r="Y29">
            <v>445.80693550000001</v>
          </cell>
          <cell r="Z29">
            <v>415.65373979999998</v>
          </cell>
          <cell r="AA29">
            <v>387.26392399999997</v>
          </cell>
          <cell r="AB29">
            <v>360.56570900000003</v>
          </cell>
          <cell r="AC29">
            <v>335.48505069999999</v>
          </cell>
          <cell r="AD29">
            <v>311.9475084</v>
          </cell>
          <cell r="AE29">
            <v>289.8799803</v>
          </cell>
          <cell r="AF29">
            <v>269.21062389999997</v>
          </cell>
          <cell r="AG29">
            <v>249.86916719999999</v>
          </cell>
          <cell r="AH29">
            <v>231.7872405</v>
          </cell>
          <cell r="AI29">
            <v>214.89854120000001</v>
          </cell>
          <cell r="AJ29">
            <v>199.13889829999999</v>
          </cell>
          <cell r="AK29">
            <v>184.4462685</v>
          </cell>
        </row>
        <row r="30">
          <cell r="A30" t="str">
            <v>auto_cg_cfut_2</v>
          </cell>
          <cell r="B30">
            <v>2239.620606</v>
          </cell>
          <cell r="C30">
            <v>2182.952824</v>
          </cell>
          <cell r="D30">
            <v>2134.8204559999999</v>
          </cell>
          <cell r="E30">
            <v>2088.5681359999999</v>
          </cell>
          <cell r="F30">
            <v>2042.1186029999999</v>
          </cell>
          <cell r="G30">
            <v>1993.9965689999999</v>
          </cell>
          <cell r="H30">
            <v>1942.8260339999999</v>
          </cell>
          <cell r="I30">
            <v>1883.2728380000001</v>
          </cell>
          <cell r="J30">
            <v>1815.6291040000001</v>
          </cell>
          <cell r="K30">
            <v>1740.6261489999999</v>
          </cell>
          <cell r="L30">
            <v>1659.0049019999999</v>
          </cell>
          <cell r="M30">
            <v>1573.026449</v>
          </cell>
          <cell r="N30">
            <v>1484.9738339999999</v>
          </cell>
          <cell r="O30">
            <v>1396.7409210000001</v>
          </cell>
          <cell r="P30">
            <v>1309.8408910000001</v>
          </cell>
          <cell r="Q30">
            <v>1225.394614</v>
          </cell>
          <cell r="R30">
            <v>1144.2299680000001</v>
          </cell>
          <cell r="S30">
            <v>1066.8195350000001</v>
          </cell>
          <cell r="T30">
            <v>993.43021109999995</v>
          </cell>
          <cell r="U30">
            <v>924.17107109999995</v>
          </cell>
          <cell r="V30">
            <v>859.0386565</v>
          </cell>
          <cell r="W30">
            <v>797.95217190000005</v>
          </cell>
          <cell r="X30">
            <v>740.78044</v>
          </cell>
          <cell r="Y30">
            <v>687.36174730000005</v>
          </cell>
          <cell r="Z30">
            <v>637.51503639999999</v>
          </cell>
          <cell r="AA30">
            <v>591.05020590000004</v>
          </cell>
          <cell r="AB30">
            <v>547.77275450000002</v>
          </cell>
          <cell r="AC30">
            <v>507.48981429999998</v>
          </cell>
          <cell r="AD30">
            <v>470.01590709999999</v>
          </cell>
          <cell r="AE30">
            <v>435.1750328</v>
          </cell>
          <cell r="AF30">
            <v>402.79987779999999</v>
          </cell>
          <cell r="AG30">
            <v>372.7312038</v>
          </cell>
          <cell r="AH30">
            <v>344.81788269999998</v>
          </cell>
          <cell r="AI30">
            <v>318.917326</v>
          </cell>
          <cell r="AJ30">
            <v>294.89525159999999</v>
          </cell>
          <cell r="AK30">
            <v>272.62519500000002</v>
          </cell>
        </row>
        <row r="31">
          <cell r="A31" t="str">
            <v>auto_cg_cfut_0</v>
          </cell>
          <cell r="B31">
            <v>2239.620606</v>
          </cell>
          <cell r="C31">
            <v>2182.952824</v>
          </cell>
          <cell r="D31">
            <v>2134.8204559999999</v>
          </cell>
          <cell r="E31">
            <v>2088.5681359999999</v>
          </cell>
          <cell r="F31">
            <v>2042.1186029999999</v>
          </cell>
          <cell r="G31">
            <v>1993.9965689999999</v>
          </cell>
          <cell r="H31">
            <v>1940.8395109999999</v>
          </cell>
          <cell r="I31">
            <v>1882.20454</v>
          </cell>
          <cell r="J31">
            <v>1818.171654</v>
          </cell>
          <cell r="K31">
            <v>1749.1195359999999</v>
          </cell>
          <cell r="L31">
            <v>1675.631065</v>
          </cell>
          <cell r="M31">
            <v>1598.5418649999999</v>
          </cell>
          <cell r="N31">
            <v>1518.859696</v>
          </cell>
          <cell r="O31">
            <v>1437.6599409999999</v>
          </cell>
          <cell r="P31">
            <v>1356.0236050000001</v>
          </cell>
          <cell r="Q31">
            <v>1274.9626069999999</v>
          </cell>
          <cell r="R31">
            <v>1195.9156499999999</v>
          </cell>
          <cell r="S31">
            <v>1119.821733</v>
          </cell>
          <cell r="T31">
            <v>1047.2035780000001</v>
          </cell>
          <cell r="U31">
            <v>978.30809490000001</v>
          </cell>
          <cell r="V31">
            <v>913.20602529999996</v>
          </cell>
          <cell r="W31">
            <v>851.85985559999995</v>
          </cell>
          <cell r="X31">
            <v>794.16613570000004</v>
          </cell>
          <cell r="Y31">
            <v>739.98141889999999</v>
          </cell>
          <cell r="Z31">
            <v>689.13717210000004</v>
          </cell>
          <cell r="AA31">
            <v>641.45519650000006</v>
          </cell>
          <cell r="AB31">
            <v>596.75727489999997</v>
          </cell>
          <cell r="AC31">
            <v>554.87186039999995</v>
          </cell>
          <cell r="AD31">
            <v>515.63681859999997</v>
          </cell>
          <cell r="AE31">
            <v>478.90200850000002</v>
          </cell>
          <cell r="AF31">
            <v>444.52777209999999</v>
          </cell>
          <cell r="AG31">
            <v>412.3837868</v>
          </cell>
          <cell r="AH31">
            <v>382.3480093</v>
          </cell>
          <cell r="AI31">
            <v>354.30552189999997</v>
          </cell>
          <cell r="AJ31">
            <v>328.14743989999999</v>
          </cell>
          <cell r="AK31">
            <v>303.76993649999997</v>
          </cell>
        </row>
        <row r="32">
          <cell r="A32" t="str">
            <v>auto_ca_cele_2</v>
          </cell>
          <cell r="B32">
            <v>9.8427898650000003</v>
          </cell>
          <cell r="C32">
            <v>24.590022810000001</v>
          </cell>
          <cell r="D32">
            <v>52.7682669</v>
          </cell>
          <cell r="E32">
            <v>101.4160948</v>
          </cell>
          <cell r="F32">
            <v>176.6059616</v>
          </cell>
          <cell r="G32">
            <v>277.51035780000001</v>
          </cell>
          <cell r="H32">
            <v>404.02695240000003</v>
          </cell>
          <cell r="I32">
            <v>569.37398389999998</v>
          </cell>
          <cell r="J32">
            <v>827.36980640000002</v>
          </cell>
          <cell r="K32">
            <v>1210.790236</v>
          </cell>
          <cell r="L32">
            <v>1727.497404</v>
          </cell>
          <cell r="M32">
            <v>2354.9139829999999</v>
          </cell>
          <cell r="N32">
            <v>3044.3933459999998</v>
          </cell>
          <cell r="O32">
            <v>3757.8373059999999</v>
          </cell>
          <cell r="P32">
            <v>4469.420494</v>
          </cell>
          <cell r="Q32">
            <v>5163.2055060000002</v>
          </cell>
          <cell r="R32">
            <v>5832.6381549999996</v>
          </cell>
          <cell r="S32">
            <v>6471.909541</v>
          </cell>
          <cell r="T32">
            <v>7078.9095550000002</v>
          </cell>
          <cell r="U32">
            <v>7653.6128509999999</v>
          </cell>
          <cell r="V32">
            <v>8197.1788309999993</v>
          </cell>
          <cell r="W32">
            <v>8711.4038920000003</v>
          </cell>
          <cell r="X32">
            <v>9198.547724</v>
          </cell>
          <cell r="Y32">
            <v>9661.1963429999996</v>
          </cell>
          <cell r="Z32">
            <v>10101.926880000001</v>
          </cell>
          <cell r="AA32">
            <v>10523.297070000001</v>
          </cell>
          <cell r="AB32">
            <v>10927.66641</v>
          </cell>
          <cell r="AC32">
            <v>11317.528399999999</v>
          </cell>
          <cell r="AD32">
            <v>11695.761469999999</v>
          </cell>
          <cell r="AE32">
            <v>12065.20428</v>
          </cell>
          <cell r="AF32">
            <v>12428.18331</v>
          </cell>
          <cell r="AG32">
            <v>12786.365030000001</v>
          </cell>
          <cell r="AH32">
            <v>13140.91323</v>
          </cell>
          <cell r="AI32">
            <v>13492.749610000001</v>
          </cell>
          <cell r="AJ32">
            <v>13842.54501</v>
          </cell>
          <cell r="AK32">
            <v>14190.67836</v>
          </cell>
        </row>
        <row r="33">
          <cell r="A33" t="str">
            <v>auto_ca_cele_0</v>
          </cell>
          <cell r="B33">
            <v>9.8427898650000003</v>
          </cell>
          <cell r="C33">
            <v>24.590022810000001</v>
          </cell>
          <cell r="D33">
            <v>52.7682669</v>
          </cell>
          <cell r="E33">
            <v>101.4160948</v>
          </cell>
          <cell r="F33">
            <v>176.6059616</v>
          </cell>
          <cell r="G33">
            <v>277.51035780000001</v>
          </cell>
          <cell r="H33">
            <v>406.49185519999997</v>
          </cell>
          <cell r="I33">
            <v>579.2394233</v>
          </cell>
          <cell r="J33">
            <v>813.46367829999997</v>
          </cell>
          <cell r="K33">
            <v>1124.8580489999999</v>
          </cell>
          <cell r="L33">
            <v>1521.976678</v>
          </cell>
          <cell r="M33">
            <v>2003.1722600000001</v>
          </cell>
          <cell r="N33">
            <v>2556.220703</v>
          </cell>
          <cell r="O33">
            <v>3161.0317110000001</v>
          </cell>
          <cell r="P33">
            <v>3794.994295</v>
          </cell>
          <cell r="Q33">
            <v>4437.6477269999996</v>
          </cell>
          <cell r="R33">
            <v>5082.2550849999998</v>
          </cell>
          <cell r="S33">
            <v>5712.0459389999996</v>
          </cell>
          <cell r="T33">
            <v>6317.3981480000002</v>
          </cell>
          <cell r="U33">
            <v>6893.74802</v>
          </cell>
          <cell r="V33">
            <v>7439.7756300000001</v>
          </cell>
          <cell r="W33">
            <v>7956.1457190000001</v>
          </cell>
          <cell r="X33">
            <v>8444.6917450000001</v>
          </cell>
          <cell r="Y33">
            <v>8907.8565330000001</v>
          </cell>
          <cell r="Z33">
            <v>9348.2771499999999</v>
          </cell>
          <cell r="AA33">
            <v>9768.7425010000006</v>
          </cell>
          <cell r="AB33">
            <v>10172.120650000001</v>
          </cell>
          <cell r="AC33">
            <v>10561.36658</v>
          </cell>
          <cell r="AD33">
            <v>10939.396640000001</v>
          </cell>
          <cell r="AE33">
            <v>11308.931989999999</v>
          </cell>
          <cell r="AF33">
            <v>11672.203380000001</v>
          </cell>
          <cell r="AG33">
            <v>12030.90381</v>
          </cell>
          <cell r="AH33">
            <v>12386.249100000001</v>
          </cell>
          <cell r="AI33">
            <v>12739.05076</v>
          </cell>
          <cell r="AJ33">
            <v>13089.78334</v>
          </cell>
          <cell r="AK33">
            <v>13438.635920000001</v>
          </cell>
        </row>
        <row r="34">
          <cell r="A34" t="str">
            <v>auto_cb_cele_2</v>
          </cell>
          <cell r="B34">
            <v>11.44571741</v>
          </cell>
          <cell r="C34">
            <v>26.86791307</v>
          </cell>
          <cell r="D34">
            <v>56.902894259999997</v>
          </cell>
          <cell r="E34">
            <v>109.06869140000001</v>
          </cell>
          <cell r="F34">
            <v>189.68872010000001</v>
          </cell>
          <cell r="G34">
            <v>297.68651080000001</v>
          </cell>
          <cell r="H34">
            <v>432.72687459999997</v>
          </cell>
          <cell r="I34">
            <v>607.88524659999996</v>
          </cell>
          <cell r="J34">
            <v>875.7334591</v>
          </cell>
          <cell r="K34">
            <v>1264.2866710000001</v>
          </cell>
          <cell r="L34">
            <v>1775.4835720000001</v>
          </cell>
          <cell r="M34">
            <v>2384.8057629999998</v>
          </cell>
          <cell r="N34">
            <v>3047.1422429999998</v>
          </cell>
          <cell r="O34">
            <v>3728.591891</v>
          </cell>
          <cell r="P34">
            <v>4406.7596789999998</v>
          </cell>
          <cell r="Q34">
            <v>5068.0239359999996</v>
          </cell>
          <cell r="R34">
            <v>5707.1171130000002</v>
          </cell>
          <cell r="S34">
            <v>6318.9842580000004</v>
          </cell>
          <cell r="T34">
            <v>6901.7595739999997</v>
          </cell>
          <cell r="U34">
            <v>7455.363687</v>
          </cell>
          <cell r="V34">
            <v>7980.7377139999999</v>
          </cell>
          <cell r="W34">
            <v>8479.3763859999999</v>
          </cell>
          <cell r="X34">
            <v>8953.1963610000003</v>
          </cell>
          <cell r="Y34">
            <v>9404.4281630000005</v>
          </cell>
          <cell r="Z34">
            <v>9835.2983519999998</v>
          </cell>
          <cell r="AA34">
            <v>10248.02492</v>
          </cell>
          <cell r="AB34">
            <v>10644.63499</v>
          </cell>
          <cell r="AC34">
            <v>11027.28479</v>
          </cell>
          <cell r="AD34">
            <v>11398.516149999999</v>
          </cell>
          <cell r="AE34">
            <v>11760.85764</v>
          </cell>
          <cell r="AF34">
            <v>12116.362810000001</v>
          </cell>
          <cell r="AG34">
            <v>12466.458769999999</v>
          </cell>
          <cell r="AH34">
            <v>12812.093440000001</v>
          </cell>
          <cell r="AI34">
            <v>13153.991459999999</v>
          </cell>
          <cell r="AJ34">
            <v>13492.648590000001</v>
          </cell>
          <cell r="AK34">
            <v>13828.292149999999</v>
          </cell>
        </row>
        <row r="35">
          <cell r="A35" t="str">
            <v>auto_cb_cele_0</v>
          </cell>
          <cell r="B35">
            <v>11.44571741</v>
          </cell>
          <cell r="C35">
            <v>26.86791307</v>
          </cell>
          <cell r="D35">
            <v>56.902894259999997</v>
          </cell>
          <cell r="E35">
            <v>109.06869140000001</v>
          </cell>
          <cell r="F35">
            <v>189.68872010000001</v>
          </cell>
          <cell r="G35">
            <v>297.68651080000001</v>
          </cell>
          <cell r="H35">
            <v>435.23853380000003</v>
          </cell>
          <cell r="I35">
            <v>618.09341310000002</v>
          </cell>
          <cell r="J35">
            <v>863.25232010000002</v>
          </cell>
          <cell r="K35">
            <v>1184.6585970000001</v>
          </cell>
          <cell r="L35">
            <v>1588.3159330000001</v>
          </cell>
          <cell r="M35">
            <v>2070.0404109999999</v>
          </cell>
          <cell r="N35">
            <v>2616.0586509999998</v>
          </cell>
          <cell r="O35">
            <v>3206.2842879999998</v>
          </cell>
          <cell r="P35">
            <v>3819.5041799999999</v>
          </cell>
          <cell r="Q35">
            <v>4437.3881250000004</v>
          </cell>
          <cell r="R35">
            <v>5055.5841719999999</v>
          </cell>
          <cell r="S35">
            <v>5659.867561</v>
          </cell>
          <cell r="T35">
            <v>6241.8993639999999</v>
          </cell>
          <cell r="U35">
            <v>6797.5913700000001</v>
          </cell>
          <cell r="V35">
            <v>7325.6446729999998</v>
          </cell>
          <cell r="W35">
            <v>7826.5150869999998</v>
          </cell>
          <cell r="X35">
            <v>8301.7242260000003</v>
          </cell>
          <cell r="Y35">
            <v>8753.367252</v>
          </cell>
          <cell r="Z35">
            <v>9183.7273650000006</v>
          </cell>
          <cell r="AA35">
            <v>9595.2463169999992</v>
          </cell>
          <cell r="AB35">
            <v>9990.4581890000009</v>
          </cell>
          <cell r="AC35">
            <v>10371.999</v>
          </cell>
          <cell r="AD35">
            <v>10742.482599999999</v>
          </cell>
          <cell r="AE35">
            <v>11104.35313</v>
          </cell>
          <cell r="AF35">
            <v>11459.594069999999</v>
          </cell>
          <cell r="AG35">
            <v>11809.67951</v>
          </cell>
          <cell r="AH35">
            <v>12155.631869999999</v>
          </cell>
          <cell r="AI35">
            <v>12498.09261</v>
          </cell>
          <cell r="AJ35">
            <v>12837.38848</v>
          </cell>
          <cell r="AK35">
            <v>13173.58293</v>
          </cell>
        </row>
        <row r="36">
          <cell r="A36" t="str">
            <v>auto_cc_cele_2</v>
          </cell>
          <cell r="B36">
            <v>9.4015406210000005</v>
          </cell>
          <cell r="C36">
            <v>21.200515459999998</v>
          </cell>
          <cell r="D36">
            <v>44.607230950000002</v>
          </cell>
          <cell r="E36">
            <v>85.456264899999994</v>
          </cell>
          <cell r="F36">
            <v>148.50532430000001</v>
          </cell>
          <cell r="G36">
            <v>232.73189199999999</v>
          </cell>
          <cell r="H36">
            <v>337.66683319999999</v>
          </cell>
          <cell r="I36">
            <v>472.56274509999997</v>
          </cell>
          <cell r="J36">
            <v>674.19718079999996</v>
          </cell>
          <cell r="K36">
            <v>958.93501619999995</v>
          </cell>
          <cell r="L36">
            <v>1323.874247</v>
          </cell>
          <cell r="M36">
            <v>1750.4304830000001</v>
          </cell>
          <cell r="N36">
            <v>2209.0495350000001</v>
          </cell>
          <cell r="O36">
            <v>2678.466766</v>
          </cell>
          <cell r="P36">
            <v>3144.9967109999998</v>
          </cell>
          <cell r="Q36">
            <v>3600.4186840000002</v>
          </cell>
          <cell r="R36">
            <v>4041.7970500000001</v>
          </cell>
          <cell r="S36">
            <v>4465.9665560000003</v>
          </cell>
          <cell r="T36">
            <v>4871.7115700000004</v>
          </cell>
          <cell r="U36">
            <v>5258.9012460000004</v>
          </cell>
          <cell r="V36">
            <v>5628.0290690000002</v>
          </cell>
          <cell r="W36">
            <v>5979.9314679999998</v>
          </cell>
          <cell r="X36">
            <v>6315.7225440000002</v>
          </cell>
          <cell r="Y36">
            <v>6636.736973</v>
          </cell>
          <cell r="Z36">
            <v>6944.3119699999997</v>
          </cell>
          <cell r="AA36">
            <v>7239.7886600000002</v>
          </cell>
          <cell r="AB36">
            <v>7524.3772349999999</v>
          </cell>
          <cell r="AC36">
            <v>7799.3815599999998</v>
          </cell>
          <cell r="AD36">
            <v>8066.3907209999998</v>
          </cell>
          <cell r="AE36">
            <v>8327.0070180000002</v>
          </cell>
          <cell r="AF36">
            <v>8582.5165820000002</v>
          </cell>
          <cell r="AG36">
            <v>8833.7757259999998</v>
          </cell>
          <cell r="AH36">
            <v>9081.3107029999992</v>
          </cell>
          <cell r="AI36">
            <v>9325.5007420000002</v>
          </cell>
          <cell r="AJ36">
            <v>9566.5759120000002</v>
          </cell>
          <cell r="AK36">
            <v>9804.5890610000006</v>
          </cell>
        </row>
        <row r="37">
          <cell r="A37" t="str">
            <v>auto_cc_cele_0</v>
          </cell>
          <cell r="B37">
            <v>9.4015406210000005</v>
          </cell>
          <cell r="C37">
            <v>21.200515459999998</v>
          </cell>
          <cell r="D37">
            <v>44.607230950000002</v>
          </cell>
          <cell r="E37">
            <v>85.456264899999994</v>
          </cell>
          <cell r="F37">
            <v>148.50532430000001</v>
          </cell>
          <cell r="G37">
            <v>232.73189199999999</v>
          </cell>
          <cell r="H37">
            <v>339.51111659999998</v>
          </cell>
          <cell r="I37">
            <v>480.20448670000002</v>
          </cell>
          <cell r="J37">
            <v>666.41069589999995</v>
          </cell>
          <cell r="K37">
            <v>906.69585789999996</v>
          </cell>
          <cell r="L37">
            <v>1203.3704720000001</v>
          </cell>
          <cell r="M37">
            <v>1551.5933660000001</v>
          </cell>
          <cell r="N37">
            <v>1940.5387900000001</v>
          </cell>
          <cell r="O37">
            <v>2356.0631629999998</v>
          </cell>
          <cell r="P37">
            <v>2784.1746419999999</v>
          </cell>
          <cell r="Q37">
            <v>3213.351592</v>
          </cell>
          <cell r="R37">
            <v>3642.1818750000002</v>
          </cell>
          <cell r="S37">
            <v>4062.1007</v>
          </cell>
          <cell r="T37">
            <v>4467.9044590000003</v>
          </cell>
          <cell r="U37">
            <v>4856.9077969999998</v>
          </cell>
          <cell r="V37">
            <v>5228.1342850000001</v>
          </cell>
          <cell r="W37">
            <v>5581.7227599999997</v>
          </cell>
          <cell r="X37">
            <v>5918.5163329999996</v>
          </cell>
          <cell r="Y37">
            <v>6239.7524469999998</v>
          </cell>
          <cell r="Z37">
            <v>6546.8039399999998</v>
          </cell>
          <cell r="AA37">
            <v>6841.1672410000001</v>
          </cell>
          <cell r="AB37">
            <v>7124.4191970000002</v>
          </cell>
          <cell r="AC37">
            <v>7398.2257069999996</v>
          </cell>
          <cell r="AD37">
            <v>7664.2525169999999</v>
          </cell>
          <cell r="AE37">
            <v>7924.0638849999996</v>
          </cell>
          <cell r="AF37">
            <v>8178.9130910000003</v>
          </cell>
          <cell r="AG37">
            <v>8429.7051919999994</v>
          </cell>
          <cell r="AH37">
            <v>8677.0366350000004</v>
          </cell>
          <cell r="AI37">
            <v>8921.2448129999993</v>
          </cell>
          <cell r="AJ37">
            <v>9162.4553209999995</v>
          </cell>
          <cell r="AK37">
            <v>9400.6191030000009</v>
          </cell>
        </row>
        <row r="38">
          <cell r="A38" t="str">
            <v>auto_cd_cele_2</v>
          </cell>
          <cell r="B38">
            <v>5.770071272</v>
          </cell>
          <cell r="C38">
            <v>9.957015427</v>
          </cell>
          <cell r="D38">
            <v>17.404826280000002</v>
          </cell>
          <cell r="E38">
            <v>29.659791210000002</v>
          </cell>
          <cell r="F38">
            <v>48.022057060000002</v>
          </cell>
          <cell r="G38">
            <v>72.201543819999998</v>
          </cell>
          <cell r="H38">
            <v>102.0763618</v>
          </cell>
          <cell r="I38">
            <v>140.4006918</v>
          </cell>
          <cell r="J38">
            <v>198.777638</v>
          </cell>
          <cell r="K38">
            <v>285.34044879999999</v>
          </cell>
          <cell r="L38">
            <v>404.62146790000003</v>
          </cell>
          <cell r="M38">
            <v>555.03104729999995</v>
          </cell>
          <cell r="N38">
            <v>726.96614030000001</v>
          </cell>
          <cell r="O38">
            <v>911.29499250000003</v>
          </cell>
          <cell r="P38">
            <v>1100.767664</v>
          </cell>
          <cell r="Q38">
            <v>1290.204015</v>
          </cell>
          <cell r="R38">
            <v>1476.844218</v>
          </cell>
          <cell r="S38">
            <v>1658.203847</v>
          </cell>
          <cell r="T38">
            <v>1832.9010659999999</v>
          </cell>
          <cell r="U38">
            <v>2000.2307060000001</v>
          </cell>
          <cell r="V38">
            <v>2159.9052969999998</v>
          </cell>
          <cell r="W38">
            <v>2311.8855349999999</v>
          </cell>
          <cell r="X38">
            <v>2456.314781</v>
          </cell>
          <cell r="Y38">
            <v>2593.4749160000001</v>
          </cell>
          <cell r="Z38">
            <v>2723.6759050000001</v>
          </cell>
          <cell r="AA38">
            <v>2847.2466829999998</v>
          </cell>
          <cell r="AB38">
            <v>2964.4604629999999</v>
          </cell>
          <cell r="AC38">
            <v>3075.6146629999998</v>
          </cell>
          <cell r="AD38">
            <v>3181.1215000000002</v>
          </cell>
          <cell r="AE38">
            <v>3281.4230680000001</v>
          </cell>
          <cell r="AF38">
            <v>3376.863797</v>
          </cell>
          <cell r="AG38">
            <v>3467.6411640000001</v>
          </cell>
          <cell r="AH38">
            <v>3553.8401140000001</v>
          </cell>
          <cell r="AI38">
            <v>3635.5083639999998</v>
          </cell>
          <cell r="AJ38">
            <v>3712.6622189999998</v>
          </cell>
          <cell r="AK38">
            <v>3785.2785250000002</v>
          </cell>
        </row>
        <row r="39">
          <cell r="A39" t="str">
            <v>auto_cd_cele_0</v>
          </cell>
          <cell r="B39">
            <v>5.770071272</v>
          </cell>
          <cell r="C39">
            <v>9.957015427</v>
          </cell>
          <cell r="D39">
            <v>17.404826280000002</v>
          </cell>
          <cell r="E39">
            <v>29.659791210000002</v>
          </cell>
          <cell r="F39">
            <v>48.022057060000002</v>
          </cell>
          <cell r="G39">
            <v>72.201543819999998</v>
          </cell>
          <cell r="H39">
            <v>102.60669590000001</v>
          </cell>
          <cell r="I39">
            <v>142.63990810000001</v>
          </cell>
          <cell r="J39">
            <v>196.18702099999999</v>
          </cell>
          <cell r="K39">
            <v>266.95408780000002</v>
          </cell>
          <cell r="L39">
            <v>357.59168369999998</v>
          </cell>
          <cell r="M39">
            <v>469.07988490000002</v>
          </cell>
          <cell r="N39">
            <v>600.35977430000003</v>
          </cell>
          <cell r="O39">
            <v>748.39598590000003</v>
          </cell>
          <cell r="P39">
            <v>908.88352459999999</v>
          </cell>
          <cell r="Q39">
            <v>1077.121539</v>
          </cell>
          <cell r="R39">
            <v>1251.1158949999999</v>
          </cell>
          <cell r="S39">
            <v>1425.884916</v>
          </cell>
          <cell r="T39">
            <v>1598.0371950000001</v>
          </cell>
          <cell r="U39">
            <v>1765.432438</v>
          </cell>
          <cell r="V39">
            <v>1926.804985</v>
          </cell>
          <cell r="W39">
            <v>2081.4884419999998</v>
          </cell>
          <cell r="X39">
            <v>2229.2217329999999</v>
          </cell>
          <cell r="Y39">
            <v>2369.9983360000001</v>
          </cell>
          <cell r="Z39">
            <v>2503.9325450000001</v>
          </cell>
          <cell r="AA39">
            <v>2631.2412479999998</v>
          </cell>
          <cell r="AB39">
            <v>2752.2163110000001</v>
          </cell>
          <cell r="AC39">
            <v>2867.221188</v>
          </cell>
          <cell r="AD39">
            <v>2976.6481610000001</v>
          </cell>
          <cell r="AE39">
            <v>3080.8846469999999</v>
          </cell>
          <cell r="AF39">
            <v>3180.2290410000001</v>
          </cell>
          <cell r="AG39">
            <v>3274.874511</v>
          </cell>
          <cell r="AH39">
            <v>3364.9241229999998</v>
          </cell>
          <cell r="AI39">
            <v>3450.4103220000002</v>
          </cell>
          <cell r="AJ39">
            <v>3531.3141129999999</v>
          </cell>
          <cell r="AK39">
            <v>3607.5805810000002</v>
          </cell>
        </row>
        <row r="40">
          <cell r="A40" t="str">
            <v>auto_ce_cele_2</v>
          </cell>
          <cell r="B40">
            <v>3.4730440960000002</v>
          </cell>
          <cell r="C40">
            <v>6.1652483589999996</v>
          </cell>
          <cell r="D40">
            <v>10.979067300000001</v>
          </cell>
          <cell r="E40">
            <v>18.880338989999998</v>
          </cell>
          <cell r="F40">
            <v>30.650210510000001</v>
          </cell>
          <cell r="G40">
            <v>46.060334650000001</v>
          </cell>
          <cell r="H40">
            <v>64.985446699999997</v>
          </cell>
          <cell r="I40">
            <v>88.986660029999996</v>
          </cell>
          <cell r="J40">
            <v>124.638938</v>
          </cell>
          <cell r="K40">
            <v>176.1754693</v>
          </cell>
          <cell r="L40">
            <v>245.6901144</v>
          </cell>
          <cell r="M40">
            <v>332.1709085</v>
          </cell>
          <cell r="N40">
            <v>430.48829790000002</v>
          </cell>
          <cell r="O40">
            <v>535.83099319999997</v>
          </cell>
          <cell r="P40">
            <v>644.40080969999997</v>
          </cell>
          <cell r="Q40">
            <v>753.47932900000001</v>
          </cell>
          <cell r="R40">
            <v>861.64421890000006</v>
          </cell>
          <cell r="S40">
            <v>967.54129939999996</v>
          </cell>
          <cell r="T40">
            <v>1070.3807549999999</v>
          </cell>
          <cell r="U40">
            <v>1169.7129910000001</v>
          </cell>
          <cell r="V40">
            <v>1265.294766</v>
          </cell>
          <cell r="W40">
            <v>1357.001919</v>
          </cell>
          <cell r="X40">
            <v>1444.7995309999999</v>
          </cell>
          <cell r="Y40">
            <v>1528.7247600000001</v>
          </cell>
          <cell r="Z40">
            <v>1608.823461</v>
          </cell>
          <cell r="AA40">
            <v>1685.1495150000001</v>
          </cell>
          <cell r="AB40">
            <v>1757.717026</v>
          </cell>
          <cell r="AC40">
            <v>1826.549501</v>
          </cell>
          <cell r="AD40">
            <v>1891.745056</v>
          </cell>
          <cell r="AE40">
            <v>1953.437674</v>
          </cell>
          <cell r="AF40">
            <v>2011.7214899999999</v>
          </cell>
          <cell r="AG40">
            <v>2066.6180639999998</v>
          </cell>
          <cell r="AH40">
            <v>2118.0946269999999</v>
          </cell>
          <cell r="AI40">
            <v>2166.1111700000001</v>
          </cell>
          <cell r="AJ40">
            <v>2210.6257070000001</v>
          </cell>
          <cell r="AK40">
            <v>2251.5895839999998</v>
          </cell>
        </row>
        <row r="41">
          <cell r="A41" t="str">
            <v>auto_ce_cele_0</v>
          </cell>
          <cell r="B41">
            <v>3.4730440960000002</v>
          </cell>
          <cell r="C41">
            <v>6.1652483589999996</v>
          </cell>
          <cell r="D41">
            <v>10.979067300000001</v>
          </cell>
          <cell r="E41">
            <v>18.880338989999998</v>
          </cell>
          <cell r="F41">
            <v>30.650210510000001</v>
          </cell>
          <cell r="G41">
            <v>46.060334650000001</v>
          </cell>
          <cell r="H41">
            <v>65.300926959999998</v>
          </cell>
          <cell r="I41">
            <v>90.356838569999994</v>
          </cell>
          <cell r="J41">
            <v>123.4036023</v>
          </cell>
          <cell r="K41">
            <v>166.4174917</v>
          </cell>
          <cell r="L41">
            <v>220.71117140000001</v>
          </cell>
          <cell r="M41">
            <v>286.66133760000002</v>
          </cell>
          <cell r="N41">
            <v>363.57333590000002</v>
          </cell>
          <cell r="O41">
            <v>449.7525053</v>
          </cell>
          <cell r="P41">
            <v>542.8894239</v>
          </cell>
          <cell r="Q41">
            <v>640.50381179999999</v>
          </cell>
          <cell r="R41">
            <v>741.7803758</v>
          </cell>
          <cell r="S41">
            <v>844.15168789999996</v>
          </cell>
          <cell r="T41">
            <v>945.80040840000004</v>
          </cell>
          <cell r="U41">
            <v>1045.510117</v>
          </cell>
          <cell r="V41">
            <v>1142.4911569999999</v>
          </cell>
          <cell r="W41">
            <v>1236.2550189999999</v>
          </cell>
          <cell r="X41">
            <v>1326.5233679999999</v>
          </cell>
          <cell r="Y41">
            <v>1413.1525160000001</v>
          </cell>
          <cell r="Z41">
            <v>1496.0585510000001</v>
          </cell>
          <cell r="AA41">
            <v>1575.214039</v>
          </cell>
          <cell r="AB41">
            <v>1650.6369239999999</v>
          </cell>
          <cell r="AC41">
            <v>1722.393435</v>
          </cell>
          <cell r="AD41">
            <v>1790.575079</v>
          </cell>
          <cell r="AE41">
            <v>1855.285709</v>
          </cell>
          <cell r="AF41">
            <v>1916.591381</v>
          </cell>
          <cell r="AG41">
            <v>1974.5104630000001</v>
          </cell>
          <cell r="AH41">
            <v>2029.022749</v>
          </cell>
          <cell r="AI41">
            <v>2080.0812340000002</v>
          </cell>
          <cell r="AJ41">
            <v>2127.623889</v>
          </cell>
          <cell r="AK41">
            <v>2171.5832030000001</v>
          </cell>
        </row>
        <row r="42">
          <cell r="A42" t="str">
            <v>auto_cf_cele_2</v>
          </cell>
          <cell r="B42">
            <v>1.7251505170000001</v>
          </cell>
          <cell r="C42">
            <v>2.7902060510000002</v>
          </cell>
          <cell r="D42">
            <v>4.5334585880000002</v>
          </cell>
          <cell r="E42">
            <v>7.2090352370000002</v>
          </cell>
          <cell r="F42">
            <v>10.99806119</v>
          </cell>
          <cell r="G42">
            <v>15.77024082</v>
          </cell>
          <cell r="H42">
            <v>21.429849170000001</v>
          </cell>
          <cell r="I42">
            <v>28.329438620000001</v>
          </cell>
          <cell r="J42">
            <v>38.055830200000003</v>
          </cell>
          <cell r="K42">
            <v>51.53530404</v>
          </cell>
          <cell r="L42">
            <v>69.237189709999996</v>
          </cell>
          <cell r="M42">
            <v>91.042481600000002</v>
          </cell>
          <cell r="N42">
            <v>115.88034140000001</v>
          </cell>
          <cell r="O42">
            <v>142.70530729999999</v>
          </cell>
          <cell r="P42">
            <v>170.66767999999999</v>
          </cell>
          <cell r="Q42">
            <v>199.14408969999999</v>
          </cell>
          <cell r="R42">
            <v>227.81679099999999</v>
          </cell>
          <cell r="S42">
            <v>256.35845130000001</v>
          </cell>
          <cell r="T42">
            <v>284.5689271</v>
          </cell>
          <cell r="U42">
            <v>312.32037439999999</v>
          </cell>
          <cell r="V42">
            <v>339.52232609999999</v>
          </cell>
          <cell r="W42">
            <v>366.09744030000002</v>
          </cell>
          <cell r="X42">
            <v>391.9724933</v>
          </cell>
          <cell r="Y42">
            <v>417.07676750000002</v>
          </cell>
          <cell r="Z42">
            <v>441.32272979999999</v>
          </cell>
          <cell r="AA42">
            <v>464.60950229999997</v>
          </cell>
          <cell r="AB42">
            <v>486.8051342</v>
          </cell>
          <cell r="AC42">
            <v>507.7630102</v>
          </cell>
          <cell r="AD42">
            <v>527.35714759999996</v>
          </cell>
          <cell r="AE42">
            <v>545.49080719999995</v>
          </cell>
          <cell r="AF42">
            <v>562.07926120000002</v>
          </cell>
          <cell r="AG42">
            <v>577.03859030000001</v>
          </cell>
          <cell r="AH42">
            <v>590.28905870000006</v>
          </cell>
          <cell r="AI42">
            <v>601.77121169999998</v>
          </cell>
          <cell r="AJ42">
            <v>611.44944450000003</v>
          </cell>
          <cell r="AK42">
            <v>619.31002290000004</v>
          </cell>
        </row>
        <row r="43">
          <cell r="A43" t="str">
            <v>auto_cf_cele_0</v>
          </cell>
          <cell r="B43">
            <v>1.7251505170000001</v>
          </cell>
          <cell r="C43">
            <v>2.7902060510000002</v>
          </cell>
          <cell r="D43">
            <v>4.5334585880000002</v>
          </cell>
          <cell r="E43">
            <v>7.2090352370000002</v>
          </cell>
          <cell r="F43">
            <v>10.99806119</v>
          </cell>
          <cell r="G43">
            <v>15.77024082</v>
          </cell>
          <cell r="H43">
            <v>21.515298349999998</v>
          </cell>
          <cell r="I43">
            <v>28.720067839999999</v>
          </cell>
          <cell r="J43">
            <v>37.882296420000003</v>
          </cell>
          <cell r="K43">
            <v>49.42769878</v>
          </cell>
          <cell r="L43">
            <v>63.625940159999999</v>
          </cell>
          <cell r="M43">
            <v>80.561504869999993</v>
          </cell>
          <cell r="N43">
            <v>100.1211833</v>
          </cell>
          <cell r="O43">
            <v>122.0063413</v>
          </cell>
          <cell r="P43">
            <v>145.79805640000001</v>
          </cell>
          <cell r="Q43">
            <v>171.02993860000001</v>
          </cell>
          <cell r="R43">
            <v>197.65841839999999</v>
          </cell>
          <cell r="S43">
            <v>225.1571658</v>
          </cell>
          <cell r="T43">
            <v>253.119227</v>
          </cell>
          <cell r="U43">
            <v>281.2360147</v>
          </cell>
          <cell r="V43">
            <v>309.26550270000001</v>
          </cell>
          <cell r="W43">
            <v>337.01153420000003</v>
          </cell>
          <cell r="X43">
            <v>364.30761009999998</v>
          </cell>
          <cell r="Y43">
            <v>391.0010643</v>
          </cell>
          <cell r="Z43">
            <v>416.93152980000002</v>
          </cell>
          <cell r="AA43">
            <v>441.93677509999998</v>
          </cell>
          <cell r="AB43">
            <v>465.85682609999998</v>
          </cell>
          <cell r="AC43">
            <v>488.54337070000003</v>
          </cell>
          <cell r="AD43">
            <v>509.86020259999998</v>
          </cell>
          <cell r="AE43">
            <v>529.69275370000003</v>
          </cell>
          <cell r="AF43">
            <v>547.93782880000003</v>
          </cell>
          <cell r="AG43">
            <v>564.50250430000006</v>
          </cell>
          <cell r="AH43">
            <v>579.30758800000001</v>
          </cell>
          <cell r="AI43">
            <v>592.29111709999995</v>
          </cell>
          <cell r="AJ43">
            <v>603.41139999999996</v>
          </cell>
          <cell r="AK43">
            <v>612.64882509999995</v>
          </cell>
        </row>
        <row r="44">
          <cell r="A44" t="str">
            <v>auto_cg_cele_2</v>
          </cell>
          <cell r="B44">
            <v>3.1066862139999998</v>
          </cell>
          <cell r="C44">
            <v>5.2641315410000002</v>
          </cell>
          <cell r="D44">
            <v>8.816966377</v>
          </cell>
          <cell r="E44">
            <v>14.22337664</v>
          </cell>
          <cell r="F44">
            <v>21.751615600000001</v>
          </cell>
          <cell r="G44">
            <v>31.04916528</v>
          </cell>
          <cell r="H44">
            <v>41.844271980000002</v>
          </cell>
          <cell r="I44">
            <v>54.643344560000003</v>
          </cell>
          <cell r="J44">
            <v>71.908229289999994</v>
          </cell>
          <cell r="K44">
            <v>94.71633353</v>
          </cell>
          <cell r="L44">
            <v>123.2912534</v>
          </cell>
          <cell r="M44">
            <v>157.10103749999999</v>
          </cell>
          <cell r="N44">
            <v>194.4756103</v>
          </cell>
          <cell r="O44">
            <v>233.97552150000001</v>
          </cell>
          <cell r="P44">
            <v>274.5629227</v>
          </cell>
          <cell r="Q44">
            <v>315.57729819999997</v>
          </cell>
          <cell r="R44">
            <v>356.81953490000001</v>
          </cell>
          <cell r="S44">
            <v>398.0600546</v>
          </cell>
          <cell r="T44">
            <v>439.23008700000003</v>
          </cell>
          <cell r="U44">
            <v>480.33693510000001</v>
          </cell>
          <cell r="V44">
            <v>521.4087902</v>
          </cell>
          <cell r="W44">
            <v>562.45349669999996</v>
          </cell>
          <cell r="X44">
            <v>603.43830079999998</v>
          </cell>
          <cell r="Y44">
            <v>644.28530790000002</v>
          </cell>
          <cell r="Z44">
            <v>684.83172779999995</v>
          </cell>
          <cell r="AA44">
            <v>724.83401570000001</v>
          </cell>
          <cell r="AB44">
            <v>763.92769029999999</v>
          </cell>
          <cell r="AC44">
            <v>801.65533630000004</v>
          </cell>
          <cell r="AD44">
            <v>837.5533921</v>
          </cell>
          <cell r="AE44">
            <v>871.20490510000002</v>
          </cell>
          <cell r="AF44">
            <v>902.22702040000001</v>
          </cell>
          <cell r="AG44">
            <v>930.25812189999999</v>
          </cell>
          <cell r="AH44">
            <v>954.96924720000004</v>
          </cell>
          <cell r="AI44">
            <v>976.1031011</v>
          </cell>
          <cell r="AJ44">
            <v>993.48792849999995</v>
          </cell>
          <cell r="AK44">
            <v>1007.035574</v>
          </cell>
        </row>
        <row r="45">
          <cell r="A45" t="str">
            <v>auto_cg_cele_0</v>
          </cell>
          <cell r="B45">
            <v>3.1066862139999998</v>
          </cell>
          <cell r="C45">
            <v>5.2641315410000002</v>
          </cell>
          <cell r="D45">
            <v>8.816966377</v>
          </cell>
          <cell r="E45">
            <v>14.22337664</v>
          </cell>
          <cell r="F45">
            <v>21.751615600000001</v>
          </cell>
          <cell r="G45">
            <v>31.04916528</v>
          </cell>
          <cell r="H45">
            <v>41.997444710000003</v>
          </cell>
          <cell r="I45">
            <v>55.365130260000001</v>
          </cell>
          <cell r="J45">
            <v>71.852115670000003</v>
          </cell>
          <cell r="K45">
            <v>91.962768260000004</v>
          </cell>
          <cell r="L45">
            <v>115.9066831</v>
          </cell>
          <cell r="M45">
            <v>143.61494379999999</v>
          </cell>
          <cell r="N45">
            <v>174.77626290000001</v>
          </cell>
          <cell r="O45">
            <v>208.89116129999999</v>
          </cell>
          <cell r="P45">
            <v>245.37580080000001</v>
          </cell>
          <cell r="Q45">
            <v>283.6534102</v>
          </cell>
          <cell r="R45">
            <v>323.93313119999999</v>
          </cell>
          <cell r="S45">
            <v>365.78372300000001</v>
          </cell>
          <cell r="T45">
            <v>408.90822129999998</v>
          </cell>
          <cell r="U45">
            <v>453.09626700000001</v>
          </cell>
          <cell r="V45">
            <v>498.17367189999999</v>
          </cell>
          <cell r="W45">
            <v>543.97412510000004</v>
          </cell>
          <cell r="X45">
            <v>590.31356489999996</v>
          </cell>
          <cell r="Y45">
            <v>636.96098900000004</v>
          </cell>
          <cell r="Z45">
            <v>683.59161310000002</v>
          </cell>
          <cell r="AA45">
            <v>729.79871809999997</v>
          </cell>
          <cell r="AB45">
            <v>775.10827700000004</v>
          </cell>
          <cell r="AC45">
            <v>819.01067799999998</v>
          </cell>
          <cell r="AD45">
            <v>860.97992750000003</v>
          </cell>
          <cell r="AE45">
            <v>900.5227754</v>
          </cell>
          <cell r="AF45">
            <v>937.17847140000003</v>
          </cell>
          <cell r="AG45">
            <v>970.53025019999995</v>
          </cell>
          <cell r="AH45">
            <v>1000.222227</v>
          </cell>
          <cell r="AI45">
            <v>1025.973348</v>
          </cell>
          <cell r="AJ45">
            <v>1047.5875269999999</v>
          </cell>
          <cell r="AK45">
            <v>1064.9581760000001</v>
          </cell>
        </row>
        <row r="46">
          <cell r="A46" t="str">
            <v>auto_ca_cgas_2</v>
          </cell>
          <cell r="B46">
            <v>0.42568169729999999</v>
          </cell>
          <cell r="C46">
            <v>0.44862641349999999</v>
          </cell>
          <cell r="D46">
            <v>0.4741544801</v>
          </cell>
          <cell r="E46">
            <v>0.49974814449999999</v>
          </cell>
          <cell r="F46">
            <v>0.52445425720000005</v>
          </cell>
          <cell r="G46">
            <v>0.54746152150000005</v>
          </cell>
          <cell r="H46">
            <v>0.56787855679999999</v>
          </cell>
          <cell r="I46">
            <v>0.5821698394</v>
          </cell>
          <cell r="J46">
            <v>0.58798630569999999</v>
          </cell>
          <cell r="K46">
            <v>0.58367061730000003</v>
          </cell>
          <cell r="L46">
            <v>0.56914737130000004</v>
          </cell>
          <cell r="M46">
            <v>0.54718087429999995</v>
          </cell>
          <cell r="N46">
            <v>0.52118817799999995</v>
          </cell>
          <cell r="O46">
            <v>0.49350858869999997</v>
          </cell>
          <cell r="P46">
            <v>0.4655846039</v>
          </cell>
          <cell r="Q46">
            <v>0.43824033670000001</v>
          </cell>
          <cell r="R46">
            <v>0.41192218009999998</v>
          </cell>
          <cell r="S46">
            <v>0.38684369239999999</v>
          </cell>
          <cell r="T46">
            <v>0.36308888080000001</v>
          </cell>
          <cell r="U46">
            <v>0.3406695294</v>
          </cell>
          <cell r="V46">
            <v>0.3195583286</v>
          </cell>
          <cell r="W46">
            <v>0.29970747320000002</v>
          </cell>
          <cell r="X46">
            <v>0.281059106</v>
          </cell>
          <cell r="Y46">
            <v>0.26355118900000002</v>
          </cell>
          <cell r="Z46">
            <v>0.2471207953</v>
          </cell>
          <cell r="AA46">
            <v>0.23170597779999999</v>
          </cell>
          <cell r="AB46">
            <v>0.21724679190000001</v>
          </cell>
          <cell r="AC46">
            <v>0.20368585289999999</v>
          </cell>
          <cell r="AD46">
            <v>0.19096860500000001</v>
          </cell>
          <cell r="AE46">
            <v>0.17904340369999999</v>
          </cell>
          <cell r="AF46">
            <v>0.1678614984</v>
          </cell>
          <cell r="AG46">
            <v>0.15737696009999999</v>
          </cell>
          <cell r="AH46">
            <v>0.14754657800000001</v>
          </cell>
          <cell r="AI46">
            <v>0.13832973870000001</v>
          </cell>
          <cell r="AJ46">
            <v>0.12968829539999999</v>
          </cell>
          <cell r="AK46">
            <v>0.1215864342</v>
          </cell>
        </row>
        <row r="47">
          <cell r="A47" t="str">
            <v>auto_ca_cgas_0</v>
          </cell>
          <cell r="B47">
            <v>0.42568169729999999</v>
          </cell>
          <cell r="C47">
            <v>0.44862641349999999</v>
          </cell>
          <cell r="D47">
            <v>0.4741544801</v>
          </cell>
          <cell r="E47">
            <v>0.49974814449999999</v>
          </cell>
          <cell r="F47">
            <v>0.52445425720000005</v>
          </cell>
          <cell r="G47">
            <v>0.54746152150000005</v>
          </cell>
          <cell r="H47">
            <v>0.56674272780000001</v>
          </cell>
          <cell r="I47">
            <v>0.58123304730000003</v>
          </cell>
          <cell r="J47">
            <v>0.58980980400000005</v>
          </cell>
          <cell r="K47">
            <v>0.59151053300000001</v>
          </cell>
          <cell r="L47">
            <v>0.585879131</v>
          </cell>
          <cell r="M47">
            <v>0.57322511909999996</v>
          </cell>
          <cell r="N47">
            <v>0.55460224130000002</v>
          </cell>
          <cell r="O47">
            <v>0.53154200880000002</v>
          </cell>
          <cell r="P47">
            <v>0.50569838300000003</v>
          </cell>
          <cell r="Q47">
            <v>0.4785368197</v>
          </cell>
          <cell r="R47">
            <v>0.45132390999999999</v>
          </cell>
          <cell r="S47">
            <v>0.42483419379999998</v>
          </cell>
          <cell r="T47">
            <v>0.3994279852</v>
          </cell>
          <cell r="U47">
            <v>0.37525729990000001</v>
          </cell>
          <cell r="V47">
            <v>0.35236977889999999</v>
          </cell>
          <cell r="W47">
            <v>0.33075984120000002</v>
          </cell>
          <cell r="X47">
            <v>0.31039436040000001</v>
          </cell>
          <cell r="Y47">
            <v>0.29122600599999998</v>
          </cell>
          <cell r="Z47">
            <v>0.27320045949999999</v>
          </cell>
          <cell r="AA47">
            <v>0.25626052830000001</v>
          </cell>
          <cell r="AB47">
            <v>0.2403484974</v>
          </cell>
          <cell r="AC47">
            <v>0.2254075026</v>
          </cell>
          <cell r="AD47">
            <v>0.2113823158</v>
          </cell>
          <cell r="AE47">
            <v>0.19821979819999999</v>
          </cell>
          <cell r="AF47">
            <v>0.1858691398</v>
          </cell>
          <cell r="AG47">
            <v>0.17428197840000001</v>
          </cell>
          <cell r="AH47">
            <v>0.16341243329999999</v>
          </cell>
          <cell r="AI47">
            <v>0.1532170839</v>
          </cell>
          <cell r="AJ47">
            <v>0.1436549114</v>
          </cell>
          <cell r="AK47">
            <v>0.13468721989999999</v>
          </cell>
        </row>
        <row r="48">
          <cell r="A48" t="str">
            <v>auto_cb_cgas_2</v>
          </cell>
          <cell r="B48">
            <v>0.49500522540000003</v>
          </cell>
          <cell r="C48">
            <v>0.51145848370000002</v>
          </cell>
          <cell r="D48">
            <v>0.5304889626</v>
          </cell>
          <cell r="E48">
            <v>0.54958364209999999</v>
          </cell>
          <cell r="F48">
            <v>0.5677740657</v>
          </cell>
          <cell r="G48">
            <v>0.58432322709999995</v>
          </cell>
          <cell r="H48">
            <v>0.59840484640000002</v>
          </cell>
          <cell r="I48">
            <v>0.60656746620000002</v>
          </cell>
          <cell r="J48">
            <v>0.60639995629999999</v>
          </cell>
          <cell r="K48">
            <v>0.59662315840000002</v>
          </cell>
          <cell r="L48">
            <v>0.57767382030000003</v>
          </cell>
          <cell r="M48">
            <v>0.55249107539999998</v>
          </cell>
          <cell r="N48">
            <v>0.52430503139999995</v>
          </cell>
          <cell r="O48">
            <v>0.4951887539</v>
          </cell>
          <cell r="P48">
            <v>0.46634692389999999</v>
          </cell>
          <cell r="Q48">
            <v>0.43842653980000001</v>
          </cell>
          <cell r="R48">
            <v>0.41175109850000002</v>
          </cell>
          <cell r="S48">
            <v>0.3864550316</v>
          </cell>
          <cell r="T48">
            <v>0.36257175330000002</v>
          </cell>
          <cell r="U48">
            <v>0.3400809964</v>
          </cell>
          <cell r="V48">
            <v>0.31893507170000002</v>
          </cell>
          <cell r="W48">
            <v>0.29907310920000002</v>
          </cell>
          <cell r="X48">
            <v>0.28042878770000002</v>
          </cell>
          <cell r="Y48">
            <v>0.2629345293</v>
          </cell>
          <cell r="Z48">
            <v>0.24652375600000001</v>
          </cell>
          <cell r="AA48">
            <v>0.23113209840000001</v>
          </cell>
          <cell r="AB48">
            <v>0.21669800310000001</v>
          </cell>
          <cell r="AC48">
            <v>0.20316301319999999</v>
          </cell>
          <cell r="AD48">
            <v>0.1904718557</v>
          </cell>
          <cell r="AE48">
            <v>0.17857241039999999</v>
          </cell>
          <cell r="AF48">
            <v>0.16741561620000001</v>
          </cell>
          <cell r="AG48">
            <v>0.156955347</v>
          </cell>
          <cell r="AH48">
            <v>0.14714827259999999</v>
          </cell>
          <cell r="AI48">
            <v>0.13795371270000001</v>
          </cell>
          <cell r="AJ48">
            <v>0.12933348950000001</v>
          </cell>
          <cell r="AK48">
            <v>0.1212517836</v>
          </cell>
        </row>
        <row r="49">
          <cell r="A49" t="str">
            <v>auto_cb_cgas_0</v>
          </cell>
          <cell r="B49">
            <v>0.49500522540000003</v>
          </cell>
          <cell r="C49">
            <v>0.51145848370000002</v>
          </cell>
          <cell r="D49">
            <v>0.5304889626</v>
          </cell>
          <cell r="E49">
            <v>0.54958364209999999</v>
          </cell>
          <cell r="F49">
            <v>0.5677740657</v>
          </cell>
          <cell r="G49">
            <v>0.58432322709999995</v>
          </cell>
          <cell r="H49">
            <v>0.59729824580000002</v>
          </cell>
          <cell r="I49">
            <v>0.60559277489999996</v>
          </cell>
          <cell r="J49">
            <v>0.60812802079999995</v>
          </cell>
          <cell r="K49">
            <v>0.60409381200000001</v>
          </cell>
          <cell r="L49">
            <v>0.59327064129999996</v>
          </cell>
          <cell r="M49">
            <v>0.57621109920000002</v>
          </cell>
          <cell r="N49">
            <v>0.55413032510000004</v>
          </cell>
          <cell r="O49">
            <v>0.52858718449999997</v>
          </cell>
          <cell r="P49">
            <v>0.50113409799999997</v>
          </cell>
          <cell r="Q49">
            <v>0.47305879000000001</v>
          </cell>
          <cell r="R49">
            <v>0.44539381010000001</v>
          </cell>
          <cell r="S49">
            <v>0.41873136649999998</v>
          </cell>
          <cell r="T49">
            <v>0.39332263639999998</v>
          </cell>
          <cell r="U49">
            <v>0.36925443279999998</v>
          </cell>
          <cell r="V49">
            <v>0.34653447240000002</v>
          </cell>
          <cell r="W49">
            <v>0.32513194810000001</v>
          </cell>
          <cell r="X49">
            <v>0.30499731520000001</v>
          </cell>
          <cell r="Y49">
            <v>0.28607230560000002</v>
          </cell>
          <cell r="Z49">
            <v>0.26829519819999997</v>
          </cell>
          <cell r="AA49">
            <v>0.25160372669999997</v>
          </cell>
          <cell r="AB49">
            <v>0.23593668100000001</v>
          </cell>
          <cell r="AC49">
            <v>0.22123479430000001</v>
          </cell>
          <cell r="AD49">
            <v>0.20744121230000001</v>
          </cell>
          <cell r="AE49">
            <v>0.19450172860000001</v>
          </cell>
          <cell r="AF49">
            <v>0.18236487400000001</v>
          </cell>
          <cell r="AG49">
            <v>0.1709819239</v>
          </cell>
          <cell r="AH49">
            <v>0.16030685189999999</v>
          </cell>
          <cell r="AI49">
            <v>0.15029624990000001</v>
          </cell>
          <cell r="AJ49">
            <v>0.14090922750000001</v>
          </cell>
          <cell r="AK49">
            <v>0.13210730209999999</v>
          </cell>
        </row>
        <row r="50">
          <cell r="A50" t="str">
            <v>auto_cc_cgas_2</v>
          </cell>
          <cell r="B50">
            <v>0.40659851759999999</v>
          </cell>
          <cell r="C50">
            <v>0.41384140190000002</v>
          </cell>
          <cell r="D50">
            <v>0.42292284460000001</v>
          </cell>
          <cell r="E50">
            <v>0.43202865759999998</v>
          </cell>
          <cell r="F50">
            <v>0.44044999159999998</v>
          </cell>
          <cell r="G50">
            <v>0.44771517979999997</v>
          </cell>
          <cell r="H50">
            <v>0.4532819273</v>
          </cell>
          <cell r="I50">
            <v>0.45473143459999998</v>
          </cell>
          <cell r="J50">
            <v>0.45031288679999998</v>
          </cell>
          <cell r="K50">
            <v>0.43941382039999999</v>
          </cell>
          <cell r="L50">
            <v>0.42271849989999999</v>
          </cell>
          <cell r="M50">
            <v>0.4024252056</v>
          </cell>
          <cell r="N50">
            <v>0.38068225970000003</v>
          </cell>
          <cell r="O50">
            <v>0.35877376640000003</v>
          </cell>
          <cell r="P50">
            <v>0.33739621710000001</v>
          </cell>
          <cell r="Q50">
            <v>0.31689530510000002</v>
          </cell>
          <cell r="R50">
            <v>0.29742435319999999</v>
          </cell>
          <cell r="S50">
            <v>0.2790306609</v>
          </cell>
          <cell r="T50">
            <v>0.26170763279999998</v>
          </cell>
          <cell r="U50">
            <v>0.24542176660000001</v>
          </cell>
          <cell r="V50">
            <v>0.23012696569999999</v>
          </cell>
          <cell r="W50">
            <v>0.2157719944</v>
          </cell>
          <cell r="X50">
            <v>0.2023043595</v>
          </cell>
          <cell r="Y50">
            <v>0.18967231809999999</v>
          </cell>
          <cell r="Z50">
            <v>0.1778258929</v>
          </cell>
          <cell r="AA50">
            <v>0.16671736470000001</v>
          </cell>
          <cell r="AB50">
            <v>0.15630147580000001</v>
          </cell>
          <cell r="AC50">
            <v>0.14653548129999999</v>
          </cell>
          <cell r="AD50">
            <v>0.1373791151</v>
          </cell>
          <cell r="AE50">
            <v>0.12879450670000001</v>
          </cell>
          <cell r="AF50">
            <v>0.1207460749</v>
          </cell>
          <cell r="AG50">
            <v>0.11320041240000001</v>
          </cell>
          <cell r="AH50">
            <v>0.10612616699999999</v>
          </cell>
          <cell r="AI50">
            <v>9.9493924900000003E-2</v>
          </cell>
          <cell r="AJ50">
            <v>9.3276096099999997E-2</v>
          </cell>
          <cell r="AK50">
            <v>8.7446805099999997E-2</v>
          </cell>
        </row>
        <row r="51">
          <cell r="A51" t="str">
            <v>auto_cc_cgas_0</v>
          </cell>
          <cell r="B51">
            <v>0.40659851759999999</v>
          </cell>
          <cell r="C51">
            <v>0.41384140190000002</v>
          </cell>
          <cell r="D51">
            <v>0.42292284460000001</v>
          </cell>
          <cell r="E51">
            <v>0.43202865759999998</v>
          </cell>
          <cell r="F51">
            <v>0.44044999159999998</v>
          </cell>
          <cell r="G51">
            <v>0.44771517979999997</v>
          </cell>
          <cell r="H51">
            <v>0.45250475480000002</v>
          </cell>
          <cell r="I51">
            <v>0.45400023169999998</v>
          </cell>
          <cell r="J51">
            <v>0.45147302620000002</v>
          </cell>
          <cell r="K51">
            <v>0.44447123490000001</v>
          </cell>
          <cell r="L51">
            <v>0.43302320129999999</v>
          </cell>
          <cell r="M51">
            <v>0.41770060419999999</v>
          </cell>
          <cell r="N51">
            <v>0.39947369929999998</v>
          </cell>
          <cell r="O51">
            <v>0.37945353749999999</v>
          </cell>
          <cell r="P51">
            <v>0.35865766040000002</v>
          </cell>
          <cell r="Q51">
            <v>0.33787073220000002</v>
          </cell>
          <cell r="R51">
            <v>0.31767086309999998</v>
          </cell>
          <cell r="S51">
            <v>0.29836302440000001</v>
          </cell>
          <cell r="T51">
            <v>0.28005853250000001</v>
          </cell>
          <cell r="U51">
            <v>0.26277977549999998</v>
          </cell>
          <cell r="V51">
            <v>0.2465084417</v>
          </cell>
          <cell r="W51">
            <v>0.231207634</v>
          </cell>
          <cell r="X51">
            <v>0.2168323073</v>
          </cell>
          <cell r="Y51">
            <v>0.2033343849</v>
          </cell>
          <cell r="Z51">
            <v>0.1906653583</v>
          </cell>
          <cell r="AA51">
            <v>0.1787776573</v>
          </cell>
          <cell r="AB51">
            <v>0.1676253597</v>
          </cell>
          <cell r="AC51">
            <v>0.15716454839999999</v>
          </cell>
          <cell r="AD51">
            <v>0.14735346730000001</v>
          </cell>
          <cell r="AE51">
            <v>0.13815256719999999</v>
          </cell>
          <cell r="AF51">
            <v>0.12952448620000001</v>
          </cell>
          <cell r="AG51">
            <v>0.1214339943</v>
          </cell>
          <cell r="AH51">
            <v>0.11384791599999999</v>
          </cell>
          <cell r="AI51">
            <v>0.10673504139999999</v>
          </cell>
          <cell r="AJ51">
            <v>0.10006603159999999</v>
          </cell>
          <cell r="AK51">
            <v>9.3813322000000005E-2</v>
          </cell>
        </row>
        <row r="52">
          <cell r="A52" t="str">
            <v>auto_cd_cgas_2</v>
          </cell>
          <cell r="B52">
            <v>0.2495444651</v>
          </cell>
          <cell r="C52">
            <v>0.25216206289999998</v>
          </cell>
          <cell r="D52">
            <v>0.25602607620000001</v>
          </cell>
          <cell r="E52">
            <v>0.26023134279999999</v>
          </cell>
          <cell r="F52">
            <v>0.26446034010000002</v>
          </cell>
          <cell r="G52">
            <v>0.26841050999999999</v>
          </cell>
          <cell r="H52">
            <v>0.2717553633</v>
          </cell>
          <cell r="I52">
            <v>0.2733352107</v>
          </cell>
          <cell r="J52">
            <v>0.27277008060000002</v>
          </cell>
          <cell r="K52">
            <v>0.2696756656</v>
          </cell>
          <cell r="L52">
            <v>0.26379937019999999</v>
          </cell>
          <cell r="M52">
            <v>0.2555545615</v>
          </cell>
          <cell r="N52">
            <v>0.2456506185</v>
          </cell>
          <cell r="O52">
            <v>0.23471173740000001</v>
          </cell>
          <cell r="P52">
            <v>0.22323903989999999</v>
          </cell>
          <cell r="Q52">
            <v>0.2116035949</v>
          </cell>
          <cell r="R52">
            <v>0.20007229630000001</v>
          </cell>
          <cell r="S52">
            <v>0.18881689339999999</v>
          </cell>
          <cell r="T52">
            <v>0.1779465881</v>
          </cell>
          <cell r="U52">
            <v>0.16752603939999999</v>
          </cell>
          <cell r="V52">
            <v>0.15758956390000001</v>
          </cell>
          <cell r="W52">
            <v>0.14815114460000001</v>
          </cell>
          <cell r="X52">
            <v>0.13921134439999999</v>
          </cell>
          <cell r="Y52">
            <v>0.13076196239999999</v>
          </cell>
          <cell r="Z52">
            <v>0.1227890839</v>
          </cell>
          <cell r="AA52">
            <v>0.1152752397</v>
          </cell>
          <cell r="AB52">
            <v>0.1082008148</v>
          </cell>
          <cell r="AC52">
            <v>0.1015451096</v>
          </cell>
          <cell r="AD52">
            <v>9.5287085499999993E-2</v>
          </cell>
          <cell r="AE52">
            <v>8.9405801199999996E-2</v>
          </cell>
          <cell r="AF52">
            <v>8.3880690199999997E-2</v>
          </cell>
          <cell r="AG52">
            <v>7.8691764999999997E-2</v>
          </cell>
          <cell r="AH52">
            <v>7.3819765100000004E-2</v>
          </cell>
          <cell r="AI52">
            <v>6.9246254699999996E-2</v>
          </cell>
          <cell r="AJ52">
            <v>6.4953662300000006E-2</v>
          </cell>
          <cell r="AK52">
            <v>6.0925291499999999E-2</v>
          </cell>
        </row>
        <row r="53">
          <cell r="A53" t="str">
            <v>auto_cd_cgas_0</v>
          </cell>
          <cell r="B53">
            <v>0.2495444651</v>
          </cell>
          <cell r="C53">
            <v>0.25216206289999998</v>
          </cell>
          <cell r="D53">
            <v>0.25602607620000001</v>
          </cell>
          <cell r="E53">
            <v>0.26023134279999999</v>
          </cell>
          <cell r="F53">
            <v>0.26446034010000002</v>
          </cell>
          <cell r="G53">
            <v>0.26841050999999999</v>
          </cell>
          <cell r="H53">
            <v>0.27137192300000001</v>
          </cell>
          <cell r="I53">
            <v>0.27308420950000001</v>
          </cell>
          <cell r="J53">
            <v>0.27329958970000001</v>
          </cell>
          <cell r="K53">
            <v>0.27179071910000002</v>
          </cell>
          <cell r="L53">
            <v>0.26839590270000002</v>
          </cell>
          <cell r="M53">
            <v>0.26307825019999997</v>
          </cell>
          <cell r="N53">
            <v>0.25594641530000001</v>
          </cell>
          <cell r="O53">
            <v>0.24724076079999999</v>
          </cell>
          <cell r="P53">
            <v>0.23729913080000001</v>
          </cell>
          <cell r="Q53">
            <v>0.2264993351</v>
          </cell>
          <cell r="R53">
            <v>0.21531763640000001</v>
          </cell>
          <cell r="S53">
            <v>0.2041123067</v>
          </cell>
          <cell r="T53">
            <v>0.1930999977</v>
          </cell>
          <cell r="U53">
            <v>0.1824084285</v>
          </cell>
          <cell r="V53">
            <v>0.17211093029999999</v>
          </cell>
          <cell r="W53">
            <v>0.1622474397</v>
          </cell>
          <cell r="X53">
            <v>0.15283698070000001</v>
          </cell>
          <cell r="Y53">
            <v>0.14388513859999999</v>
          </cell>
          <cell r="Z53">
            <v>0.13538865059999999</v>
          </cell>
          <cell r="AA53">
            <v>0.1273385594</v>
          </cell>
          <cell r="AB53">
            <v>0.1197222313</v>
          </cell>
          <cell r="AC53">
            <v>0.1125247228</v>
          </cell>
          <cell r="AD53">
            <v>0.1057296533</v>
          </cell>
          <cell r="AE53">
            <v>9.9319839800000004E-2</v>
          </cell>
          <cell r="AF53">
            <v>9.3277704000000003E-2</v>
          </cell>
          <cell r="AG53">
            <v>8.7585609699999997E-2</v>
          </cell>
          <cell r="AH53">
            <v>8.2226113200000006E-2</v>
          </cell>
          <cell r="AI53">
            <v>7.7182134700000002E-2</v>
          </cell>
          <cell r="AJ53">
            <v>7.2437072500000005E-2</v>
          </cell>
          <cell r="AK53">
            <v>6.7974876899999995E-2</v>
          </cell>
        </row>
        <row r="54">
          <cell r="A54" t="str">
            <v>auto_ce_cgas_2</v>
          </cell>
          <cell r="B54">
            <v>0.15020246549999999</v>
          </cell>
          <cell r="C54">
            <v>0.15196613950000001</v>
          </cell>
          <cell r="D54">
            <v>0.1544077633</v>
          </cell>
          <cell r="E54">
            <v>0.1569611484</v>
          </cell>
          <cell r="F54">
            <v>0.1594315114</v>
          </cell>
          <cell r="G54">
            <v>0.16164718650000001</v>
          </cell>
          <cell r="H54">
            <v>0.1634224682</v>
          </cell>
          <cell r="I54">
            <v>0.16406783959999999</v>
          </cell>
          <cell r="J54">
            <v>0.16337545349999999</v>
          </cell>
          <cell r="K54">
            <v>0.1611788763</v>
          </cell>
          <cell r="L54">
            <v>0.15739384670000001</v>
          </cell>
          <cell r="M54">
            <v>0.15229186419999999</v>
          </cell>
          <cell r="N54">
            <v>0.14628020459999999</v>
          </cell>
          <cell r="O54">
            <v>0.13970872979999999</v>
          </cell>
          <cell r="P54">
            <v>0.13285581739999999</v>
          </cell>
          <cell r="Q54">
            <v>0.12592728880000001</v>
          </cell>
          <cell r="R54">
            <v>0.1190717949</v>
          </cell>
          <cell r="S54">
            <v>0.112385148</v>
          </cell>
          <cell r="T54">
            <v>0.1059286691</v>
          </cell>
          <cell r="U54">
            <v>9.9738909400000006E-2</v>
          </cell>
          <cell r="V54">
            <v>9.3835401799999996E-2</v>
          </cell>
          <cell r="W54">
            <v>8.8226173399999996E-2</v>
          </cell>
          <cell r="X54">
            <v>8.2911588499999994E-2</v>
          </cell>
          <cell r="Y54">
            <v>7.7886961300000002E-2</v>
          </cell>
          <cell r="Z54">
            <v>7.31442707E-2</v>
          </cell>
          <cell r="AA54">
            <v>6.8673394900000004E-2</v>
          </cell>
          <cell r="AB54">
            <v>6.4462916699999998E-2</v>
          </cell>
          <cell r="AC54">
            <v>6.0500745699999997E-2</v>
          </cell>
          <cell r="AD54">
            <v>5.6774561899999999E-2</v>
          </cell>
          <cell r="AE54">
            <v>5.3272076799999998E-2</v>
          </cell>
          <cell r="AF54">
            <v>4.9981196200000001E-2</v>
          </cell>
          <cell r="AG54">
            <v>4.6890143400000001E-2</v>
          </cell>
          <cell r="AH54">
            <v>4.3987549899999999E-2</v>
          </cell>
          <cell r="AI54">
            <v>4.1262518499999998E-2</v>
          </cell>
          <cell r="AJ54">
            <v>3.8704650700000003E-2</v>
          </cell>
          <cell r="AK54">
            <v>3.63040554E-2</v>
          </cell>
        </row>
        <row r="55">
          <cell r="A55" t="str">
            <v>auto_ce_cgas_0</v>
          </cell>
          <cell r="B55">
            <v>0.15020246549999999</v>
          </cell>
          <cell r="C55">
            <v>0.15196613950000001</v>
          </cell>
          <cell r="D55">
            <v>0.1544077633</v>
          </cell>
          <cell r="E55">
            <v>0.1569611484</v>
          </cell>
          <cell r="F55">
            <v>0.1594315114</v>
          </cell>
          <cell r="G55">
            <v>0.16164718650000001</v>
          </cell>
          <cell r="H55">
            <v>0.16319101359999999</v>
          </cell>
          <cell r="I55">
            <v>0.16391272370000001</v>
          </cell>
          <cell r="J55">
            <v>0.1636838414</v>
          </cell>
          <cell r="K55">
            <v>0.16240028679999999</v>
          </cell>
          <cell r="L55">
            <v>0.16000317550000001</v>
          </cell>
          <cell r="M55">
            <v>0.1565056571</v>
          </cell>
          <cell r="N55">
            <v>0.1519972141</v>
          </cell>
          <cell r="O55">
            <v>0.14663112340000001</v>
          </cell>
          <cell r="P55">
            <v>0.14060455660000001</v>
          </cell>
          <cell r="Q55">
            <v>0.1341290604</v>
          </cell>
          <cell r="R55">
            <v>0.12746691969999999</v>
          </cell>
          <cell r="S55">
            <v>0.1208133176</v>
          </cell>
          <cell r="T55">
            <v>0.11428659970000001</v>
          </cell>
          <cell r="U55">
            <v>0.10795663079999999</v>
          </cell>
          <cell r="V55">
            <v>0.1018634508</v>
          </cell>
          <cell r="W55">
            <v>9.60287056E-2</v>
          </cell>
          <cell r="X55">
            <v>9.04624807E-2</v>
          </cell>
          <cell r="Y55">
            <v>8.5167407799999997E-2</v>
          </cell>
          <cell r="Z55">
            <v>8.0141187799999999E-2</v>
          </cell>
          <cell r="AA55">
            <v>7.5378353499999995E-2</v>
          </cell>
          <cell r="AB55">
            <v>7.0871393399999996E-2</v>
          </cell>
          <cell r="AC55">
            <v>6.6611514600000005E-2</v>
          </cell>
          <cell r="AD55">
            <v>6.2589124600000004E-2</v>
          </cell>
          <cell r="AE55">
            <v>5.8794186900000003E-2</v>
          </cell>
          <cell r="AF55">
            <v>5.5216441300000002E-2</v>
          </cell>
          <cell r="AG55">
            <v>5.1845589099999999E-2</v>
          </cell>
          <cell r="AH55">
            <v>4.8671432600000002E-2</v>
          </cell>
          <cell r="AI55">
            <v>4.5683971900000002E-2</v>
          </cell>
          <cell r="AJ55">
            <v>4.2873469900000002E-2</v>
          </cell>
          <cell r="AK55">
            <v>4.0230496800000001E-2</v>
          </cell>
        </row>
        <row r="56">
          <cell r="A56" t="str">
            <v>auto_cf_cgas_2</v>
          </cell>
          <cell r="B56">
            <v>7.4609436000000001E-2</v>
          </cell>
          <cell r="C56">
            <v>7.5284084900000006E-2</v>
          </cell>
          <cell r="D56">
            <v>7.6209084600000004E-2</v>
          </cell>
          <cell r="E56">
            <v>7.7112383000000007E-2</v>
          </cell>
          <cell r="F56">
            <v>7.7909011700000003E-2</v>
          </cell>
          <cell r="G56">
            <v>7.8524937399999994E-2</v>
          </cell>
          <cell r="H56">
            <v>7.8886141600000001E-2</v>
          </cell>
          <cell r="I56">
            <v>7.87231189E-2</v>
          </cell>
          <cell r="J56">
            <v>7.8038625099999995E-2</v>
          </cell>
          <cell r="K56">
            <v>7.6833284399999993E-2</v>
          </cell>
          <cell r="L56">
            <v>7.5103767799999999E-2</v>
          </cell>
          <cell r="M56">
            <v>7.2937053399999993E-2</v>
          </cell>
          <cell r="N56">
            <v>7.0436943900000007E-2</v>
          </cell>
          <cell r="O56">
            <v>6.7700322800000004E-2</v>
          </cell>
          <cell r="P56">
            <v>6.4814302300000001E-2</v>
          </cell>
          <cell r="Q56">
            <v>6.1851554500000003E-2</v>
          </cell>
          <cell r="R56">
            <v>5.887278E-2</v>
          </cell>
          <cell r="S56">
            <v>5.59203089E-2</v>
          </cell>
          <cell r="T56">
            <v>5.3025373000000001E-2</v>
          </cell>
          <cell r="U56">
            <v>5.0209924900000001E-2</v>
          </cell>
          <cell r="V56">
            <v>4.74887622E-2</v>
          </cell>
          <cell r="W56">
            <v>4.48713169E-2</v>
          </cell>
          <cell r="X56">
            <v>4.2363110099999997E-2</v>
          </cell>
          <cell r="Y56">
            <v>3.99668512E-2</v>
          </cell>
          <cell r="Z56">
            <v>3.7683110700000001E-2</v>
          </cell>
          <cell r="AA56">
            <v>3.5510940599999999E-2</v>
          </cell>
          <cell r="AB56">
            <v>3.3448216400000001E-2</v>
          </cell>
          <cell r="AC56">
            <v>3.1492034299999999E-2</v>
          </cell>
          <cell r="AD56">
            <v>2.96390627E-2</v>
          </cell>
          <cell r="AE56">
            <v>2.78857029E-2</v>
          </cell>
          <cell r="AF56">
            <v>2.62281389E-2</v>
          </cell>
          <cell r="AG56">
            <v>2.4662397199999998E-2</v>
          </cell>
          <cell r="AH56">
            <v>2.3184427800000001E-2</v>
          </cell>
          <cell r="AI56">
            <v>2.17901886E-2</v>
          </cell>
          <cell r="AJ56">
            <v>2.0475687199999999E-2</v>
          </cell>
          <cell r="AK56">
            <v>1.92370036E-2</v>
          </cell>
        </row>
        <row r="57">
          <cell r="A57" t="str">
            <v>auto_cf_cgas_0</v>
          </cell>
          <cell r="B57">
            <v>7.4609436000000001E-2</v>
          </cell>
          <cell r="C57">
            <v>7.5284084900000006E-2</v>
          </cell>
          <cell r="D57">
            <v>7.6209084600000004E-2</v>
          </cell>
          <cell r="E57">
            <v>7.7112383000000007E-2</v>
          </cell>
          <cell r="F57">
            <v>7.7909011700000003E-2</v>
          </cell>
          <cell r="G57">
            <v>7.8524937399999994E-2</v>
          </cell>
          <cell r="H57">
            <v>7.8789241400000001E-2</v>
          </cell>
          <cell r="I57">
            <v>7.8671592799999995E-2</v>
          </cell>
          <cell r="J57">
            <v>7.8159347599999998E-2</v>
          </cell>
          <cell r="K57">
            <v>7.72496872E-2</v>
          </cell>
          <cell r="L57">
            <v>7.5948525500000003E-2</v>
          </cell>
          <cell r="M57">
            <v>7.4276256700000001E-2</v>
          </cell>
          <cell r="N57">
            <v>7.2267076099999994E-2</v>
          </cell>
          <cell r="O57">
            <v>6.9966003799999996E-2</v>
          </cell>
          <cell r="P57">
            <v>6.7426998799999999E-2</v>
          </cell>
          <cell r="Q57">
            <v>6.4708360300000003E-2</v>
          </cell>
          <cell r="R57">
            <v>6.1901422400000003E-2</v>
          </cell>
          <cell r="S57">
            <v>5.9072479999999997E-2</v>
          </cell>
          <cell r="T57">
            <v>5.6265805500000002E-2</v>
          </cell>
          <cell r="U57">
            <v>5.3510429399999997E-2</v>
          </cell>
          <cell r="V57">
            <v>5.0825125899999997E-2</v>
          </cell>
          <cell r="W57">
            <v>4.8221892299999999E-2</v>
          </cell>
          <cell r="X57">
            <v>4.5708177799999999E-2</v>
          </cell>
          <cell r="Y57">
            <v>4.3288276100000002E-2</v>
          </cell>
          <cell r="Z57">
            <v>4.0964164599999998E-2</v>
          </cell>
          <cell r="AA57">
            <v>3.8736317200000002E-2</v>
          </cell>
          <cell r="AB57">
            <v>3.6604215900000001E-2</v>
          </cell>
          <cell r="AC57">
            <v>3.4566715300000002E-2</v>
          </cell>
          <cell r="AD57">
            <v>3.2622224300000002E-2</v>
          </cell>
          <cell r="AE57">
            <v>3.0768877100000001E-2</v>
          </cell>
          <cell r="AF57">
            <v>2.9004552400000001E-2</v>
          </cell>
          <cell r="AG57">
            <v>2.7326923600000001E-2</v>
          </cell>
          <cell r="AH57">
            <v>2.5733510099999999E-2</v>
          </cell>
          <cell r="AI57">
            <v>2.4221712699999998E-2</v>
          </cell>
          <cell r="AJ57">
            <v>2.27888404E-2</v>
          </cell>
          <cell r="AK57">
            <v>2.1432129899999999E-2</v>
          </cell>
        </row>
        <row r="58">
          <cell r="A58" t="str">
            <v>auto_cg_cgas_2</v>
          </cell>
          <cell r="B58">
            <v>0.13435819299999999</v>
          </cell>
          <cell r="C58">
            <v>0.13584232709999999</v>
          </cell>
          <cell r="D58">
            <v>0.13758028750000001</v>
          </cell>
          <cell r="E58">
            <v>0.13905288930000001</v>
          </cell>
          <cell r="F58">
            <v>0.14011449610000001</v>
          </cell>
          <cell r="G58">
            <v>0.14066556529999999</v>
          </cell>
          <cell r="H58">
            <v>0.1406114718</v>
          </cell>
          <cell r="I58">
            <v>0.13952197969999999</v>
          </cell>
          <cell r="J58">
            <v>0.13743153869999999</v>
          </cell>
          <cell r="K58">
            <v>0.13441125200000001</v>
          </cell>
          <cell r="L58">
            <v>0.13053336809999999</v>
          </cell>
          <cell r="M58">
            <v>0.12599817369999999</v>
          </cell>
          <cell r="N58">
            <v>0.1210100648</v>
          </cell>
          <cell r="O58">
            <v>0.1157428935</v>
          </cell>
          <cell r="P58">
            <v>0.11034004629999999</v>
          </cell>
          <cell r="Q58">
            <v>0.1049128824</v>
          </cell>
          <cell r="R58">
            <v>9.9548514800000001E-2</v>
          </cell>
          <cell r="S58">
            <v>9.4304175399999995E-2</v>
          </cell>
          <cell r="T58">
            <v>8.9219329099999994E-2</v>
          </cell>
          <cell r="U58">
            <v>8.4319460299999996E-2</v>
          </cell>
          <cell r="V58">
            <v>7.9619719699999994E-2</v>
          </cell>
          <cell r="W58">
            <v>7.5127791499999999E-2</v>
          </cell>
          <cell r="X58">
            <v>7.0846118700000002E-2</v>
          </cell>
          <cell r="Y58">
            <v>6.6773568399999997E-2</v>
          </cell>
          <cell r="Z58">
            <v>6.2906396399999995E-2</v>
          </cell>
          <cell r="AA58">
            <v>5.9239148899999997E-2</v>
          </cell>
          <cell r="AB58">
            <v>5.5765100599999999E-2</v>
          </cell>
          <cell r="AC58">
            <v>5.2476811900000003E-2</v>
          </cell>
          <cell r="AD58">
            <v>4.93666683E-2</v>
          </cell>
          <cell r="AE58">
            <v>4.6427114700000001E-2</v>
          </cell>
          <cell r="AF58">
            <v>4.3650647399999999E-2</v>
          </cell>
          <cell r="AG58">
            <v>4.1029815999999997E-2</v>
          </cell>
          <cell r="AH58">
            <v>3.85572764E-2</v>
          </cell>
          <cell r="AI58">
            <v>3.6225872499999999E-2</v>
          </cell>
          <cell r="AJ58">
            <v>3.40286614E-2</v>
          </cell>
          <cell r="AK58">
            <v>3.1958912700000001E-2</v>
          </cell>
        </row>
        <row r="59">
          <cell r="A59" t="str">
            <v>auto_cg_cgas_0</v>
          </cell>
          <cell r="B59">
            <v>0.13435819299999999</v>
          </cell>
          <cell r="C59">
            <v>0.13584232709999999</v>
          </cell>
          <cell r="D59">
            <v>0.13758028750000001</v>
          </cell>
          <cell r="E59">
            <v>0.13905288930000001</v>
          </cell>
          <cell r="F59">
            <v>0.14011449610000001</v>
          </cell>
          <cell r="G59">
            <v>0.14066556529999999</v>
          </cell>
          <cell r="H59">
            <v>0.14044458200000001</v>
          </cell>
          <cell r="I59">
            <v>0.139429674</v>
          </cell>
          <cell r="J59">
            <v>0.13764136860000001</v>
          </cell>
          <cell r="K59">
            <v>0.1351245261</v>
          </cell>
          <cell r="L59">
            <v>0.13194083349999999</v>
          </cell>
          <cell r="M59">
            <v>0.1281731663</v>
          </cell>
          <cell r="N59">
            <v>0.1239191451</v>
          </cell>
          <cell r="O59">
            <v>0.1192825586</v>
          </cell>
          <cell r="P59">
            <v>0.1143682117</v>
          </cell>
          <cell r="Q59">
            <v>0.10927562239999999</v>
          </cell>
          <cell r="R59">
            <v>0.1041405593</v>
          </cell>
          <cell r="S59">
            <v>9.9057730699999999E-2</v>
          </cell>
          <cell r="T59">
            <v>9.40870927E-2</v>
          </cell>
          <cell r="U59">
            <v>8.92651005E-2</v>
          </cell>
          <cell r="V59">
            <v>8.4612744899999995E-2</v>
          </cell>
          <cell r="W59">
            <v>8.0141072800000004E-2</v>
          </cell>
          <cell r="X59">
            <v>7.5854655800000004E-2</v>
          </cell>
          <cell r="Y59">
            <v>7.1753743600000003E-2</v>
          </cell>
          <cell r="Z59">
            <v>6.7835524699999997E-2</v>
          </cell>
          <cell r="AA59">
            <v>6.4095449400000004E-2</v>
          </cell>
          <cell r="AB59">
            <v>6.05280859E-2</v>
          </cell>
          <cell r="AC59">
            <v>5.7127737200000001E-2</v>
          </cell>
          <cell r="AD59">
            <v>5.3888731500000002E-2</v>
          </cell>
          <cell r="AE59">
            <v>5.08056988E-2</v>
          </cell>
          <cell r="AF59">
            <v>4.7873504300000001E-2</v>
          </cell>
          <cell r="AG59">
            <v>4.5087204899999997E-2</v>
          </cell>
          <cell r="AH59">
            <v>4.2442010299999999E-2</v>
          </cell>
          <cell r="AI59">
            <v>3.9933230100000001E-2</v>
          </cell>
          <cell r="AJ59">
            <v>3.7556222600000001E-2</v>
          </cell>
          <cell r="AK59">
            <v>3.53063495E-2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135.80542969999999</v>
          </cell>
          <cell r="C100">
            <v>138.0428331</v>
          </cell>
          <cell r="D100">
            <v>139.9624273</v>
          </cell>
          <cell r="E100">
            <v>141.8085658</v>
          </cell>
          <cell r="F100">
            <v>143.73586700000001</v>
          </cell>
          <cell r="G100">
            <v>145.76765810000001</v>
          </cell>
          <cell r="H100">
            <v>147.87876979999999</v>
          </cell>
          <cell r="I100">
            <v>148.6162602</v>
          </cell>
          <cell r="J100">
            <v>149.32474920000001</v>
          </cell>
          <cell r="K100">
            <v>150.43121729999999</v>
          </cell>
          <cell r="L100">
            <v>151.44654890000001</v>
          </cell>
          <cell r="M100">
            <v>152.3793015</v>
          </cell>
          <cell r="N100">
            <v>153.2200053</v>
          </cell>
          <cell r="O100">
            <v>153.95213219999999</v>
          </cell>
          <cell r="P100">
            <v>154.7052778</v>
          </cell>
          <cell r="Q100">
            <v>155.5462493</v>
          </cell>
          <cell r="R100">
            <v>156.5940559</v>
          </cell>
          <cell r="S100">
            <v>157.77406830000001</v>
          </cell>
          <cell r="T100">
            <v>159.1008008</v>
          </cell>
          <cell r="U100">
            <v>160.5854732</v>
          </cell>
          <cell r="V100">
            <v>162.24492430000001</v>
          </cell>
          <cell r="W100">
            <v>164.10036310000001</v>
          </cell>
          <cell r="X100">
            <v>166.17986429999999</v>
          </cell>
          <cell r="Y100">
            <v>168.49525180000001</v>
          </cell>
          <cell r="Z100">
            <v>171.0481857</v>
          </cell>
          <cell r="AA100">
            <v>173.84528839999999</v>
          </cell>
          <cell r="AB100">
            <v>177.00228910000001</v>
          </cell>
          <cell r="AC100">
            <v>180.50228419999999</v>
          </cell>
          <cell r="AD100">
            <v>184.36325650000001</v>
          </cell>
          <cell r="AE100">
            <v>188.57103939999999</v>
          </cell>
          <cell r="AF100">
            <v>193.10977550000001</v>
          </cell>
          <cell r="AG100">
            <v>198.00236290000001</v>
          </cell>
          <cell r="AH100">
            <v>203.3190702</v>
          </cell>
          <cell r="AI100">
            <v>209.17663440000001</v>
          </cell>
          <cell r="AJ100">
            <v>215.80341920000001</v>
          </cell>
          <cell r="AK100">
            <v>223.69888570000001</v>
          </cell>
        </row>
        <row r="101">
          <cell r="A101" t="str">
            <v>m_toe_2</v>
          </cell>
          <cell r="B101">
            <v>152.41504950000001</v>
          </cell>
          <cell r="C101">
            <v>152.74847209999999</v>
          </cell>
          <cell r="D101">
            <v>153.19595820000001</v>
          </cell>
          <cell r="E101">
            <v>153.6255266</v>
          </cell>
          <cell r="F101">
            <v>154.30375480000001</v>
          </cell>
          <cell r="G101">
            <v>155.22869449999999</v>
          </cell>
          <cell r="H101">
            <v>156.30650829999999</v>
          </cell>
          <cell r="I101">
            <v>153.33125609999999</v>
          </cell>
          <cell r="J101">
            <v>149.62091799999999</v>
          </cell>
          <cell r="K101">
            <v>145.8871632</v>
          </cell>
          <cell r="L101">
            <v>141.87743560000001</v>
          </cell>
          <cell r="M101">
            <v>137.8033509</v>
          </cell>
          <cell r="N101">
            <v>133.73958300000001</v>
          </cell>
          <cell r="O101">
            <v>129.7420505</v>
          </cell>
          <cell r="P101">
            <v>125.9409758</v>
          </cell>
          <cell r="Q101">
            <v>122.4101369</v>
          </cell>
          <cell r="R101">
            <v>119.2854181</v>
          </cell>
          <cell r="S101">
            <v>116.42550199999999</v>
          </cell>
          <cell r="T101">
            <v>113.82217900000001</v>
          </cell>
          <cell r="U101">
            <v>111.47367869999999</v>
          </cell>
          <cell r="V101">
            <v>109.3788223</v>
          </cell>
          <cell r="W101">
            <v>107.5363311</v>
          </cell>
          <cell r="X101">
            <v>105.9486923</v>
          </cell>
          <cell r="Y101">
            <v>104.6083395</v>
          </cell>
          <cell r="Z101">
            <v>103.499239</v>
          </cell>
          <cell r="AA101">
            <v>102.6071647</v>
          </cell>
          <cell r="AB101">
            <v>101.94386919999999</v>
          </cell>
          <cell r="AC101">
            <v>101.4975654</v>
          </cell>
          <cell r="AD101">
            <v>101.2477677</v>
          </cell>
          <cell r="AE101">
            <v>101.1462645</v>
          </cell>
          <cell r="AF101">
            <v>101.12806209999999</v>
          </cell>
          <cell r="AG101">
            <v>101.12283979999999</v>
          </cell>
          <cell r="AH101">
            <v>101.04225959999999</v>
          </cell>
          <cell r="AI101">
            <v>100.7436146</v>
          </cell>
          <cell r="AJ101">
            <v>99.969478449999997</v>
          </cell>
          <cell r="AK101">
            <v>98.184328859999994</v>
          </cell>
        </row>
        <row r="102">
          <cell r="A102" t="str">
            <v>ci_toe_2</v>
          </cell>
          <cell r="B102">
            <v>171.4523193</v>
          </cell>
          <cell r="C102">
            <v>173.19315649999999</v>
          </cell>
          <cell r="D102">
            <v>174.9343533</v>
          </cell>
          <cell r="E102">
            <v>176.5584374</v>
          </cell>
          <cell r="F102">
            <v>178.38567069999999</v>
          </cell>
          <cell r="G102">
            <v>180.45483350000001</v>
          </cell>
          <cell r="H102">
            <v>182.7024126</v>
          </cell>
          <cell r="I102">
            <v>181.65297029999999</v>
          </cell>
          <cell r="J102">
            <v>179.94575699999999</v>
          </cell>
          <cell r="K102">
            <v>178.51806719999999</v>
          </cell>
          <cell r="L102">
            <v>176.97324850000001</v>
          </cell>
          <cell r="M102">
            <v>175.47604580000001</v>
          </cell>
          <cell r="N102">
            <v>174.0235371</v>
          </cell>
          <cell r="O102">
            <v>172.59305760000001</v>
          </cell>
          <cell r="P102">
            <v>171.32354179999999</v>
          </cell>
          <cell r="Q102">
            <v>170.30222209999999</v>
          </cell>
          <cell r="R102">
            <v>169.70057650000001</v>
          </cell>
          <cell r="S102">
            <v>169.36635960000001</v>
          </cell>
          <cell r="T102">
            <v>169.3124359</v>
          </cell>
          <cell r="U102">
            <v>169.55621339999999</v>
          </cell>
          <cell r="V102">
            <v>170.11713169999999</v>
          </cell>
          <cell r="W102">
            <v>171.0152477</v>
          </cell>
          <cell r="X102">
            <v>172.27754469999999</v>
          </cell>
          <cell r="Y102">
            <v>173.9141247</v>
          </cell>
          <cell r="Z102">
            <v>175.91999379999999</v>
          </cell>
          <cell r="AA102">
            <v>178.293316</v>
          </cell>
          <cell r="AB102">
            <v>181.08486600000001</v>
          </cell>
          <cell r="AC102">
            <v>184.31577590000001</v>
          </cell>
          <cell r="AD102">
            <v>187.9863368</v>
          </cell>
          <cell r="AE102">
            <v>192.05230499999999</v>
          </cell>
          <cell r="AF102">
            <v>196.45386999999999</v>
          </cell>
          <cell r="AG102">
            <v>201.15356120000001</v>
          </cell>
          <cell r="AH102">
            <v>206.13566520000001</v>
          </cell>
          <cell r="AI102">
            <v>211.38125790000001</v>
          </cell>
          <cell r="AJ102">
            <v>216.8710868</v>
          </cell>
          <cell r="AK102">
            <v>222.58309829999999</v>
          </cell>
        </row>
        <row r="103">
          <cell r="A103" t="str">
            <v>ch_toe_2</v>
          </cell>
          <cell r="B103">
            <v>73.965462770000002</v>
          </cell>
          <cell r="C103">
            <v>73.738772749999995</v>
          </cell>
          <cell r="D103">
            <v>73.287575860000004</v>
          </cell>
          <cell r="E103">
            <v>72.839986249999995</v>
          </cell>
          <cell r="F103">
            <v>72.492965049999995</v>
          </cell>
          <cell r="G103">
            <v>72.227420260000002</v>
          </cell>
          <cell r="H103">
            <v>71.987690209999997</v>
          </cell>
          <cell r="I103">
            <v>71.568801089999994</v>
          </cell>
          <cell r="J103">
            <v>70.974866750000004</v>
          </cell>
          <cell r="K103">
            <v>70.138206650000001</v>
          </cell>
          <cell r="L103">
            <v>69.033724699999993</v>
          </cell>
          <cell r="M103">
            <v>67.75052393</v>
          </cell>
          <cell r="N103">
            <v>66.409574190000001</v>
          </cell>
          <cell r="O103">
            <v>65.107113119999994</v>
          </cell>
          <cell r="P103">
            <v>63.897073519999999</v>
          </cell>
          <cell r="Q103">
            <v>62.800903699999999</v>
          </cell>
          <cell r="R103">
            <v>61.832006190000001</v>
          </cell>
          <cell r="S103">
            <v>60.96909033</v>
          </cell>
          <cell r="T103">
            <v>60.194892379999999</v>
          </cell>
          <cell r="U103">
            <v>59.498782439999999</v>
          </cell>
          <cell r="V103">
            <v>58.873903200000001</v>
          </cell>
          <cell r="W103">
            <v>58.316000610000003</v>
          </cell>
          <cell r="X103">
            <v>57.82170962</v>
          </cell>
          <cell r="Y103">
            <v>57.385930449999996</v>
          </cell>
          <cell r="Z103">
            <v>57.00525648</v>
          </cell>
          <cell r="AA103">
            <v>56.676953910000002</v>
          </cell>
          <cell r="AB103">
            <v>56.397996169999999</v>
          </cell>
          <cell r="AC103">
            <v>56.16553949</v>
          </cell>
          <cell r="AD103">
            <v>55.977627589999997</v>
          </cell>
          <cell r="AE103">
            <v>55.832744060000003</v>
          </cell>
          <cell r="AF103">
            <v>55.729485359999998</v>
          </cell>
          <cell r="AG103">
            <v>55.666150960000003</v>
          </cell>
          <cell r="AH103">
            <v>55.640728289999998</v>
          </cell>
          <cell r="AI103">
            <v>55.651053539999999</v>
          </cell>
          <cell r="AJ103">
            <v>55.69399954</v>
          </cell>
          <cell r="AK103">
            <v>55.76360794</v>
          </cell>
        </row>
        <row r="104">
          <cell r="A104" t="str">
            <v>x_toe_2</v>
          </cell>
          <cell r="B104">
            <v>42.80269715</v>
          </cell>
          <cell r="C104">
            <v>43.859375890000003</v>
          </cell>
          <cell r="D104">
            <v>44.936456380000003</v>
          </cell>
          <cell r="E104">
            <v>46.03566867</v>
          </cell>
          <cell r="F104">
            <v>47.160986090000002</v>
          </cell>
          <cell r="G104">
            <v>48.31409876</v>
          </cell>
          <cell r="H104">
            <v>49.49517522</v>
          </cell>
          <cell r="I104">
            <v>48.725744859999999</v>
          </cell>
          <cell r="J104">
            <v>48.025043369999999</v>
          </cell>
          <cell r="K104">
            <v>47.662106629999997</v>
          </cell>
          <cell r="L104">
            <v>47.317011170000001</v>
          </cell>
          <cell r="M104">
            <v>46.95608266</v>
          </cell>
          <cell r="N104">
            <v>46.526476979999998</v>
          </cell>
          <cell r="O104">
            <v>45.994011989999997</v>
          </cell>
          <cell r="P104">
            <v>45.425638239999998</v>
          </cell>
          <cell r="Q104">
            <v>44.853260460000001</v>
          </cell>
          <cell r="R104">
            <v>44.346891229999997</v>
          </cell>
          <cell r="S104">
            <v>43.864120270000001</v>
          </cell>
          <cell r="T104">
            <v>43.415651459999999</v>
          </cell>
          <cell r="U104">
            <v>43.004156029999997</v>
          </cell>
          <cell r="V104">
            <v>42.632711700000002</v>
          </cell>
          <cell r="W104">
            <v>42.305445900000002</v>
          </cell>
          <cell r="X104">
            <v>42.029302270000002</v>
          </cell>
          <cell r="Y104">
            <v>41.803536170000001</v>
          </cell>
          <cell r="Z104">
            <v>41.622174360000002</v>
          </cell>
          <cell r="AA104">
            <v>41.482183200000001</v>
          </cell>
          <cell r="AB104">
            <v>41.463296120000003</v>
          </cell>
          <cell r="AC104">
            <v>41.518534170000002</v>
          </cell>
          <cell r="AD104">
            <v>41.647059759999998</v>
          </cell>
          <cell r="AE104">
            <v>41.832254910000003</v>
          </cell>
          <cell r="AF104">
            <v>42.05448225</v>
          </cell>
          <cell r="AG104">
            <v>42.305490460000001</v>
          </cell>
          <cell r="AH104">
            <v>42.584936300000003</v>
          </cell>
          <cell r="AI104">
            <v>42.887937489999999</v>
          </cell>
          <cell r="AJ104">
            <v>43.207811280000001</v>
          </cell>
          <cell r="AK104">
            <v>43.536508269999999</v>
          </cell>
        </row>
        <row r="105">
          <cell r="A105" t="str">
            <v>y_toe_0</v>
          </cell>
          <cell r="B105">
            <v>135.80542969999999</v>
          </cell>
          <cell r="C105">
            <v>138.0428331</v>
          </cell>
          <cell r="D105">
            <v>139.9624273</v>
          </cell>
          <cell r="E105">
            <v>141.8085658</v>
          </cell>
          <cell r="F105">
            <v>143.73586700000001</v>
          </cell>
          <cell r="G105">
            <v>145.76765810000001</v>
          </cell>
          <cell r="H105">
            <v>147.8334237</v>
          </cell>
          <cell r="I105">
            <v>149.88330199999999</v>
          </cell>
          <cell r="J105">
            <v>151.8996832</v>
          </cell>
          <cell r="K105">
            <v>153.8869986</v>
          </cell>
          <cell r="L105">
            <v>155.86150050000001</v>
          </cell>
          <cell r="M105">
            <v>157.8390421</v>
          </cell>
          <cell r="N105">
            <v>159.76371900000001</v>
          </cell>
          <cell r="O105">
            <v>161.4915747</v>
          </cell>
          <cell r="P105">
            <v>163.13049140000001</v>
          </cell>
          <cell r="Q105">
            <v>164.77392549999999</v>
          </cell>
          <cell r="R105">
            <v>165.9065516</v>
          </cell>
          <cell r="S105">
            <v>167.17356369999999</v>
          </cell>
          <cell r="T105">
            <v>168.60875089999999</v>
          </cell>
          <cell r="U105">
            <v>170.2155405</v>
          </cell>
          <cell r="V105">
            <v>171.9937903</v>
          </cell>
          <cell r="W105">
            <v>173.94077150000001</v>
          </cell>
          <cell r="X105">
            <v>176.0629366</v>
          </cell>
          <cell r="Y105">
            <v>178.36269480000001</v>
          </cell>
          <cell r="Z105">
            <v>180.83481330000001</v>
          </cell>
          <cell r="AA105">
            <v>183.47801999999999</v>
          </cell>
          <cell r="AB105">
            <v>186.29421099999999</v>
          </cell>
          <cell r="AC105">
            <v>189.29468159999999</v>
          </cell>
          <cell r="AD105">
            <v>192.47855530000001</v>
          </cell>
          <cell r="AE105">
            <v>195.81483420000001</v>
          </cell>
          <cell r="AF105">
            <v>199.26132870000001</v>
          </cell>
          <cell r="AG105">
            <v>202.78327820000001</v>
          </cell>
          <cell r="AH105">
            <v>206.35551150000001</v>
          </cell>
          <cell r="AI105">
            <v>209.9571291</v>
          </cell>
          <cell r="AJ105">
            <v>213.56925340000001</v>
          </cell>
          <cell r="AK105">
            <v>217.1737463</v>
          </cell>
        </row>
        <row r="106">
          <cell r="A106" t="str">
            <v>m_toe_0</v>
          </cell>
          <cell r="B106">
            <v>152.41504950000001</v>
          </cell>
          <cell r="C106">
            <v>152.74847209999999</v>
          </cell>
          <cell r="D106">
            <v>153.19595820000001</v>
          </cell>
          <cell r="E106">
            <v>153.6255266</v>
          </cell>
          <cell r="F106">
            <v>154.30375480000001</v>
          </cell>
          <cell r="G106">
            <v>155.22869449999999</v>
          </cell>
          <cell r="H106">
            <v>156.09934089999999</v>
          </cell>
          <cell r="I106">
            <v>156.8338621</v>
          </cell>
          <cell r="J106">
            <v>157.3762097</v>
          </cell>
          <cell r="K106">
            <v>157.69961290000001</v>
          </cell>
          <cell r="L106">
            <v>157.80089330000001</v>
          </cell>
          <cell r="M106">
            <v>157.70233959999999</v>
          </cell>
          <cell r="N106">
            <v>157.3880351</v>
          </cell>
          <cell r="O106">
            <v>156.77646200000001</v>
          </cell>
          <cell r="P106">
            <v>156.0157245</v>
          </cell>
          <cell r="Q106">
            <v>155.25695959999999</v>
          </cell>
          <cell r="R106">
            <v>154.20614280000001</v>
          </cell>
          <cell r="S106">
            <v>153.4044327</v>
          </cell>
          <cell r="T106">
            <v>152.92077599999999</v>
          </cell>
          <cell r="U106">
            <v>152.7480539</v>
          </cell>
          <cell r="V106">
            <v>152.86920599999999</v>
          </cell>
          <cell r="W106">
            <v>153.2659903</v>
          </cell>
          <cell r="X106">
            <v>153.93003959999999</v>
          </cell>
          <cell r="Y106">
            <v>154.8519708</v>
          </cell>
          <cell r="Z106">
            <v>156.01649900000001</v>
          </cell>
          <cell r="AA106">
            <v>157.4133755</v>
          </cell>
          <cell r="AB106">
            <v>159.03739999999999</v>
          </cell>
          <cell r="AC106">
            <v>160.89364990000001</v>
          </cell>
          <cell r="AD106">
            <v>162.9787335</v>
          </cell>
          <cell r="AE106">
            <v>165.2635205</v>
          </cell>
          <cell r="AF106">
            <v>167.7070224</v>
          </cell>
          <cell r="AG106">
            <v>170.27395670000001</v>
          </cell>
          <cell r="AH106">
            <v>172.93799340000001</v>
          </cell>
          <cell r="AI106">
            <v>175.67720069999999</v>
          </cell>
          <cell r="AJ106">
            <v>178.47152109999999</v>
          </cell>
          <cell r="AK106">
            <v>181.30136239999999</v>
          </cell>
        </row>
        <row r="107">
          <cell r="A107" t="str">
            <v>ci_toe_0</v>
          </cell>
          <cell r="B107">
            <v>171.4523193</v>
          </cell>
          <cell r="C107">
            <v>173.19315649999999</v>
          </cell>
          <cell r="D107">
            <v>174.9343533</v>
          </cell>
          <cell r="E107">
            <v>176.5584374</v>
          </cell>
          <cell r="F107">
            <v>178.38567069999999</v>
          </cell>
          <cell r="G107">
            <v>180.45483350000001</v>
          </cell>
          <cell r="H107">
            <v>182.54880349999999</v>
          </cell>
          <cell r="I107">
            <v>184.5610527</v>
          </cell>
          <cell r="J107">
            <v>186.43056229999999</v>
          </cell>
          <cell r="K107">
            <v>188.14287949999999</v>
          </cell>
          <cell r="L107">
            <v>189.71036269999999</v>
          </cell>
          <cell r="M107">
            <v>191.15773340000001</v>
          </cell>
          <cell r="N107">
            <v>192.4413007</v>
          </cell>
          <cell r="O107">
            <v>193.41911329999999</v>
          </cell>
          <cell r="P107">
            <v>194.2301343</v>
          </cell>
          <cell r="Q107">
            <v>195.0278338</v>
          </cell>
          <cell r="R107">
            <v>195.481413</v>
          </cell>
          <cell r="S107">
            <v>196.189257</v>
          </cell>
          <cell r="T107">
            <v>197.25890989999999</v>
          </cell>
          <cell r="U107">
            <v>198.70002729999999</v>
          </cell>
          <cell r="V107">
            <v>200.50457109999999</v>
          </cell>
          <cell r="W107">
            <v>202.65844960000001</v>
          </cell>
          <cell r="X107">
            <v>205.16046650000001</v>
          </cell>
          <cell r="Y107">
            <v>208.00589339999999</v>
          </cell>
          <cell r="Z107">
            <v>211.18015070000001</v>
          </cell>
          <cell r="AA107">
            <v>214.67406560000001</v>
          </cell>
          <cell r="AB107">
            <v>218.48444259999999</v>
          </cell>
          <cell r="AC107">
            <v>222.62280699999999</v>
          </cell>
          <cell r="AD107">
            <v>227.08572559999999</v>
          </cell>
          <cell r="AE107">
            <v>231.82555669999999</v>
          </cell>
          <cell r="AF107">
            <v>236.77452400000001</v>
          </cell>
          <cell r="AG107">
            <v>241.87348059999999</v>
          </cell>
          <cell r="AH107">
            <v>247.07796519999999</v>
          </cell>
          <cell r="AI107">
            <v>252.35146019999999</v>
          </cell>
          <cell r="AJ107">
            <v>257.66152249999999</v>
          </cell>
          <cell r="AK107">
            <v>262.97759389999999</v>
          </cell>
        </row>
        <row r="108">
          <cell r="A108" t="str">
            <v>ch_toe_0</v>
          </cell>
          <cell r="B108">
            <v>73.965462770000002</v>
          </cell>
          <cell r="C108">
            <v>73.738772749999995</v>
          </cell>
          <cell r="D108">
            <v>73.287575860000004</v>
          </cell>
          <cell r="E108">
            <v>72.839986249999995</v>
          </cell>
          <cell r="F108">
            <v>72.492965049999995</v>
          </cell>
          <cell r="G108">
            <v>72.227420260000002</v>
          </cell>
          <cell r="H108">
            <v>71.891507250000004</v>
          </cell>
          <cell r="I108">
            <v>71.461335689999999</v>
          </cell>
          <cell r="J108">
            <v>70.924324350000006</v>
          </cell>
          <cell r="K108">
            <v>70.271701590000006</v>
          </cell>
          <cell r="L108">
            <v>69.502867379999998</v>
          </cell>
          <cell r="M108">
            <v>68.630587939999998</v>
          </cell>
          <cell r="N108">
            <v>67.680760079999999</v>
          </cell>
          <cell r="O108">
            <v>66.686592360000006</v>
          </cell>
          <cell r="P108">
            <v>65.681905009999994</v>
          </cell>
          <cell r="Q108">
            <v>64.695312920000006</v>
          </cell>
          <cell r="R108">
            <v>63.807946520000002</v>
          </cell>
          <cell r="S108">
            <v>63.021778959999999</v>
          </cell>
          <cell r="T108">
            <v>62.324250200000002</v>
          </cell>
          <cell r="U108">
            <v>61.699919360000003</v>
          </cell>
          <cell r="V108">
            <v>61.136773859999998</v>
          </cell>
          <cell r="W108">
            <v>60.626300039999997</v>
          </cell>
          <cell r="X108">
            <v>60.162733879999998</v>
          </cell>
          <cell r="Y108">
            <v>59.74216629</v>
          </cell>
          <cell r="Z108">
            <v>59.361271160000001</v>
          </cell>
          <cell r="AA108">
            <v>59.017739489999997</v>
          </cell>
          <cell r="AB108">
            <v>58.70989737</v>
          </cell>
          <cell r="AC108">
            <v>58.436521540000001</v>
          </cell>
          <cell r="AD108">
            <v>58.196724770000003</v>
          </cell>
          <cell r="AE108">
            <v>57.989820160000001</v>
          </cell>
          <cell r="AF108">
            <v>57.814968110000002</v>
          </cell>
          <cell r="AG108">
            <v>57.670924339999999</v>
          </cell>
          <cell r="AH108">
            <v>57.555960550000002</v>
          </cell>
          <cell r="AI108">
            <v>57.467944629999998</v>
          </cell>
          <cell r="AJ108">
            <v>57.40446515</v>
          </cell>
          <cell r="AK108">
            <v>57.362818279999999</v>
          </cell>
        </row>
        <row r="109">
          <cell r="A109" t="str">
            <v>x_toe_0</v>
          </cell>
          <cell r="B109">
            <v>42.80269715</v>
          </cell>
          <cell r="C109">
            <v>43.859375890000003</v>
          </cell>
          <cell r="D109">
            <v>44.936456380000003</v>
          </cell>
          <cell r="E109">
            <v>46.03566867</v>
          </cell>
          <cell r="F109">
            <v>47.160986090000002</v>
          </cell>
          <cell r="G109">
            <v>48.31409876</v>
          </cell>
          <cell r="H109">
            <v>49.492453840000003</v>
          </cell>
          <cell r="I109">
            <v>50.694775720000003</v>
          </cell>
          <cell r="J109">
            <v>51.921006230000003</v>
          </cell>
          <cell r="K109">
            <v>53.172030339999999</v>
          </cell>
          <cell r="L109">
            <v>54.44916362</v>
          </cell>
          <cell r="M109">
            <v>55.753060390000002</v>
          </cell>
          <cell r="N109">
            <v>57.02969332</v>
          </cell>
          <cell r="O109">
            <v>58.162331109999997</v>
          </cell>
          <cell r="P109">
            <v>59.234176550000001</v>
          </cell>
          <cell r="Q109">
            <v>60.307738350000001</v>
          </cell>
          <cell r="R109">
            <v>60.82333491</v>
          </cell>
          <cell r="S109">
            <v>61.366960519999999</v>
          </cell>
          <cell r="T109">
            <v>61.946366740000002</v>
          </cell>
          <cell r="U109">
            <v>62.563647799999998</v>
          </cell>
          <cell r="V109">
            <v>63.221651399999999</v>
          </cell>
          <cell r="W109">
            <v>63.922012160000001</v>
          </cell>
          <cell r="X109">
            <v>64.669775869999995</v>
          </cell>
          <cell r="Y109">
            <v>65.466605950000002</v>
          </cell>
          <cell r="Z109">
            <v>66.309890460000005</v>
          </cell>
          <cell r="AA109">
            <v>67.199590400000005</v>
          </cell>
          <cell r="AB109">
            <v>68.137271049999995</v>
          </cell>
          <cell r="AC109">
            <v>69.129002889999995</v>
          </cell>
          <cell r="AD109">
            <v>70.174838500000007</v>
          </cell>
          <cell r="AE109">
            <v>71.262977919999997</v>
          </cell>
          <cell r="AF109">
            <v>72.378859059999996</v>
          </cell>
          <cell r="AG109">
            <v>73.512829920000001</v>
          </cell>
          <cell r="AH109">
            <v>74.659579129999997</v>
          </cell>
          <cell r="AI109">
            <v>75.814925040000006</v>
          </cell>
          <cell r="AJ109">
            <v>76.974786969999997</v>
          </cell>
          <cell r="AK109">
            <v>78.134696500000004</v>
          </cell>
        </row>
      </sheetData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lorian Jacquetin" id="{699B898A-57CD-4032-AE92-F76E6BE2A5E0}" userId="12c657cf18380207" providerId="Windows Live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91" dT="2022-12-11T00:44:55.85" personId="{699B898A-57CD-4032-AE92-F76E6BE2A5E0}" id="{8B17D36B-81D2-4EE5-A719-89E9DB4D4DB2}">
    <text>Attention léger écart sur somme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83"/>
  <sheetViews>
    <sheetView zoomScale="77" workbookViewId="0">
      <pane xSplit="2" ySplit="4" topLeftCell="C580" activePane="bottomRight" state="frozen"/>
      <selection pane="topRight" activeCell="C1" sqref="C1"/>
      <selection pane="bottomLeft" activeCell="A4" sqref="A4"/>
      <selection pane="bottomRight" activeCell="C597" sqref="C597"/>
    </sheetView>
  </sheetViews>
  <sheetFormatPr baseColWidth="10" defaultRowHeight="14.5" x14ac:dyDescent="0.35"/>
  <cols>
    <col min="1" max="1" width="26.90625" customWidth="1"/>
    <col min="2" max="2" width="43.08984375" customWidth="1"/>
    <col min="3" max="13" width="13.08984375" bestFit="1" customWidth="1"/>
    <col min="14" max="38" width="14.1796875" bestFit="1" customWidth="1"/>
  </cols>
  <sheetData>
    <row r="1" spans="1:38" x14ac:dyDescent="0.35">
      <c r="A1" t="s">
        <v>5</v>
      </c>
      <c r="B1" t="s">
        <v>6</v>
      </c>
    </row>
    <row r="4" spans="1:3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</row>
    <row r="5" spans="1:38" x14ac:dyDescent="0.35">
      <c r="A5" s="3" t="str">
        <f>[1]Results!E1365</f>
        <v>100*(GDP_2/GDP_0-1)</v>
      </c>
      <c r="B5" t="s">
        <v>77</v>
      </c>
      <c r="C5" s="1">
        <f>[1]Results!F1365</f>
        <v>0</v>
      </c>
      <c r="D5" s="1">
        <f>[1]Results!G1365</f>
        <v>0</v>
      </c>
      <c r="E5" s="1">
        <f>[1]Results!H1365</f>
        <v>0</v>
      </c>
      <c r="F5" s="1">
        <f>[1]Results!I1365</f>
        <v>0</v>
      </c>
      <c r="G5" s="1">
        <f>[1]Results!J1365</f>
        <v>0</v>
      </c>
      <c r="H5" s="1">
        <f>[1]Results!K1365</f>
        <v>0</v>
      </c>
      <c r="I5" s="1">
        <f>[1]Results!L1365</f>
        <v>4.1605090223573171E-2</v>
      </c>
      <c r="J5" s="1">
        <f>[1]Results!M1365</f>
        <v>-0.14377246510621777</v>
      </c>
      <c r="K5" s="1">
        <f>[1]Results!N1365</f>
        <v>-0.3019101015068415</v>
      </c>
      <c r="L5" s="1">
        <f>[1]Results!O1365</f>
        <v>-8.8715681087170317E-2</v>
      </c>
      <c r="M5" s="1">
        <f>[1]Results!P1365</f>
        <v>0.14050337068214347</v>
      </c>
      <c r="N5" s="1">
        <f>[1]Results!Q1365</f>
        <v>0.33254942301226276</v>
      </c>
      <c r="O5" s="1">
        <f>[1]Results!R1365</f>
        <v>0.4846967210885289</v>
      </c>
      <c r="P5" s="1">
        <f>[1]Results!S1365</f>
        <v>0.61384440035523458</v>
      </c>
      <c r="Q5" s="1">
        <f>[1]Results!T1365</f>
        <v>0.74152698151495056</v>
      </c>
      <c r="R5" s="1">
        <f>[1]Results!U1365</f>
        <v>0.86579506476145429</v>
      </c>
      <c r="S5" s="1">
        <f>[1]Results!V1365</f>
        <v>0.95509713329577917</v>
      </c>
      <c r="T5" s="1">
        <f>[1]Results!W1365</f>
        <v>1.0021788884413851</v>
      </c>
      <c r="U5" s="1">
        <f>[1]Results!X1365</f>
        <v>1.0175415392618348</v>
      </c>
      <c r="V5" s="1">
        <f>[1]Results!Y1365</f>
        <v>1.0139160848300133</v>
      </c>
      <c r="W5" s="1">
        <f>[1]Results!Z1365</f>
        <v>1.0006745872902956</v>
      </c>
      <c r="X5" s="1">
        <f>[1]Results!AA1365</f>
        <v>0.98274088477783295</v>
      </c>
      <c r="Y5" s="1">
        <f>[1]Results!AB1365</f>
        <v>0.96195057709675957</v>
      </c>
      <c r="Z5" s="1">
        <f>[1]Results!AC1365</f>
        <v>0.93942022963211524</v>
      </c>
      <c r="AA5" s="1">
        <f>[1]Results!AD1365</f>
        <v>0.91596390528647653</v>
      </c>
      <c r="AB5" s="1">
        <f>[1]Results!AE1365</f>
        <v>0.89163813712695994</v>
      </c>
      <c r="AC5" s="1">
        <f>[1]Results!AF1365</f>
        <v>0.86595466162213697</v>
      </c>
      <c r="AD5" s="1">
        <f>[1]Results!AG1365</f>
        <v>0.83700713309604602</v>
      </c>
      <c r="AE5" s="1">
        <f>[1]Results!AH1365</f>
        <v>0.80641085307830984</v>
      </c>
      <c r="AF5" s="1">
        <f>[1]Results!AI1365</f>
        <v>0.77728816495428177</v>
      </c>
      <c r="AG5" s="1">
        <f>[1]Results!AJ1365</f>
        <v>0.75218545893058764</v>
      </c>
      <c r="AH5" s="1">
        <f>[1]Results!AK1365</f>
        <v>0.73224649627470217</v>
      </c>
      <c r="AI5" s="1">
        <f>[1]Results!AL1365</f>
        <v>0.71819924711724603</v>
      </c>
      <c r="AJ5" s="1">
        <f>[1]Results!AM1365</f>
        <v>0.71179690651772543</v>
      </c>
      <c r="AK5" s="1">
        <f>[1]Results!AN1365</f>
        <v>0.71623815695942561</v>
      </c>
      <c r="AL5" s="1">
        <f>[1]Results!AO1365</f>
        <v>0.73718453024789188</v>
      </c>
    </row>
    <row r="6" spans="1:3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0</v>
      </c>
      <c r="D6" s="1">
        <f>[1]Results!G1366</f>
        <v>0</v>
      </c>
      <c r="E6" s="1">
        <f>[1]Results!H1366</f>
        <v>0</v>
      </c>
      <c r="F6" s="1">
        <f>[1]Results!I1366</f>
        <v>0</v>
      </c>
      <c r="G6" s="1">
        <f>[1]Results!J1366</f>
        <v>0</v>
      </c>
      <c r="H6" s="1">
        <f>[1]Results!K1366</f>
        <v>0</v>
      </c>
      <c r="I6" s="1">
        <f>[1]Results!L1366</f>
        <v>4.4643597228999354E-2</v>
      </c>
      <c r="J6" s="1">
        <f>[1]Results!M1366</f>
        <v>-0.20810793049194087</v>
      </c>
      <c r="K6" s="1">
        <f>[1]Results!N1366</f>
        <v>-0.41300390023710776</v>
      </c>
      <c r="L6" s="1">
        <f>[1]Results!O1366</f>
        <v>-0.13268854496635285</v>
      </c>
      <c r="M6" s="1">
        <f>[1]Results!P1366</f>
        <v>0.15185427455013389</v>
      </c>
      <c r="N6" s="1">
        <f>[1]Results!Q1366</f>
        <v>0.37992858185282863</v>
      </c>
      <c r="O6" s="1">
        <f>[1]Results!R1366</f>
        <v>0.54638370562121175</v>
      </c>
      <c r="P6" s="1">
        <f>[1]Results!S1366</f>
        <v>0.67887094566239092</v>
      </c>
      <c r="Q6" s="1">
        <f>[1]Results!T1366</f>
        <v>0.8100605473335909</v>
      </c>
      <c r="R6" s="1">
        <f>[1]Results!U1366</f>
        <v>0.93921234874903003</v>
      </c>
      <c r="S6" s="1">
        <f>[1]Results!V1366</f>
        <v>1.0227116083661558</v>
      </c>
      <c r="T6" s="1">
        <f>[1]Results!W1366</f>
        <v>1.0597646222745727</v>
      </c>
      <c r="U6" s="1">
        <f>[1]Results!X1366</f>
        <v>1.0617793361113792</v>
      </c>
      <c r="V6" s="1">
        <f>[1]Results!Y1366</f>
        <v>1.042667800983188</v>
      </c>
      <c r="W6" s="1">
        <f>[1]Results!Z1366</f>
        <v>1.0129940204825383</v>
      </c>
      <c r="X6" s="1">
        <f>[1]Results!AA1366</f>
        <v>0.97889798281098894</v>
      </c>
      <c r="Y6" s="1">
        <f>[1]Results!AB1366</f>
        <v>0.94281095272412685</v>
      </c>
      <c r="Z6" s="1">
        <f>[1]Results!AC1366</f>
        <v>0.9057267184640283</v>
      </c>
      <c r="AA6" s="1">
        <f>[1]Results!AD1366</f>
        <v>0.86839011403916366</v>
      </c>
      <c r="AB6" s="1">
        <f>[1]Results!AE1366</f>
        <v>0.83082803614644707</v>
      </c>
      <c r="AC6" s="1">
        <f>[1]Results!AF1366</f>
        <v>0.79408572582211345</v>
      </c>
      <c r="AD6" s="1">
        <f>[1]Results!AG1366</f>
        <v>0.75707590288611737</v>
      </c>
      <c r="AE6" s="1">
        <f>[1]Results!AH1366</f>
        <v>0.72092110919645958</v>
      </c>
      <c r="AF6" s="1">
        <f>[1]Results!AI1366</f>
        <v>0.68854022147895044</v>
      </c>
      <c r="AG6" s="1">
        <f>[1]Results!AJ1366</f>
        <v>0.66250201594104663</v>
      </c>
      <c r="AH6" s="1">
        <f>[1]Results!AK1366</f>
        <v>0.6445648603824905</v>
      </c>
      <c r="AI6" s="1">
        <f>[1]Results!AL1366</f>
        <v>0.6361988819173936</v>
      </c>
      <c r="AJ6" s="1">
        <f>[1]Results!AM1366</f>
        <v>0.63933864147223129</v>
      </c>
      <c r="AK6" s="1">
        <f>[1]Results!AN1366</f>
        <v>0.65781844875454354</v>
      </c>
      <c r="AL6" s="1">
        <f>[1]Results!AO1366</f>
        <v>0.69920652540593764</v>
      </c>
    </row>
    <row r="7" spans="1:38" x14ac:dyDescent="0.35">
      <c r="A7" s="3" t="str">
        <f>[1]Results!E1367</f>
        <v>100*((CH_2-CH_0)/GDP_0)</v>
      </c>
      <c r="B7" t="s">
        <v>35</v>
      </c>
      <c r="C7" s="1">
        <f>[1]Results!F1367</f>
        <v>0</v>
      </c>
      <c r="D7" s="1">
        <f>[1]Results!G1367</f>
        <v>0</v>
      </c>
      <c r="E7" s="1">
        <f>[1]Results!H1367</f>
        <v>0</v>
      </c>
      <c r="F7" s="1">
        <f>[1]Results!I1367</f>
        <v>0</v>
      </c>
      <c r="G7" s="1">
        <f>[1]Results!J1367</f>
        <v>0</v>
      </c>
      <c r="H7" s="1">
        <f>[1]Results!K1367</f>
        <v>0</v>
      </c>
      <c r="I7" s="1">
        <f>[1]Results!L1367</f>
        <v>5.3248857431234371E-2</v>
      </c>
      <c r="J7" s="1">
        <f>[1]Results!M1367</f>
        <v>0.10087535771713958</v>
      </c>
      <c r="K7" s="1">
        <f>[1]Results!N1367</f>
        <v>0.12072188460601747</v>
      </c>
      <c r="L7" s="1">
        <f>[1]Results!O1367</f>
        <v>0.1878373923245989</v>
      </c>
      <c r="M7" s="1">
        <f>[1]Results!P1367</f>
        <v>0.31027721981496831</v>
      </c>
      <c r="N7" s="1">
        <f>[1]Results!Q1367</f>
        <v>0.46384585081020774</v>
      </c>
      <c r="O7" s="1">
        <f>[1]Results!R1367</f>
        <v>0.65117449288278928</v>
      </c>
      <c r="P7" s="1">
        <f>[1]Results!S1367</f>
        <v>0.84960209047570745</v>
      </c>
      <c r="Q7" s="1">
        <f>[1]Results!T1367</f>
        <v>1.0427409518187167</v>
      </c>
      <c r="R7" s="1">
        <f>[1]Results!U1367</f>
        <v>1.222832122088791</v>
      </c>
      <c r="S7" s="1">
        <f>[1]Results!V1367</f>
        <v>1.3679122043917247</v>
      </c>
      <c r="T7" s="1">
        <f>[1]Results!W1367</f>
        <v>1.469930547314823</v>
      </c>
      <c r="U7" s="1">
        <f>[1]Results!X1367</f>
        <v>1.5431520201964695</v>
      </c>
      <c r="V7" s="1">
        <f>[1]Results!Y1367</f>
        <v>1.6014746019363848</v>
      </c>
      <c r="W7" s="1">
        <f>[1]Results!Z1367</f>
        <v>1.6529224737198982</v>
      </c>
      <c r="X7" s="1">
        <f>[1]Results!AA1367</f>
        <v>1.6985834839947169</v>
      </c>
      <c r="Y7" s="1">
        <f>[1]Results!AB1367</f>
        <v>1.7376964401488078</v>
      </c>
      <c r="Z7" s="1">
        <f>[1]Results!AC1367</f>
        <v>1.7719714899293575</v>
      </c>
      <c r="AA7" s="1">
        <f>[1]Results!AD1367</f>
        <v>1.8028372860911239</v>
      </c>
      <c r="AB7" s="1">
        <f>[1]Results!AE1367</f>
        <v>1.830500985973283</v>
      </c>
      <c r="AC7" s="1">
        <f>[1]Results!AF1367</f>
        <v>1.8471737580886871</v>
      </c>
      <c r="AD7" s="1">
        <f>[1]Results!AG1367</f>
        <v>1.8458857339644534</v>
      </c>
      <c r="AE7" s="1">
        <f>[1]Results!AH1367</f>
        <v>1.8311905675417282</v>
      </c>
      <c r="AF7" s="1">
        <f>[1]Results!AI1367</f>
        <v>1.8089211958279368</v>
      </c>
      <c r="AG7" s="1">
        <f>[1]Results!AJ1367</f>
        <v>1.783031888779971</v>
      </c>
      <c r="AH7" s="1">
        <f>[1]Results!AK1367</f>
        <v>1.7526191183573514</v>
      </c>
      <c r="AI7" s="1">
        <f>[1]Results!AL1367</f>
        <v>1.7155238799888284</v>
      </c>
      <c r="AJ7" s="1">
        <f>[1]Results!AM1367</f>
        <v>1.6739084080816951</v>
      </c>
      <c r="AK7" s="1">
        <f>[1]Results!AN1367</f>
        <v>1.6306927434571239</v>
      </c>
      <c r="AL7" s="1">
        <f>[1]Results!AO1367</f>
        <v>1.5880421310643891</v>
      </c>
    </row>
    <row r="8" spans="1:3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0</v>
      </c>
      <c r="D8" s="1">
        <f>[1]Results!G1368</f>
        <v>0</v>
      </c>
      <c r="E8" s="1">
        <f>[1]Results!H1368</f>
        <v>0</v>
      </c>
      <c r="F8" s="1">
        <f>[1]Results!I1368</f>
        <v>0</v>
      </c>
      <c r="G8" s="1">
        <f>[1]Results!J1368</f>
        <v>0</v>
      </c>
      <c r="H8" s="1">
        <f>[1]Results!K1368</f>
        <v>0</v>
      </c>
      <c r="I8" s="1">
        <f>[1]Results!L1368</f>
        <v>2.7422285497903702E-2</v>
      </c>
      <c r="J8" s="1">
        <f>[1]Results!M1368</f>
        <v>-9.9177931676980493E-3</v>
      </c>
      <c r="K8" s="1">
        <f>[1]Results!N1368</f>
        <v>-2.9407392189572903E-2</v>
      </c>
      <c r="L8" s="1">
        <f>[1]Results!O1368</f>
        <v>-2.2939329962528163E-2</v>
      </c>
      <c r="M8" s="1">
        <f>[1]Results!P1368</f>
        <v>6.7792740664629773E-4</v>
      </c>
      <c r="N8" s="1">
        <f>[1]Results!Q1368</f>
        <v>4.8319842707899401E-2</v>
      </c>
      <c r="O8" s="1">
        <f>[1]Results!R1368</f>
        <v>9.1812765363747412E-2</v>
      </c>
      <c r="P8" s="1">
        <f>[1]Results!S1368</f>
        <v>0.1195357044126179</v>
      </c>
      <c r="Q8" s="1">
        <f>[1]Results!T1368</f>
        <v>0.13176184335237809</v>
      </c>
      <c r="R8" s="1">
        <f>[1]Results!U1368</f>
        <v>0.13334509730000457</v>
      </c>
      <c r="S8" s="1">
        <f>[1]Results!V1368</f>
        <v>0.11209550405635671</v>
      </c>
      <c r="T8" s="1">
        <f>[1]Results!W1368</f>
        <v>8.7939451149743178E-2</v>
      </c>
      <c r="U8" s="1">
        <f>[1]Results!X1368</f>
        <v>7.0008570967124276E-2</v>
      </c>
      <c r="V8" s="1">
        <f>[1]Results!Y1368</f>
        <v>5.9995138876662982E-2</v>
      </c>
      <c r="W8" s="1">
        <f>[1]Results!Z1368</f>
        <v>5.6310444739686459E-2</v>
      </c>
      <c r="X8" s="1">
        <f>[1]Results!AA1368</f>
        <v>5.6489618833603261E-2</v>
      </c>
      <c r="Y8" s="1">
        <f>[1]Results!AB1368</f>
        <v>5.8534092404761096E-2</v>
      </c>
      <c r="Z8" s="1">
        <f>[1]Results!AC1368</f>
        <v>6.1294099124753844E-2</v>
      </c>
      <c r="AA8" s="1">
        <f>[1]Results!AD1368</f>
        <v>6.4080358036667492E-2</v>
      </c>
      <c r="AB8" s="1">
        <f>[1]Results!AE1368</f>
        <v>6.6408536349231273E-2</v>
      </c>
      <c r="AC8" s="1">
        <f>[1]Results!AF1368</f>
        <v>6.7627942135118135E-2</v>
      </c>
      <c r="AD8" s="1">
        <f>[1]Results!AG1368</f>
        <v>6.7500651756878985E-2</v>
      </c>
      <c r="AE8" s="1">
        <f>[1]Results!AH1368</f>
        <v>6.6609456542672224E-2</v>
      </c>
      <c r="AF8" s="1">
        <f>[1]Results!AI1368</f>
        <v>6.5487012862608301E-2</v>
      </c>
      <c r="AG8" s="1">
        <f>[1]Results!AJ1368</f>
        <v>6.4360564998075381E-2</v>
      </c>
      <c r="AH8" s="1">
        <f>[1]Results!AK1368</f>
        <v>6.3150900718587311E-2</v>
      </c>
      <c r="AI8" s="1">
        <f>[1]Results!AL1368</f>
        <v>6.1771203050256331E-2</v>
      </c>
      <c r="AJ8" s="1">
        <f>[1]Results!AM1368</f>
        <v>6.0403069156001819E-2</v>
      </c>
      <c r="AK8" s="1">
        <f>[1]Results!AN1368</f>
        <v>5.9241897750876918E-2</v>
      </c>
      <c r="AL8" s="1">
        <f>[1]Results!AO1368</f>
        <v>5.8361376840293584E-2</v>
      </c>
    </row>
    <row r="9" spans="1:3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</row>
    <row r="10" spans="1:38" x14ac:dyDescent="0.35">
      <c r="A10" s="3" t="str">
        <f>[1]Results!E1370</f>
        <v>100*((I_2-I_0)/GDP_0)</v>
      </c>
      <c r="B10" t="s">
        <v>78</v>
      </c>
      <c r="C10" s="1">
        <f>[1]Results!F1370</f>
        <v>0</v>
      </c>
      <c r="D10" s="1">
        <f>[1]Results!G1370</f>
        <v>0</v>
      </c>
      <c r="E10" s="1">
        <f>[1]Results!H1370</f>
        <v>0</v>
      </c>
      <c r="F10" s="1">
        <f>[1]Results!I1370</f>
        <v>0</v>
      </c>
      <c r="G10" s="1">
        <f>[1]Results!J1370</f>
        <v>0</v>
      </c>
      <c r="H10" s="1">
        <f>[1]Results!K1370</f>
        <v>0</v>
      </c>
      <c r="I10" s="1">
        <f>[1]Results!L1370</f>
        <v>9.6089192140203297E-3</v>
      </c>
      <c r="J10" s="1">
        <f>[1]Results!M1370</f>
        <v>-2.2006874143906865E-2</v>
      </c>
      <c r="K10" s="1">
        <f>[1]Results!N1370</f>
        <v>-6.3531644794559708E-2</v>
      </c>
      <c r="L10" s="1">
        <f>[1]Results!O1370</f>
        <v>-4.7450421588222914E-2</v>
      </c>
      <c r="M10" s="1">
        <f>[1]Results!P1370</f>
        <v>-2.9037469574226763E-3</v>
      </c>
      <c r="N10" s="1">
        <f>[1]Results!Q1370</f>
        <v>5.2449434410518157E-2</v>
      </c>
      <c r="O10" s="1">
        <f>[1]Results!R1370</f>
        <v>0.11111198240821273</v>
      </c>
      <c r="P10" s="1">
        <f>[1]Results!S1370</f>
        <v>0.17116278985528624</v>
      </c>
      <c r="Q10" s="1">
        <f>[1]Results!T1370</f>
        <v>0.23424258057651726</v>
      </c>
      <c r="R10" s="1">
        <f>[1]Results!U1370</f>
        <v>0.30000207760907155</v>
      </c>
      <c r="S10" s="1">
        <f>[1]Results!V1370</f>
        <v>0.35941744853917712</v>
      </c>
      <c r="T10" s="1">
        <f>[1]Results!W1370</f>
        <v>0.40962252632322044</v>
      </c>
      <c r="U10" s="1">
        <f>[1]Results!X1370</f>
        <v>0.45218052052672236</v>
      </c>
      <c r="V10" s="1">
        <f>[1]Results!Y1370</f>
        <v>0.49018505947027557</v>
      </c>
      <c r="W10" s="1">
        <f>[1]Results!Z1370</f>
        <v>0.52628956722157383</v>
      </c>
      <c r="X10" s="1">
        <f>[1]Results!AA1370</f>
        <v>0.56182298629186822</v>
      </c>
      <c r="Y10" s="1">
        <f>[1]Results!AB1370</f>
        <v>0.5971429522779077</v>
      </c>
      <c r="Z10" s="1">
        <f>[1]Results!AC1370</f>
        <v>0.63239500815723848</v>
      </c>
      <c r="AA10" s="1">
        <f>[1]Results!AD1370</f>
        <v>0.66752481704208955</v>
      </c>
      <c r="AB10" s="1">
        <f>[1]Results!AE1370</f>
        <v>0.70222869682153555</v>
      </c>
      <c r="AC10" s="1">
        <f>[1]Results!AF1370</f>
        <v>0.7355316758368412</v>
      </c>
      <c r="AD10" s="1">
        <f>[1]Results!AG1370</f>
        <v>0.76597751615289345</v>
      </c>
      <c r="AE10" s="1">
        <f>[1]Results!AH1370</f>
        <v>0.79361743849732358</v>
      </c>
      <c r="AF10" s="1">
        <f>[1]Results!AI1370</f>
        <v>0.81908234325675144</v>
      </c>
      <c r="AG10" s="1">
        <f>[1]Results!AJ1370</f>
        <v>0.84302770752664025</v>
      </c>
      <c r="AH10" s="1">
        <f>[1]Results!AK1370</f>
        <v>0.86560633761293748</v>
      </c>
      <c r="AI10" s="1">
        <f>[1]Results!AL1370</f>
        <v>0.88683599104233835</v>
      </c>
      <c r="AJ10" s="1">
        <f>[1]Results!AM1370</f>
        <v>0.90732147104215022</v>
      </c>
      <c r="AK10" s="1">
        <f>[1]Results!AN1370</f>
        <v>0.92815187369442842</v>
      </c>
      <c r="AL10" s="1">
        <f>[1]Results!AO1370</f>
        <v>0.95118562842107945</v>
      </c>
    </row>
    <row r="11" spans="1:3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</row>
    <row r="12" spans="1:38" x14ac:dyDescent="0.35">
      <c r="A12" s="3" t="str">
        <f>[1]Results!E1372</f>
        <v>100*((X_2-X_0)/GDP_0)-100*((M_2-M_0)/GDP_0)</v>
      </c>
      <c r="B12" t="s">
        <v>79</v>
      </c>
      <c r="C12" s="1">
        <f>[1]Results!F1372</f>
        <v>0</v>
      </c>
      <c r="D12" s="1">
        <f>[1]Results!G1372</f>
        <v>0</v>
      </c>
      <c r="E12" s="1">
        <f>[1]Results!H1372</f>
        <v>0</v>
      </c>
      <c r="F12" s="1">
        <f>[1]Results!I1372</f>
        <v>0</v>
      </c>
      <c r="G12" s="1">
        <f>[1]Results!J1372</f>
        <v>0</v>
      </c>
      <c r="H12" s="1">
        <f>[1]Results!K1372</f>
        <v>0</v>
      </c>
      <c r="I12" s="1">
        <f>[1]Results!L1372</f>
        <v>-2.1252669706623199E-2</v>
      </c>
      <c r="J12" s="1">
        <f>[1]Results!M1372</f>
        <v>-0.22264099807049406</v>
      </c>
      <c r="K12" s="1">
        <f>[1]Results!N1372</f>
        <v>-0.35910038590637483</v>
      </c>
      <c r="L12" s="1">
        <f>[1]Results!O1372</f>
        <v>-0.22910266778641342</v>
      </c>
      <c r="M12" s="1">
        <f>[1]Results!P1372</f>
        <v>-0.16687011395742102</v>
      </c>
      <c r="N12" s="1">
        <f>[1]Results!Q1372</f>
        <v>-0.18374589697770033</v>
      </c>
      <c r="O12" s="1">
        <f>[1]Results!R1372</f>
        <v>-0.27758972000582083</v>
      </c>
      <c r="P12" s="1">
        <f>[1]Results!S1372</f>
        <v>-0.40692046502007118</v>
      </c>
      <c r="Q12" s="1">
        <f>[1]Results!T1372</f>
        <v>-0.53545656928010776</v>
      </c>
      <c r="R12" s="1">
        <f>[1]Results!U1372</f>
        <v>-0.65703913855833096</v>
      </c>
      <c r="S12" s="1">
        <f>[1]Results!V1372</f>
        <v>-0.77223252319834523</v>
      </c>
      <c r="T12" s="1">
        <f>[1]Results!W1372</f>
        <v>-0.87737416768109178</v>
      </c>
      <c r="U12" s="1">
        <f>[1]Results!X1372</f>
        <v>-0.97779103243704901</v>
      </c>
      <c r="V12" s="1">
        <f>[1]Results!Y1372</f>
        <v>-1.0777435698177373</v>
      </c>
      <c r="W12" s="1">
        <f>[1]Results!Z1372</f>
        <v>-1.1785374536511737</v>
      </c>
      <c r="X12" s="1">
        <f>[1]Results!AA1372</f>
        <v>-1.2776655920140443</v>
      </c>
      <c r="Y12" s="1">
        <f>[1]Results!AB1372</f>
        <v>-1.3728887962018326</v>
      </c>
      <c r="Z12" s="1">
        <f>[1]Results!AC1372</f>
        <v>-1.4649462778221687</v>
      </c>
      <c r="AA12" s="1">
        <f>[1]Results!AD1372</f>
        <v>-1.5543982100729183</v>
      </c>
      <c r="AB12" s="1">
        <f>[1]Results!AE1372</f>
        <v>-1.6410915486579731</v>
      </c>
      <c r="AC12" s="1">
        <f>[1]Results!AF1372</f>
        <v>-1.7167507401467501</v>
      </c>
      <c r="AD12" s="1">
        <f>[1]Results!AG1372</f>
        <v>-1.7748561113090453</v>
      </c>
      <c r="AE12" s="1">
        <f>[1]Results!AH1372</f>
        <v>-1.8183971445949101</v>
      </c>
      <c r="AF12" s="1">
        <f>[1]Results!AI1372</f>
        <v>-1.8507153550809414</v>
      </c>
      <c r="AG12" s="1">
        <f>[1]Results!AJ1372</f>
        <v>-1.8738741453409384</v>
      </c>
      <c r="AH12" s="1">
        <f>[1]Results!AK1372</f>
        <v>-1.8859789519258752</v>
      </c>
      <c r="AI12" s="1">
        <f>[1]Results!AL1372</f>
        <v>-1.8841606264403625</v>
      </c>
      <c r="AJ12" s="1">
        <f>[1]Results!AM1372</f>
        <v>-1.8694329750709018</v>
      </c>
      <c r="AK12" s="1">
        <f>[1]Results!AN1372</f>
        <v>-1.8426064746225606</v>
      </c>
      <c r="AL12" s="1">
        <f>[1]Results!AO1372</f>
        <v>-1.8020432292375808</v>
      </c>
    </row>
    <row r="13" spans="1:3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0</v>
      </c>
      <c r="D13" s="1">
        <f>[1]Results!G1373</f>
        <v>0</v>
      </c>
      <c r="E13" s="1">
        <f>[1]Results!H1373</f>
        <v>0</v>
      </c>
      <c r="F13" s="1">
        <f>[1]Results!I1373</f>
        <v>0</v>
      </c>
      <c r="G13" s="1">
        <f>[1]Results!J1373</f>
        <v>0</v>
      </c>
      <c r="H13" s="1">
        <f>[1]Results!K1373</f>
        <v>0</v>
      </c>
      <c r="I13" s="1">
        <f>[1]Results!L1373</f>
        <v>5.3271000316898659E-2</v>
      </c>
      <c r="J13" s="1">
        <f>[1]Results!M1373</f>
        <v>9.7713286438729924E-2</v>
      </c>
      <c r="K13" s="1">
        <f>[1]Results!N1373</f>
        <v>8.589465076007452E-2</v>
      </c>
      <c r="L13" s="1">
        <f>[1]Results!O1373</f>
        <v>9.4047228728556517E-2</v>
      </c>
      <c r="M13" s="1">
        <f>[1]Results!P1373</f>
        <v>0.14052024330534188</v>
      </c>
      <c r="N13" s="1">
        <f>[1]Results!Q1373</f>
        <v>0.2297460219236715</v>
      </c>
      <c r="O13" s="1">
        <f>[1]Results!R1373</f>
        <v>0.39636816289180932</v>
      </c>
      <c r="P13" s="1">
        <f>[1]Results!S1373</f>
        <v>0.60714855156998837</v>
      </c>
      <c r="Q13" s="1">
        <f>[1]Results!T1373</f>
        <v>0.82947491647062477</v>
      </c>
      <c r="R13" s="1">
        <f>[1]Results!U1373</f>
        <v>1.0439091521684363</v>
      </c>
      <c r="S13" s="1">
        <f>[1]Results!V1373</f>
        <v>1.219722244305492</v>
      </c>
      <c r="T13" s="1">
        <f>[1]Results!W1373</f>
        <v>1.3414668276922992</v>
      </c>
      <c r="U13" s="1">
        <f>[1]Results!X1373</f>
        <v>1.4272309221595105</v>
      </c>
      <c r="V13" s="1">
        <f>[1]Results!Y1373</f>
        <v>1.4950442345488595</v>
      </c>
      <c r="W13" s="1">
        <f>[1]Results!Z1373</f>
        <v>1.5553334861607933</v>
      </c>
      <c r="X13" s="1">
        <f>[1]Results!AA1373</f>
        <v>1.6101552256744633</v>
      </c>
      <c r="Y13" s="1">
        <f>[1]Results!AB1373</f>
        <v>1.6588563820254123</v>
      </c>
      <c r="Z13" s="1">
        <f>[1]Results!AC1373</f>
        <v>1.7028511225683214</v>
      </c>
      <c r="AA13" s="1">
        <f>[1]Results!AD1373</f>
        <v>1.7431986311275542</v>
      </c>
      <c r="AB13" s="1">
        <f>[1]Results!AE1373</f>
        <v>1.7798190327910492</v>
      </c>
      <c r="AC13" s="1">
        <f>[1]Results!AF1373</f>
        <v>1.8047799292438764</v>
      </c>
      <c r="AD13" s="1">
        <f>[1]Results!AG1373</f>
        <v>1.8110517165585598</v>
      </c>
      <c r="AE13" s="1">
        <f>[1]Results!AH1373</f>
        <v>1.8031088538673319</v>
      </c>
      <c r="AF13" s="1">
        <f>[1]Results!AI1373</f>
        <v>1.7867591665397979</v>
      </c>
      <c r="AG13" s="1">
        <f>[1]Results!AJ1373</f>
        <v>1.7660286232126701</v>
      </c>
      <c r="AH13" s="1">
        <f>[1]Results!AK1373</f>
        <v>1.7401591395722806</v>
      </c>
      <c r="AI13" s="1">
        <f>[1]Results!AL1373</f>
        <v>1.7071409676555021</v>
      </c>
      <c r="AJ13" s="1">
        <f>[1]Results!AM1373</f>
        <v>1.6692252151248077</v>
      </c>
      <c r="AK13" s="1">
        <f>[1]Results!AN1373</f>
        <v>1.6293807533335176</v>
      </c>
      <c r="AL13" s="1">
        <f>[1]Results!AO1373</f>
        <v>1.5898059932239244</v>
      </c>
    </row>
    <row r="14" spans="1:38" x14ac:dyDescent="0.35">
      <c r="A14" s="3" t="str">
        <f>[1]Results!E1374</f>
        <v>100*((I_2+CH_ccon_2-(I_0+CH_ccon_0))/GDP_0)</v>
      </c>
      <c r="B14" t="s">
        <v>78</v>
      </c>
      <c r="C14" s="1">
        <f>[1]Results!F1374</f>
        <v>0</v>
      </c>
      <c r="D14" s="1">
        <f>[1]Results!G1374</f>
        <v>0</v>
      </c>
      <c r="E14" s="1">
        <f>[1]Results!H1374</f>
        <v>0</v>
      </c>
      <c r="F14" s="1">
        <f>[1]Results!I1374</f>
        <v>0</v>
      </c>
      <c r="G14" s="1">
        <f>[1]Results!J1374</f>
        <v>0</v>
      </c>
      <c r="H14" s="1">
        <f>[1]Results!K1374</f>
        <v>0</v>
      </c>
      <c r="I14" s="1">
        <f>[1]Results!L1374</f>
        <v>9.586776328348744E-3</v>
      </c>
      <c r="J14" s="1">
        <f>[1]Results!M1374</f>
        <v>-1.8844802865497223E-2</v>
      </c>
      <c r="K14" s="1">
        <f>[1]Results!N1374</f>
        <v>-2.8704410948616754E-2</v>
      </c>
      <c r="L14" s="1">
        <f>[1]Results!O1374</f>
        <v>4.6339742007819464E-2</v>
      </c>
      <c r="M14" s="1">
        <f>[1]Results!P1374</f>
        <v>0.16685322955219462</v>
      </c>
      <c r="N14" s="1">
        <f>[1]Results!Q1374</f>
        <v>0.28654926329704994</v>
      </c>
      <c r="O14" s="1">
        <f>[1]Results!R1374</f>
        <v>0.36591831239918826</v>
      </c>
      <c r="P14" s="1">
        <f>[1]Results!S1374</f>
        <v>0.41361632876100973</v>
      </c>
      <c r="Q14" s="1">
        <f>[1]Results!T1374</f>
        <v>0.44750861592461344</v>
      </c>
      <c r="R14" s="1">
        <f>[1]Results!U1374</f>
        <v>0.47892504752942644</v>
      </c>
      <c r="S14" s="1">
        <f>[1]Results!V1374</f>
        <v>0.50760740862540554</v>
      </c>
      <c r="T14" s="1">
        <f>[1]Results!W1374</f>
        <v>0.53808624594575238</v>
      </c>
      <c r="U14" s="1">
        <f>[1]Results!X1374</f>
        <v>0.56810161856368535</v>
      </c>
      <c r="V14" s="1">
        <f>[1]Results!Y1374</f>
        <v>0.59661542685780478</v>
      </c>
      <c r="W14" s="1">
        <f>[1]Results!Z1374</f>
        <v>0.62387855478067866</v>
      </c>
      <c r="X14" s="1">
        <f>[1]Results!AA1374</f>
        <v>0.65025124461212158</v>
      </c>
      <c r="Y14" s="1">
        <f>[1]Results!AB1374</f>
        <v>0.67598301040130326</v>
      </c>
      <c r="Z14" s="1">
        <f>[1]Results!AC1374</f>
        <v>0.70151537551827836</v>
      </c>
      <c r="AA14" s="1">
        <f>[1]Results!AD1374</f>
        <v>0.72716347200565923</v>
      </c>
      <c r="AB14" s="1">
        <f>[1]Results!AE1374</f>
        <v>0.75291065000376955</v>
      </c>
      <c r="AC14" s="1">
        <f>[1]Results!AF1374</f>
        <v>0.77792550468165544</v>
      </c>
      <c r="AD14" s="1">
        <f>[1]Results!AG1374</f>
        <v>0.80081153355878709</v>
      </c>
      <c r="AE14" s="1">
        <f>[1]Results!AH1374</f>
        <v>0.82169915217171663</v>
      </c>
      <c r="AF14" s="1">
        <f>[1]Results!AI1374</f>
        <v>0.84124437254489359</v>
      </c>
      <c r="AG14" s="1">
        <f>[1]Results!AJ1374</f>
        <v>0.86003097309394105</v>
      </c>
      <c r="AH14" s="1">
        <f>[1]Results!AK1374</f>
        <v>0.87806631639801425</v>
      </c>
      <c r="AI14" s="1">
        <f>[1]Results!AL1374</f>
        <v>0.89521890337566479</v>
      </c>
      <c r="AJ14" s="1">
        <f>[1]Results!AM1374</f>
        <v>0.91200466399903191</v>
      </c>
      <c r="AK14" s="1">
        <f>[1]Results!AN1374</f>
        <v>0.92946386381803203</v>
      </c>
      <c r="AL14" s="1">
        <f>[1]Results!AO1374</f>
        <v>0.94942176626154429</v>
      </c>
    </row>
    <row r="15" spans="1:3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0</v>
      </c>
      <c r="D15" s="1">
        <f>[1]Results!G1375</f>
        <v>0</v>
      </c>
      <c r="E15" s="1">
        <f>[1]Results!H1375</f>
        <v>0</v>
      </c>
      <c r="F15" s="1">
        <f>[1]Results!I1375</f>
        <v>0</v>
      </c>
      <c r="G15" s="1">
        <f>[1]Results!J1375</f>
        <v>0</v>
      </c>
      <c r="H15" s="1">
        <f>[1]Results!K1375</f>
        <v>0</v>
      </c>
      <c r="I15" s="1">
        <f>[1]Results!L1375</f>
        <v>7.9924835456631725E-3</v>
      </c>
      <c r="J15" s="1">
        <f>[1]Results!M1375</f>
        <v>-2.0119206159536746E-2</v>
      </c>
      <c r="K15" s="1">
        <f>[1]Results!N1375</f>
        <v>-5.7255137752375666E-2</v>
      </c>
      <c r="L15" s="1">
        <f>[1]Results!O1375</f>
        <v>-3.8631114692686236E-2</v>
      </c>
      <c r="M15" s="1">
        <f>[1]Results!P1375</f>
        <v>7.1791570431444527E-3</v>
      </c>
      <c r="N15" s="1">
        <f>[1]Results!Q1375</f>
        <v>6.1593310780519599E-2</v>
      </c>
      <c r="O15" s="1">
        <f>[1]Results!R1375</f>
        <v>0.11713385297578705</v>
      </c>
      <c r="P15" s="1">
        <f>[1]Results!S1375</f>
        <v>0.17236923583787003</v>
      </c>
      <c r="Q15" s="1">
        <f>[1]Results!T1375</f>
        <v>0.22945897170509716</v>
      </c>
      <c r="R15" s="1">
        <f>[1]Results!U1375</f>
        <v>0.28852724227099835</v>
      </c>
      <c r="S15" s="1">
        <f>[1]Results!V1375</f>
        <v>0.34221850984137114</v>
      </c>
      <c r="T15" s="1">
        <f>[1]Results!W1375</f>
        <v>0.38783753386886577</v>
      </c>
      <c r="U15" s="1">
        <f>[1]Results!X1375</f>
        <v>0.42650971167830354</v>
      </c>
      <c r="V15" s="1">
        <f>[1]Results!Y1375</f>
        <v>0.46081163843507045</v>
      </c>
      <c r="W15" s="1">
        <f>[1]Results!Z1375</f>
        <v>0.49305027378532956</v>
      </c>
      <c r="X15" s="1">
        <f>[1]Results!AA1375</f>
        <v>0.52449349907083298</v>
      </c>
      <c r="Y15" s="1">
        <f>[1]Results!AB1375</f>
        <v>0.55557463673648311</v>
      </c>
      <c r="Z15" s="1">
        <f>[1]Results!AC1375</f>
        <v>0.58646640371011571</v>
      </c>
      <c r="AA15" s="1">
        <f>[1]Results!AD1375</f>
        <v>0.61714851177755525</v>
      </c>
      <c r="AB15" s="1">
        <f>[1]Results!AE1375</f>
        <v>0.64738893358328775</v>
      </c>
      <c r="AC15" s="1">
        <f>[1]Results!AF1375</f>
        <v>0.67659031177681161</v>
      </c>
      <c r="AD15" s="1">
        <f>[1]Results!AG1375</f>
        <v>0.70372901551788691</v>
      </c>
      <c r="AE15" s="1">
        <f>[1]Results!AH1375</f>
        <v>0.72888305692385047</v>
      </c>
      <c r="AF15" s="1">
        <f>[1]Results!AI1375</f>
        <v>0.75259391312527879</v>
      </c>
      <c r="AG15" s="1">
        <f>[1]Results!AJ1375</f>
        <v>0.77543248491592243</v>
      </c>
      <c r="AH15" s="1">
        <f>[1]Results!AK1375</f>
        <v>0.7976169407392748</v>
      </c>
      <c r="AI15" s="1">
        <f>[1]Results!AL1375</f>
        <v>0.81928944125909853</v>
      </c>
      <c r="AJ15" s="1">
        <f>[1]Results!AM1375</f>
        <v>0.84103678730248732</v>
      </c>
      <c r="AK15" s="1">
        <f>[1]Results!AN1375</f>
        <v>0.8638820868764554</v>
      </c>
      <c r="AL15" s="1">
        <f>[1]Results!AO1375</f>
        <v>0.88962012832667359</v>
      </c>
    </row>
    <row r="16" spans="1:3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0</v>
      </c>
      <c r="D16" s="1">
        <f>[1]Results!G1376</f>
        <v>0</v>
      </c>
      <c r="E16" s="1">
        <f>[1]Results!H1376</f>
        <v>0</v>
      </c>
      <c r="F16" s="1">
        <f>[1]Results!I1376</f>
        <v>0</v>
      </c>
      <c r="G16" s="1">
        <f>[1]Results!J1376</f>
        <v>0</v>
      </c>
      <c r="H16" s="1">
        <f>[1]Results!K1376</f>
        <v>0</v>
      </c>
      <c r="I16" s="1">
        <f>[1]Results!L1376</f>
        <v>-2.2142885668849213E-5</v>
      </c>
      <c r="J16" s="1">
        <f>[1]Results!M1376</f>
        <v>3.1620712784075468E-3</v>
      </c>
      <c r="K16" s="1">
        <f>[1]Results!N1376</f>
        <v>3.4827233845942066E-2</v>
      </c>
      <c r="L16" s="1">
        <f>[1]Results!O1376</f>
        <v>9.3790163596042392E-2</v>
      </c>
      <c r="M16" s="1">
        <f>[1]Results!P1376</f>
        <v>0.16975697650961985</v>
      </c>
      <c r="N16" s="1">
        <f>[1]Results!Q1376</f>
        <v>0.23409982888653036</v>
      </c>
      <c r="O16" s="1">
        <f>[1]Results!R1376</f>
        <v>0.25480632999097746</v>
      </c>
      <c r="P16" s="1">
        <f>[1]Results!S1376</f>
        <v>0.24245353890572294</v>
      </c>
      <c r="Q16" s="1">
        <f>[1]Results!T1376</f>
        <v>0.21326603534809538</v>
      </c>
      <c r="R16" s="1">
        <f>[1]Results!U1376</f>
        <v>0.17892296992035595</v>
      </c>
      <c r="S16" s="1">
        <f>[1]Results!V1376</f>
        <v>0.14818996008623239</v>
      </c>
      <c r="T16" s="1">
        <f>[1]Results!W1376</f>
        <v>0.12846371962253045</v>
      </c>
      <c r="U16" s="1">
        <f>[1]Results!X1376</f>
        <v>0.11592109803696204</v>
      </c>
      <c r="V16" s="1">
        <f>[1]Results!Y1376</f>
        <v>0.10643036738752598</v>
      </c>
      <c r="W16" s="1">
        <f>[1]Results!Z1376</f>
        <v>9.7588987559107027E-2</v>
      </c>
      <c r="X16" s="1">
        <f>[1]Results!AA1376</f>
        <v>8.8428258320253098E-2</v>
      </c>
      <c r="Y16" s="1">
        <f>[1]Results!AB1376</f>
        <v>7.8840058123393661E-2</v>
      </c>
      <c r="Z16" s="1">
        <f>[1]Results!AC1376</f>
        <v>6.912036736103841E-2</v>
      </c>
      <c r="AA16" s="1">
        <f>[1]Results!AD1376</f>
        <v>5.9638654963572187E-2</v>
      </c>
      <c r="AB16" s="1">
        <f>[1]Results!AE1376</f>
        <v>5.0681953182233098E-2</v>
      </c>
      <c r="AC16" s="1">
        <f>[1]Results!AF1376</f>
        <v>4.2393828844812985E-2</v>
      </c>
      <c r="AD16" s="1">
        <f>[1]Results!AG1376</f>
        <v>3.48340174058921E-2</v>
      </c>
      <c r="AE16" s="1">
        <f>[1]Results!AH1376</f>
        <v>2.8081713674394212E-2</v>
      </c>
      <c r="AF16" s="1">
        <f>[1]Results!AI1376</f>
        <v>2.2162029288140508E-2</v>
      </c>
      <c r="AG16" s="1">
        <f>[1]Results!AJ1376</f>
        <v>1.7003265567300571E-2</v>
      </c>
      <c r="AH16" s="1">
        <f>[1]Results!AK1376</f>
        <v>1.2459978785075206E-2</v>
      </c>
      <c r="AI16" s="1">
        <f>[1]Results!AL1376</f>
        <v>8.3829123333276391E-3</v>
      </c>
      <c r="AJ16" s="1">
        <f>[1]Results!AM1376</f>
        <v>4.6831929568807084E-3</v>
      </c>
      <c r="AK16" s="1">
        <f>[1]Results!AN1376</f>
        <v>1.3119901236066909E-3</v>
      </c>
      <c r="AL16" s="1">
        <f>[1]Results!AO1376</f>
        <v>-1.7638621595349956E-3</v>
      </c>
    </row>
    <row r="17" spans="1:3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0</v>
      </c>
      <c r="D17" s="1">
        <f>[1]Results!G1377</f>
        <v>0</v>
      </c>
      <c r="E17" s="1">
        <f>[1]Results!H1377</f>
        <v>0</v>
      </c>
      <c r="F17" s="1">
        <f>[1]Results!I1377</f>
        <v>0</v>
      </c>
      <c r="G17" s="1">
        <f>[1]Results!J1377</f>
        <v>0</v>
      </c>
      <c r="H17" s="1">
        <f>[1]Results!K1377</f>
        <v>0</v>
      </c>
      <c r="I17" s="1">
        <f>[1]Results!L1377</f>
        <v>1.616435668356549E-3</v>
      </c>
      <c r="J17" s="1">
        <f>[1]Results!M1377</f>
        <v>-1.8876679843701171E-3</v>
      </c>
      <c r="K17" s="1">
        <f>[1]Results!N1377</f>
        <v>-6.2765070421852186E-3</v>
      </c>
      <c r="L17" s="1">
        <f>[1]Results!O1377</f>
        <v>-8.819306895537839E-3</v>
      </c>
      <c r="M17" s="1">
        <f>[1]Results!P1377</f>
        <v>-1.0082904000568844E-2</v>
      </c>
      <c r="N17" s="1">
        <f>[1]Results!Q1377</f>
        <v>-9.1438763699997587E-3</v>
      </c>
      <c r="O17" s="1">
        <f>[1]Results!R1377</f>
        <v>-6.0218705675737505E-3</v>
      </c>
      <c r="P17" s="1">
        <f>[1]Results!S1377</f>
        <v>-1.2064459825832684E-3</v>
      </c>
      <c r="Q17" s="1">
        <f>[1]Results!T1377</f>
        <v>4.7836088714211574E-3</v>
      </c>
      <c r="R17" s="1">
        <f>[1]Results!U1377</f>
        <v>1.1474835338072122E-2</v>
      </c>
      <c r="S17" s="1">
        <f>[1]Results!V1377</f>
        <v>1.7198938697805425E-2</v>
      </c>
      <c r="T17" s="1">
        <f>[1]Results!W1377</f>
        <v>2.1784992454352593E-2</v>
      </c>
      <c r="U17" s="1">
        <f>[1]Results!X1377</f>
        <v>2.5670808848416778E-2</v>
      </c>
      <c r="V17" s="1">
        <f>[1]Results!Y1377</f>
        <v>2.9373421035203628E-2</v>
      </c>
      <c r="W17" s="1">
        <f>[1]Results!Z1377</f>
        <v>3.3239293436245175E-2</v>
      </c>
      <c r="X17" s="1">
        <f>[1]Results!AA1377</f>
        <v>3.7329487221032367E-2</v>
      </c>
      <c r="Y17" s="1">
        <f>[1]Results!AB1377</f>
        <v>4.1568315541425566E-2</v>
      </c>
      <c r="Z17" s="1">
        <f>[1]Results!AC1377</f>
        <v>4.5928604447123662E-2</v>
      </c>
      <c r="AA17" s="1">
        <f>[1]Results!AD1377</f>
        <v>5.0376305264533794E-2</v>
      </c>
      <c r="AB17" s="1">
        <f>[1]Results!AE1377</f>
        <v>5.4839763238245146E-2</v>
      </c>
      <c r="AC17" s="1">
        <f>[1]Results!AF1377</f>
        <v>5.8941364060028346E-2</v>
      </c>
      <c r="AD17" s="1">
        <f>[1]Results!AG1377</f>
        <v>6.2248500635008128E-2</v>
      </c>
      <c r="AE17" s="1">
        <f>[1]Results!AH1377</f>
        <v>6.4734381573475178E-2</v>
      </c>
      <c r="AF17" s="1">
        <f>[1]Results!AI1377</f>
        <v>6.6488430131471904E-2</v>
      </c>
      <c r="AG17" s="1">
        <f>[1]Results!AJ1377</f>
        <v>6.7595222610714767E-2</v>
      </c>
      <c r="AH17" s="1">
        <f>[1]Results!AK1377</f>
        <v>6.7989396873662775E-2</v>
      </c>
      <c r="AI17" s="1">
        <f>[1]Results!AL1377</f>
        <v>6.7546549783240636E-2</v>
      </c>
      <c r="AJ17" s="1">
        <f>[1]Results!AM1377</f>
        <v>6.6284683739662911E-2</v>
      </c>
      <c r="AK17" s="1">
        <f>[1]Results!AN1377</f>
        <v>6.4269786817973004E-2</v>
      </c>
      <c r="AL17" s="1">
        <f>[1]Results!AO1377</f>
        <v>6.1565500094405201E-2</v>
      </c>
    </row>
    <row r="18" spans="1:3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0</v>
      </c>
      <c r="D18" s="1">
        <f>[1]Results!G1378</f>
        <v>0</v>
      </c>
      <c r="E18" s="1">
        <f>[1]Results!H1378</f>
        <v>0</v>
      </c>
      <c r="F18" s="1">
        <f>[1]Results!I1378</f>
        <v>0</v>
      </c>
      <c r="G18" s="1">
        <f>[1]Results!J1378</f>
        <v>0</v>
      </c>
      <c r="H18" s="1">
        <f>[1]Results!K1378</f>
        <v>0</v>
      </c>
      <c r="I18" s="1">
        <f>[1]Results!L1378</f>
        <v>9.6275395815403897E-2</v>
      </c>
      <c r="J18" s="1">
        <f>[1]Results!M1378</f>
        <v>0.18269338064016427</v>
      </c>
      <c r="K18" s="1">
        <f>[1]Results!N1378</f>
        <v>0.21902278133016928</v>
      </c>
      <c r="L18" s="1">
        <f>[1]Results!O1378</f>
        <v>0.34132484889917158</v>
      </c>
      <c r="M18" s="1">
        <f>[1]Results!P1378</f>
        <v>0.56453814995518492</v>
      </c>
      <c r="N18" s="1">
        <f>[1]Results!Q1378</f>
        <v>0.8447233729450776</v>
      </c>
      <c r="O18" s="1">
        <f>[1]Results!R1378</f>
        <v>1.1862367847896405</v>
      </c>
      <c r="P18" s="1">
        <f>[1]Results!S1378</f>
        <v>1.5467130715055344</v>
      </c>
      <c r="Q18" s="1">
        <f>[1]Results!T1378</f>
        <v>1.8964146046520636</v>
      </c>
      <c r="R18" s="1">
        <f>[1]Results!U1378</f>
        <v>2.2218168969210028</v>
      </c>
      <c r="S18" s="1">
        <f>[1]Results!V1378</f>
        <v>2.4824261242640588</v>
      </c>
      <c r="T18" s="1">
        <f>[1]Results!W1378</f>
        <v>2.6651356394099102</v>
      </c>
      <c r="U18" s="1">
        <f>[1]Results!X1378</f>
        <v>2.7968865193541692</v>
      </c>
      <c r="V18" s="1">
        <f>[1]Results!Y1378</f>
        <v>2.9033599763147677</v>
      </c>
      <c r="W18" s="1">
        <f>[1]Results!Z1378</f>
        <v>2.9993248410551621</v>
      </c>
      <c r="X18" s="1">
        <f>[1]Results!AA1378</f>
        <v>3.0867359074817191</v>
      </c>
      <c r="Y18" s="1">
        <f>[1]Results!AB1378</f>
        <v>3.1642181933082547</v>
      </c>
      <c r="Z18" s="1">
        <f>[1]Results!AC1378</f>
        <v>3.2346939359894744</v>
      </c>
      <c r="AA18" s="1">
        <f>[1]Results!AD1378</f>
        <v>3.3004729808261413</v>
      </c>
      <c r="AB18" s="1">
        <f>[1]Results!AE1378</f>
        <v>3.3617283352358474</v>
      </c>
      <c r="AC18" s="1">
        <f>[1]Results!AF1378</f>
        <v>3.4039280284005491</v>
      </c>
      <c r="AD18" s="1">
        <f>[1]Results!AG1378</f>
        <v>3.413942152810967</v>
      </c>
      <c r="AE18" s="1">
        <f>[1]Results!AH1378</f>
        <v>3.399525353553523</v>
      </c>
      <c r="AF18" s="1">
        <f>[1]Results!AI1378</f>
        <v>3.3704406385679953</v>
      </c>
      <c r="AG18" s="1">
        <f>[1]Results!AJ1378</f>
        <v>3.3332412085738561</v>
      </c>
      <c r="AH18" s="1">
        <f>[1]Results!AK1378</f>
        <v>3.2859043385510711</v>
      </c>
      <c r="AI18" s="1">
        <f>[1]Results!AL1378</f>
        <v>3.2243449758915022</v>
      </c>
      <c r="AJ18" s="1">
        <f>[1]Results!AM1378</f>
        <v>3.152713454127376</v>
      </c>
      <c r="AK18" s="1">
        <f>[1]Results!AN1378</f>
        <v>3.0766766561885373</v>
      </c>
      <c r="AL18" s="1">
        <f>[1]Results!AO1378</f>
        <v>3.0005160683950649</v>
      </c>
    </row>
    <row r="19" spans="1:3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0</v>
      </c>
      <c r="D19" s="1">
        <f>[1]Results!G1379</f>
        <v>0</v>
      </c>
      <c r="E19" s="1">
        <f>[1]Results!H1379</f>
        <v>0</v>
      </c>
      <c r="F19" s="1">
        <f>[1]Results!I1379</f>
        <v>0</v>
      </c>
      <c r="G19" s="1">
        <f>[1]Results!J1379</f>
        <v>0</v>
      </c>
      <c r="H19" s="1">
        <f>[1]Results!K1379</f>
        <v>0</v>
      </c>
      <c r="I19" s="1">
        <f>[1]Results!L1379</f>
        <v>0.80611856684917882</v>
      </c>
      <c r="J19" s="1">
        <f>[1]Results!M1379</f>
        <v>-0.29563885261509881</v>
      </c>
      <c r="K19" s="1">
        <f>[1]Results!N1379</f>
        <v>-0.8896436930291185</v>
      </c>
      <c r="L19" s="1">
        <f>[1]Results!O1379</f>
        <v>-0.70295906300648081</v>
      </c>
      <c r="M19" s="1">
        <f>[1]Results!P1379</f>
        <v>2.0997831466784689E-2</v>
      </c>
      <c r="N19" s="1">
        <f>[1]Results!Q1379</f>
        <v>1.5103531231479117</v>
      </c>
      <c r="O19" s="1">
        <f>[1]Results!R1379</f>
        <v>2.8944202700350585</v>
      </c>
      <c r="P19" s="1">
        <f>[1]Results!S1379</f>
        <v>3.8026222694802936</v>
      </c>
      <c r="Q19" s="1">
        <f>[1]Results!T1379</f>
        <v>4.2381645892654696</v>
      </c>
      <c r="R19" s="1">
        <f>[1]Results!U1379</f>
        <v>4.3483082652170824</v>
      </c>
      <c r="S19" s="1">
        <f>[1]Results!V1379</f>
        <v>3.6893039032733999</v>
      </c>
      <c r="T19" s="1">
        <f>[1]Results!W1379</f>
        <v>2.9272960293048378</v>
      </c>
      <c r="U19" s="1">
        <f>[1]Results!X1379</f>
        <v>2.3664636774622272</v>
      </c>
      <c r="V19" s="1">
        <f>[1]Results!Y1379</f>
        <v>2.0666931009010181</v>
      </c>
      <c r="W19" s="1">
        <f>[1]Results!Z1379</f>
        <v>1.9815416896679094</v>
      </c>
      <c r="X19" s="1">
        <f>[1]Results!AA1379</f>
        <v>2.0331474512549574</v>
      </c>
      <c r="Y19" s="1">
        <f>[1]Results!AB1379</f>
        <v>2.155495561742371</v>
      </c>
      <c r="Z19" s="1">
        <f>[1]Results!AC1379</f>
        <v>2.3087832167376421</v>
      </c>
      <c r="AA19" s="1">
        <f>[1]Results!AD1379</f>
        <v>2.4674835026724073</v>
      </c>
      <c r="AB19" s="1">
        <f>[1]Results!AE1379</f>
        <v>2.6120038630675912</v>
      </c>
      <c r="AC19" s="1">
        <f>[1]Results!AF1379</f>
        <v>2.7146021258926956</v>
      </c>
      <c r="AD19" s="1">
        <f>[1]Results!AG1379</f>
        <v>2.7625265915051989</v>
      </c>
      <c r="AE19" s="1">
        <f>[1]Results!AH1379</f>
        <v>2.7765928229474657</v>
      </c>
      <c r="AF19" s="1">
        <f>[1]Results!AI1379</f>
        <v>2.7772448328055255</v>
      </c>
      <c r="AG19" s="1">
        <f>[1]Results!AJ1379</f>
        <v>2.7738818920098884</v>
      </c>
      <c r="AH19" s="1">
        <f>[1]Results!AK1379</f>
        <v>2.763626021622767</v>
      </c>
      <c r="AI19" s="1">
        <f>[1]Results!AL1379</f>
        <v>2.743217871846948</v>
      </c>
      <c r="AJ19" s="1">
        <f>[1]Results!AM1379</f>
        <v>2.7211847160918179</v>
      </c>
      <c r="AK19" s="1">
        <f>[1]Results!AN1379</f>
        <v>2.7069851372332421</v>
      </c>
      <c r="AL19" s="1">
        <f>[1]Results!AO1379</f>
        <v>2.7047808821623276</v>
      </c>
    </row>
    <row r="20" spans="1:3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</row>
    <row r="21" spans="1:3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0</v>
      </c>
      <c r="D21" s="1">
        <f>[1]Results!G1381</f>
        <v>0</v>
      </c>
      <c r="E21" s="1">
        <f>[1]Results!H1381</f>
        <v>0</v>
      </c>
      <c r="F21" s="1">
        <f>[1]Results!I1381</f>
        <v>0</v>
      </c>
      <c r="G21" s="1">
        <f>[1]Results!J1381</f>
        <v>0</v>
      </c>
      <c r="H21" s="1">
        <f>[1]Results!K1381</f>
        <v>0</v>
      </c>
      <c r="I21" s="1">
        <f>[1]Results!L1381</f>
        <v>4.4718851795155778E-2</v>
      </c>
      <c r="J21" s="1">
        <f>[1]Results!M1381</f>
        <v>-0.10227877177505507</v>
      </c>
      <c r="K21" s="1">
        <f>[1]Results!N1381</f>
        <v>-0.29487401538820235</v>
      </c>
      <c r="L21" s="1">
        <f>[1]Results!O1381</f>
        <v>-0.21992893869797747</v>
      </c>
      <c r="M21" s="1">
        <f>[1]Results!P1381</f>
        <v>-1.3438008424260239E-2</v>
      </c>
      <c r="N21" s="1">
        <f>[1]Results!Q1381</f>
        <v>0.2422984927797911</v>
      </c>
      <c r="O21" s="1">
        <f>[1]Results!R1381</f>
        <v>0.51220678988992407</v>
      </c>
      <c r="P21" s="1">
        <f>[1]Results!S1381</f>
        <v>0.78697788497579246</v>
      </c>
      <c r="Q21" s="1">
        <f>[1]Results!T1381</f>
        <v>1.0740297466734106</v>
      </c>
      <c r="R21" s="1">
        <f>[1]Results!U1381</f>
        <v>1.3716093830248965</v>
      </c>
      <c r="S21" s="1">
        <f>[1]Results!V1381</f>
        <v>1.6383185207448969</v>
      </c>
      <c r="T21" s="1">
        <f>[1]Results!W1381</f>
        <v>1.8613291137506982</v>
      </c>
      <c r="U21" s="1">
        <f>[1]Results!X1381</f>
        <v>2.0479653930285613</v>
      </c>
      <c r="V21" s="1">
        <f>[1]Results!Y1381</f>
        <v>2.2124722427024457</v>
      </c>
      <c r="W21" s="1">
        <f>[1]Results!Z1381</f>
        <v>2.367050833712514</v>
      </c>
      <c r="X21" s="1">
        <f>[1]Results!AA1381</f>
        <v>2.517798997603693</v>
      </c>
      <c r="Y21" s="1">
        <f>[1]Results!AB1381</f>
        <v>2.6664094583548126</v>
      </c>
      <c r="Z21" s="1">
        <f>[1]Results!AC1381</f>
        <v>2.8134997135982553</v>
      </c>
      <c r="AA21" s="1">
        <f>[1]Results!AD1381</f>
        <v>2.9587423019696191</v>
      </c>
      <c r="AB21" s="1">
        <f>[1]Results!AE1381</f>
        <v>3.1007814489411256</v>
      </c>
      <c r="AC21" s="1">
        <f>[1]Results!AF1381</f>
        <v>3.2353257096332078</v>
      </c>
      <c r="AD21" s="1">
        <f>[1]Results!AG1381</f>
        <v>3.3560448025106826</v>
      </c>
      <c r="AE21" s="1">
        <f>[1]Results!AH1381</f>
        <v>3.4631328703973896</v>
      </c>
      <c r="AF21" s="1">
        <f>[1]Results!AI1381</f>
        <v>3.5591621419936326</v>
      </c>
      <c r="AG21" s="1">
        <f>[1]Results!AJ1381</f>
        <v>3.6468959025895531</v>
      </c>
      <c r="AH21" s="1">
        <f>[1]Results!AK1381</f>
        <v>3.7270558599037606</v>
      </c>
      <c r="AI21" s="1">
        <f>[1]Results!AL1381</f>
        <v>3.7998246542816805</v>
      </c>
      <c r="AJ21" s="1">
        <f>[1]Results!AM1381</f>
        <v>3.867879186214207</v>
      </c>
      <c r="AK21" s="1">
        <f>[1]Results!AN1381</f>
        <v>3.9359094978492548</v>
      </c>
      <c r="AL21" s="1">
        <f>[1]Results!AO1381</f>
        <v>4.011776655834276</v>
      </c>
    </row>
    <row r="22" spans="1:3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0</v>
      </c>
      <c r="D22" s="1">
        <f>[1]Results!G1382</f>
        <v>0</v>
      </c>
      <c r="E22" s="1">
        <f>[1]Results!H1382</f>
        <v>0</v>
      </c>
      <c r="F22" s="1">
        <f>[1]Results!I1382</f>
        <v>0</v>
      </c>
      <c r="G22" s="1">
        <f>[1]Results!J1382</f>
        <v>0</v>
      </c>
      <c r="H22" s="1">
        <f>[1]Results!K1382</f>
        <v>0</v>
      </c>
      <c r="I22" s="1">
        <f>[1]Results!L1382</f>
        <v>4.4497669114074156E-2</v>
      </c>
      <c r="J22" s="1">
        <f>[1]Results!M1382</f>
        <v>-0.11185383513825364</v>
      </c>
      <c r="K22" s="1">
        <f>[1]Results!N1382</f>
        <v>-0.31785996579652975</v>
      </c>
      <c r="L22" s="1">
        <f>[1]Results!O1382</f>
        <v>-0.21414326716056031</v>
      </c>
      <c r="M22" s="1">
        <f>[1]Results!P1382</f>
        <v>3.9729219376072322E-2</v>
      </c>
      <c r="N22" s="1">
        <f>[1]Results!Q1382</f>
        <v>0.34019351580552026</v>
      </c>
      <c r="O22" s="1">
        <f>[1]Results!R1382</f>
        <v>0.64546876052602453</v>
      </c>
      <c r="P22" s="1">
        <f>[1]Results!S1382</f>
        <v>0.94730549456139013</v>
      </c>
      <c r="Q22" s="1">
        <f>[1]Results!T1382</f>
        <v>1.2576022046363766</v>
      </c>
      <c r="R22" s="1">
        <f>[1]Results!U1382</f>
        <v>1.5769495628311203</v>
      </c>
      <c r="S22" s="1">
        <f>[1]Results!V1382</f>
        <v>1.8649963384374857</v>
      </c>
      <c r="T22" s="1">
        <f>[1]Results!W1382</f>
        <v>2.1071702612178944</v>
      </c>
      <c r="U22" s="1">
        <f>[1]Results!X1382</f>
        <v>2.3096727899443392</v>
      </c>
      <c r="V22" s="1">
        <f>[1]Results!Y1382</f>
        <v>2.4866094633826163</v>
      </c>
      <c r="W22" s="1">
        <f>[1]Results!Z1382</f>
        <v>2.6506055392495176</v>
      </c>
      <c r="X22" s="1">
        <f>[1]Results!AA1382</f>
        <v>2.8085541076956044</v>
      </c>
      <c r="Y22" s="1">
        <f>[1]Results!AB1382</f>
        <v>2.962798620767404</v>
      </c>
      <c r="Z22" s="1">
        <f>[1]Results!AC1382</f>
        <v>3.1141502119301112</v>
      </c>
      <c r="AA22" s="1">
        <f>[1]Results!AD1382</f>
        <v>3.2623610566330008</v>
      </c>
      <c r="AB22" s="1">
        <f>[1]Results!AE1382</f>
        <v>3.4061610410651921</v>
      </c>
      <c r="AC22" s="1">
        <f>[1]Results!AF1382</f>
        <v>3.5423920818671517</v>
      </c>
      <c r="AD22" s="1">
        <f>[1]Results!AG1382</f>
        <v>3.6657274614931179</v>
      </c>
      <c r="AE22" s="1">
        <f>[1]Results!AH1382</f>
        <v>3.7765272508572201</v>
      </c>
      <c r="AF22" s="1">
        <f>[1]Results!AI1382</f>
        <v>3.8774838338796691</v>
      </c>
      <c r="AG22" s="1">
        <f>[1]Results!AJ1382</f>
        <v>3.9715885634571624</v>
      </c>
      <c r="AH22" s="1">
        <f>[1]Results!AK1382</f>
        <v>4.0601609065580302</v>
      </c>
      <c r="AI22" s="1">
        <f>[1]Results!AL1382</f>
        <v>4.1441387007093322</v>
      </c>
      <c r="AJ22" s="1">
        <f>[1]Results!AM1382</f>
        <v>4.2266457561852766</v>
      </c>
      <c r="AK22" s="1">
        <f>[1]Results!AN1382</f>
        <v>4.3129053336067091</v>
      </c>
      <c r="AL22" s="1">
        <f>[1]Results!AO1382</f>
        <v>4.4118502678981431</v>
      </c>
    </row>
    <row r="23" spans="1:38" x14ac:dyDescent="0.35">
      <c r="A23" s="3" t="str">
        <f>[1]Results!E1383</f>
        <v>100*(X_2/X_0-1)</v>
      </c>
      <c r="B23" t="s">
        <v>18</v>
      </c>
      <c r="C23" s="1">
        <f>[1]Results!F1383</f>
        <v>0</v>
      </c>
      <c r="D23" s="1">
        <f>[1]Results!G1383</f>
        <v>0</v>
      </c>
      <c r="E23" s="1">
        <f>[1]Results!H1383</f>
        <v>0</v>
      </c>
      <c r="F23" s="1">
        <f>[1]Results!I1383</f>
        <v>0</v>
      </c>
      <c r="G23" s="1">
        <f>[1]Results!J1383</f>
        <v>0</v>
      </c>
      <c r="H23" s="1">
        <f>[1]Results!K1383</f>
        <v>0</v>
      </c>
      <c r="I23" s="1">
        <f>[1]Results!L1383</f>
        <v>1.7359003107775273E-2</v>
      </c>
      <c r="J23" s="1">
        <f>[1]Results!M1383</f>
        <v>-1.1330745920611229</v>
      </c>
      <c r="K23" s="1">
        <f>[1]Results!N1383</f>
        <v>-2.084761655490952</v>
      </c>
      <c r="L23" s="1">
        <f>[1]Results!O1383</f>
        <v>-1.7409815262065087</v>
      </c>
      <c r="M23" s="1">
        <f>[1]Results!P1383</f>
        <v>-1.5126269211460208</v>
      </c>
      <c r="N23" s="1">
        <f>[1]Results!Q1383</f>
        <v>-1.4772820099624995</v>
      </c>
      <c r="O23" s="1">
        <f>[1]Results!R1383</f>
        <v>-1.6656542469765889</v>
      </c>
      <c r="P23" s="1">
        <f>[1]Results!S1383</f>
        <v>-1.9580766961482698</v>
      </c>
      <c r="Q23" s="1">
        <f>[1]Results!T1383</f>
        <v>-2.226854698373526</v>
      </c>
      <c r="R23" s="1">
        <f>[1]Results!U1383</f>
        <v>-2.4557529518422827</v>
      </c>
      <c r="S23" s="1">
        <f>[1]Results!V1383</f>
        <v>-2.6937841740884871</v>
      </c>
      <c r="T23" s="1">
        <f>[1]Results!W1383</f>
        <v>-2.9420328417355091</v>
      </c>
      <c r="U23" s="1">
        <f>[1]Results!X1383</f>
        <v>-3.1955369255448729</v>
      </c>
      <c r="V23" s="1">
        <f>[1]Results!Y1383</f>
        <v>-3.4513465376590502</v>
      </c>
      <c r="W23" s="1">
        <f>[1]Results!Z1383</f>
        <v>-3.7055918997301207</v>
      </c>
      <c r="X23" s="1">
        <f>[1]Results!AA1383</f>
        <v>-3.9503517979426417</v>
      </c>
      <c r="Y23" s="1">
        <f>[1]Results!AB1383</f>
        <v>-4.1798434194814327</v>
      </c>
      <c r="Z23" s="1">
        <f>[1]Results!AC1383</f>
        <v>-4.3955808475031999</v>
      </c>
      <c r="AA23" s="1">
        <f>[1]Results!AD1383</f>
        <v>-4.5996946555930673</v>
      </c>
      <c r="AB23" s="1">
        <f>[1]Results!AE1383</f>
        <v>-4.7931089065044503</v>
      </c>
      <c r="AC23" s="1">
        <f>[1]Results!AF1383</f>
        <v>-4.9568908032073704</v>
      </c>
      <c r="AD23" s="1">
        <f>[1]Results!AG1383</f>
        <v>-5.0802398852711983</v>
      </c>
      <c r="AE23" s="1">
        <f>[1]Results!AH1383</f>
        <v>-5.1686405088146259</v>
      </c>
      <c r="AF23" s="1">
        <f>[1]Results!AI1383</f>
        <v>-5.2296641557209362</v>
      </c>
      <c r="AG23" s="1">
        <f>[1]Results!AJ1383</f>
        <v>-5.2692310831146667</v>
      </c>
      <c r="AH23" s="1">
        <f>[1]Results!AK1383</f>
        <v>-5.2853757553168563</v>
      </c>
      <c r="AI23" s="1">
        <f>[1]Results!AL1383</f>
        <v>-5.2738620601980308</v>
      </c>
      <c r="AJ23" s="1">
        <f>[1]Results!AM1383</f>
        <v>-5.2384138234252475</v>
      </c>
      <c r="AK23" s="1">
        <f>[1]Results!AN1383</f>
        <v>-5.1841287707571126</v>
      </c>
      <c r="AL23" s="1">
        <f>[1]Results!AO1383</f>
        <v>-5.1160038510125521</v>
      </c>
    </row>
    <row r="24" spans="1:38" x14ac:dyDescent="0.35">
      <c r="A24" s="3" t="str">
        <f>[1]Results!E1384</f>
        <v>100*(M_2/M_0-1)</v>
      </c>
      <c r="B24" t="s">
        <v>19</v>
      </c>
      <c r="C24" s="1">
        <f>[1]Results!F1384</f>
        <v>0</v>
      </c>
      <c r="D24" s="1">
        <f>[1]Results!G1384</f>
        <v>0</v>
      </c>
      <c r="E24" s="1">
        <f>[1]Results!H1384</f>
        <v>0</v>
      </c>
      <c r="F24" s="1">
        <f>[1]Results!I1384</f>
        <v>0</v>
      </c>
      <c r="G24" s="1">
        <f>[1]Results!J1384</f>
        <v>0</v>
      </c>
      <c r="H24" s="1">
        <f>[1]Results!K1384</f>
        <v>0</v>
      </c>
      <c r="I24" s="1">
        <f>[1]Results!L1384</f>
        <v>8.4375709602824145E-2</v>
      </c>
      <c r="J24" s="1">
        <f>[1]Results!M1384</f>
        <v>-0.40122822058404894</v>
      </c>
      <c r="K24" s="1">
        <f>[1]Results!N1384</f>
        <v>-0.90755289594551813</v>
      </c>
      <c r="L24" s="1">
        <f>[1]Results!O1384</f>
        <v>-0.98790705977318538</v>
      </c>
      <c r="M24" s="1">
        <f>[1]Results!P1384</f>
        <v>-0.96434461915618774</v>
      </c>
      <c r="N24" s="1">
        <f>[1]Results!Q1384</f>
        <v>-0.88010592813824173</v>
      </c>
      <c r="O24" s="1">
        <f>[1]Results!R1384</f>
        <v>-0.77348991487684593</v>
      </c>
      <c r="P24" s="1">
        <f>[1]Results!S1384</f>
        <v>-0.65466834279752639</v>
      </c>
      <c r="Q24" s="1">
        <f>[1]Results!T1384</f>
        <v>-0.51240357539029668</v>
      </c>
      <c r="R24" s="1">
        <f>[1]Results!U1384</f>
        <v>-0.35147905386907485</v>
      </c>
      <c r="S24" s="1">
        <f>[1]Results!V1384</f>
        <v>-0.21782206538605298</v>
      </c>
      <c r="T24" s="1">
        <f>[1]Results!W1384</f>
        <v>-0.12657062372964933</v>
      </c>
      <c r="U24" s="1">
        <f>[1]Results!X1384</f>
        <v>-5.7921002422300916E-2</v>
      </c>
      <c r="V24" s="1">
        <f>[1]Results!Y1384</f>
        <v>3.0846238393111847E-3</v>
      </c>
      <c r="W24" s="1">
        <f>[1]Results!Z1384</f>
        <v>6.3005636870605564E-2</v>
      </c>
      <c r="X24" s="1">
        <f>[1]Results!AA1384</f>
        <v>0.12082849076822111</v>
      </c>
      <c r="Y24" s="1">
        <f>[1]Results!AB1384</f>
        <v>0.17405332848741129</v>
      </c>
      <c r="Z24" s="1">
        <f>[1]Results!AC1384</f>
        <v>0.22308040431775478</v>
      </c>
      <c r="AA24" s="1">
        <f>[1]Results!AD1384</f>
        <v>0.26795813676061542</v>
      </c>
      <c r="AB24" s="1">
        <f>[1]Results!AE1384</f>
        <v>0.30747453508019884</v>
      </c>
      <c r="AC24" s="1">
        <f>[1]Results!AF1384</f>
        <v>0.33512509113902134</v>
      </c>
      <c r="AD24" s="1">
        <f>[1]Results!AG1384</f>
        <v>0.34182481845237422</v>
      </c>
      <c r="AE24" s="1">
        <f>[1]Results!AH1384</f>
        <v>0.33300925293187067</v>
      </c>
      <c r="AF24" s="1">
        <f>[1]Results!AI1384</f>
        <v>0.31501859112266217</v>
      </c>
      <c r="AG24" s="1">
        <f>[1]Results!AJ1384</f>
        <v>0.29182953655946253</v>
      </c>
      <c r="AH24" s="1">
        <f>[1]Results!AK1384</f>
        <v>0.26204919870003174</v>
      </c>
      <c r="AI24" s="1">
        <f>[1]Results!AL1384</f>
        <v>0.22273080965735659</v>
      </c>
      <c r="AJ24" s="1">
        <f>[1]Results!AM1384</f>
        <v>0.1740802301309019</v>
      </c>
      <c r="AK24" s="1">
        <f>[1]Results!AN1384</f>
        <v>0.11387256027184378</v>
      </c>
      <c r="AL24" s="1">
        <f>[1]Results!AO1384</f>
        <v>3.2337238557356152E-2</v>
      </c>
    </row>
    <row r="25" spans="1:3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0</v>
      </c>
      <c r="D25" s="1">
        <f>[1]Results!G1385</f>
        <v>0</v>
      </c>
      <c r="E25" s="1">
        <f>[1]Results!H1385</f>
        <v>0</v>
      </c>
      <c r="F25" s="1">
        <f>[1]Results!I1385</f>
        <v>0</v>
      </c>
      <c r="G25" s="1">
        <f>[1]Results!J1385</f>
        <v>0</v>
      </c>
      <c r="H25" s="1">
        <f>[1]Results!K1385</f>
        <v>0</v>
      </c>
      <c r="I25" s="1">
        <f>[1]Results!L1385</f>
        <v>0.10046071664955303</v>
      </c>
      <c r="J25" s="1">
        <f>[1]Results!M1385</f>
        <v>0.18425078482766644</v>
      </c>
      <c r="K25" s="1">
        <f>[1]Results!N1385</f>
        <v>0.16200041846572422</v>
      </c>
      <c r="L25" s="1">
        <f>[1]Results!O1385</f>
        <v>0.17742303501682155</v>
      </c>
      <c r="M25" s="1">
        <f>[1]Results!P1385</f>
        <v>0.26514278899725241</v>
      </c>
      <c r="N25" s="1">
        <f>[1]Results!Q1385</f>
        <v>0.43349176507805343</v>
      </c>
      <c r="O25" s="1">
        <f>[1]Results!R1385</f>
        <v>0.747513942368494</v>
      </c>
      <c r="P25" s="1">
        <f>[1]Results!S1385</f>
        <v>1.1434950617638329</v>
      </c>
      <c r="Q25" s="1">
        <f>[1]Results!T1385</f>
        <v>1.5596714790449662</v>
      </c>
      <c r="R25" s="1">
        <f>[1]Results!U1385</f>
        <v>1.9598606306409749</v>
      </c>
      <c r="S25" s="1">
        <f>[1]Results!V1385</f>
        <v>2.2858606028971051</v>
      </c>
      <c r="T25" s="1">
        <f>[1]Results!W1385</f>
        <v>2.5102193167879205</v>
      </c>
      <c r="U25" s="1">
        <f>[1]Results!X1385</f>
        <v>2.6680422699246087</v>
      </c>
      <c r="V25" s="1">
        <f>[1]Results!Y1385</f>
        <v>2.7936613504250696</v>
      </c>
      <c r="W25" s="1">
        <f>[1]Results!Z1385</f>
        <v>2.9068819104673072</v>
      </c>
      <c r="X25" s="1">
        <f>[1]Results!AA1385</f>
        <v>3.011627899303182</v>
      </c>
      <c r="Y25" s="1">
        <f>[1]Results!AB1385</f>
        <v>3.1067343363910371</v>
      </c>
      <c r="Z25" s="1">
        <f>[1]Results!AC1385</f>
        <v>3.1946821800877379</v>
      </c>
      <c r="AA25" s="1">
        <f>[1]Results!AD1385</f>
        <v>3.2771775554245819</v>
      </c>
      <c r="AB25" s="1">
        <f>[1]Results!AE1385</f>
        <v>3.3539160486922404</v>
      </c>
      <c r="AC25" s="1">
        <f>[1]Results!AF1385</f>
        <v>3.4097876180836817</v>
      </c>
      <c r="AD25" s="1">
        <f>[1]Results!AG1385</f>
        <v>3.4312611872968191</v>
      </c>
      <c r="AE25" s="1">
        <f>[1]Results!AH1385</f>
        <v>3.4262608560307717</v>
      </c>
      <c r="AF25" s="1">
        <f>[1]Results!AI1385</f>
        <v>3.4048575494654232</v>
      </c>
      <c r="AG25" s="1">
        <f>[1]Results!AJ1385</f>
        <v>3.3739999210595117</v>
      </c>
      <c r="AH25" s="1">
        <f>[1]Results!AK1385</f>
        <v>3.3319549705032925</v>
      </c>
      <c r="AI25" s="1">
        <f>[1]Results!AL1385</f>
        <v>3.2748261995792172</v>
      </c>
      <c r="AJ25" s="1">
        <f>[1]Results!AM1385</f>
        <v>3.2069988064455268</v>
      </c>
      <c r="AK25" s="1">
        <f>[1]Results!AN1385</f>
        <v>3.1343197265268463</v>
      </c>
      <c r="AL25" s="1">
        <f>[1]Results!AO1385</f>
        <v>3.0611904574396887</v>
      </c>
    </row>
    <row r="26" spans="1:3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0</v>
      </c>
      <c r="D26" s="1">
        <f>[1]Results!G1386</f>
        <v>0</v>
      </c>
      <c r="E26" s="1">
        <f>[1]Results!H1386</f>
        <v>0</v>
      </c>
      <c r="F26" s="1">
        <f>[1]Results!I1386</f>
        <v>0</v>
      </c>
      <c r="G26" s="1">
        <f>[1]Results!J1386</f>
        <v>0</v>
      </c>
      <c r="H26" s="1">
        <f>[1]Results!K1386</f>
        <v>0</v>
      </c>
      <c r="I26" s="1">
        <f>[1]Results!L1386</f>
        <v>4.033209144365113E-2</v>
      </c>
      <c r="J26" s="1">
        <f>[1]Results!M1386</f>
        <v>-7.9515759838277855E-2</v>
      </c>
      <c r="K26" s="1">
        <f>[1]Results!N1386</f>
        <v>-0.1214101455263461</v>
      </c>
      <c r="L26" s="1">
        <f>[1]Results!O1386</f>
        <v>0.19635602157239695</v>
      </c>
      <c r="M26" s="1">
        <f>[1]Results!P1386</f>
        <v>0.70785219841094094</v>
      </c>
      <c r="N26" s="1">
        <f>[1]Results!Q1386</f>
        <v>1.2163223825544023</v>
      </c>
      <c r="O26" s="1">
        <f>[1]Results!R1386</f>
        <v>1.5529962229491545</v>
      </c>
      <c r="P26" s="1">
        <f>[1]Results!S1386</f>
        <v>1.753872145603852</v>
      </c>
      <c r="Q26" s="1">
        <f>[1]Results!T1386</f>
        <v>1.8952684693480437</v>
      </c>
      <c r="R26" s="1">
        <f>[1]Results!U1386</f>
        <v>2.0254561379466018</v>
      </c>
      <c r="S26" s="1">
        <f>[1]Results!V1386</f>
        <v>2.1433768401844855</v>
      </c>
      <c r="T26" s="1">
        <f>[1]Results!W1386</f>
        <v>2.2684125673580802</v>
      </c>
      <c r="U26" s="1">
        <f>[1]Results!X1386</f>
        <v>2.3910143258769168</v>
      </c>
      <c r="V26" s="1">
        <f>[1]Results!Y1386</f>
        <v>2.5068609246165163</v>
      </c>
      <c r="W26" s="1">
        <f>[1]Results!Z1386</f>
        <v>2.6170962138046816</v>
      </c>
      <c r="X26" s="1">
        <f>[1]Results!AA1386</f>
        <v>2.7232338856759464</v>
      </c>
      <c r="Y26" s="1">
        <f>[1]Results!AB1386</f>
        <v>2.8264170137416222</v>
      </c>
      <c r="Z26" s="1">
        <f>[1]Results!AC1386</f>
        <v>2.9285108008050953</v>
      </c>
      <c r="AA26" s="1">
        <f>[1]Results!AD1386</f>
        <v>3.0307781832620728</v>
      </c>
      <c r="AB26" s="1">
        <f>[1]Results!AE1386</f>
        <v>3.1330646275592011</v>
      </c>
      <c r="AC26" s="1">
        <f>[1]Results!AF1386</f>
        <v>3.2318028428016898</v>
      </c>
      <c r="AD26" s="1">
        <f>[1]Results!AG1386</f>
        <v>3.3212264687177084</v>
      </c>
      <c r="AE26" s="1">
        <f>[1]Results!AH1386</f>
        <v>3.4016223148994662</v>
      </c>
      <c r="AF26" s="1">
        <f>[1]Results!AI1386</f>
        <v>3.4752471630515869</v>
      </c>
      <c r="AG26" s="1">
        <f>[1]Results!AJ1386</f>
        <v>3.5441139386880316</v>
      </c>
      <c r="AH26" s="1">
        <f>[1]Results!AK1386</f>
        <v>3.6080870461419945</v>
      </c>
      <c r="AI26" s="1">
        <f>[1]Results!AL1386</f>
        <v>3.6666753262843521</v>
      </c>
      <c r="AJ26" s="1">
        <f>[1]Results!AM1386</f>
        <v>3.7220701908934339</v>
      </c>
      <c r="AK26" s="1">
        <f>[1]Results!AN1386</f>
        <v>3.7785776016360462</v>
      </c>
      <c r="AL26" s="1">
        <f>[1]Results!AO1386</f>
        <v>3.8436216423104241</v>
      </c>
    </row>
    <row r="27" spans="1:3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0</v>
      </c>
      <c r="D27" s="1">
        <f>[1]Results!G1387</f>
        <v>0</v>
      </c>
      <c r="E27" s="1">
        <f>[1]Results!H1387</f>
        <v>0</v>
      </c>
      <c r="F27" s="1">
        <f>[1]Results!I1387</f>
        <v>0</v>
      </c>
      <c r="G27" s="1">
        <f>[1]Results!J1387</f>
        <v>0</v>
      </c>
      <c r="H27" s="1">
        <f>[1]Results!K1387</f>
        <v>0</v>
      </c>
      <c r="I27" s="1">
        <f>[1]Results!L1387</f>
        <v>-9.7024412315516173E-4</v>
      </c>
      <c r="J27" s="1">
        <f>[1]Results!M1387</f>
        <v>0.14485673353852313</v>
      </c>
      <c r="K27" s="1">
        <f>[1]Results!N1387</f>
        <v>1.6606838700556015</v>
      </c>
      <c r="L27" s="1">
        <f>[1]Results!O1387</f>
        <v>4.6327215386532394</v>
      </c>
      <c r="M27" s="1">
        <f>[1]Results!P1387</f>
        <v>8.6465164832170807</v>
      </c>
      <c r="N27" s="1">
        <f>[1]Results!Q1387</f>
        <v>12.243455278045868</v>
      </c>
      <c r="O27" s="1">
        <f>[1]Results!R1387</f>
        <v>13.631191176979707</v>
      </c>
      <c r="P27" s="1">
        <f>[1]Results!S1387</f>
        <v>13.222380190116345</v>
      </c>
      <c r="Q27" s="1">
        <f>[1]Results!T1387</f>
        <v>11.833694642352199</v>
      </c>
      <c r="R27" s="1">
        <f>[1]Results!U1387</f>
        <v>10.091392147611899</v>
      </c>
      <c r="S27" s="1">
        <f>[1]Results!V1387</f>
        <v>8.4951289070613889</v>
      </c>
      <c r="T27" s="1">
        <f>[1]Results!W1387</f>
        <v>7.4956774959042294</v>
      </c>
      <c r="U27" s="1">
        <f>[1]Results!X1387</f>
        <v>6.8985939040125732</v>
      </c>
      <c r="V27" s="1">
        <f>[1]Results!Y1387</f>
        <v>6.4747799374347492</v>
      </c>
      <c r="W27" s="1">
        <f>[1]Results!Z1387</f>
        <v>6.0818226594271385</v>
      </c>
      <c r="X27" s="1">
        <f>[1]Results!AA1387</f>
        <v>5.654507524802721</v>
      </c>
      <c r="Y27" s="1">
        <f>[1]Results!AB1387</f>
        <v>5.1814434503766105</v>
      </c>
      <c r="Z27" s="1">
        <f>[1]Results!AC1387</f>
        <v>4.6781556108362654</v>
      </c>
      <c r="AA27" s="1">
        <f>[1]Results!AD1387</f>
        <v>4.1660713092859236</v>
      </c>
      <c r="AB27" s="1">
        <f>[1]Results!AE1387</f>
        <v>3.6612121637581208</v>
      </c>
      <c r="AC27" s="1">
        <f>[1]Results!AF1387</f>
        <v>3.1718798244872115</v>
      </c>
      <c r="AD27" s="1">
        <f>[1]Results!AG1387</f>
        <v>2.7042836257579195</v>
      </c>
      <c r="AE27" s="1">
        <f>[1]Results!AH1387</f>
        <v>2.2647906646951377</v>
      </c>
      <c r="AF27" s="1">
        <f>[1]Results!AI1387</f>
        <v>1.8570461815237804</v>
      </c>
      <c r="AG27" s="1">
        <f>[1]Results!AJ1387</f>
        <v>1.4783507355264236</v>
      </c>
      <c r="AH27" s="1">
        <f>[1]Results!AK1387</f>
        <v>1.1213826067404398</v>
      </c>
      <c r="AI27" s="1">
        <f>[1]Results!AL1387</f>
        <v>0.77898177167285976</v>
      </c>
      <c r="AJ27" s="1">
        <f>[1]Results!AM1387</f>
        <v>0.44825360516875801</v>
      </c>
      <c r="AK27" s="1">
        <f>[1]Results!AN1387</f>
        <v>0.12905530688944733</v>
      </c>
      <c r="AL27" s="1">
        <f>[1]Results!AO1387</f>
        <v>-0.17791746689002075</v>
      </c>
    </row>
    <row r="28" spans="1:3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0</v>
      </c>
      <c r="D28" s="1">
        <f>[1]Results!G1388</f>
        <v>0</v>
      </c>
      <c r="E28" s="1">
        <f>[1]Results!H1388</f>
        <v>0</v>
      </c>
      <c r="F28" s="1">
        <f>[1]Results!I1388</f>
        <v>0</v>
      </c>
      <c r="G28" s="1">
        <f>[1]Results!J1388</f>
        <v>0</v>
      </c>
      <c r="H28" s="1">
        <f>[1]Results!K1388</f>
        <v>0</v>
      </c>
      <c r="I28" s="1">
        <f>[1]Results!L1388</f>
        <v>4.5845621192763808E-2</v>
      </c>
      <c r="J28" s="1">
        <f>[1]Results!M1388</f>
        <v>-5.3482437348628675E-2</v>
      </c>
      <c r="K28" s="1">
        <f>[1]Results!N1388</f>
        <v>-0.17767086374773644</v>
      </c>
      <c r="L28" s="1">
        <f>[1]Results!O1388</f>
        <v>-0.24945028341338826</v>
      </c>
      <c r="M28" s="1">
        <f>[1]Results!P1388</f>
        <v>-0.28496924588711225</v>
      </c>
      <c r="N28" s="1">
        <f>[1]Results!Q1388</f>
        <v>-0.25821074749082795</v>
      </c>
      <c r="O28" s="1">
        <f>[1]Results!R1388</f>
        <v>-0.16983592394080871</v>
      </c>
      <c r="P28" s="1">
        <f>[1]Results!S1388</f>
        <v>-3.3949599891847093E-2</v>
      </c>
      <c r="Q28" s="1">
        <f>[1]Results!T1388</f>
        <v>0.13422246011058903</v>
      </c>
      <c r="R28" s="1">
        <f>[1]Results!U1388</f>
        <v>0.3209092806824243</v>
      </c>
      <c r="S28" s="1">
        <f>[1]Results!V1388</f>
        <v>0.47926101014454936</v>
      </c>
      <c r="T28" s="1">
        <f>[1]Results!W1388</f>
        <v>0.60490661707754967</v>
      </c>
      <c r="U28" s="1">
        <f>[1]Results!X1388</f>
        <v>0.71046106719714341</v>
      </c>
      <c r="V28" s="1">
        <f>[1]Results!Y1388</f>
        <v>0.81056748385590627</v>
      </c>
      <c r="W28" s="1">
        <f>[1]Results!Z1388</f>
        <v>0.91503818951510496</v>
      </c>
      <c r="X28" s="1">
        <f>[1]Results!AA1388</f>
        <v>1.0257624751479621</v>
      </c>
      <c r="Y28" s="1">
        <f>[1]Results!AB1388</f>
        <v>1.1409408119591014</v>
      </c>
      <c r="Z28" s="1">
        <f>[1]Results!AC1388</f>
        <v>1.2600935111575895</v>
      </c>
      <c r="AA28" s="1">
        <f>[1]Results!AD1388</f>
        <v>1.3824964287227681</v>
      </c>
      <c r="AB28" s="1">
        <f>[1]Results!AE1388</f>
        <v>1.5064131836475037</v>
      </c>
      <c r="AC28" s="1">
        <f>[1]Results!AF1388</f>
        <v>1.6216833613879711</v>
      </c>
      <c r="AD28" s="1">
        <f>[1]Results!AG1388</f>
        <v>1.7165892144185069</v>
      </c>
      <c r="AE28" s="1">
        <f>[1]Results!AH1388</f>
        <v>1.7903105702149258</v>
      </c>
      <c r="AF28" s="1">
        <f>[1]Results!AI1388</f>
        <v>1.8448458656295408</v>
      </c>
      <c r="AG28" s="1">
        <f>[1]Results!AJ1388</f>
        <v>1.8819229645783198</v>
      </c>
      <c r="AH28" s="1">
        <f>[1]Results!AK1388</f>
        <v>1.8991573117056237</v>
      </c>
      <c r="AI28" s="1">
        <f>[1]Results!AL1388</f>
        <v>1.8925745641469538</v>
      </c>
      <c r="AJ28" s="1">
        <f>[1]Results!AM1388</f>
        <v>1.8622382951466676</v>
      </c>
      <c r="AK28" s="1">
        <f>[1]Results!AN1388</f>
        <v>1.8096667536708022</v>
      </c>
      <c r="AL28" s="1">
        <f>[1]Results!AO1388</f>
        <v>1.7364389801197921</v>
      </c>
    </row>
    <row r="29" spans="1:3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0</v>
      </c>
      <c r="D29" s="1">
        <f>[1]Results!G1389</f>
        <v>0</v>
      </c>
      <c r="E29" s="1">
        <f>[1]Results!H1389</f>
        <v>0</v>
      </c>
      <c r="F29" s="1">
        <f>[1]Results!I1389</f>
        <v>0</v>
      </c>
      <c r="G29" s="1">
        <f>[1]Results!J1389</f>
        <v>0</v>
      </c>
      <c r="H29" s="1">
        <f>[1]Results!K1389</f>
        <v>0</v>
      </c>
      <c r="I29" s="1">
        <f>[1]Results!L1389</f>
        <v>-3.3441978061621302E-2</v>
      </c>
      <c r="J29" s="1">
        <f>[1]Results!M1389</f>
        <v>0.65302556532944589</v>
      </c>
      <c r="K29" s="1">
        <f>[1]Results!N1389</f>
        <v>1.162348090256704</v>
      </c>
      <c r="L29" s="1">
        <f>[1]Results!O1389</f>
        <v>1.9337708342173965</v>
      </c>
      <c r="M29" s="1">
        <f>[1]Results!P1389</f>
        <v>2.9171104460751662</v>
      </c>
      <c r="N29" s="1">
        <f>[1]Results!Q1389</f>
        <v>3.7568661563576633</v>
      </c>
      <c r="O29" s="1">
        <f>[1]Results!R1389</f>
        <v>4.5863449902677988</v>
      </c>
      <c r="P29" s="1">
        <f>[1]Results!S1389</f>
        <v>5.356057326178254</v>
      </c>
      <c r="Q29" s="1">
        <f>[1]Results!T1389</f>
        <v>6.0528898303778389</v>
      </c>
      <c r="R29" s="1">
        <f>[1]Results!U1389</f>
        <v>6.6727948927541858</v>
      </c>
      <c r="S29" s="1">
        <f>[1]Results!V1389</f>
        <v>7.3483669337579327</v>
      </c>
      <c r="T29" s="1">
        <f>[1]Results!W1389</f>
        <v>7.9842451964458716</v>
      </c>
      <c r="U29" s="1">
        <f>[1]Results!X1389</f>
        <v>8.5847611897487575</v>
      </c>
      <c r="V29" s="1">
        <f>[1]Results!Y1389</f>
        <v>9.1445935745856346</v>
      </c>
      <c r="W29" s="1">
        <f>[1]Results!Z1389</f>
        <v>9.6555672209526211</v>
      </c>
      <c r="X29" s="1">
        <f>[1]Results!AA1389</f>
        <v>10.112343351840082</v>
      </c>
      <c r="Y29" s="1">
        <f>[1]Results!AB1389</f>
        <v>10.512060835043391</v>
      </c>
      <c r="Z29" s="1">
        <f>[1]Results!AC1389</f>
        <v>10.850573889677428</v>
      </c>
      <c r="AA29" s="1">
        <f>[1]Results!AD1389</f>
        <v>11.122727353133177</v>
      </c>
      <c r="AB29" s="1">
        <f>[1]Results!AE1389</f>
        <v>11.323315814036894</v>
      </c>
      <c r="AC29" s="1">
        <f>[1]Results!AF1389</f>
        <v>11.456802640559992</v>
      </c>
      <c r="AD29" s="1">
        <f>[1]Results!AG1389</f>
        <v>11.535856958117851</v>
      </c>
      <c r="AE29" s="1">
        <f>[1]Results!AH1389</f>
        <v>11.569536316409712</v>
      </c>
      <c r="AF29" s="1">
        <f>[1]Results!AI1389</f>
        <v>11.563696444148231</v>
      </c>
      <c r="AG29" s="1">
        <f>[1]Results!AJ1389</f>
        <v>11.522131110463917</v>
      </c>
      <c r="AH29" s="1">
        <f>[1]Results!AK1389</f>
        <v>11.45149210123575</v>
      </c>
      <c r="AI29" s="1">
        <f>[1]Results!AL1389</f>
        <v>11.362057013954274</v>
      </c>
      <c r="AJ29" s="1">
        <f>[1]Results!AM1389</f>
        <v>11.262845967492229</v>
      </c>
      <c r="AK29" s="1">
        <f>[1]Results!AN1389</f>
        <v>11.161342189400036</v>
      </c>
      <c r="AL29" s="1">
        <f>[1]Results!AO1389</f>
        <v>11.065092380810126</v>
      </c>
    </row>
    <row r="30" spans="1:3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0</v>
      </c>
      <c r="D30" s="1">
        <f>[1]Results!G1390</f>
        <v>0</v>
      </c>
      <c r="E30" s="1">
        <f>[1]Results!H1390</f>
        <v>0</v>
      </c>
      <c r="F30" s="1">
        <f>[1]Results!I1390</f>
        <v>0</v>
      </c>
      <c r="G30" s="1">
        <f>[1]Results!J1390</f>
        <v>0</v>
      </c>
      <c r="H30" s="1">
        <f>[1]Results!K1390</f>
        <v>0</v>
      </c>
      <c r="I30" s="1">
        <f>[1]Results!L1390</f>
        <v>0.14067353069949773</v>
      </c>
      <c r="J30" s="1">
        <f>[1]Results!M1390</f>
        <v>0.21385506502953344</v>
      </c>
      <c r="K30" s="1">
        <f>[1]Results!N1390</f>
        <v>0.21472965747153516</v>
      </c>
      <c r="L30" s="1">
        <f>[1]Results!O1390</f>
        <v>0.37678972747745565</v>
      </c>
      <c r="M30" s="1">
        <f>[1]Results!P1390</f>
        <v>0.64215204479227683</v>
      </c>
      <c r="N30" s="1">
        <f>[1]Results!Q1390</f>
        <v>0.94060812948939532</v>
      </c>
      <c r="O30" s="1">
        <f>[1]Results!R1390</f>
        <v>1.3077900228742667</v>
      </c>
      <c r="P30" s="1">
        <f>[1]Results!S1390</f>
        <v>1.6757417040349276</v>
      </c>
      <c r="Q30" s="1">
        <f>[1]Results!T1390</f>
        <v>2.0228091843177864</v>
      </c>
      <c r="R30" s="1">
        <f>[1]Results!U1390</f>
        <v>2.3441196038106016</v>
      </c>
      <c r="S30" s="1">
        <f>[1]Results!V1390</f>
        <v>2.5876307413407407</v>
      </c>
      <c r="T30" s="1">
        <f>[1]Results!W1390</f>
        <v>2.7548251018010284</v>
      </c>
      <c r="U30" s="1">
        <f>[1]Results!X1390</f>
        <v>2.8922325652420922</v>
      </c>
      <c r="V30" s="1">
        <f>[1]Results!Y1390</f>
        <v>3.0197096499599221</v>
      </c>
      <c r="W30" s="1">
        <f>[1]Results!Z1390</f>
        <v>3.1426963289367782</v>
      </c>
      <c r="X30" s="1">
        <f>[1]Results!AA1390</f>
        <v>3.25489954384215</v>
      </c>
      <c r="Y30" s="1">
        <f>[1]Results!AB1390</f>
        <v>3.3531527747875156</v>
      </c>
      <c r="Z30" s="1">
        <f>[1]Results!AC1390</f>
        <v>3.4427556445031584</v>
      </c>
      <c r="AA30" s="1">
        <f>[1]Results!AD1390</f>
        <v>3.5254061743919429</v>
      </c>
      <c r="AB30" s="1">
        <f>[1]Results!AE1390</f>
        <v>3.5999731950282943</v>
      </c>
      <c r="AC30" s="1">
        <f>[1]Results!AF1390</f>
        <v>3.6445040157532906</v>
      </c>
      <c r="AD30" s="1">
        <f>[1]Results!AG1390</f>
        <v>3.6483852366299354</v>
      </c>
      <c r="AE30" s="1">
        <f>[1]Results!AH1390</f>
        <v>3.6314787822442796</v>
      </c>
      <c r="AF30" s="1">
        <f>[1]Results!AI1390</f>
        <v>3.603527003855179</v>
      </c>
      <c r="AG30" s="1">
        <f>[1]Results!AJ1390</f>
        <v>3.5685228591398879</v>
      </c>
      <c r="AH30" s="1">
        <f>[1]Results!AK1390</f>
        <v>3.5197376947485601</v>
      </c>
      <c r="AI30" s="1">
        <f>[1]Results!AL1390</f>
        <v>3.4528035300391613</v>
      </c>
      <c r="AJ30" s="1">
        <f>[1]Results!AM1390</f>
        <v>3.3770365571793795</v>
      </c>
      <c r="AK30" s="1">
        <f>[1]Results!AN1390</f>
        <v>3.2987970195523353</v>
      </c>
      <c r="AL30" s="1">
        <f>[1]Results!AO1390</f>
        <v>3.2215284235761033</v>
      </c>
    </row>
    <row r="31" spans="1:3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0</v>
      </c>
      <c r="D31" s="1">
        <f>[1]Results!G1391</f>
        <v>0</v>
      </c>
      <c r="E31" s="1">
        <f>[1]Results!H1391</f>
        <v>0</v>
      </c>
      <c r="F31" s="1">
        <f>[1]Results!I1391</f>
        <v>0</v>
      </c>
      <c r="G31" s="1">
        <f>[1]Results!J1391</f>
        <v>0</v>
      </c>
      <c r="H31" s="1">
        <f>[1]Results!K1391</f>
        <v>0</v>
      </c>
      <c r="I31" s="1">
        <f>[1]Results!L1391</f>
        <v>-4.4980924981030679E-2</v>
      </c>
      <c r="J31" s="1">
        <f>[1]Results!M1391</f>
        <v>0.69506338779288246</v>
      </c>
      <c r="K31" s="1">
        <f>[1]Results!N1391</f>
        <v>1.2911265160422958</v>
      </c>
      <c r="L31" s="1">
        <f>[1]Results!O1391</f>
        <v>1.9788397532512825</v>
      </c>
      <c r="M31" s="1">
        <f>[1]Results!P1391</f>
        <v>2.7663935488611457</v>
      </c>
      <c r="N31" s="1">
        <f>[1]Results!Q1391</f>
        <v>3.3884880418996621</v>
      </c>
      <c r="O31" s="1">
        <f>[1]Results!R1391</f>
        <v>4.0291556233436054</v>
      </c>
      <c r="P31" s="1">
        <f>[1]Results!S1391</f>
        <v>4.6517799299792717</v>
      </c>
      <c r="Q31" s="1">
        <f>[1]Results!T1391</f>
        <v>5.2317637991009525</v>
      </c>
      <c r="R31" s="1">
        <f>[1]Results!U1391</f>
        <v>5.7542936149304946</v>
      </c>
      <c r="S31" s="1">
        <f>[1]Results!V1391</f>
        <v>6.3529771680606029</v>
      </c>
      <c r="T31" s="1">
        <f>[1]Results!W1391</f>
        <v>6.93884167395169</v>
      </c>
      <c r="U31" s="1">
        <f>[1]Results!X1391</f>
        <v>7.518658193249661</v>
      </c>
      <c r="V31" s="1">
        <f>[1]Results!Y1391</f>
        <v>8.0837246567419179</v>
      </c>
      <c r="W31" s="1">
        <f>[1]Results!Z1391</f>
        <v>8.6194720255911896</v>
      </c>
      <c r="X31" s="1">
        <f>[1]Results!AA1391</f>
        <v>9.1137512757863526</v>
      </c>
      <c r="Y31" s="1">
        <f>[1]Results!AB1391</f>
        <v>9.5582673336108925</v>
      </c>
      <c r="Z31" s="1">
        <f>[1]Results!AC1391</f>
        <v>9.9453217581870739</v>
      </c>
      <c r="AA31" s="1">
        <f>[1]Results!AD1391</f>
        <v>10.267565905031994</v>
      </c>
      <c r="AB31" s="1">
        <f>[1]Results!AE1391</f>
        <v>10.518611067254779</v>
      </c>
      <c r="AC31" s="1">
        <f>[1]Results!AF1391</f>
        <v>10.701496993129211</v>
      </c>
      <c r="AD31" s="1">
        <f>[1]Results!AG1391</f>
        <v>10.827119845557464</v>
      </c>
      <c r="AE31" s="1">
        <f>[1]Results!AH1391</f>
        <v>10.903376758462645</v>
      </c>
      <c r="AF31" s="1">
        <f>[1]Results!AI1391</f>
        <v>10.93481678617314</v>
      </c>
      <c r="AG31" s="1">
        <f>[1]Results!AJ1391</f>
        <v>10.923927365537644</v>
      </c>
      <c r="AH31" s="1">
        <f>[1]Results!AK1391</f>
        <v>10.876070263813565</v>
      </c>
      <c r="AI31" s="1">
        <f>[1]Results!AL1391</f>
        <v>10.800381271169535</v>
      </c>
      <c r="AJ31" s="1">
        <f>[1]Results!AM1391</f>
        <v>10.705352566115334</v>
      </c>
      <c r="AK31" s="1">
        <f>[1]Results!AN1391</f>
        <v>10.598264257409173</v>
      </c>
      <c r="AL31" s="1">
        <f>[1]Results!AO1391</f>
        <v>10.486521929646141</v>
      </c>
    </row>
    <row r="32" spans="1:3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0</v>
      </c>
      <c r="D32" s="1">
        <f>[1]Results!G1392</f>
        <v>0</v>
      </c>
      <c r="E32" s="1">
        <f>[1]Results!H1392</f>
        <v>0</v>
      </c>
      <c r="F32" s="1">
        <f>[1]Results!I1392</f>
        <v>0</v>
      </c>
      <c r="G32" s="1">
        <f>[1]Results!J1392</f>
        <v>0</v>
      </c>
      <c r="H32" s="1">
        <f>[1]Results!K1392</f>
        <v>0</v>
      </c>
      <c r="I32" s="1">
        <f>[1]Results!L1392</f>
        <v>0.12913458378008835</v>
      </c>
      <c r="J32" s="1">
        <f>[1]Results!M1392</f>
        <v>0.25589288749297001</v>
      </c>
      <c r="K32" s="1">
        <f>[1]Results!N1392</f>
        <v>0.34350808325712689</v>
      </c>
      <c r="L32" s="1">
        <f>[1]Results!O1392</f>
        <v>0.42185864651134164</v>
      </c>
      <c r="M32" s="1">
        <f>[1]Results!P1392</f>
        <v>0.49143514757825635</v>
      </c>
      <c r="N32" s="1">
        <f>[1]Results!Q1392</f>
        <v>0.57223001503139415</v>
      </c>
      <c r="O32" s="1">
        <f>[1]Results!R1392</f>
        <v>0.7506006559500733</v>
      </c>
      <c r="P32" s="1">
        <f>[1]Results!S1392</f>
        <v>0.97146430783594528</v>
      </c>
      <c r="Q32" s="1">
        <f>[1]Results!T1392</f>
        <v>1.2016831530409</v>
      </c>
      <c r="R32" s="1">
        <f>[1]Results!U1392</f>
        <v>1.4256183259869104</v>
      </c>
      <c r="S32" s="1">
        <f>[1]Results!V1392</f>
        <v>1.5922409756434108</v>
      </c>
      <c r="T32" s="1">
        <f>[1]Results!W1392</f>
        <v>1.7094215793068468</v>
      </c>
      <c r="U32" s="1">
        <f>[1]Results!X1392</f>
        <v>1.8261295687429957</v>
      </c>
      <c r="V32" s="1">
        <f>[1]Results!Y1392</f>
        <v>1.9588407321162054</v>
      </c>
      <c r="W32" s="1">
        <f>[1]Results!Z1392</f>
        <v>2.1066011335753467</v>
      </c>
      <c r="X32" s="1">
        <f>[1]Results!AA1392</f>
        <v>2.256307467788421</v>
      </c>
      <c r="Y32" s="1">
        <f>[1]Results!AB1392</f>
        <v>2.3993592733550173</v>
      </c>
      <c r="Z32" s="1">
        <f>[1]Results!AC1392</f>
        <v>2.5375035130128047</v>
      </c>
      <c r="AA32" s="1">
        <f>[1]Results!AD1392</f>
        <v>2.6702447262907594</v>
      </c>
      <c r="AB32" s="1">
        <f>[1]Results!AE1392</f>
        <v>2.7952684482461798</v>
      </c>
      <c r="AC32" s="1">
        <f>[1]Results!AF1392</f>
        <v>2.8891983683225098</v>
      </c>
      <c r="AD32" s="1">
        <f>[1]Results!AG1392</f>
        <v>2.9396481240695485</v>
      </c>
      <c r="AE32" s="1">
        <f>[1]Results!AH1392</f>
        <v>2.9653192242972128</v>
      </c>
      <c r="AF32" s="1">
        <f>[1]Results!AI1392</f>
        <v>2.9746473458800882</v>
      </c>
      <c r="AG32" s="1">
        <f>[1]Results!AJ1392</f>
        <v>2.9703191142136145</v>
      </c>
      <c r="AH32" s="1">
        <f>[1]Results!AK1392</f>
        <v>2.9443158573263748</v>
      </c>
      <c r="AI32" s="1">
        <f>[1]Results!AL1392</f>
        <v>2.8911277872544217</v>
      </c>
      <c r="AJ32" s="1">
        <f>[1]Results!AM1392</f>
        <v>2.8195431558024842</v>
      </c>
      <c r="AK32" s="1">
        <f>[1]Results!AN1392</f>
        <v>2.7357190875614723</v>
      </c>
      <c r="AL32" s="1">
        <f>[1]Results!AO1392</f>
        <v>2.6429579724121179</v>
      </c>
    </row>
    <row r="33" spans="1:3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</row>
    <row r="34" spans="1:3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0</v>
      </c>
      <c r="D34" s="1">
        <f>[1]Results!G1394</f>
        <v>0</v>
      </c>
      <c r="E34" s="1">
        <f>[1]Results!H1394</f>
        <v>0</v>
      </c>
      <c r="F34" s="1">
        <f>[1]Results!I1394</f>
        <v>0</v>
      </c>
      <c r="G34" s="1">
        <f>[1]Results!J1394</f>
        <v>0</v>
      </c>
      <c r="H34" s="1">
        <f>[1]Results!K1394</f>
        <v>0</v>
      </c>
      <c r="I34" s="1">
        <f>[1]Results!L1394</f>
        <v>0.14067353069949773</v>
      </c>
      <c r="J34" s="1">
        <f>[1]Results!M1394</f>
        <v>0.21385506502953344</v>
      </c>
      <c r="K34" s="1">
        <f>[1]Results!N1394</f>
        <v>0.21472965747153516</v>
      </c>
      <c r="L34" s="1">
        <f>[1]Results!O1394</f>
        <v>0.37678972747745565</v>
      </c>
      <c r="M34" s="1">
        <f>[1]Results!P1394</f>
        <v>0.64215204479227683</v>
      </c>
      <c r="N34" s="1">
        <f>[1]Results!Q1394</f>
        <v>0.94060812948939532</v>
      </c>
      <c r="O34" s="1">
        <f>[1]Results!R1394</f>
        <v>1.3077900228742667</v>
      </c>
      <c r="P34" s="1">
        <f>[1]Results!S1394</f>
        <v>1.6757417040349276</v>
      </c>
      <c r="Q34" s="1">
        <f>[1]Results!T1394</f>
        <v>2.0228091843177864</v>
      </c>
      <c r="R34" s="1">
        <f>[1]Results!U1394</f>
        <v>2.3441196038106016</v>
      </c>
      <c r="S34" s="1">
        <f>[1]Results!V1394</f>
        <v>2.5876307413407407</v>
      </c>
      <c r="T34" s="1">
        <f>[1]Results!W1394</f>
        <v>2.7548251018010284</v>
      </c>
      <c r="U34" s="1">
        <f>[1]Results!X1394</f>
        <v>2.8922325652420922</v>
      </c>
      <c r="V34" s="1">
        <f>[1]Results!Y1394</f>
        <v>3.0197096499599221</v>
      </c>
      <c r="W34" s="1">
        <f>[1]Results!Z1394</f>
        <v>3.1426963289367782</v>
      </c>
      <c r="X34" s="1">
        <f>[1]Results!AA1394</f>
        <v>3.25489954384215</v>
      </c>
      <c r="Y34" s="1">
        <f>[1]Results!AB1394</f>
        <v>3.3531527747875156</v>
      </c>
      <c r="Z34" s="1">
        <f>[1]Results!AC1394</f>
        <v>3.4427556445031584</v>
      </c>
      <c r="AA34" s="1">
        <f>[1]Results!AD1394</f>
        <v>3.5254061743919429</v>
      </c>
      <c r="AB34" s="1">
        <f>[1]Results!AE1394</f>
        <v>3.5999731950282943</v>
      </c>
      <c r="AC34" s="1">
        <f>[1]Results!AF1394</f>
        <v>3.6445040157532906</v>
      </c>
      <c r="AD34" s="1">
        <f>[1]Results!AG1394</f>
        <v>3.6483852366299354</v>
      </c>
      <c r="AE34" s="1">
        <f>[1]Results!AH1394</f>
        <v>3.6314787822442796</v>
      </c>
      <c r="AF34" s="1">
        <f>[1]Results!AI1394</f>
        <v>3.603527003855179</v>
      </c>
      <c r="AG34" s="1">
        <f>[1]Results!AJ1394</f>
        <v>3.5685228591398879</v>
      </c>
      <c r="AH34" s="1">
        <f>[1]Results!AK1394</f>
        <v>3.5197376947485601</v>
      </c>
      <c r="AI34" s="1">
        <f>[1]Results!AL1394</f>
        <v>3.4528035300391613</v>
      </c>
      <c r="AJ34" s="1">
        <f>[1]Results!AM1394</f>
        <v>3.3770365571793795</v>
      </c>
      <c r="AK34" s="1">
        <f>[1]Results!AN1394</f>
        <v>3.2987970195523353</v>
      </c>
      <c r="AL34" s="1">
        <f>[1]Results!AO1394</f>
        <v>3.2215284235761033</v>
      </c>
    </row>
    <row r="35" spans="1:3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0</v>
      </c>
      <c r="D35" s="1">
        <f>[1]Results!G1395</f>
        <v>0</v>
      </c>
      <c r="E35" s="1">
        <f>[1]Results!H1395</f>
        <v>0</v>
      </c>
      <c r="F35" s="1">
        <f>[1]Results!I1395</f>
        <v>0</v>
      </c>
      <c r="G35" s="1">
        <f>[1]Results!J1395</f>
        <v>0</v>
      </c>
      <c r="H35" s="1">
        <f>[1]Results!K1395</f>
        <v>0</v>
      </c>
      <c r="I35" s="1">
        <f>[1]Results!L1395</f>
        <v>-0.10881430622805555</v>
      </c>
      <c r="J35" s="1">
        <f>[1]Results!M1395</f>
        <v>0.1043733734753749</v>
      </c>
      <c r="K35" s="1">
        <f>[1]Results!N1395</f>
        <v>0.40699543664806104</v>
      </c>
      <c r="L35" s="1">
        <f>[1]Results!O1395</f>
        <v>0.8544638711704744</v>
      </c>
      <c r="M35" s="1">
        <f>[1]Results!P1395</f>
        <v>1.4580752642893602</v>
      </c>
      <c r="N35" s="1">
        <f>[1]Results!Q1395</f>
        <v>2.0621693867563629</v>
      </c>
      <c r="O35" s="1">
        <f>[1]Results!R1395</f>
        <v>2.6257612507736727</v>
      </c>
      <c r="P35" s="1">
        <f>[1]Results!S1395</f>
        <v>3.1355127890756229</v>
      </c>
      <c r="Q35" s="1">
        <f>[1]Results!T1395</f>
        <v>3.5880795733656434</v>
      </c>
      <c r="R35" s="1">
        <f>[1]Results!U1395</f>
        <v>3.980440056662915</v>
      </c>
      <c r="S35" s="1">
        <f>[1]Results!V1395</f>
        <v>4.4370972140225007</v>
      </c>
      <c r="T35" s="1">
        <f>[1]Results!W1395</f>
        <v>4.9317211120577076</v>
      </c>
      <c r="U35" s="1">
        <f>[1]Results!X1395</f>
        <v>5.4320580600250246</v>
      </c>
      <c r="V35" s="1">
        <f>[1]Results!Y1395</f>
        <v>5.9129313041131226</v>
      </c>
      <c r="W35" s="1">
        <f>[1]Results!Z1395</f>
        <v>6.3582683309348464</v>
      </c>
      <c r="X35" s="1">
        <f>[1]Results!AA1395</f>
        <v>6.763341551810198</v>
      </c>
      <c r="Y35" s="1">
        <f>[1]Results!AB1395</f>
        <v>7.1264693353362274</v>
      </c>
      <c r="Z35" s="1">
        <f>[1]Results!AC1395</f>
        <v>7.440765616359224</v>
      </c>
      <c r="AA35" s="1">
        <f>[1]Results!AD1395</f>
        <v>7.6989377978341267</v>
      </c>
      <c r="AB35" s="1">
        <f>[1]Results!AE1395</f>
        <v>7.8954257638623071</v>
      </c>
      <c r="AC35" s="1">
        <f>[1]Results!AF1395</f>
        <v>8.0441089667746759</v>
      </c>
      <c r="AD35" s="1">
        <f>[1]Results!AG1395</f>
        <v>8.164476777560159</v>
      </c>
      <c r="AE35" s="1">
        <f>[1]Results!AH1395</f>
        <v>8.2571233956026937</v>
      </c>
      <c r="AF35" s="1">
        <f>[1]Results!AI1395</f>
        <v>8.3205804281457851</v>
      </c>
      <c r="AG35" s="1">
        <f>[1]Results!AJ1395</f>
        <v>8.3548904243245801</v>
      </c>
      <c r="AH35" s="1">
        <f>[1]Results!AK1395</f>
        <v>8.368830364564106</v>
      </c>
      <c r="AI35" s="1">
        <f>[1]Results!AL1395</f>
        <v>8.3749419193681405</v>
      </c>
      <c r="AJ35" s="1">
        <f>[1]Results!AM1395</f>
        <v>8.3780306525317769</v>
      </c>
      <c r="AK35" s="1">
        <f>[1]Results!AN1395</f>
        <v>8.3813486583635743</v>
      </c>
      <c r="AL35" s="1">
        <f>[1]Results!AO1395</f>
        <v>8.3903440284444528</v>
      </c>
    </row>
    <row r="36" spans="1:3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0</v>
      </c>
      <c r="D36" s="1">
        <f>[1]Results!G1396</f>
        <v>0</v>
      </c>
      <c r="E36" s="1">
        <f>[1]Results!H1396</f>
        <v>0</v>
      </c>
      <c r="F36" s="1">
        <f>[1]Results!I1396</f>
        <v>0</v>
      </c>
      <c r="G36" s="1">
        <f>[1]Results!J1396</f>
        <v>0</v>
      </c>
      <c r="H36" s="1">
        <f>[1]Results!K1396</f>
        <v>0</v>
      </c>
      <c r="I36" s="1">
        <f>[1]Results!L1396</f>
        <v>-0.15903221134309087</v>
      </c>
      <c r="J36" s="1">
        <f>[1]Results!M1396</f>
        <v>0.12352421787085177</v>
      </c>
      <c r="K36" s="1">
        <f>[1]Results!N1396</f>
        <v>0.51156888040413406</v>
      </c>
      <c r="L36" s="1">
        <f>[1]Results!O1396</f>
        <v>1.052606704017478</v>
      </c>
      <c r="M36" s="1">
        <f>[1]Results!P1396</f>
        <v>1.7419614018148399</v>
      </c>
      <c r="N36" s="1">
        <f>[1]Results!Q1396</f>
        <v>2.35859191988117</v>
      </c>
      <c r="O36" s="1">
        <f>[1]Results!R1396</f>
        <v>2.8589536662379622</v>
      </c>
      <c r="P36" s="1">
        <f>[1]Results!S1396</f>
        <v>3.2514736974053937</v>
      </c>
      <c r="Q36" s="1">
        <f>[1]Results!T1396</f>
        <v>3.5484662377834209</v>
      </c>
      <c r="R36" s="1">
        <f>[1]Results!U1396</f>
        <v>3.7592679890972036</v>
      </c>
      <c r="S36" s="1">
        <f>[1]Results!V1396</f>
        <v>4.1365992416801278</v>
      </c>
      <c r="T36" s="1">
        <f>[1]Results!W1396</f>
        <v>4.5956113106867091</v>
      </c>
      <c r="U36" s="1">
        <f>[1]Results!X1396</f>
        <v>5.084870819532572</v>
      </c>
      <c r="V36" s="1">
        <f>[1]Results!Y1396</f>
        <v>5.5671027718692923</v>
      </c>
      <c r="W36" s="1">
        <f>[1]Results!Z1396</f>
        <v>6.0186391399098538</v>
      </c>
      <c r="X36" s="1">
        <f>[1]Results!AA1396</f>
        <v>6.4324349408212411</v>
      </c>
      <c r="Y36" s="1">
        <f>[1]Results!AB1396</f>
        <v>6.8052444307161508</v>
      </c>
      <c r="Z36" s="1">
        <f>[1]Results!AC1396</f>
        <v>7.1264685643573022</v>
      </c>
      <c r="AA36" s="1">
        <f>[1]Results!AD1396</f>
        <v>7.3867319927404251</v>
      </c>
      <c r="AB36" s="1">
        <f>[1]Results!AE1396</f>
        <v>7.5799793633244628</v>
      </c>
      <c r="AC36" s="1">
        <f>[1]Results!AF1396</f>
        <v>7.7280022429824013</v>
      </c>
      <c r="AD36" s="1">
        <f>[1]Results!AG1396</f>
        <v>7.8575716866261081</v>
      </c>
      <c r="AE36" s="1">
        <f>[1]Results!AH1396</f>
        <v>7.9643066876388113</v>
      </c>
      <c r="AF36" s="1">
        <f>[1]Results!AI1396</f>
        <v>8.0437197970605325</v>
      </c>
      <c r="AG36" s="1">
        <f>[1]Results!AJ1396</f>
        <v>8.0933969285363894</v>
      </c>
      <c r="AH36" s="1">
        <f>[1]Results!AK1396</f>
        <v>8.1236411076974324</v>
      </c>
      <c r="AI36" s="1">
        <f>[1]Results!AL1396</f>
        <v>8.1485847502401842</v>
      </c>
      <c r="AJ36" s="1">
        <f>[1]Results!AM1396</f>
        <v>8.169919447851349</v>
      </c>
      <c r="AK36" s="1">
        <f>[1]Results!AN1396</f>
        <v>8.18809505387601</v>
      </c>
      <c r="AL36" s="1">
        <f>[1]Results!AO1396</f>
        <v>8.2051553727985791</v>
      </c>
    </row>
    <row r="37" spans="1:3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-0.4982936192548304</v>
      </c>
      <c r="J37" s="1">
        <f>[1]Results!M1397</f>
        <v>-0.24250595332214742</v>
      </c>
      <c r="K37" s="1">
        <f>[1]Results!N1397</f>
        <v>2.473269950140633E-2</v>
      </c>
      <c r="L37" s="1">
        <f>[1]Results!O1397</f>
        <v>0.39420613664260529</v>
      </c>
      <c r="M37" s="1">
        <f>[1]Results!P1397</f>
        <v>0.85268327356757823</v>
      </c>
      <c r="N37" s="1">
        <f>[1]Results!Q1397</f>
        <v>1.1436275622876302</v>
      </c>
      <c r="O37" s="1">
        <f>[1]Results!R1397</f>
        <v>1.1678973358850042</v>
      </c>
      <c r="P37" s="1">
        <f>[1]Results!S1397</f>
        <v>1.0519044543718215</v>
      </c>
      <c r="Q37" s="1">
        <f>[1]Results!T1397</f>
        <v>0.84637281973913847</v>
      </c>
      <c r="R37" s="1">
        <f>[1]Results!U1397</f>
        <v>0.57333477523666687</v>
      </c>
      <c r="S37" s="1">
        <f>[1]Results!V1397</f>
        <v>0.67888341234483285</v>
      </c>
      <c r="T37" s="1">
        <f>[1]Results!W1397</f>
        <v>0.86409174244583831</v>
      </c>
      <c r="U37" s="1">
        <f>[1]Results!X1397</f>
        <v>1.0532985274936291</v>
      </c>
      <c r="V37" s="1">
        <f>[1]Results!Y1397</f>
        <v>1.2250258318299068</v>
      </c>
      <c r="W37" s="1">
        <f>[1]Results!Z1397</f>
        <v>1.3721187898664944</v>
      </c>
      <c r="X37" s="1">
        <f>[1]Results!AA1397</f>
        <v>1.5138424593055699</v>
      </c>
      <c r="Y37" s="1">
        <f>[1]Results!AB1397</f>
        <v>1.6498679249443926</v>
      </c>
      <c r="Z37" s="1">
        <f>[1]Results!AC1397</f>
        <v>1.7488504705231334</v>
      </c>
      <c r="AA37" s="1">
        <f>[1]Results!AD1397</f>
        <v>1.7993429265873662</v>
      </c>
      <c r="AB37" s="1">
        <f>[1]Results!AE1397</f>
        <v>1.7988682328191397</v>
      </c>
      <c r="AC37" s="1">
        <f>[1]Results!AF1397</f>
        <v>1.8323089469391318</v>
      </c>
      <c r="AD37" s="1">
        <f>[1]Results!AG1397</f>
        <v>1.9400130930617765</v>
      </c>
      <c r="AE37" s="1">
        <f>[1]Results!AH1397</f>
        <v>2.0517825948322965</v>
      </c>
      <c r="AF37" s="1">
        <f>[1]Results!AI1397</f>
        <v>2.1506710575860621</v>
      </c>
      <c r="AG37" s="1">
        <f>[1]Results!AJ1397</f>
        <v>2.2334634140998899</v>
      </c>
      <c r="AH37" s="1">
        <f>[1]Results!AK1397</f>
        <v>2.3349247876171653</v>
      </c>
      <c r="AI37" s="1">
        <f>[1]Results!AL1397</f>
        <v>2.4788037703380006</v>
      </c>
      <c r="AJ37" s="1">
        <f>[1]Results!AM1397</f>
        <v>2.6375515329056576</v>
      </c>
      <c r="AK37" s="1">
        <f>[1]Results!AN1397</f>
        <v>2.8001609876749489</v>
      </c>
      <c r="AL37" s="1">
        <f>[1]Results!AO1397</f>
        <v>2.9604968669930898</v>
      </c>
    </row>
    <row r="38" spans="1:3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0</v>
      </c>
      <c r="D38" s="1">
        <f>[1]Results!G1398</f>
        <v>0</v>
      </c>
      <c r="E38" s="1">
        <f>[1]Results!H1398</f>
        <v>0</v>
      </c>
      <c r="F38" s="1">
        <f>[1]Results!I1398</f>
        <v>0</v>
      </c>
      <c r="G38" s="1">
        <f>[1]Results!J1398</f>
        <v>0</v>
      </c>
      <c r="H38" s="1">
        <f>[1]Results!K1398</f>
        <v>0</v>
      </c>
      <c r="I38" s="1">
        <f>[1]Results!L1398</f>
        <v>2.6066701988014529E-3</v>
      </c>
      <c r="J38" s="1">
        <f>[1]Results!M1398</f>
        <v>-5.8831005988979612E-2</v>
      </c>
      <c r="K38" s="1">
        <f>[1]Results!N1398</f>
        <v>4.1002365910802752E-2</v>
      </c>
      <c r="L38" s="1">
        <f>[1]Results!O1398</f>
        <v>0.32552880335383616</v>
      </c>
      <c r="M38" s="1">
        <f>[1]Results!P1398</f>
        <v>0.78784256463728664</v>
      </c>
      <c r="N38" s="1">
        <f>[1]Results!Q1398</f>
        <v>1.409120457607993</v>
      </c>
      <c r="O38" s="1">
        <f>[1]Results!R1398</f>
        <v>2.0884084432509775</v>
      </c>
      <c r="P38" s="1">
        <f>[1]Results!S1398</f>
        <v>2.759604917976155</v>
      </c>
      <c r="Q38" s="1">
        <f>[1]Results!T1398</f>
        <v>3.3881728187759474</v>
      </c>
      <c r="R38" s="1">
        <f>[1]Results!U1398</f>
        <v>3.9579616217861213</v>
      </c>
      <c r="S38" s="1">
        <f>[1]Results!V1398</f>
        <v>4.459091827999595</v>
      </c>
      <c r="T38" s="1">
        <f>[1]Results!W1398</f>
        <v>4.9381923773686331</v>
      </c>
      <c r="U38" s="1">
        <f>[1]Results!X1398</f>
        <v>5.4161982637636719</v>
      </c>
      <c r="V38" s="1">
        <f>[1]Results!Y1398</f>
        <v>5.8929231746902788</v>
      </c>
      <c r="W38" s="1">
        <f>[1]Results!Z1398</f>
        <v>6.3576851533529544</v>
      </c>
      <c r="X38" s="1">
        <f>[1]Results!AA1398</f>
        <v>6.797165443297204</v>
      </c>
      <c r="Y38" s="1">
        <f>[1]Results!AB1398</f>
        <v>7.201465144278707</v>
      </c>
      <c r="Z38" s="1">
        <f>[1]Results!AC1398</f>
        <v>7.5640751486125257</v>
      </c>
      <c r="AA38" s="1">
        <f>[1]Results!AD1398</f>
        <v>7.8783441071302418</v>
      </c>
      <c r="AB38" s="1">
        <f>[1]Results!AE1398</f>
        <v>8.1374777212492422</v>
      </c>
      <c r="AC38" s="1">
        <f>[1]Results!AF1398</f>
        <v>8.336267815989352</v>
      </c>
      <c r="AD38" s="1">
        <f>[1]Results!AG1398</f>
        <v>8.4787768991204224</v>
      </c>
      <c r="AE38" s="1">
        <f>[1]Results!AH1398</f>
        <v>8.5768592410011557</v>
      </c>
      <c r="AF38" s="1">
        <f>[1]Results!AI1398</f>
        <v>8.638475462314199</v>
      </c>
      <c r="AG38" s="1">
        <f>[1]Results!AJ1398</f>
        <v>8.6680822881953112</v>
      </c>
      <c r="AH38" s="1">
        <f>[1]Results!AK1398</f>
        <v>8.6687062410563129</v>
      </c>
      <c r="AI38" s="1">
        <f>[1]Results!AL1398</f>
        <v>8.6464684675162431</v>
      </c>
      <c r="AJ38" s="1">
        <f>[1]Results!AM1398</f>
        <v>8.6107829549921799</v>
      </c>
      <c r="AK38" s="1">
        <f>[1]Results!AN1398</f>
        <v>8.5694017951326806</v>
      </c>
      <c r="AL38" s="1">
        <f>[1]Results!AO1398</f>
        <v>8.5281582572201753</v>
      </c>
    </row>
    <row r="39" spans="1:3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0</v>
      </c>
      <c r="D39" s="1">
        <f>[1]Results!G1399</f>
        <v>0</v>
      </c>
      <c r="E39" s="1">
        <f>[1]Results!H1399</f>
        <v>0</v>
      </c>
      <c r="F39" s="1">
        <f>[1]Results!I1399</f>
        <v>0</v>
      </c>
      <c r="G39" s="1">
        <f>[1]Results!J1399</f>
        <v>0</v>
      </c>
      <c r="H39" s="1">
        <f>[1]Results!K1399</f>
        <v>0</v>
      </c>
      <c r="I39" s="1">
        <f>[1]Results!L1399</f>
        <v>0.17703041637004979</v>
      </c>
      <c r="J39" s="1">
        <f>[1]Results!M1399</f>
        <v>-0.49582399357568363</v>
      </c>
      <c r="K39" s="1">
        <f>[1]Results!N1399</f>
        <v>-0.89810545404598319</v>
      </c>
      <c r="L39" s="1">
        <f>[1]Results!O1399</f>
        <v>-1.2125727743834802</v>
      </c>
      <c r="M39" s="1">
        <f>[1]Results!P1399</f>
        <v>-1.4540370975374306</v>
      </c>
      <c r="N39" s="1">
        <f>[1]Results!Q1399</f>
        <v>-1.368594419077751</v>
      </c>
      <c r="O39" s="1">
        <f>[1]Results!R1399</f>
        <v>-1.1523655850125825</v>
      </c>
      <c r="P39" s="1">
        <f>[1]Results!S1399</f>
        <v>-0.88802845423679999</v>
      </c>
      <c r="Q39" s="1">
        <f>[1]Results!T1399</f>
        <v>-0.61704059373755005</v>
      </c>
      <c r="R39" s="1">
        <f>[1]Results!U1399</f>
        <v>-0.35533247798914536</v>
      </c>
      <c r="S39" s="1">
        <f>[1]Results!V1399</f>
        <v>-0.28793646873916945</v>
      </c>
      <c r="T39" s="1">
        <f>[1]Results!W1399</f>
        <v>-0.27675503391947354</v>
      </c>
      <c r="U39" s="1">
        <f>[1]Results!X1399</f>
        <v>-0.26144739305530296</v>
      </c>
      <c r="V39" s="1">
        <f>[1]Results!Y1399</f>
        <v>-0.21857338388248104</v>
      </c>
      <c r="W39" s="1">
        <f>[1]Results!Z1399</f>
        <v>-0.14569670065529561</v>
      </c>
      <c r="X39" s="1">
        <f>[1]Results!AA1399</f>
        <v>-5.6410075473101173E-2</v>
      </c>
      <c r="Y39" s="1">
        <f>[1]Results!AB1399</f>
        <v>3.971399559139499E-2</v>
      </c>
      <c r="Z39" s="1">
        <f>[1]Results!AC1399</f>
        <v>0.14548000880305612</v>
      </c>
      <c r="AA39" s="1">
        <f>[1]Results!AD1399</f>
        <v>0.2611802276398123</v>
      </c>
      <c r="AB39" s="1">
        <f>[1]Results!AE1399</f>
        <v>0.38444323409585479</v>
      </c>
      <c r="AC39" s="1">
        <f>[1]Results!AF1399</f>
        <v>0.48600131697968951</v>
      </c>
      <c r="AD39" s="1">
        <f>[1]Results!AG1399</f>
        <v>0.5480758499549987</v>
      </c>
      <c r="AE39" s="1">
        <f>[1]Results!AH1399</f>
        <v>0.59182249655878039</v>
      </c>
      <c r="AF39" s="1">
        <f>[1]Results!AI1399</f>
        <v>0.62829284683205699</v>
      </c>
      <c r="AG39" s="1">
        <f>[1]Results!AJ1399</f>
        <v>0.66183432721202973</v>
      </c>
      <c r="AH39" s="1">
        <f>[1]Results!AK1399</f>
        <v>0.68279426997326365</v>
      </c>
      <c r="AI39" s="1">
        <f>[1]Results!AL1399</f>
        <v>0.68318050565610022</v>
      </c>
      <c r="AJ39" s="1">
        <f>[1]Results!AM1399</f>
        <v>0.67198230114036139</v>
      </c>
      <c r="AK39" s="1">
        <f>[1]Results!AN1399</f>
        <v>0.65533093454444025</v>
      </c>
      <c r="AL39" s="1">
        <f>[1]Results!AO1399</f>
        <v>0.6348031119016273</v>
      </c>
    </row>
    <row r="40" spans="1:3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0</v>
      </c>
      <c r="D40" s="1">
        <f>[1]Results!G1400</f>
        <v>0</v>
      </c>
      <c r="E40" s="1">
        <f>[1]Results!H1400</f>
        <v>0</v>
      </c>
      <c r="F40" s="1">
        <f>[1]Results!I1400</f>
        <v>0</v>
      </c>
      <c r="G40" s="1">
        <f>[1]Results!J1400</f>
        <v>0</v>
      </c>
      <c r="H40" s="1">
        <f>[1]Results!K1400</f>
        <v>0</v>
      </c>
      <c r="I40" s="1">
        <f>[1]Results!L1400</f>
        <v>2.6071949777106695E-3</v>
      </c>
      <c r="J40" s="1">
        <f>[1]Results!M1400</f>
        <v>-5.8817681720169102E-2</v>
      </c>
      <c r="K40" s="1">
        <f>[1]Results!N1400</f>
        <v>4.1043475016477871E-2</v>
      </c>
      <c r="L40" s="1">
        <f>[1]Results!O1400</f>
        <v>0.32561272903846028</v>
      </c>
      <c r="M40" s="1">
        <f>[1]Results!P1400</f>
        <v>0.78798287970223146</v>
      </c>
      <c r="N40" s="1">
        <f>[1]Results!Q1400</f>
        <v>1.4093240246420669</v>
      </c>
      <c r="O40" s="1">
        <f>[1]Results!R1400</f>
        <v>2.0886740865952547</v>
      </c>
      <c r="P40" s="1">
        <f>[1]Results!S1400</f>
        <v>2.7599257533436283</v>
      </c>
      <c r="Q40" s="1">
        <f>[1]Results!T1400</f>
        <v>3.3885393790472618</v>
      </c>
      <c r="R40" s="1">
        <f>[1]Results!U1400</f>
        <v>3.9583642477024616</v>
      </c>
      <c r="S40" s="1">
        <f>[1]Results!V1400</f>
        <v>4.4595229137108561</v>
      </c>
      <c r="T40" s="1">
        <f>[1]Results!W1400</f>
        <v>4.9386479575096676</v>
      </c>
      <c r="U40" s="1">
        <f>[1]Results!X1400</f>
        <v>5.4166769844985918</v>
      </c>
      <c r="V40" s="1">
        <f>[1]Results!Y1400</f>
        <v>5.8934248620305496</v>
      </c>
      <c r="W40" s="1">
        <f>[1]Results!Z1400</f>
        <v>6.358209646564883</v>
      </c>
      <c r="X40" s="1">
        <f>[1]Results!AA1400</f>
        <v>6.7977123614533896</v>
      </c>
      <c r="Y40" s="1">
        <f>[1]Results!AB1400</f>
        <v>7.2020339015666623</v>
      </c>
      <c r="Z40" s="1">
        <f>[1]Results!AC1400</f>
        <v>7.5646645023791592</v>
      </c>
      <c r="AA40" s="1">
        <f>[1]Results!AD1400</f>
        <v>7.8789521956186492</v>
      </c>
      <c r="AB40" s="1">
        <f>[1]Results!AE1400</f>
        <v>8.138101797457109</v>
      </c>
      <c r="AC40" s="1">
        <f>[1]Results!AF1400</f>
        <v>8.336905354395018</v>
      </c>
      <c r="AD40" s="1">
        <f>[1]Results!AG1400</f>
        <v>8.4794271723655399</v>
      </c>
      <c r="AE40" s="1">
        <f>[1]Results!AH1400</f>
        <v>8.5775219736885298</v>
      </c>
      <c r="AF40" s="1">
        <f>[1]Results!AI1400</f>
        <v>8.6391510075815034</v>
      </c>
      <c r="AG40" s="1">
        <f>[1]Results!AJ1400</f>
        <v>8.6687705489490128</v>
      </c>
      <c r="AH40" s="1">
        <f>[1]Results!AK1400</f>
        <v>8.669407021111919</v>
      </c>
      <c r="AI40" s="1">
        <f>[1]Results!AL1400</f>
        <v>8.6471822151979119</v>
      </c>
      <c r="AJ40" s="1">
        <f>[1]Results!AM1400</f>
        <v>8.6115102334529894</v>
      </c>
      <c r="AK40" s="1">
        <f>[1]Results!AN1400</f>
        <v>8.5701435313215502</v>
      </c>
      <c r="AL40" s="1">
        <f>[1]Results!AO1400</f>
        <v>8.5289150863516063</v>
      </c>
    </row>
    <row r="41" spans="1:3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0</v>
      </c>
      <c r="D41" s="1">
        <f>[1]Results!G1401</f>
        <v>0</v>
      </c>
      <c r="E41" s="1">
        <f>[1]Results!H1401</f>
        <v>0</v>
      </c>
      <c r="F41" s="1">
        <f>[1]Results!I1401</f>
        <v>0</v>
      </c>
      <c r="G41" s="1">
        <f>[1]Results!J1401</f>
        <v>0</v>
      </c>
      <c r="H41" s="1">
        <f>[1]Results!K1401</f>
        <v>0</v>
      </c>
      <c r="I41" s="1">
        <f>[1]Results!L1401</f>
        <v>-3.5739540791501767E-3</v>
      </c>
      <c r="J41" s="1">
        <f>[1]Results!M1401</f>
        <v>0.13809983944692572</v>
      </c>
      <c r="K41" s="1">
        <f>[1]Results!N1401</f>
        <v>0.14772104802855957</v>
      </c>
      <c r="L41" s="1">
        <f>[1]Results!O1401</f>
        <v>0.16205204762276271</v>
      </c>
      <c r="M41" s="1">
        <f>[1]Results!P1401</f>
        <v>0.16327752030911302</v>
      </c>
      <c r="N41" s="1">
        <f>[1]Results!Q1401</f>
        <v>0.12306708644778119</v>
      </c>
      <c r="O41" s="1">
        <f>[1]Results!R1401</f>
        <v>0.12500404690378719</v>
      </c>
      <c r="P41" s="1">
        <f>[1]Results!S1401</f>
        <v>0.14904916355320541</v>
      </c>
      <c r="Q41" s="1">
        <f>[1]Results!T1401</f>
        <v>0.17698438070723466</v>
      </c>
      <c r="R41" s="1">
        <f>[1]Results!U1401</f>
        <v>0.20156972186937683</v>
      </c>
      <c r="S41" s="1">
        <f>[1]Results!V1401</f>
        <v>0.25972523867905384</v>
      </c>
      <c r="T41" s="1">
        <f>[1]Results!W1401</f>
        <v>0.26061685668128387</v>
      </c>
      <c r="U41" s="1">
        <f>[1]Results!X1401</f>
        <v>0.24452897230389237</v>
      </c>
      <c r="V41" s="1">
        <f>[1]Results!Y1401</f>
        <v>0.23483658613507874</v>
      </c>
      <c r="W41" s="1">
        <f>[1]Results!Z1401</f>
        <v>0.23818858103801244</v>
      </c>
      <c r="X41" s="1">
        <f>[1]Results!AA1401</f>
        <v>0.25160023479025018</v>
      </c>
      <c r="Y41" s="1">
        <f>[1]Results!AB1401</f>
        <v>0.26856193901423353</v>
      </c>
      <c r="Z41" s="1">
        <f>[1]Results!AC1401</f>
        <v>0.28565269091300749</v>
      </c>
      <c r="AA41" s="1">
        <f>[1]Results!AD1401</f>
        <v>0.30286212978882787</v>
      </c>
      <c r="AB41" s="1">
        <f>[1]Results!AE1401</f>
        <v>0.32002378249171848</v>
      </c>
      <c r="AC41" s="1">
        <f>[1]Results!AF1401</f>
        <v>0.33294430505013128</v>
      </c>
      <c r="AD41" s="1">
        <f>[1]Results!AG1401</f>
        <v>0.33239915210123705</v>
      </c>
      <c r="AE41" s="1">
        <f>[1]Results!AH1401</f>
        <v>0.31675077330843848</v>
      </c>
      <c r="AF41" s="1">
        <f>[1]Results!AI1401</f>
        <v>0.29185616848255158</v>
      </c>
      <c r="AG41" s="1">
        <f>[1]Results!AJ1401</f>
        <v>0.26074632564325739</v>
      </c>
      <c r="AH41" s="1">
        <f>[1]Results!AK1401</f>
        <v>0.22243651821380883</v>
      </c>
      <c r="AI41" s="1">
        <f>[1]Results!AL1401</f>
        <v>0.17296203384613573</v>
      </c>
      <c r="AJ41" s="1">
        <f>[1]Results!AM1401</f>
        <v>0.11075643573150717</v>
      </c>
      <c r="AK41" s="1">
        <f>[1]Results!AN1401</f>
        <v>3.7313500455593562E-2</v>
      </c>
      <c r="AL41" s="1">
        <f>[1]Results!AO1401</f>
        <v>-4.8088511528499023E-2</v>
      </c>
    </row>
    <row r="42" spans="1:3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0</v>
      </c>
      <c r="D42" s="1">
        <f>[1]Results!G1402</f>
        <v>0</v>
      </c>
      <c r="E42" s="1">
        <f>[1]Results!H1402</f>
        <v>0</v>
      </c>
      <c r="F42" s="1">
        <f>[1]Results!I1402</f>
        <v>0</v>
      </c>
      <c r="G42" s="1">
        <f>[1]Results!J1402</f>
        <v>0</v>
      </c>
      <c r="H42" s="1">
        <f>[1]Results!K1402</f>
        <v>0</v>
      </c>
      <c r="I42" s="1">
        <f>[1]Results!L1402</f>
        <v>1.1538946919409376E-2</v>
      </c>
      <c r="J42" s="1">
        <f>[1]Results!M1402</f>
        <v>-4.2037822463436569E-2</v>
      </c>
      <c r="K42" s="1">
        <f>[1]Results!N1402</f>
        <v>-0.12877842578559173</v>
      </c>
      <c r="L42" s="1">
        <f>[1]Results!O1402</f>
        <v>-4.506891903388599E-2</v>
      </c>
      <c r="M42" s="1">
        <f>[1]Results!P1402</f>
        <v>0.15071689721402048</v>
      </c>
      <c r="N42" s="1">
        <f>[1]Results!Q1402</f>
        <v>0.36837811445800117</v>
      </c>
      <c r="O42" s="1">
        <f>[1]Results!R1402</f>
        <v>0.55718936692419341</v>
      </c>
      <c r="P42" s="1">
        <f>[1]Results!S1402</f>
        <v>0.70427739619898233</v>
      </c>
      <c r="Q42" s="1">
        <f>[1]Results!T1402</f>
        <v>0.82112603127688644</v>
      </c>
      <c r="R42" s="1">
        <f>[1]Results!U1402</f>
        <v>0.91850127782369118</v>
      </c>
      <c r="S42" s="1">
        <f>[1]Results!V1402</f>
        <v>0.99538976569732984</v>
      </c>
      <c r="T42" s="1">
        <f>[1]Results!W1402</f>
        <v>1.0454035224941816</v>
      </c>
      <c r="U42" s="1">
        <f>[1]Results!X1402</f>
        <v>1.0661029964990965</v>
      </c>
      <c r="V42" s="1">
        <f>[1]Results!Y1402</f>
        <v>1.0608689178437158</v>
      </c>
      <c r="W42" s="1">
        <f>[1]Results!Z1402</f>
        <v>1.0360951953614306</v>
      </c>
      <c r="X42" s="1">
        <f>[1]Results!AA1402</f>
        <v>0.99859207605372813</v>
      </c>
      <c r="Y42" s="1">
        <f>[1]Results!AB1402</f>
        <v>0.9537935014324983</v>
      </c>
      <c r="Z42" s="1">
        <f>[1]Results!AC1402</f>
        <v>0.90525213149035277</v>
      </c>
      <c r="AA42" s="1">
        <f>[1]Results!AD1402</f>
        <v>0.85516144810118266</v>
      </c>
      <c r="AB42" s="1">
        <f>[1]Results!AE1402</f>
        <v>0.80470474678211446</v>
      </c>
      <c r="AC42" s="1">
        <f>[1]Results!AF1402</f>
        <v>0.75530564743078177</v>
      </c>
      <c r="AD42" s="1">
        <f>[1]Results!AG1402</f>
        <v>0.70873711256038696</v>
      </c>
      <c r="AE42" s="1">
        <f>[1]Results!AH1402</f>
        <v>0.66615955794706583</v>
      </c>
      <c r="AF42" s="1">
        <f>[1]Results!AI1402</f>
        <v>0.62887965797508993</v>
      </c>
      <c r="AG42" s="1">
        <f>[1]Results!AJ1402</f>
        <v>0.59820374492627337</v>
      </c>
      <c r="AH42" s="1">
        <f>[1]Results!AK1402</f>
        <v>0.57542183742218533</v>
      </c>
      <c r="AI42" s="1">
        <f>[1]Results!AL1402</f>
        <v>0.56167574278473964</v>
      </c>
      <c r="AJ42" s="1">
        <f>[1]Results!AM1402</f>
        <v>0.55749340137689618</v>
      </c>
      <c r="AK42" s="1">
        <f>[1]Results!AN1402</f>
        <v>0.56307793199086298</v>
      </c>
      <c r="AL42" s="1">
        <f>[1]Results!AO1402</f>
        <v>0.57857045116398442</v>
      </c>
    </row>
    <row r="43" spans="1:3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0</v>
      </c>
      <c r="D43" s="1">
        <f>[1]Results!G1403</f>
        <v>0</v>
      </c>
      <c r="E43" s="1">
        <f>[1]Results!H1403</f>
        <v>0</v>
      </c>
      <c r="F43" s="1">
        <f>[1]Results!I1403</f>
        <v>0</v>
      </c>
      <c r="G43" s="1">
        <f>[1]Results!J1403</f>
        <v>0</v>
      </c>
      <c r="H43" s="1">
        <f>[1]Results!K1403</f>
        <v>0</v>
      </c>
      <c r="I43" s="1">
        <f>[1]Results!L1403</f>
        <v>3.2202499999984866</v>
      </c>
      <c r="J43" s="1">
        <f>[1]Results!M1403</f>
        <v>-11.783290000003035</v>
      </c>
      <c r="K43" s="1">
        <f>[1]Results!N1403</f>
        <v>-36.254959999998391</v>
      </c>
      <c r="L43" s="1">
        <f>[1]Results!O1403</f>
        <v>-12.744399999999587</v>
      </c>
      <c r="M43" s="1">
        <f>[1]Results!P1403</f>
        <v>42.812799999999697</v>
      </c>
      <c r="N43" s="1">
        <f>[1]Results!Q1403</f>
        <v>105.13487000000168</v>
      </c>
      <c r="O43" s="1">
        <f>[1]Results!R1403</f>
        <v>159.77608999999939</v>
      </c>
      <c r="P43" s="1">
        <f>[1]Results!S1403</f>
        <v>202.83523000000059</v>
      </c>
      <c r="Q43" s="1">
        <f>[1]Results!T1403</f>
        <v>237.40818999999829</v>
      </c>
      <c r="R43" s="1">
        <f>[1]Results!U1403</f>
        <v>266.49765000000116</v>
      </c>
      <c r="S43" s="1">
        <f>[1]Results!V1403</f>
        <v>289.79203000000052</v>
      </c>
      <c r="T43" s="1">
        <f>[1]Results!W1403</f>
        <v>305.45498999999836</v>
      </c>
      <c r="U43" s="1">
        <f>[1]Results!X1403</f>
        <v>312.76592000000164</v>
      </c>
      <c r="V43" s="1">
        <f>[1]Results!Y1403</f>
        <v>312.65776999999798</v>
      </c>
      <c r="W43" s="1">
        <f>[1]Results!Z1403</f>
        <v>306.93160999999964</v>
      </c>
      <c r="X43" s="1">
        <f>[1]Results!AA1403</f>
        <v>297.5196999999971</v>
      </c>
      <c r="Y43" s="1">
        <f>[1]Results!AB1403</f>
        <v>285.97667000000001</v>
      </c>
      <c r="Z43" s="1">
        <f>[1]Results!AC1403</f>
        <v>273.31533000000127</v>
      </c>
      <c r="AA43" s="1">
        <f>[1]Results!AD1403</f>
        <v>260.14607999999862</v>
      </c>
      <c r="AB43" s="1">
        <f>[1]Results!AE1403</f>
        <v>246.78524000000107</v>
      </c>
      <c r="AC43" s="1">
        <f>[1]Results!AF1403</f>
        <v>233.63753999999972</v>
      </c>
      <c r="AD43" s="1">
        <f>[1]Results!AG1403</f>
        <v>221.24171999999817</v>
      </c>
      <c r="AE43" s="1">
        <f>[1]Results!AH1403</f>
        <v>209.96158000000287</v>
      </c>
      <c r="AF43" s="1">
        <f>[1]Results!AI1403</f>
        <v>200.20611999999892</v>
      </c>
      <c r="AG43" s="1">
        <f>[1]Results!AJ1403</f>
        <v>192.39374999999927</v>
      </c>
      <c r="AH43" s="1">
        <f>[1]Results!AK1403</f>
        <v>186.96208000000115</v>
      </c>
      <c r="AI43" s="1">
        <f>[1]Results!AL1403</f>
        <v>184.32912999999826</v>
      </c>
      <c r="AJ43" s="1">
        <f>[1]Results!AM1403</f>
        <v>184.73209000000497</v>
      </c>
      <c r="AK43" s="1">
        <f>[1]Results!AN1403</f>
        <v>188.3079099999959</v>
      </c>
      <c r="AL43" s="1">
        <f>[1]Results!AO1403</f>
        <v>195.17154000000301</v>
      </c>
    </row>
    <row r="44" spans="1:3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</v>
      </c>
      <c r="D44" s="1">
        <f>[1]Results!G1404</f>
        <v>0</v>
      </c>
      <c r="E44" s="1">
        <f>[1]Results!H1404</f>
        <v>0</v>
      </c>
      <c r="F44" s="1">
        <f>[1]Results!I1404</f>
        <v>0</v>
      </c>
      <c r="G44" s="1">
        <f>[1]Results!J1404</f>
        <v>0</v>
      </c>
      <c r="H44" s="1">
        <f>[1]Results!K1404</f>
        <v>0</v>
      </c>
      <c r="I44" s="1">
        <f>[1]Results!L1404</f>
        <v>-8.6365599999999043E-3</v>
      </c>
      <c r="J44" s="1">
        <f>[1]Results!M1404</f>
        <v>3.2175850000000505E-2</v>
      </c>
      <c r="K44" s="1">
        <f>[1]Results!N1404</f>
        <v>9.4239329999999677E-2</v>
      </c>
      <c r="L44" s="1">
        <f>[1]Results!O1404</f>
        <v>2.5047770000000136E-2</v>
      </c>
      <c r="M44" s="1">
        <f>[1]Results!P1404</f>
        <v>-0.11941430999999891</v>
      </c>
      <c r="N44" s="1">
        <f>[1]Results!Q1404</f>
        <v>-0.26990332000000061</v>
      </c>
      <c r="O44" s="1">
        <f>[1]Results!R1404</f>
        <v>-0.39314345999999917</v>
      </c>
      <c r="P44" s="1">
        <f>[1]Results!S1404</f>
        <v>-0.48440493000000001</v>
      </c>
      <c r="Q44" s="1">
        <f>[1]Results!T1404</f>
        <v>-0.55512324999999896</v>
      </c>
      <c r="R44" s="1">
        <f>[1]Results!U1404</f>
        <v>-0.61390456999999987</v>
      </c>
      <c r="S44" s="1">
        <f>[1]Results!V1404</f>
        <v>-0.65965724999999953</v>
      </c>
      <c r="T44" s="1">
        <f>[1]Results!W1404</f>
        <v>-0.68763478000000022</v>
      </c>
      <c r="U44" s="1">
        <f>[1]Results!X1404</f>
        <v>-0.69645699000000083</v>
      </c>
      <c r="V44" s="1">
        <f>[1]Results!Y1404</f>
        <v>-0.68896470999999937</v>
      </c>
      <c r="W44" s="1">
        <f>[1]Results!Z1404</f>
        <v>-0.66982860999999927</v>
      </c>
      <c r="X44" s="1">
        <f>[1]Results!AA1404</f>
        <v>-0.64367196999999954</v>
      </c>
      <c r="Y44" s="1">
        <f>[1]Results!AB1404</f>
        <v>-0.61393720999999979</v>
      </c>
      <c r="Z44" s="1">
        <f>[1]Results!AC1404</f>
        <v>-0.58267096000000074</v>
      </c>
      <c r="AA44" s="1">
        <f>[1]Results!AD1404</f>
        <v>-0.55100795000000002</v>
      </c>
      <c r="AB44" s="1">
        <f>[1]Results!AE1404</f>
        <v>-0.51946114000000065</v>
      </c>
      <c r="AC44" s="1">
        <f>[1]Results!AF1404</f>
        <v>-0.4888620499999996</v>
      </c>
      <c r="AD44" s="1">
        <f>[1]Results!AG1404</f>
        <v>-0.46037812000000039</v>
      </c>
      <c r="AE44" s="1">
        <f>[1]Results!AH1404</f>
        <v>-0.43471030999999993</v>
      </c>
      <c r="AF44" s="1">
        <f>[1]Results!AI1404</f>
        <v>-0.41269785999999975</v>
      </c>
      <c r="AG44" s="1">
        <f>[1]Results!AJ1404</f>
        <v>-0.39519455999999997</v>
      </c>
      <c r="AH44" s="1">
        <f>[1]Results!AK1404</f>
        <v>-0.38307656000000012</v>
      </c>
      <c r="AI44" s="1">
        <f>[1]Results!AL1404</f>
        <v>-0.37714230999999976</v>
      </c>
      <c r="AJ44" s="1">
        <f>[1]Results!AM1404</f>
        <v>-0.37773793999999961</v>
      </c>
      <c r="AK44" s="1">
        <f>[1]Results!AN1404</f>
        <v>-0.38500014999999987</v>
      </c>
      <c r="AL44" s="1">
        <f>[1]Results!AO1404</f>
        <v>-0.3990500300000005</v>
      </c>
    </row>
    <row r="45" spans="1:3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0</v>
      </c>
      <c r="D45" s="1">
        <f>[1]Results!G1405</f>
        <v>0</v>
      </c>
      <c r="E45" s="1">
        <f>[1]Results!H1405</f>
        <v>0</v>
      </c>
      <c r="F45" s="1">
        <f>[1]Results!I1405</f>
        <v>0</v>
      </c>
      <c r="G45" s="1">
        <f>[1]Results!J1405</f>
        <v>0</v>
      </c>
      <c r="H45" s="1">
        <f>[1]Results!K1405</f>
        <v>0</v>
      </c>
      <c r="I45" s="1">
        <f>[1]Results!L1405</f>
        <v>8.4137798693001156E-2</v>
      </c>
      <c r="J45" s="1">
        <f>[1]Results!M1405</f>
        <v>-0.11145446956927493</v>
      </c>
      <c r="K45" s="1">
        <f>[1]Results!N1405</f>
        <v>-0.21537695652891453</v>
      </c>
      <c r="L45" s="1">
        <f>[1]Results!O1405</f>
        <v>-3.6456661914903085E-2</v>
      </c>
      <c r="M45" s="1">
        <f>[1]Results!P1405</f>
        <v>9.1160653478456963E-2</v>
      </c>
      <c r="N45" s="1">
        <f>[1]Results!Q1405</f>
        <v>0.16673980388519499</v>
      </c>
      <c r="O45" s="1">
        <f>[1]Results!R1405</f>
        <v>0.20804221188050442</v>
      </c>
      <c r="P45" s="1">
        <f>[1]Results!S1405</f>
        <v>0.22194744469747418</v>
      </c>
      <c r="Q45" s="1">
        <f>[1]Results!T1405</f>
        <v>0.23381447533027616</v>
      </c>
      <c r="R45" s="1">
        <f>[1]Results!U1405</f>
        <v>0.24662928254366376</v>
      </c>
      <c r="S45" s="1">
        <f>[1]Results!V1405</f>
        <v>0.19890308579237295</v>
      </c>
      <c r="T45" s="1">
        <f>[1]Results!W1405</f>
        <v>0.16139871018230889</v>
      </c>
      <c r="U45" s="1">
        <f>[1]Results!X1405</f>
        <v>0.13521091209593283</v>
      </c>
      <c r="V45" s="1">
        <f>[1]Results!Y1405</f>
        <v>0.11182038227278979</v>
      </c>
      <c r="W45" s="1">
        <f>[1]Results!Z1405</f>
        <v>8.5551675445817016E-2</v>
      </c>
      <c r="X45" s="1">
        <f>[1]Results!AA1405</f>
        <v>5.179266173383143E-2</v>
      </c>
      <c r="Y45" s="1">
        <f>[1]Results!AB1405</f>
        <v>1.1998485198924658E-2</v>
      </c>
      <c r="Z45" s="1">
        <f>[1]Results!AC1405</f>
        <v>-2.8731456759263294E-2</v>
      </c>
      <c r="AA45" s="1">
        <f>[1]Results!AD1405</f>
        <v>-6.9919306553048802E-2</v>
      </c>
      <c r="AB45" s="1">
        <f>[1]Results!AE1405</f>
        <v>-0.11230791821946993</v>
      </c>
      <c r="AC45" s="1">
        <f>[1]Results!AF1405</f>
        <v>-0.16462813499226459</v>
      </c>
      <c r="AD45" s="1">
        <f>[1]Results!AG1405</f>
        <v>-0.22457123197577866</v>
      </c>
      <c r="AE45" s="1">
        <f>[1]Results!AH1405</f>
        <v>-0.27768689102718042</v>
      </c>
      <c r="AF45" s="1">
        <f>[1]Results!AI1405</f>
        <v>-0.32371643022156626</v>
      </c>
      <c r="AG45" s="1">
        <f>[1]Results!AJ1405</f>
        <v>-0.36402133614842558</v>
      </c>
      <c r="AH45" s="1">
        <f>[1]Results!AK1405</f>
        <v>-0.40293657199828647</v>
      </c>
      <c r="AI45" s="1">
        <f>[1]Results!AL1405</f>
        <v>-0.4402122167660269</v>
      </c>
      <c r="AJ45" s="1">
        <f>[1]Results!AM1405</f>
        <v>-0.46954151594640958</v>
      </c>
      <c r="AK45" s="1">
        <f>[1]Results!AN1405</f>
        <v>-0.48924873421053727</v>
      </c>
      <c r="AL45" s="1">
        <f>[1]Results!AO1405</f>
        <v>-0.49681470883679718</v>
      </c>
    </row>
    <row r="46" spans="1:3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0</v>
      </c>
      <c r="D46" s="1">
        <f>[1]Results!G1406</f>
        <v>0</v>
      </c>
      <c r="E46" s="1">
        <f>[1]Results!H1406</f>
        <v>0</v>
      </c>
      <c r="F46" s="1">
        <f>[1]Results!I1406</f>
        <v>0</v>
      </c>
      <c r="G46" s="1">
        <f>[1]Results!J1406</f>
        <v>0</v>
      </c>
      <c r="H46" s="1">
        <f>[1]Results!K1406</f>
        <v>0</v>
      </c>
      <c r="I46" s="1">
        <f>[1]Results!L1406</f>
        <v>-0.12263552023160616</v>
      </c>
      <c r="J46" s="1">
        <f>[1]Results!M1406</f>
        <v>-0.22622017326242219</v>
      </c>
      <c r="K46" s="1">
        <f>[1]Results!N1406</f>
        <v>-0.33637267602822185</v>
      </c>
      <c r="L46" s="1">
        <f>[1]Results!O1406</f>
        <v>-0.45221606611307275</v>
      </c>
      <c r="M46" s="1">
        <f>[1]Results!P1406</f>
        <v>-0.56230385405075101</v>
      </c>
      <c r="N46" s="1">
        <f>[1]Results!Q1406</f>
        <v>-0.65581224935534133</v>
      </c>
      <c r="O46" s="1">
        <f>[1]Results!R1406</f>
        <v>-0.73529082480929642</v>
      </c>
      <c r="P46" s="1">
        <f>[1]Results!S1406</f>
        <v>-0.80003275218328906</v>
      </c>
      <c r="Q46" s="1">
        <f>[1]Results!T1406</f>
        <v>-0.85088339033234406</v>
      </c>
      <c r="R46" s="1">
        <f>[1]Results!U1406</f>
        <v>-0.88973688725000577</v>
      </c>
      <c r="S46" s="1">
        <f>[1]Results!V1406</f>
        <v>-0.86765666632388738</v>
      </c>
      <c r="T46" s="1">
        <f>[1]Results!W1406</f>
        <v>-0.85688251412970595</v>
      </c>
      <c r="U46" s="1">
        <f>[1]Results!X1406</f>
        <v>-0.853758384006709</v>
      </c>
      <c r="V46" s="1">
        <f>[1]Results!Y1406</f>
        <v>-0.85443640246718988</v>
      </c>
      <c r="W46" s="1">
        <f>[1]Results!Z1406</f>
        <v>-0.85643353879305895</v>
      </c>
      <c r="X46" s="1">
        <f>[1]Results!AA1406</f>
        <v>-0.85806671569286652</v>
      </c>
      <c r="Y46" s="1">
        <f>[1]Results!AB1406</f>
        <v>-0.85876878926702105</v>
      </c>
      <c r="Z46" s="1">
        <f>[1]Results!AC1406</f>
        <v>-0.8586963982816862</v>
      </c>
      <c r="AA46" s="1">
        <f>[1]Results!AD1406</f>
        <v>-0.85795398683265089</v>
      </c>
      <c r="AB46" s="1">
        <f>[1]Results!AE1406</f>
        <v>-0.8563981136606833</v>
      </c>
      <c r="AC46" s="1">
        <f>[1]Results!AF1406</f>
        <v>-0.85479153451437084</v>
      </c>
      <c r="AD46" s="1">
        <f>[1]Results!AG1406</f>
        <v>-0.85165341945580597</v>
      </c>
      <c r="AE46" s="1">
        <f>[1]Results!AH1406</f>
        <v>-0.8480432173949245</v>
      </c>
      <c r="AF46" s="1">
        <f>[1]Results!AI1406</f>
        <v>-0.84387412059453315</v>
      </c>
      <c r="AG46" s="1">
        <f>[1]Results!AJ1406</f>
        <v>-0.83926639202318942</v>
      </c>
      <c r="AH46" s="1">
        <f>[1]Results!AK1406</f>
        <v>-0.83429158779130919</v>
      </c>
      <c r="AI46" s="1">
        <f>[1]Results!AL1406</f>
        <v>-0.8295477227979835</v>
      </c>
      <c r="AJ46" s="1">
        <f>[1]Results!AM1406</f>
        <v>-0.82647668315326517</v>
      </c>
      <c r="AK46" s="1">
        <f>[1]Results!AN1406</f>
        <v>-0.82712584405355261</v>
      </c>
      <c r="AL46" s="1">
        <f>[1]Results!AO1406</f>
        <v>-0.83560218232386019</v>
      </c>
    </row>
    <row r="47" spans="1:3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</v>
      </c>
      <c r="D47" s="1">
        <f>[1]Results!G1407</f>
        <v>0</v>
      </c>
      <c r="E47" s="1">
        <f>[1]Results!H1407</f>
        <v>0</v>
      </c>
      <c r="F47" s="1">
        <f>[1]Results!I1407</f>
        <v>0</v>
      </c>
      <c r="G47" s="1">
        <f>[1]Results!J1407</f>
        <v>0</v>
      </c>
      <c r="H47" s="1">
        <f>[1]Results!K1407</f>
        <v>0</v>
      </c>
      <c r="I47" s="1">
        <f>[1]Results!L1407</f>
        <v>-3.0438507496740545E-2</v>
      </c>
      <c r="J47" s="1">
        <f>[1]Results!M1407</f>
        <v>0.14283878661575733</v>
      </c>
      <c r="K47" s="1">
        <f>[1]Results!N1407</f>
        <v>0.26966601141486513</v>
      </c>
      <c r="L47" s="1">
        <f>[1]Results!O1407</f>
        <v>0.25763326023540284</v>
      </c>
      <c r="M47" s="1">
        <f>[1]Results!P1407</f>
        <v>0.17398811769321804</v>
      </c>
      <c r="N47" s="1">
        <f>[1]Results!Q1407</f>
        <v>2.9415537847431606E-2</v>
      </c>
      <c r="O47" s="1">
        <f>[1]Results!R1407</f>
        <v>-0.11299392221965654</v>
      </c>
      <c r="P47" s="1">
        <f>[1]Results!S1407</f>
        <v>-0.2351547104556605</v>
      </c>
      <c r="Q47" s="1">
        <f>[1]Results!T1407</f>
        <v>-0.33867863021441486</v>
      </c>
      <c r="R47" s="1">
        <f>[1]Results!U1407</f>
        <v>-0.42749454523327357</v>
      </c>
      <c r="S47" s="1">
        <f>[1]Results!V1407</f>
        <v>-0.48026694577040291</v>
      </c>
      <c r="T47" s="1">
        <f>[1]Results!W1407</f>
        <v>-0.50999871536755603</v>
      </c>
      <c r="U47" s="1">
        <f>[1]Results!X1407</f>
        <v>-0.52749431816464298</v>
      </c>
      <c r="V47" s="1">
        <f>[1]Results!Y1407</f>
        <v>-0.53835397175277944</v>
      </c>
      <c r="W47" s="1">
        <f>[1]Results!Z1407</f>
        <v>-0.54479670943768255</v>
      </c>
      <c r="X47" s="1">
        <f>[1]Results!AA1407</f>
        <v>-0.54627510007895164</v>
      </c>
      <c r="Y47" s="1">
        <f>[1]Results!AB1407</f>
        <v>-0.54262166116946564</v>
      </c>
      <c r="Z47" s="1">
        <f>[1]Results!AC1407</f>
        <v>-0.53552421506313719</v>
      </c>
      <c r="AA47" s="1">
        <f>[1]Results!AD1407</f>
        <v>-0.52601506952380872</v>
      </c>
      <c r="AB47" s="1">
        <f>[1]Results!AE1407</f>
        <v>-0.51420157548186485</v>
      </c>
      <c r="AC47" s="1">
        <f>[1]Results!AF1407</f>
        <v>-0.49608029680557747</v>
      </c>
      <c r="AD47" s="1">
        <f>[1]Results!AG1407</f>
        <v>-0.46973352154877879</v>
      </c>
      <c r="AE47" s="1">
        <f>[1]Results!AH1407</f>
        <v>-0.43995035489018885</v>
      </c>
      <c r="AF47" s="1">
        <f>[1]Results!AI1407</f>
        <v>-0.41024862850865679</v>
      </c>
      <c r="AG47" s="1">
        <f>[1]Results!AJ1407</f>
        <v>-0.38256953578988462</v>
      </c>
      <c r="AH47" s="1">
        <f>[1]Results!AK1407</f>
        <v>-0.35633774596828471</v>
      </c>
      <c r="AI47" s="1">
        <f>[1]Results!AL1407</f>
        <v>-0.33111734071506888</v>
      </c>
      <c r="AJ47" s="1">
        <f>[1]Results!AM1407</f>
        <v>-0.30898550867177327</v>
      </c>
      <c r="AK47" s="1">
        <f>[1]Results!AN1407</f>
        <v>-0.29162367230696901</v>
      </c>
      <c r="AL47" s="1">
        <f>[1]Results!AO1407</f>
        <v>-0.27983331789804</v>
      </c>
    </row>
    <row r="48" spans="1:3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</v>
      </c>
      <c r="D48" s="1">
        <f>[1]Results!G1408</f>
        <v>0</v>
      </c>
      <c r="E48" s="1">
        <f>[1]Results!H1408</f>
        <v>0</v>
      </c>
      <c r="F48" s="1">
        <f>[1]Results!I1408</f>
        <v>0</v>
      </c>
      <c r="G48" s="1">
        <f>[1]Results!J1408</f>
        <v>0</v>
      </c>
      <c r="H48" s="1">
        <f>[1]Results!K1408</f>
        <v>0</v>
      </c>
      <c r="I48" s="1">
        <f>[1]Results!L1408</f>
        <v>-3.0817134500616891E-2</v>
      </c>
      <c r="J48" s="1">
        <f>[1]Results!M1408</f>
        <v>9.7092370795651486E-2</v>
      </c>
      <c r="K48" s="1">
        <f>[1]Results!N1408</f>
        <v>0.38196570518207429</v>
      </c>
      <c r="L48" s="1">
        <f>[1]Results!O1408</f>
        <v>0.41687130690393415</v>
      </c>
      <c r="M48" s="1">
        <f>[1]Results!P1408</f>
        <v>0.37118588635565231</v>
      </c>
      <c r="N48" s="1">
        <f>[1]Results!Q1408</f>
        <v>0.26301330050033411</v>
      </c>
      <c r="O48" s="1">
        <f>[1]Results!R1408</f>
        <v>9.2711013389844971E-2</v>
      </c>
      <c r="P48" s="1">
        <f>[1]Results!S1408</f>
        <v>-6.8051133903278965E-2</v>
      </c>
      <c r="Q48" s="1">
        <f>[1]Results!T1408</f>
        <v>-0.211439843429931</v>
      </c>
      <c r="R48" s="1">
        <f>[1]Results!U1408</f>
        <v>-0.33842026740409942</v>
      </c>
      <c r="S48" s="1">
        <f>[1]Results!V1408</f>
        <v>-0.4283525329614658</v>
      </c>
      <c r="T48" s="1">
        <f>[1]Results!W1408</f>
        <v>-0.4581240049056734</v>
      </c>
      <c r="U48" s="1">
        <f>[1]Results!X1408</f>
        <v>-0.47620786302619456</v>
      </c>
      <c r="V48" s="1">
        <f>[1]Results!Y1408</f>
        <v>-0.49551052259481382</v>
      </c>
      <c r="W48" s="1">
        <f>[1]Results!Z1408</f>
        <v>-0.51841484171599839</v>
      </c>
      <c r="X48" s="1">
        <f>[1]Results!AA1408</f>
        <v>-0.5421920317384038</v>
      </c>
      <c r="Y48" s="1">
        <f>[1]Results!AB1408</f>
        <v>-0.56308459626739338</v>
      </c>
      <c r="Z48" s="1">
        <f>[1]Results!AC1408</f>
        <v>-0.58110796867544412</v>
      </c>
      <c r="AA48" s="1">
        <f>[1]Results!AD1408</f>
        <v>-0.59780019755408587</v>
      </c>
      <c r="AB48" s="1">
        <f>[1]Results!AE1408</f>
        <v>-0.61298959681199761</v>
      </c>
      <c r="AC48" s="1">
        <f>[1]Results!AF1408</f>
        <v>-0.62191624864390316</v>
      </c>
      <c r="AD48" s="1">
        <f>[1]Results!AG1408</f>
        <v>-0.61867539509304526</v>
      </c>
      <c r="AE48" s="1">
        <f>[1]Results!AH1408</f>
        <v>-0.60700299761160048</v>
      </c>
      <c r="AF48" s="1">
        <f>[1]Results!AI1408</f>
        <v>-0.59357676575596641</v>
      </c>
      <c r="AG48" s="1">
        <f>[1]Results!AJ1408</f>
        <v>-0.58059656509613222</v>
      </c>
      <c r="AH48" s="1">
        <f>[1]Results!AK1408</f>
        <v>-0.56712153685697719</v>
      </c>
      <c r="AI48" s="1">
        <f>[1]Results!AL1408</f>
        <v>-0.55170085459477636</v>
      </c>
      <c r="AJ48" s="1">
        <f>[1]Results!AM1408</f>
        <v>-0.53638271269154447</v>
      </c>
      <c r="AK48" s="1">
        <f>[1]Results!AN1408</f>
        <v>-0.52388626209970846</v>
      </c>
      <c r="AL48" s="1">
        <f>[1]Results!AO1408</f>
        <v>-0.51549965266790698</v>
      </c>
    </row>
    <row r="49" spans="1:3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0</v>
      </c>
      <c r="D49" s="1">
        <f>[1]Results!G1409</f>
        <v>0</v>
      </c>
      <c r="E49" s="1">
        <f>[1]Results!H1409</f>
        <v>0</v>
      </c>
      <c r="F49" s="1">
        <f>[1]Results!I1409</f>
        <v>0</v>
      </c>
      <c r="G49" s="1">
        <f>[1]Results!J1409</f>
        <v>0</v>
      </c>
      <c r="H49" s="1">
        <f>[1]Results!K1409</f>
        <v>0</v>
      </c>
      <c r="I49" s="1">
        <f>[1]Results!L1409</f>
        <v>-4.9767989216764619E-2</v>
      </c>
      <c r="J49" s="1">
        <f>[1]Results!M1409</f>
        <v>-0.17220395429325963</v>
      </c>
      <c r="K49" s="1">
        <f>[1]Results!N1409</f>
        <v>-3.5585864617204699E-2</v>
      </c>
      <c r="L49" s="1">
        <f>[1]Results!O1409</f>
        <v>-0.31741670703285818</v>
      </c>
      <c r="M49" s="1">
        <f>[1]Results!P1409</f>
        <v>-0.76695719754406033</v>
      </c>
      <c r="N49" s="1">
        <f>[1]Results!Q1409</f>
        <v>-1.2179660486606236</v>
      </c>
      <c r="O49" s="1">
        <f>[1]Results!R1409</f>
        <v>-1.7667492250416417</v>
      </c>
      <c r="P49" s="1">
        <f>[1]Results!S1409</f>
        <v>-2.387491697200872</v>
      </c>
      <c r="Q49" s="1">
        <f>[1]Results!T1409</f>
        <v>-3.0715416196320788</v>
      </c>
      <c r="R49" s="1">
        <f>[1]Results!U1409</f>
        <v>-3.7969490658255833</v>
      </c>
      <c r="S49" s="1">
        <f>[1]Results!V1409</f>
        <v>-4.5531248080447178</v>
      </c>
      <c r="T49" s="1">
        <f>[1]Results!W1409</f>
        <v>-5.2922920075994977</v>
      </c>
      <c r="U49" s="1">
        <f>[1]Results!X1409</f>
        <v>-5.9940682549182949</v>
      </c>
      <c r="V49" s="1">
        <f>[1]Results!Y1409</f>
        <v>-6.6530343048873508</v>
      </c>
      <c r="W49" s="1">
        <f>[1]Results!Z1409</f>
        <v>-7.2692717422710773</v>
      </c>
      <c r="X49" s="1">
        <f>[1]Results!AA1409</f>
        <v>-7.842809219841862</v>
      </c>
      <c r="Y49" s="1">
        <f>[1]Results!AB1409</f>
        <v>-8.3713176350295964</v>
      </c>
      <c r="Z49" s="1">
        <f>[1]Results!AC1409</f>
        <v>-8.8515641176365563</v>
      </c>
      <c r="AA49" s="1">
        <f>[1]Results!AD1409</f>
        <v>-9.2808288190747152</v>
      </c>
      <c r="AB49" s="1">
        <f>[1]Results!AE1409</f>
        <v>-9.6565824860644689</v>
      </c>
      <c r="AC49" s="1">
        <f>[1]Results!AF1409</f>
        <v>-9.9765289770598002</v>
      </c>
      <c r="AD49" s="1">
        <f>[1]Results!AG1409</f>
        <v>-10.237319406557017</v>
      </c>
      <c r="AE49" s="1">
        <f>[1]Results!AH1409</f>
        <v>-10.439118888601223</v>
      </c>
      <c r="AF49" s="1">
        <f>[1]Results!AI1409</f>
        <v>-10.587100035248504</v>
      </c>
      <c r="AG49" s="1">
        <f>[1]Results!AJ1409</f>
        <v>-10.690020076434298</v>
      </c>
      <c r="AH49" s="1">
        <f>[1]Results!AK1409</f>
        <v>-10.75634457281989</v>
      </c>
      <c r="AI49" s="1">
        <f>[1]Results!AL1409</f>
        <v>-10.793270030414536</v>
      </c>
      <c r="AJ49" s="1">
        <f>[1]Results!AM1409</f>
        <v>-10.808188803089768</v>
      </c>
      <c r="AK49" s="1">
        <f>[1]Results!AN1409</f>
        <v>-10.808862070095643</v>
      </c>
      <c r="AL49" s="1">
        <f>[1]Results!AO1409</f>
        <v>-10.802733419039862</v>
      </c>
    </row>
    <row r="50" spans="1:3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2194093.5350000001</v>
      </c>
      <c r="D50" s="1">
        <f>[1]Results!G1410</f>
        <v>2218377.8250000002</v>
      </c>
      <c r="E50" s="1">
        <f>[1]Results!H1410</f>
        <v>2250613.0580000002</v>
      </c>
      <c r="F50" s="1">
        <f>[1]Results!I1410</f>
        <v>2285429.2050000001</v>
      </c>
      <c r="G50" s="1">
        <f>[1]Results!J1410</f>
        <v>2320657.003</v>
      </c>
      <c r="H50" s="1">
        <f>[1]Results!K1410</f>
        <v>2356848.5989999999</v>
      </c>
      <c r="I50" s="1">
        <f>[1]Results!L1410</f>
        <v>2394044.16</v>
      </c>
      <c r="J50" s="1">
        <f>[1]Results!M1410</f>
        <v>2426097.3110000002</v>
      </c>
      <c r="K50" s="1">
        <f>[1]Results!N1410</f>
        <v>2459579.219</v>
      </c>
      <c r="L50" s="1">
        <f>[1]Results!O1410</f>
        <v>2503593.2510000002</v>
      </c>
      <c r="M50" s="1">
        <f>[1]Results!P1410</f>
        <v>2549832.5019999999</v>
      </c>
      <c r="N50" s="1">
        <f>[1]Results!Q1410</f>
        <v>2597102.6669999999</v>
      </c>
      <c r="O50" s="1">
        <f>[1]Results!R1410</f>
        <v>2644592.4649999999</v>
      </c>
      <c r="P50" s="1">
        <f>[1]Results!S1410</f>
        <v>2690987.5049999999</v>
      </c>
      <c r="Q50" s="1">
        <f>[1]Results!T1410</f>
        <v>2737568.84</v>
      </c>
      <c r="R50" s="1">
        <f>[1]Results!U1410</f>
        <v>2784866.42</v>
      </c>
      <c r="S50" s="1">
        <f>[1]Results!V1410</f>
        <v>2833252.4739999999</v>
      </c>
      <c r="T50" s="1">
        <f>[1]Results!W1410</f>
        <v>2883211.469</v>
      </c>
      <c r="U50" s="1">
        <f>[1]Results!X1410</f>
        <v>2935068.7969999998</v>
      </c>
      <c r="V50" s="1">
        <f>[1]Results!Y1410</f>
        <v>2989054.983</v>
      </c>
      <c r="W50" s="1">
        <f>[1]Results!Z1410</f>
        <v>3045491.2230000002</v>
      </c>
      <c r="X50" s="1">
        <f>[1]Results!AA1410</f>
        <v>3104642.182</v>
      </c>
      <c r="Y50" s="1">
        <f>[1]Results!AB1410</f>
        <v>3166917.821</v>
      </c>
      <c r="Z50" s="1">
        <f>[1]Results!AC1410</f>
        <v>3232576.6749999998</v>
      </c>
      <c r="AA50" s="1">
        <f>[1]Results!AD1410</f>
        <v>3301633.9780000001</v>
      </c>
      <c r="AB50" s="1">
        <f>[1]Results!AE1410</f>
        <v>3374183.074</v>
      </c>
      <c r="AC50" s="1">
        <f>[1]Results!AF1410</f>
        <v>3450377.2590000001</v>
      </c>
      <c r="AD50" s="1">
        <f>[1]Results!AG1410</f>
        <v>3530557.61</v>
      </c>
      <c r="AE50" s="1">
        <f>[1]Results!AH1410</f>
        <v>3614932.4950000001</v>
      </c>
      <c r="AF50" s="1">
        <f>[1]Results!AI1410</f>
        <v>3703207.6209999998</v>
      </c>
      <c r="AG50" s="1">
        <f>[1]Results!AJ1410</f>
        <v>3794852.5890000002</v>
      </c>
      <c r="AH50" s="1">
        <f>[1]Results!AK1410</f>
        <v>3889416.176</v>
      </c>
      <c r="AI50" s="1">
        <f>[1]Results!AL1410</f>
        <v>3986568.2179999999</v>
      </c>
      <c r="AJ50" s="1">
        <f>[1]Results!AM1410</f>
        <v>4086047.7420000001</v>
      </c>
      <c r="AK50" s="1">
        <f>[1]Results!AN1410</f>
        <v>4187657.64</v>
      </c>
      <c r="AL50" s="1">
        <f>[1]Results!AO1410</f>
        <v>4291299.6610000003</v>
      </c>
    </row>
    <row r="51" spans="1:3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4.5576897811372419E-8</v>
      </c>
      <c r="D51" s="1">
        <f>[1]Results!G1411</f>
        <v>-4.5077996890796612E-8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-3.7812997177866237E-8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0</v>
      </c>
      <c r="U51" s="1">
        <f>[1]Results!X1411</f>
        <v>-3.4070746224301729E-8</v>
      </c>
      <c r="V51" s="1">
        <f>[1]Results!Y1411</f>
        <v>0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-2.5084223587157339E-8</v>
      </c>
      <c r="AJ51" s="1">
        <f>[1]Results!AM1411</f>
        <v>0</v>
      </c>
      <c r="AK51" s="1">
        <f>[1]Results!AN1411</f>
        <v>0</v>
      </c>
      <c r="AL51" s="1">
        <f>[1]Results!AO1411</f>
        <v>0</v>
      </c>
    </row>
    <row r="52" spans="1:3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1189810.844</v>
      </c>
      <c r="D52" s="1">
        <f>[1]Results!G1412</f>
        <v>1229453.7819999999</v>
      </c>
      <c r="E52" s="1">
        <f>[1]Results!H1412</f>
        <v>1267814.72</v>
      </c>
      <c r="F52" s="1">
        <f>[1]Results!I1412</f>
        <v>1307340.7709999999</v>
      </c>
      <c r="G52" s="1">
        <f>[1]Results!J1412</f>
        <v>1347496.2649999999</v>
      </c>
      <c r="H52" s="1">
        <f>[1]Results!K1412</f>
        <v>1387519.726</v>
      </c>
      <c r="I52" s="1">
        <f>[1]Results!L1412</f>
        <v>1429276.969</v>
      </c>
      <c r="J52" s="1">
        <f>[1]Results!M1412</f>
        <v>1480044.02</v>
      </c>
      <c r="K52" s="1">
        <f>[1]Results!N1412</f>
        <v>1539046.0190000001</v>
      </c>
      <c r="L52" s="1">
        <f>[1]Results!O1412</f>
        <v>1598704.3289999999</v>
      </c>
      <c r="M52" s="1">
        <f>[1]Results!P1412</f>
        <v>1661719.6429999999</v>
      </c>
      <c r="N52" s="1">
        <f>[1]Results!Q1412</f>
        <v>1725616.683</v>
      </c>
      <c r="O52" s="1">
        <f>[1]Results!R1412</f>
        <v>1788220.294</v>
      </c>
      <c r="P52" s="1">
        <f>[1]Results!S1412</f>
        <v>1850594.7819999999</v>
      </c>
      <c r="Q52" s="1">
        <f>[1]Results!T1412</f>
        <v>1912529.2120000001</v>
      </c>
      <c r="R52" s="1">
        <f>[1]Results!U1412</f>
        <v>1973793.345</v>
      </c>
      <c r="S52" s="1">
        <f>[1]Results!V1412</f>
        <v>2034536.48</v>
      </c>
      <c r="T52" s="1">
        <f>[1]Results!W1412</f>
        <v>2095021.804</v>
      </c>
      <c r="U52" s="1">
        <f>[1]Results!X1412</f>
        <v>2155052.7340000002</v>
      </c>
      <c r="V52" s="1">
        <f>[1]Results!Y1412</f>
        <v>2214531.8190000001</v>
      </c>
      <c r="W52" s="1">
        <f>[1]Results!Z1412</f>
        <v>2273564.6349999998</v>
      </c>
      <c r="X52" s="1">
        <f>[1]Results!AA1412</f>
        <v>2332437.5830000001</v>
      </c>
      <c r="Y52" s="1">
        <f>[1]Results!AB1412</f>
        <v>2391503.9989999998</v>
      </c>
      <c r="Z52" s="1">
        <f>[1]Results!AC1412</f>
        <v>2450968.2999999998</v>
      </c>
      <c r="AA52" s="1">
        <f>[1]Results!AD1412</f>
        <v>2511058.5580000002</v>
      </c>
      <c r="AB52" s="1">
        <f>[1]Results!AE1412</f>
        <v>2572062.1039999998</v>
      </c>
      <c r="AC52" s="1">
        <f>[1]Results!AF1412</f>
        <v>2634689.4019999998</v>
      </c>
      <c r="AD52" s="1">
        <f>[1]Results!AG1412</f>
        <v>2699807.0830000001</v>
      </c>
      <c r="AE52" s="1">
        <f>[1]Results!AH1412</f>
        <v>2767570.1749999998</v>
      </c>
      <c r="AF52" s="1">
        <f>[1]Results!AI1412</f>
        <v>2837698.0809999998</v>
      </c>
      <c r="AG52" s="1">
        <f>[1]Results!AJ1412</f>
        <v>2909943.7689999999</v>
      </c>
      <c r="AH52" s="1">
        <f>[1]Results!AK1412</f>
        <v>2984274.4709999999</v>
      </c>
      <c r="AI52" s="1">
        <f>[1]Results!AL1412</f>
        <v>3060705.3650000002</v>
      </c>
      <c r="AJ52" s="1">
        <f>[1]Results!AM1412</f>
        <v>3138900.8229999999</v>
      </c>
      <c r="AK52" s="1">
        <f>[1]Results!AN1412</f>
        <v>3218410.3760000002</v>
      </c>
      <c r="AL52" s="1">
        <f>[1]Results!AO1412</f>
        <v>3298838.9780000001</v>
      </c>
    </row>
    <row r="53" spans="1:3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1022443.505</v>
      </c>
      <c r="D53" s="1">
        <f>[1]Results!G1413</f>
        <v>1054847.3589999999</v>
      </c>
      <c r="E53" s="1">
        <f>[1]Results!H1413</f>
        <v>1089830.9439999999</v>
      </c>
      <c r="F53" s="1">
        <f>[1]Results!I1413</f>
        <v>1126180.04</v>
      </c>
      <c r="G53" s="1">
        <f>[1]Results!J1413</f>
        <v>1162936.173</v>
      </c>
      <c r="H53" s="1">
        <f>[1]Results!K1413</f>
        <v>1200395.4380000001</v>
      </c>
      <c r="I53" s="1">
        <f>[1]Results!L1413</f>
        <v>1239183.709</v>
      </c>
      <c r="J53" s="1">
        <f>[1]Results!M1413</f>
        <v>1280724.821</v>
      </c>
      <c r="K53" s="1">
        <f>[1]Results!N1413</f>
        <v>1325909.48</v>
      </c>
      <c r="L53" s="1">
        <f>[1]Results!O1413</f>
        <v>1378699.6640000001</v>
      </c>
      <c r="M53" s="1">
        <f>[1]Results!P1413</f>
        <v>1438329.2420000001</v>
      </c>
      <c r="N53" s="1">
        <f>[1]Results!Q1413</f>
        <v>1502600.898</v>
      </c>
      <c r="O53" s="1">
        <f>[1]Results!R1413</f>
        <v>1569619.906</v>
      </c>
      <c r="P53" s="1">
        <f>[1]Results!S1413</f>
        <v>1637517.129</v>
      </c>
      <c r="Q53" s="1">
        <f>[1]Results!T1413</f>
        <v>1705519.1850000001</v>
      </c>
      <c r="R53" s="1">
        <f>[1]Results!U1413</f>
        <v>1773279.0830000001</v>
      </c>
      <c r="S53" s="1">
        <f>[1]Results!V1413</f>
        <v>1840801.4990000001</v>
      </c>
      <c r="T53" s="1">
        <f>[1]Results!W1413</f>
        <v>1908552.709</v>
      </c>
      <c r="U53" s="1">
        <f>[1]Results!X1413</f>
        <v>1976857.65</v>
      </c>
      <c r="V53" s="1">
        <f>[1]Results!Y1413</f>
        <v>2046088.0009999999</v>
      </c>
      <c r="W53" s="1">
        <f>[1]Results!Z1413</f>
        <v>2116700.554</v>
      </c>
      <c r="X53" s="1">
        <f>[1]Results!AA1413</f>
        <v>2189267.5989999999</v>
      </c>
      <c r="Y53" s="1">
        <f>[1]Results!AB1413</f>
        <v>2264525.83</v>
      </c>
      <c r="Z53" s="1">
        <f>[1]Results!AC1413</f>
        <v>2343212.1850000001</v>
      </c>
      <c r="AA53" s="1">
        <f>[1]Results!AD1413</f>
        <v>2426027.594</v>
      </c>
      <c r="AB53" s="1">
        <f>[1]Results!AE1413</f>
        <v>2513693.3339999998</v>
      </c>
      <c r="AC53" s="1">
        <f>[1]Results!AF1413</f>
        <v>2607258.8080000002</v>
      </c>
      <c r="AD53" s="1">
        <f>[1]Results!AG1413</f>
        <v>2708085.8</v>
      </c>
      <c r="AE53" s="1">
        <f>[1]Results!AH1413</f>
        <v>2817420.048</v>
      </c>
      <c r="AF53" s="1">
        <f>[1]Results!AI1413</f>
        <v>2936116.727</v>
      </c>
      <c r="AG53" s="1">
        <f>[1]Results!AJ1413</f>
        <v>3064595.568</v>
      </c>
      <c r="AH53" s="1">
        <f>[1]Results!AK1413</f>
        <v>3203105.9419999998</v>
      </c>
      <c r="AI53" s="1">
        <f>[1]Results!AL1413</f>
        <v>3351844.7030000002</v>
      </c>
      <c r="AJ53" s="1">
        <f>[1]Results!AM1413</f>
        <v>3510844.6140000001</v>
      </c>
      <c r="AK53" s="1">
        <f>[1]Results!AN1413</f>
        <v>3680027.8020000001</v>
      </c>
      <c r="AL53" s="1">
        <f>[1]Results!AO1413</f>
        <v>3859222.2179999999</v>
      </c>
    </row>
    <row r="54" spans="1:3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-65780.894400000005</v>
      </c>
      <c r="D54" s="1">
        <f>[1]Results!G1414</f>
        <v>-69730.933050000007</v>
      </c>
      <c r="E54" s="1">
        <f>[1]Results!H1414</f>
        <v>-69621.738410000005</v>
      </c>
      <c r="F54" s="1">
        <f>[1]Results!I1414</f>
        <v>-69317.607650000005</v>
      </c>
      <c r="G54" s="1">
        <f>[1]Results!J1414</f>
        <v>-69251.087650000001</v>
      </c>
      <c r="H54" s="1">
        <f>[1]Results!K1414</f>
        <v>-68352.729519999993</v>
      </c>
      <c r="I54" s="1">
        <f>[1]Results!L1414</f>
        <v>-67904.065310000005</v>
      </c>
      <c r="J54" s="1">
        <f>[1]Results!M1414</f>
        <v>-73734.800340000002</v>
      </c>
      <c r="K54" s="1">
        <f>[1]Results!N1414</f>
        <v>-83865.400349999996</v>
      </c>
      <c r="L54" s="1">
        <f>[1]Results!O1414</f>
        <v>-86540.256980000006</v>
      </c>
      <c r="M54" s="1">
        <f>[1]Results!P1414</f>
        <v>-85598.980009999999</v>
      </c>
      <c r="N54" s="1">
        <f>[1]Results!Q1414</f>
        <v>-80944.41562</v>
      </c>
      <c r="O54" s="1">
        <f>[1]Results!R1414</f>
        <v>-72481.797380000004</v>
      </c>
      <c r="P54" s="1">
        <f>[1]Results!S1414</f>
        <v>-63334.973149999998</v>
      </c>
      <c r="Q54" s="1">
        <f>[1]Results!T1414</f>
        <v>-54100.597090000003</v>
      </c>
      <c r="R54" s="1">
        <f>[1]Results!U1414</f>
        <v>-44899.803030000003</v>
      </c>
      <c r="S54" s="1">
        <f>[1]Results!V1414</f>
        <v>-35875.531430000003</v>
      </c>
      <c r="T54" s="1">
        <f>[1]Results!W1414</f>
        <v>-26815.868709999999</v>
      </c>
      <c r="U54" s="1">
        <f>[1]Results!X1414</f>
        <v>-17201.064330000001</v>
      </c>
      <c r="V54" s="1">
        <f>[1]Results!Y1414</f>
        <v>-6589.7454120000002</v>
      </c>
      <c r="W54" s="1">
        <f>[1]Results!Z1414</f>
        <v>5319.478865</v>
      </c>
      <c r="X54" s="1">
        <f>[1]Results!AA1414</f>
        <v>18747.601790000001</v>
      </c>
      <c r="Y54" s="1">
        <f>[1]Results!AB1414</f>
        <v>34002.036090000001</v>
      </c>
      <c r="Z54" s="1">
        <f>[1]Results!AC1414</f>
        <v>51523.989229999999</v>
      </c>
      <c r="AA54" s="1">
        <f>[1]Results!AD1414</f>
        <v>71672.940669999996</v>
      </c>
      <c r="AB54" s="1">
        <f>[1]Results!AE1414</f>
        <v>94751.487269999998</v>
      </c>
      <c r="AC54" s="1">
        <f>[1]Results!AF1414</f>
        <v>120952.0885</v>
      </c>
      <c r="AD54" s="1">
        <f>[1]Results!AG1414</f>
        <v>150613.79610000001</v>
      </c>
      <c r="AE54" s="1">
        <f>[1]Results!AH1414</f>
        <v>184654.2617</v>
      </c>
      <c r="AF54" s="1">
        <f>[1]Results!AI1414</f>
        <v>223990.32180000001</v>
      </c>
      <c r="AG54" s="1">
        <f>[1]Results!AJ1414</f>
        <v>269023.9583</v>
      </c>
      <c r="AH54" s="1">
        <f>[1]Results!AK1414</f>
        <v>319752.43349999998</v>
      </c>
      <c r="AI54" s="1">
        <f>[1]Results!AL1414</f>
        <v>376072.67800000001</v>
      </c>
      <c r="AJ54" s="1">
        <f>[1]Results!AM1414</f>
        <v>438073.49709999998</v>
      </c>
      <c r="AK54" s="1">
        <f>[1]Results!AN1414</f>
        <v>505843.45819999999</v>
      </c>
      <c r="AL54" s="1">
        <f>[1]Results!AO1414</f>
        <v>579317.09909999999</v>
      </c>
    </row>
    <row r="55" spans="1:3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2097509.801</v>
      </c>
      <c r="D55" s="1">
        <f>[1]Results!G1415</f>
        <v>2167240.7340000002</v>
      </c>
      <c r="E55" s="1">
        <f>[1]Results!H1415</f>
        <v>2236862.4720000001</v>
      </c>
      <c r="F55" s="1">
        <f>[1]Results!I1415</f>
        <v>2306180.08</v>
      </c>
      <c r="G55" s="1">
        <f>[1]Results!J1415</f>
        <v>2375431.1680000001</v>
      </c>
      <c r="H55" s="1">
        <f>[1]Results!K1415</f>
        <v>2443783.8969999999</v>
      </c>
      <c r="I55" s="1">
        <f>[1]Results!L1415</f>
        <v>2511687.9619999998</v>
      </c>
      <c r="J55" s="1">
        <f>[1]Results!M1415</f>
        <v>2585422.7629999998</v>
      </c>
      <c r="K55" s="1">
        <f>[1]Results!N1415</f>
        <v>2669288.1630000002</v>
      </c>
      <c r="L55" s="1">
        <f>[1]Results!O1415</f>
        <v>2755828.42</v>
      </c>
      <c r="M55" s="1">
        <f>[1]Results!P1415</f>
        <v>2841427.4</v>
      </c>
      <c r="N55" s="1">
        <f>[1]Results!Q1415</f>
        <v>2922371.8160000001</v>
      </c>
      <c r="O55" s="1">
        <f>[1]Results!R1415</f>
        <v>2994853.6129999999</v>
      </c>
      <c r="P55" s="1">
        <f>[1]Results!S1415</f>
        <v>3058188.5860000001</v>
      </c>
      <c r="Q55" s="1">
        <f>[1]Results!T1415</f>
        <v>3112289.1830000002</v>
      </c>
      <c r="R55" s="1">
        <f>[1]Results!U1415</f>
        <v>3157188.986</v>
      </c>
      <c r="S55" s="1">
        <f>[1]Results!V1415</f>
        <v>3193064.5180000002</v>
      </c>
      <c r="T55" s="1">
        <f>[1]Results!W1415</f>
        <v>3219880.3859999999</v>
      </c>
      <c r="U55" s="1">
        <f>[1]Results!X1415</f>
        <v>3237081.4509999999</v>
      </c>
      <c r="V55" s="1">
        <f>[1]Results!Y1415</f>
        <v>3243671.196</v>
      </c>
      <c r="W55" s="1">
        <f>[1]Results!Z1415</f>
        <v>3238351.7170000002</v>
      </c>
      <c r="X55" s="1">
        <f>[1]Results!AA1415</f>
        <v>3219604.1159999999</v>
      </c>
      <c r="Y55" s="1">
        <f>[1]Results!AB1415</f>
        <v>3185602.0789999999</v>
      </c>
      <c r="Z55" s="1">
        <f>[1]Results!AC1415</f>
        <v>3134078.09</v>
      </c>
      <c r="AA55" s="1">
        <f>[1]Results!AD1415</f>
        <v>3062405.15</v>
      </c>
      <c r="AB55" s="1">
        <f>[1]Results!AE1415</f>
        <v>2967653.662</v>
      </c>
      <c r="AC55" s="1">
        <f>[1]Results!AF1415</f>
        <v>2846701.574</v>
      </c>
      <c r="AD55" s="1">
        <f>[1]Results!AG1415</f>
        <v>2696087.7779999999</v>
      </c>
      <c r="AE55" s="1">
        <f>[1]Results!AH1415</f>
        <v>2511433.5159999998</v>
      </c>
      <c r="AF55" s="1">
        <f>[1]Results!AI1415</f>
        <v>2287443.1940000001</v>
      </c>
      <c r="AG55" s="1">
        <f>[1]Results!AJ1415</f>
        <v>2018419.236</v>
      </c>
      <c r="AH55" s="1">
        <f>[1]Results!AK1415</f>
        <v>1698666.8019999999</v>
      </c>
      <c r="AI55" s="1">
        <f>[1]Results!AL1415</f>
        <v>1322594.1240000001</v>
      </c>
      <c r="AJ55" s="1">
        <f>[1]Results!AM1415</f>
        <v>884520.6274</v>
      </c>
      <c r="AK55" s="1">
        <f>[1]Results!AN1415</f>
        <v>378677.1691</v>
      </c>
      <c r="AL55" s="1">
        <f>[1]Results!AO1415</f>
        <v>-200639.93</v>
      </c>
    </row>
    <row r="56" spans="1:3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</row>
    <row r="57" spans="1:3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</row>
    <row r="58" spans="1:38" x14ac:dyDescent="0.35">
      <c r="A58" s="13" t="s">
        <v>35</v>
      </c>
      <c r="B58" t="s">
        <v>4</v>
      </c>
      <c r="C58" s="1">
        <f>[1]Results!F1731</f>
        <v>1207544.8959999999</v>
      </c>
      <c r="D58" s="1">
        <f>[1]Results!G1731</f>
        <v>1220478.429</v>
      </c>
      <c r="E58" s="1">
        <f>[1]Results!H1731</f>
        <v>1241413.9040000001</v>
      </c>
      <c r="F58" s="1">
        <f>[1]Results!I1731</f>
        <v>1263688.9029999999</v>
      </c>
      <c r="G58" s="1">
        <f>[1]Results!J1731</f>
        <v>1284646.304</v>
      </c>
      <c r="H58" s="1">
        <f>[1]Results!K1731</f>
        <v>1304975.912</v>
      </c>
      <c r="I58" s="1">
        <f>[1]Results!L1731</f>
        <v>1323568.6950000001</v>
      </c>
      <c r="J58" s="1">
        <f>[1]Results!M1731</f>
        <v>1341514.395</v>
      </c>
      <c r="K58" s="1">
        <f>[1]Results!N1731</f>
        <v>1359786.4029999999</v>
      </c>
      <c r="L58" s="1">
        <f>[1]Results!O1731</f>
        <v>1378997.1680000001</v>
      </c>
      <c r="M58" s="1">
        <f>[1]Results!P1731</f>
        <v>1399453.5179999999</v>
      </c>
      <c r="N58" s="1">
        <f>[1]Results!Q1731</f>
        <v>1421367.679</v>
      </c>
      <c r="O58" s="1">
        <f>[1]Results!R1731</f>
        <v>1444723.787</v>
      </c>
      <c r="P58" s="1">
        <f>[1]Results!S1731</f>
        <v>1469128.4</v>
      </c>
      <c r="Q58" s="1">
        <f>[1]Results!T1731</f>
        <v>1494168.7819999999</v>
      </c>
      <c r="R58" s="1">
        <f>[1]Results!U1731</f>
        <v>1519564.1029999999</v>
      </c>
      <c r="S58" s="1">
        <f>[1]Results!V1731</f>
        <v>1546460.804</v>
      </c>
      <c r="T58" s="1">
        <f>[1]Results!W1731</f>
        <v>1574429.6229999999</v>
      </c>
      <c r="U58" s="1">
        <f>[1]Results!X1731</f>
        <v>1603080.5930000001</v>
      </c>
      <c r="V58" s="1">
        <f>[1]Results!Y1731</f>
        <v>1632194.3330000001</v>
      </c>
      <c r="W58" s="1">
        <f>[1]Results!Z1731</f>
        <v>1661736.112</v>
      </c>
      <c r="X58" s="1">
        <f>[1]Results!AA1731</f>
        <v>1691810.915</v>
      </c>
      <c r="Y58" s="1">
        <f>[1]Results!AB1731</f>
        <v>1722608.3559999999</v>
      </c>
      <c r="Z58" s="1">
        <f>[1]Results!AC1731</f>
        <v>1754331.1089999999</v>
      </c>
      <c r="AA58" s="1">
        <f>[1]Results!AD1731</f>
        <v>1787102.253</v>
      </c>
      <c r="AB58" s="1">
        <f>[1]Results!AE1731</f>
        <v>1821045.602</v>
      </c>
      <c r="AC58" s="1">
        <f>[1]Results!AF1731</f>
        <v>1856305.112</v>
      </c>
      <c r="AD58" s="1">
        <f>[1]Results!AG1731</f>
        <v>1893093.2660000001</v>
      </c>
      <c r="AE58" s="1">
        <f>[1]Results!AH1731</f>
        <v>1931644.926</v>
      </c>
      <c r="AF58" s="1">
        <f>[1]Results!AI1731</f>
        <v>1972188.213</v>
      </c>
      <c r="AG58" s="1">
        <f>[1]Results!AJ1731</f>
        <v>2014803.9939999999</v>
      </c>
      <c r="AH58" s="1">
        <f>[1]Results!AK1731</f>
        <v>2059437.0689999999</v>
      </c>
      <c r="AI58" s="1">
        <f>[1]Results!AL1731</f>
        <v>2105942.5249999999</v>
      </c>
      <c r="AJ58" s="1">
        <f>[1]Results!AM1731</f>
        <v>2154121.9330000002</v>
      </c>
      <c r="AK58" s="1">
        <f>[1]Results!AN1731</f>
        <v>2203748.1209999998</v>
      </c>
      <c r="AL58" s="1">
        <f>[1]Results!AO1731</f>
        <v>2254577.128</v>
      </c>
    </row>
    <row r="59" spans="1:38" x14ac:dyDescent="0.35">
      <c r="A59" s="14"/>
      <c r="B59" t="s">
        <v>6</v>
      </c>
      <c r="C59" s="1">
        <f>[1]Results!F1702</f>
        <v>1207544.8959999999</v>
      </c>
      <c r="D59" s="1">
        <f>[1]Results!G1702</f>
        <v>1220478.429</v>
      </c>
      <c r="E59" s="1">
        <f>[1]Results!H1702</f>
        <v>1241413.9040000001</v>
      </c>
      <c r="F59" s="1">
        <f>[1]Results!I1702</f>
        <v>1263688.9029999999</v>
      </c>
      <c r="G59" s="1">
        <f>[1]Results!J1702</f>
        <v>1284646.304</v>
      </c>
      <c r="H59" s="1">
        <f>[1]Results!K1702</f>
        <v>1304975.912</v>
      </c>
      <c r="I59" s="1">
        <f>[1]Results!L1702</f>
        <v>1324842.966</v>
      </c>
      <c r="J59" s="1">
        <f>[1]Results!M1702</f>
        <v>1343965.253</v>
      </c>
      <c r="K59" s="1">
        <f>[1]Results!N1702</f>
        <v>1362764.645</v>
      </c>
      <c r="L59" s="1">
        <f>[1]Results!O1702</f>
        <v>1383704.0279999999</v>
      </c>
      <c r="M59" s="1">
        <f>[1]Results!P1702</f>
        <v>1407353.9669999999</v>
      </c>
      <c r="N59" s="1">
        <f>[1]Results!Q1702</f>
        <v>1433374.304</v>
      </c>
      <c r="O59" s="1">
        <f>[1]Results!R1702</f>
        <v>1461861.632</v>
      </c>
      <c r="P59" s="1">
        <f>[1]Results!S1702</f>
        <v>1491851.601</v>
      </c>
      <c r="Q59" s="1">
        <f>[1]Results!T1702</f>
        <v>1522504.4169999999</v>
      </c>
      <c r="R59" s="1">
        <f>[1]Results!U1702</f>
        <v>1553326.0349999999</v>
      </c>
      <c r="S59" s="1">
        <f>[1]Results!V1702</f>
        <v>1584850.551</v>
      </c>
      <c r="T59" s="1">
        <f>[1]Results!W1702</f>
        <v>1616390.308</v>
      </c>
      <c r="U59" s="1">
        <f>[1]Results!X1702</f>
        <v>1647916.9380000001</v>
      </c>
      <c r="V59" s="1">
        <f>[1]Results!Y1702</f>
        <v>1679582.81</v>
      </c>
      <c r="W59" s="1">
        <f>[1]Results!Z1702</f>
        <v>1711576.976</v>
      </c>
      <c r="X59" s="1">
        <f>[1]Results!AA1702</f>
        <v>1744032.65</v>
      </c>
      <c r="Y59" s="1">
        <f>[1]Results!AB1702</f>
        <v>1777115.443</v>
      </c>
      <c r="Z59" s="1">
        <f>[1]Results!AC1702</f>
        <v>1811078.351</v>
      </c>
      <c r="AA59" s="1">
        <f>[1]Results!AD1702</f>
        <v>1846085.08</v>
      </c>
      <c r="AB59" s="1">
        <f>[1]Results!AE1702</f>
        <v>1882264.2080000001</v>
      </c>
      <c r="AC59" s="1">
        <f>[1]Results!AF1702</f>
        <v>1919492.402</v>
      </c>
      <c r="AD59" s="1">
        <f>[1]Results!AG1702</f>
        <v>1957722.375</v>
      </c>
      <c r="AE59" s="1">
        <f>[1]Results!AH1702</f>
        <v>1997311.6850000001</v>
      </c>
      <c r="AF59" s="1">
        <f>[1]Results!AI1702</f>
        <v>2038659.6459999999</v>
      </c>
      <c r="AG59" s="1">
        <f>[1]Results!AJ1702</f>
        <v>2081962.2709999999</v>
      </c>
      <c r="AH59" s="1">
        <f>[1]Results!AK1702</f>
        <v>2127108.2009999999</v>
      </c>
      <c r="AI59" s="1">
        <f>[1]Results!AL1702</f>
        <v>2173845.3769999999</v>
      </c>
      <c r="AJ59" s="1">
        <f>[1]Results!AM1702</f>
        <v>2222035.2250000001</v>
      </c>
      <c r="AK59" s="1">
        <f>[1]Results!AN1702</f>
        <v>2271550.3250000002</v>
      </c>
      <c r="AL59" s="1">
        <f>[1]Results!AO1702</f>
        <v>2322226.077</v>
      </c>
    </row>
    <row r="60" spans="1:38" x14ac:dyDescent="0.35">
      <c r="A60" s="14"/>
      <c r="C60" s="1"/>
      <c r="D60" s="1"/>
      <c r="E60" s="1"/>
      <c r="F60" s="1"/>
      <c r="G60" s="1"/>
      <c r="H60" s="4">
        <f t="shared" ref="H60:U60" si="0">H58/G58-1</f>
        <v>1.5825062460149253E-2</v>
      </c>
      <c r="I60" s="4">
        <f t="shared" si="0"/>
        <v>1.4247606280720415E-2</v>
      </c>
      <c r="J60" s="4">
        <f t="shared" si="0"/>
        <v>1.3558570905909839E-2</v>
      </c>
      <c r="K60" s="4">
        <f t="shared" si="0"/>
        <v>1.3620433793406939E-2</v>
      </c>
      <c r="L60" s="4">
        <f t="shared" si="0"/>
        <v>1.412778136155568E-2</v>
      </c>
      <c r="M60" s="4">
        <f t="shared" si="0"/>
        <v>1.4834221907553458E-2</v>
      </c>
      <c r="N60" s="4">
        <f t="shared" si="0"/>
        <v>1.565908457704146E-2</v>
      </c>
      <c r="O60" s="4">
        <f t="shared" si="0"/>
        <v>1.6432136698389055E-2</v>
      </c>
      <c r="P60" s="4">
        <f t="shared" si="0"/>
        <v>1.6892234501569847E-2</v>
      </c>
      <c r="Q60" s="4">
        <f t="shared" si="0"/>
        <v>1.7044379511008012E-2</v>
      </c>
      <c r="R60" s="4">
        <f t="shared" si="0"/>
        <v>1.6996286701966401E-2</v>
      </c>
      <c r="S60" s="4">
        <f t="shared" si="0"/>
        <v>1.7700274010750361E-2</v>
      </c>
      <c r="T60" s="4">
        <f t="shared" si="0"/>
        <v>1.8085695368196264E-2</v>
      </c>
      <c r="U60" s="4">
        <f t="shared" si="0"/>
        <v>1.8197682247242719E-2</v>
      </c>
      <c r="V60" s="4">
        <f>V58/U58-1</f>
        <v>1.8161120611856818E-2</v>
      </c>
      <c r="W60" s="4">
        <f t="shared" ref="W60:AL60" si="1">W58/V58-1</f>
        <v>1.8099425051734785E-2</v>
      </c>
      <c r="X60" s="4">
        <f t="shared" si="1"/>
        <v>1.8098422958265692E-2</v>
      </c>
      <c r="Y60" s="4">
        <f t="shared" si="1"/>
        <v>1.8203831602540355E-2</v>
      </c>
      <c r="Z60" s="4">
        <f t="shared" si="1"/>
        <v>1.8415534145940216E-2</v>
      </c>
      <c r="AA60" s="4">
        <f t="shared" si="1"/>
        <v>1.8680136168069295E-2</v>
      </c>
      <c r="AB60" s="4">
        <f t="shared" si="1"/>
        <v>1.899351251055692E-2</v>
      </c>
      <c r="AC60" s="4">
        <f t="shared" si="1"/>
        <v>1.9362233412098862E-2</v>
      </c>
      <c r="AD60" s="4">
        <f t="shared" si="1"/>
        <v>1.9817945747272248E-2</v>
      </c>
      <c r="AE60" s="4">
        <f t="shared" si="1"/>
        <v>2.0364374377316086E-2</v>
      </c>
      <c r="AF60" s="4">
        <f t="shared" si="1"/>
        <v>2.0988995676320288E-2</v>
      </c>
      <c r="AG60" s="4">
        <f t="shared" si="1"/>
        <v>2.1608374251043116E-2</v>
      </c>
      <c r="AH60" s="4">
        <f t="shared" si="1"/>
        <v>2.2152564285615517E-2</v>
      </c>
      <c r="AI60" s="4">
        <f t="shared" si="1"/>
        <v>2.2581634904037973E-2</v>
      </c>
      <c r="AJ60" s="4">
        <f t="shared" si="1"/>
        <v>2.2877836136577567E-2</v>
      </c>
      <c r="AK60" s="4">
        <f t="shared" si="1"/>
        <v>2.3037780378052375E-2</v>
      </c>
      <c r="AL60" s="4">
        <f t="shared" si="1"/>
        <v>2.3064798792402641E-2</v>
      </c>
    </row>
    <row r="61" spans="1:38" x14ac:dyDescent="0.35">
      <c r="A61" s="16" t="s">
        <v>3</v>
      </c>
      <c r="B61" t="s">
        <v>4</v>
      </c>
      <c r="C61" s="1">
        <f>[1]Results!F1789</f>
        <v>1.0018240979999999</v>
      </c>
      <c r="D61" s="1">
        <f>[1]Results!G1789</f>
        <v>1.0198636539999999</v>
      </c>
      <c r="E61" s="1">
        <f>[1]Results!H1789</f>
        <v>1.037421843</v>
      </c>
      <c r="F61" s="1">
        <f>[1]Results!I1789</f>
        <v>1.0558040390000001</v>
      </c>
      <c r="G61" s="1">
        <f>[1]Results!J1789</f>
        <v>1.0727013780000001</v>
      </c>
      <c r="H61" s="1">
        <f>[1]Results!K1789</f>
        <v>1.0897449269999999</v>
      </c>
      <c r="I61" s="1">
        <f>[1]Results!L1789</f>
        <v>1.109636938</v>
      </c>
      <c r="J61" s="1">
        <f>[1]Results!M1789</f>
        <v>1.1307954419999999</v>
      </c>
      <c r="K61" s="1">
        <f>[1]Results!N1789</f>
        <v>1.152854949</v>
      </c>
      <c r="L61" s="1">
        <f>[1]Results!O1789</f>
        <v>1.1754689199999999</v>
      </c>
      <c r="M61" s="1">
        <f>[1]Results!P1789</f>
        <v>1.1984660460000001</v>
      </c>
      <c r="N61" s="1">
        <f>[1]Results!Q1789</f>
        <v>1.2215343080000001</v>
      </c>
      <c r="O61" s="1">
        <f>[1]Results!R1789</f>
        <v>1.244361568</v>
      </c>
      <c r="P61" s="1">
        <f>[1]Results!S1789</f>
        <v>1.266611258</v>
      </c>
      <c r="Q61" s="1">
        <f>[1]Results!T1789</f>
        <v>1.2881368280000001</v>
      </c>
      <c r="R61" s="1">
        <f>[1]Results!U1789</f>
        <v>1.3089196860000001</v>
      </c>
      <c r="S61" s="1">
        <f>[1]Results!V1789</f>
        <v>1.327047844</v>
      </c>
      <c r="T61" s="1">
        <f>[1]Results!W1789</f>
        <v>1.343785711</v>
      </c>
      <c r="U61" s="1">
        <f>[1]Results!X1789</f>
        <v>1.3596513800000001</v>
      </c>
      <c r="V61" s="1">
        <f>[1]Results!Y1789</f>
        <v>1.3750827940000001</v>
      </c>
      <c r="W61" s="1">
        <f>[1]Results!Z1789</f>
        <v>1.390438633</v>
      </c>
      <c r="X61" s="1">
        <f>[1]Results!AA1789</f>
        <v>1.4060121919999999</v>
      </c>
      <c r="Y61" s="1">
        <f>[1]Results!AB1789</f>
        <v>1.422104295</v>
      </c>
      <c r="Z61" s="1">
        <f>[1]Results!AC1789</f>
        <v>1.4390378850000001</v>
      </c>
      <c r="AA61" s="1">
        <f>[1]Results!AD1789</f>
        <v>1.4572004709999999</v>
      </c>
      <c r="AB61" s="1">
        <f>[1]Results!AE1789</f>
        <v>1.4769250780000001</v>
      </c>
      <c r="AC61" s="1">
        <f>[1]Results!AF1789</f>
        <v>1.498524322</v>
      </c>
      <c r="AD61" s="1">
        <f>[1]Results!AG1789</f>
        <v>1.522273781</v>
      </c>
      <c r="AE61" s="1">
        <f>[1]Results!AH1789</f>
        <v>1.5484121710000001</v>
      </c>
      <c r="AF61" s="1">
        <f>[1]Results!AI1789</f>
        <v>1.576979095</v>
      </c>
      <c r="AG61" s="1">
        <f>[1]Results!AJ1789</f>
        <v>1.6079550810000001</v>
      </c>
      <c r="AH61" s="1">
        <f>[1]Results!AK1789</f>
        <v>1.6412548010000001</v>
      </c>
      <c r="AI61" s="1">
        <f>[1]Results!AL1789</f>
        <v>1.676750167</v>
      </c>
      <c r="AJ61" s="1">
        <f>[1]Results!AM1789</f>
        <v>1.714282136</v>
      </c>
      <c r="AK61" s="1">
        <f>[1]Results!AN1789</f>
        <v>1.753660717</v>
      </c>
      <c r="AL61" s="1">
        <f>[1]Results!AO1789</f>
        <v>1.7946661589999999</v>
      </c>
    </row>
    <row r="62" spans="1:38" x14ac:dyDescent="0.35">
      <c r="A62" s="16"/>
      <c r="B62" t="s">
        <v>6</v>
      </c>
      <c r="C62" s="1">
        <f>[1]Results!F1760</f>
        <v>1.0018240979999999</v>
      </c>
      <c r="D62" s="1">
        <f>[1]Results!G1760</f>
        <v>1.0198636539999999</v>
      </c>
      <c r="E62" s="1">
        <f>[1]Results!H1760</f>
        <v>1.037421843</v>
      </c>
      <c r="F62" s="1">
        <f>[1]Results!I1760</f>
        <v>1.0558040390000001</v>
      </c>
      <c r="G62" s="1">
        <f>[1]Results!J1760</f>
        <v>1.0727013780000001</v>
      </c>
      <c r="H62" s="1">
        <f>[1]Results!K1760</f>
        <v>1.0897449269999999</v>
      </c>
      <c r="I62" s="1">
        <f>[1]Results!L1760</f>
        <v>1.107704888</v>
      </c>
      <c r="J62" s="1">
        <f>[1]Results!M1760</f>
        <v>1.1357615619999999</v>
      </c>
      <c r="K62" s="1">
        <f>[1]Results!N1760</f>
        <v>1.1637796149999999</v>
      </c>
      <c r="L62" s="1">
        <f>[1]Results!O1760</f>
        <v>1.193770749</v>
      </c>
      <c r="M62" s="1">
        <f>[1]Results!P1760</f>
        <v>1.22573065</v>
      </c>
      <c r="N62" s="1">
        <f>[1]Results!Q1760</f>
        <v>1.255935866</v>
      </c>
      <c r="O62" s="1">
        <f>[1]Results!R1760</f>
        <v>1.285158646</v>
      </c>
      <c r="P62" s="1">
        <f>[1]Results!S1760</f>
        <v>1.31322655</v>
      </c>
      <c r="Q62" s="1">
        <f>[1]Results!T1760</f>
        <v>1.3400497810000001</v>
      </c>
      <c r="R62" s="1">
        <f>[1]Results!U1760</f>
        <v>1.365578569</v>
      </c>
      <c r="S62" s="1">
        <f>[1]Results!V1760</f>
        <v>1.390225091</v>
      </c>
      <c r="T62" s="1">
        <f>[1]Results!W1760</f>
        <v>1.414057911</v>
      </c>
      <c r="U62" s="1">
        <f>[1]Results!X1760</f>
        <v>1.4370499240000001</v>
      </c>
      <c r="V62" s="1">
        <f>[1]Results!Y1760</f>
        <v>1.4593050190000001</v>
      </c>
      <c r="W62" s="1">
        <f>[1]Results!Z1760</f>
        <v>1.4809961060000001</v>
      </c>
      <c r="X62" s="1">
        <f>[1]Results!AA1760</f>
        <v>1.502428688</v>
      </c>
      <c r="Y62" s="1">
        <f>[1]Results!AB1760</f>
        <v>1.523911434</v>
      </c>
      <c r="Z62" s="1">
        <f>[1]Results!AC1760</f>
        <v>1.545639196</v>
      </c>
      <c r="AA62" s="1">
        <f>[1]Results!AD1760</f>
        <v>1.5679086710000001</v>
      </c>
      <c r="AB62" s="1">
        <f>[1]Results!AE1760</f>
        <v>1.5909930619999999</v>
      </c>
      <c r="AC62" s="1">
        <f>[1]Results!AF1760</f>
        <v>1.615593517</v>
      </c>
      <c r="AD62" s="1">
        <f>[1]Results!AG1760</f>
        <v>1.642342695</v>
      </c>
      <c r="AE62" s="1">
        <f>[1]Results!AH1760</f>
        <v>1.67132602</v>
      </c>
      <c r="AF62" s="1">
        <f>[1]Results!AI1760</f>
        <v>1.702509303</v>
      </c>
      <c r="AG62" s="1">
        <f>[1]Results!AJ1760</f>
        <v>1.7358455290000001</v>
      </c>
      <c r="AH62" s="1">
        <f>[1]Results!AK1760</f>
        <v>1.771435101</v>
      </c>
      <c r="AI62" s="1">
        <f>[1]Results!AL1760</f>
        <v>1.8093685880000001</v>
      </c>
      <c r="AJ62" s="1">
        <f>[1]Results!AM1760</f>
        <v>1.8494671579999999</v>
      </c>
      <c r="AK62" s="1">
        <f>[1]Results!AN1760</f>
        <v>1.891543083</v>
      </c>
      <c r="AL62" s="1">
        <f>[1]Results!AO1760</f>
        <v>1.9354319470000001</v>
      </c>
    </row>
    <row r="63" spans="1:3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</row>
    <row r="64" spans="1:38" x14ac:dyDescent="0.35">
      <c r="A64" s="16" t="s">
        <v>1</v>
      </c>
      <c r="B64" t="str">
        <f>B61</f>
        <v>Baseline</v>
      </c>
      <c r="D64" s="1">
        <f t="shared" ref="D64:AL64" si="2">(D61/C61-1)*100</f>
        <v>1.8006709996309045</v>
      </c>
      <c r="E64" s="1">
        <f t="shared" si="2"/>
        <v>1.7216212119272267</v>
      </c>
      <c r="F64" s="1">
        <f t="shared" si="2"/>
        <v>1.7719114094265409</v>
      </c>
      <c r="G64" s="1">
        <f t="shared" si="2"/>
        <v>1.6004237884905459</v>
      </c>
      <c r="H64" s="1">
        <f t="shared" si="2"/>
        <v>1.5888437685963153</v>
      </c>
      <c r="I64" s="1">
        <f t="shared" si="2"/>
        <v>1.8253822988432367</v>
      </c>
      <c r="J64" s="1">
        <f t="shared" si="2"/>
        <v>1.9067952116064157</v>
      </c>
      <c r="K64" s="1">
        <f t="shared" si="2"/>
        <v>1.9507955356615314</v>
      </c>
      <c r="L64" s="1">
        <f t="shared" si="2"/>
        <v>1.9615625556029803</v>
      </c>
      <c r="M64" s="1">
        <f t="shared" si="2"/>
        <v>1.9564214424316884</v>
      </c>
      <c r="N64" s="1">
        <f t="shared" si="2"/>
        <v>1.9248156488865575</v>
      </c>
      <c r="O64" s="1">
        <f t="shared" si="2"/>
        <v>1.8687367068203509</v>
      </c>
      <c r="P64" s="1">
        <f t="shared" si="2"/>
        <v>1.7880405962521717</v>
      </c>
      <c r="Q64" s="1">
        <f t="shared" si="2"/>
        <v>1.6994614459679758</v>
      </c>
      <c r="R64" s="1">
        <f t="shared" si="2"/>
        <v>1.6134045350033377</v>
      </c>
      <c r="S64" s="1">
        <f t="shared" si="2"/>
        <v>1.3849709950805922</v>
      </c>
      <c r="T64" s="1">
        <f t="shared" si="2"/>
        <v>1.2612858741813504</v>
      </c>
      <c r="U64" s="1">
        <f t="shared" si="2"/>
        <v>1.1806695718019844</v>
      </c>
      <c r="V64" s="1">
        <f t="shared" si="2"/>
        <v>1.1349537261529541</v>
      </c>
      <c r="W64" s="1">
        <f t="shared" si="2"/>
        <v>1.1167210488708834</v>
      </c>
      <c r="X64" s="1">
        <f t="shared" si="2"/>
        <v>1.120046482482917</v>
      </c>
      <c r="Y64" s="1">
        <f t="shared" si="2"/>
        <v>1.1445208719783384</v>
      </c>
      <c r="Z64" s="1">
        <f t="shared" si="2"/>
        <v>1.190741780299609</v>
      </c>
      <c r="AA64" s="1">
        <f t="shared" si="2"/>
        <v>1.2621339708509316</v>
      </c>
      <c r="AB64" s="1">
        <f t="shared" si="2"/>
        <v>1.3535959802747133</v>
      </c>
      <c r="AC64" s="1">
        <f t="shared" si="2"/>
        <v>1.4624468310368677</v>
      </c>
      <c r="AD64" s="1">
        <f t="shared" si="2"/>
        <v>1.5848564251731867</v>
      </c>
      <c r="AE64" s="1">
        <f t="shared" si="2"/>
        <v>1.7170623527936968</v>
      </c>
      <c r="AF64" s="1">
        <f t="shared" si="2"/>
        <v>1.8449172988320495</v>
      </c>
      <c r="AG64" s="1">
        <f t="shared" si="2"/>
        <v>1.9642610417736739</v>
      </c>
      <c r="AH64" s="1">
        <f t="shared" si="2"/>
        <v>2.0709359604305977</v>
      </c>
      <c r="AI64" s="1">
        <f t="shared" si="2"/>
        <v>2.1626968572078464</v>
      </c>
      <c r="AJ64" s="1">
        <f t="shared" si="2"/>
        <v>2.2383757424727868</v>
      </c>
      <c r="AK64" s="1">
        <f t="shared" si="2"/>
        <v>2.297088686456461</v>
      </c>
      <c r="AL64" s="1">
        <f t="shared" si="2"/>
        <v>2.3382768173166424</v>
      </c>
    </row>
    <row r="65" spans="1:38" x14ac:dyDescent="0.35">
      <c r="A65" s="16"/>
      <c r="B65" t="str">
        <f>B62</f>
        <v>NZ50</v>
      </c>
      <c r="D65" s="1">
        <f t="shared" ref="D65:AL65" si="3">(D62/C62-1)*100</f>
        <v>1.8006709996309045</v>
      </c>
      <c r="E65" s="1">
        <f t="shared" si="3"/>
        <v>1.7216212119272267</v>
      </c>
      <c r="F65" s="1">
        <f t="shared" si="3"/>
        <v>1.7719114094265409</v>
      </c>
      <c r="G65" s="1">
        <f t="shared" si="3"/>
        <v>1.6004237884905459</v>
      </c>
      <c r="H65" s="1">
        <f t="shared" si="3"/>
        <v>1.5888437685963153</v>
      </c>
      <c r="I65" s="1">
        <f t="shared" si="3"/>
        <v>1.6480885164056547</v>
      </c>
      <c r="J65" s="1">
        <f t="shared" si="3"/>
        <v>2.5328654142401819</v>
      </c>
      <c r="K65" s="1">
        <f t="shared" si="3"/>
        <v>2.4668956880933735</v>
      </c>
      <c r="L65" s="1">
        <f t="shared" si="3"/>
        <v>2.5770458266705543</v>
      </c>
      <c r="M65" s="1">
        <f t="shared" si="3"/>
        <v>2.6772226599430571</v>
      </c>
      <c r="N65" s="1">
        <f t="shared" si="3"/>
        <v>2.4642621117453523</v>
      </c>
      <c r="O65" s="1">
        <f t="shared" si="3"/>
        <v>2.3267732685324782</v>
      </c>
      <c r="P65" s="1">
        <f t="shared" si="3"/>
        <v>2.1840030479785666</v>
      </c>
      <c r="Q65" s="1">
        <f t="shared" si="3"/>
        <v>2.0425440682721563</v>
      </c>
      <c r="R65" s="1">
        <f t="shared" si="3"/>
        <v>1.9050626597580056</v>
      </c>
      <c r="S65" s="1">
        <f t="shared" si="3"/>
        <v>1.8048410072844412</v>
      </c>
      <c r="T65" s="1">
        <f t="shared" si="3"/>
        <v>1.7143137578431222</v>
      </c>
      <c r="U65" s="1">
        <f t="shared" si="3"/>
        <v>1.6259597871589593</v>
      </c>
      <c r="V65" s="1">
        <f t="shared" si="3"/>
        <v>1.5486654032208946</v>
      </c>
      <c r="W65" s="1">
        <f t="shared" si="3"/>
        <v>1.4863984374468897</v>
      </c>
      <c r="X65" s="1">
        <f t="shared" si="3"/>
        <v>1.4471734201845221</v>
      </c>
      <c r="Y65" s="1">
        <f t="shared" si="3"/>
        <v>1.4298679312758189</v>
      </c>
      <c r="Z65" s="1">
        <f t="shared" si="3"/>
        <v>1.4257890265294781</v>
      </c>
      <c r="AA65" s="1">
        <f t="shared" si="3"/>
        <v>1.4407938836975553</v>
      </c>
      <c r="AB65" s="1">
        <f t="shared" si="3"/>
        <v>1.4723045689438496</v>
      </c>
      <c r="AC65" s="1">
        <f t="shared" si="3"/>
        <v>1.5462327012963462</v>
      </c>
      <c r="AD65" s="1">
        <f t="shared" si="3"/>
        <v>1.6556873816670592</v>
      </c>
      <c r="AE65" s="1">
        <f t="shared" si="3"/>
        <v>1.7647550105247767</v>
      </c>
      <c r="AF65" s="1">
        <f t="shared" si="3"/>
        <v>1.8657809803021008</v>
      </c>
      <c r="AG65" s="1">
        <f t="shared" si="3"/>
        <v>1.9580642491208833</v>
      </c>
      <c r="AH65" s="1">
        <f t="shared" si="3"/>
        <v>2.0502729883172588</v>
      </c>
      <c r="AI65" s="1">
        <f t="shared" si="3"/>
        <v>2.1413986308945754</v>
      </c>
      <c r="AJ65" s="1">
        <f t="shared" si="3"/>
        <v>2.2161637084858965</v>
      </c>
      <c r="AK65" s="1">
        <f t="shared" si="3"/>
        <v>2.2750295844939705</v>
      </c>
      <c r="AL65" s="1">
        <f t="shared" si="3"/>
        <v>2.320267743010751</v>
      </c>
    </row>
    <row r="66" spans="1:3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38" x14ac:dyDescent="0.35">
      <c r="A67" s="15" t="s">
        <v>2</v>
      </c>
      <c r="B67" t="str">
        <f>B64</f>
        <v>Baseline</v>
      </c>
      <c r="C67" s="6">
        <f>[1]Emissions!B820</f>
        <v>350.89655829999998</v>
      </c>
      <c r="D67" s="6">
        <f>[1]Emissions!C820</f>
        <v>351.5896434</v>
      </c>
      <c r="E67" s="6">
        <f>[1]Emissions!D820</f>
        <v>352.15218390000001</v>
      </c>
      <c r="F67" s="6">
        <f>[1]Emissions!E820</f>
        <v>352.26143309999998</v>
      </c>
      <c r="G67" s="6">
        <f>[1]Emissions!F820</f>
        <v>353.10244899999998</v>
      </c>
      <c r="H67" s="6">
        <f>[1]Emissions!G820</f>
        <v>354.6276818</v>
      </c>
      <c r="I67" s="6">
        <f>[1]Emissions!H820</f>
        <v>356.1053584</v>
      </c>
      <c r="J67" s="6">
        <f>[1]Emissions!I820</f>
        <v>357.31055149999997</v>
      </c>
      <c r="K67" s="6">
        <f>[1]Emissions!J820</f>
        <v>358.09993889999998</v>
      </c>
      <c r="L67" s="6">
        <f>[1]Emissions!K820</f>
        <v>358.43237699999997</v>
      </c>
      <c r="M67" s="6">
        <f>[1]Emissions!L820</f>
        <v>358.32119920000002</v>
      </c>
      <c r="N67" s="6">
        <f>[1]Emissions!M820</f>
        <v>357.82230770000001</v>
      </c>
      <c r="O67" s="6">
        <f>[1]Emissions!N820</f>
        <v>356.93615829999999</v>
      </c>
      <c r="P67" s="6">
        <f>[1]Emissions!O820</f>
        <v>355.56068579999999</v>
      </c>
      <c r="Q67" s="6">
        <f>[1]Emissions!P820</f>
        <v>353.93638759999999</v>
      </c>
      <c r="R67" s="6">
        <f>[1]Emissions!Q820</f>
        <v>352.31874809999999</v>
      </c>
      <c r="S67" s="6">
        <f>[1]Emissions!R820</f>
        <v>351.07410729999998</v>
      </c>
      <c r="T67" s="6">
        <f>[1]Emissions!S820</f>
        <v>350.5775567</v>
      </c>
      <c r="U67" s="6">
        <f>[1]Emissions!T820</f>
        <v>350.90142309999999</v>
      </c>
      <c r="V67" s="6">
        <f>[1]Emissions!U820</f>
        <v>352.01785690000003</v>
      </c>
      <c r="W67" s="6">
        <f>[1]Emissions!V820</f>
        <v>353.8866281</v>
      </c>
      <c r="X67" s="6">
        <f>[1]Emissions!W820</f>
        <v>356.46564499999999</v>
      </c>
      <c r="Y67" s="6">
        <f>[1]Emissions!X820</f>
        <v>359.7410241</v>
      </c>
      <c r="Z67" s="6">
        <f>[1]Emissions!Y820</f>
        <v>363.69472029999997</v>
      </c>
      <c r="AA67" s="6">
        <f>[1]Emissions!Z820</f>
        <v>368.29110379999997</v>
      </c>
      <c r="AB67" s="6">
        <f>[1]Emissions!AA820</f>
        <v>373.50803639999998</v>
      </c>
      <c r="AC67" s="6">
        <f>[1]Emissions!AB820</f>
        <v>379.33681819999998</v>
      </c>
      <c r="AD67" s="6">
        <f>[1]Emissions!AC820</f>
        <v>385.7970479</v>
      </c>
      <c r="AE67" s="6">
        <f>[1]Emissions!AD820</f>
        <v>392.8832893</v>
      </c>
      <c r="AF67" s="6">
        <f>[1]Emissions!AE820</f>
        <v>400.51380879999999</v>
      </c>
      <c r="AG67" s="6">
        <f>[1]Emissions!AF820</f>
        <v>408.57235580000003</v>
      </c>
      <c r="AH67" s="6">
        <f>[1]Emissions!AG820</f>
        <v>416.95809209999999</v>
      </c>
      <c r="AI67" s="6">
        <f>[1]Emissions!AH820</f>
        <v>425.59461829999998</v>
      </c>
      <c r="AJ67" s="6">
        <f>[1]Emissions!AI820</f>
        <v>434.41786839999997</v>
      </c>
      <c r="AK67" s="6">
        <f>[1]Emissions!AJ820</f>
        <v>443.3696243</v>
      </c>
      <c r="AL67" s="6">
        <f>[1]Emissions!AK820</f>
        <v>452.39377239999999</v>
      </c>
    </row>
    <row r="68" spans="1:38" x14ac:dyDescent="0.35">
      <c r="A68" s="11"/>
      <c r="B68" t="s">
        <v>32</v>
      </c>
      <c r="C68" s="6">
        <f>[1]Emissions!B824</f>
        <v>115.311927</v>
      </c>
      <c r="D68" s="6">
        <f>[1]Emissions!C824</f>
        <v>114.66030979999999</v>
      </c>
      <c r="E68" s="6">
        <f>[1]Emissions!D824</f>
        <v>113.6947734</v>
      </c>
      <c r="F68" s="6">
        <f>[1]Emissions!E824</f>
        <v>112.7026481</v>
      </c>
      <c r="G68" s="6">
        <f>[1]Emissions!F824</f>
        <v>111.9372017</v>
      </c>
      <c r="H68" s="6">
        <f>[1]Emissions!G824</f>
        <v>111.2876897</v>
      </c>
      <c r="I68" s="6">
        <f>[1]Emissions!H824</f>
        <v>110.4395109</v>
      </c>
      <c r="J68" s="6">
        <f>[1]Emissions!I824</f>
        <v>109.3139884</v>
      </c>
      <c r="K68" s="6">
        <f>[1]Emissions!J824</f>
        <v>107.8414944</v>
      </c>
      <c r="L68" s="6">
        <f>[1]Emissions!K824</f>
        <v>105.9649938</v>
      </c>
      <c r="M68" s="6">
        <f>[1]Emissions!L824</f>
        <v>103.6563853</v>
      </c>
      <c r="N68" s="6">
        <f>[1]Emissions!M824</f>
        <v>100.93586120000001</v>
      </c>
      <c r="O68" s="6">
        <f>[1]Emissions!N824</f>
        <v>97.873765280000001</v>
      </c>
      <c r="P68" s="6">
        <f>[1]Emissions!O824</f>
        <v>94.575450689999997</v>
      </c>
      <c r="Q68" s="6">
        <f>[1]Emissions!P824</f>
        <v>91.158730399999996</v>
      </c>
      <c r="R68" s="6">
        <f>[1]Emissions!Q824</f>
        <v>87.731821089999997</v>
      </c>
      <c r="S68" s="6">
        <f>[1]Emissions!R824</f>
        <v>84.470109550000004</v>
      </c>
      <c r="T68" s="6">
        <f>[1]Emissions!S824</f>
        <v>81.411120800000006</v>
      </c>
      <c r="U68" s="6">
        <f>[1]Emissions!T824</f>
        <v>78.562148710000002</v>
      </c>
      <c r="V68" s="6">
        <f>[1]Emissions!U824</f>
        <v>75.915336569999994</v>
      </c>
      <c r="W68" s="6">
        <f>[1]Emissions!V824</f>
        <v>73.458674079999994</v>
      </c>
      <c r="X68" s="6">
        <f>[1]Emissions!W824</f>
        <v>71.178727460000005</v>
      </c>
      <c r="Y68" s="6">
        <f>[1]Emissions!X824</f>
        <v>69.062160809999995</v>
      </c>
      <c r="Z68" s="6">
        <f>[1]Emissions!Y824</f>
        <v>67.096377029999999</v>
      </c>
      <c r="AA68" s="6">
        <f>[1]Emissions!Z824</f>
        <v>65.269006559999994</v>
      </c>
      <c r="AB68" s="6">
        <f>[1]Emissions!AA824</f>
        <v>63.5692728</v>
      </c>
      <c r="AC68" s="6">
        <f>[1]Emissions!AB824</f>
        <v>61.987622940000001</v>
      </c>
      <c r="AD68" s="6">
        <f>[1]Emissions!AC824</f>
        <v>60.515446130000001</v>
      </c>
      <c r="AE68" s="6">
        <f>[1]Emissions!AD824</f>
        <v>59.144968550000002</v>
      </c>
      <c r="AF68" s="6">
        <f>[1]Emissions!AE824</f>
        <v>57.869243439999998</v>
      </c>
      <c r="AG68" s="6">
        <f>[1]Emissions!AF824</f>
        <v>56.68184797</v>
      </c>
      <c r="AH68" s="6">
        <f>[1]Emissions!AG824</f>
        <v>55.576692510000001</v>
      </c>
      <c r="AI68" s="6">
        <f>[1]Emissions!AH824</f>
        <v>54.54791573</v>
      </c>
      <c r="AJ68" s="6">
        <f>[1]Emissions!AI824</f>
        <v>53.58990094</v>
      </c>
      <c r="AK68" s="6">
        <f>[1]Emissions!AJ824</f>
        <v>52.69731676</v>
      </c>
      <c r="AL68" s="6">
        <f>[1]Emissions!AK824</f>
        <v>51.864952099999996</v>
      </c>
    </row>
    <row r="69" spans="1:38" x14ac:dyDescent="0.35">
      <c r="A69" s="11"/>
      <c r="B69" t="s">
        <v>80</v>
      </c>
      <c r="C69" s="6">
        <f>SUM(C70:C72)</f>
        <v>235.584631376</v>
      </c>
      <c r="D69" s="6">
        <f t="shared" ref="D69:AL69" si="4">SUM(D70:D72)</f>
        <v>236.92933354499999</v>
      </c>
      <c r="E69" s="6">
        <f t="shared" si="4"/>
        <v>238.45741045199998</v>
      </c>
      <c r="F69" s="6">
        <f t="shared" si="4"/>
        <v>239.55878502600001</v>
      </c>
      <c r="G69" s="6">
        <f t="shared" si="4"/>
        <v>241.16524734999999</v>
      </c>
      <c r="H69" s="6">
        <f t="shared" si="4"/>
        <v>243.33999215099999</v>
      </c>
      <c r="I69" s="6">
        <f t="shared" si="4"/>
        <v>245.66584746299998</v>
      </c>
      <c r="J69" s="6">
        <f t="shared" si="4"/>
        <v>247.99656311300001</v>
      </c>
      <c r="K69" s="6">
        <f t="shared" si="4"/>
        <v>250.25844449600001</v>
      </c>
      <c r="L69" s="6">
        <f t="shared" si="4"/>
        <v>252.467383219</v>
      </c>
      <c r="M69" s="6">
        <f t="shared" si="4"/>
        <v>254.66481389</v>
      </c>
      <c r="N69" s="6">
        <f t="shared" si="4"/>
        <v>256.88644647900003</v>
      </c>
      <c r="O69" s="6">
        <f t="shared" si="4"/>
        <v>259.06239304299999</v>
      </c>
      <c r="P69" s="6">
        <f t="shared" si="4"/>
        <v>260.985235053</v>
      </c>
      <c r="Q69" s="6">
        <f t="shared" si="4"/>
        <v>262.77765720800005</v>
      </c>
      <c r="R69" s="6">
        <f t="shared" si="4"/>
        <v>264.58692698099998</v>
      </c>
      <c r="S69" s="6">
        <f t="shared" si="4"/>
        <v>266.60399779600004</v>
      </c>
      <c r="T69" s="6">
        <f t="shared" si="4"/>
        <v>269.16643589500001</v>
      </c>
      <c r="U69" s="6">
        <f t="shared" si="4"/>
        <v>272.33927432399997</v>
      </c>
      <c r="V69" s="6">
        <f t="shared" si="4"/>
        <v>276.10252036599996</v>
      </c>
      <c r="W69" s="6">
        <f t="shared" si="4"/>
        <v>280.42795397800001</v>
      </c>
      <c r="X69" s="6">
        <f t="shared" si="4"/>
        <v>285.28691755400001</v>
      </c>
      <c r="Y69" s="6">
        <f t="shared" si="4"/>
        <v>290.67886330099998</v>
      </c>
      <c r="Z69" s="6">
        <f t="shared" si="4"/>
        <v>296.59834322900002</v>
      </c>
      <c r="AA69" s="6">
        <f t="shared" si="4"/>
        <v>303.022097261</v>
      </c>
      <c r="AB69" s="6">
        <f t="shared" si="4"/>
        <v>309.93876365599999</v>
      </c>
      <c r="AC69" s="6">
        <f t="shared" si="4"/>
        <v>317.3491952</v>
      </c>
      <c r="AD69" s="6">
        <f t="shared" si="4"/>
        <v>325.28160175300002</v>
      </c>
      <c r="AE69" s="6">
        <f t="shared" si="4"/>
        <v>333.73832076499997</v>
      </c>
      <c r="AF69" s="6">
        <f t="shared" si="4"/>
        <v>342.64456539999998</v>
      </c>
      <c r="AG69" s="6">
        <f t="shared" si="4"/>
        <v>351.890507824</v>
      </c>
      <c r="AH69" s="6">
        <f t="shared" si="4"/>
        <v>361.38139960900003</v>
      </c>
      <c r="AI69" s="6">
        <f t="shared" si="4"/>
        <v>371.04670262399998</v>
      </c>
      <c r="AJ69" s="6">
        <f t="shared" si="4"/>
        <v>380.82796742099998</v>
      </c>
      <c r="AK69" s="6">
        <f t="shared" si="4"/>
        <v>390.67230755100002</v>
      </c>
      <c r="AL69" s="6">
        <f t="shared" si="4"/>
        <v>400.52882032600002</v>
      </c>
    </row>
    <row r="70" spans="1:38" x14ac:dyDescent="0.35">
      <c r="A70" s="11"/>
      <c r="B70" t="s">
        <v>36</v>
      </c>
      <c r="C70" s="6">
        <f>[1]Emissions!B821</f>
        <v>183.68613199999999</v>
      </c>
      <c r="D70" s="6">
        <f>[1]Emissions!C821</f>
        <v>184.06782709999999</v>
      </c>
      <c r="E70" s="6">
        <f>[1]Emissions!D821</f>
        <v>184.53971609999999</v>
      </c>
      <c r="F70" s="6">
        <f>[1]Emissions!E821</f>
        <v>184.7233166</v>
      </c>
      <c r="G70" s="6">
        <f>[1]Emissions!F821</f>
        <v>185.5198341</v>
      </c>
      <c r="H70" s="6">
        <f>[1]Emissions!G821</f>
        <v>186.91034099999999</v>
      </c>
      <c r="I70" s="6">
        <f>[1]Emissions!H821</f>
        <v>188.45646919999999</v>
      </c>
      <c r="J70" s="6">
        <f>[1]Emissions!I821</f>
        <v>190.0034584</v>
      </c>
      <c r="K70" s="6">
        <f>[1]Emissions!J821</f>
        <v>191.47565589999999</v>
      </c>
      <c r="L70" s="6">
        <f>[1]Emissions!K821</f>
        <v>192.8877961</v>
      </c>
      <c r="M70" s="6">
        <f>[1]Emissions!L821</f>
        <v>194.27913240000001</v>
      </c>
      <c r="N70" s="6">
        <f>[1]Emissions!M821</f>
        <v>195.68374829999999</v>
      </c>
      <c r="O70" s="6">
        <f>[1]Emissions!N821</f>
        <v>197.05533</v>
      </c>
      <c r="P70" s="6">
        <f>[1]Emissions!O821</f>
        <v>198.24272769999999</v>
      </c>
      <c r="Q70" s="6">
        <f>[1]Emissions!P821</f>
        <v>199.33596650000001</v>
      </c>
      <c r="R70" s="6">
        <f>[1]Emissions!Q821</f>
        <v>200.44363970000001</v>
      </c>
      <c r="S70" s="6">
        <f>[1]Emissions!R821</f>
        <v>201.76821190000001</v>
      </c>
      <c r="T70" s="6">
        <f>[1]Emissions!S821</f>
        <v>203.5612883</v>
      </c>
      <c r="U70" s="6">
        <f>[1]Emissions!T821</f>
        <v>205.8666322</v>
      </c>
      <c r="V70" s="6">
        <f>[1]Emissions!U821</f>
        <v>208.66153439999999</v>
      </c>
      <c r="W70" s="6">
        <f>[1]Emissions!V821</f>
        <v>211.91611940000001</v>
      </c>
      <c r="X70" s="6">
        <f>[1]Emissions!W821</f>
        <v>215.60084689999999</v>
      </c>
      <c r="Y70" s="6">
        <f>[1]Emissions!X821</f>
        <v>219.70887519999999</v>
      </c>
      <c r="Z70" s="6">
        <f>[1]Emissions!Y821</f>
        <v>224.23213200000001</v>
      </c>
      <c r="AA70" s="6">
        <f>[1]Emissions!Z821</f>
        <v>229.15123539999999</v>
      </c>
      <c r="AB70" s="6">
        <f>[1]Emissions!AA821</f>
        <v>234.4558548</v>
      </c>
      <c r="AC70" s="6">
        <f>[1]Emissions!AB821</f>
        <v>240.14487410000001</v>
      </c>
      <c r="AD70" s="6">
        <f>[1]Emissions!AC821</f>
        <v>246.23788920000001</v>
      </c>
      <c r="AE70" s="6">
        <f>[1]Emissions!AD821</f>
        <v>252.73556099999999</v>
      </c>
      <c r="AF70" s="6">
        <f>[1]Emissions!AE821</f>
        <v>259.58059919999999</v>
      </c>
      <c r="AG70" s="6">
        <f>[1]Emissions!AF821</f>
        <v>266.6882951</v>
      </c>
      <c r="AH70" s="6">
        <f>[1]Emissions!AG821</f>
        <v>273.98380600000002</v>
      </c>
      <c r="AI70" s="6">
        <f>[1]Emissions!AH821</f>
        <v>281.40998480000002</v>
      </c>
      <c r="AJ70" s="6">
        <f>[1]Emissions!AI821</f>
        <v>288.91891829999997</v>
      </c>
      <c r="AK70" s="6">
        <f>[1]Emissions!AJ821</f>
        <v>296.46726360000002</v>
      </c>
      <c r="AL70" s="6">
        <f>[1]Emissions!AK821</f>
        <v>304.01363329999998</v>
      </c>
    </row>
    <row r="71" spans="1:38" x14ac:dyDescent="0.35">
      <c r="A71" s="11"/>
      <c r="B71" t="s">
        <v>37</v>
      </c>
      <c r="C71" s="6">
        <f>[1]Emissions!B822</f>
        <v>2.749112996</v>
      </c>
      <c r="D71" s="6">
        <f>[1]Emissions!C822</f>
        <v>2.7310493550000001</v>
      </c>
      <c r="E71" s="6">
        <f>[1]Emissions!D822</f>
        <v>2.729500442</v>
      </c>
      <c r="F71" s="6">
        <f>[1]Emissions!E822</f>
        <v>2.7478887360000002</v>
      </c>
      <c r="G71" s="6">
        <f>[1]Emissions!F822</f>
        <v>2.7775226599999998</v>
      </c>
      <c r="H71" s="6">
        <f>[1]Emissions!G822</f>
        <v>2.8142607810000002</v>
      </c>
      <c r="I71" s="6">
        <f>[1]Emissions!H822</f>
        <v>2.8542400730000002</v>
      </c>
      <c r="J71" s="6">
        <f>[1]Emissions!I822</f>
        <v>2.8957760430000001</v>
      </c>
      <c r="K71" s="6">
        <f>[1]Emissions!J822</f>
        <v>2.938702916</v>
      </c>
      <c r="L71" s="6">
        <f>[1]Emissions!K822</f>
        <v>2.9833479390000002</v>
      </c>
      <c r="M71" s="6">
        <f>[1]Emissions!L822</f>
        <v>3.0300711900000001</v>
      </c>
      <c r="N71" s="6">
        <f>[1]Emissions!M822</f>
        <v>3.079089309</v>
      </c>
      <c r="O71" s="6">
        <f>[1]Emissions!N822</f>
        <v>3.1293676330000002</v>
      </c>
      <c r="P71" s="6">
        <f>[1]Emissions!O822</f>
        <v>3.1782960230000001</v>
      </c>
      <c r="Q71" s="6">
        <f>[1]Emissions!P822</f>
        <v>3.226910728</v>
      </c>
      <c r="R71" s="6">
        <f>[1]Emissions!Q822</f>
        <v>3.2762554110000002</v>
      </c>
      <c r="S71" s="6">
        <f>[1]Emissions!R822</f>
        <v>3.3284522760000002</v>
      </c>
      <c r="T71" s="6">
        <f>[1]Emissions!S822</f>
        <v>3.3849367149999998</v>
      </c>
      <c r="U71" s="6">
        <f>[1]Emissions!T822</f>
        <v>3.4461489539999999</v>
      </c>
      <c r="V71" s="6">
        <f>[1]Emissions!U822</f>
        <v>3.5119408860000001</v>
      </c>
      <c r="W71" s="6">
        <f>[1]Emissions!V822</f>
        <v>3.5822586379999999</v>
      </c>
      <c r="X71" s="6">
        <f>[1]Emissions!W822</f>
        <v>3.6571076740000001</v>
      </c>
      <c r="Y71" s="6">
        <f>[1]Emissions!X822</f>
        <v>3.736902401</v>
      </c>
      <c r="Z71" s="6">
        <f>[1]Emissions!Y822</f>
        <v>3.8219261690000002</v>
      </c>
      <c r="AA71" s="6">
        <f>[1]Emissions!Z822</f>
        <v>3.9121176709999999</v>
      </c>
      <c r="AB71" s="6">
        <f>[1]Emissions!AA822</f>
        <v>4.0075305859999997</v>
      </c>
      <c r="AC71" s="6">
        <f>[1]Emissions!AB822</f>
        <v>4.1083499200000002</v>
      </c>
      <c r="AD71" s="6">
        <f>[1]Emissions!AC822</f>
        <v>4.2151797929999999</v>
      </c>
      <c r="AE71" s="6">
        <f>[1]Emissions!AD822</f>
        <v>4.328211295</v>
      </c>
      <c r="AF71" s="6">
        <f>[1]Emissions!AE822</f>
        <v>4.4467146299999998</v>
      </c>
      <c r="AG71" s="6">
        <f>[1]Emissions!AF822</f>
        <v>4.569537994</v>
      </c>
      <c r="AH71" s="6">
        <f>[1]Emissions!AG822</f>
        <v>4.6957328890000003</v>
      </c>
      <c r="AI71" s="6">
        <f>[1]Emissions!AH822</f>
        <v>4.8246469440000004</v>
      </c>
      <c r="AJ71" s="6">
        <f>[1]Emissions!AI822</f>
        <v>4.9557139010000002</v>
      </c>
      <c r="AK71" s="6">
        <f>[1]Emissions!AJ822</f>
        <v>5.0883773310000002</v>
      </c>
      <c r="AL71" s="6">
        <f>[1]Emissions!AK822</f>
        <v>5.2220551759999996</v>
      </c>
    </row>
    <row r="72" spans="1:38" x14ac:dyDescent="0.35">
      <c r="A72" s="11"/>
      <c r="B72" t="s">
        <v>38</v>
      </c>
      <c r="C72" s="6">
        <f>[1]Emissions!B823</f>
        <v>49.149386380000003</v>
      </c>
      <c r="D72" s="6">
        <f>[1]Emissions!C823</f>
        <v>50.13045709</v>
      </c>
      <c r="E72" s="6">
        <f>[1]Emissions!D823</f>
        <v>51.188193910000003</v>
      </c>
      <c r="F72" s="6">
        <f>[1]Emissions!E823</f>
        <v>52.087579689999998</v>
      </c>
      <c r="G72" s="6">
        <f>[1]Emissions!F823</f>
        <v>52.867890590000002</v>
      </c>
      <c r="H72" s="6">
        <f>[1]Emissions!G823</f>
        <v>53.61539037</v>
      </c>
      <c r="I72" s="6">
        <f>[1]Emissions!H823</f>
        <v>54.355138189999998</v>
      </c>
      <c r="J72" s="6">
        <f>[1]Emissions!I823</f>
        <v>55.097328670000003</v>
      </c>
      <c r="K72" s="6">
        <f>[1]Emissions!J823</f>
        <v>55.844085679999999</v>
      </c>
      <c r="L72" s="6">
        <f>[1]Emissions!K823</f>
        <v>56.596239179999998</v>
      </c>
      <c r="M72" s="6">
        <f>[1]Emissions!L823</f>
        <v>57.355610300000002</v>
      </c>
      <c r="N72" s="6">
        <f>[1]Emissions!M823</f>
        <v>58.123608869999998</v>
      </c>
      <c r="O72" s="6">
        <f>[1]Emissions!N823</f>
        <v>58.877695410000001</v>
      </c>
      <c r="P72" s="6">
        <f>[1]Emissions!O823</f>
        <v>59.564211329999999</v>
      </c>
      <c r="Q72" s="6">
        <f>[1]Emissions!P823</f>
        <v>60.214779980000003</v>
      </c>
      <c r="R72" s="6">
        <f>[1]Emissions!Q823</f>
        <v>60.867031869999998</v>
      </c>
      <c r="S72" s="6">
        <f>[1]Emissions!R823</f>
        <v>61.507333619999997</v>
      </c>
      <c r="T72" s="6">
        <f>[1]Emissions!S823</f>
        <v>62.220210880000003</v>
      </c>
      <c r="U72" s="6">
        <f>[1]Emissions!T823</f>
        <v>63.026493170000002</v>
      </c>
      <c r="V72" s="6">
        <f>[1]Emissions!U823</f>
        <v>63.929045080000002</v>
      </c>
      <c r="W72" s="6">
        <f>[1]Emissions!V823</f>
        <v>64.929575940000007</v>
      </c>
      <c r="X72" s="6">
        <f>[1]Emissions!W823</f>
        <v>66.028962980000003</v>
      </c>
      <c r="Y72" s="6">
        <f>[1]Emissions!X823</f>
        <v>67.233085700000004</v>
      </c>
      <c r="Z72" s="6">
        <f>[1]Emissions!Y823</f>
        <v>68.544285060000007</v>
      </c>
      <c r="AA72" s="6">
        <f>[1]Emissions!Z823</f>
        <v>69.958744190000004</v>
      </c>
      <c r="AB72" s="6">
        <f>[1]Emissions!AA823</f>
        <v>71.475378269999993</v>
      </c>
      <c r="AC72" s="6">
        <f>[1]Emissions!AB823</f>
        <v>73.095971180000006</v>
      </c>
      <c r="AD72" s="6">
        <f>[1]Emissions!AC823</f>
        <v>74.828532760000002</v>
      </c>
      <c r="AE72" s="6">
        <f>[1]Emissions!AD823</f>
        <v>76.674548470000005</v>
      </c>
      <c r="AF72" s="6">
        <f>[1]Emissions!AE823</f>
        <v>78.617251569999993</v>
      </c>
      <c r="AG72" s="6">
        <f>[1]Emissions!AF823</f>
        <v>80.632674730000005</v>
      </c>
      <c r="AH72" s="6">
        <f>[1]Emissions!AG823</f>
        <v>82.701860719999999</v>
      </c>
      <c r="AI72" s="6">
        <f>[1]Emissions!AH823</f>
        <v>84.812070879999993</v>
      </c>
      <c r="AJ72" s="6">
        <f>[1]Emissions!AI823</f>
        <v>86.95333522</v>
      </c>
      <c r="AK72" s="6">
        <f>[1]Emissions!AJ823</f>
        <v>89.116666620000004</v>
      </c>
      <c r="AL72" s="6">
        <f>[1]Emissions!AK823</f>
        <v>91.293131849999995</v>
      </c>
    </row>
    <row r="73" spans="1:38" x14ac:dyDescent="0.35">
      <c r="A73" s="11"/>
      <c r="B73" t="str">
        <f>B65</f>
        <v>NZ50</v>
      </c>
      <c r="C73" s="6">
        <f>[1]Emissions!B825</f>
        <v>350.89655829999998</v>
      </c>
      <c r="D73" s="6">
        <f>[1]Emissions!C825</f>
        <v>351.5896434</v>
      </c>
      <c r="E73" s="6">
        <f>[1]Emissions!D825</f>
        <v>352.15218390000001</v>
      </c>
      <c r="F73" s="6">
        <f>[1]Emissions!E825</f>
        <v>352.26143309999998</v>
      </c>
      <c r="G73" s="6">
        <f>[1]Emissions!F825</f>
        <v>353.10244899999998</v>
      </c>
      <c r="H73" s="6">
        <f>[1]Emissions!G825</f>
        <v>354.6276818</v>
      </c>
      <c r="I73" s="6">
        <f>[1]Emissions!H825</f>
        <v>356.6039864</v>
      </c>
      <c r="J73" s="6">
        <f>[1]Emissions!I825</f>
        <v>348.10812950000002</v>
      </c>
      <c r="K73" s="6">
        <f>[1]Emissions!J825</f>
        <v>338.53167139999999</v>
      </c>
      <c r="L73" s="6">
        <f>[1]Emissions!K825</f>
        <v>329.1542887</v>
      </c>
      <c r="M73" s="6">
        <f>[1]Emissions!L825</f>
        <v>319.30754239999999</v>
      </c>
      <c r="N73" s="6">
        <f>[1]Emissions!M825</f>
        <v>309.7142551</v>
      </c>
      <c r="O73" s="6">
        <f>[1]Emissions!N825</f>
        <v>300.31340290000003</v>
      </c>
      <c r="P73" s="6">
        <f>[1]Emissions!O825</f>
        <v>291.08901090000001</v>
      </c>
      <c r="Q73" s="6">
        <f>[1]Emissions!P825</f>
        <v>282.26026530000001</v>
      </c>
      <c r="R73" s="6">
        <f>[1]Emissions!Q825</f>
        <v>273.9394542</v>
      </c>
      <c r="S73" s="6">
        <f>[1]Emissions!R825</f>
        <v>266.09419159999999</v>
      </c>
      <c r="T73" s="6">
        <f>[1]Emissions!S825</f>
        <v>258.67298790000001</v>
      </c>
      <c r="U73" s="6">
        <f>[1]Emissions!T825</f>
        <v>251.69947239999999</v>
      </c>
      <c r="V73" s="6">
        <f>[1]Emissions!U825</f>
        <v>245.1726687</v>
      </c>
      <c r="W73" s="6">
        <f>[1]Emissions!V825</f>
        <v>239.0855449</v>
      </c>
      <c r="X73" s="6">
        <f>[1]Emissions!W825</f>
        <v>233.42757180000001</v>
      </c>
      <c r="Y73" s="6">
        <f>[1]Emissions!X825</f>
        <v>228.19197610000001</v>
      </c>
      <c r="Z73" s="6">
        <f>[1]Emissions!Y825</f>
        <v>223.34490740000001</v>
      </c>
      <c r="AA73" s="6">
        <f>[1]Emissions!Z825</f>
        <v>218.8338522</v>
      </c>
      <c r="AB73" s="6">
        <f>[1]Emissions!AA825</f>
        <v>214.61155629999999</v>
      </c>
      <c r="AC73" s="6">
        <f>[1]Emissions!AB825</f>
        <v>210.65332040000001</v>
      </c>
      <c r="AD73" s="6">
        <f>[1]Emissions!AC825</f>
        <v>206.9582273</v>
      </c>
      <c r="AE73" s="6">
        <f>[1]Emissions!AD825</f>
        <v>203.47686469999999</v>
      </c>
      <c r="AF73" s="6">
        <f>[1]Emissions!AE825</f>
        <v>200.11339390000001</v>
      </c>
      <c r="AG73" s="6">
        <f>[1]Emissions!AF825</f>
        <v>196.76095720000001</v>
      </c>
      <c r="AH73" s="6">
        <f>[1]Emissions!AG825</f>
        <v>193.3366939</v>
      </c>
      <c r="AI73" s="6">
        <f>[1]Emissions!AH825</f>
        <v>189.7763305</v>
      </c>
      <c r="AJ73" s="6">
        <f>[1]Emissions!AI825</f>
        <v>186.01100299999999</v>
      </c>
      <c r="AK73" s="6">
        <f>[1]Emissions!AJ825</f>
        <v>181.9691315</v>
      </c>
      <c r="AL73" s="6">
        <f>[1]Emissions!AK825</f>
        <v>177.57446379999999</v>
      </c>
    </row>
    <row r="74" spans="1:38" x14ac:dyDescent="0.35">
      <c r="A74" s="8"/>
      <c r="B74" t="s">
        <v>32</v>
      </c>
      <c r="C74" s="6">
        <f>[1]Emissions!B829</f>
        <v>115.311927</v>
      </c>
      <c r="D74" s="6">
        <f>[1]Emissions!C829</f>
        <v>114.66030979999999</v>
      </c>
      <c r="E74" s="6">
        <f>[1]Emissions!D829</f>
        <v>113.6947734</v>
      </c>
      <c r="F74" s="6">
        <f>[1]Emissions!E829</f>
        <v>112.7026481</v>
      </c>
      <c r="G74" s="6">
        <f>[1]Emissions!F829</f>
        <v>111.9372017</v>
      </c>
      <c r="H74" s="6">
        <f>[1]Emissions!G829</f>
        <v>111.2876897</v>
      </c>
      <c r="I74" s="6">
        <f>[1]Emissions!H829</f>
        <v>110.6167889</v>
      </c>
      <c r="J74" s="6">
        <f>[1]Emissions!I829</f>
        <v>106.1456314</v>
      </c>
      <c r="K74" s="6">
        <f>[1]Emissions!J829</f>
        <v>101.2640952</v>
      </c>
      <c r="L74" s="6">
        <f>[1]Emissions!K829</f>
        <v>95.856715260000001</v>
      </c>
      <c r="M74" s="6">
        <f>[1]Emissions!L829</f>
        <v>89.921106449999996</v>
      </c>
      <c r="N74" s="6">
        <f>[1]Emissions!M829</f>
        <v>83.782710820000005</v>
      </c>
      <c r="O74" s="6">
        <f>[1]Emissions!N829</f>
        <v>77.670007319999996</v>
      </c>
      <c r="P74" s="6">
        <f>[1]Emissions!O829</f>
        <v>71.78894794</v>
      </c>
      <c r="Q74" s="6">
        <f>[1]Emissions!P829</f>
        <v>66.263665979999999</v>
      </c>
      <c r="R74" s="6">
        <f>[1]Emissions!Q829</f>
        <v>61.146619540000003</v>
      </c>
      <c r="S74" s="6">
        <f>[1]Emissions!R829</f>
        <v>56.410916020000002</v>
      </c>
      <c r="T74" s="6">
        <f>[1]Emissions!S829</f>
        <v>52.048612409999997</v>
      </c>
      <c r="U74" s="6">
        <f>[1]Emissions!T829</f>
        <v>48.033551760000002</v>
      </c>
      <c r="V74" s="6">
        <f>[1]Emissions!U829</f>
        <v>44.336949359999998</v>
      </c>
      <c r="W74" s="6">
        <f>[1]Emissions!V829</f>
        <v>40.930187779999997</v>
      </c>
      <c r="X74" s="6">
        <f>[1]Emissions!W829</f>
        <v>37.787134870000003</v>
      </c>
      <c r="Y74" s="6">
        <f>[1]Emissions!X829</f>
        <v>34.883173470000003</v>
      </c>
      <c r="Z74" s="6">
        <f>[1]Emissions!Y829</f>
        <v>32.1936064</v>
      </c>
      <c r="AA74" s="6">
        <f>[1]Emissions!Z829</f>
        <v>29.69688876</v>
      </c>
      <c r="AB74" s="6">
        <f>[1]Emissions!AA829</f>
        <v>27.3735617</v>
      </c>
      <c r="AC74" s="6">
        <f>[1]Emissions!AB829</f>
        <v>25.20588691</v>
      </c>
      <c r="AD74" s="6">
        <f>[1]Emissions!AC829</f>
        <v>23.17742243</v>
      </c>
      <c r="AE74" s="6">
        <f>[1]Emissions!AD829</f>
        <v>21.27293281</v>
      </c>
      <c r="AF74" s="6">
        <f>[1]Emissions!AE829</f>
        <v>19.478549170000001</v>
      </c>
      <c r="AG74" s="6">
        <f>[1]Emissions!AF829</f>
        <v>17.781749699999999</v>
      </c>
      <c r="AH74" s="6">
        <f>[1]Emissions!AG829</f>
        <v>16.171268770000001</v>
      </c>
      <c r="AI74" s="6">
        <f>[1]Emissions!AH829</f>
        <v>14.636834179999999</v>
      </c>
      <c r="AJ74" s="6">
        <f>[1]Emissions!AI829</f>
        <v>13.168927699999999</v>
      </c>
      <c r="AK74" s="6">
        <f>[1]Emissions!AJ829</f>
        <v>11.75875557</v>
      </c>
      <c r="AL74" s="6">
        <f>[1]Emissions!AK829</f>
        <v>10.39812264</v>
      </c>
    </row>
    <row r="75" spans="1:38" x14ac:dyDescent="0.35">
      <c r="A75" s="8"/>
      <c r="B75" t="s">
        <v>80</v>
      </c>
      <c r="C75" s="6">
        <f>SUM(C76:C78)</f>
        <v>235.584631376</v>
      </c>
      <c r="D75" s="6">
        <f t="shared" ref="D75:AL75" si="5">SUM(D76:D78)</f>
        <v>236.92933354499999</v>
      </c>
      <c r="E75" s="6">
        <f t="shared" si="5"/>
        <v>238.45741045199998</v>
      </c>
      <c r="F75" s="6">
        <f t="shared" si="5"/>
        <v>239.55878502600001</v>
      </c>
      <c r="G75" s="6">
        <f t="shared" si="5"/>
        <v>241.16524734999999</v>
      </c>
      <c r="H75" s="6">
        <f t="shared" si="5"/>
        <v>243.33999215099999</v>
      </c>
      <c r="I75" s="6">
        <f t="shared" si="5"/>
        <v>245.98719753799998</v>
      </c>
      <c r="J75" s="6">
        <f t="shared" si="5"/>
        <v>241.96249810800001</v>
      </c>
      <c r="K75" s="6">
        <f t="shared" si="5"/>
        <v>237.26757623400002</v>
      </c>
      <c r="L75" s="6">
        <f t="shared" si="5"/>
        <v>233.29757345899998</v>
      </c>
      <c r="M75" s="6">
        <f t="shared" si="5"/>
        <v>229.38643594299998</v>
      </c>
      <c r="N75" s="6">
        <f t="shared" si="5"/>
        <v>225.93154426900003</v>
      </c>
      <c r="O75" s="6">
        <f t="shared" si="5"/>
        <v>222.64339559300004</v>
      </c>
      <c r="P75" s="6">
        <f t="shared" si="5"/>
        <v>219.30006298200001</v>
      </c>
      <c r="Q75" s="6">
        <f t="shared" si="5"/>
        <v>215.99659937000001</v>
      </c>
      <c r="R75" s="6">
        <f t="shared" si="5"/>
        <v>212.792834642</v>
      </c>
      <c r="S75" s="6">
        <f t="shared" si="5"/>
        <v>209.68327563600002</v>
      </c>
      <c r="T75" s="6">
        <f t="shared" si="5"/>
        <v>206.62437546199999</v>
      </c>
      <c r="U75" s="6">
        <f t="shared" si="5"/>
        <v>203.66592068</v>
      </c>
      <c r="V75" s="6">
        <f t="shared" si="5"/>
        <v>200.83571927899999</v>
      </c>
      <c r="W75" s="6">
        <f t="shared" si="5"/>
        <v>198.15535711900003</v>
      </c>
      <c r="X75" s="6">
        <f t="shared" si="5"/>
        <v>195.64043689100001</v>
      </c>
      <c r="Y75" s="6">
        <f t="shared" si="5"/>
        <v>193.30880270599999</v>
      </c>
      <c r="Z75" s="6">
        <f t="shared" si="5"/>
        <v>191.15130097900001</v>
      </c>
      <c r="AA75" s="6">
        <f t="shared" si="5"/>
        <v>189.136963447</v>
      </c>
      <c r="AB75" s="6">
        <f t="shared" si="5"/>
        <v>187.23799456300003</v>
      </c>
      <c r="AC75" s="6">
        <f t="shared" si="5"/>
        <v>185.447433507</v>
      </c>
      <c r="AD75" s="6">
        <f t="shared" si="5"/>
        <v>183.78080487900002</v>
      </c>
      <c r="AE75" s="6">
        <f t="shared" si="5"/>
        <v>182.20393189500001</v>
      </c>
      <c r="AF75" s="6">
        <f t="shared" si="5"/>
        <v>180.63484470500001</v>
      </c>
      <c r="AG75" s="6">
        <f t="shared" si="5"/>
        <v>178.97920747000001</v>
      </c>
      <c r="AH75" s="6">
        <f t="shared" si="5"/>
        <v>177.165425164</v>
      </c>
      <c r="AI75" s="6">
        <f t="shared" si="5"/>
        <v>175.13949633800001</v>
      </c>
      <c r="AJ75" s="6">
        <f t="shared" si="5"/>
        <v>172.842075298</v>
      </c>
      <c r="AK75" s="6">
        <f t="shared" si="5"/>
        <v>170.21037595199999</v>
      </c>
      <c r="AL75" s="6">
        <f t="shared" si="5"/>
        <v>167.17634113400001</v>
      </c>
    </row>
    <row r="76" spans="1:38" x14ac:dyDescent="0.35">
      <c r="A76" s="8"/>
      <c r="B76" t="s">
        <v>36</v>
      </c>
      <c r="C76" s="5">
        <f>[1]Emissions!B826</f>
        <v>183.68613199999999</v>
      </c>
      <c r="D76" s="5">
        <f>[1]Emissions!C826</f>
        <v>184.06782709999999</v>
      </c>
      <c r="E76" s="5">
        <f>[1]Emissions!D826</f>
        <v>184.53971609999999</v>
      </c>
      <c r="F76" s="5">
        <f>[1]Emissions!E826</f>
        <v>184.7233166</v>
      </c>
      <c r="G76" s="5">
        <f>[1]Emissions!F826</f>
        <v>185.5198341</v>
      </c>
      <c r="H76" s="5">
        <f>[1]Emissions!G826</f>
        <v>186.91034099999999</v>
      </c>
      <c r="I76" s="5">
        <f>[1]Emissions!H826</f>
        <v>188.75390999999999</v>
      </c>
      <c r="J76" s="5">
        <f>[1]Emissions!I826</f>
        <v>183.57958450000001</v>
      </c>
      <c r="K76" s="5">
        <f>[1]Emissions!J826</f>
        <v>177.73783750000001</v>
      </c>
      <c r="L76" s="5">
        <f>[1]Emissions!K826</f>
        <v>172.42850899999999</v>
      </c>
      <c r="M76" s="5">
        <f>[1]Emissions!L826</f>
        <v>167.2236183</v>
      </c>
      <c r="N76" s="5">
        <f>[1]Emissions!M826</f>
        <v>162.55898120000001</v>
      </c>
      <c r="O76" s="5">
        <f>[1]Emissions!N826</f>
        <v>158.18008750000001</v>
      </c>
      <c r="P76" s="5">
        <f>[1]Emissions!O826</f>
        <v>153.88150150000001</v>
      </c>
      <c r="Q76" s="5">
        <f>[1]Emissions!P826</f>
        <v>149.69323170000001</v>
      </c>
      <c r="R76" s="5">
        <f>[1]Emissions!Q826</f>
        <v>145.6292828</v>
      </c>
      <c r="S76" s="5">
        <f>[1]Emissions!R826</f>
        <v>141.58151530000001</v>
      </c>
      <c r="T76" s="5">
        <f>[1]Emissions!S826</f>
        <v>137.55715269999999</v>
      </c>
      <c r="U76" s="5">
        <f>[1]Emissions!T826</f>
        <v>133.60017010000001</v>
      </c>
      <c r="V76" s="5">
        <f>[1]Emissions!U826</f>
        <v>129.7312814</v>
      </c>
      <c r="W76" s="5">
        <f>[1]Emissions!V826</f>
        <v>125.9619704</v>
      </c>
      <c r="X76" s="5">
        <f>[1]Emissions!W826</f>
        <v>122.297062</v>
      </c>
      <c r="Y76" s="5">
        <f>[1]Emissions!X826</f>
        <v>118.74010989999999</v>
      </c>
      <c r="Z76" s="5">
        <f>[1]Emissions!Y826</f>
        <v>115.27451120000001</v>
      </c>
      <c r="AA76" s="5">
        <f>[1]Emissions!Z826</f>
        <v>111.8693231</v>
      </c>
      <c r="AB76" s="5">
        <f>[1]Emissions!AA826</f>
        <v>108.49481110000001</v>
      </c>
      <c r="AC76" s="5">
        <f>[1]Emissions!AB826</f>
        <v>105.14173270000001</v>
      </c>
      <c r="AD76" s="5">
        <f>[1]Emissions!AC826</f>
        <v>101.8021377</v>
      </c>
      <c r="AE76" s="5">
        <f>[1]Emissions!AD826</f>
        <v>98.436530550000001</v>
      </c>
      <c r="AF76" s="5">
        <f>[1]Emissions!AE826</f>
        <v>94.976795949999996</v>
      </c>
      <c r="AG76" s="5">
        <f>[1]Emissions!AF826</f>
        <v>91.349063279999996</v>
      </c>
      <c r="AH76" s="5">
        <f>[1]Emissions!AG826</f>
        <v>87.494399290000004</v>
      </c>
      <c r="AI76" s="5">
        <f>[1]Emissions!AH826</f>
        <v>83.363527619999999</v>
      </c>
      <c r="AJ76" s="5">
        <f>[1]Emissions!AI826</f>
        <v>78.901291850000007</v>
      </c>
      <c r="AK76" s="5">
        <f>[1]Emissions!AJ826</f>
        <v>74.047920700000006</v>
      </c>
      <c r="AL76" s="5">
        <f>[1]Emissions!AK826</f>
        <v>68.736675430000005</v>
      </c>
    </row>
    <row r="77" spans="1:38" x14ac:dyDescent="0.35">
      <c r="A77" s="8"/>
      <c r="B77" t="s">
        <v>37</v>
      </c>
      <c r="C77" s="5">
        <f>[1]Emissions!B827</f>
        <v>2.749112996</v>
      </c>
      <c r="D77" s="5">
        <f>[1]Emissions!C827</f>
        <v>2.7310493550000001</v>
      </c>
      <c r="E77" s="5">
        <f>[1]Emissions!D827</f>
        <v>2.729500442</v>
      </c>
      <c r="F77" s="5">
        <f>[1]Emissions!E827</f>
        <v>2.7478887360000002</v>
      </c>
      <c r="G77" s="5">
        <f>[1]Emissions!F827</f>
        <v>2.7775226599999998</v>
      </c>
      <c r="H77" s="5">
        <f>[1]Emissions!G827</f>
        <v>2.8142607810000002</v>
      </c>
      <c r="I77" s="5">
        <f>[1]Emissions!H827</f>
        <v>2.8554515980000001</v>
      </c>
      <c r="J77" s="5">
        <f>[1]Emissions!I827</f>
        <v>2.8889392580000002</v>
      </c>
      <c r="K77" s="5">
        <f>[1]Emissions!J827</f>
        <v>2.921507064</v>
      </c>
      <c r="L77" s="5">
        <f>[1]Emissions!K827</f>
        <v>2.9672289489999999</v>
      </c>
      <c r="M77" s="5">
        <f>[1]Emissions!L827</f>
        <v>3.0153070230000001</v>
      </c>
      <c r="N77" s="5">
        <f>[1]Emissions!M827</f>
        <v>3.064633089</v>
      </c>
      <c r="O77" s="5">
        <f>[1]Emissions!N827</f>
        <v>3.115723553</v>
      </c>
      <c r="P77" s="5">
        <f>[1]Emissions!O827</f>
        <v>3.166722252</v>
      </c>
      <c r="Q77" s="5">
        <f>[1]Emissions!P827</f>
        <v>3.2189678399999999</v>
      </c>
      <c r="R77" s="5">
        <f>[1]Emissions!Q827</f>
        <v>3.2729034819999998</v>
      </c>
      <c r="S77" s="5">
        <f>[1]Emissions!R827</f>
        <v>3.329288166</v>
      </c>
      <c r="T77" s="5">
        <f>[1]Emissions!S827</f>
        <v>3.387739802</v>
      </c>
      <c r="U77" s="5">
        <f>[1]Emissions!T827</f>
        <v>3.4488195400000001</v>
      </c>
      <c r="V77" s="5">
        <f>[1]Emissions!U827</f>
        <v>3.5130113189999999</v>
      </c>
      <c r="W77" s="5">
        <f>[1]Emissions!V827</f>
        <v>3.5808597290000002</v>
      </c>
      <c r="X77" s="5">
        <f>[1]Emissions!W827</f>
        <v>3.6527630109999998</v>
      </c>
      <c r="Y77" s="5">
        <f>[1]Emissions!X827</f>
        <v>3.7293394160000002</v>
      </c>
      <c r="Z77" s="5">
        <f>[1]Emissions!Y827</f>
        <v>3.8110113590000001</v>
      </c>
      <c r="AA77" s="5">
        <f>[1]Emissions!Z827</f>
        <v>3.897826947</v>
      </c>
      <c r="AB77" s="5">
        <f>[1]Emissions!AA827</f>
        <v>3.9899023329999999</v>
      </c>
      <c r="AC77" s="5">
        <f>[1]Emissions!AB827</f>
        <v>4.0867126770000004</v>
      </c>
      <c r="AD77" s="5">
        <f>[1]Emissions!AC827</f>
        <v>4.1893497689999997</v>
      </c>
      <c r="AE77" s="5">
        <f>[1]Emissions!AD827</f>
        <v>4.298100915</v>
      </c>
      <c r="AF77" s="5">
        <f>[1]Emissions!AE827</f>
        <v>4.4124344850000004</v>
      </c>
      <c r="AG77" s="5">
        <f>[1]Emissions!AF827</f>
        <v>4.5314055800000004</v>
      </c>
      <c r="AH77" s="5">
        <f>[1]Emissions!AG827</f>
        <v>4.6541803540000002</v>
      </c>
      <c r="AI77" s="5">
        <f>[1]Emissions!AH827</f>
        <v>4.780154188</v>
      </c>
      <c r="AJ77" s="5">
        <f>[1]Emissions!AI827</f>
        <v>4.9088348379999998</v>
      </c>
      <c r="AK77" s="5">
        <f>[1]Emissions!AJ827</f>
        <v>5.0397620319999996</v>
      </c>
      <c r="AL77" s="5">
        <f>[1]Emissions!AK827</f>
        <v>5.1724313239999997</v>
      </c>
    </row>
    <row r="78" spans="1:38" x14ac:dyDescent="0.35">
      <c r="B78" t="s">
        <v>38</v>
      </c>
      <c r="C78" s="5">
        <f>[1]Emissions!B828</f>
        <v>49.149386380000003</v>
      </c>
      <c r="D78" s="5">
        <f>[1]Emissions!C828</f>
        <v>50.13045709</v>
      </c>
      <c r="E78" s="5">
        <f>[1]Emissions!D828</f>
        <v>51.188193910000003</v>
      </c>
      <c r="F78" s="5">
        <f>[1]Emissions!E828</f>
        <v>52.087579689999998</v>
      </c>
      <c r="G78" s="5">
        <f>[1]Emissions!F828</f>
        <v>52.867890590000002</v>
      </c>
      <c r="H78" s="5">
        <f>[1]Emissions!G828</f>
        <v>53.61539037</v>
      </c>
      <c r="I78" s="5">
        <f>[1]Emissions!H828</f>
        <v>54.377835939999997</v>
      </c>
      <c r="J78" s="5">
        <f>[1]Emissions!I828</f>
        <v>55.493974350000002</v>
      </c>
      <c r="K78" s="5">
        <f>[1]Emissions!J828</f>
        <v>56.608231670000002</v>
      </c>
      <c r="L78" s="5">
        <f>[1]Emissions!K828</f>
        <v>57.901835509999998</v>
      </c>
      <c r="M78" s="5">
        <f>[1]Emissions!L828</f>
        <v>59.147510619999998</v>
      </c>
      <c r="N78" s="5">
        <f>[1]Emissions!M828</f>
        <v>60.307929979999997</v>
      </c>
      <c r="O78" s="5">
        <f>[1]Emissions!N828</f>
        <v>61.34758454</v>
      </c>
      <c r="P78" s="5">
        <f>[1]Emissions!O828</f>
        <v>62.251839230000002</v>
      </c>
      <c r="Q78" s="5">
        <f>[1]Emissions!P828</f>
        <v>63.084399830000002</v>
      </c>
      <c r="R78" s="5">
        <f>[1]Emissions!Q828</f>
        <v>63.89064836</v>
      </c>
      <c r="S78" s="5">
        <f>[1]Emissions!R828</f>
        <v>64.77247217</v>
      </c>
      <c r="T78" s="5">
        <f>[1]Emissions!S828</f>
        <v>65.679482960000001</v>
      </c>
      <c r="U78" s="5">
        <f>[1]Emissions!T828</f>
        <v>66.616931039999997</v>
      </c>
      <c r="V78" s="5">
        <f>[1]Emissions!U828</f>
        <v>67.591426560000002</v>
      </c>
      <c r="W78" s="5">
        <f>[1]Emissions!V828</f>
        <v>68.612526990000006</v>
      </c>
      <c r="X78" s="5">
        <f>[1]Emissions!W828</f>
        <v>69.690611880000006</v>
      </c>
      <c r="Y78" s="5">
        <f>[1]Emissions!X828</f>
        <v>70.839353389999999</v>
      </c>
      <c r="Z78" s="5">
        <f>[1]Emissions!Y828</f>
        <v>72.065778420000001</v>
      </c>
      <c r="AA78" s="5">
        <f>[1]Emissions!Z828</f>
        <v>73.369813399999998</v>
      </c>
      <c r="AB78" s="5">
        <f>[1]Emissions!AA828</f>
        <v>74.753281130000005</v>
      </c>
      <c r="AC78" s="5">
        <f>[1]Emissions!AB828</f>
        <v>76.21898813</v>
      </c>
      <c r="AD78" s="5">
        <f>[1]Emissions!AC828</f>
        <v>77.789317409999995</v>
      </c>
      <c r="AE78" s="5">
        <f>[1]Emissions!AD828</f>
        <v>79.469300430000004</v>
      </c>
      <c r="AF78" s="5">
        <f>[1]Emissions!AE828</f>
        <v>81.245614270000004</v>
      </c>
      <c r="AG78" s="5">
        <f>[1]Emissions!AF828</f>
        <v>83.098738609999998</v>
      </c>
      <c r="AH78" s="5">
        <f>[1]Emissions!AG828</f>
        <v>85.016845520000004</v>
      </c>
      <c r="AI78" s="5">
        <f>[1]Emissions!AH828</f>
        <v>86.995814530000004</v>
      </c>
      <c r="AJ78" s="5">
        <f>[1]Emissions!AI828</f>
        <v>89.031948610000001</v>
      </c>
      <c r="AK78" s="5">
        <f>[1]Emissions!AJ828</f>
        <v>91.122693220000002</v>
      </c>
      <c r="AL78" s="5">
        <f>[1]Emissions!AK828</f>
        <v>93.267234380000005</v>
      </c>
    </row>
    <row r="79" spans="1:38" x14ac:dyDescent="0.35">
      <c r="B79" t="s">
        <v>12</v>
      </c>
      <c r="C79" s="6">
        <f>[1]Results!F1551</f>
        <v>1958164.7379999999</v>
      </c>
      <c r="D79" s="6">
        <f>[1]Results!G1551</f>
        <v>1978890.939</v>
      </c>
      <c r="E79" s="6">
        <f>[1]Results!H1551</f>
        <v>2006397.953</v>
      </c>
      <c r="F79" s="6">
        <f>[1]Results!I1551</f>
        <v>2036736.45</v>
      </c>
      <c r="G79" s="6">
        <f>[1]Results!J1551</f>
        <v>2067923.8489999999</v>
      </c>
      <c r="H79" s="6">
        <f>[1]Results!K1551</f>
        <v>2100227.6630000002</v>
      </c>
      <c r="I79" s="6">
        <f>[1]Results!L1551</f>
        <v>2132792.0639999998</v>
      </c>
      <c r="J79" s="6">
        <f>[1]Results!M1551</f>
        <v>2165766.6850000001</v>
      </c>
      <c r="K79" s="6">
        <f>[1]Results!N1551</f>
        <v>2199556.2850000001</v>
      </c>
      <c r="L79" s="6">
        <f>[1]Results!O1551</f>
        <v>2234525.7609999999</v>
      </c>
      <c r="M79" s="6">
        <f>[1]Results!P1551</f>
        <v>2270925.6179999998</v>
      </c>
      <c r="N79" s="6">
        <f>[1]Results!Q1551</f>
        <v>2308874.6260000002</v>
      </c>
      <c r="O79" s="6">
        <f>[1]Results!R1551</f>
        <v>2347714.7850000001</v>
      </c>
      <c r="P79" s="6">
        <f>[1]Results!S1551</f>
        <v>2385883.3029999998</v>
      </c>
      <c r="Q79" s="6">
        <f>[1]Results!T1551</f>
        <v>2424110.2799999998</v>
      </c>
      <c r="R79" s="6">
        <f>[1]Results!U1551</f>
        <v>2462965.1630000002</v>
      </c>
      <c r="S79" s="6">
        <f>[1]Results!V1551</f>
        <v>2503548.8470000001</v>
      </c>
      <c r="T79" s="6">
        <f>[1]Results!W1551</f>
        <v>2546535.537</v>
      </c>
      <c r="U79" s="6">
        <f>[1]Results!X1551</f>
        <v>2592037.1860000002</v>
      </c>
      <c r="V79" s="6">
        <f>[1]Results!Y1551</f>
        <v>2639983.6830000002</v>
      </c>
      <c r="W79" s="6">
        <f>[1]Results!Z1551</f>
        <v>2690443.148</v>
      </c>
      <c r="X79" s="6">
        <f>[1]Results!AA1551</f>
        <v>2743524.7769999998</v>
      </c>
      <c r="Y79" s="6">
        <f>[1]Results!AB1551</f>
        <v>2799546.9619999998</v>
      </c>
      <c r="Z79" s="6">
        <f>[1]Results!AC1551</f>
        <v>2858702.6230000001</v>
      </c>
      <c r="AA79" s="6">
        <f>[1]Results!AD1551</f>
        <v>2920973.3220000002</v>
      </c>
      <c r="AB79" s="6">
        <f>[1]Results!AE1551</f>
        <v>2986434.6770000001</v>
      </c>
      <c r="AC79" s="6">
        <f>[1]Results!AF1551</f>
        <v>3055232.7790000001</v>
      </c>
      <c r="AD79" s="6">
        <f>[1]Results!AG1551</f>
        <v>3127731.162</v>
      </c>
      <c r="AE79" s="6">
        <f>[1]Results!AH1551</f>
        <v>3204050.8960000002</v>
      </c>
      <c r="AF79" s="6">
        <f>[1]Results!AI1551</f>
        <v>3283785.1430000002</v>
      </c>
      <c r="AG79" s="6">
        <f>[1]Results!AJ1551</f>
        <v>3366334.3760000002</v>
      </c>
      <c r="AH79" s="6">
        <f>[1]Results!AK1551</f>
        <v>3451232.6129999999</v>
      </c>
      <c r="AI79" s="6">
        <f>[1]Results!AL1551</f>
        <v>3538149.9049999998</v>
      </c>
      <c r="AJ79" s="6">
        <f>[1]Results!AM1551</f>
        <v>3626784.6060000001</v>
      </c>
      <c r="AK79" s="6">
        <f>[1]Results!AN1551</f>
        <v>3716834.432</v>
      </c>
      <c r="AL79" s="6">
        <f>[1]Results!AO1551</f>
        <v>3807980.3309999998</v>
      </c>
    </row>
    <row r="80" spans="1:3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</row>
    <row r="81" spans="1:38" x14ac:dyDescent="0.35">
      <c r="A81" s="12" t="s">
        <v>52</v>
      </c>
      <c r="B81" t="s">
        <v>12</v>
      </c>
      <c r="C81" s="6">
        <f>[1]Results!F1551</f>
        <v>1958164.7379999999</v>
      </c>
      <c r="D81" s="6">
        <f>[1]Results!G1551</f>
        <v>1978890.939</v>
      </c>
      <c r="E81" s="6">
        <f>[1]Results!H1551</f>
        <v>2006397.953</v>
      </c>
      <c r="F81" s="6">
        <f>[1]Results!I1551</f>
        <v>2036736.45</v>
      </c>
      <c r="G81" s="6">
        <f>[1]Results!J1551</f>
        <v>2067923.8489999999</v>
      </c>
      <c r="H81" s="6">
        <f>[1]Results!K1551</f>
        <v>2100227.6630000002</v>
      </c>
      <c r="I81" s="6">
        <f>[1]Results!L1551</f>
        <v>2132792.0639999998</v>
      </c>
      <c r="J81" s="6">
        <f>[1]Results!M1551</f>
        <v>2165766.6850000001</v>
      </c>
      <c r="K81" s="6">
        <f>[1]Results!N1551</f>
        <v>2199556.2850000001</v>
      </c>
      <c r="L81" s="6">
        <f>[1]Results!O1551</f>
        <v>2234525.7609999999</v>
      </c>
      <c r="M81" s="6">
        <f>[1]Results!P1551</f>
        <v>2270925.6179999998</v>
      </c>
      <c r="N81" s="6">
        <f>[1]Results!Q1551</f>
        <v>2308874.6260000002</v>
      </c>
      <c r="O81" s="6">
        <f>[1]Results!R1551</f>
        <v>2347714.7850000001</v>
      </c>
      <c r="P81" s="6">
        <f>[1]Results!S1551</f>
        <v>2385883.3029999998</v>
      </c>
      <c r="Q81" s="6">
        <f>[1]Results!T1551</f>
        <v>2424110.2799999998</v>
      </c>
      <c r="R81" s="6">
        <f>[1]Results!U1551</f>
        <v>2462965.1630000002</v>
      </c>
      <c r="S81" s="6">
        <f>[1]Results!V1551</f>
        <v>2503548.8470000001</v>
      </c>
      <c r="T81" s="6">
        <f>[1]Results!W1551</f>
        <v>2546535.537</v>
      </c>
      <c r="U81" s="6">
        <f>[1]Results!X1551</f>
        <v>2592037.1860000002</v>
      </c>
      <c r="V81" s="6">
        <f>[1]Results!Y1551</f>
        <v>2639983.6830000002</v>
      </c>
      <c r="W81" s="6">
        <f>[1]Results!Z1551</f>
        <v>2690443.148</v>
      </c>
      <c r="X81" s="6">
        <f>[1]Results!AA1551</f>
        <v>2743524.7769999998</v>
      </c>
      <c r="Y81" s="6">
        <f>[1]Results!AB1551</f>
        <v>2799546.9619999998</v>
      </c>
      <c r="Z81" s="6">
        <f>[1]Results!AC1551</f>
        <v>2858702.6230000001</v>
      </c>
      <c r="AA81" s="6">
        <f>[1]Results!AD1551</f>
        <v>2920973.3220000002</v>
      </c>
      <c r="AB81" s="6">
        <f>[1]Results!AE1551</f>
        <v>2986434.6770000001</v>
      </c>
      <c r="AC81" s="6">
        <f>[1]Results!AF1551</f>
        <v>3055232.7790000001</v>
      </c>
      <c r="AD81" s="6">
        <f>[1]Results!AG1551</f>
        <v>3127731.162</v>
      </c>
      <c r="AE81" s="6">
        <f>[1]Results!AH1551</f>
        <v>3204050.8960000002</v>
      </c>
      <c r="AF81" s="6">
        <f>[1]Results!AI1551</f>
        <v>3283785.1430000002</v>
      </c>
      <c r="AG81" s="6">
        <f>[1]Results!AJ1551</f>
        <v>3366334.3760000002</v>
      </c>
      <c r="AH81" s="6">
        <f>[1]Results!AK1551</f>
        <v>3451232.6129999999</v>
      </c>
      <c r="AI81" s="6">
        <f>[1]Results!AL1551</f>
        <v>3538149.9049999998</v>
      </c>
      <c r="AJ81" s="6">
        <f>[1]Results!AM1551</f>
        <v>3626784.6060000001</v>
      </c>
      <c r="AK81" s="6">
        <f>[1]Results!AN1551</f>
        <v>3716834.432</v>
      </c>
      <c r="AL81" s="6">
        <f>[1]Results!AO1551</f>
        <v>3807980.3309999998</v>
      </c>
    </row>
    <row r="82" spans="1:38" x14ac:dyDescent="0.35">
      <c r="A82" t="s">
        <v>26</v>
      </c>
      <c r="B82" t="s">
        <v>7</v>
      </c>
      <c r="C82" s="6">
        <f>[1]Results!F1552</f>
        <v>35178.573069999999</v>
      </c>
      <c r="D82" s="6">
        <f>[1]Results!G1552</f>
        <v>34761.955529999999</v>
      </c>
      <c r="E82" s="6">
        <f>[1]Results!H1552</f>
        <v>34704.99469</v>
      </c>
      <c r="F82" s="6">
        <f>[1]Results!I1552</f>
        <v>34923.758549999999</v>
      </c>
      <c r="G82" s="6">
        <f>[1]Results!J1552</f>
        <v>35269.110520000002</v>
      </c>
      <c r="H82" s="6">
        <f>[1]Results!K1552</f>
        <v>35694.56783</v>
      </c>
      <c r="I82" s="6">
        <f>[1]Results!L1552</f>
        <v>36166.03428</v>
      </c>
      <c r="J82" s="6">
        <f>[1]Results!M1552</f>
        <v>36667.920890000001</v>
      </c>
      <c r="K82" s="6">
        <f>[1]Results!N1552</f>
        <v>37199.998749999999</v>
      </c>
      <c r="L82" s="6">
        <f>[1]Results!O1552</f>
        <v>37764.610999999997</v>
      </c>
      <c r="M82" s="6">
        <f>[1]Results!P1552</f>
        <v>38363.503259999998</v>
      </c>
      <c r="N82" s="6">
        <f>[1]Results!Q1552</f>
        <v>38996.783020000003</v>
      </c>
      <c r="O82" s="6">
        <f>[1]Results!R1552</f>
        <v>39647.21241</v>
      </c>
      <c r="P82" s="6">
        <f>[1]Results!S1552</f>
        <v>40277.669560000002</v>
      </c>
      <c r="Q82" s="6">
        <f>[1]Results!T1552</f>
        <v>40907.739159999997</v>
      </c>
      <c r="R82" s="6">
        <f>[1]Results!U1552</f>
        <v>41550.25013</v>
      </c>
      <c r="S82" s="6">
        <f>[1]Results!V1552</f>
        <v>42225.954729999998</v>
      </c>
      <c r="T82" s="6">
        <f>[1]Results!W1552</f>
        <v>42950.744899999998</v>
      </c>
      <c r="U82" s="6">
        <f>[1]Results!X1552</f>
        <v>43728.997880000003</v>
      </c>
      <c r="V82" s="6">
        <f>[1]Results!Y1552</f>
        <v>44558.774649999999</v>
      </c>
      <c r="W82" s="6">
        <f>[1]Results!Z1552</f>
        <v>45440.742939999996</v>
      </c>
      <c r="X82" s="6">
        <f>[1]Results!AA1552</f>
        <v>46376.131000000001</v>
      </c>
      <c r="Y82" s="6">
        <f>[1]Results!AB1552</f>
        <v>47371.723850000002</v>
      </c>
      <c r="Z82" s="6">
        <f>[1]Results!AC1552</f>
        <v>48431.31338</v>
      </c>
      <c r="AA82" s="6">
        <f>[1]Results!AD1552</f>
        <v>49553.683420000001</v>
      </c>
      <c r="AB82" s="6">
        <f>[1]Results!AE1552</f>
        <v>50739.982859999996</v>
      </c>
      <c r="AC82" s="6">
        <f>[1]Results!AF1552</f>
        <v>51993.075349999999</v>
      </c>
      <c r="AD82" s="6">
        <f>[1]Results!AG1552</f>
        <v>53321.595399999998</v>
      </c>
      <c r="AE82" s="6">
        <f>[1]Results!AH1552</f>
        <v>54727.274559999998</v>
      </c>
      <c r="AF82" s="6">
        <f>[1]Results!AI1552</f>
        <v>56199.219089999999</v>
      </c>
      <c r="AG82" s="6">
        <f>[1]Results!AJ1552</f>
        <v>57722.438990000002</v>
      </c>
      <c r="AH82" s="6">
        <f>[1]Results!AK1552</f>
        <v>59286.019419999997</v>
      </c>
      <c r="AI82" s="6">
        <f>[1]Results!AL1552</f>
        <v>60883.004410000001</v>
      </c>
      <c r="AJ82" s="6">
        <f>[1]Results!AM1552</f>
        <v>62506.983200000002</v>
      </c>
      <c r="AK82" s="6">
        <f>[1]Results!AN1552</f>
        <v>64151.370669999997</v>
      </c>
      <c r="AL82" s="6">
        <f>[1]Results!AO1552</f>
        <v>65809.095889999997</v>
      </c>
    </row>
    <row r="83" spans="1:38" x14ac:dyDescent="0.35">
      <c r="B83" t="s">
        <v>96</v>
      </c>
      <c r="C83" s="6">
        <f>[1]Results!F1565</f>
        <v>107850.85830000001</v>
      </c>
      <c r="D83" s="6">
        <f>[1]Results!G1565</f>
        <v>116088.5898</v>
      </c>
      <c r="E83" s="6">
        <f>[1]Results!H1565</f>
        <v>122792.4567</v>
      </c>
      <c r="F83" s="6">
        <f>[1]Results!I1565</f>
        <v>126134.6992</v>
      </c>
      <c r="G83" s="6">
        <f>[1]Results!J1565</f>
        <v>127956.72380000001</v>
      </c>
      <c r="H83" s="6">
        <f>[1]Results!K1565</f>
        <v>129313.1482</v>
      </c>
      <c r="I83" s="6">
        <f>[1]Results!L1565</f>
        <v>130577.2884</v>
      </c>
      <c r="J83" s="6">
        <f>[1]Results!M1565</f>
        <v>131912.6635</v>
      </c>
      <c r="K83" s="6">
        <f>[1]Results!N1565</f>
        <v>133380</v>
      </c>
      <c r="L83" s="6">
        <f>[1]Results!O1565</f>
        <v>135007.3855</v>
      </c>
      <c r="M83" s="6">
        <f>[1]Results!P1565</f>
        <v>136812.66529999999</v>
      </c>
      <c r="N83" s="6">
        <f>[1]Results!Q1565</f>
        <v>138809.6219</v>
      </c>
      <c r="O83" s="6">
        <f>[1]Results!R1565</f>
        <v>140973.2905</v>
      </c>
      <c r="P83" s="6">
        <f>[1]Results!S1565</f>
        <v>143226.9921</v>
      </c>
      <c r="Q83" s="6">
        <f>[1]Results!T1565</f>
        <v>145555.56789999999</v>
      </c>
      <c r="R83" s="6">
        <f>[1]Results!U1565</f>
        <v>147965.33429999999</v>
      </c>
      <c r="S83" s="6">
        <f>[1]Results!V1565</f>
        <v>150514.1575</v>
      </c>
      <c r="T83" s="6">
        <f>[1]Results!W1565</f>
        <v>153201.1624</v>
      </c>
      <c r="U83" s="6">
        <f>[1]Results!X1565</f>
        <v>156018.32889999999</v>
      </c>
      <c r="V83" s="6">
        <f>[1]Results!Y1565</f>
        <v>158952.52530000001</v>
      </c>
      <c r="W83" s="6">
        <f>[1]Results!Z1565</f>
        <v>162004.40640000001</v>
      </c>
      <c r="X83" s="6">
        <f>[1]Results!AA1565</f>
        <v>165185.74400000001</v>
      </c>
      <c r="Y83" s="6">
        <f>[1]Results!AB1565</f>
        <v>168508.3174</v>
      </c>
      <c r="Z83" s="6">
        <f>[1]Results!AC1565</f>
        <v>171979.40030000001</v>
      </c>
      <c r="AA83" s="6">
        <f>[1]Results!AD1565</f>
        <v>175599.1194</v>
      </c>
      <c r="AB83" s="6">
        <f>[1]Results!AE1565</f>
        <v>179380.6292</v>
      </c>
      <c r="AC83" s="6">
        <f>[1]Results!AF1565</f>
        <v>183342.52309999999</v>
      </c>
      <c r="AD83" s="6">
        <f>[1]Results!AG1565</f>
        <v>187502.37899999999</v>
      </c>
      <c r="AE83" s="6">
        <f>[1]Results!AH1565</f>
        <v>191890.3817</v>
      </c>
      <c r="AF83" s="6">
        <f>[1]Results!AI1565</f>
        <v>196522.67600000001</v>
      </c>
      <c r="AG83" s="6">
        <f>[1]Results!AJ1565</f>
        <v>201405.8254</v>
      </c>
      <c r="AH83" s="6">
        <f>[1]Results!AK1565</f>
        <v>206538.3334</v>
      </c>
      <c r="AI83" s="6">
        <f>[1]Results!AL1565</f>
        <v>211907.03049999999</v>
      </c>
      <c r="AJ83" s="6">
        <f>[1]Results!AM1565</f>
        <v>217497.7292</v>
      </c>
      <c r="AK83" s="6">
        <f>[1]Results!AN1565</f>
        <v>223295.3596</v>
      </c>
      <c r="AL83" s="6">
        <f>[1]Results!AO1565</f>
        <v>229283.63459999999</v>
      </c>
    </row>
    <row r="84" spans="1:38" x14ac:dyDescent="0.35">
      <c r="B84" t="s">
        <v>11</v>
      </c>
      <c r="C84" s="6">
        <f>[1]Results!F1580</f>
        <v>13742.65776</v>
      </c>
      <c r="D84" s="6">
        <f>[1]Results!G1580</f>
        <v>13890.837820000001</v>
      </c>
      <c r="E84" s="6">
        <f>[1]Results!H1580</f>
        <v>14021.32965</v>
      </c>
      <c r="F84" s="6">
        <f>[1]Results!I1580</f>
        <v>14180.302240000001</v>
      </c>
      <c r="G84" s="6">
        <f>[1]Results!J1580</f>
        <v>14332.558360000001</v>
      </c>
      <c r="H84" s="6">
        <f>[1]Results!K1580</f>
        <v>14504.84555</v>
      </c>
      <c r="I84" s="6">
        <f>[1]Results!L1580</f>
        <v>14713.2791</v>
      </c>
      <c r="J84" s="6">
        <f>[1]Results!M1580</f>
        <v>14954.29016</v>
      </c>
      <c r="K84" s="6">
        <f>[1]Results!N1580</f>
        <v>15232.7487</v>
      </c>
      <c r="L84" s="6">
        <f>[1]Results!O1580</f>
        <v>15553.63183</v>
      </c>
      <c r="M84" s="6">
        <f>[1]Results!P1580</f>
        <v>15920.974850000001</v>
      </c>
      <c r="N84" s="6">
        <f>[1]Results!Q1580</f>
        <v>16333.630429999999</v>
      </c>
      <c r="O84" s="6">
        <f>[1]Results!R1580</f>
        <v>16780.040710000001</v>
      </c>
      <c r="P84" s="6">
        <f>[1]Results!S1580</f>
        <v>17239.06234</v>
      </c>
      <c r="Q84" s="6">
        <f>[1]Results!T1580</f>
        <v>17709.34721</v>
      </c>
      <c r="R84" s="6">
        <f>[1]Results!U1580</f>
        <v>18187.129000000001</v>
      </c>
      <c r="S84" s="6">
        <f>[1]Results!V1580</f>
        <v>18661.151290000002</v>
      </c>
      <c r="T84" s="6">
        <f>[1]Results!W1580</f>
        <v>19141.240010000001</v>
      </c>
      <c r="U84" s="6">
        <f>[1]Results!X1580</f>
        <v>19628.286520000001</v>
      </c>
      <c r="V84" s="6">
        <f>[1]Results!Y1580</f>
        <v>20121.670699999999</v>
      </c>
      <c r="W84" s="6">
        <f>[1]Results!Z1580</f>
        <v>20622.006549999998</v>
      </c>
      <c r="X84" s="6">
        <f>[1]Results!AA1580</f>
        <v>21130.01585</v>
      </c>
      <c r="Y84" s="6">
        <f>[1]Results!AB1580</f>
        <v>21648.259180000001</v>
      </c>
      <c r="Z84" s="6">
        <f>[1]Results!AC1580</f>
        <v>22178.374940000002</v>
      </c>
      <c r="AA84" s="6">
        <f>[1]Results!AD1580</f>
        <v>22720.832999999999</v>
      </c>
      <c r="AB84" s="6">
        <f>[1]Results!AE1580</f>
        <v>23276.821970000001</v>
      </c>
      <c r="AC84" s="6">
        <f>[1]Results!AF1580</f>
        <v>23847.81783</v>
      </c>
      <c r="AD84" s="6">
        <f>[1]Results!AG1580</f>
        <v>24436.61001</v>
      </c>
      <c r="AE84" s="6">
        <f>[1]Results!AH1580</f>
        <v>25043.45822</v>
      </c>
      <c r="AF84" s="6">
        <f>[1]Results!AI1580</f>
        <v>25663.50275</v>
      </c>
      <c r="AG84" s="6">
        <f>[1]Results!AJ1580</f>
        <v>26290.811959999999</v>
      </c>
      <c r="AH84" s="6">
        <f>[1]Results!AK1580</f>
        <v>26921.061320000001</v>
      </c>
      <c r="AI84" s="6">
        <f>[1]Results!AL1580</f>
        <v>27551.310519999999</v>
      </c>
      <c r="AJ84" s="6">
        <f>[1]Results!AM1580</f>
        <v>28179.00172</v>
      </c>
      <c r="AK84" s="6">
        <f>[1]Results!AN1580</f>
        <v>28801.749810000001</v>
      </c>
      <c r="AL84" s="6">
        <f>[1]Results!AO1580</f>
        <v>29417.23804</v>
      </c>
    </row>
    <row r="85" spans="1:38" x14ac:dyDescent="0.35">
      <c r="B85" t="s">
        <v>8</v>
      </c>
      <c r="C85" s="6">
        <f>[1]Results!F1555-[1]Results!F1565</f>
        <v>227141.67369999998</v>
      </c>
      <c r="D85" s="6">
        <f>[1]Results!G1555-[1]Results!G1565</f>
        <v>228373.41749999998</v>
      </c>
      <c r="E85" s="6">
        <f>[1]Results!H1555-[1]Results!H1565</f>
        <v>230925.54730000003</v>
      </c>
      <c r="F85" s="6">
        <f>[1]Results!I1555-[1]Results!I1565</f>
        <v>233931.27550000002</v>
      </c>
      <c r="G85" s="6">
        <f>[1]Results!J1555-[1]Results!J1565</f>
        <v>237134.8254</v>
      </c>
      <c r="H85" s="6">
        <f>[1]Results!K1555-[1]Results!K1565</f>
        <v>240561.1066</v>
      </c>
      <c r="I85" s="6">
        <f>[1]Results!L1555-[1]Results!L1565</f>
        <v>244077.2856</v>
      </c>
      <c r="J85" s="6">
        <f>[1]Results!M1555-[1]Results!M1565</f>
        <v>247740.62529999999</v>
      </c>
      <c r="K85" s="6">
        <f>[1]Results!N1555-[1]Results!N1565</f>
        <v>251579.13520000002</v>
      </c>
      <c r="L85" s="6">
        <f>[1]Results!O1555-[1]Results!O1565</f>
        <v>255605.27129999999</v>
      </c>
      <c r="M85" s="6">
        <f>[1]Results!P1555-[1]Results!P1565</f>
        <v>259820.99680000002</v>
      </c>
      <c r="N85" s="6">
        <f>[1]Results!Q1555-[1]Results!Q1565</f>
        <v>264207.01459999999</v>
      </c>
      <c r="O85" s="6">
        <f>[1]Results!R1555-[1]Results!R1565</f>
        <v>268564.20250000001</v>
      </c>
      <c r="P85" s="6">
        <f>[1]Results!S1555-[1]Results!S1565</f>
        <v>272518.20299999998</v>
      </c>
      <c r="Q85" s="6">
        <f>[1]Results!T1555-[1]Results!T1565</f>
        <v>276368.29110000003</v>
      </c>
      <c r="R85" s="6">
        <f>[1]Results!U1555-[1]Results!U1565</f>
        <v>280277.90870000003</v>
      </c>
      <c r="S85" s="6">
        <f>[1]Results!V1555-[1]Results!V1565</f>
        <v>284470.93819999998</v>
      </c>
      <c r="T85" s="6">
        <f>[1]Results!W1555-[1]Results!W1565</f>
        <v>289035.37360000005</v>
      </c>
      <c r="U85" s="6">
        <f>[1]Results!X1555-[1]Results!X1565</f>
        <v>294029.41060000006</v>
      </c>
      <c r="V85" s="6">
        <f>[1]Results!Y1555-[1]Results!Y1565</f>
        <v>299466.37</v>
      </c>
      <c r="W85" s="6">
        <f>[1]Results!Z1555-[1]Results!Z1565</f>
        <v>305386.45369999995</v>
      </c>
      <c r="X85" s="6">
        <f>[1]Results!AA1555-[1]Results!AA1565</f>
        <v>311817.92119999998</v>
      </c>
      <c r="Y85" s="6">
        <f>[1]Results!AB1555-[1]Results!AB1565</f>
        <v>318832.46000000002</v>
      </c>
      <c r="Z85" s="6">
        <f>[1]Results!AC1555-[1]Results!AC1565</f>
        <v>326454.05850000004</v>
      </c>
      <c r="AA85" s="6">
        <f>[1]Results!AD1555-[1]Results!AD1565</f>
        <v>334658.0845</v>
      </c>
      <c r="AB85" s="6">
        <f>[1]Results!AE1555-[1]Results!AE1565</f>
        <v>343453.36230000004</v>
      </c>
      <c r="AC85" s="6">
        <f>[1]Results!AF1555-[1]Results!AF1565</f>
        <v>352862.36</v>
      </c>
      <c r="AD85" s="6">
        <f>[1]Results!AG1555-[1]Results!AG1565</f>
        <v>362956.76370000001</v>
      </c>
      <c r="AE85" s="6">
        <f>[1]Results!AH1555-[1]Results!AH1565</f>
        <v>373727.19809999992</v>
      </c>
      <c r="AF85" s="6">
        <f>[1]Results!AI1555-[1]Results!AI1565</f>
        <v>385024.6899</v>
      </c>
      <c r="AG85" s="6">
        <f>[1]Results!AJ1555-[1]Results!AJ1565</f>
        <v>396682.72</v>
      </c>
      <c r="AH85" s="6">
        <f>[1]Results!AK1555-[1]Results!AK1565</f>
        <v>408595.36349999998</v>
      </c>
      <c r="AI85" s="6">
        <f>[1]Results!AL1555-[1]Results!AL1565</f>
        <v>420698.79460000002</v>
      </c>
      <c r="AJ85" s="6">
        <f>[1]Results!AM1555-[1]Results!AM1565</f>
        <v>432934.78959999996</v>
      </c>
      <c r="AK85" s="6">
        <f>[1]Results!AN1555-[1]Results!AN1565</f>
        <v>445245.41450000007</v>
      </c>
      <c r="AL85" s="6">
        <f>[1]Results!AO1555-[1]Results!AO1565</f>
        <v>457570.44110000005</v>
      </c>
    </row>
    <row r="86" spans="1:38" x14ac:dyDescent="0.35">
      <c r="B86" t="s">
        <v>24</v>
      </c>
      <c r="C86" s="6">
        <f>[1]Results!F1575</f>
        <v>3868.321856</v>
      </c>
      <c r="D86" s="6">
        <f>[1]Results!G1575</f>
        <v>4088.261211</v>
      </c>
      <c r="E86" s="6">
        <f>[1]Results!H1575</f>
        <v>4162.1291039999996</v>
      </c>
      <c r="F86" s="6">
        <f>[1]Results!I1575</f>
        <v>4223.0961459999999</v>
      </c>
      <c r="G86" s="6">
        <f>[1]Results!J1575</f>
        <v>4300.5660870000002</v>
      </c>
      <c r="H86" s="6">
        <f>[1]Results!K1575</f>
        <v>4379.09429</v>
      </c>
      <c r="I86" s="6">
        <f>[1]Results!L1575</f>
        <v>4441.3280059999997</v>
      </c>
      <c r="J86" s="6">
        <f>[1]Results!M1575</f>
        <v>4492.7659729999996</v>
      </c>
      <c r="K86" s="6">
        <f>[1]Results!N1575</f>
        <v>4535.5714349999998</v>
      </c>
      <c r="L86" s="6">
        <f>[1]Results!O1575</f>
        <v>4572.1374459999997</v>
      </c>
      <c r="M86" s="6">
        <f>[1]Results!P1575</f>
        <v>4604.3157810000002</v>
      </c>
      <c r="N86" s="6">
        <f>[1]Results!Q1575</f>
        <v>4633.7544959999996</v>
      </c>
      <c r="O86" s="6">
        <f>[1]Results!R1575</f>
        <v>4657.5805849999997</v>
      </c>
      <c r="P86" s="6">
        <f>[1]Results!S1575</f>
        <v>4670.4610709999997</v>
      </c>
      <c r="Q86" s="6">
        <f>[1]Results!T1575</f>
        <v>4686.5085399999998</v>
      </c>
      <c r="R86" s="6">
        <f>[1]Results!U1575</f>
        <v>4706.6917590000003</v>
      </c>
      <c r="S86" s="6">
        <f>[1]Results!V1575</f>
        <v>4699.3916090000002</v>
      </c>
      <c r="T86" s="6">
        <f>[1]Results!W1575</f>
        <v>4734.9678590000003</v>
      </c>
      <c r="U86" s="6">
        <f>[1]Results!X1575</f>
        <v>4777.6720009999999</v>
      </c>
      <c r="V86" s="6">
        <f>[1]Results!Y1575</f>
        <v>4822.9424010000002</v>
      </c>
      <c r="W86" s="6">
        <f>[1]Results!Z1575</f>
        <v>4870.9741889999996</v>
      </c>
      <c r="X86" s="6">
        <f>[1]Results!AA1575</f>
        <v>4922.3197440000004</v>
      </c>
      <c r="Y86" s="6">
        <f>[1]Results!AB1575</f>
        <v>4977.9583830000001</v>
      </c>
      <c r="Z86" s="6">
        <f>[1]Results!AC1575</f>
        <v>5038.2279989999997</v>
      </c>
      <c r="AA86" s="6">
        <f>[1]Results!AD1575</f>
        <v>5102.9721300000001</v>
      </c>
      <c r="AB86" s="6">
        <f>[1]Results!AE1575</f>
        <v>5172.4779900000003</v>
      </c>
      <c r="AC86" s="6">
        <f>[1]Results!AF1575</f>
        <v>5247.0415220000004</v>
      </c>
      <c r="AD86" s="6">
        <f>[1]Results!AG1575</f>
        <v>5327.3065489999999</v>
      </c>
      <c r="AE86" s="6">
        <f>[1]Results!AH1575</f>
        <v>5412.960118</v>
      </c>
      <c r="AF86" s="6">
        <f>[1]Results!AI1575</f>
        <v>5502.4446790000002</v>
      </c>
      <c r="AG86" s="6">
        <f>[1]Results!AJ1575</f>
        <v>5594.4814329999999</v>
      </c>
      <c r="AH86" s="6">
        <f>[1]Results!AK1575</f>
        <v>5688.5338430000002</v>
      </c>
      <c r="AI86" s="6">
        <f>[1]Results!AL1575</f>
        <v>5784.2995559999999</v>
      </c>
      <c r="AJ86" s="6">
        <f>[1]Results!AM1575</f>
        <v>5881.3299390000002</v>
      </c>
      <c r="AK86" s="6">
        <f>[1]Results!AN1575</f>
        <v>5979.0969590000004</v>
      </c>
      <c r="AL86" s="6">
        <f>[1]Results!AO1575</f>
        <v>6077.0173500000001</v>
      </c>
    </row>
    <row r="87" spans="1:38" x14ac:dyDescent="0.35">
      <c r="B87" t="s">
        <v>10</v>
      </c>
      <c r="C87" s="6">
        <f>[1]Results!F1572</f>
        <v>1518391.3119999999</v>
      </c>
      <c r="D87" s="6">
        <f>[1]Results!G1572</f>
        <v>1529647.051</v>
      </c>
      <c r="E87" s="6">
        <f>[1]Results!H1572</f>
        <v>1547478.9920000001</v>
      </c>
      <c r="F87" s="6">
        <f>[1]Results!I1572</f>
        <v>1570604.1710000001</v>
      </c>
      <c r="G87" s="6">
        <f>[1]Results!J1572</f>
        <v>1595665.888</v>
      </c>
      <c r="H87" s="6">
        <f>[1]Results!K1572</f>
        <v>1621904.7390000001</v>
      </c>
      <c r="I87" s="6">
        <f>[1]Results!L1572</f>
        <v>1648305.453</v>
      </c>
      <c r="J87" s="6">
        <f>[1]Results!M1572</f>
        <v>1674816.0179999999</v>
      </c>
      <c r="K87" s="6">
        <f>[1]Results!N1572</f>
        <v>1701743.5759999999</v>
      </c>
      <c r="L87" s="6">
        <f>[1]Results!O1572</f>
        <v>1729399.4480000001</v>
      </c>
      <c r="M87" s="6">
        <f>[1]Results!P1572</f>
        <v>1758004.6329999999</v>
      </c>
      <c r="N87" s="6">
        <f>[1]Results!Q1572</f>
        <v>1787684.193</v>
      </c>
      <c r="O87" s="6">
        <f>[1]Results!R1572</f>
        <v>1818064.442</v>
      </c>
      <c r="P87" s="6">
        <f>[1]Results!S1572</f>
        <v>1848154.047</v>
      </c>
      <c r="Q87" s="6">
        <f>[1]Results!T1572</f>
        <v>1878328.412</v>
      </c>
      <c r="R87" s="6">
        <f>[1]Results!U1572</f>
        <v>1908954.0330000001</v>
      </c>
      <c r="S87" s="6">
        <f>[1]Results!V1572</f>
        <v>1940829.169</v>
      </c>
      <c r="T87" s="6">
        <f>[1]Results!W1572</f>
        <v>1974424.213</v>
      </c>
      <c r="U87" s="6">
        <f>[1]Results!X1572</f>
        <v>2009824.669</v>
      </c>
      <c r="V87" s="6">
        <f>[1]Results!Y1572</f>
        <v>2046968.34</v>
      </c>
      <c r="W87" s="6">
        <f>[1]Results!Z1572</f>
        <v>2085877.7749999999</v>
      </c>
      <c r="X87" s="6">
        <f>[1]Results!AA1572</f>
        <v>2126616.9210000001</v>
      </c>
      <c r="Y87" s="6">
        <f>[1]Results!AB1572</f>
        <v>2169400.48</v>
      </c>
      <c r="Z87" s="6">
        <f>[1]Results!AC1572</f>
        <v>2214380.3080000002</v>
      </c>
      <c r="AA87" s="6">
        <f>[1]Results!AD1572</f>
        <v>2261566.4210000001</v>
      </c>
      <c r="AB87" s="6">
        <f>[1]Results!AE1572</f>
        <v>2311008.5249999999</v>
      </c>
      <c r="AC87" s="6">
        <f>[1]Results!AF1572</f>
        <v>2362803.5550000002</v>
      </c>
      <c r="AD87" s="6">
        <f>[1]Results!AG1572</f>
        <v>2417202.727</v>
      </c>
      <c r="AE87" s="6">
        <f>[1]Results!AH1572</f>
        <v>2474304.7289999998</v>
      </c>
      <c r="AF87" s="6">
        <f>[1]Results!AI1572</f>
        <v>2533873.3450000002</v>
      </c>
      <c r="AG87" s="6">
        <f>[1]Results!AJ1572</f>
        <v>2595516.0759999999</v>
      </c>
      <c r="AH87" s="6">
        <f>[1]Results!AK1572</f>
        <v>2658907.5869999998</v>
      </c>
      <c r="AI87" s="6">
        <f>[1]Results!AL1572</f>
        <v>2723816.645</v>
      </c>
      <c r="AJ87" s="6">
        <f>[1]Results!AM1572</f>
        <v>2790033.875</v>
      </c>
      <c r="AK87" s="6">
        <f>[1]Results!AN1572</f>
        <v>2857349.6970000002</v>
      </c>
      <c r="AL87" s="6">
        <f>[1]Results!AO1572</f>
        <v>2925541.9440000001</v>
      </c>
    </row>
    <row r="88" spans="1:38" x14ac:dyDescent="0.35">
      <c r="B88" t="s">
        <v>9</v>
      </c>
      <c r="C88" s="6">
        <f>[1]Results!F1567</f>
        <v>51991.341939999998</v>
      </c>
      <c r="D88" s="6">
        <f>[1]Results!G1567</f>
        <v>52040.826130000001</v>
      </c>
      <c r="E88" s="6">
        <f>[1]Results!H1567</f>
        <v>52312.503389999998</v>
      </c>
      <c r="F88" s="6">
        <f>[1]Results!I1567</f>
        <v>52739.147140000001</v>
      </c>
      <c r="G88" s="6">
        <f>[1]Results!J1567</f>
        <v>53264.176639999998</v>
      </c>
      <c r="H88" s="6">
        <f>[1]Results!K1567</f>
        <v>53870.160669999997</v>
      </c>
      <c r="I88" s="6">
        <f>[1]Results!L1567</f>
        <v>54511.395969999998</v>
      </c>
      <c r="J88" s="6">
        <f>[1]Results!M1567</f>
        <v>55182.400600000001</v>
      </c>
      <c r="K88" s="6">
        <f>[1]Results!N1567</f>
        <v>55885.255469999996</v>
      </c>
      <c r="L88" s="6">
        <f>[1]Results!O1567</f>
        <v>56623.276339999997</v>
      </c>
      <c r="M88" s="6">
        <f>[1]Results!P1567</f>
        <v>57398.529000000002</v>
      </c>
      <c r="N88" s="6">
        <f>[1]Results!Q1567</f>
        <v>58209.628689999998</v>
      </c>
      <c r="O88" s="6">
        <f>[1]Results!R1567</f>
        <v>59028.016369999998</v>
      </c>
      <c r="P88" s="6">
        <f>[1]Results!S1567</f>
        <v>59796.868710000002</v>
      </c>
      <c r="Q88" s="6">
        <f>[1]Results!T1567</f>
        <v>60554.414129999997</v>
      </c>
      <c r="R88" s="6">
        <f>[1]Results!U1567</f>
        <v>61323.815999999999</v>
      </c>
      <c r="S88" s="6">
        <f>[1]Results!V1567</f>
        <v>62148.084690000003</v>
      </c>
      <c r="T88" s="6">
        <f>[1]Results!W1567</f>
        <v>63047.835169999998</v>
      </c>
      <c r="U88" s="6">
        <f>[1]Results!X1567</f>
        <v>64029.820820000001</v>
      </c>
      <c r="V88" s="6">
        <f>[1]Results!Y1567</f>
        <v>65093.060219999999</v>
      </c>
      <c r="W88" s="6">
        <f>[1]Results!Z1567</f>
        <v>66240.789139999993</v>
      </c>
      <c r="X88" s="6">
        <f>[1]Results!AA1567</f>
        <v>67475.72421</v>
      </c>
      <c r="Y88" s="6">
        <f>[1]Results!AB1567</f>
        <v>68807.763800000001</v>
      </c>
      <c r="Z88" s="6">
        <f>[1]Results!AC1567</f>
        <v>70240.940749999994</v>
      </c>
      <c r="AA88" s="6">
        <f>[1]Results!AD1567</f>
        <v>71772.207890000005</v>
      </c>
      <c r="AB88" s="6">
        <f>[1]Results!AE1567</f>
        <v>73402.878060000003</v>
      </c>
      <c r="AC88" s="6">
        <f>[1]Results!AF1567</f>
        <v>75136.407030000002</v>
      </c>
      <c r="AD88" s="6">
        <f>[1]Results!AG1567</f>
        <v>76983.780190000005</v>
      </c>
      <c r="AE88" s="6">
        <f>[1]Results!AH1567</f>
        <v>78944.894459999996</v>
      </c>
      <c r="AF88" s="6">
        <f>[1]Results!AI1567</f>
        <v>80999.266010000007</v>
      </c>
      <c r="AG88" s="6">
        <f>[1]Results!AJ1567</f>
        <v>83122.022089999999</v>
      </c>
      <c r="AH88" s="6">
        <f>[1]Results!AK1567</f>
        <v>85295.714389999994</v>
      </c>
      <c r="AI88" s="6">
        <f>[1]Results!AL1567</f>
        <v>87508.82071</v>
      </c>
      <c r="AJ88" s="6">
        <f>[1]Results!AM1567</f>
        <v>89750.897360000003</v>
      </c>
      <c r="AK88" s="6">
        <f>[1]Results!AN1567</f>
        <v>92011.742910000001</v>
      </c>
      <c r="AL88" s="6">
        <f>[1]Results!AO1567</f>
        <v>94280.960139999996</v>
      </c>
    </row>
    <row r="90" spans="1:38" x14ac:dyDescent="0.35">
      <c r="A90" t="s">
        <v>27</v>
      </c>
      <c r="B90" t="s">
        <v>12</v>
      </c>
      <c r="C90" s="6">
        <f>[1]Results!F1512</f>
        <v>1958164.7379999999</v>
      </c>
      <c r="D90" s="6">
        <f>[1]Results!G1512</f>
        <v>1978890.939</v>
      </c>
      <c r="E90" s="6">
        <f>[1]Results!H1512</f>
        <v>2006397.953</v>
      </c>
      <c r="F90" s="6">
        <f>[1]Results!I1512</f>
        <v>2036736.45</v>
      </c>
      <c r="G90" s="6">
        <f>[1]Results!J1512</f>
        <v>2067923.8489999999</v>
      </c>
      <c r="H90" s="6">
        <f>[1]Results!K1512</f>
        <v>2100227.6630000002</v>
      </c>
      <c r="I90" s="6">
        <f>[1]Results!L1512</f>
        <v>2133577.3319999999</v>
      </c>
      <c r="J90" s="6">
        <f>[1]Results!M1512</f>
        <v>2162385.2089999998</v>
      </c>
      <c r="K90" s="6">
        <f>[1]Results!N1512</f>
        <v>2192575.1469999999</v>
      </c>
      <c r="L90" s="6">
        <f>[1]Results!O1512</f>
        <v>2232461.3840000001</v>
      </c>
      <c r="M90" s="6">
        <f>[1]Results!P1512</f>
        <v>2274084.5049999999</v>
      </c>
      <c r="N90" s="6">
        <f>[1]Results!Q1512</f>
        <v>2316404.9350000001</v>
      </c>
      <c r="O90" s="6">
        <f>[1]Results!R1512</f>
        <v>2358715.7349999999</v>
      </c>
      <c r="P90" s="6">
        <f>[1]Results!S1512</f>
        <v>2399877.0049999999</v>
      </c>
      <c r="Q90" s="6">
        <f>[1]Results!T1512</f>
        <v>2441175.861</v>
      </c>
      <c r="R90" s="6">
        <f>[1]Results!U1512</f>
        <v>2483141.8969999999</v>
      </c>
      <c r="S90" s="6">
        <f>[1]Results!V1512</f>
        <v>2526003.8339999998</v>
      </c>
      <c r="T90" s="6">
        <f>[1]Results!W1512</f>
        <v>2570329.0380000002</v>
      </c>
      <c r="U90" s="6">
        <f>[1]Results!X1512</f>
        <v>2616432.5329999998</v>
      </c>
      <c r="V90" s="6">
        <f>[1]Results!Y1512</f>
        <v>2664522.0070000002</v>
      </c>
      <c r="W90" s="6">
        <f>[1]Results!Z1512</f>
        <v>2714884.59</v>
      </c>
      <c r="X90" s="6">
        <f>[1]Results!AA1512</f>
        <v>2767756.4160000002</v>
      </c>
      <c r="Y90" s="6">
        <f>[1]Results!AB1512</f>
        <v>2823506.7349999999</v>
      </c>
      <c r="Z90" s="6">
        <f>[1]Results!AC1512</f>
        <v>2882350.4679999999</v>
      </c>
      <c r="AA90" s="6">
        <f>[1]Results!AD1512</f>
        <v>2944283.5980000002</v>
      </c>
      <c r="AB90" s="6">
        <f>[1]Results!AE1512</f>
        <v>3009379.3670000001</v>
      </c>
      <c r="AC90" s="6">
        <f>[1]Results!AF1512</f>
        <v>3077796.9649999999</v>
      </c>
      <c r="AD90" s="6">
        <f>[1]Results!AG1512</f>
        <v>3149860.5150000001</v>
      </c>
      <c r="AE90" s="6">
        <f>[1]Results!AH1512</f>
        <v>3225720.949</v>
      </c>
      <c r="AF90" s="6">
        <f>[1]Results!AI1512</f>
        <v>3305049.6630000002</v>
      </c>
      <c r="AG90" s="6">
        <f>[1]Results!AJ1512</f>
        <v>3387321.0970000001</v>
      </c>
      <c r="AH90" s="6">
        <f>[1]Results!AK1512</f>
        <v>3472122.3790000002</v>
      </c>
      <c r="AI90" s="6">
        <f>[1]Results!AL1512</f>
        <v>3559172.773</v>
      </c>
      <c r="AJ90" s="6">
        <f>[1]Results!AM1512</f>
        <v>3648244.747</v>
      </c>
      <c r="AK90" s="6">
        <f>[1]Results!AN1512</f>
        <v>3739172.6770000001</v>
      </c>
      <c r="AL90" s="6">
        <f>[1]Results!AO1512</f>
        <v>3831894.8620000002</v>
      </c>
    </row>
    <row r="91" spans="1:38" x14ac:dyDescent="0.35">
      <c r="B91" t="s">
        <v>7</v>
      </c>
      <c r="C91" s="6">
        <f>[1]Results!F1513</f>
        <v>35178.573069999999</v>
      </c>
      <c r="D91" s="6">
        <f>[1]Results!G1513</f>
        <v>34761.955529999999</v>
      </c>
      <c r="E91" s="6">
        <f>[1]Results!H1513</f>
        <v>34704.99469</v>
      </c>
      <c r="F91" s="6">
        <f>[1]Results!I1513</f>
        <v>34923.758549999999</v>
      </c>
      <c r="G91" s="6">
        <f>[1]Results!J1513</f>
        <v>35269.110520000002</v>
      </c>
      <c r="H91" s="6">
        <f>[1]Results!K1513</f>
        <v>35694.56783</v>
      </c>
      <c r="I91" s="6">
        <f>[1]Results!L1513</f>
        <v>36175.361859999997</v>
      </c>
      <c r="J91" s="6">
        <f>[1]Results!M1513</f>
        <v>36575.432990000001</v>
      </c>
      <c r="K91" s="6">
        <f>[1]Results!N1513</f>
        <v>37005.348899999997</v>
      </c>
      <c r="L91" s="6">
        <f>[1]Results!O1513</f>
        <v>37640.323069999999</v>
      </c>
      <c r="M91" s="6">
        <f>[1]Results!P1513</f>
        <v>38285.782310000002</v>
      </c>
      <c r="N91" s="6">
        <f>[1]Results!Q1513</f>
        <v>38935.521760000003</v>
      </c>
      <c r="O91" s="6">
        <f>[1]Results!R1513</f>
        <v>39598.750059999998</v>
      </c>
      <c r="P91" s="6">
        <f>[1]Results!S1513</f>
        <v>40251.003859999997</v>
      </c>
      <c r="Q91" s="6">
        <f>[1]Results!T1513</f>
        <v>40918.239179999997</v>
      </c>
      <c r="R91" s="6">
        <f>[1]Results!U1513</f>
        <v>41606.221669999999</v>
      </c>
      <c r="S91" s="6">
        <f>[1]Results!V1513</f>
        <v>42325.886740000002</v>
      </c>
      <c r="T91" s="6">
        <f>[1]Results!W1513</f>
        <v>43070.761180000001</v>
      </c>
      <c r="U91" s="6">
        <f>[1]Results!X1513</f>
        <v>43849.231019999999</v>
      </c>
      <c r="V91" s="6">
        <f>[1]Results!Y1513</f>
        <v>44666.692069999997</v>
      </c>
      <c r="W91" s="6">
        <f>[1]Results!Z1513</f>
        <v>45529.606319999999</v>
      </c>
      <c r="X91" s="6">
        <f>[1]Results!AA1513</f>
        <v>46442.369879999998</v>
      </c>
      <c r="Y91" s="6">
        <f>[1]Results!AB1513</f>
        <v>47412.921269999999</v>
      </c>
      <c r="Z91" s="6">
        <f>[1]Results!AC1513</f>
        <v>48445.807159999997</v>
      </c>
      <c r="AA91" s="6">
        <f>[1]Results!AD1513</f>
        <v>49540.363530000002</v>
      </c>
      <c r="AB91" s="6">
        <f>[1]Results!AE1513</f>
        <v>50697.734859999997</v>
      </c>
      <c r="AC91" s="6">
        <f>[1]Results!AF1513</f>
        <v>51908.77994</v>
      </c>
      <c r="AD91" s="6">
        <f>[1]Results!AG1513</f>
        <v>53191.202680000002</v>
      </c>
      <c r="AE91" s="6">
        <f>[1]Results!AH1513</f>
        <v>54546.500039999999</v>
      </c>
      <c r="AF91" s="6">
        <f>[1]Results!AI1513</f>
        <v>55965.444210000001</v>
      </c>
      <c r="AG91" s="6">
        <f>[1]Results!AJ1513</f>
        <v>57434.538189999999</v>
      </c>
      <c r="AH91" s="6">
        <f>[1]Results!AK1513</f>
        <v>58942.947330000003</v>
      </c>
      <c r="AI91" s="6">
        <f>[1]Results!AL1513</f>
        <v>60482.894719999997</v>
      </c>
      <c r="AJ91" s="6">
        <f>[1]Results!AM1513</f>
        <v>62047.371529999997</v>
      </c>
      <c r="AK91" s="6">
        <f>[1]Results!AN1513</f>
        <v>63629.193200000002</v>
      </c>
      <c r="AL91" s="6">
        <f>[1]Results!AO1513</f>
        <v>65220.055050000003</v>
      </c>
    </row>
    <row r="92" spans="1:38" x14ac:dyDescent="0.35">
      <c r="B92" t="s">
        <v>96</v>
      </c>
      <c r="C92" s="6">
        <f>[1]Results!F1526</f>
        <v>107850.85830000001</v>
      </c>
      <c r="D92" s="6">
        <f>[1]Results!G1526</f>
        <v>116088.5898</v>
      </c>
      <c r="E92" s="6">
        <f>[1]Results!H1526</f>
        <v>122792.4567</v>
      </c>
      <c r="F92" s="6">
        <f>[1]Results!I1526</f>
        <v>126134.6992</v>
      </c>
      <c r="G92" s="6">
        <f>[1]Results!J1526</f>
        <v>127956.72380000001</v>
      </c>
      <c r="H92" s="6">
        <f>[1]Results!K1526</f>
        <v>129313.1482</v>
      </c>
      <c r="I92" s="6">
        <f>[1]Results!L1526</f>
        <v>130631.0493</v>
      </c>
      <c r="J92" s="6">
        <f>[1]Results!M1526</f>
        <v>131838.23449999999</v>
      </c>
      <c r="K92" s="6">
        <f>[1]Results!N1526</f>
        <v>133428.2616</v>
      </c>
      <c r="L92" s="6">
        <f>[1]Results!O1526</f>
        <v>135722.6483</v>
      </c>
      <c r="M92" s="6">
        <f>[1]Results!P1526</f>
        <v>138469.6599</v>
      </c>
      <c r="N92" s="6">
        <f>[1]Results!Q1526</f>
        <v>141333.01790000001</v>
      </c>
      <c r="O92" s="6">
        <f>[1]Results!R1526</f>
        <v>143953.59469999999</v>
      </c>
      <c r="P92" s="6">
        <f>[1]Results!S1526</f>
        <v>146387.81229999999</v>
      </c>
      <c r="Q92" s="6">
        <f>[1]Results!T1526</f>
        <v>148784.47080000001</v>
      </c>
      <c r="R92" s="6">
        <f>[1]Results!U1526</f>
        <v>151246.43890000001</v>
      </c>
      <c r="S92" s="6">
        <f>[1]Results!V1526</f>
        <v>153855.09330000001</v>
      </c>
      <c r="T92" s="6">
        <f>[1]Results!W1526</f>
        <v>156670.72700000001</v>
      </c>
      <c r="U92" s="6">
        <f>[1]Results!X1526</f>
        <v>159645.6342</v>
      </c>
      <c r="V92" s="6">
        <f>[1]Results!Y1526</f>
        <v>162744.277</v>
      </c>
      <c r="W92" s="6">
        <f>[1]Results!Z1526</f>
        <v>165962.0405</v>
      </c>
      <c r="X92" s="6">
        <f>[1]Results!AA1526</f>
        <v>169310.15909999999</v>
      </c>
      <c r="Y92" s="6">
        <f>[1]Results!AB1526</f>
        <v>172802.35490000001</v>
      </c>
      <c r="Z92" s="6">
        <f>[1]Results!AC1526</f>
        <v>176451.57870000001</v>
      </c>
      <c r="AA92" s="6">
        <f>[1]Results!AD1526</f>
        <v>180262.8811</v>
      </c>
      <c r="AB92" s="6">
        <f>[1]Results!AE1526</f>
        <v>184251.7518</v>
      </c>
      <c r="AC92" s="6">
        <f>[1]Results!AF1526</f>
        <v>188429.68830000001</v>
      </c>
      <c r="AD92" s="6">
        <f>[1]Results!AG1526</f>
        <v>192801.29579999999</v>
      </c>
      <c r="AE92" s="6">
        <f>[1]Results!AH1526</f>
        <v>197398.7194</v>
      </c>
      <c r="AF92" s="6">
        <f>[1]Results!AI1526</f>
        <v>202242.9123</v>
      </c>
      <c r="AG92" s="6">
        <f>[1]Results!AJ1526</f>
        <v>207343.34580000001</v>
      </c>
      <c r="AH92" s="6">
        <f>[1]Results!AK1526</f>
        <v>212694.63130000001</v>
      </c>
      <c r="AI92" s="6">
        <f>[1]Results!AL1526</f>
        <v>218277.44620000001</v>
      </c>
      <c r="AJ92" s="6">
        <f>[1]Results!AM1526</f>
        <v>224077.9711</v>
      </c>
      <c r="AK92" s="6">
        <f>[1]Results!AN1526</f>
        <v>230084.7323</v>
      </c>
      <c r="AL92" s="6">
        <f>[1]Results!AO1526</f>
        <v>236287.7151</v>
      </c>
    </row>
    <row r="93" spans="1:38" x14ac:dyDescent="0.35">
      <c r="B93" t="s">
        <v>11</v>
      </c>
      <c r="C93" s="6">
        <f>[1]Results!F1541</f>
        <v>13742.65776</v>
      </c>
      <c r="D93" s="6">
        <f>[1]Results!G1541</f>
        <v>13890.837820000001</v>
      </c>
      <c r="E93" s="6">
        <f>[1]Results!H1541</f>
        <v>14021.32965</v>
      </c>
      <c r="F93" s="6">
        <f>[1]Results!I1541</f>
        <v>14180.302240000001</v>
      </c>
      <c r="G93" s="6">
        <f>[1]Results!J1541</f>
        <v>14332.558360000001</v>
      </c>
      <c r="H93" s="6">
        <f>[1]Results!K1541</f>
        <v>14504.84555</v>
      </c>
      <c r="I93" s="6">
        <f>[1]Results!L1541</f>
        <v>14703.380359999999</v>
      </c>
      <c r="J93" s="6">
        <f>[1]Results!M1541</f>
        <v>14901.31675</v>
      </c>
      <c r="K93" s="6">
        <f>[1]Results!N1541</f>
        <v>15077.37859</v>
      </c>
      <c r="L93" s="6">
        <f>[1]Results!O1541</f>
        <v>15370.003140000001</v>
      </c>
      <c r="M93" s="6">
        <f>[1]Results!P1541</f>
        <v>15688.10094</v>
      </c>
      <c r="N93" s="6">
        <f>[1]Results!Q1541</f>
        <v>15991.4534</v>
      </c>
      <c r="O93" s="6">
        <f>[1]Results!R1541</f>
        <v>16284.19017</v>
      </c>
      <c r="P93" s="6">
        <f>[1]Results!S1541</f>
        <v>16553.16129</v>
      </c>
      <c r="Q93" s="6">
        <f>[1]Results!T1541</f>
        <v>16810.893189999999</v>
      </c>
      <c r="R93" s="6">
        <f>[1]Results!U1541</f>
        <v>17057.646700000001</v>
      </c>
      <c r="S93" s="6">
        <f>[1]Results!V1541</f>
        <v>17263.61476</v>
      </c>
      <c r="T93" s="6">
        <f>[1]Results!W1541</f>
        <v>17467.130669999999</v>
      </c>
      <c r="U93" s="6">
        <f>[1]Results!X1541</f>
        <v>17659.86679</v>
      </c>
      <c r="V93" s="6">
        <f>[1]Results!Y1541</f>
        <v>17840.788670000002</v>
      </c>
      <c r="W93" s="6">
        <f>[1]Results!Z1541</f>
        <v>18011.533869999999</v>
      </c>
      <c r="X93" s="6">
        <f>[1]Results!AA1541</f>
        <v>18174.66129</v>
      </c>
      <c r="Y93" s="6">
        <f>[1]Results!AB1541</f>
        <v>18333.396049999999</v>
      </c>
      <c r="Z93" s="6">
        <f>[1]Results!AC1541</f>
        <v>18487.780989999999</v>
      </c>
      <c r="AA93" s="6">
        <f>[1]Results!AD1541</f>
        <v>18636.509139999998</v>
      </c>
      <c r="AB93" s="6">
        <f>[1]Results!AE1541</f>
        <v>18779.113399999998</v>
      </c>
      <c r="AC93" s="6">
        <f>[1]Results!AF1541</f>
        <v>18930.81063</v>
      </c>
      <c r="AD93" s="6">
        <f>[1]Results!AG1541</f>
        <v>19083.70968</v>
      </c>
      <c r="AE93" s="6">
        <f>[1]Results!AH1541</f>
        <v>19236.908070000001</v>
      </c>
      <c r="AF93" s="6">
        <f>[1]Results!AI1541</f>
        <v>19383.66833</v>
      </c>
      <c r="AG93" s="6">
        <f>[1]Results!AJ1541</f>
        <v>19517.36032</v>
      </c>
      <c r="AH93" s="6">
        <f>[1]Results!AK1541</f>
        <v>19635.541669999999</v>
      </c>
      <c r="AI93" s="6">
        <f>[1]Results!AL1541</f>
        <v>19737.453880000001</v>
      </c>
      <c r="AJ93" s="6">
        <f>[1]Results!AM1541</f>
        <v>19819.82343</v>
      </c>
      <c r="AK93" s="6">
        <f>[1]Results!AN1541</f>
        <v>19879.405839999999</v>
      </c>
      <c r="AL93" s="6">
        <f>[1]Results!AO1541</f>
        <v>19913.69167</v>
      </c>
    </row>
    <row r="94" spans="1:38" x14ac:dyDescent="0.35">
      <c r="B94" t="s">
        <v>8</v>
      </c>
      <c r="C94" s="6">
        <f>[1]Results!F1516-[1]Results!F1526</f>
        <v>227141.67369999998</v>
      </c>
      <c r="D94" s="6">
        <f>[1]Results!G1516-[1]Results!G1526</f>
        <v>228373.41749999998</v>
      </c>
      <c r="E94" s="6">
        <f>[1]Results!H1516-[1]Results!H1526</f>
        <v>230925.54730000003</v>
      </c>
      <c r="F94" s="6">
        <f>[1]Results!I1516-[1]Results!I1526</f>
        <v>233931.27550000002</v>
      </c>
      <c r="G94" s="6">
        <f>[1]Results!J1516-[1]Results!J1526</f>
        <v>237134.8254</v>
      </c>
      <c r="H94" s="6">
        <f>[1]Results!K1516-[1]Results!K1526</f>
        <v>240561.1066</v>
      </c>
      <c r="I94" s="6">
        <f>[1]Results!L1516-[1]Results!L1526</f>
        <v>244188.50890000002</v>
      </c>
      <c r="J94" s="6">
        <f>[1]Results!M1516-[1]Results!M1526</f>
        <v>246521.00700000001</v>
      </c>
      <c r="K94" s="6">
        <f>[1]Results!N1516-[1]Results!N1526</f>
        <v>249575.42659999998</v>
      </c>
      <c r="L94" s="6">
        <f>[1]Results!O1516-[1]Results!O1526</f>
        <v>255089.38819999999</v>
      </c>
      <c r="M94" s="6">
        <f>[1]Results!P1516-[1]Results!P1526</f>
        <v>260459.12490000002</v>
      </c>
      <c r="N94" s="6">
        <f>[1]Results!Q1516-[1]Results!Q1526</f>
        <v>265696.96360000002</v>
      </c>
      <c r="O94" s="6">
        <f>[1]Results!R1516-[1]Results!R1526</f>
        <v>270524.57860000001</v>
      </c>
      <c r="P94" s="6">
        <f>[1]Results!S1516-[1]Results!S1526</f>
        <v>274740.56109999999</v>
      </c>
      <c r="Q94" s="6">
        <f>[1]Results!T1516-[1]Results!T1526</f>
        <v>278836.97849999997</v>
      </c>
      <c r="R94" s="6">
        <f>[1]Results!U1516-[1]Results!U1526</f>
        <v>282979.03729999997</v>
      </c>
      <c r="S94" s="6">
        <f>[1]Results!V1516-[1]Results!V1526</f>
        <v>287214.07429999998</v>
      </c>
      <c r="T94" s="6">
        <f>[1]Results!W1516-[1]Results!W1526</f>
        <v>291740.79479999997</v>
      </c>
      <c r="U94" s="6">
        <f>[1]Results!X1516-[1]Results!X1526</f>
        <v>296630.60329999996</v>
      </c>
      <c r="V94" s="6">
        <f>[1]Results!Y1516-[1]Results!Y1526</f>
        <v>301910.0036</v>
      </c>
      <c r="W94" s="6">
        <f>[1]Results!Z1516-[1]Results!Z1526</f>
        <v>307629.087</v>
      </c>
      <c r="X94" s="6">
        <f>[1]Results!AA1516-[1]Results!AA1526</f>
        <v>313832.25530000002</v>
      </c>
      <c r="Y94" s="6">
        <f>[1]Results!AB1516-[1]Results!AB1526</f>
        <v>320598.47549999994</v>
      </c>
      <c r="Z94" s="6">
        <f>[1]Results!AC1516-[1]Results!AC1526</f>
        <v>327942.92089999997</v>
      </c>
      <c r="AA94" s="6">
        <f>[1]Results!AD1516-[1]Results!AD1526</f>
        <v>335833.66710000002</v>
      </c>
      <c r="AB94" s="6">
        <f>[1]Results!AE1516-[1]Results!AE1526</f>
        <v>344272.94830000005</v>
      </c>
      <c r="AC94" s="6">
        <f>[1]Results!AF1516-[1]Results!AF1526</f>
        <v>353293.946</v>
      </c>
      <c r="AD94" s="6">
        <f>[1]Results!AG1516-[1]Results!AG1526</f>
        <v>363035.48869999999</v>
      </c>
      <c r="AE94" s="6">
        <f>[1]Results!AH1516-[1]Results!AH1526</f>
        <v>373476.46130000002</v>
      </c>
      <c r="AF94" s="6">
        <f>[1]Results!AI1516-[1]Results!AI1526</f>
        <v>384465.2193</v>
      </c>
      <c r="AG94" s="6">
        <f>[1]Results!AJ1516-[1]Results!AJ1526</f>
        <v>395836.01190000004</v>
      </c>
      <c r="AH94" s="6">
        <f>[1]Results!AK1516-[1]Results!AK1526</f>
        <v>407503.36089999997</v>
      </c>
      <c r="AI94" s="6">
        <f>[1]Results!AL1516-[1]Results!AL1526</f>
        <v>419428.91680000001</v>
      </c>
      <c r="AJ94" s="6">
        <f>[1]Results!AM1516-[1]Results!AM1526</f>
        <v>431554.22690000001</v>
      </c>
      <c r="AK94" s="6">
        <f>[1]Results!AN1516-[1]Results!AN1526</f>
        <v>443821.66149999993</v>
      </c>
      <c r="AL94" s="6">
        <f>[1]Results!AO1516-[1]Results!AO1526</f>
        <v>456178.84849999996</v>
      </c>
    </row>
    <row r="95" spans="1:38" x14ac:dyDescent="0.35">
      <c r="B95" t="s">
        <v>24</v>
      </c>
      <c r="C95" s="6">
        <f>[1]Results!F1536</f>
        <v>3868.321856</v>
      </c>
      <c r="D95" s="6">
        <f>[1]Results!G1536</f>
        <v>4088.261211</v>
      </c>
      <c r="E95" s="6">
        <f>[1]Results!H1536</f>
        <v>4162.1291039999996</v>
      </c>
      <c r="F95" s="6">
        <f>[1]Results!I1536</f>
        <v>4223.0961459999999</v>
      </c>
      <c r="G95" s="6">
        <f>[1]Results!J1536</f>
        <v>4300.5660870000002</v>
      </c>
      <c r="H95" s="6">
        <f>[1]Results!K1536</f>
        <v>4379.09429</v>
      </c>
      <c r="I95" s="6">
        <f>[1]Results!L1536</f>
        <v>4455.8134019999998</v>
      </c>
      <c r="J95" s="6">
        <f>[1]Results!M1536</f>
        <v>4229.7329470000004</v>
      </c>
      <c r="K95" s="6">
        <f>[1]Results!N1536</f>
        <v>4084.3868419999999</v>
      </c>
      <c r="L95" s="6">
        <f>[1]Results!O1536</f>
        <v>3962.3966759999998</v>
      </c>
      <c r="M95" s="6">
        <f>[1]Results!P1536</f>
        <v>3830.7546699999998</v>
      </c>
      <c r="N95" s="6">
        <f>[1]Results!Q1536</f>
        <v>3722.3277889999999</v>
      </c>
      <c r="O95" s="6">
        <f>[1]Results!R1536</f>
        <v>3628.4298570000001</v>
      </c>
      <c r="P95" s="6">
        <f>[1]Results!S1536</f>
        <v>3546.6749119999999</v>
      </c>
      <c r="Q95" s="6">
        <f>[1]Results!T1536</f>
        <v>3481.6263220000001</v>
      </c>
      <c r="R95" s="6">
        <f>[1]Results!U1536</f>
        <v>3431.5907240000001</v>
      </c>
      <c r="S95" s="6">
        <f>[1]Results!V1536</f>
        <v>3395.8682880000001</v>
      </c>
      <c r="T95" s="6">
        <f>[1]Results!W1536</f>
        <v>3353.475418</v>
      </c>
      <c r="U95" s="6">
        <f>[1]Results!X1536</f>
        <v>3321.5533489999998</v>
      </c>
      <c r="V95" s="6">
        <f>[1]Results!Y1536</f>
        <v>3302.2393299999999</v>
      </c>
      <c r="W95" s="6">
        <f>[1]Results!Z1536</f>
        <v>3296.5089619999999</v>
      </c>
      <c r="X95" s="6">
        <f>[1]Results!AA1536</f>
        <v>3305.451865</v>
      </c>
      <c r="Y95" s="6">
        <f>[1]Results!AB1536</f>
        <v>3330.5942409999998</v>
      </c>
      <c r="Z95" s="6">
        <f>[1]Results!AC1536</f>
        <v>3372.707508</v>
      </c>
      <c r="AA95" s="6">
        <f>[1]Results!AD1536</f>
        <v>3433.199415</v>
      </c>
      <c r="AB95" s="6">
        <f>[1]Results!AE1536</f>
        <v>3514.572083</v>
      </c>
      <c r="AC95" s="6">
        <f>[1]Results!AF1536</f>
        <v>3623.0650249999999</v>
      </c>
      <c r="AD95" s="6">
        <f>[1]Results!AG1536</f>
        <v>3760.3912220000002</v>
      </c>
      <c r="AE95" s="6">
        <f>[1]Results!AH1536</f>
        <v>3933.2448789999999</v>
      </c>
      <c r="AF95" s="6">
        <f>[1]Results!AI1536</f>
        <v>4148.8241509999998</v>
      </c>
      <c r="AG95" s="6">
        <f>[1]Results!AJ1536</f>
        <v>4418.8216910000001</v>
      </c>
      <c r="AH95" s="6">
        <f>[1]Results!AK1536</f>
        <v>4762.83043</v>
      </c>
      <c r="AI95" s="6">
        <f>[1]Results!AL1536</f>
        <v>5212.604182</v>
      </c>
      <c r="AJ95" s="6">
        <f>[1]Results!AM1536</f>
        <v>5821.842654</v>
      </c>
      <c r="AK95" s="6">
        <f>[1]Results!AN1536</f>
        <v>6691.427576</v>
      </c>
      <c r="AL95" s="6">
        <f>[1]Results!AO1536</f>
        <v>8035.8585080000003</v>
      </c>
    </row>
    <row r="96" spans="1:38" x14ac:dyDescent="0.35">
      <c r="B96" t="s">
        <v>10</v>
      </c>
      <c r="C96" s="6">
        <f>[1]Results!F1533</f>
        <v>1518391.3119999999</v>
      </c>
      <c r="D96" s="6">
        <f>[1]Results!G1533</f>
        <v>1529647.051</v>
      </c>
      <c r="E96" s="6">
        <f>[1]Results!H1533</f>
        <v>1547478.9920000001</v>
      </c>
      <c r="F96" s="6">
        <f>[1]Results!I1533</f>
        <v>1570604.1710000001</v>
      </c>
      <c r="G96" s="6">
        <f>[1]Results!J1533</f>
        <v>1595665.888</v>
      </c>
      <c r="H96" s="6">
        <f>[1]Results!K1533</f>
        <v>1621904.7390000001</v>
      </c>
      <c r="I96" s="6">
        <f>[1]Results!L1533</f>
        <v>1648886.024</v>
      </c>
      <c r="J96" s="6">
        <f>[1]Results!M1533</f>
        <v>1673304.0020000001</v>
      </c>
      <c r="K96" s="6">
        <f>[1]Results!N1533</f>
        <v>1697838.145</v>
      </c>
      <c r="L96" s="6">
        <f>[1]Results!O1533</f>
        <v>1728201.5490000001</v>
      </c>
      <c r="M96" s="6">
        <f>[1]Results!P1533</f>
        <v>1759950.172</v>
      </c>
      <c r="N96" s="6">
        <f>[1]Results!Q1533</f>
        <v>1792376.443</v>
      </c>
      <c r="O96" s="6">
        <f>[1]Results!R1533</f>
        <v>1825449.9669999999</v>
      </c>
      <c r="P96" s="6">
        <f>[1]Results!S1533</f>
        <v>1858257.1040000001</v>
      </c>
      <c r="Q96" s="6">
        <f>[1]Results!T1533</f>
        <v>1891344.335</v>
      </c>
      <c r="R96" s="6">
        <f>[1]Results!U1533</f>
        <v>1924951.6569999999</v>
      </c>
      <c r="S96" s="6">
        <f>[1]Results!V1533</f>
        <v>1959184.7120000001</v>
      </c>
      <c r="T96" s="6">
        <f>[1]Results!W1533</f>
        <v>1994323.7520000001</v>
      </c>
      <c r="U96" s="6">
        <f>[1]Results!X1533</f>
        <v>2030626.737</v>
      </c>
      <c r="V96" s="6">
        <f>[1]Results!Y1533</f>
        <v>2068295.5360000001</v>
      </c>
      <c r="W96" s="6">
        <f>[1]Results!Z1533</f>
        <v>2107551.6090000002</v>
      </c>
      <c r="X96" s="6">
        <f>[1]Results!AA1533</f>
        <v>2148556.59</v>
      </c>
      <c r="Y96" s="6">
        <f>[1]Results!AB1533</f>
        <v>2191559.37</v>
      </c>
      <c r="Z96" s="6">
        <f>[1]Results!AC1533</f>
        <v>2236737.7429999998</v>
      </c>
      <c r="AA96" s="6">
        <f>[1]Results!AD1533</f>
        <v>2284118.952</v>
      </c>
      <c r="AB96" s="6">
        <f>[1]Results!AE1533</f>
        <v>2333754.517</v>
      </c>
      <c r="AC96" s="6">
        <f>[1]Results!AF1533</f>
        <v>2385730.7280000001</v>
      </c>
      <c r="AD96" s="6">
        <f>[1]Results!AG1533</f>
        <v>2440194.3169999998</v>
      </c>
      <c r="AE96" s="6">
        <f>[1]Results!AH1533</f>
        <v>2497279.2489999998</v>
      </c>
      <c r="AF96" s="6">
        <f>[1]Results!AI1533</f>
        <v>2556817.11</v>
      </c>
      <c r="AG96" s="6">
        <f>[1]Results!AJ1533</f>
        <v>2618471.327</v>
      </c>
      <c r="AH96" s="6">
        <f>[1]Results!AK1533</f>
        <v>2681924.4479999999</v>
      </c>
      <c r="AI96" s="6">
        <f>[1]Results!AL1533</f>
        <v>2746933.6009999998</v>
      </c>
      <c r="AJ96" s="6">
        <f>[1]Results!AM1533</f>
        <v>2813309.7039999999</v>
      </c>
      <c r="AK96" s="6">
        <f>[1]Results!AN1533</f>
        <v>2880875.8659999999</v>
      </c>
      <c r="AL96" s="6">
        <f>[1]Results!AO1533</f>
        <v>2949440.2179999999</v>
      </c>
    </row>
    <row r="97" spans="1:38" x14ac:dyDescent="0.35">
      <c r="B97" t="s">
        <v>9</v>
      </c>
      <c r="C97" s="6">
        <f>[1]Results!F1528</f>
        <v>51991.341939999998</v>
      </c>
      <c r="D97" s="6">
        <f>[1]Results!G1528</f>
        <v>52040.826130000001</v>
      </c>
      <c r="E97" s="6">
        <f>[1]Results!H1528</f>
        <v>52312.503389999998</v>
      </c>
      <c r="F97" s="6">
        <f>[1]Results!I1528</f>
        <v>52739.147140000001</v>
      </c>
      <c r="G97" s="6">
        <f>[1]Results!J1528</f>
        <v>53264.176639999998</v>
      </c>
      <c r="H97" s="6">
        <f>[1]Results!K1528</f>
        <v>53870.160669999997</v>
      </c>
      <c r="I97" s="6">
        <f>[1]Results!L1528</f>
        <v>54537.19425</v>
      </c>
      <c r="J97" s="6">
        <f>[1]Results!M1528</f>
        <v>55015.482969999997</v>
      </c>
      <c r="K97" s="6">
        <f>[1]Results!N1528</f>
        <v>55566.199220000002</v>
      </c>
      <c r="L97" s="6">
        <f>[1]Results!O1528</f>
        <v>56475.07645</v>
      </c>
      <c r="M97" s="6">
        <f>[1]Results!P1528</f>
        <v>57400.910159999999</v>
      </c>
      <c r="N97" s="6">
        <f>[1]Results!Q1528</f>
        <v>58349.207520000004</v>
      </c>
      <c r="O97" s="6">
        <f>[1]Results!R1528</f>
        <v>59276.224069999997</v>
      </c>
      <c r="P97" s="6">
        <f>[1]Results!S1528</f>
        <v>60140.686990000002</v>
      </c>
      <c r="Q97" s="6">
        <f>[1]Results!T1528</f>
        <v>60999.318429999999</v>
      </c>
      <c r="R97" s="6">
        <f>[1]Results!U1528</f>
        <v>61869.304759999999</v>
      </c>
      <c r="S97" s="6">
        <f>[1]Results!V1528</f>
        <v>62764.584730000002</v>
      </c>
      <c r="T97" s="6">
        <f>[1]Results!W1528</f>
        <v>63702.397400000002</v>
      </c>
      <c r="U97" s="6">
        <f>[1]Results!X1528</f>
        <v>64698.908080000001</v>
      </c>
      <c r="V97" s="6">
        <f>[1]Results!Y1528</f>
        <v>65762.470029999997</v>
      </c>
      <c r="W97" s="6">
        <f>[1]Results!Z1528</f>
        <v>66904.204790000003</v>
      </c>
      <c r="X97" s="6">
        <f>[1]Results!AA1528</f>
        <v>68134.929000000004</v>
      </c>
      <c r="Y97" s="6">
        <f>[1]Results!AB1528</f>
        <v>69469.622829999993</v>
      </c>
      <c r="Z97" s="6">
        <f>[1]Results!AC1528</f>
        <v>70911.929170000003</v>
      </c>
      <c r="AA97" s="6">
        <f>[1]Results!AD1528</f>
        <v>72458.025129999995</v>
      </c>
      <c r="AB97" s="6">
        <f>[1]Results!AE1528</f>
        <v>74108.729699999996</v>
      </c>
      <c r="AC97" s="6">
        <f>[1]Results!AF1528</f>
        <v>75879.946509999994</v>
      </c>
      <c r="AD97" s="6">
        <f>[1]Results!AG1528</f>
        <v>77794.109859999997</v>
      </c>
      <c r="AE97" s="6">
        <f>[1]Results!AH1528</f>
        <v>79849.866259999995</v>
      </c>
      <c r="AF97" s="6">
        <f>[1]Results!AI1528</f>
        <v>82026.484360000002</v>
      </c>
      <c r="AG97" s="6">
        <f>[1]Results!AJ1528</f>
        <v>84299.691959999996</v>
      </c>
      <c r="AH97" s="6">
        <f>[1]Results!AK1528</f>
        <v>86658.619160000002</v>
      </c>
      <c r="AI97" s="6">
        <f>[1]Results!AL1528</f>
        <v>89099.855890000006</v>
      </c>
      <c r="AJ97" s="6">
        <f>[1]Results!AM1528</f>
        <v>91613.807270000005</v>
      </c>
      <c r="AK97" s="6">
        <f>[1]Results!AN1528</f>
        <v>94190.391099999993</v>
      </c>
      <c r="AL97" s="6">
        <f>[1]Results!AO1528</f>
        <v>96818.475250000003</v>
      </c>
    </row>
    <row r="99" spans="1:38" x14ac:dyDescent="0.35">
      <c r="A99" s="12" t="s">
        <v>53</v>
      </c>
      <c r="B99" t="s">
        <v>13</v>
      </c>
      <c r="C99" s="7" t="s">
        <v>14</v>
      </c>
      <c r="D99" s="7" t="s">
        <v>15</v>
      </c>
      <c r="E99" s="7" t="s">
        <v>16</v>
      </c>
    </row>
    <row r="100" spans="1:38" x14ac:dyDescent="0.35">
      <c r="A100" t="s">
        <v>54</v>
      </c>
      <c r="B100" t="s">
        <v>22</v>
      </c>
      <c r="C100" s="4">
        <f>(R90-R81)/R81</f>
        <v>8.192050096000365E-3</v>
      </c>
      <c r="D100" s="10">
        <f>(AB90-AB81)/AB81</f>
        <v>7.6829706595320062E-3</v>
      </c>
      <c r="E100" s="10">
        <f>(AL90-AL81)/AL81</f>
        <v>6.2801088559510275E-3</v>
      </c>
    </row>
    <row r="101" spans="1:38" x14ac:dyDescent="0.35">
      <c r="B101" t="s">
        <v>7</v>
      </c>
      <c r="C101" s="4">
        <f t="shared" ref="C101:C107" si="6">(R91-R82)/R82</f>
        <v>1.3470806992708383E-3</v>
      </c>
      <c r="D101" s="4">
        <f t="shared" ref="D101:D107" si="7">(AB91-AB82)/AB82</f>
        <v>-8.326372540678386E-4</v>
      </c>
      <c r="E101" s="4">
        <f t="shared" ref="E101:E107" si="8">(AL91-AL82)/AL82</f>
        <v>-8.950751139091424E-3</v>
      </c>
      <c r="Q101" s="5"/>
      <c r="U101" s="5"/>
      <c r="V101" s="5"/>
      <c r="Y101" s="5"/>
      <c r="Z101" s="5"/>
      <c r="AA101" s="5"/>
    </row>
    <row r="102" spans="1:38" x14ac:dyDescent="0.35">
      <c r="B102" t="s">
        <v>96</v>
      </c>
      <c r="C102" s="4">
        <f t="shared" si="6"/>
        <v>2.217481963273624E-2</v>
      </c>
      <c r="D102" s="4">
        <f t="shared" si="7"/>
        <v>2.7155231987557343E-2</v>
      </c>
      <c r="E102" s="4">
        <f t="shared" si="8"/>
        <v>3.0547668664704652E-2</v>
      </c>
      <c r="Q102" s="5"/>
      <c r="U102" s="5"/>
      <c r="V102" s="5"/>
      <c r="Y102" s="5"/>
      <c r="Z102" s="5"/>
      <c r="AA102" s="5"/>
    </row>
    <row r="103" spans="1:38" x14ac:dyDescent="0.35">
      <c r="B103" t="s">
        <v>11</v>
      </c>
      <c r="C103" s="4">
        <f t="shared" si="6"/>
        <v>-6.2103386411346155E-2</v>
      </c>
      <c r="D103" s="4">
        <f t="shared" si="7"/>
        <v>-0.193226917995799</v>
      </c>
      <c r="E103" s="4">
        <f t="shared" si="8"/>
        <v>-0.32306045717404136</v>
      </c>
      <c r="Q103" s="5"/>
      <c r="U103" s="5"/>
      <c r="V103" s="5"/>
      <c r="Y103" s="5"/>
      <c r="Z103" s="5"/>
      <c r="AA103" s="5"/>
    </row>
    <row r="104" spans="1:38" x14ac:dyDescent="0.35">
      <c r="B104" t="s">
        <v>8</v>
      </c>
      <c r="C104" s="4">
        <f t="shared" si="6"/>
        <v>9.6373225151010194E-3</v>
      </c>
      <c r="D104" s="4">
        <f t="shared" si="7"/>
        <v>2.3863094380893479E-3</v>
      </c>
      <c r="E104" s="4">
        <f t="shared" si="8"/>
        <v>-3.0412641967315461E-3</v>
      </c>
      <c r="Q104" s="5"/>
      <c r="U104" s="5"/>
      <c r="V104" s="5"/>
      <c r="Y104" s="5"/>
      <c r="Z104" s="5"/>
      <c r="AA104" s="5"/>
    </row>
    <row r="105" spans="1:38" x14ac:dyDescent="0.35">
      <c r="B105" t="s">
        <v>24</v>
      </c>
      <c r="C105" s="4">
        <f t="shared" si="6"/>
        <v>-0.27091237333776719</v>
      </c>
      <c r="D105" s="4">
        <f t="shared" si="7"/>
        <v>-0.3205244971955889</v>
      </c>
      <c r="E105" s="4">
        <f t="shared" si="8"/>
        <v>0.32233594955920281</v>
      </c>
      <c r="Q105" s="5"/>
      <c r="U105" s="5"/>
      <c r="V105" s="5"/>
      <c r="Y105" s="5"/>
      <c r="Z105" s="5"/>
      <c r="AA105" s="5"/>
    </row>
    <row r="106" spans="1:38" x14ac:dyDescent="0.35">
      <c r="B106" t="s">
        <v>10</v>
      </c>
      <c r="C106" s="4">
        <f t="shared" si="6"/>
        <v>8.3803086525131819E-3</v>
      </c>
      <c r="D106" s="4">
        <f t="shared" si="7"/>
        <v>9.8424526581960946E-3</v>
      </c>
      <c r="E106" s="4">
        <f t="shared" si="8"/>
        <v>8.1688365634315242E-3</v>
      </c>
      <c r="Q106" s="5"/>
      <c r="U106" s="5"/>
      <c r="V106" s="5"/>
      <c r="Y106" s="5"/>
      <c r="Z106" s="5"/>
      <c r="AA106" s="5"/>
    </row>
    <row r="107" spans="1:38" x14ac:dyDescent="0.35">
      <c r="B107" t="s">
        <v>9</v>
      </c>
      <c r="C107" s="4">
        <f t="shared" si="6"/>
        <v>8.8952187841669899E-3</v>
      </c>
      <c r="D107" s="4">
        <f t="shared" si="7"/>
        <v>9.6161303024525236E-3</v>
      </c>
      <c r="E107" s="4">
        <f t="shared" si="8"/>
        <v>2.691439614352667E-2</v>
      </c>
      <c r="Q107" s="5"/>
      <c r="U107" s="5"/>
      <c r="V107" s="5"/>
      <c r="Y107" s="5"/>
      <c r="Z107" s="5"/>
      <c r="AA107" s="5"/>
    </row>
    <row r="108" spans="1:38" x14ac:dyDescent="0.35">
      <c r="Q108" s="5"/>
      <c r="U108" s="5"/>
      <c r="V108" s="5"/>
      <c r="Y108" s="5"/>
      <c r="Z108" s="5"/>
      <c r="AA108" s="5"/>
    </row>
    <row r="109" spans="1:38" x14ac:dyDescent="0.35">
      <c r="A109" s="12" t="s">
        <v>53</v>
      </c>
      <c r="B109" t="s">
        <v>13</v>
      </c>
      <c r="C109" s="7" t="s">
        <v>14</v>
      </c>
      <c r="D109" s="7" t="s">
        <v>15</v>
      </c>
      <c r="E109" s="7" t="s">
        <v>16</v>
      </c>
      <c r="Q109" s="5"/>
      <c r="U109" s="5"/>
      <c r="V109" s="5"/>
      <c r="Y109" s="5"/>
      <c r="Z109" s="5"/>
      <c r="AA109" s="5"/>
    </row>
    <row r="110" spans="1:38" x14ac:dyDescent="0.35">
      <c r="A110" t="s">
        <v>97</v>
      </c>
      <c r="B110" t="s">
        <v>22</v>
      </c>
      <c r="C110" s="4">
        <f>C100</f>
        <v>8.192050096000365E-3</v>
      </c>
      <c r="D110" s="10">
        <f t="shared" ref="D110:E110" si="9">D100</f>
        <v>7.6829706595320062E-3</v>
      </c>
      <c r="E110" s="10">
        <f t="shared" si="9"/>
        <v>6.2801088559510275E-3</v>
      </c>
      <c r="G110" s="6">
        <f>R81</f>
        <v>2462965.1630000002</v>
      </c>
      <c r="H110" s="6">
        <f>AB81</f>
        <v>2986434.6770000001</v>
      </c>
      <c r="I110" s="6">
        <f>AL81</f>
        <v>3807980.3309999998</v>
      </c>
      <c r="Q110" s="5"/>
      <c r="U110" s="5"/>
      <c r="V110" s="5"/>
      <c r="Y110" s="5"/>
      <c r="Z110" s="5"/>
      <c r="AA110" s="5"/>
    </row>
    <row r="111" spans="1:38" x14ac:dyDescent="0.35">
      <c r="B111" t="s">
        <v>7</v>
      </c>
      <c r="C111" s="4">
        <f>C101*G111/G$110</f>
        <v>2.2725266617990991E-5</v>
      </c>
      <c r="D111" s="4">
        <f t="shared" ref="D111:E111" si="10">D101*H111/H$110</f>
        <v>-1.4146634555703557E-5</v>
      </c>
      <c r="E111" s="4">
        <f t="shared" si="10"/>
        <v>-1.5468589351807612E-4</v>
      </c>
      <c r="G111" s="6">
        <f>R82</f>
        <v>41550.25013</v>
      </c>
      <c r="H111" s="6">
        <f>AB82</f>
        <v>50739.982859999996</v>
      </c>
      <c r="I111" s="6">
        <f>AL82</f>
        <v>65809.095889999997</v>
      </c>
      <c r="Q111" s="5"/>
      <c r="U111" s="5"/>
      <c r="V111" s="5"/>
      <c r="Y111" s="5"/>
      <c r="Z111" s="5"/>
      <c r="AA111" s="5"/>
    </row>
    <row r="112" spans="1:38" x14ac:dyDescent="0.35">
      <c r="B112" t="s">
        <v>96</v>
      </c>
      <c r="C112" s="4">
        <f t="shared" ref="C112:E112" si="11">C102*G112/G$110</f>
        <v>1.3321766175545457E-3</v>
      </c>
      <c r="D112" s="4">
        <f t="shared" si="11"/>
        <v>1.6310829222265966E-3</v>
      </c>
      <c r="E112" s="4">
        <f t="shared" si="11"/>
        <v>1.8393163543890193E-3</v>
      </c>
      <c r="G112" s="6">
        <f t="shared" ref="G112:G117" si="12">R83</f>
        <v>147965.33429999999</v>
      </c>
      <c r="H112" s="6">
        <f t="shared" ref="H112:H117" si="13">AB83</f>
        <v>179380.6292</v>
      </c>
      <c r="I112" s="6">
        <f t="shared" ref="I112:I117" si="14">AL83</f>
        <v>229283.63459999999</v>
      </c>
      <c r="Q112" s="5"/>
      <c r="U112" s="5"/>
      <c r="V112" s="5"/>
      <c r="Y112" s="5"/>
      <c r="Z112" s="5"/>
      <c r="AA112" s="5"/>
    </row>
    <row r="113" spans="1:38" x14ac:dyDescent="0.35">
      <c r="B113" t="s">
        <v>11</v>
      </c>
      <c r="C113" s="4">
        <f t="shared" ref="C113:E113" si="15">C103*G113/G$110</f>
        <v>-4.5858638886481061E-4</v>
      </c>
      <c r="D113" s="4">
        <f t="shared" si="15"/>
        <v>-1.5060461910113303E-3</v>
      </c>
      <c r="E113" s="4">
        <f t="shared" si="15"/>
        <v>-2.4956920844977971E-3</v>
      </c>
      <c r="G113" s="6">
        <f t="shared" si="12"/>
        <v>18187.129000000001</v>
      </c>
      <c r="H113" s="6">
        <f t="shared" si="13"/>
        <v>23276.821970000001</v>
      </c>
      <c r="I113" s="6">
        <f t="shared" si="14"/>
        <v>29417.23804</v>
      </c>
      <c r="Q113" s="5"/>
      <c r="U113" s="5"/>
      <c r="V113" s="5"/>
      <c r="Y113" s="5"/>
      <c r="Z113" s="5"/>
      <c r="AA113" s="5"/>
    </row>
    <row r="114" spans="1:38" x14ac:dyDescent="0.35">
      <c r="B114" t="s">
        <v>8</v>
      </c>
      <c r="C114" s="4">
        <f t="shared" ref="C114:E114" si="16">C104*G114/G$110</f>
        <v>1.0966978504518693E-3</v>
      </c>
      <c r="D114" s="4">
        <f t="shared" si="16"/>
        <v>2.7443627222522047E-4</v>
      </c>
      <c r="E114" s="4">
        <f t="shared" si="16"/>
        <v>-3.654411207619473E-4</v>
      </c>
      <c r="G114" s="6">
        <f t="shared" si="12"/>
        <v>280277.90870000003</v>
      </c>
      <c r="H114" s="6">
        <f t="shared" si="13"/>
        <v>343453.36230000004</v>
      </c>
      <c r="I114" s="6">
        <f t="shared" si="14"/>
        <v>457570.44110000005</v>
      </c>
      <c r="Q114" s="5"/>
      <c r="U114" s="5"/>
      <c r="V114" s="5"/>
      <c r="Y114" s="5"/>
      <c r="Z114" s="5"/>
      <c r="AA114" s="5"/>
    </row>
    <row r="115" spans="1:38" x14ac:dyDescent="0.35">
      <c r="B115" t="s">
        <v>24</v>
      </c>
      <c r="C115" s="4">
        <f t="shared" ref="C115:E115" si="17">C105*G115/G$110</f>
        <v>-5.1770973221840894E-4</v>
      </c>
      <c r="D115" s="4">
        <f t="shared" si="17"/>
        <v>-5.5514554521093255E-4</v>
      </c>
      <c r="E115" s="4">
        <f t="shared" si="17"/>
        <v>5.1440422159050288E-4</v>
      </c>
      <c r="G115" s="6">
        <f t="shared" si="12"/>
        <v>4706.6917590000003</v>
      </c>
      <c r="H115" s="6">
        <f t="shared" si="13"/>
        <v>5172.4779900000003</v>
      </c>
      <c r="I115" s="6">
        <f t="shared" si="14"/>
        <v>6077.0173500000001</v>
      </c>
      <c r="Q115" s="5"/>
      <c r="U115" s="5"/>
      <c r="V115" s="5"/>
      <c r="Y115" s="5"/>
      <c r="Z115" s="5"/>
      <c r="AA115" s="5"/>
    </row>
    <row r="116" spans="1:38" x14ac:dyDescent="0.35">
      <c r="B116" t="s">
        <v>10</v>
      </c>
      <c r="C116" s="4">
        <f t="shared" ref="C116:E116" si="18">C106*G116/G$110</f>
        <v>6.4952701078865539E-3</v>
      </c>
      <c r="D116" s="4">
        <f t="shared" si="18"/>
        <v>7.6164371433194702E-3</v>
      </c>
      <c r="E116" s="4">
        <f t="shared" si="18"/>
        <v>6.2758396637316418E-3</v>
      </c>
      <c r="G116" s="6">
        <f t="shared" si="12"/>
        <v>1908954.0330000001</v>
      </c>
      <c r="H116" s="6">
        <f t="shared" si="13"/>
        <v>2311008.5249999999</v>
      </c>
      <c r="I116" s="6">
        <f t="shared" si="14"/>
        <v>2925541.9440000001</v>
      </c>
      <c r="Q116" s="5"/>
      <c r="U116" s="5"/>
      <c r="V116" s="5"/>
      <c r="Y116" s="5"/>
      <c r="Z116" s="5"/>
      <c r="AA116" s="5"/>
    </row>
    <row r="117" spans="1:38" x14ac:dyDescent="0.35">
      <c r="B117" t="s">
        <v>9</v>
      </c>
      <c r="C117" s="4">
        <f t="shared" ref="C117:E117" si="19">C107*G117/G$110</f>
        <v>2.2147644156508118E-4</v>
      </c>
      <c r="D117" s="4">
        <f t="shared" si="19"/>
        <v>2.3635261317989093E-4</v>
      </c>
      <c r="E117" s="4">
        <f t="shared" si="19"/>
        <v>6.6636770398801931E-4</v>
      </c>
      <c r="G117" s="6">
        <f t="shared" si="12"/>
        <v>61323.815999999999</v>
      </c>
      <c r="H117" s="6">
        <f t="shared" si="13"/>
        <v>73402.878060000003</v>
      </c>
      <c r="I117" s="6">
        <f t="shared" si="14"/>
        <v>94280.960139999996</v>
      </c>
      <c r="Q117" s="5"/>
      <c r="U117" s="5"/>
      <c r="V117" s="5"/>
      <c r="Y117" s="5"/>
      <c r="Z117" s="5"/>
      <c r="AA117" s="5"/>
    </row>
    <row r="118" spans="1:38" x14ac:dyDescent="0.35">
      <c r="Q118" s="5"/>
      <c r="U118" s="5"/>
      <c r="V118" s="5"/>
      <c r="Y118" s="5"/>
      <c r="Z118" s="5"/>
      <c r="AA118" s="5"/>
    </row>
    <row r="119" spans="1:38" x14ac:dyDescent="0.35">
      <c r="A119" s="12" t="s">
        <v>53</v>
      </c>
      <c r="B119" t="s">
        <v>13</v>
      </c>
      <c r="C119" s="7" t="s">
        <v>14</v>
      </c>
      <c r="D119" s="7" t="s">
        <v>15</v>
      </c>
      <c r="E119" s="7" t="s">
        <v>16</v>
      </c>
    </row>
    <row r="120" spans="1:38" x14ac:dyDescent="0.35">
      <c r="A120" t="s">
        <v>55</v>
      </c>
      <c r="B120" t="s">
        <v>7</v>
      </c>
      <c r="C120" s="4">
        <f t="shared" ref="C120:C126" si="20">R91/R$90-R82/R$81</f>
        <v>-1.1453642295267477E-4</v>
      </c>
      <c r="D120" s="4">
        <f t="shared" ref="D120:D126" si="21">AB91/AB$90-AB82/AB$81</f>
        <v>-1.4357837510173277E-4</v>
      </c>
      <c r="E120" s="4">
        <f t="shared" ref="E120:E126" si="22">AL91/AL$90-AL82/AL$81</f>
        <v>-2.6157532030452596E-4</v>
      </c>
    </row>
    <row r="121" spans="1:38" x14ac:dyDescent="0.35">
      <c r="B121" t="s">
        <v>96</v>
      </c>
      <c r="C121" s="4">
        <f t="shared" si="20"/>
        <v>8.3320456694101902E-4</v>
      </c>
      <c r="D121" s="4">
        <f t="shared" si="21"/>
        <v>1.1606866609343638E-3</v>
      </c>
      <c r="E121" s="4">
        <f t="shared" si="22"/>
        <v>1.4520634088900294E-3</v>
      </c>
    </row>
    <row r="122" spans="1:38" x14ac:dyDescent="0.35">
      <c r="B122" t="s">
        <v>11</v>
      </c>
      <c r="C122" s="4">
        <f t="shared" si="20"/>
        <v>-5.148606986233855E-4</v>
      </c>
      <c r="D122" s="4">
        <f t="shared" si="21"/>
        <v>-1.5539894243724517E-3</v>
      </c>
      <c r="E122" s="4">
        <f t="shared" si="22"/>
        <v>-2.5283287188302365E-3</v>
      </c>
    </row>
    <row r="123" spans="1:38" x14ac:dyDescent="0.35">
      <c r="B123" t="s">
        <v>8</v>
      </c>
      <c r="C123" s="4">
        <f t="shared" si="20"/>
        <v>1.6313120551697535E-4</v>
      </c>
      <c r="D123" s="4">
        <f t="shared" si="21"/>
        <v>-6.0449544029472779E-4</v>
      </c>
      <c r="E123" s="4">
        <f t="shared" si="22"/>
        <v>-1.1130745839794398E-3</v>
      </c>
    </row>
    <row r="124" spans="1:38" x14ac:dyDescent="0.35">
      <c r="B124" t="s">
        <v>24</v>
      </c>
      <c r="C124" s="4">
        <f t="shared" si="20"/>
        <v>-5.2903077800880104E-4</v>
      </c>
      <c r="D124" s="4">
        <f t="shared" si="21"/>
        <v>-5.6411827709399094E-4</v>
      </c>
      <c r="E124" s="4">
        <f t="shared" si="22"/>
        <v>5.0123421875933956E-4</v>
      </c>
    </row>
    <row r="125" spans="1:38" x14ac:dyDescent="0.35">
      <c r="B125" t="s">
        <v>10</v>
      </c>
      <c r="C125" s="4">
        <f t="shared" si="20"/>
        <v>1.4472669932241722E-4</v>
      </c>
      <c r="D125" s="4">
        <f t="shared" si="21"/>
        <v>1.6583423689355836E-3</v>
      </c>
      <c r="E125" s="4">
        <f t="shared" si="22"/>
        <v>1.4419894929332822E-3</v>
      </c>
    </row>
    <row r="126" spans="1:38" x14ac:dyDescent="0.35">
      <c r="B126" t="s">
        <v>9</v>
      </c>
      <c r="C126" s="4">
        <f t="shared" si="20"/>
        <v>1.736549461880954E-5</v>
      </c>
      <c r="D126" s="4">
        <f t="shared" si="21"/>
        <v>4.7152407269032692E-5</v>
      </c>
      <c r="E126" s="4">
        <f t="shared" si="22"/>
        <v>5.0769149137402242E-4</v>
      </c>
    </row>
    <row r="128" spans="1:38" x14ac:dyDescent="0.35">
      <c r="A128" s="12" t="s">
        <v>56</v>
      </c>
      <c r="C128" s="2">
        <v>42005</v>
      </c>
      <c r="D128" s="2">
        <v>42370</v>
      </c>
      <c r="E128" s="2">
        <v>42736</v>
      </c>
      <c r="F128" s="2">
        <v>43101</v>
      </c>
      <c r="G128" s="2">
        <v>43466</v>
      </c>
      <c r="H128" s="2">
        <v>43831</v>
      </c>
      <c r="I128" s="2">
        <v>44197</v>
      </c>
      <c r="J128" s="2">
        <v>44562</v>
      </c>
      <c r="K128" s="2">
        <v>44927</v>
      </c>
      <c r="L128" s="2">
        <v>45292</v>
      </c>
      <c r="M128" s="2">
        <v>45658</v>
      </c>
      <c r="N128" s="2">
        <v>46023</v>
      </c>
      <c r="O128" s="2">
        <v>46388</v>
      </c>
      <c r="P128" s="2">
        <v>46753</v>
      </c>
      <c r="Q128" s="2">
        <v>47119</v>
      </c>
      <c r="R128" s="2">
        <v>47484</v>
      </c>
      <c r="S128" s="2">
        <v>47849</v>
      </c>
      <c r="T128" s="2">
        <v>48214</v>
      </c>
      <c r="U128" s="2">
        <v>48580</v>
      </c>
      <c r="V128" s="2">
        <v>48945</v>
      </c>
      <c r="W128" s="2">
        <v>49310</v>
      </c>
      <c r="X128" s="2">
        <v>49675</v>
      </c>
      <c r="Y128" s="2">
        <v>50041</v>
      </c>
      <c r="Z128" s="2">
        <v>50406</v>
      </c>
      <c r="AA128" s="2">
        <v>50771</v>
      </c>
      <c r="AB128" s="2">
        <v>51136</v>
      </c>
      <c r="AC128" s="2">
        <v>51502</v>
      </c>
      <c r="AD128" s="2">
        <v>51867</v>
      </c>
      <c r="AE128" s="2">
        <v>52232</v>
      </c>
      <c r="AF128" s="2">
        <v>52597</v>
      </c>
      <c r="AG128" s="2">
        <v>52963</v>
      </c>
      <c r="AH128" s="2">
        <v>53328</v>
      </c>
      <c r="AI128" s="2">
        <v>53693</v>
      </c>
      <c r="AJ128" s="2">
        <v>54058</v>
      </c>
      <c r="AK128" s="2">
        <v>54424</v>
      </c>
      <c r="AL128" s="2">
        <v>54789</v>
      </c>
    </row>
    <row r="129" spans="1:38" x14ac:dyDescent="0.35">
      <c r="A129" t="s">
        <v>26</v>
      </c>
      <c r="B129" t="s">
        <v>22</v>
      </c>
      <c r="C129" s="6">
        <f>[1]Production!B3</f>
        <v>3864116.4539999999</v>
      </c>
      <c r="D129" s="6">
        <f>[1]Production!C3</f>
        <v>3907998.9040000001</v>
      </c>
      <c r="E129" s="6">
        <f>[1]Production!D3</f>
        <v>3963820.784</v>
      </c>
      <c r="F129" s="6">
        <f>[1]Production!E3</f>
        <v>4023743.8319999999</v>
      </c>
      <c r="G129" s="6">
        <f>[1]Production!F3</f>
        <v>4084585.8840000001</v>
      </c>
      <c r="H129" s="6">
        <f>[1]Production!G3</f>
        <v>4147263.95</v>
      </c>
      <c r="I129" s="6">
        <f>[1]Production!H3</f>
        <v>4210398.9340000004</v>
      </c>
      <c r="J129" s="6">
        <f>[1]Production!I3</f>
        <v>4274245.2259999998</v>
      </c>
      <c r="K129" s="6">
        <f>[1]Production!J3</f>
        <v>4339561.3609999996</v>
      </c>
      <c r="L129" s="6">
        <f>[1]Production!K3</f>
        <v>4407079.3590000002</v>
      </c>
      <c r="M129" s="6">
        <f>[1]Production!L3</f>
        <v>4477327.2369999997</v>
      </c>
      <c r="N129" s="6">
        <f>[1]Production!M3</f>
        <v>4550560.8509999998</v>
      </c>
      <c r="O129" s="6">
        <f>[1]Production!N3</f>
        <v>4625438.3490000004</v>
      </c>
      <c r="P129" s="6">
        <f>[1]Production!O3</f>
        <v>4698643.5880000005</v>
      </c>
      <c r="Q129" s="6">
        <f>[1]Production!P3</f>
        <v>4771421.4340000004</v>
      </c>
      <c r="R129" s="6">
        <f>[1]Production!Q3</f>
        <v>4845145.5140000004</v>
      </c>
      <c r="S129" s="6">
        <f>[1]Production!R3</f>
        <v>4921999.0310000004</v>
      </c>
      <c r="T129" s="6">
        <f>[1]Production!S3</f>
        <v>5003848.7699999996</v>
      </c>
      <c r="U129" s="6">
        <f>[1]Production!T3</f>
        <v>5091190.4210000001</v>
      </c>
      <c r="V129" s="6">
        <f>[1]Production!U3</f>
        <v>5183964.1509999996</v>
      </c>
      <c r="W129" s="6">
        <f>[1]Production!V3</f>
        <v>5282293.7819999997</v>
      </c>
      <c r="X129" s="6">
        <f>[1]Production!W3</f>
        <v>5386378.0020000003</v>
      </c>
      <c r="Y129" s="6">
        <f>[1]Production!X3</f>
        <v>5496831.9210000001</v>
      </c>
      <c r="Z129" s="6">
        <f>[1]Production!Y3</f>
        <v>5614053.7300000004</v>
      </c>
      <c r="AA129" s="6">
        <f>[1]Production!Z3</f>
        <v>5738004.29</v>
      </c>
      <c r="AB129" s="6">
        <f>[1]Production!AA3</f>
        <v>5868798.5690000001</v>
      </c>
      <c r="AC129" s="6">
        <f>[1]Production!AB3</f>
        <v>6006708.7960000001</v>
      </c>
      <c r="AD129" s="6">
        <f>[1]Production!AC3</f>
        <v>6152454.1370000001</v>
      </c>
      <c r="AE129" s="6">
        <f>[1]Production!AD3</f>
        <v>6306307.3360000001</v>
      </c>
      <c r="AF129" s="6">
        <f>[1]Production!AE3</f>
        <v>6467417.6030000001</v>
      </c>
      <c r="AG129" s="6">
        <f>[1]Production!AF3</f>
        <v>6634439.5710000005</v>
      </c>
      <c r="AH129" s="6">
        <f>[1]Production!AG3</f>
        <v>6806261.8310000002</v>
      </c>
      <c r="AI129" s="6">
        <f>[1]Production!AH3</f>
        <v>6982087.4249999998</v>
      </c>
      <c r="AJ129" s="6">
        <f>[1]Production!AI3</f>
        <v>7161226.3509999998</v>
      </c>
      <c r="AK129" s="6">
        <f>[1]Production!AJ3</f>
        <v>7343010.9280000003</v>
      </c>
      <c r="AL129" s="6">
        <f>[1]Production!AK3</f>
        <v>7526750.1780000003</v>
      </c>
    </row>
    <row r="130" spans="1:38" x14ac:dyDescent="0.35">
      <c r="B130" t="s">
        <v>7</v>
      </c>
      <c r="C130" s="6">
        <f>[1]Production!B5+[1]Production!B7</f>
        <v>88280.507807000002</v>
      </c>
      <c r="D130" s="6">
        <f>[1]Production!C5+[1]Production!C7</f>
        <v>87395.820636000004</v>
      </c>
      <c r="E130" s="6">
        <f>[1]Production!D5+[1]Production!D7</f>
        <v>87060.015014999997</v>
      </c>
      <c r="F130" s="6">
        <f>[1]Production!E5+[1]Production!E7</f>
        <v>87385.779926000003</v>
      </c>
      <c r="G130" s="6">
        <f>[1]Production!F5+[1]Production!F7</f>
        <v>88116.601580000002</v>
      </c>
      <c r="H130" s="6">
        <f>[1]Production!G5+[1]Production!G7</f>
        <v>89109.970686000001</v>
      </c>
      <c r="I130" s="6">
        <f>[1]Production!H5+[1]Production!H7</f>
        <v>90236.948611999993</v>
      </c>
      <c r="J130" s="6">
        <f>[1]Production!I5+[1]Production!I7</f>
        <v>91435.100245999987</v>
      </c>
      <c r="K130" s="6">
        <f>[1]Production!J5+[1]Production!J7</f>
        <v>92691.732447000002</v>
      </c>
      <c r="L130" s="6">
        <f>[1]Production!K5+[1]Production!K7</f>
        <v>94012.039474000005</v>
      </c>
      <c r="M130" s="6">
        <f>[1]Production!L5+[1]Production!L7</f>
        <v>95404.060316999996</v>
      </c>
      <c r="N130" s="6">
        <f>[1]Production!M5+[1]Production!M7</f>
        <v>96872.286091000002</v>
      </c>
      <c r="O130" s="6">
        <f>[1]Production!N5+[1]Production!N7</f>
        <v>98381.546801999997</v>
      </c>
      <c r="P130" s="6">
        <f>[1]Production!O5+[1]Production!O7</f>
        <v>99846.763611000002</v>
      </c>
      <c r="Q130" s="6">
        <f>[1]Production!P5+[1]Production!P7</f>
        <v>101302.076237</v>
      </c>
      <c r="R130" s="6">
        <f>[1]Production!Q5+[1]Production!Q7</f>
        <v>102781.591023</v>
      </c>
      <c r="S130" s="6">
        <f>[1]Production!R5+[1]Production!R7</f>
        <v>104351.91357700001</v>
      </c>
      <c r="T130" s="6">
        <f>[1]Production!S5+[1]Production!S7</f>
        <v>106059.73799699999</v>
      </c>
      <c r="U130" s="6">
        <f>[1]Production!T5+[1]Production!T7</f>
        <v>107920.36009100001</v>
      </c>
      <c r="V130" s="6">
        <f>[1]Production!U5+[1]Production!U7</f>
        <v>109929.485365</v>
      </c>
      <c r="W130" s="6">
        <f>[1]Production!V5+[1]Production!V7</f>
        <v>112085.28355400001</v>
      </c>
      <c r="X130" s="6">
        <f>[1]Production!W5+[1]Production!W7</f>
        <v>114387.37595</v>
      </c>
      <c r="Y130" s="6">
        <f>[1]Production!X5+[1]Production!X7</f>
        <v>116848.36752100001</v>
      </c>
      <c r="Z130" s="6">
        <f>[1]Production!Y5+[1]Production!Y7</f>
        <v>119476.514559</v>
      </c>
      <c r="AA130" s="6">
        <f>[1]Production!Z5+[1]Production!Z7</f>
        <v>122269.093666</v>
      </c>
      <c r="AB130" s="6">
        <f>[1]Production!AA5+[1]Production!AA7</f>
        <v>125227.295061</v>
      </c>
      <c r="AC130" s="6">
        <f>[1]Production!AB5+[1]Production!AB7</f>
        <v>128356.60067499999</v>
      </c>
      <c r="AD130" s="6">
        <f>[1]Production!AC5+[1]Production!AC7</f>
        <v>131675.937347</v>
      </c>
      <c r="AE130" s="6">
        <f>[1]Production!AD5+[1]Production!AD7</f>
        <v>135190.77158199999</v>
      </c>
      <c r="AF130" s="6">
        <f>[1]Production!AE5+[1]Production!AE7</f>
        <v>138876.64393399999</v>
      </c>
      <c r="AG130" s="6">
        <f>[1]Production!AF5+[1]Production!AF7</f>
        <v>142695.803827</v>
      </c>
      <c r="AH130" s="6">
        <f>[1]Production!AG5+[1]Production!AG7</f>
        <v>146617.51528599998</v>
      </c>
      <c r="AI130" s="6">
        <f>[1]Production!AH5+[1]Production!AH7</f>
        <v>150620.87877800001</v>
      </c>
      <c r="AJ130" s="6">
        <f>[1]Production!AI5+[1]Production!AI7</f>
        <v>154687.92969399999</v>
      </c>
      <c r="AK130" s="6">
        <f>[1]Production!AJ5+[1]Production!AJ7</f>
        <v>158801.11037400001</v>
      </c>
      <c r="AL130" s="6">
        <f>[1]Production!AK5+[1]Production!AK7</f>
        <v>162942.10015499999</v>
      </c>
    </row>
    <row r="131" spans="1:38" x14ac:dyDescent="0.35">
      <c r="B131" t="s">
        <v>96</v>
      </c>
      <c r="C131" s="6">
        <f>[1]Production!B27</f>
        <v>271154.46340000001</v>
      </c>
      <c r="D131" s="6">
        <f>[1]Production!C27</f>
        <v>289909.57260000001</v>
      </c>
      <c r="E131" s="6">
        <f>[1]Production!D27</f>
        <v>307322.84590000001</v>
      </c>
      <c r="F131" s="6">
        <f>[1]Production!E27</f>
        <v>317110.48190000001</v>
      </c>
      <c r="G131" s="6">
        <f>[1]Production!F27</f>
        <v>322345.09259999997</v>
      </c>
      <c r="H131" s="6">
        <f>[1]Production!G27</f>
        <v>325813.02750000003</v>
      </c>
      <c r="I131" s="6">
        <f>[1]Production!H27</f>
        <v>328815.91340000002</v>
      </c>
      <c r="J131" s="6">
        <f>[1]Production!I27</f>
        <v>331946.2415</v>
      </c>
      <c r="K131" s="6">
        <f>[1]Production!J27</f>
        <v>335429.83909999998</v>
      </c>
      <c r="L131" s="6">
        <f>[1]Production!K27</f>
        <v>339354.41119999997</v>
      </c>
      <c r="M131" s="6">
        <f>[1]Production!L27</f>
        <v>343761.65500000003</v>
      </c>
      <c r="N131" s="6">
        <f>[1]Production!M27</f>
        <v>348678.5036</v>
      </c>
      <c r="O131" s="6">
        <f>[1]Production!N27</f>
        <v>354045.00569999998</v>
      </c>
      <c r="P131" s="6">
        <f>[1]Production!O27</f>
        <v>359675.89120000001</v>
      </c>
      <c r="Q131" s="6">
        <f>[1]Production!P27</f>
        <v>365508.44530000002</v>
      </c>
      <c r="R131" s="6">
        <f>[1]Production!Q27</f>
        <v>371545.03869999998</v>
      </c>
      <c r="S131" s="6">
        <f>[1]Production!R27</f>
        <v>377917.52850000001</v>
      </c>
      <c r="T131" s="6">
        <f>[1]Production!S27</f>
        <v>384641.6532</v>
      </c>
      <c r="U131" s="6">
        <f>[1]Production!T27</f>
        <v>391701.98489999998</v>
      </c>
      <c r="V131" s="6">
        <f>[1]Production!U27</f>
        <v>399065.9045</v>
      </c>
      <c r="W131" s="6">
        <f>[1]Production!V27</f>
        <v>406729.1985</v>
      </c>
      <c r="X131" s="6">
        <f>[1]Production!W27</f>
        <v>414716.52149999997</v>
      </c>
      <c r="Y131" s="6">
        <f>[1]Production!X27</f>
        <v>423056.9314</v>
      </c>
      <c r="Z131" s="6">
        <f>[1]Production!Y27</f>
        <v>431770.31959999999</v>
      </c>
      <c r="AA131" s="6">
        <f>[1]Production!Z27</f>
        <v>440859.3285</v>
      </c>
      <c r="AB131" s="6">
        <f>[1]Production!AA27</f>
        <v>450353.34970000002</v>
      </c>
      <c r="AC131" s="6">
        <f>[1]Production!AB27</f>
        <v>460297.3407</v>
      </c>
      <c r="AD131" s="6">
        <f>[1]Production!AC27</f>
        <v>470736.2709</v>
      </c>
      <c r="AE131" s="6">
        <f>[1]Production!AD27</f>
        <v>481743.35359999997</v>
      </c>
      <c r="AF131" s="6">
        <f>[1]Production!AE27</f>
        <v>493363.85700000002</v>
      </c>
      <c r="AG131" s="6">
        <f>[1]Production!AF27</f>
        <v>505617.91</v>
      </c>
      <c r="AH131" s="6">
        <f>[1]Production!AG27</f>
        <v>518503.83889999997</v>
      </c>
      <c r="AI131" s="6">
        <f>[1]Production!AH27</f>
        <v>531990.76659999997</v>
      </c>
      <c r="AJ131" s="6">
        <f>[1]Production!AI27</f>
        <v>546041.73210000002</v>
      </c>
      <c r="AK131" s="6">
        <f>[1]Production!AJ27</f>
        <v>560617.13419999997</v>
      </c>
      <c r="AL131" s="6">
        <f>[1]Production!AK27</f>
        <v>575674.69949999999</v>
      </c>
    </row>
    <row r="132" spans="1:38" x14ac:dyDescent="0.35">
      <c r="B132" t="s">
        <v>11</v>
      </c>
      <c r="C132" s="6">
        <f>[1]Production!B51+[1]Production!B53+[1]Production!B55+[1]Production!B57+[1]Production!B59+[1]Production!B61+[1]Production!B63+[1]Production!B65+[1]Production!B67</f>
        <v>44622.702614660004</v>
      </c>
      <c r="D132" s="6">
        <f>[1]Production!C51+[1]Production!C53+[1]Production!C55+[1]Production!C57+[1]Production!C59+[1]Production!C61+[1]Production!C63+[1]Production!C65+[1]Production!C67</f>
        <v>45120.450117629989</v>
      </c>
      <c r="E132" s="6">
        <f>[1]Production!D51+[1]Production!D53+[1]Production!D55+[1]Production!D57+[1]Production!D59+[1]Production!D61+[1]Production!D63+[1]Production!D65+[1]Production!D67</f>
        <v>45566.662220419996</v>
      </c>
      <c r="F132" s="6">
        <f>[1]Production!E51+[1]Production!E53+[1]Production!E55+[1]Production!E57+[1]Production!E59+[1]Production!E61+[1]Production!E63+[1]Production!E65+[1]Production!E67</f>
        <v>46073.709404669993</v>
      </c>
      <c r="G132" s="6">
        <f>[1]Production!F51+[1]Production!F53+[1]Production!F55+[1]Production!F57+[1]Production!F59+[1]Production!F61+[1]Production!F63+[1]Production!F65+[1]Production!F67</f>
        <v>46570.867773589991</v>
      </c>
      <c r="H132" s="6">
        <f>[1]Production!G51+[1]Production!G53+[1]Production!G55+[1]Production!G57+[1]Production!G59+[1]Production!G61+[1]Production!G63+[1]Production!G65+[1]Production!G67</f>
        <v>47118.259820010004</v>
      </c>
      <c r="I132" s="6">
        <f>[1]Production!H51+[1]Production!H53+[1]Production!H55+[1]Production!H57+[1]Production!H59+[1]Production!H61+[1]Production!H63+[1]Production!H65+[1]Production!H67</f>
        <v>47763.884603100007</v>
      </c>
      <c r="J132" s="6">
        <f>[1]Production!I51+[1]Production!I53+[1]Production!I55+[1]Production!I57+[1]Production!I59+[1]Production!I61+[1]Production!I63+[1]Production!I65+[1]Production!I67</f>
        <v>48504.80232984</v>
      </c>
      <c r="K132" s="6">
        <f>[1]Production!J51+[1]Production!J53+[1]Production!J55+[1]Production!J57+[1]Production!J59+[1]Production!J61+[1]Production!J63+[1]Production!J65+[1]Production!J67</f>
        <v>49352.118664759997</v>
      </c>
      <c r="L132" s="6">
        <f>[1]Production!K51+[1]Production!K53+[1]Production!K55+[1]Production!K57+[1]Production!K59+[1]Production!K61+[1]Production!K63+[1]Production!K65+[1]Production!K67</f>
        <v>50319.664300920005</v>
      </c>
      <c r="M132" s="6">
        <f>[1]Production!L51+[1]Production!L53+[1]Production!L55+[1]Production!L57+[1]Production!L59+[1]Production!L61+[1]Production!L63+[1]Production!L65+[1]Production!L67</f>
        <v>51420.076749929998</v>
      </c>
      <c r="N132" s="6">
        <f>[1]Production!M51+[1]Production!M53+[1]Production!M55+[1]Production!M57+[1]Production!M59+[1]Production!M61+[1]Production!M63+[1]Production!M65+[1]Production!M67</f>
        <v>52652.844551809998</v>
      </c>
      <c r="O132" s="6">
        <f>[1]Production!N51+[1]Production!N53+[1]Production!N55+[1]Production!N57+[1]Production!N59+[1]Production!N61+[1]Production!N63+[1]Production!N65+[1]Production!N67</f>
        <v>53988.268685379997</v>
      </c>
      <c r="P132" s="6">
        <f>[1]Production!O51+[1]Production!O53+[1]Production!O55+[1]Production!O57+[1]Production!O59+[1]Production!O61+[1]Production!O63+[1]Production!O65+[1]Production!O67</f>
        <v>55366.477325030006</v>
      </c>
      <c r="Q132" s="6">
        <f>[1]Production!P51+[1]Production!P53+[1]Production!P55+[1]Production!P57+[1]Production!P59+[1]Production!P61+[1]Production!P63+[1]Production!P65+[1]Production!P67</f>
        <v>56775.060032739995</v>
      </c>
      <c r="R132" s="6">
        <f>[1]Production!Q51+[1]Production!Q53+[1]Production!Q55+[1]Production!Q57+[1]Production!Q59+[1]Production!Q61+[1]Production!Q63+[1]Production!Q65+[1]Production!Q67</f>
        <v>58203.783780019992</v>
      </c>
      <c r="S132" s="6">
        <f>[1]Production!R51+[1]Production!R53+[1]Production!R55+[1]Production!R57+[1]Production!R59+[1]Production!R61+[1]Production!R63+[1]Production!R65+[1]Production!R67</f>
        <v>59623.759483319998</v>
      </c>
      <c r="T132" s="6">
        <f>[1]Production!S51+[1]Production!S53+[1]Production!S55+[1]Production!S57+[1]Production!S59+[1]Production!S61+[1]Production!S63+[1]Production!S65+[1]Production!S67</f>
        <v>61059.995277419992</v>
      </c>
      <c r="U132" s="6">
        <f>[1]Production!T51+[1]Production!T53+[1]Production!T55+[1]Production!T57+[1]Production!T59+[1]Production!T61+[1]Production!T63+[1]Production!T65+[1]Production!T67</f>
        <v>62520.288223500007</v>
      </c>
      <c r="V132" s="6">
        <f>[1]Production!U51+[1]Production!U53+[1]Production!U55+[1]Production!U57+[1]Production!U59+[1]Production!U61+[1]Production!U63+[1]Production!U65+[1]Production!U67</f>
        <v>64004.717480109997</v>
      </c>
      <c r="W132" s="6">
        <f>[1]Production!V51+[1]Production!V53+[1]Production!V55+[1]Production!V57+[1]Production!V59+[1]Production!V61+[1]Production!V63+[1]Production!V65+[1]Production!V67</f>
        <v>65514.518892379994</v>
      </c>
      <c r="X132" s="6">
        <f>[1]Production!W51+[1]Production!W53+[1]Production!W55+[1]Production!W57+[1]Production!W59+[1]Production!W61+[1]Production!W63+[1]Production!W65+[1]Production!W67</f>
        <v>67051.399148420009</v>
      </c>
      <c r="Y132" s="6">
        <f>[1]Production!X51+[1]Production!X53+[1]Production!X55+[1]Production!X57+[1]Production!X59+[1]Production!X61+[1]Production!X63+[1]Production!X65+[1]Production!X67</f>
        <v>68622.097674179997</v>
      </c>
      <c r="Z132" s="6">
        <f>[1]Production!Y51+[1]Production!Y53+[1]Production!Y55+[1]Production!Y57+[1]Production!Y59+[1]Production!Y61+[1]Production!Y63+[1]Production!Y65+[1]Production!Y67</f>
        <v>70231.852935210001</v>
      </c>
      <c r="AA132" s="6">
        <f>[1]Production!Z51+[1]Production!Z53+[1]Production!Z55+[1]Production!Z57+[1]Production!Z59+[1]Production!Z61+[1]Production!Z63+[1]Production!Z65+[1]Production!Z67</f>
        <v>71882.594915980007</v>
      </c>
      <c r="AB132" s="6">
        <f>[1]Production!AA51+[1]Production!AA53+[1]Production!AA55+[1]Production!AA57+[1]Production!AA59+[1]Production!AA61+[1]Production!AA63+[1]Production!AA65+[1]Production!AA67</f>
        <v>73577.47000080999</v>
      </c>
      <c r="AC132" s="6">
        <f>[1]Production!AB51+[1]Production!AB53+[1]Production!AB55+[1]Production!AB57+[1]Production!AB59+[1]Production!AB61+[1]Production!AB63+[1]Production!AB65+[1]Production!AB67</f>
        <v>75320.559352199998</v>
      </c>
      <c r="AD132" s="6">
        <f>[1]Production!AC51+[1]Production!AC53+[1]Production!AC55+[1]Production!AC57+[1]Production!AC59+[1]Production!AC61+[1]Production!AC63+[1]Production!AC65+[1]Production!AC67</f>
        <v>77119.649908690015</v>
      </c>
      <c r="AE132" s="6">
        <f>[1]Production!AD51+[1]Production!AD53+[1]Production!AD55+[1]Production!AD57+[1]Production!AD59+[1]Production!AD61+[1]Production!AD63+[1]Production!AD65+[1]Production!AD67</f>
        <v>78976.569988629999</v>
      </c>
      <c r="AF132" s="6">
        <f>[1]Production!AE51+[1]Production!AE53+[1]Production!AE55+[1]Production!AE57+[1]Production!AE59+[1]Production!AE61+[1]Production!AE63+[1]Production!AE65+[1]Production!AE67</f>
        <v>80878.633878000008</v>
      </c>
      <c r="AG132" s="6">
        <f>[1]Production!AF51+[1]Production!AF53+[1]Production!AF55+[1]Production!AF57+[1]Production!AF59+[1]Production!AF61+[1]Production!AF63+[1]Production!AF65+[1]Production!AF67</f>
        <v>82807.69963090001</v>
      </c>
      <c r="AH132" s="6">
        <f>[1]Production!AG51+[1]Production!AG53+[1]Production!AG55+[1]Production!AG57+[1]Production!AG59+[1]Production!AG61+[1]Production!AG63+[1]Production!AG65+[1]Production!AG67</f>
        <v>84748.831172300008</v>
      </c>
      <c r="AI132" s="6">
        <f>[1]Production!AH51+[1]Production!AH53+[1]Production!AH55+[1]Production!AH57+[1]Production!AH59+[1]Production!AH61+[1]Production!AH63+[1]Production!AH65+[1]Production!AH67</f>
        <v>86691.440942400004</v>
      </c>
      <c r="AJ132" s="6">
        <f>[1]Production!AI51+[1]Production!AI53+[1]Production!AI55+[1]Production!AI57+[1]Production!AI59+[1]Production!AI61+[1]Production!AI63+[1]Production!AI65+[1]Production!AI67</f>
        <v>88626.939510299984</v>
      </c>
      <c r="AK132" s="6">
        <f>[1]Production!AJ51+[1]Production!AJ53+[1]Production!AJ55+[1]Production!AJ57+[1]Production!AJ59+[1]Production!AJ61+[1]Production!AJ63+[1]Production!AJ65+[1]Production!AJ67</f>
        <v>90547.699426000006</v>
      </c>
      <c r="AL132" s="6">
        <f>[1]Production!AK51+[1]Production!AK53+[1]Production!AK55+[1]Production!AK57+[1]Production!AK59+[1]Production!AK61+[1]Production!AK63+[1]Production!AK65+[1]Production!AK67</f>
        <v>92446.500059999977</v>
      </c>
    </row>
    <row r="133" spans="1:38" x14ac:dyDescent="0.35">
      <c r="B133" t="s">
        <v>8</v>
      </c>
      <c r="C133" s="6">
        <f>-[1]Production!B27+[1]Production!B9+[1]Production!B11+[1]Production!B13+[1]Production!B15+[1]Production!B17+[1]Production!B19+[1]Production!B21+[1]Production!B23+[1]Production!B25+[1]Production!B27+[1]Production!B41</f>
        <v>707815.55536700005</v>
      </c>
      <c r="D133" s="6">
        <f>-[1]Production!C27+[1]Production!C9+[1]Production!C11+[1]Production!C13+[1]Production!C15+[1]Production!C17+[1]Production!C19+[1]Production!C21+[1]Production!C23+[1]Production!C25+[1]Production!C27+[1]Production!C41</f>
        <v>712349.89023399993</v>
      </c>
      <c r="E133" s="6">
        <f>-[1]Production!D27+[1]Production!D9+[1]Production!D11+[1]Production!D13+[1]Production!D15+[1]Production!D17+[1]Production!D19+[1]Production!D21+[1]Production!D23+[1]Production!D25+[1]Production!D27+[1]Production!D41</f>
        <v>719774.06068200001</v>
      </c>
      <c r="F133" s="6">
        <f>-[1]Production!E27+[1]Production!E9+[1]Production!E11+[1]Production!E13+[1]Production!E15+[1]Production!E17+[1]Production!E19+[1]Production!E21+[1]Production!E23+[1]Production!E25+[1]Production!E27+[1]Production!E41</f>
        <v>728851.49768700008</v>
      </c>
      <c r="G133" s="6">
        <f>-[1]Production!F27+[1]Production!F9+[1]Production!F11+[1]Production!F13+[1]Production!F15+[1]Production!F17+[1]Production!F19+[1]Production!F21+[1]Production!F23+[1]Production!F25+[1]Production!F27+[1]Production!F41</f>
        <v>738846.31102499994</v>
      </c>
      <c r="H133" s="6">
        <f>-[1]Production!G27+[1]Production!G9+[1]Production!G11+[1]Production!G13+[1]Production!G15+[1]Production!G17+[1]Production!G19+[1]Production!G21+[1]Production!G23+[1]Production!G25+[1]Production!G27+[1]Production!G41</f>
        <v>749628.80269799998</v>
      </c>
      <c r="I133" s="6">
        <f>-[1]Production!H27+[1]Production!H9+[1]Production!H11+[1]Production!H13+[1]Production!H15+[1]Production!H17+[1]Production!H19+[1]Production!H21+[1]Production!H23+[1]Production!H25+[1]Production!H27+[1]Production!H41</f>
        <v>760698.05495000002</v>
      </c>
      <c r="J133" s="6">
        <f>-[1]Production!I27+[1]Production!I9+[1]Production!I11+[1]Production!I13+[1]Production!I15+[1]Production!I17+[1]Production!I19+[1]Production!I21+[1]Production!I23+[1]Production!I25+[1]Production!I27+[1]Production!I41</f>
        <v>772116.80665500008</v>
      </c>
      <c r="K133" s="6">
        <f>-[1]Production!J27+[1]Production!J9+[1]Production!J11+[1]Production!J13+[1]Production!J15+[1]Production!J17+[1]Production!J19+[1]Production!J21+[1]Production!J23+[1]Production!J25+[1]Production!J27+[1]Production!J41</f>
        <v>783979.83458000002</v>
      </c>
      <c r="L133" s="6">
        <f>-[1]Production!K27+[1]Production!K9+[1]Production!K11+[1]Production!K13+[1]Production!K15+[1]Production!K17+[1]Production!K19+[1]Production!K21+[1]Production!K23+[1]Production!K25+[1]Production!K27+[1]Production!K41</f>
        <v>796356.77754799998</v>
      </c>
      <c r="M133" s="6">
        <f>-[1]Production!L27+[1]Production!L9+[1]Production!L11+[1]Production!L13+[1]Production!L15+[1]Production!L17+[1]Production!L19+[1]Production!L21+[1]Production!L23+[1]Production!L25+[1]Production!L27+[1]Production!L41</f>
        <v>809279.74784899992</v>
      </c>
      <c r="N133" s="6">
        <f>-[1]Production!M27+[1]Production!M9+[1]Production!M11+[1]Production!M13+[1]Production!M15+[1]Production!M17+[1]Production!M19+[1]Production!M21+[1]Production!M23+[1]Production!M25+[1]Production!M27+[1]Production!M41</f>
        <v>822712.15709300002</v>
      </c>
      <c r="O133" s="6">
        <f>-[1]Production!N27+[1]Production!N9+[1]Production!N11+[1]Production!N13+[1]Production!N15+[1]Production!N17+[1]Production!N19+[1]Production!N21+[1]Production!N23+[1]Production!N25+[1]Production!N27+[1]Production!N41</f>
        <v>836122.49370000011</v>
      </c>
      <c r="P133" s="6">
        <f>-[1]Production!O27+[1]Production!O9+[1]Production!O11+[1]Production!O13+[1]Production!O15+[1]Production!O17+[1]Production!O19+[1]Production!O21+[1]Production!O23+[1]Production!O25+[1]Production!O27+[1]Production!O41</f>
        <v>848423.12345999992</v>
      </c>
      <c r="Q133" s="6">
        <f>-[1]Production!P27+[1]Production!P9+[1]Production!P11+[1]Production!P13+[1]Production!P15+[1]Production!P17+[1]Production!P19+[1]Production!P21+[1]Production!P23+[1]Production!P25+[1]Production!P27+[1]Production!P41</f>
        <v>860220.72198000003</v>
      </c>
      <c r="R133" s="6">
        <f>-[1]Production!Q27+[1]Production!Q9+[1]Production!Q11+[1]Production!Q13+[1]Production!Q15+[1]Production!Q17+[1]Production!Q19+[1]Production!Q21+[1]Production!Q23+[1]Production!Q25+[1]Production!Q27+[1]Production!Q41</f>
        <v>872056.58327000006</v>
      </c>
      <c r="S133" s="6">
        <f>-[1]Production!R27+[1]Production!R9+[1]Production!R11+[1]Production!R13+[1]Production!R15+[1]Production!R17+[1]Production!R19+[1]Production!R21+[1]Production!R23+[1]Production!R25+[1]Production!R27+[1]Production!R41</f>
        <v>884701.13269</v>
      </c>
      <c r="T133" s="6">
        <f>-[1]Production!S27+[1]Production!S9+[1]Production!S11+[1]Production!S13+[1]Production!S15+[1]Production!S17+[1]Production!S19+[1]Production!S21+[1]Production!S23+[1]Production!S25+[1]Production!S27+[1]Production!S41</f>
        <v>898528.06117999996</v>
      </c>
      <c r="U133" s="6">
        <f>-[1]Production!T27+[1]Production!T9+[1]Production!T11+[1]Production!T13+[1]Production!T15+[1]Production!T17+[1]Production!T19+[1]Production!T21+[1]Production!T23+[1]Production!T25+[1]Production!T27+[1]Production!T41</f>
        <v>913752.67518999998</v>
      </c>
      <c r="V133" s="6">
        <f>-[1]Production!U27+[1]Production!U9+[1]Production!U11+[1]Production!U13+[1]Production!U15+[1]Production!U17+[1]Production!U19+[1]Production!U21+[1]Production!U23+[1]Production!U25+[1]Production!U27+[1]Production!U41</f>
        <v>930435.87280000001</v>
      </c>
      <c r="W133" s="6">
        <f>-[1]Production!V27+[1]Production!V9+[1]Production!V11+[1]Production!V13+[1]Production!V15+[1]Production!V17+[1]Production!V19+[1]Production!V21+[1]Production!V23+[1]Production!V25+[1]Production!V27+[1]Production!V41</f>
        <v>948680.98277000012</v>
      </c>
      <c r="X133" s="6">
        <f>-[1]Production!W27+[1]Production!W9+[1]Production!W11+[1]Production!W13+[1]Production!W15+[1]Production!W17+[1]Production!W19+[1]Production!W21+[1]Production!W23+[1]Production!W25+[1]Production!W27+[1]Production!W41</f>
        <v>968566.5334800001</v>
      </c>
      <c r="Y133" s="6">
        <f>-[1]Production!X27+[1]Production!X9+[1]Production!X11+[1]Production!X13+[1]Production!X15+[1]Production!X17+[1]Production!X19+[1]Production!X21+[1]Production!X23+[1]Production!X25+[1]Production!X27+[1]Production!X41</f>
        <v>990285.34848000004</v>
      </c>
      <c r="Z133" s="6">
        <f>-[1]Production!Y27+[1]Production!Y9+[1]Production!Y11+[1]Production!Y13+[1]Production!Y15+[1]Production!Y17+[1]Production!Y19+[1]Production!Y21+[1]Production!Y23+[1]Production!Y25+[1]Production!Y27+[1]Production!Y41</f>
        <v>1013925.5330000001</v>
      </c>
      <c r="AA133" s="6">
        <f>-[1]Production!Z27+[1]Production!Z9+[1]Production!Z11+[1]Production!Z13+[1]Production!Z15+[1]Production!Z17+[1]Production!Z19+[1]Production!Z21+[1]Production!Z23+[1]Production!Z25+[1]Production!Z27+[1]Production!Z41</f>
        <v>1039430.1292399999</v>
      </c>
      <c r="AB133" s="6">
        <f>-[1]Production!AA27+[1]Production!AA9+[1]Production!AA11+[1]Production!AA13+[1]Production!AA15+[1]Production!AA17+[1]Production!AA19+[1]Production!AA21+[1]Production!AA23+[1]Production!AA25+[1]Production!AA27+[1]Production!AA41</f>
        <v>1066804.8795300003</v>
      </c>
      <c r="AC133" s="6">
        <f>-[1]Production!AB27+[1]Production!AB9+[1]Production!AB11+[1]Production!AB13+[1]Production!AB15+[1]Production!AB17+[1]Production!AB19+[1]Production!AB21+[1]Production!AB23+[1]Production!AB25+[1]Production!AB27+[1]Production!AB41</f>
        <v>1096102.6806600001</v>
      </c>
      <c r="AD133" s="6">
        <f>-[1]Production!AC27+[1]Production!AC9+[1]Production!AC11+[1]Production!AC13+[1]Production!AC15+[1]Production!AC17+[1]Production!AC19+[1]Production!AC21+[1]Production!AC23+[1]Production!AC25+[1]Production!AC27+[1]Production!AC41</f>
        <v>1127518.9428000001</v>
      </c>
      <c r="AE133" s="6">
        <f>-[1]Production!AD27+[1]Production!AD9+[1]Production!AD11+[1]Production!AD13+[1]Production!AD15+[1]Production!AD17+[1]Production!AD19+[1]Production!AD21+[1]Production!AD23+[1]Production!AD25+[1]Production!AD27+[1]Production!AD41</f>
        <v>1161060.0270500001</v>
      </c>
      <c r="AF133" s="6">
        <f>-[1]Production!AE27+[1]Production!AE9+[1]Production!AE11+[1]Production!AE13+[1]Production!AE15+[1]Production!AE17+[1]Production!AE19+[1]Production!AE21+[1]Production!AE23+[1]Production!AE25+[1]Production!AE27+[1]Production!AE41</f>
        <v>1196328.59494</v>
      </c>
      <c r="AG133" s="6">
        <f>-[1]Production!AF27+[1]Production!AF9+[1]Production!AF11+[1]Production!AF13+[1]Production!AF15+[1]Production!AF17+[1]Production!AF19+[1]Production!AF21+[1]Production!AF23+[1]Production!AF25+[1]Production!AF27+[1]Production!AF41</f>
        <v>1232806.0385799999</v>
      </c>
      <c r="AH133" s="6">
        <f>-[1]Production!AG27+[1]Production!AG9+[1]Production!AG11+[1]Production!AG13+[1]Production!AG15+[1]Production!AG17+[1]Production!AG19+[1]Production!AG21+[1]Production!AG23+[1]Production!AG25+[1]Production!AG27+[1]Production!AG41</f>
        <v>1270110.8216400002</v>
      </c>
      <c r="AI133" s="6">
        <f>-[1]Production!AH27+[1]Production!AH9+[1]Production!AH11+[1]Production!AH13+[1]Production!AH15+[1]Production!AH17+[1]Production!AH19+[1]Production!AH21+[1]Production!AH23+[1]Production!AH25+[1]Production!AH27+[1]Production!AH41</f>
        <v>1308001.6421799997</v>
      </c>
      <c r="AJ133" s="6">
        <f>-[1]Production!AI27+[1]Production!AI9+[1]Production!AI11+[1]Production!AI13+[1]Production!AI15+[1]Production!AI17+[1]Production!AI19+[1]Production!AI21+[1]Production!AI23+[1]Production!AI25+[1]Production!AI27+[1]Production!AI41</f>
        <v>1346283.2945099999</v>
      </c>
      <c r="AK133" s="6">
        <f>-[1]Production!AJ27+[1]Production!AJ9+[1]Production!AJ11+[1]Production!AJ13+[1]Production!AJ15+[1]Production!AJ17+[1]Production!AJ19+[1]Production!AJ21+[1]Production!AJ23+[1]Production!AJ25+[1]Production!AJ27+[1]Production!AJ41</f>
        <v>1384773.44034</v>
      </c>
      <c r="AL133" s="6">
        <f>-[1]Production!AK27+[1]Production!AK9+[1]Production!AK11+[1]Production!AK13+[1]Production!AK15+[1]Production!AK17+[1]Production!AK19+[1]Production!AK21+[1]Production!AK23+[1]Production!AK25+[1]Production!AK27+[1]Production!AK41</f>
        <v>1423286.8345300001</v>
      </c>
    </row>
    <row r="134" spans="1:38" x14ac:dyDescent="0.35">
      <c r="B134" t="s">
        <v>24</v>
      </c>
      <c r="C134" s="6">
        <f>[1]Production!B43+[1]Production!B47+[1]Production!B45+[1]Production!B49</f>
        <v>68174.955291899998</v>
      </c>
      <c r="D134" s="6">
        <f>[1]Production!C43+[1]Production!C47+[1]Production!C45+[1]Production!C49</f>
        <v>69921.791079400005</v>
      </c>
      <c r="E134" s="6">
        <f>[1]Production!D43+[1]Production!D47+[1]Production!D45+[1]Production!D49</f>
        <v>71358.293779900006</v>
      </c>
      <c r="F134" s="6">
        <f>[1]Production!E43+[1]Production!E47+[1]Production!E45+[1]Production!E49</f>
        <v>72583.546490199995</v>
      </c>
      <c r="G134" s="6">
        <f>[1]Production!F43+[1]Production!F47+[1]Production!F45+[1]Production!F49</f>
        <v>73776.487699200006</v>
      </c>
      <c r="H134" s="6">
        <f>[1]Production!G43+[1]Production!G47+[1]Production!G45+[1]Production!G49</f>
        <v>74950.984118799999</v>
      </c>
      <c r="I134" s="6">
        <f>[1]Production!H43+[1]Production!H47+[1]Production!H45+[1]Production!H49</f>
        <v>76004.109057000009</v>
      </c>
      <c r="J134" s="6">
        <f>[1]Production!I43+[1]Production!I47+[1]Production!I45+[1]Production!I49</f>
        <v>76912.132342599987</v>
      </c>
      <c r="K134" s="6">
        <f>[1]Production!J43+[1]Production!J47+[1]Production!J45+[1]Production!J49</f>
        <v>77666.336784799991</v>
      </c>
      <c r="L134" s="6">
        <f>[1]Production!K43+[1]Production!K47+[1]Production!K45+[1]Production!K49</f>
        <v>78271.540602400011</v>
      </c>
      <c r="M134" s="6">
        <f>[1]Production!L43+[1]Production!L47+[1]Production!L45+[1]Production!L49</f>
        <v>78740.148186000006</v>
      </c>
      <c r="N134" s="6">
        <f>[1]Production!M43+[1]Production!M47+[1]Production!M45+[1]Production!M49</f>
        <v>79092.461584899997</v>
      </c>
      <c r="O134" s="6">
        <f>[1]Production!N43+[1]Production!N47+[1]Production!N45+[1]Production!N49</f>
        <v>79320.375017500002</v>
      </c>
      <c r="P134" s="6">
        <f>[1]Production!O43+[1]Production!O47+[1]Production!O45+[1]Production!O49</f>
        <v>79376.343210900013</v>
      </c>
      <c r="Q134" s="6">
        <f>[1]Production!P43+[1]Production!P47+[1]Production!P45+[1]Production!P49</f>
        <v>79346.101908800018</v>
      </c>
      <c r="R134" s="6">
        <f>[1]Production!Q43+[1]Production!Q47+[1]Production!Q45+[1]Production!Q49</f>
        <v>79304.392229000019</v>
      </c>
      <c r="S134" s="6">
        <f>[1]Production!R43+[1]Production!R47+[1]Production!R45+[1]Production!R49</f>
        <v>78965.163501999996</v>
      </c>
      <c r="T134" s="6">
        <f>[1]Production!S43+[1]Production!S47+[1]Production!S45+[1]Production!S49</f>
        <v>78742.3677857</v>
      </c>
      <c r="U134" s="6">
        <f>[1]Production!T43+[1]Production!T47+[1]Production!T45+[1]Production!T49</f>
        <v>78647.148010799996</v>
      </c>
      <c r="V134" s="6">
        <f>[1]Production!U43+[1]Production!U47+[1]Production!U45+[1]Production!U49</f>
        <v>78674.474476799995</v>
      </c>
      <c r="W134" s="6">
        <f>[1]Production!V43+[1]Production!V47+[1]Production!V45+[1]Production!V49</f>
        <v>78817.672313599993</v>
      </c>
      <c r="X134" s="6">
        <f>[1]Production!W43+[1]Production!W47+[1]Production!W45+[1]Production!W49</f>
        <v>79069.754499500006</v>
      </c>
      <c r="Y134" s="6">
        <f>[1]Production!X43+[1]Production!X47+[1]Production!X45+[1]Production!X49</f>
        <v>79427.861706200012</v>
      </c>
      <c r="Z134" s="6">
        <f>[1]Production!Y43+[1]Production!Y47+[1]Production!Y45+[1]Production!Y49</f>
        <v>79888.568174299988</v>
      </c>
      <c r="AA134" s="6">
        <f>[1]Production!Z43+[1]Production!Z47+[1]Production!Z45+[1]Production!Z49</f>
        <v>80445.962927500004</v>
      </c>
      <c r="AB134" s="6">
        <f>[1]Production!AA43+[1]Production!AA47+[1]Production!AA45+[1]Production!AA49</f>
        <v>81096.384959300005</v>
      </c>
      <c r="AC134" s="6">
        <f>[1]Production!AB43+[1]Production!AB47+[1]Production!AB45+[1]Production!AB49</f>
        <v>81838.065921800007</v>
      </c>
      <c r="AD134" s="6">
        <f>[1]Production!AC43+[1]Production!AC47+[1]Production!AC45+[1]Production!AC49</f>
        <v>82673.327405699994</v>
      </c>
      <c r="AE134" s="6">
        <f>[1]Production!AD43+[1]Production!AD47+[1]Production!AD45+[1]Production!AD49</f>
        <v>83600.699265000017</v>
      </c>
      <c r="AF134" s="6">
        <f>[1]Production!AE43+[1]Production!AE47+[1]Production!AE45+[1]Production!AE49</f>
        <v>84608.235499300004</v>
      </c>
      <c r="AG134" s="6">
        <f>[1]Production!AF43+[1]Production!AF47+[1]Production!AF45+[1]Production!AF49</f>
        <v>85679.590945200005</v>
      </c>
      <c r="AH134" s="6">
        <f>[1]Production!AG43+[1]Production!AG47+[1]Production!AG45+[1]Production!AG49</f>
        <v>86800.8091098</v>
      </c>
      <c r="AI134" s="6">
        <f>[1]Production!AH43+[1]Production!AH47+[1]Production!AH45+[1]Production!AH49</f>
        <v>87961.309391100003</v>
      </c>
      <c r="AJ134" s="6">
        <f>[1]Production!AI43+[1]Production!AI47+[1]Production!AI45+[1]Production!AI49</f>
        <v>89152.034604899993</v>
      </c>
      <c r="AK134" s="6">
        <f>[1]Production!AJ43+[1]Production!AJ47+[1]Production!AJ45+[1]Production!AJ49</f>
        <v>90364.612299100001</v>
      </c>
      <c r="AL134" s="6">
        <f>[1]Production!AK43+[1]Production!AK47+[1]Production!AK45+[1]Production!AK49</f>
        <v>91590.807925999994</v>
      </c>
    </row>
    <row r="135" spans="1:38" x14ac:dyDescent="0.35">
      <c r="B135" t="s">
        <v>10</v>
      </c>
      <c r="C135" s="6">
        <f>[1]Production!B37+[1]Production!B39</f>
        <v>2563140.3440999999</v>
      </c>
      <c r="D135" s="6">
        <f>[1]Production!C37+[1]Production!C39</f>
        <v>2581922.8854</v>
      </c>
      <c r="E135" s="6">
        <f>[1]Production!D37+[1]Production!D39</f>
        <v>2610571.7610999998</v>
      </c>
      <c r="F135" s="6">
        <f>[1]Production!E37+[1]Production!E39</f>
        <v>2648480.3606000002</v>
      </c>
      <c r="G135" s="6">
        <f>[1]Production!F37+[1]Production!F39</f>
        <v>2690344.9787999997</v>
      </c>
      <c r="H135" s="6">
        <f>[1]Production!G37+[1]Production!G39</f>
        <v>2734530.0323000001</v>
      </c>
      <c r="I135" s="6">
        <f>[1]Production!H37+[1]Production!H39</f>
        <v>2779146.41</v>
      </c>
      <c r="J135" s="6">
        <f>[1]Production!I37+[1]Production!I39</f>
        <v>2823910.2814000002</v>
      </c>
      <c r="K135" s="6">
        <f>[1]Production!J37+[1]Production!J39</f>
        <v>2869272.2374</v>
      </c>
      <c r="L135" s="6">
        <f>[1]Production!K37+[1]Production!K39</f>
        <v>2915776.3313000002</v>
      </c>
      <c r="M135" s="6">
        <f>[1]Production!L37+[1]Production!L39</f>
        <v>2963836.9983999999</v>
      </c>
      <c r="N135" s="6">
        <f>[1]Production!M37+[1]Production!M39</f>
        <v>3013696.4594000001</v>
      </c>
      <c r="O135" s="6">
        <f>[1]Production!N37+[1]Production!N39</f>
        <v>3064744.4867999996</v>
      </c>
      <c r="P135" s="6">
        <f>[1]Production!O37+[1]Production!O39</f>
        <v>3115273.5208000001</v>
      </c>
      <c r="Q135" s="6">
        <f>[1]Production!P37+[1]Production!P39</f>
        <v>3165799.0017999997</v>
      </c>
      <c r="R135" s="6">
        <f>[1]Production!Q37+[1]Production!Q39</f>
        <v>3216981.9813999999</v>
      </c>
      <c r="S135" s="6">
        <f>[1]Production!R37+[1]Production!R39</f>
        <v>3270239.0729</v>
      </c>
      <c r="T135" s="6">
        <f>[1]Production!S37+[1]Production!S39</f>
        <v>3326496.9134</v>
      </c>
      <c r="U135" s="6">
        <f>[1]Production!T37+[1]Production!T39</f>
        <v>3385990.1397000002</v>
      </c>
      <c r="V135" s="6">
        <f>[1]Production!U37+[1]Production!U39</f>
        <v>3448638.2320999997</v>
      </c>
      <c r="W135" s="6">
        <f>[1]Production!V37+[1]Production!V39</f>
        <v>3514466.1321</v>
      </c>
      <c r="X135" s="6">
        <f>[1]Production!W37+[1]Production!W39</f>
        <v>3583569.3960000002</v>
      </c>
      <c r="Y135" s="6">
        <f>[1]Production!X37+[1]Production!X39</f>
        <v>3656302.1425999999</v>
      </c>
      <c r="Z135" s="6">
        <f>[1]Production!Y37+[1]Production!Y39</f>
        <v>3732933.8037</v>
      </c>
      <c r="AA135" s="6">
        <f>[1]Production!Z37+[1]Production!Z39</f>
        <v>3813493.8988999999</v>
      </c>
      <c r="AB135" s="6">
        <f>[1]Production!AA37+[1]Production!AA39</f>
        <v>3898060.8199000005</v>
      </c>
      <c r="AC135" s="6">
        <f>[1]Production!AB37+[1]Production!AB39</f>
        <v>3986793.8640000001</v>
      </c>
      <c r="AD135" s="6">
        <f>[1]Production!AC37+[1]Production!AC39</f>
        <v>4080116.2259999998</v>
      </c>
      <c r="AE135" s="6">
        <f>[1]Production!AD37+[1]Production!AD39</f>
        <v>4178212.9740000004</v>
      </c>
      <c r="AF135" s="6">
        <f>[1]Production!AE37+[1]Production!AE39</f>
        <v>4280684.9240000006</v>
      </c>
      <c r="AG135" s="6">
        <f>[1]Production!AF37+[1]Production!AF39</f>
        <v>4386825.1069999998</v>
      </c>
      <c r="AH135" s="6">
        <f>[1]Production!AG37+[1]Production!AG39</f>
        <v>4496015.9979999997</v>
      </c>
      <c r="AI135" s="6">
        <f>[1]Production!AH37+[1]Production!AH39</f>
        <v>4607808.1239999998</v>
      </c>
      <c r="AJ135" s="6">
        <f>[1]Production!AI37+[1]Production!AI39</f>
        <v>4721806.5769999996</v>
      </c>
      <c r="AK135" s="6">
        <f>[1]Production!AJ37+[1]Production!AJ39</f>
        <v>4837624.7680000002</v>
      </c>
      <c r="AL135" s="6">
        <f>[1]Production!AK37+[1]Production!AK39</f>
        <v>4954858.9240000006</v>
      </c>
    </row>
    <row r="136" spans="1:38" x14ac:dyDescent="0.35">
      <c r="B136" t="s">
        <v>9</v>
      </c>
      <c r="C136" s="6">
        <f>[1]Production!B29+[1]Production!B31+[1]Production!B33+[1]Production!B35</f>
        <v>120927.92581</v>
      </c>
      <c r="D136" s="6">
        <f>[1]Production!C29+[1]Production!C31+[1]Production!C33+[1]Production!C35</f>
        <v>121378.49350999999</v>
      </c>
      <c r="E136" s="6">
        <f>[1]Production!D29+[1]Production!D31+[1]Production!D33+[1]Production!D35</f>
        <v>122167.14459</v>
      </c>
      <c r="F136" s="6">
        <f>[1]Production!E29+[1]Production!E31+[1]Production!E33+[1]Production!E35</f>
        <v>123258.45571000001</v>
      </c>
      <c r="G136" s="6">
        <f>[1]Production!F29+[1]Production!F31+[1]Production!F33+[1]Production!F35</f>
        <v>124585.54467999999</v>
      </c>
      <c r="H136" s="6">
        <f>[1]Production!G29+[1]Production!G31+[1]Production!G33+[1]Production!G35</f>
        <v>126112.87315</v>
      </c>
      <c r="I136" s="6">
        <f>[1]Production!H29+[1]Production!H31+[1]Production!H33+[1]Production!H35</f>
        <v>127733.61345</v>
      </c>
      <c r="J136" s="6">
        <f>[1]Production!I29+[1]Production!I31+[1]Production!I33+[1]Production!I35</f>
        <v>129419.86105000001</v>
      </c>
      <c r="K136" s="6">
        <f>[1]Production!J29+[1]Production!J31+[1]Production!J33+[1]Production!J35</f>
        <v>131169.26162</v>
      </c>
      <c r="L136" s="6">
        <f>[1]Production!K29+[1]Production!K31+[1]Production!K33+[1]Production!K35</f>
        <v>132988.59525000001</v>
      </c>
      <c r="M136" s="6">
        <f>[1]Production!L29+[1]Production!L31+[1]Production!L33+[1]Production!L35</f>
        <v>134884.55103</v>
      </c>
      <c r="N136" s="6">
        <f>[1]Production!M29+[1]Production!M31+[1]Production!M33+[1]Production!M35</f>
        <v>136856.13871</v>
      </c>
      <c r="O136" s="6">
        <f>[1]Production!N29+[1]Production!N31+[1]Production!N33+[1]Production!N35</f>
        <v>138836.1722</v>
      </c>
      <c r="P136" s="6">
        <f>[1]Production!O29+[1]Production!O31+[1]Production!O33+[1]Production!O35</f>
        <v>140681.46794</v>
      </c>
      <c r="Q136" s="6">
        <f>[1]Production!P29+[1]Production!P31+[1]Production!P33+[1]Production!P35</f>
        <v>142470.02638</v>
      </c>
      <c r="R136" s="6">
        <f>[1]Production!Q29+[1]Production!Q31+[1]Production!Q33+[1]Production!Q35</f>
        <v>144272.14444999999</v>
      </c>
      <c r="S136" s="6">
        <f>[1]Production!R29+[1]Production!R31+[1]Production!R33+[1]Production!R35</f>
        <v>146200.45973999999</v>
      </c>
      <c r="T136" s="6">
        <f>[1]Production!S29+[1]Production!S31+[1]Production!S33+[1]Production!S35</f>
        <v>148320.04109000001</v>
      </c>
      <c r="U136" s="6">
        <f>[1]Production!T29+[1]Production!T31+[1]Production!T33+[1]Production!T35</f>
        <v>150657.82501</v>
      </c>
      <c r="V136" s="6">
        <f>[1]Production!U29+[1]Production!U31+[1]Production!U33+[1]Production!U35</f>
        <v>153215.46432</v>
      </c>
      <c r="W136" s="6">
        <f>[1]Production!V29+[1]Production!V31+[1]Production!V33+[1]Production!V35</f>
        <v>155999.99373000002</v>
      </c>
      <c r="X136" s="6">
        <f>[1]Production!W29+[1]Production!W31+[1]Production!W33+[1]Production!W35</f>
        <v>159017.02118000001</v>
      </c>
      <c r="Y136" s="6">
        <f>[1]Production!X29+[1]Production!X31+[1]Production!X33+[1]Production!X35</f>
        <v>162289.17136000001</v>
      </c>
      <c r="Z136" s="6">
        <f>[1]Production!Y29+[1]Production!Y31+[1]Production!Y33+[1]Production!Y35</f>
        <v>165827.13811999999</v>
      </c>
      <c r="AA136" s="6">
        <f>[1]Production!Z29+[1]Production!Z31+[1]Production!Z33+[1]Production!Z35</f>
        <v>169623.28214</v>
      </c>
      <c r="AB136" s="6">
        <f>[1]Production!AA29+[1]Production!AA31+[1]Production!AA33+[1]Production!AA35</f>
        <v>173678.36957000001</v>
      </c>
      <c r="AC136" s="6">
        <f>[1]Production!AB29+[1]Production!AB31+[1]Production!AB33+[1]Production!AB35</f>
        <v>177999.68460000001</v>
      </c>
      <c r="AD136" s="6">
        <f>[1]Production!AC29+[1]Production!AC31+[1]Production!AC33+[1]Production!AC35</f>
        <v>182613.78260000004</v>
      </c>
      <c r="AE136" s="6">
        <f>[1]Production!AD29+[1]Production!AD31+[1]Production!AD33+[1]Production!AD35</f>
        <v>187522.94086000003</v>
      </c>
      <c r="AF136" s="6">
        <f>[1]Production!AE29+[1]Production!AE31+[1]Production!AE33+[1]Production!AE35</f>
        <v>192676.71407000002</v>
      </c>
      <c r="AG136" s="6">
        <f>[1]Production!AF29+[1]Production!AF31+[1]Production!AF33+[1]Production!AF35</f>
        <v>198007.42047000001</v>
      </c>
      <c r="AH136" s="6">
        <f>[1]Production!AG29+[1]Production!AG31+[1]Production!AG33+[1]Production!AG35</f>
        <v>203464.01731000002</v>
      </c>
      <c r="AI136" s="6">
        <f>[1]Production!AH29+[1]Production!AH31+[1]Production!AH33+[1]Production!AH35</f>
        <v>209013.2634</v>
      </c>
      <c r="AJ136" s="6">
        <f>[1]Production!AI29+[1]Production!AI31+[1]Production!AI33+[1]Production!AI35</f>
        <v>214627.84368000002</v>
      </c>
      <c r="AK136" s="6">
        <f>[1]Production!AJ29+[1]Production!AJ31+[1]Production!AJ33+[1]Production!AJ35</f>
        <v>220282.16319999998</v>
      </c>
      <c r="AL136" s="6">
        <f>[1]Production!AK29+[1]Production!AK31+[1]Production!AK33+[1]Production!AK35</f>
        <v>225950.31103000001</v>
      </c>
    </row>
    <row r="138" spans="1:38" x14ac:dyDescent="0.35"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</row>
    <row r="139" spans="1:38" x14ac:dyDescent="0.35">
      <c r="C139" s="2"/>
    </row>
    <row r="140" spans="1:38" x14ac:dyDescent="0.35">
      <c r="A140" s="12" t="s">
        <v>56</v>
      </c>
      <c r="B140" t="s">
        <v>20</v>
      </c>
      <c r="C140" s="2">
        <v>42005</v>
      </c>
      <c r="D140" s="2">
        <v>42370</v>
      </c>
      <c r="E140" s="2">
        <v>42736</v>
      </c>
      <c r="F140" s="2">
        <v>43101</v>
      </c>
      <c r="G140" s="2">
        <v>43466</v>
      </c>
      <c r="H140" s="2">
        <v>43831</v>
      </c>
      <c r="I140" s="2">
        <v>44197</v>
      </c>
      <c r="J140" s="2">
        <v>44562</v>
      </c>
      <c r="K140" s="2">
        <v>44927</v>
      </c>
      <c r="L140" s="2">
        <v>45292</v>
      </c>
      <c r="M140" s="2">
        <v>45658</v>
      </c>
      <c r="N140" s="2">
        <v>46023</v>
      </c>
      <c r="O140" s="2">
        <v>46388</v>
      </c>
      <c r="P140" s="2">
        <v>46753</v>
      </c>
      <c r="Q140" s="2">
        <v>47119</v>
      </c>
      <c r="R140" s="2">
        <v>47484</v>
      </c>
      <c r="S140" s="2">
        <v>47849</v>
      </c>
      <c r="T140" s="2">
        <v>48214</v>
      </c>
      <c r="U140" s="2">
        <v>48580</v>
      </c>
      <c r="V140" s="2">
        <v>48945</v>
      </c>
      <c r="W140" s="2">
        <v>49310</v>
      </c>
      <c r="X140" s="2">
        <v>49675</v>
      </c>
      <c r="Y140" s="2">
        <v>50041</v>
      </c>
      <c r="Z140" s="2">
        <v>50406</v>
      </c>
      <c r="AA140" s="2">
        <v>50771</v>
      </c>
      <c r="AB140" s="2">
        <v>51136</v>
      </c>
      <c r="AC140" s="2">
        <v>51502</v>
      </c>
      <c r="AD140" s="2">
        <v>51867</v>
      </c>
      <c r="AE140" s="2">
        <v>52232</v>
      </c>
      <c r="AF140" s="2">
        <v>52597</v>
      </c>
      <c r="AG140" s="2">
        <v>52963</v>
      </c>
      <c r="AH140" s="2">
        <v>53328</v>
      </c>
      <c r="AI140" s="2">
        <v>53693</v>
      </c>
      <c r="AJ140" s="2">
        <v>54058</v>
      </c>
      <c r="AK140" s="2">
        <v>54424</v>
      </c>
      <c r="AL140" s="2">
        <v>54789</v>
      </c>
    </row>
    <row r="141" spans="1:38" x14ac:dyDescent="0.35">
      <c r="A141" t="s">
        <v>27</v>
      </c>
      <c r="B141" t="s">
        <v>22</v>
      </c>
      <c r="C141" s="6">
        <f>[1]Production!B2</f>
        <v>3864116.4539999999</v>
      </c>
      <c r="D141" s="6">
        <f>[1]Production!C2</f>
        <v>3907998.9040000001</v>
      </c>
      <c r="E141" s="6">
        <f>[1]Production!D2</f>
        <v>3963820.784</v>
      </c>
      <c r="F141" s="6">
        <f>[1]Production!E2</f>
        <v>4023743.8319999999</v>
      </c>
      <c r="G141" s="6">
        <f>[1]Production!F2</f>
        <v>4084585.8840000001</v>
      </c>
      <c r="H141" s="6">
        <f>[1]Production!G2</f>
        <v>4147263.95</v>
      </c>
      <c r="I141" s="6">
        <f>[1]Production!H2</f>
        <v>4212049.6950000003</v>
      </c>
      <c r="J141" s="6">
        <f>[1]Production!I2</f>
        <v>4266119.42</v>
      </c>
      <c r="K141" s="6">
        <f>[1]Production!J2</f>
        <v>4321646.4160000002</v>
      </c>
      <c r="L141" s="6">
        <f>[1]Production!K2</f>
        <v>4396640.0290000001</v>
      </c>
      <c r="M141" s="6">
        <f>[1]Production!L2</f>
        <v>4476653.3949999996</v>
      </c>
      <c r="N141" s="6">
        <f>[1]Production!M2</f>
        <v>4558445.733</v>
      </c>
      <c r="O141" s="6">
        <f>[1]Production!N2</f>
        <v>4639768.0630000001</v>
      </c>
      <c r="P141" s="6">
        <f>[1]Production!O2</f>
        <v>4718128.0590000004</v>
      </c>
      <c r="Q141" s="6">
        <f>[1]Production!P2</f>
        <v>4796119.449</v>
      </c>
      <c r="R141" s="6">
        <f>[1]Production!Q2</f>
        <v>4875271.5039999997</v>
      </c>
      <c r="S141" s="6">
        <f>[1]Production!R2</f>
        <v>4956303.8859999999</v>
      </c>
      <c r="T141" s="6">
        <f>[1]Production!S2</f>
        <v>5040458.8930000002</v>
      </c>
      <c r="U141" s="6">
        <f>[1]Production!T2</f>
        <v>5128509.432</v>
      </c>
      <c r="V141" s="6">
        <f>[1]Production!U2</f>
        <v>5220923.6720000003</v>
      </c>
      <c r="W141" s="6">
        <f>[1]Production!V2</f>
        <v>5318291.602</v>
      </c>
      <c r="X141" s="6">
        <f>[1]Production!W2</f>
        <v>5421130.801</v>
      </c>
      <c r="Y141" s="6">
        <f>[1]Production!X2</f>
        <v>5530219.4879999999</v>
      </c>
      <c r="Z141" s="6">
        <f>[1]Production!Y2</f>
        <v>5646022.0769999996</v>
      </c>
      <c r="AA141" s="6">
        <f>[1]Production!Z2</f>
        <v>5768534.6780000003</v>
      </c>
      <c r="AB141" s="6">
        <f>[1]Production!AA2</f>
        <v>5897872.9309999999</v>
      </c>
      <c r="AC141" s="6">
        <f>[1]Production!AB2</f>
        <v>6034426.4689999996</v>
      </c>
      <c r="AD141" s="6">
        <f>[1]Production!AC2</f>
        <v>6178909.8190000001</v>
      </c>
      <c r="AE141" s="6">
        <f>[1]Production!AD2</f>
        <v>6331645.75</v>
      </c>
      <c r="AF141" s="6">
        <f>[1]Production!AE2</f>
        <v>6491909.7470000004</v>
      </c>
      <c r="AG141" s="6">
        <f>[1]Production!AF2</f>
        <v>6658482.9079999998</v>
      </c>
      <c r="AH141" s="6">
        <f>[1]Production!AG2</f>
        <v>6830370.1229999997</v>
      </c>
      <c r="AI141" s="6">
        <f>[1]Production!AH2</f>
        <v>7006881.2120000003</v>
      </c>
      <c r="AJ141" s="6">
        <f>[1]Production!AI2</f>
        <v>7187400.9850000003</v>
      </c>
      <c r="AK141" s="6">
        <f>[1]Production!AJ2</f>
        <v>7371348.3899999997</v>
      </c>
      <c r="AL141" s="6">
        <f>[1]Production!AK2</f>
        <v>7558123.9419999998</v>
      </c>
    </row>
    <row r="142" spans="1:38" x14ac:dyDescent="0.35">
      <c r="B142" t="s">
        <v>7</v>
      </c>
      <c r="C142" s="6">
        <f>[1]Production!B4+[1]Production!B6</f>
        <v>88280.507807000002</v>
      </c>
      <c r="D142" s="6">
        <f>[1]Production!C4+[1]Production!C6</f>
        <v>87395.820636000004</v>
      </c>
      <c r="E142" s="6">
        <f>[1]Production!D4+[1]Production!D6</f>
        <v>87060.015014999997</v>
      </c>
      <c r="F142" s="6">
        <f>[1]Production!E4+[1]Production!E6</f>
        <v>87385.779926000003</v>
      </c>
      <c r="G142" s="6">
        <f>[1]Production!F4+[1]Production!F6</f>
        <v>88116.601580000002</v>
      </c>
      <c r="H142" s="6">
        <f>[1]Production!G4+[1]Production!G6</f>
        <v>89109.970686000001</v>
      </c>
      <c r="I142" s="6">
        <f>[1]Production!H4+[1]Production!H6</f>
        <v>90273.220185000013</v>
      </c>
      <c r="J142" s="6">
        <f>[1]Production!I4+[1]Production!I6</f>
        <v>91166.501208000001</v>
      </c>
      <c r="K142" s="6">
        <f>[1]Production!J4+[1]Production!J6</f>
        <v>92042.730031999992</v>
      </c>
      <c r="L142" s="6">
        <f>[1]Production!K4+[1]Production!K6</f>
        <v>93347.742311000009</v>
      </c>
      <c r="M142" s="6">
        <f>[1]Production!L4+[1]Production!L6</f>
        <v>94724.496127000006</v>
      </c>
      <c r="N142" s="6">
        <f>[1]Production!M4+[1]Production!M6</f>
        <v>96148.391114000013</v>
      </c>
      <c r="O142" s="6">
        <f>[1]Production!N4+[1]Production!N6</f>
        <v>97630.61563</v>
      </c>
      <c r="P142" s="6">
        <f>[1]Production!O4+[1]Production!O6</f>
        <v>99113.424906</v>
      </c>
      <c r="Q142" s="6">
        <f>[1]Production!P4+[1]Production!P6</f>
        <v>100643.18526700001</v>
      </c>
      <c r="R142" s="6">
        <f>[1]Production!Q4+[1]Production!Q6</f>
        <v>102235.48055199999</v>
      </c>
      <c r="S142" s="6">
        <f>[1]Production!R4+[1]Production!R6</f>
        <v>103909.62163200001</v>
      </c>
      <c r="T142" s="6">
        <f>[1]Production!S4+[1]Production!S6</f>
        <v>105654.558123</v>
      </c>
      <c r="U142" s="6">
        <f>[1]Production!T4+[1]Production!T6</f>
        <v>107488.522587</v>
      </c>
      <c r="V142" s="6">
        <f>[1]Production!U4+[1]Production!U6</f>
        <v>109426.378568</v>
      </c>
      <c r="W142" s="6">
        <f>[1]Production!V4+[1]Production!V6</f>
        <v>111484.959581</v>
      </c>
      <c r="X142" s="6">
        <f>[1]Production!W4+[1]Production!W6</f>
        <v>113676.74148</v>
      </c>
      <c r="Y142" s="6">
        <f>[1]Production!X4+[1]Production!X6</f>
        <v>116021.31420000001</v>
      </c>
      <c r="Z142" s="6">
        <f>[1]Production!Y4+[1]Production!Y6</f>
        <v>118531.43266600001</v>
      </c>
      <c r="AA142" s="6">
        <f>[1]Production!Z4+[1]Production!Z6</f>
        <v>121207.799318</v>
      </c>
      <c r="AB142" s="6">
        <f>[1]Production!AA4+[1]Production!AA6</f>
        <v>124053.537549</v>
      </c>
      <c r="AC142" s="6">
        <f>[1]Production!AB4+[1]Production!AB6</f>
        <v>127049.99494800001</v>
      </c>
      <c r="AD142" s="6">
        <f>[1]Production!AC4+[1]Production!AC6</f>
        <v>130235.271803</v>
      </c>
      <c r="AE142" s="6">
        <f>[1]Production!AD4+[1]Production!AD6</f>
        <v>133617.87410700001</v>
      </c>
      <c r="AF142" s="6">
        <f>[1]Production!AE4+[1]Production!AE6</f>
        <v>137179.169968</v>
      </c>
      <c r="AG142" s="6">
        <f>[1]Production!AF4+[1]Production!AF6</f>
        <v>140887.598719</v>
      </c>
      <c r="AH142" s="6">
        <f>[1]Production!AG4+[1]Production!AG6</f>
        <v>144716.37663300001</v>
      </c>
      <c r="AI142" s="6">
        <f>[1]Production!AH4+[1]Production!AH6</f>
        <v>148646.76786099997</v>
      </c>
      <c r="AJ142" s="6">
        <f>[1]Production!AI4+[1]Production!AI6</f>
        <v>152663.16636599999</v>
      </c>
      <c r="AK142" s="6">
        <f>[1]Production!AJ4+[1]Production!AJ6</f>
        <v>156750.88262700001</v>
      </c>
      <c r="AL142" s="6">
        <f>[1]Production!AK4+[1]Production!AK6</f>
        <v>160893.959829</v>
      </c>
    </row>
    <row r="143" spans="1:38" x14ac:dyDescent="0.35">
      <c r="B143" t="s">
        <v>96</v>
      </c>
      <c r="C143" s="6">
        <f>[1]Production!B26</f>
        <v>271154.46340000001</v>
      </c>
      <c r="D143" s="6">
        <f>[1]Production!C26</f>
        <v>289909.57260000001</v>
      </c>
      <c r="E143" s="6">
        <f>[1]Production!D26</f>
        <v>307322.84590000001</v>
      </c>
      <c r="F143" s="6">
        <f>[1]Production!E26</f>
        <v>317110.48190000001</v>
      </c>
      <c r="G143" s="6">
        <f>[1]Production!F26</f>
        <v>322345.09259999997</v>
      </c>
      <c r="H143" s="6">
        <f>[1]Production!G26</f>
        <v>325813.02750000003</v>
      </c>
      <c r="I143" s="6">
        <f>[1]Production!H26</f>
        <v>328940.45280000003</v>
      </c>
      <c r="J143" s="6">
        <f>[1]Production!I26</f>
        <v>331765.37959999999</v>
      </c>
      <c r="K143" s="6">
        <f>[1]Production!J26</f>
        <v>335442.9509</v>
      </c>
      <c r="L143" s="6">
        <f>[1]Production!K26</f>
        <v>340843.15179999999</v>
      </c>
      <c r="M143" s="6">
        <f>[1]Production!L26</f>
        <v>347515.12560000003</v>
      </c>
      <c r="N143" s="6">
        <f>[1]Production!M26</f>
        <v>354646.57059999998</v>
      </c>
      <c r="O143" s="6">
        <f>[1]Production!N26</f>
        <v>361307.01909999998</v>
      </c>
      <c r="P143" s="6">
        <f>[1]Production!O26</f>
        <v>367484.77419999999</v>
      </c>
      <c r="Q143" s="6">
        <f>[1]Production!P26</f>
        <v>373504.348</v>
      </c>
      <c r="R143" s="6">
        <f>[1]Production!Q26</f>
        <v>379643.9535</v>
      </c>
      <c r="S143" s="6">
        <f>[1]Production!R26</f>
        <v>386125.8996</v>
      </c>
      <c r="T143" s="6">
        <f>[1]Production!S26</f>
        <v>393117.75040000002</v>
      </c>
      <c r="U143" s="6">
        <f>[1]Production!T26</f>
        <v>400535.35399999999</v>
      </c>
      <c r="V143" s="6">
        <f>[1]Production!U26</f>
        <v>408286.95909999998</v>
      </c>
      <c r="W143" s="6">
        <f>[1]Production!V26</f>
        <v>416346.9362</v>
      </c>
      <c r="X143" s="6">
        <f>[1]Production!W26</f>
        <v>424734.91190000001</v>
      </c>
      <c r="Y143" s="6">
        <f>[1]Production!X26</f>
        <v>433483.51650000003</v>
      </c>
      <c r="Z143" s="6">
        <f>[1]Production!Y26</f>
        <v>442626.01189999998</v>
      </c>
      <c r="AA143" s="6">
        <f>[1]Production!Z26</f>
        <v>452178.11290000001</v>
      </c>
      <c r="AB143" s="6">
        <f>[1]Production!AA26</f>
        <v>462176.45439999999</v>
      </c>
      <c r="AC143" s="6">
        <f>[1]Production!AB26</f>
        <v>472651.36560000002</v>
      </c>
      <c r="AD143" s="6">
        <f>[1]Production!AC26</f>
        <v>483617.06459999998</v>
      </c>
      <c r="AE143" s="6">
        <f>[1]Production!AD26</f>
        <v>495147.06420000002</v>
      </c>
      <c r="AF143" s="6">
        <f>[1]Production!AE26</f>
        <v>507297.52490000002</v>
      </c>
      <c r="AG143" s="6">
        <f>[1]Production!AF26</f>
        <v>520097.185</v>
      </c>
      <c r="AH143" s="6">
        <f>[1]Production!AG26</f>
        <v>533537.76879999996</v>
      </c>
      <c r="AI143" s="6">
        <f>[1]Production!AH26</f>
        <v>547574.87910000002</v>
      </c>
      <c r="AJ143" s="6">
        <f>[1]Production!AI26</f>
        <v>562171.80500000005</v>
      </c>
      <c r="AK143" s="6">
        <f>[1]Production!AJ26</f>
        <v>577298.66150000005</v>
      </c>
      <c r="AL143" s="6">
        <f>[1]Production!AK26</f>
        <v>592930.88890000002</v>
      </c>
    </row>
    <row r="144" spans="1:38" x14ac:dyDescent="0.35">
      <c r="B144" t="s">
        <v>11</v>
      </c>
      <c r="C144" s="6">
        <f>[1]Production!B50+[1]Production!B52+[1]Production!B54+[1]Production!B56+[1]Production!B58+[1]Production!B60+[1]Production!B62+[1]Production!B64+[1]Production!B66</f>
        <v>44622.702614660004</v>
      </c>
      <c r="D144" s="6">
        <f>[1]Production!C50+[1]Production!C52+[1]Production!C54+[1]Production!C56+[1]Production!C58+[1]Production!C60+[1]Production!C62+[1]Production!C64+[1]Production!C66</f>
        <v>45120.450117629989</v>
      </c>
      <c r="E144" s="6">
        <f>[1]Production!D50+[1]Production!D52+[1]Production!D54+[1]Production!D56+[1]Production!D58+[1]Production!D60+[1]Production!D62+[1]Production!D64+[1]Production!D66</f>
        <v>45566.662220419996</v>
      </c>
      <c r="F144" s="6">
        <f>[1]Production!E50+[1]Production!E52+[1]Production!E54+[1]Production!E56+[1]Production!E58+[1]Production!E60+[1]Production!E62+[1]Production!E64+[1]Production!E66</f>
        <v>46073.709404669993</v>
      </c>
      <c r="G144" s="6">
        <f>[1]Production!F50+[1]Production!F52+[1]Production!F54+[1]Production!F56+[1]Production!F58+[1]Production!F60+[1]Production!F62+[1]Production!F64+[1]Production!F66</f>
        <v>46570.867773589991</v>
      </c>
      <c r="H144" s="6">
        <f>[1]Production!G50+[1]Production!G52+[1]Production!G54+[1]Production!G56+[1]Production!G58+[1]Production!G60+[1]Production!G62+[1]Production!G64+[1]Production!G66</f>
        <v>47118.259820010004</v>
      </c>
      <c r="I144" s="6">
        <f>[1]Production!H50+[1]Production!H52+[1]Production!H54+[1]Production!H56+[1]Production!H58+[1]Production!H60+[1]Production!H62+[1]Production!H64+[1]Production!H66</f>
        <v>47741.223570680006</v>
      </c>
      <c r="J144" s="6">
        <f>[1]Production!I50+[1]Production!I52+[1]Production!I54+[1]Production!I56+[1]Production!I58+[1]Production!I60+[1]Production!I62+[1]Production!I64+[1]Production!I66</f>
        <v>48841.576348819995</v>
      </c>
      <c r="K144" s="6">
        <f>[1]Production!J50+[1]Production!J52+[1]Production!J54+[1]Production!J56+[1]Production!J58+[1]Production!J60+[1]Production!J62+[1]Production!J64+[1]Production!J66</f>
        <v>50096.592600369993</v>
      </c>
      <c r="L144" s="6">
        <f>[1]Production!K50+[1]Production!K52+[1]Production!K54+[1]Production!K56+[1]Production!K58+[1]Production!K60+[1]Production!K62+[1]Production!K64+[1]Production!K66</f>
        <v>51731.951876750019</v>
      </c>
      <c r="M144" s="6">
        <f>[1]Production!L50+[1]Production!L52+[1]Production!L54+[1]Production!L56+[1]Production!L58+[1]Production!L60+[1]Production!L62+[1]Production!L64+[1]Production!L66</f>
        <v>53532.303061409999</v>
      </c>
      <c r="N144" s="6">
        <f>[1]Production!M50+[1]Production!M52+[1]Production!M54+[1]Production!M56+[1]Production!M58+[1]Production!M60+[1]Production!M62+[1]Production!M64+[1]Production!M66</f>
        <v>55358.754127330008</v>
      </c>
      <c r="O144" s="6">
        <f>[1]Production!N50+[1]Production!N52+[1]Production!N54+[1]Production!N56+[1]Production!N58+[1]Production!N60+[1]Production!N62+[1]Production!N64+[1]Production!N66</f>
        <v>57194.973678710012</v>
      </c>
      <c r="P144" s="6">
        <f>[1]Production!O50+[1]Production!O52+[1]Production!O54+[1]Production!O56+[1]Production!O58+[1]Production!O60+[1]Production!O62+[1]Production!O64+[1]Production!O66</f>
        <v>58999.825616249997</v>
      </c>
      <c r="Q144" s="6">
        <f>[1]Production!P50+[1]Production!P52+[1]Production!P54+[1]Production!P56+[1]Production!P58+[1]Production!P60+[1]Production!P62+[1]Production!P64+[1]Production!P66</f>
        <v>60801.57504245999</v>
      </c>
      <c r="R144" s="6">
        <f>[1]Production!Q50+[1]Production!Q52+[1]Production!Q54+[1]Production!Q56+[1]Production!Q58+[1]Production!Q60+[1]Production!Q62+[1]Production!Q64+[1]Production!Q66</f>
        <v>62609.089444369994</v>
      </c>
      <c r="S144" s="6">
        <f>[1]Production!R50+[1]Production!R52+[1]Production!R54+[1]Production!R56+[1]Production!R58+[1]Production!R60+[1]Production!R62+[1]Production!R64+[1]Production!R66</f>
        <v>64345.494660580007</v>
      </c>
      <c r="T144" s="6">
        <f>[1]Production!S50+[1]Production!S52+[1]Production!S54+[1]Production!S56+[1]Production!S58+[1]Production!S60+[1]Production!S62+[1]Production!S64+[1]Production!S66</f>
        <v>66103.36941051</v>
      </c>
      <c r="U144" s="6">
        <f>[1]Production!T50+[1]Production!T52+[1]Production!T54+[1]Production!T56+[1]Production!T58+[1]Production!T60+[1]Production!T62+[1]Production!T64+[1]Production!T66</f>
        <v>67879.069254800008</v>
      </c>
      <c r="V144" s="6">
        <f>[1]Production!U50+[1]Production!U52+[1]Production!U54+[1]Production!U56+[1]Production!U58+[1]Production!U60+[1]Production!U62+[1]Production!U64+[1]Production!U66</f>
        <v>69672.828396130004</v>
      </c>
      <c r="W144" s="6">
        <f>[1]Production!V50+[1]Production!V52+[1]Production!V54+[1]Production!V56+[1]Production!V58+[1]Production!V60+[1]Production!V62+[1]Production!V64+[1]Production!V66</f>
        <v>71491.388567019996</v>
      </c>
      <c r="X144" s="6">
        <f>[1]Production!W50+[1]Production!W52+[1]Production!W54+[1]Production!W56+[1]Production!W58+[1]Production!W60+[1]Production!W62+[1]Production!W64+[1]Production!W66</f>
        <v>73345.624232999995</v>
      </c>
      <c r="Y144" s="6">
        <f>[1]Production!X50+[1]Production!X52+[1]Production!X54+[1]Production!X56+[1]Production!X58+[1]Production!X60+[1]Production!X62+[1]Production!X64+[1]Production!X66</f>
        <v>75249.914392129998</v>
      </c>
      <c r="Z144" s="6">
        <f>[1]Production!Y50+[1]Production!Y52+[1]Production!Y54+[1]Production!Y56+[1]Production!Y58+[1]Production!Y60+[1]Production!Y62+[1]Production!Y64+[1]Production!Y66</f>
        <v>77209.976119849991</v>
      </c>
      <c r="AA144" s="6">
        <f>[1]Production!Z50+[1]Production!Z52+[1]Production!Z54+[1]Production!Z56+[1]Production!Z58+[1]Production!Z60+[1]Production!Z62+[1]Production!Z64+[1]Production!Z66</f>
        <v>79225.347394049997</v>
      </c>
      <c r="AB144" s="6">
        <f>[1]Production!AA50+[1]Production!AA52+[1]Production!AA54+[1]Production!AA56+[1]Production!AA58+[1]Production!AA60+[1]Production!AA62+[1]Production!AA64+[1]Production!AA66</f>
        <v>81296.623087519998</v>
      </c>
      <c r="AC144" s="6">
        <f>[1]Production!AB50+[1]Production!AB52+[1]Production!AB54+[1]Production!AB56+[1]Production!AB58+[1]Production!AB60+[1]Production!AB62+[1]Production!AB64+[1]Production!AB66</f>
        <v>83475.199712870002</v>
      </c>
      <c r="AD144" s="6">
        <f>[1]Production!AC50+[1]Production!AC52+[1]Production!AC54+[1]Production!AC56+[1]Production!AC58+[1]Production!AC60+[1]Production!AC62+[1]Production!AC64+[1]Production!AC66</f>
        <v>85753.14773288001</v>
      </c>
      <c r="AE144" s="6">
        <f>[1]Production!AD50+[1]Production!AD52+[1]Production!AD54+[1]Production!AD56+[1]Production!AD58+[1]Production!AD60+[1]Production!AD62+[1]Production!AD64+[1]Production!AD66</f>
        <v>88130.593839860012</v>
      </c>
      <c r="AF144" s="6">
        <f>[1]Production!AE50+[1]Production!AE52+[1]Production!AE54+[1]Production!AE56+[1]Production!AE58+[1]Production!AE60+[1]Production!AE62+[1]Production!AE64+[1]Production!AE66</f>
        <v>90587.965629740022</v>
      </c>
      <c r="AG144" s="6">
        <f>[1]Production!AF50+[1]Production!AF52+[1]Production!AF54+[1]Production!AF56+[1]Production!AF58+[1]Production!AF60+[1]Production!AF62+[1]Production!AF64+[1]Production!AF66</f>
        <v>93099.881007930002</v>
      </c>
      <c r="AH144" s="6">
        <f>[1]Production!AG50+[1]Production!AG52+[1]Production!AG54+[1]Production!AG56+[1]Production!AG58+[1]Production!AG60+[1]Production!AG62+[1]Production!AG64+[1]Production!AG66</f>
        <v>95652.705277619985</v>
      </c>
      <c r="AI144" s="6">
        <f>[1]Production!AH50+[1]Production!AH52+[1]Production!AH54+[1]Production!AH56+[1]Production!AH58+[1]Production!AH60+[1]Production!AH62+[1]Production!AH64+[1]Production!AH66</f>
        <v>98241.631929670009</v>
      </c>
      <c r="AJ144" s="6">
        <f>[1]Production!AI50+[1]Production!AI52+[1]Production!AI54+[1]Production!AI56+[1]Production!AI58+[1]Production!AI60+[1]Production!AI62+[1]Production!AI64+[1]Production!AI66</f>
        <v>100855.35064159999</v>
      </c>
      <c r="AK144" s="6">
        <f>[1]Production!AJ50+[1]Production!AJ52+[1]Production!AJ54+[1]Production!AJ56+[1]Production!AJ58+[1]Production!AJ60+[1]Production!AJ62+[1]Production!AJ64+[1]Production!AJ66</f>
        <v>103480.15503690002</v>
      </c>
      <c r="AL144" s="6">
        <f>[1]Production!AK50+[1]Production!AK52+[1]Production!AK54+[1]Production!AK56+[1]Production!AK58+[1]Production!AK60+[1]Production!AK62+[1]Production!AK64+[1]Production!AK66</f>
        <v>106101.43109170001</v>
      </c>
    </row>
    <row r="145" spans="1:38" x14ac:dyDescent="0.35">
      <c r="B145" t="s">
        <v>8</v>
      </c>
      <c r="C145" s="6">
        <f>-[1]Production!B26+[1]Production!B8+[1]Production!B10+[1]Production!B12+[1]Production!B14+[1]Production!B16+[1]Production!B18+[1]Production!B20+[1]Production!B22+[1]Production!B24+[1]Production!B26+[1]Production!B40</f>
        <v>707815.55536700005</v>
      </c>
      <c r="D145" s="6">
        <f>-[1]Production!C26+[1]Production!C8+[1]Production!C10+[1]Production!C12+[1]Production!C14+[1]Production!C16+[1]Production!C18+[1]Production!C20+[1]Production!C22+[1]Production!C24+[1]Production!C26+[1]Production!C40</f>
        <v>712349.89023399993</v>
      </c>
      <c r="E145" s="6">
        <f>-[1]Production!D26+[1]Production!D8+[1]Production!D10+[1]Production!D12+[1]Production!D14+[1]Production!D16+[1]Production!D18+[1]Production!D20+[1]Production!D22+[1]Production!D24+[1]Production!D26+[1]Production!D40</f>
        <v>719774.06068200001</v>
      </c>
      <c r="F145" s="6">
        <f>-[1]Production!E26+[1]Production!E8+[1]Production!E10+[1]Production!E12+[1]Production!E14+[1]Production!E16+[1]Production!E18+[1]Production!E20+[1]Production!E22+[1]Production!E24+[1]Production!E26+[1]Production!E40</f>
        <v>728851.49768700008</v>
      </c>
      <c r="G145" s="6">
        <f>-[1]Production!F26+[1]Production!F8+[1]Production!F10+[1]Production!F12+[1]Production!F14+[1]Production!F16+[1]Production!F18+[1]Production!F20+[1]Production!F22+[1]Production!F24+[1]Production!F26+[1]Production!F40</f>
        <v>738846.31102499994</v>
      </c>
      <c r="H145" s="6">
        <f>-[1]Production!G26+[1]Production!G8+[1]Production!G10+[1]Production!G12+[1]Production!G14+[1]Production!G16+[1]Production!G18+[1]Production!G20+[1]Production!G22+[1]Production!G24+[1]Production!G26+[1]Production!G40</f>
        <v>749628.80269799998</v>
      </c>
      <c r="I145" s="6">
        <f>-[1]Production!H26+[1]Production!H8+[1]Production!H10+[1]Production!H12+[1]Production!H14+[1]Production!H16+[1]Production!H18+[1]Production!H20+[1]Production!H22+[1]Production!H24+[1]Production!H26+[1]Production!H40</f>
        <v>761067.04222099995</v>
      </c>
      <c r="J145" s="6">
        <f>-[1]Production!I26+[1]Production!I8+[1]Production!I10+[1]Production!I12+[1]Production!I14+[1]Production!I16+[1]Production!I18+[1]Production!I20+[1]Production!I22+[1]Production!I24+[1]Production!I26+[1]Production!I40</f>
        <v>768629.59165399999</v>
      </c>
      <c r="K145" s="6">
        <f>-[1]Production!J26+[1]Production!J8+[1]Production!J10+[1]Production!J12+[1]Production!J14+[1]Production!J16+[1]Production!J18+[1]Production!J20+[1]Production!J22+[1]Production!J24+[1]Production!J26+[1]Production!J40</f>
        <v>777156.63348399999</v>
      </c>
      <c r="L145" s="6">
        <f>-[1]Production!K26+[1]Production!K8+[1]Production!K10+[1]Production!K12+[1]Production!K14+[1]Production!K16+[1]Production!K18+[1]Production!K20+[1]Production!K22+[1]Production!K24+[1]Production!K26+[1]Production!K40</f>
        <v>792201.660745</v>
      </c>
      <c r="M145" s="6">
        <f>-[1]Production!L26+[1]Production!L8+[1]Production!L10+[1]Production!L12+[1]Production!L14+[1]Production!L16+[1]Production!L18+[1]Production!L20+[1]Production!L22+[1]Production!L24+[1]Production!L26+[1]Production!L40</f>
        <v>807898.57202199998</v>
      </c>
      <c r="N145" s="6">
        <f>-[1]Production!M26+[1]Production!M8+[1]Production!M10+[1]Production!M12+[1]Production!M14+[1]Production!M16+[1]Production!M18+[1]Production!M20+[1]Production!M22+[1]Production!M24+[1]Production!M26+[1]Production!M40</f>
        <v>823465.85392299993</v>
      </c>
      <c r="O145" s="6">
        <f>-[1]Production!N26+[1]Production!N8+[1]Production!N10+[1]Production!N12+[1]Production!N14+[1]Production!N16+[1]Production!N18+[1]Production!N20+[1]Production!N22+[1]Production!N24+[1]Production!N26+[1]Production!N40</f>
        <v>837979.06086899992</v>
      </c>
      <c r="P145" s="6">
        <f>-[1]Production!O26+[1]Production!O8+[1]Production!O10+[1]Production!O12+[1]Production!O14+[1]Production!O16+[1]Production!O18+[1]Production!O20+[1]Production!O22+[1]Production!O24+[1]Production!O26+[1]Production!O40</f>
        <v>850734.93263699987</v>
      </c>
      <c r="Q145" s="6">
        <f>-[1]Production!P26+[1]Production!P8+[1]Production!P10+[1]Production!P12+[1]Production!P14+[1]Production!P16+[1]Production!P18+[1]Production!P20+[1]Production!P22+[1]Production!P24+[1]Production!P26+[1]Production!P40</f>
        <v>862917.37528399995</v>
      </c>
      <c r="R145" s="6">
        <f>-[1]Production!Q26+[1]Production!Q8+[1]Production!Q10+[1]Production!Q12+[1]Production!Q14+[1]Production!Q16+[1]Production!Q18+[1]Production!Q20+[1]Production!Q22+[1]Production!Q24+[1]Production!Q26+[1]Production!Q40</f>
        <v>875175.08377000003</v>
      </c>
      <c r="S145" s="6">
        <f>-[1]Production!R26+[1]Production!R8+[1]Production!R10+[1]Production!R12+[1]Production!R14+[1]Production!R16+[1]Production!R18+[1]Production!R20+[1]Production!R22+[1]Production!R24+[1]Production!R26+[1]Production!R40</f>
        <v>887686.6303800001</v>
      </c>
      <c r="T145" s="6">
        <f>-[1]Production!S26+[1]Production!S8+[1]Production!S10+[1]Production!S12+[1]Production!S14+[1]Production!S16+[1]Production!S18+[1]Production!S20+[1]Production!S22+[1]Production!S24+[1]Production!S26+[1]Production!S40</f>
        <v>901015.49751999986</v>
      </c>
      <c r="U145" s="6">
        <f>-[1]Production!T26+[1]Production!T8+[1]Production!T10+[1]Production!T12+[1]Production!T14+[1]Production!T16+[1]Production!T18+[1]Production!T20+[1]Production!T22+[1]Production!T24+[1]Production!T26+[1]Production!T40</f>
        <v>915451.60499999986</v>
      </c>
      <c r="V145" s="6">
        <f>-[1]Production!U26+[1]Production!U8+[1]Production!U10+[1]Production!U12+[1]Production!U14+[1]Production!U16+[1]Production!U18+[1]Production!U20+[1]Production!U22+[1]Production!U24+[1]Production!U26+[1]Production!U40</f>
        <v>931124.31235000002</v>
      </c>
      <c r="W145" s="6">
        <f>-[1]Production!V26+[1]Production!V8+[1]Production!V10+[1]Production!V12+[1]Production!V14+[1]Production!V16+[1]Production!V18+[1]Production!V20+[1]Production!V22+[1]Production!V24+[1]Production!V26+[1]Production!V40</f>
        <v>948190.6749000001</v>
      </c>
      <c r="X145" s="6">
        <f>-[1]Production!W26+[1]Production!W8+[1]Production!W10+[1]Production!W12+[1]Production!W14+[1]Production!W16+[1]Production!W18+[1]Production!W20+[1]Production!W22+[1]Production!W24+[1]Production!W26+[1]Production!W40</f>
        <v>966789.44384000008</v>
      </c>
      <c r="Y145" s="6">
        <f>-[1]Production!X26+[1]Production!X8+[1]Production!X10+[1]Production!X12+[1]Production!X14+[1]Production!X16+[1]Production!X18+[1]Production!X20+[1]Production!X22+[1]Production!X24+[1]Production!X26+[1]Production!X40</f>
        <v>987147.33232000005</v>
      </c>
      <c r="Z145" s="6">
        <f>-[1]Production!Y26+[1]Production!Y8+[1]Production!Y10+[1]Production!Y12+[1]Production!Y14+[1]Production!Y16+[1]Production!Y18+[1]Production!Y20+[1]Production!Y22+[1]Production!Y24+[1]Production!Y26+[1]Production!Y40</f>
        <v>1009342.9783499999</v>
      </c>
      <c r="AA145" s="6">
        <f>-[1]Production!Z26+[1]Production!Z8+[1]Production!Z10+[1]Production!Z12+[1]Production!Z14+[1]Production!Z16+[1]Production!Z18+[1]Production!Z20+[1]Production!Z22+[1]Production!Z24+[1]Production!Z26+[1]Production!Z40</f>
        <v>1033307.7973600001</v>
      </c>
      <c r="AB145" s="6">
        <f>-[1]Production!AA26+[1]Production!AA8+[1]Production!AA10+[1]Production!AA12+[1]Production!AA14+[1]Production!AA16+[1]Production!AA18+[1]Production!AA20+[1]Production!AA22+[1]Production!AA24+[1]Production!AA26+[1]Production!AA40</f>
        <v>1059035.75666</v>
      </c>
      <c r="AC145" s="6">
        <f>-[1]Production!AB26+[1]Production!AB8+[1]Production!AB10+[1]Production!AB12+[1]Production!AB14+[1]Production!AB16+[1]Production!AB18+[1]Production!AB20+[1]Production!AB22+[1]Production!AB24+[1]Production!AB26+[1]Production!AB40</f>
        <v>1086627.9659199999</v>
      </c>
      <c r="AD145" s="6">
        <f>-[1]Production!AC26+[1]Production!AC8+[1]Production!AC10+[1]Production!AC12+[1]Production!AC14+[1]Production!AC16+[1]Production!AC18+[1]Production!AC20+[1]Production!AC22+[1]Production!AC24+[1]Production!AC26+[1]Production!AC40</f>
        <v>1116424.0126099999</v>
      </c>
      <c r="AE145" s="6">
        <f>-[1]Production!AD26+[1]Production!AD8+[1]Production!AD10+[1]Production!AD12+[1]Production!AD14+[1]Production!AD16+[1]Production!AD18+[1]Production!AD20+[1]Production!AD22+[1]Production!AD24+[1]Production!AD26+[1]Production!AD40</f>
        <v>1148421.7705799998</v>
      </c>
      <c r="AF145" s="6">
        <f>-[1]Production!AE26+[1]Production!AE8+[1]Production!AE10+[1]Production!AE12+[1]Production!AE14+[1]Production!AE16+[1]Production!AE18+[1]Production!AE20+[1]Production!AE22+[1]Production!AE24+[1]Production!AE26+[1]Production!AE40</f>
        <v>1182224.3374599998</v>
      </c>
      <c r="AG145" s="6">
        <f>-[1]Production!AF26+[1]Production!AF8+[1]Production!AF10+[1]Production!AF12+[1]Production!AF14+[1]Production!AF16+[1]Production!AF18+[1]Production!AF20+[1]Production!AF22+[1]Production!AF24+[1]Production!AF26+[1]Production!AF40</f>
        <v>1217324.6101199999</v>
      </c>
      <c r="AH145" s="6">
        <f>-[1]Production!AG26+[1]Production!AG8+[1]Production!AG10+[1]Production!AG12+[1]Production!AG14+[1]Production!AG16+[1]Production!AG18+[1]Production!AG20+[1]Production!AG22+[1]Production!AG24+[1]Production!AG26+[1]Production!AG40</f>
        <v>1253398.7788199999</v>
      </c>
      <c r="AI145" s="6">
        <f>-[1]Production!AH26+[1]Production!AH8+[1]Production!AH10+[1]Production!AH12+[1]Production!AH14+[1]Production!AH16+[1]Production!AH18+[1]Production!AH20+[1]Production!AH22+[1]Production!AH24+[1]Production!AH26+[1]Production!AH40</f>
        <v>1290278.4997999999</v>
      </c>
      <c r="AJ145" s="6">
        <f>-[1]Production!AI26+[1]Production!AI8+[1]Production!AI10+[1]Production!AI12+[1]Production!AI14+[1]Production!AI16+[1]Production!AI18+[1]Production!AI20+[1]Production!AI22+[1]Production!AI24+[1]Production!AI26+[1]Production!AI40</f>
        <v>1327781.90573</v>
      </c>
      <c r="AK145" s="6">
        <f>-[1]Production!AJ26+[1]Production!AJ8+[1]Production!AJ10+[1]Production!AJ12+[1]Production!AJ14+[1]Production!AJ16+[1]Production!AJ18+[1]Production!AJ20+[1]Production!AJ22+[1]Production!AJ24+[1]Production!AJ26+[1]Production!AJ40</f>
        <v>1365731.0957200001</v>
      </c>
      <c r="AL145" s="6">
        <f>-[1]Production!AK26+[1]Production!AK8+[1]Production!AK10+[1]Production!AK12+[1]Production!AK14+[1]Production!AK16+[1]Production!AK18+[1]Production!AK20+[1]Production!AK22+[1]Production!AK24+[1]Production!AK26+[1]Production!AK40</f>
        <v>1403955.00856</v>
      </c>
    </row>
    <row r="146" spans="1:38" x14ac:dyDescent="0.35">
      <c r="B146" t="s">
        <v>24</v>
      </c>
      <c r="C146" s="6">
        <f>[1]Production!B42+[1]Production!B46+[1]Production!B44+[1]Production!B48</f>
        <v>68174.955291899998</v>
      </c>
      <c r="D146" s="6">
        <f>[1]Production!C42+[1]Production!C46+[1]Production!C44+[1]Production!C48</f>
        <v>69921.791079400005</v>
      </c>
      <c r="E146" s="6">
        <f>[1]Production!D42+[1]Production!D46+[1]Production!D44+[1]Production!D48</f>
        <v>71358.293779900006</v>
      </c>
      <c r="F146" s="6">
        <f>[1]Production!E42+[1]Production!E46+[1]Production!E44+[1]Production!E48</f>
        <v>72583.546490199995</v>
      </c>
      <c r="G146" s="6">
        <f>[1]Production!F42+[1]Production!F46+[1]Production!F44+[1]Production!F48</f>
        <v>73776.487699200006</v>
      </c>
      <c r="H146" s="6">
        <f>[1]Production!G42+[1]Production!G46+[1]Production!G44+[1]Production!G48</f>
        <v>74950.984118799999</v>
      </c>
      <c r="I146" s="6">
        <f>[1]Production!H42+[1]Production!H46+[1]Production!H44+[1]Production!H48</f>
        <v>76097.994757900015</v>
      </c>
      <c r="J146" s="6">
        <f>[1]Production!I42+[1]Production!I46+[1]Production!I44+[1]Production!I48</f>
        <v>75665.667241899995</v>
      </c>
      <c r="K146" s="6">
        <f>[1]Production!J42+[1]Production!J46+[1]Production!J44+[1]Production!J48</f>
        <v>74989.842760900006</v>
      </c>
      <c r="L146" s="6">
        <f>[1]Production!K42+[1]Production!K46+[1]Production!K44+[1]Production!K48</f>
        <v>74248.846443100003</v>
      </c>
      <c r="M146" s="6">
        <f>[1]Production!L42+[1]Production!L46+[1]Production!L44+[1]Production!L48</f>
        <v>73302.482979999986</v>
      </c>
      <c r="N146" s="6">
        <f>[1]Production!M42+[1]Production!M46+[1]Production!M44+[1]Production!M48</f>
        <v>72273.742816000013</v>
      </c>
      <c r="O146" s="6">
        <f>[1]Production!N42+[1]Production!N46+[1]Production!N44+[1]Production!N48</f>
        <v>71186.2629361</v>
      </c>
      <c r="P146" s="6">
        <f>[1]Production!O42+[1]Production!O46+[1]Production!O44+[1]Production!O48</f>
        <v>70062.676630699993</v>
      </c>
      <c r="Q146" s="6">
        <f>[1]Production!P42+[1]Production!P46+[1]Production!P44+[1]Production!P48</f>
        <v>68966.307192699998</v>
      </c>
      <c r="R146" s="6">
        <f>[1]Production!Q42+[1]Production!Q46+[1]Production!Q44+[1]Production!Q48</f>
        <v>67933.73116570001</v>
      </c>
      <c r="S146" s="6">
        <f>[1]Production!R42+[1]Production!R46+[1]Production!R44+[1]Production!R48</f>
        <v>67118.058840600002</v>
      </c>
      <c r="T146" s="6">
        <f>[1]Production!S42+[1]Production!S46+[1]Production!S44+[1]Production!S48</f>
        <v>66369.748971399997</v>
      </c>
      <c r="U146" s="6">
        <f>[1]Production!T42+[1]Production!T46+[1]Production!T44+[1]Production!T48</f>
        <v>65702.808661000003</v>
      </c>
      <c r="V146" s="6">
        <f>[1]Production!U42+[1]Production!U46+[1]Production!U44+[1]Production!U48</f>
        <v>65125.706304000007</v>
      </c>
      <c r="W146" s="6">
        <f>[1]Production!V42+[1]Production!V46+[1]Production!V44+[1]Production!V48</f>
        <v>64645.225516000006</v>
      </c>
      <c r="X146" s="6">
        <f>[1]Production!W42+[1]Production!W46+[1]Production!W44+[1]Production!W48</f>
        <v>64267.238237999998</v>
      </c>
      <c r="Y146" s="6">
        <f>[1]Production!X42+[1]Production!X46+[1]Production!X44+[1]Production!X48</f>
        <v>63998.774612000001</v>
      </c>
      <c r="Z146" s="6">
        <f>[1]Production!Y42+[1]Production!Y46+[1]Production!Y44+[1]Production!Y48</f>
        <v>63841.123896999998</v>
      </c>
      <c r="AA146" s="6">
        <f>[1]Production!Z42+[1]Production!Z46+[1]Production!Z44+[1]Production!Z48</f>
        <v>63793.032350000001</v>
      </c>
      <c r="AB146" s="6">
        <f>[1]Production!AA42+[1]Production!AA46+[1]Production!AA44+[1]Production!AA48</f>
        <v>63855.040573999999</v>
      </c>
      <c r="AC146" s="6">
        <f>[1]Production!AB42+[1]Production!AB46+[1]Production!AB44+[1]Production!AB48</f>
        <v>64051.893538000004</v>
      </c>
      <c r="AD146" s="6">
        <f>[1]Production!AC42+[1]Production!AC46+[1]Production!AC44+[1]Production!AC48</f>
        <v>64378.091816</v>
      </c>
      <c r="AE146" s="6">
        <f>[1]Production!AD42+[1]Production!AD46+[1]Production!AD44+[1]Production!AD48</f>
        <v>64836.501361000002</v>
      </c>
      <c r="AF146" s="6">
        <f>[1]Production!AE42+[1]Production!AE46+[1]Production!AE44+[1]Production!AE48</f>
        <v>65419.246077000003</v>
      </c>
      <c r="AG146" s="6">
        <f>[1]Production!AF42+[1]Production!AF46+[1]Production!AF44+[1]Production!AF48</f>
        <v>66115.20984000001</v>
      </c>
      <c r="AH146" s="6">
        <f>[1]Production!AG42+[1]Production!AG46+[1]Production!AG44+[1]Production!AG48</f>
        <v>66918.913465000005</v>
      </c>
      <c r="AI146" s="6">
        <f>[1]Production!AH42+[1]Production!AH46+[1]Production!AH44+[1]Production!AH48</f>
        <v>67830.261876999997</v>
      </c>
      <c r="AJ146" s="6">
        <f>[1]Production!AI42+[1]Production!AI46+[1]Production!AI44+[1]Production!AI48</f>
        <v>68848.865284</v>
      </c>
      <c r="AK146" s="6">
        <f>[1]Production!AJ42+[1]Production!AJ46+[1]Production!AJ44+[1]Production!AJ48</f>
        <v>69973.500469999999</v>
      </c>
      <c r="AL146" s="6">
        <f>[1]Production!AK42+[1]Production!AK46+[1]Production!AK44+[1]Production!AK48</f>
        <v>71198.029429999995</v>
      </c>
    </row>
    <row r="147" spans="1:38" x14ac:dyDescent="0.35">
      <c r="B147" t="s">
        <v>10</v>
      </c>
      <c r="C147" s="6">
        <f>[1]Production!B36+[1]Production!B38</f>
        <v>2563140.3440999999</v>
      </c>
      <c r="D147" s="6">
        <f>[1]Production!C36+[1]Production!C38</f>
        <v>2581922.8854</v>
      </c>
      <c r="E147" s="6">
        <f>[1]Production!D36+[1]Production!D38</f>
        <v>2610571.7610999998</v>
      </c>
      <c r="F147" s="6">
        <f>[1]Production!E36+[1]Production!E38</f>
        <v>2648480.3606000002</v>
      </c>
      <c r="G147" s="6">
        <f>[1]Production!F36+[1]Production!F38</f>
        <v>2690344.9787999997</v>
      </c>
      <c r="H147" s="6">
        <f>[1]Production!G36+[1]Production!G38</f>
        <v>2734530.0323000001</v>
      </c>
      <c r="I147" s="6">
        <f>[1]Production!H36+[1]Production!H38</f>
        <v>2780137.8801000002</v>
      </c>
      <c r="J147" s="6">
        <f>[1]Production!I36+[1]Production!I38</f>
        <v>2821039.42</v>
      </c>
      <c r="K147" s="6">
        <f>[1]Production!J36+[1]Production!J38</f>
        <v>2861543.0688999998</v>
      </c>
      <c r="L147" s="6">
        <f>[1]Production!K36+[1]Production!K38</f>
        <v>2911613.5164999999</v>
      </c>
      <c r="M147" s="6">
        <f>[1]Production!L36+[1]Production!L38</f>
        <v>2964554.5035999999</v>
      </c>
      <c r="N147" s="6">
        <f>[1]Production!M36+[1]Production!M38</f>
        <v>3018860.7516000001</v>
      </c>
      <c r="O147" s="6">
        <f>[1]Production!N36+[1]Production!N38</f>
        <v>3074286.3580999998</v>
      </c>
      <c r="P147" s="6">
        <f>[1]Production!O36+[1]Production!O38</f>
        <v>3129264.7940999996</v>
      </c>
      <c r="Q147" s="6">
        <f>[1]Production!P36+[1]Production!P38</f>
        <v>3184619.5396000003</v>
      </c>
      <c r="R147" s="6">
        <f>[1]Production!Q36+[1]Production!Q38</f>
        <v>3240825.5888</v>
      </c>
      <c r="S147" s="6">
        <f>[1]Production!R36+[1]Production!R38</f>
        <v>3298042.6154999998</v>
      </c>
      <c r="T147" s="6">
        <f>[1]Production!S36+[1]Production!S38</f>
        <v>3356788.6515999995</v>
      </c>
      <c r="U147" s="6">
        <f>[1]Production!T36+[1]Production!T38</f>
        <v>3417550.3385000001</v>
      </c>
      <c r="V147" s="6">
        <f>[1]Production!U36+[1]Production!U38</f>
        <v>3480708.8172999998</v>
      </c>
      <c r="W147" s="6">
        <f>[1]Production!V36+[1]Production!V38</f>
        <v>3546664.8654999998</v>
      </c>
      <c r="X147" s="6">
        <f>[1]Production!W36+[1]Production!W38</f>
        <v>3615719.1265000002</v>
      </c>
      <c r="Y147" s="6">
        <f>[1]Production!X36+[1]Production!X38</f>
        <v>3688309.264</v>
      </c>
      <c r="Z147" s="6">
        <f>[1]Production!Y36+[1]Production!Y38</f>
        <v>3764758.4208999998</v>
      </c>
      <c r="AA147" s="6">
        <f>[1]Production!Z36+[1]Production!Z38</f>
        <v>3845130.6973000001</v>
      </c>
      <c r="AB147" s="6">
        <f>[1]Production!AA36+[1]Production!AA38</f>
        <v>3929512.0806</v>
      </c>
      <c r="AC147" s="6">
        <f>[1]Production!AB36+[1]Production!AB38</f>
        <v>4018057.6460000002</v>
      </c>
      <c r="AD147" s="6">
        <f>[1]Production!AC36+[1]Production!AC38</f>
        <v>4111027.8160000001</v>
      </c>
      <c r="AE147" s="6">
        <f>[1]Production!AD36+[1]Production!AD38</f>
        <v>4208654.307</v>
      </c>
      <c r="AF147" s="6">
        <f>[1]Production!AE36+[1]Production!AE38</f>
        <v>4310653.4010000005</v>
      </c>
      <c r="AG147" s="6">
        <f>[1]Production!AF36+[1]Production!AF38</f>
        <v>4416423.6919999998</v>
      </c>
      <c r="AH147" s="6">
        <f>[1]Production!AG36+[1]Production!AG38</f>
        <v>4525379.733</v>
      </c>
      <c r="AI147" s="6">
        <f>[1]Production!AH36+[1]Production!AH38</f>
        <v>4637068.352</v>
      </c>
      <c r="AJ147" s="6">
        <f>[1]Production!AI36+[1]Production!AI38</f>
        <v>4751134.7589999996</v>
      </c>
      <c r="AK147" s="6">
        <f>[1]Production!AJ36+[1]Production!AJ38</f>
        <v>4867253.3329999996</v>
      </c>
      <c r="AL147" s="6">
        <f>[1]Production!AK36+[1]Production!AK38</f>
        <v>4985075.7829999998</v>
      </c>
    </row>
    <row r="148" spans="1:38" x14ac:dyDescent="0.35">
      <c r="B148" t="s">
        <v>9</v>
      </c>
      <c r="C148" s="6">
        <f>[1]Production!B28+[1]Production!B30+[1]Production!B32+[1]Production!B34</f>
        <v>120927.92581</v>
      </c>
      <c r="D148" s="6">
        <f>[1]Production!C28+[1]Production!C30+[1]Production!C32+[1]Production!C34</f>
        <v>121378.49350999999</v>
      </c>
      <c r="E148" s="6">
        <f>[1]Production!D28+[1]Production!D30+[1]Production!D32+[1]Production!D34</f>
        <v>122167.14459</v>
      </c>
      <c r="F148" s="6">
        <f>[1]Production!E28+[1]Production!E30+[1]Production!E32+[1]Production!E34</f>
        <v>123258.45571000001</v>
      </c>
      <c r="G148" s="6">
        <f>[1]Production!F28+[1]Production!F30+[1]Production!F32+[1]Production!F34</f>
        <v>124585.54467999999</v>
      </c>
      <c r="H148" s="6">
        <f>[1]Production!G28+[1]Production!G30+[1]Production!G32+[1]Production!G34</f>
        <v>126112.87315</v>
      </c>
      <c r="I148" s="6">
        <f>[1]Production!H28+[1]Production!H30+[1]Production!H32+[1]Production!H34</f>
        <v>127791.88179000001</v>
      </c>
      <c r="J148" s="6">
        <f>[1]Production!I28+[1]Production!I30+[1]Production!I32+[1]Production!I34</f>
        <v>129011.28328</v>
      </c>
      <c r="K148" s="6">
        <f>[1]Production!J28+[1]Production!J30+[1]Production!J32+[1]Production!J34</f>
        <v>130374.59787999999</v>
      </c>
      <c r="L148" s="6">
        <f>[1]Production!K28+[1]Production!K30+[1]Production!K32+[1]Production!K34</f>
        <v>132653.15889999998</v>
      </c>
      <c r="M148" s="6">
        <f>[1]Production!L28+[1]Production!L30+[1]Production!L32+[1]Production!L34</f>
        <v>135125.91157999999</v>
      </c>
      <c r="N148" s="6">
        <f>[1]Production!M28+[1]Production!M30+[1]Production!M32+[1]Production!M34</f>
        <v>137691.66829</v>
      </c>
      <c r="O148" s="6">
        <f>[1]Production!N28+[1]Production!N30+[1]Production!N32+[1]Production!N34</f>
        <v>140183.77257999999</v>
      </c>
      <c r="P148" s="6">
        <f>[1]Production!O28+[1]Production!O30+[1]Production!O32+[1]Production!O34</f>
        <v>142467.63093000001</v>
      </c>
      <c r="Q148" s="6">
        <f>[1]Production!P28+[1]Production!P30+[1]Production!P32+[1]Production!P34</f>
        <v>144667.11907000002</v>
      </c>
      <c r="R148" s="6">
        <f>[1]Production!Q28+[1]Production!Q30+[1]Production!Q32+[1]Production!Q34</f>
        <v>146848.57657</v>
      </c>
      <c r="S148" s="6">
        <f>[1]Production!R28+[1]Production!R30+[1]Production!R32+[1]Production!R34</f>
        <v>149075.56506999998</v>
      </c>
      <c r="T148" s="6">
        <f>[1]Production!S28+[1]Production!S30+[1]Production!S32+[1]Production!S34</f>
        <v>151409.31748</v>
      </c>
      <c r="U148" s="6">
        <f>[1]Production!T28+[1]Production!T30+[1]Production!T32+[1]Production!T34</f>
        <v>153901.73430000001</v>
      </c>
      <c r="V148" s="6">
        <f>[1]Production!U28+[1]Production!U30+[1]Production!U32+[1]Production!U34</f>
        <v>156578.66986999998</v>
      </c>
      <c r="W148" s="6">
        <f>[1]Production!V28+[1]Production!V30+[1]Production!V32+[1]Production!V34</f>
        <v>159467.55179</v>
      </c>
      <c r="X148" s="6">
        <f>[1]Production!W28+[1]Production!W30+[1]Production!W32+[1]Production!W34</f>
        <v>162597.71437</v>
      </c>
      <c r="Y148" s="6">
        <f>[1]Production!X28+[1]Production!X30+[1]Production!X32+[1]Production!X34</f>
        <v>166009.37205999999</v>
      </c>
      <c r="Z148" s="6">
        <f>[1]Production!Y28+[1]Production!Y30+[1]Production!Y32+[1]Production!Y34</f>
        <v>169712.13284999999</v>
      </c>
      <c r="AA148" s="6">
        <f>[1]Production!Z28+[1]Production!Z30+[1]Production!Z32+[1]Production!Z34</f>
        <v>173691.89131000001</v>
      </c>
      <c r="AB148" s="6">
        <f>[1]Production!AA28+[1]Production!AA30+[1]Production!AA32+[1]Production!AA34</f>
        <v>177943.43901</v>
      </c>
      <c r="AC148" s="6">
        <f>[1]Production!AB28+[1]Production!AB30+[1]Production!AB32+[1]Production!AB34</f>
        <v>182512.40349</v>
      </c>
      <c r="AD148" s="6">
        <f>[1]Production!AC28+[1]Production!AC30+[1]Production!AC32+[1]Production!AC34</f>
        <v>187474.41560000001</v>
      </c>
      <c r="AE148" s="6">
        <f>[1]Production!AD28+[1]Production!AD30+[1]Production!AD32+[1]Production!AD34</f>
        <v>192837.63855999999</v>
      </c>
      <c r="AF148" s="6">
        <f>[1]Production!AE28+[1]Production!AE30+[1]Production!AE32+[1]Production!AE34</f>
        <v>198548.10147999998</v>
      </c>
      <c r="AG148" s="6">
        <f>[1]Production!AF28+[1]Production!AF30+[1]Production!AF32+[1]Production!AF34</f>
        <v>204534.73177000001</v>
      </c>
      <c r="AH148" s="6">
        <f>[1]Production!AG28+[1]Production!AG30+[1]Production!AG32+[1]Production!AG34</f>
        <v>210765.84681000002</v>
      </c>
      <c r="AI148" s="6">
        <f>[1]Production!AH28+[1]Production!AH30+[1]Production!AH32+[1]Production!AH34</f>
        <v>217240.81917999999</v>
      </c>
      <c r="AJ148" s="6">
        <f>[1]Production!AI28+[1]Production!AI30+[1]Production!AI32+[1]Production!AI34</f>
        <v>223945.13316</v>
      </c>
      <c r="AK148" s="6">
        <f>[1]Production!AJ28+[1]Production!AJ30+[1]Production!AJ32+[1]Production!AJ34</f>
        <v>230860.76089999999</v>
      </c>
      <c r="AL148" s="6">
        <f>[1]Production!AK28+[1]Production!AK30+[1]Production!AK32+[1]Production!AK34</f>
        <v>237968.84088999999</v>
      </c>
    </row>
    <row r="150" spans="1:38" x14ac:dyDescent="0.35">
      <c r="A150" s="12" t="s">
        <v>57</v>
      </c>
      <c r="B150" t="s">
        <v>13</v>
      </c>
      <c r="C150" s="7" t="s">
        <v>14</v>
      </c>
      <c r="D150" s="7" t="s">
        <v>15</v>
      </c>
      <c r="E150" s="7" t="s">
        <v>16</v>
      </c>
    </row>
    <row r="151" spans="1:38" x14ac:dyDescent="0.35">
      <c r="A151" t="s">
        <v>54</v>
      </c>
      <c r="B151" t="s">
        <v>28</v>
      </c>
      <c r="C151" s="4">
        <f>(R141-R129)/R129</f>
        <v>6.2177678488603777E-3</v>
      </c>
      <c r="D151" s="4">
        <f>(AB141-AB129)/AB129</f>
        <v>4.9540568922531256E-3</v>
      </c>
      <c r="E151" s="4">
        <f>(AL141-AL129)/AL129</f>
        <v>4.1683014924159606E-3</v>
      </c>
    </row>
    <row r="152" spans="1:38" x14ac:dyDescent="0.35">
      <c r="B152" t="s">
        <v>7</v>
      </c>
      <c r="C152" s="4">
        <f t="shared" ref="C152:C158" si="23">(R142-R130)/R130</f>
        <v>-5.3133101517936331E-3</v>
      </c>
      <c r="D152" s="4">
        <f t="shared" ref="D152:D158" si="24">(AB142-AB130)/AB130</f>
        <v>-9.3730165730102413E-3</v>
      </c>
      <c r="E152" s="4">
        <f t="shared" ref="E152:E158" si="25">(AL142-AL130)/AL130</f>
        <v>-1.2569743019463253E-2</v>
      </c>
    </row>
    <row r="153" spans="1:38" x14ac:dyDescent="0.35">
      <c r="B153" t="s">
        <v>96</v>
      </c>
      <c r="C153" s="4">
        <f t="shared" si="23"/>
        <v>2.179793552980103E-2</v>
      </c>
      <c r="D153" s="4">
        <f t="shared" si="24"/>
        <v>2.6252951616493696E-2</v>
      </c>
      <c r="E153" s="4">
        <f t="shared" si="25"/>
        <v>2.9975591102037014E-2</v>
      </c>
    </row>
    <row r="154" spans="1:38" x14ac:dyDescent="0.35">
      <c r="B154" t="s">
        <v>11</v>
      </c>
      <c r="C154" s="4">
        <f t="shared" si="23"/>
        <v>7.5687616478677139E-2</v>
      </c>
      <c r="D154" s="4">
        <f t="shared" si="24"/>
        <v>0.10491191239145665</v>
      </c>
      <c r="E154" s="4">
        <f t="shared" si="25"/>
        <v>0.14770630605634241</v>
      </c>
    </row>
    <row r="155" spans="1:38" x14ac:dyDescent="0.35">
      <c r="B155" t="s">
        <v>8</v>
      </c>
      <c r="C155" s="4">
        <f t="shared" si="23"/>
        <v>3.576029996019693E-3</v>
      </c>
      <c r="D155" s="4">
        <f t="shared" si="24"/>
        <v>-7.2826090497665665E-3</v>
      </c>
      <c r="E155" s="4">
        <f t="shared" si="25"/>
        <v>-1.3582522862571061E-2</v>
      </c>
    </row>
    <row r="156" spans="1:38" x14ac:dyDescent="0.35">
      <c r="B156" t="s">
        <v>24</v>
      </c>
      <c r="C156" s="4">
        <f t="shared" si="23"/>
        <v>-0.14337996602339495</v>
      </c>
      <c r="D156" s="4">
        <f t="shared" si="24"/>
        <v>-0.21260311904103929</v>
      </c>
      <c r="E156" s="4">
        <f t="shared" si="25"/>
        <v>-0.2226509292556538</v>
      </c>
    </row>
    <row r="157" spans="1:38" x14ac:dyDescent="0.35">
      <c r="B157" t="s">
        <v>10</v>
      </c>
      <c r="C157" s="4">
        <f t="shared" si="23"/>
        <v>7.4117938918711584E-3</v>
      </c>
      <c r="D157" s="4">
        <f t="shared" si="24"/>
        <v>8.0684376548045642E-3</v>
      </c>
      <c r="E157" s="4">
        <f t="shared" si="25"/>
        <v>6.0984297360388859E-3</v>
      </c>
    </row>
    <row r="158" spans="1:38" x14ac:dyDescent="0.35">
      <c r="B158" t="s">
        <v>9</v>
      </c>
      <c r="C158" s="4">
        <f t="shared" si="23"/>
        <v>1.78581397664947E-2</v>
      </c>
      <c r="D158" s="4">
        <f t="shared" si="24"/>
        <v>2.4557286267481812E-2</v>
      </c>
      <c r="E158" s="4">
        <f t="shared" si="25"/>
        <v>5.3191030387226369E-2</v>
      </c>
    </row>
    <row r="159" spans="1:38" x14ac:dyDescent="0.35">
      <c r="C159" s="5"/>
      <c r="D159" s="5"/>
      <c r="E159" s="5"/>
    </row>
    <row r="160" spans="1:38" x14ac:dyDescent="0.35">
      <c r="A160" s="12" t="s">
        <v>57</v>
      </c>
      <c r="B160" t="s">
        <v>13</v>
      </c>
      <c r="C160" s="7" t="s">
        <v>14</v>
      </c>
      <c r="D160" s="7" t="s">
        <v>15</v>
      </c>
      <c r="E160" s="7" t="s">
        <v>16</v>
      </c>
    </row>
    <row r="161" spans="1:9" x14ac:dyDescent="0.35">
      <c r="A161" t="s">
        <v>98</v>
      </c>
      <c r="B161" t="s">
        <v>22</v>
      </c>
      <c r="C161" s="4">
        <f>C151</f>
        <v>6.2177678488603777E-3</v>
      </c>
      <c r="D161" s="4">
        <f>D151</f>
        <v>4.9540568922531256E-3</v>
      </c>
      <c r="E161" s="4">
        <f>E151</f>
        <v>4.1683014924159606E-3</v>
      </c>
      <c r="G161" s="6">
        <f t="shared" ref="G161:G168" si="26">R129</f>
        <v>4845145.5140000004</v>
      </c>
      <c r="H161" s="6">
        <f t="shared" ref="H161:H168" si="27">AB129</f>
        <v>5868798.5690000001</v>
      </c>
      <c r="I161" s="6">
        <f t="shared" ref="I161:I168" si="28">AL129</f>
        <v>7526750.1780000003</v>
      </c>
    </row>
    <row r="162" spans="1:9" x14ac:dyDescent="0.35">
      <c r="B162" t="s">
        <v>7</v>
      </c>
      <c r="C162" s="4">
        <f t="shared" ref="C162:E168" si="29">C152*G162/G$161</f>
        <v>-1.1271291428132063E-4</v>
      </c>
      <c r="D162" s="4">
        <f t="shared" si="29"/>
        <v>-1.9999962482951532E-4</v>
      </c>
      <c r="E162" s="4">
        <f t="shared" si="29"/>
        <v>-2.721148274572098E-4</v>
      </c>
      <c r="G162" s="6">
        <f t="shared" si="26"/>
        <v>102781.591023</v>
      </c>
      <c r="H162" s="6">
        <f t="shared" si="27"/>
        <v>125227.295061</v>
      </c>
      <c r="I162" s="6">
        <f t="shared" si="28"/>
        <v>162942.10015499999</v>
      </c>
    </row>
    <row r="163" spans="1:9" x14ac:dyDescent="0.35">
      <c r="B163" t="s">
        <v>96</v>
      </c>
      <c r="C163" s="4">
        <f t="shared" si="29"/>
        <v>1.6715524387447794E-3</v>
      </c>
      <c r="D163" s="4">
        <f t="shared" si="29"/>
        <v>2.0145698580373217E-3</v>
      </c>
      <c r="E163" s="4">
        <f t="shared" si="29"/>
        <v>2.2926480874093961E-3</v>
      </c>
      <c r="G163" s="6">
        <f t="shared" si="26"/>
        <v>371545.03869999998</v>
      </c>
      <c r="H163" s="6">
        <f t="shared" si="27"/>
        <v>450353.34970000002</v>
      </c>
      <c r="I163" s="6">
        <f t="shared" si="28"/>
        <v>575674.69949999999</v>
      </c>
    </row>
    <row r="164" spans="1:9" x14ac:dyDescent="0.35">
      <c r="B164" t="s">
        <v>11</v>
      </c>
      <c r="C164" s="4">
        <f t="shared" si="29"/>
        <v>9.0922050774758256E-4</v>
      </c>
      <c r="D164" s="4">
        <f t="shared" si="29"/>
        <v>1.315286765418036E-3</v>
      </c>
      <c r="E164" s="4">
        <f t="shared" si="29"/>
        <v>1.8141868281495704E-3</v>
      </c>
      <c r="G164" s="6">
        <f t="shared" si="26"/>
        <v>58203.783780019992</v>
      </c>
      <c r="H164" s="6">
        <f t="shared" si="27"/>
        <v>73577.47000080999</v>
      </c>
      <c r="I164" s="6">
        <f t="shared" si="28"/>
        <v>92446.500059999977</v>
      </c>
    </row>
    <row r="165" spans="1:9" x14ac:dyDescent="0.35">
      <c r="B165" t="s">
        <v>8</v>
      </c>
      <c r="C165" s="4">
        <f t="shared" si="29"/>
        <v>6.4363402316588612E-4</v>
      </c>
      <c r="D165" s="4">
        <f t="shared" si="29"/>
        <v>-1.323801248016613E-3</v>
      </c>
      <c r="E165" s="4">
        <f t="shared" si="29"/>
        <v>-2.5684160511272548E-3</v>
      </c>
      <c r="G165" s="6">
        <f t="shared" si="26"/>
        <v>872056.58327000006</v>
      </c>
      <c r="H165" s="6">
        <f t="shared" si="27"/>
        <v>1066804.8795300003</v>
      </c>
      <c r="I165" s="6">
        <f t="shared" si="28"/>
        <v>1423286.8345300001</v>
      </c>
    </row>
    <row r="166" spans="1:9" x14ac:dyDescent="0.35">
      <c r="B166" t="s">
        <v>24</v>
      </c>
      <c r="C166" s="4">
        <f t="shared" si="29"/>
        <v>-2.3468151844861203E-3</v>
      </c>
      <c r="D166" s="4">
        <f t="shared" si="29"/>
        <v>-2.937797946648185E-3</v>
      </c>
      <c r="E166" s="4">
        <f t="shared" si="29"/>
        <v>-2.7093736358629545E-3</v>
      </c>
      <c r="G166" s="6">
        <f t="shared" si="26"/>
        <v>79304.392229000019</v>
      </c>
      <c r="H166" s="6">
        <f t="shared" si="27"/>
        <v>81096.384959300005</v>
      </c>
      <c r="I166" s="6">
        <f t="shared" si="28"/>
        <v>91590.807925999994</v>
      </c>
    </row>
    <row r="167" spans="1:9" x14ac:dyDescent="0.35">
      <c r="B167" t="s">
        <v>10</v>
      </c>
      <c r="C167" s="4">
        <f t="shared" si="29"/>
        <v>4.9211333965314824E-3</v>
      </c>
      <c r="D167" s="4">
        <f t="shared" si="29"/>
        <v>5.3590629036291111E-3</v>
      </c>
      <c r="E167" s="4">
        <f t="shared" si="29"/>
        <v>4.0145957133425718E-3</v>
      </c>
      <c r="G167" s="6">
        <f t="shared" si="26"/>
        <v>3216981.9813999999</v>
      </c>
      <c r="H167" s="6">
        <f t="shared" si="27"/>
        <v>3898060.8199000005</v>
      </c>
      <c r="I167" s="6">
        <f t="shared" si="28"/>
        <v>4954858.9240000006</v>
      </c>
    </row>
    <row r="168" spans="1:9" x14ac:dyDescent="0.35">
      <c r="B168" t="s">
        <v>9</v>
      </c>
      <c r="C168" s="4">
        <f t="shared" si="29"/>
        <v>5.3175536473681483E-4</v>
      </c>
      <c r="D168" s="4">
        <f t="shared" si="29"/>
        <v>7.2673638221778809E-4</v>
      </c>
      <c r="E168" s="4">
        <f t="shared" si="29"/>
        <v>1.5967754443516726E-3</v>
      </c>
      <c r="G168" s="6">
        <f t="shared" si="26"/>
        <v>144272.14444999999</v>
      </c>
      <c r="H168" s="6">
        <f t="shared" si="27"/>
        <v>173678.36957000001</v>
      </c>
      <c r="I168" s="6">
        <f t="shared" si="28"/>
        <v>225950.31103000001</v>
      </c>
    </row>
    <row r="169" spans="1:9" x14ac:dyDescent="0.35">
      <c r="C169" s="5"/>
      <c r="D169" s="5"/>
      <c r="E169" s="5"/>
    </row>
    <row r="170" spans="1:9" x14ac:dyDescent="0.35">
      <c r="A170" s="12" t="s">
        <v>57</v>
      </c>
      <c r="B170" t="s">
        <v>13</v>
      </c>
      <c r="C170" s="7" t="s">
        <v>14</v>
      </c>
      <c r="D170" s="7" t="s">
        <v>15</v>
      </c>
      <c r="E170" s="7" t="s">
        <v>16</v>
      </c>
    </row>
    <row r="171" spans="1:9" x14ac:dyDescent="0.35">
      <c r="A171" t="s">
        <v>58</v>
      </c>
      <c r="B171" t="s">
        <v>7</v>
      </c>
      <c r="C171" s="4">
        <f t="shared" ref="C171:C177" si="30">R142/R$141-R130/R$129</f>
        <v>-2.4310082877335853E-4</v>
      </c>
      <c r="D171" s="4">
        <f t="shared" ref="D171:E177" si="31">AB142/AB$141-AB130/AB$129</f>
        <v>-3.042013073501354E-4</v>
      </c>
      <c r="E171" s="4">
        <f t="shared" si="31"/>
        <v>-3.146779873804198E-4</v>
      </c>
    </row>
    <row r="172" spans="1:9" x14ac:dyDescent="0.35">
      <c r="B172" t="s">
        <v>96</v>
      </c>
      <c r="C172" s="4">
        <f t="shared" si="30"/>
        <v>1.1873664880444335E-3</v>
      </c>
      <c r="D172" s="4">
        <f t="shared" si="31"/>
        <v>1.6263538899850549E-3</v>
      </c>
      <c r="E172" s="4">
        <f t="shared" si="31"/>
        <v>1.695273725449753E-3</v>
      </c>
    </row>
    <row r="173" spans="1:9" x14ac:dyDescent="0.35">
      <c r="B173" t="s">
        <v>11</v>
      </c>
      <c r="C173" s="4">
        <f t="shared" si="30"/>
        <v>8.2937084541098542E-4</v>
      </c>
      <c r="D173" s="4">
        <f t="shared" si="31"/>
        <v>1.2469997574347455E-3</v>
      </c>
      <c r="E173" s="4">
        <f t="shared" si="31"/>
        <v>1.2937562915225475E-3</v>
      </c>
    </row>
    <row r="174" spans="1:9" x14ac:dyDescent="0.35">
      <c r="B174" t="s">
        <v>8</v>
      </c>
      <c r="C174" s="4">
        <f t="shared" si="30"/>
        <v>-4.7253673645727967E-4</v>
      </c>
      <c r="D174" s="4">
        <f t="shared" si="31"/>
        <v>-2.2133632054890384E-3</v>
      </c>
      <c r="E174" s="4">
        <f t="shared" si="31"/>
        <v>-2.4082866326132213E-3</v>
      </c>
    </row>
    <row r="175" spans="1:9" x14ac:dyDescent="0.35">
      <c r="B175" t="s">
        <v>24</v>
      </c>
      <c r="C175" s="4">
        <f t="shared" si="30"/>
        <v>-2.4334557273048424E-3</v>
      </c>
      <c r="D175" s="4">
        <f t="shared" si="31"/>
        <v>-2.9914344877472656E-3</v>
      </c>
      <c r="E175" s="4">
        <f t="shared" si="31"/>
        <v>-3.010030920567959E-3</v>
      </c>
    </row>
    <row r="176" spans="1:9" x14ac:dyDescent="0.35">
      <c r="B176" t="s">
        <v>10</v>
      </c>
      <c r="C176" s="4">
        <f t="shared" si="30"/>
        <v>7.8788643105032197E-4</v>
      </c>
      <c r="D176" s="4">
        <f t="shared" si="31"/>
        <v>2.0583769387336748E-3</v>
      </c>
      <c r="E176" s="4">
        <f t="shared" si="31"/>
        <v>2.1322508060601653E-3</v>
      </c>
    </row>
    <row r="177" spans="1:38" x14ac:dyDescent="0.35">
      <c r="B177" t="s">
        <v>9</v>
      </c>
      <c r="C177" s="4">
        <f t="shared" si="30"/>
        <v>3.4446931158085836E-4</v>
      </c>
      <c r="D177" s="4">
        <f t="shared" si="31"/>
        <v>5.7726861124815509E-4</v>
      </c>
      <c r="E177" s="4">
        <f t="shared" si="31"/>
        <v>6.1171476729198968E-4</v>
      </c>
    </row>
    <row r="178" spans="1:38" x14ac:dyDescent="0.35">
      <c r="C178" s="4"/>
      <c r="D178" s="4"/>
      <c r="E178" s="4"/>
    </row>
    <row r="179" spans="1:38" x14ac:dyDescent="0.35">
      <c r="A179" s="12" t="s">
        <v>29</v>
      </c>
      <c r="C179" s="4"/>
      <c r="D179" s="4"/>
      <c r="E179" s="4"/>
    </row>
    <row r="180" spans="1:38" x14ac:dyDescent="0.35">
      <c r="A180" t="s">
        <v>26</v>
      </c>
      <c r="B180" t="s">
        <v>28</v>
      </c>
      <c r="C180" s="6">
        <f>[1]Capital!B3</f>
        <v>8841077.0380000006</v>
      </c>
      <c r="D180" s="6">
        <f>[1]Capital!C3</f>
        <v>8942223.4829999991</v>
      </c>
      <c r="E180" s="6">
        <f>[1]Capital!D3</f>
        <v>9044593.4859999996</v>
      </c>
      <c r="F180" s="6">
        <f>[1]Capital!E3</f>
        <v>9149413.9379999992</v>
      </c>
      <c r="G180" s="6">
        <f>[1]Capital!F3</f>
        <v>9257473.4010000005</v>
      </c>
      <c r="H180" s="6">
        <f>[1]Capital!G3</f>
        <v>9369226.875</v>
      </c>
      <c r="I180" s="6">
        <f>[1]Capital!H3</f>
        <v>9484667.7640000004</v>
      </c>
      <c r="J180" s="6">
        <f>[1]Capital!I3</f>
        <v>9603746.6420000009</v>
      </c>
      <c r="K180" s="6">
        <f>[1]Capital!J3</f>
        <v>9726514.75</v>
      </c>
      <c r="L180" s="6">
        <f>[1]Capital!K3</f>
        <v>9853157.2689999994</v>
      </c>
      <c r="M180" s="6">
        <f>[1]Capital!L3</f>
        <v>9983965.5480000004</v>
      </c>
      <c r="N180" s="6">
        <f>[1]Capital!M3</f>
        <v>10119304.300000001</v>
      </c>
      <c r="O180" s="6">
        <f>[1]Capital!N3</f>
        <v>10259456.6</v>
      </c>
      <c r="P180" s="6">
        <f>[1]Capital!O3</f>
        <v>10404398.24</v>
      </c>
      <c r="Q180" s="6">
        <f>[1]Capital!P3</f>
        <v>10554099.73</v>
      </c>
      <c r="R180" s="6">
        <f>[1]Capital!Q3</f>
        <v>10708628.17</v>
      </c>
      <c r="S180" s="6">
        <f>[1]Capital!R3</f>
        <v>10868358.18</v>
      </c>
      <c r="T180" s="6">
        <f>[1]Capital!S3</f>
        <v>11033803.359999999</v>
      </c>
      <c r="U180" s="6">
        <f>[1]Capital!T3</f>
        <v>11205504.42</v>
      </c>
      <c r="V180" s="6">
        <f>[1]Capital!U3</f>
        <v>11383960.550000001</v>
      </c>
      <c r="W180" s="6">
        <f>[1]Capital!V3</f>
        <v>11569639.390000001</v>
      </c>
      <c r="X180" s="6">
        <f>[1]Capital!W3</f>
        <v>11763000.09</v>
      </c>
      <c r="Y180" s="6">
        <f>[1]Capital!X3</f>
        <v>11964544.84</v>
      </c>
      <c r="Z180" s="6">
        <f>[1]Capital!Y3</f>
        <v>12174819.4</v>
      </c>
      <c r="AA180" s="6">
        <f>[1]Capital!Z3</f>
        <v>12394370.779999999</v>
      </c>
      <c r="AB180" s="6">
        <f>[1]Capital!AA3</f>
        <v>12623752.16</v>
      </c>
      <c r="AC180" s="6">
        <f>[1]Capital!AB3</f>
        <v>12863542.52</v>
      </c>
      <c r="AD180" s="6">
        <f>[1]Capital!AC3</f>
        <v>13114400.48</v>
      </c>
      <c r="AE180" s="6">
        <f>[1]Capital!AD3</f>
        <v>13377042.99</v>
      </c>
      <c r="AF180" s="6">
        <f>[1]Capital!AE3</f>
        <v>13652149.51</v>
      </c>
      <c r="AG180" s="6">
        <f>[1]Capital!AF3</f>
        <v>13940284.65</v>
      </c>
      <c r="AH180" s="6">
        <f>[1]Capital!AG3</f>
        <v>14241894.039999999</v>
      </c>
      <c r="AI180" s="6">
        <f>[1]Capital!AH3</f>
        <v>14557330.76</v>
      </c>
      <c r="AJ180" s="6">
        <f>[1]Capital!AI3</f>
        <v>14886868.800000001</v>
      </c>
      <c r="AK180" s="6">
        <f>[1]Capital!AJ3</f>
        <v>15230703.720000001</v>
      </c>
      <c r="AL180" s="6">
        <f>[1]Capital!AK3</f>
        <v>15588945.1</v>
      </c>
    </row>
    <row r="181" spans="1:38" x14ac:dyDescent="0.35">
      <c r="B181" t="s">
        <v>7</v>
      </c>
      <c r="C181" s="6">
        <f>[1]Capital!B5+[1]Capital!B7</f>
        <v>195855.98576000001</v>
      </c>
      <c r="D181" s="6">
        <f>[1]Capital!C5+[1]Capital!C7</f>
        <v>197963.33374</v>
      </c>
      <c r="E181" s="6">
        <f>[1]Capital!D5+[1]Capital!D7</f>
        <v>199934.54445000002</v>
      </c>
      <c r="F181" s="6">
        <f>[1]Capital!E5+[1]Capital!E7</f>
        <v>201841.31698999999</v>
      </c>
      <c r="G181" s="6">
        <f>[1]Capital!F5+[1]Capital!F7</f>
        <v>203739.07521000001</v>
      </c>
      <c r="H181" s="6">
        <f>[1]Capital!G5+[1]Capital!G7</f>
        <v>205667.45474000002</v>
      </c>
      <c r="I181" s="6">
        <f>[1]Capital!H5+[1]Capital!H7</f>
        <v>207653.84106999999</v>
      </c>
      <c r="J181" s="6">
        <f>[1]Capital!I5+[1]Capital!I7</f>
        <v>209715.74807</v>
      </c>
      <c r="K181" s="6">
        <f>[1]Capital!J5+[1]Capital!J7</f>
        <v>211867.27069999999</v>
      </c>
      <c r="L181" s="6">
        <f>[1]Capital!K5+[1]Capital!K7</f>
        <v>214121.88527</v>
      </c>
      <c r="M181" s="6">
        <f>[1]Capital!L5+[1]Capital!L7</f>
        <v>216493.40117999999</v>
      </c>
      <c r="N181" s="6">
        <f>[1]Capital!M5+[1]Capital!M7</f>
        <v>218995.99895000001</v>
      </c>
      <c r="O181" s="6">
        <f>[1]Capital!N5+[1]Capital!N7</f>
        <v>221640.27684999999</v>
      </c>
      <c r="P181" s="6">
        <f>[1]Capital!O5+[1]Capital!O7</f>
        <v>224426.98507</v>
      </c>
      <c r="Q181" s="6">
        <f>[1]Capital!P5+[1]Capital!P7</f>
        <v>227356.50457000002</v>
      </c>
      <c r="R181" s="6">
        <f>[1]Capital!Q5+[1]Capital!Q7</f>
        <v>230431.92571000001</v>
      </c>
      <c r="S181" s="6">
        <f>[1]Capital!R5+[1]Capital!R7</f>
        <v>233658.22938</v>
      </c>
      <c r="T181" s="6">
        <f>[1]Capital!S5+[1]Capital!S7</f>
        <v>237045.95699000001</v>
      </c>
      <c r="U181" s="6">
        <f>[1]Capital!T5+[1]Capital!T7</f>
        <v>240608.38066</v>
      </c>
      <c r="V181" s="6">
        <f>[1]Capital!U5+[1]Capital!U7</f>
        <v>244358.94691999999</v>
      </c>
      <c r="W181" s="6">
        <f>[1]Capital!V5+[1]Capital!V7</f>
        <v>248310.96171</v>
      </c>
      <c r="X181" s="6">
        <f>[1]Capital!W5+[1]Capital!W7</f>
        <v>252477.8008</v>
      </c>
      <c r="Y181" s="6">
        <f>[1]Capital!X5+[1]Capital!X7</f>
        <v>256874.30866000001</v>
      </c>
      <c r="Z181" s="6">
        <f>[1]Capital!Y5+[1]Capital!Y7</f>
        <v>261516.75435999999</v>
      </c>
      <c r="AA181" s="6">
        <f>[1]Capital!Z5+[1]Capital!Z7</f>
        <v>266421.54128</v>
      </c>
      <c r="AB181" s="6">
        <f>[1]Capital!AA5+[1]Capital!AA7</f>
        <v>271605.26108999999</v>
      </c>
      <c r="AC181" s="6">
        <f>[1]Capital!AB5+[1]Capital!AB7</f>
        <v>277085.19733</v>
      </c>
      <c r="AD181" s="6">
        <f>[1]Capital!AC5+[1]Capital!AC7</f>
        <v>282880.9693</v>
      </c>
      <c r="AE181" s="6">
        <f>[1]Capital!AD5+[1]Capital!AD7</f>
        <v>289013.69205999997</v>
      </c>
      <c r="AF181" s="6">
        <f>[1]Capital!AE5+[1]Capital!AE7</f>
        <v>295502.75182</v>
      </c>
      <c r="AG181" s="6">
        <f>[1]Capital!AF5+[1]Capital!AF7</f>
        <v>302363.27522999997</v>
      </c>
      <c r="AH181" s="6">
        <f>[1]Capital!AG5+[1]Capital!AG7</f>
        <v>309605.99463999999</v>
      </c>
      <c r="AI181" s="6">
        <f>[1]Capital!AH5+[1]Capital!AH7</f>
        <v>317238.16512000002</v>
      </c>
      <c r="AJ181" s="6">
        <f>[1]Capital!AI5+[1]Capital!AI7</f>
        <v>325264.05260999996</v>
      </c>
      <c r="AK181" s="6">
        <f>[1]Capital!AJ5+[1]Capital!AJ7</f>
        <v>333685.00341</v>
      </c>
      <c r="AL181" s="6">
        <f>[1]Capital!AK5+[1]Capital!AK7</f>
        <v>342499.25831999996</v>
      </c>
    </row>
    <row r="182" spans="1:38" x14ac:dyDescent="0.35">
      <c r="B182" t="s">
        <v>96</v>
      </c>
      <c r="C182" s="6">
        <f>[1]Capital!B27</f>
        <v>84741.007719999994</v>
      </c>
      <c r="D182" s="6">
        <f>[1]Capital!C27</f>
        <v>86026.53542</v>
      </c>
      <c r="E182" s="6">
        <f>[1]Capital!D27</f>
        <v>87695.150150000001</v>
      </c>
      <c r="F182" s="6">
        <f>[1]Capital!E27</f>
        <v>89613.14963</v>
      </c>
      <c r="G182" s="6">
        <f>[1]Capital!F27</f>
        <v>91639.476809999993</v>
      </c>
      <c r="H182" s="6">
        <f>[1]Capital!G27</f>
        <v>93689.200349999999</v>
      </c>
      <c r="I182" s="6">
        <f>[1]Capital!H27</f>
        <v>95722.800910000005</v>
      </c>
      <c r="J182" s="6">
        <f>[1]Capital!I27</f>
        <v>97728.796059999993</v>
      </c>
      <c r="K182" s="6">
        <f>[1]Capital!J27</f>
        <v>99709.953529999999</v>
      </c>
      <c r="L182" s="6">
        <f>[1]Capital!K27</f>
        <v>101675.60860000001</v>
      </c>
      <c r="M182" s="6">
        <f>[1]Capital!L27</f>
        <v>103638.03539999999</v>
      </c>
      <c r="N182" s="6">
        <f>[1]Capital!M27</f>
        <v>105610.95600000001</v>
      </c>
      <c r="O182" s="6">
        <f>[1]Capital!N27</f>
        <v>107607.1973</v>
      </c>
      <c r="P182" s="6">
        <f>[1]Capital!O27</f>
        <v>109635.34420000001</v>
      </c>
      <c r="Q182" s="6">
        <f>[1]Capital!P27</f>
        <v>111701.0619</v>
      </c>
      <c r="R182" s="6">
        <f>[1]Capital!Q27</f>
        <v>113808.8184</v>
      </c>
      <c r="S182" s="6">
        <f>[1]Capital!R27</f>
        <v>115965.1306</v>
      </c>
      <c r="T182" s="6">
        <f>[1]Capital!S27</f>
        <v>118176.6327</v>
      </c>
      <c r="U182" s="6">
        <f>[1]Capital!T27</f>
        <v>120448.9811</v>
      </c>
      <c r="V182" s="6">
        <f>[1]Capital!U27</f>
        <v>122786.36410000001</v>
      </c>
      <c r="W182" s="6">
        <f>[1]Capital!V27</f>
        <v>125192.1357</v>
      </c>
      <c r="X182" s="6">
        <f>[1]Capital!W27</f>
        <v>127669.7665</v>
      </c>
      <c r="Y182" s="6">
        <f>[1]Capital!X27</f>
        <v>130223.28200000001</v>
      </c>
      <c r="Z182" s="6">
        <f>[1]Capital!Y27</f>
        <v>132857.21090000001</v>
      </c>
      <c r="AA182" s="6">
        <f>[1]Capital!Z27</f>
        <v>135576.16949999999</v>
      </c>
      <c r="AB182" s="6">
        <f>[1]Capital!AA27</f>
        <v>138385.34150000001</v>
      </c>
      <c r="AC182" s="6">
        <f>[1]Capital!AB27</f>
        <v>141290.9786</v>
      </c>
      <c r="AD182" s="6">
        <f>[1]Capital!AC27</f>
        <v>144300.57120000001</v>
      </c>
      <c r="AE182" s="6">
        <f>[1]Capital!AD27</f>
        <v>147423.49230000001</v>
      </c>
      <c r="AF182" s="6">
        <f>[1]Capital!AE27</f>
        <v>150670.71170000001</v>
      </c>
      <c r="AG182" s="6">
        <f>[1]Capital!AF27</f>
        <v>154054.13500000001</v>
      </c>
      <c r="AH182" s="6">
        <f>[1]Capital!AG27</f>
        <v>157585.8939</v>
      </c>
      <c r="AI182" s="6">
        <f>[1]Capital!AH27</f>
        <v>161277.4492</v>
      </c>
      <c r="AJ182" s="6">
        <f>[1]Capital!AI27</f>
        <v>165139.12400000001</v>
      </c>
      <c r="AK182" s="6">
        <f>[1]Capital!AJ27</f>
        <v>169179.85930000001</v>
      </c>
      <c r="AL182" s="6">
        <f>[1]Capital!AK27</f>
        <v>173407.04810000001</v>
      </c>
    </row>
    <row r="183" spans="1:38" x14ac:dyDescent="0.35">
      <c r="B183" t="s">
        <v>11</v>
      </c>
      <c r="C183" s="6">
        <f>[1]Capital!B51+[1]Capital!B53+[1]Capital!B55+[1]Capital!B57+[1]Capital!B59+[1]Capital!B61+[1]Capital!B63+[1]Capital!B65+[1]Capital!B67</f>
        <v>83897.457716999998</v>
      </c>
      <c r="D183" s="6">
        <f>[1]Capital!C51+[1]Capital!C53+[1]Capital!C55+[1]Capital!C57+[1]Capital!C59+[1]Capital!C61+[1]Capital!C63+[1]Capital!C65+[1]Capital!C67</f>
        <v>84866.89929299998</v>
      </c>
      <c r="E183" s="6">
        <f>[1]Capital!D51+[1]Capital!D53+[1]Capital!D55+[1]Capital!D57+[1]Capital!D59+[1]Capital!D61+[1]Capital!D63+[1]Capital!D65+[1]Capital!D67</f>
        <v>85839.397955900014</v>
      </c>
      <c r="F183" s="6">
        <f>[1]Capital!E51+[1]Capital!E53+[1]Capital!E55+[1]Capital!E57+[1]Capital!E59+[1]Capital!E61+[1]Capital!E63+[1]Capital!E65+[1]Capital!E67</f>
        <v>86818.697559499997</v>
      </c>
      <c r="G183" s="6">
        <f>[1]Capital!F51+[1]Capital!F53+[1]Capital!F55+[1]Capital!F57+[1]Capital!F59+[1]Capital!F61+[1]Capital!F63+[1]Capital!F65+[1]Capital!F67</f>
        <v>87804.530628699998</v>
      </c>
      <c r="H183" s="6">
        <f>[1]Capital!G51+[1]Capital!G53+[1]Capital!G55+[1]Capital!G57+[1]Capital!G59+[1]Capital!G61+[1]Capital!G63+[1]Capital!G65+[1]Capital!G67</f>
        <v>88801.648692300005</v>
      </c>
      <c r="I183" s="6">
        <f>[1]Capital!H51+[1]Capital!H53+[1]Capital!H55+[1]Capital!H57+[1]Capital!H59+[1]Capital!H61+[1]Capital!H63+[1]Capital!H65+[1]Capital!H67</f>
        <v>89821.434562800001</v>
      </c>
      <c r="J183" s="6">
        <f>[1]Capital!I51+[1]Capital!I53+[1]Capital!I55+[1]Capital!I57+[1]Capital!I59+[1]Capital!I61+[1]Capital!I63+[1]Capital!I65+[1]Capital!I67</f>
        <v>90876.831559400031</v>
      </c>
      <c r="K183" s="6">
        <f>[1]Capital!J51+[1]Capital!J53+[1]Capital!J55+[1]Capital!J57+[1]Capital!J59+[1]Capital!J61+[1]Capital!J63+[1]Capital!J65+[1]Capital!J67</f>
        <v>91982.170064999998</v>
      </c>
      <c r="L183" s="6">
        <f>[1]Capital!K51+[1]Capital!K53+[1]Capital!K55+[1]Capital!K57+[1]Capital!K59+[1]Capital!K61+[1]Capital!K63+[1]Capital!K65+[1]Capital!K67</f>
        <v>93153.409920699982</v>
      </c>
      <c r="M183" s="6">
        <f>[1]Capital!L51+[1]Capital!L53+[1]Capital!L55+[1]Capital!L57+[1]Capital!L59+[1]Capital!L61+[1]Capital!L63+[1]Capital!L65+[1]Capital!L67</f>
        <v>94408.067536999995</v>
      </c>
      <c r="N183" s="6">
        <f>[1]Capital!M51+[1]Capital!M53+[1]Capital!M55+[1]Capital!M57+[1]Capital!M59+[1]Capital!M61+[1]Capital!M63+[1]Capital!M65+[1]Capital!M67</f>
        <v>95763.784762999989</v>
      </c>
      <c r="O183" s="6">
        <f>[1]Capital!N51+[1]Capital!N53+[1]Capital!N55+[1]Capital!N57+[1]Capital!N59+[1]Capital!N61+[1]Capital!N63+[1]Capital!N65+[1]Capital!N67</f>
        <v>97234.788481000011</v>
      </c>
      <c r="P183" s="6">
        <f>[1]Capital!O51+[1]Capital!O53+[1]Capital!O55+[1]Capital!O57+[1]Capital!O59+[1]Capital!O61+[1]Capital!O63+[1]Capital!O65+[1]Capital!O67</f>
        <v>98827.599264699995</v>
      </c>
      <c r="Q183" s="6">
        <f>[1]Capital!P51+[1]Capital!P53+[1]Capital!P55+[1]Capital!P57+[1]Capital!P59+[1]Capital!P61+[1]Capital!P63+[1]Capital!P65+[1]Capital!P67</f>
        <v>100544.76862989999</v>
      </c>
      <c r="R183" s="6">
        <f>[1]Capital!Q51+[1]Capital!Q53+[1]Capital!Q55+[1]Capital!Q57+[1]Capital!Q59+[1]Capital!Q61+[1]Capital!Q63+[1]Capital!Q65+[1]Capital!Q67</f>
        <v>102386.38612510001</v>
      </c>
      <c r="S183" s="6">
        <f>[1]Capital!R51+[1]Capital!R53+[1]Capital!R55+[1]Capital!R57+[1]Capital!R59+[1]Capital!R61+[1]Capital!R63+[1]Capital!R65+[1]Capital!R67</f>
        <v>104348.5578215</v>
      </c>
      <c r="T183" s="6">
        <f>[1]Capital!S51+[1]Capital!S53+[1]Capital!S55+[1]Capital!S57+[1]Capital!S59+[1]Capital!S61+[1]Capital!S63+[1]Capital!S65+[1]Capital!S67</f>
        <v>106428.70347579999</v>
      </c>
      <c r="U183" s="6">
        <f>[1]Capital!T51+[1]Capital!T53+[1]Capital!T55+[1]Capital!T57+[1]Capital!T59+[1]Capital!T61+[1]Capital!T63+[1]Capital!T65+[1]Capital!T67</f>
        <v>108625.4478405</v>
      </c>
      <c r="V183" s="6">
        <f>[1]Capital!U51+[1]Capital!U53+[1]Capital!U55+[1]Capital!U57+[1]Capital!U59+[1]Capital!U61+[1]Capital!U63+[1]Capital!U65+[1]Capital!U67</f>
        <v>110937.70266750002</v>
      </c>
      <c r="W183" s="6">
        <f>[1]Capital!V51+[1]Capital!V53+[1]Capital!V55+[1]Capital!V57+[1]Capital!V59+[1]Capital!V61+[1]Capital!V63+[1]Capital!V65+[1]Capital!V67</f>
        <v>113364.49126899999</v>
      </c>
      <c r="X183" s="6">
        <f>[1]Capital!W51+[1]Capital!W53+[1]Capital!W55+[1]Capital!W57+[1]Capital!W59+[1]Capital!W61+[1]Capital!W63+[1]Capital!W65+[1]Capital!W67</f>
        <v>115904.9495168</v>
      </c>
      <c r="Y183" s="6">
        <f>[1]Capital!X51+[1]Capital!X53+[1]Capital!X55+[1]Capital!X57+[1]Capital!X59+[1]Capital!X61+[1]Capital!X63+[1]Capital!X65+[1]Capital!X67</f>
        <v>118558.88044079999</v>
      </c>
      <c r="Z183" s="6">
        <f>[1]Capital!Y51+[1]Capital!Y53+[1]Capital!Y55+[1]Capital!Y57+[1]Capital!Y59+[1]Capital!Y61+[1]Capital!Y63+[1]Capital!Y65+[1]Capital!Y67</f>
        <v>121326.76999549998</v>
      </c>
      <c r="AA183" s="6">
        <f>[1]Capital!Z51+[1]Capital!Z53+[1]Capital!Z55+[1]Capital!Z57+[1]Capital!Z59+[1]Capital!Z61+[1]Capital!Z63+[1]Capital!Z65+[1]Capital!Z67</f>
        <v>124209.4196752</v>
      </c>
      <c r="AB183" s="6">
        <f>[1]Capital!AA51+[1]Capital!AA53+[1]Capital!AA55+[1]Capital!AA57+[1]Capital!AA59+[1]Capital!AA61+[1]Capital!AA63+[1]Capital!AA65+[1]Capital!AA67</f>
        <v>127207.95946519999</v>
      </c>
      <c r="AC183" s="6">
        <f>[1]Capital!AB51+[1]Capital!AB53+[1]Capital!AB55+[1]Capital!AB57+[1]Capital!AB59+[1]Capital!AB61+[1]Capital!AB63+[1]Capital!AB65+[1]Capital!AB67</f>
        <v>130323.9577094</v>
      </c>
      <c r="AD183" s="6">
        <f>[1]Capital!AC51+[1]Capital!AC53+[1]Capital!AC55+[1]Capital!AC57+[1]Capital!AC59+[1]Capital!AC61+[1]Capital!AC63+[1]Capital!AC65+[1]Capital!AC67</f>
        <v>133559.86974699999</v>
      </c>
      <c r="AE183" s="6">
        <f>[1]Capital!AD51+[1]Capital!AD53+[1]Capital!AD55+[1]Capital!AD57+[1]Capital!AD59+[1]Capital!AD61+[1]Capital!AD63+[1]Capital!AD65+[1]Capital!AD67</f>
        <v>136918.50852179999</v>
      </c>
      <c r="AF183" s="6">
        <f>[1]Capital!AE51+[1]Capital!AE53+[1]Capital!AE55+[1]Capital!AE57+[1]Capital!AE59+[1]Capital!AE61+[1]Capital!AE63+[1]Capital!AE65+[1]Capital!AE67</f>
        <v>140401.22288019999</v>
      </c>
      <c r="AG183" s="6">
        <f>[1]Capital!AF51+[1]Capital!AF53+[1]Capital!AF55+[1]Capital!AF57+[1]Capital!AF59+[1]Capital!AF61+[1]Capital!AF63+[1]Capital!AF65+[1]Capital!AF67</f>
        <v>144006.6889901</v>
      </c>
      <c r="AH183" s="6">
        <f>[1]Capital!AG51+[1]Capital!AG53+[1]Capital!AG55+[1]Capital!AG57+[1]Capital!AG59+[1]Capital!AG61+[1]Capital!AG63+[1]Capital!AG65+[1]Capital!AG67</f>
        <v>147730.90764750002</v>
      </c>
      <c r="AI183" s="6">
        <f>[1]Capital!AH51+[1]Capital!AH53+[1]Capital!AH55+[1]Capital!AH57+[1]Capital!AH59+[1]Capital!AH61+[1]Capital!AH63+[1]Capital!AH65+[1]Capital!AH67</f>
        <v>151567.73305689998</v>
      </c>
      <c r="AJ183" s="6">
        <f>[1]Capital!AI51+[1]Capital!AI53+[1]Capital!AI55+[1]Capital!AI57+[1]Capital!AI59+[1]Capital!AI61+[1]Capital!AI63+[1]Capital!AI65+[1]Capital!AI67</f>
        <v>155509.3033464</v>
      </c>
      <c r="AK183" s="6">
        <f>[1]Capital!AJ51+[1]Capital!AJ53+[1]Capital!AJ55+[1]Capital!AJ57+[1]Capital!AJ59+[1]Capital!AJ61+[1]Capital!AJ63+[1]Capital!AJ65+[1]Capital!AJ67</f>
        <v>159546.31854909999</v>
      </c>
      <c r="AL183" s="6">
        <f>[1]Capital!AK51+[1]Capital!AK53+[1]Capital!AK55+[1]Capital!AK57+[1]Capital!AK59+[1]Capital!AK61+[1]Capital!AK63+[1]Capital!AK65+[1]Capital!AK67</f>
        <v>163668.20931209999</v>
      </c>
    </row>
    <row r="184" spans="1:38" x14ac:dyDescent="0.35">
      <c r="B184" t="s">
        <v>8</v>
      </c>
      <c r="C184" s="6">
        <f>-[1]Capital!B27+[1]Capital!B9+[1]Capital!B11+[1]Capital!B13+[1]Capital!B15+[1]Capital!B17+[1]Capital!B19+[1]Capital!B21+[1]Capital!B23+[1]Capital!B25+[1]Capital!B27+[1]Capital!B41</f>
        <v>621966.73258800013</v>
      </c>
      <c r="D184" s="6">
        <f>-[1]Capital!C27+[1]Capital!C9+[1]Capital!C11+[1]Capital!C13+[1]Capital!C15+[1]Capital!C17+[1]Capital!C19+[1]Capital!C21+[1]Capital!C23+[1]Capital!C25+[1]Capital!C27+[1]Capital!C41</f>
        <v>629045.09622599999</v>
      </c>
      <c r="E184" s="6">
        <f>-[1]Capital!D27+[1]Capital!D9+[1]Capital!D11+[1]Capital!D13+[1]Capital!D15+[1]Capital!D17+[1]Capital!D19+[1]Capital!D21+[1]Capital!D23+[1]Capital!D25+[1]Capital!D27+[1]Capital!D41</f>
        <v>636230.62090299989</v>
      </c>
      <c r="F184" s="6">
        <f>-[1]Capital!E27+[1]Capital!E9+[1]Capital!E11+[1]Capital!E13+[1]Capital!E15+[1]Capital!E17+[1]Capital!E19+[1]Capital!E21+[1]Capital!E23+[1]Capital!E25+[1]Capital!E27+[1]Capital!E41</f>
        <v>643637.03149299999</v>
      </c>
      <c r="G184" s="6">
        <f>-[1]Capital!F27+[1]Capital!F9+[1]Capital!F11+[1]Capital!F13+[1]Capital!F15+[1]Capital!F17+[1]Capital!F19+[1]Capital!F21+[1]Capital!F23+[1]Capital!F25+[1]Capital!F27+[1]Capital!F41</f>
        <v>651326.08802399994</v>
      </c>
      <c r="H184" s="6">
        <f>-[1]Capital!G27+[1]Capital!G9+[1]Capital!G11+[1]Capital!G13+[1]Capital!G15+[1]Capital!G17+[1]Capital!G19+[1]Capital!G21+[1]Capital!G23+[1]Capital!G25+[1]Capital!G27+[1]Capital!G41</f>
        <v>659341.74586100003</v>
      </c>
      <c r="I184" s="6">
        <f>-[1]Capital!H27+[1]Capital!H9+[1]Capital!H11+[1]Capital!H13+[1]Capital!H15+[1]Capital!H17+[1]Capital!H19+[1]Capital!H21+[1]Capital!H23+[1]Capital!H25+[1]Capital!H27+[1]Capital!H41</f>
        <v>667692.75215099996</v>
      </c>
      <c r="J184" s="6">
        <f>-[1]Capital!I27+[1]Capital!I9+[1]Capital!I11+[1]Capital!I13+[1]Capital!I15+[1]Capital!I17+[1]Capital!I19+[1]Capital!I21+[1]Capital!I23+[1]Capital!I25+[1]Capital!I27+[1]Capital!I41</f>
        <v>676392.4533109999</v>
      </c>
      <c r="K184" s="6">
        <f>-[1]Capital!J27+[1]Capital!J9+[1]Capital!J11+[1]Capital!J13+[1]Capital!J15+[1]Capital!J17+[1]Capital!J19+[1]Capital!J21+[1]Capital!J23+[1]Capital!J25+[1]Capital!J27+[1]Capital!J41</f>
        <v>685465.91798699996</v>
      </c>
      <c r="L184" s="6">
        <f>-[1]Capital!K27+[1]Capital!K9+[1]Capital!K11+[1]Capital!K13+[1]Capital!K15+[1]Capital!K17+[1]Capital!K19+[1]Capital!K21+[1]Capital!K23+[1]Capital!K25+[1]Capital!K27+[1]Capital!K41</f>
        <v>694946.2667700001</v>
      </c>
      <c r="M184" s="6">
        <f>-[1]Capital!L27+[1]Capital!L9+[1]Capital!L11+[1]Capital!L13+[1]Capital!L15+[1]Capital!L17+[1]Capital!L19+[1]Capital!L21+[1]Capital!L23+[1]Capital!L25+[1]Capital!L27+[1]Capital!L41</f>
        <v>704869.29930000007</v>
      </c>
      <c r="N184" s="6">
        <f>-[1]Capital!M27+[1]Capital!M9+[1]Capital!M11+[1]Capital!M13+[1]Capital!M15+[1]Capital!M17+[1]Capital!M19+[1]Capital!M21+[1]Capital!M23+[1]Capital!M25+[1]Capital!M27+[1]Capital!M41</f>
        <v>715267.34716999996</v>
      </c>
      <c r="O184" s="6">
        <f>-[1]Capital!N27+[1]Capital!N9+[1]Capital!N11+[1]Capital!N13+[1]Capital!N15+[1]Capital!N17+[1]Capital!N19+[1]Capital!N21+[1]Capital!N23+[1]Capital!N25+[1]Capital!N27+[1]Capital!N41</f>
        <v>726135.02908999997</v>
      </c>
      <c r="P184" s="6">
        <f>-[1]Capital!O27+[1]Capital!O9+[1]Capital!O11+[1]Capital!O13+[1]Capital!O15+[1]Capital!O17+[1]Capital!O19+[1]Capital!O21+[1]Capital!O23+[1]Capital!O25+[1]Capital!O27+[1]Capital!O41</f>
        <v>737383.57844000019</v>
      </c>
      <c r="Q184" s="6">
        <f>-[1]Capital!P27+[1]Capital!P9+[1]Capital!P11+[1]Capital!P13+[1]Capital!P15+[1]Capital!P17+[1]Capital!P19+[1]Capital!P21+[1]Capital!P23+[1]Capital!P25+[1]Capital!P27+[1]Capital!P41</f>
        <v>748940.02246000001</v>
      </c>
      <c r="R184" s="6">
        <f>-[1]Capital!Q27+[1]Capital!Q9+[1]Capital!Q11+[1]Capital!Q13+[1]Capital!Q15+[1]Capital!Q17+[1]Capital!Q19+[1]Capital!Q21+[1]Capital!Q23+[1]Capital!Q25+[1]Capital!Q27+[1]Capital!Q41</f>
        <v>760773.50890999998</v>
      </c>
      <c r="S184" s="6">
        <f>-[1]Capital!R27+[1]Capital!R9+[1]Capital!R11+[1]Capital!R13+[1]Capital!R15+[1]Capital!R17+[1]Capital!R19+[1]Capital!R21+[1]Capital!R23+[1]Capital!R25+[1]Capital!R27+[1]Capital!R41</f>
        <v>772912.92021000013</v>
      </c>
      <c r="T184" s="6">
        <f>-[1]Capital!S27+[1]Capital!S9+[1]Capital!S11+[1]Capital!S13+[1]Capital!S15+[1]Capital!S17+[1]Capital!S19+[1]Capital!S21+[1]Capital!S23+[1]Capital!S25+[1]Capital!S27+[1]Capital!S41</f>
        <v>785422.33004000003</v>
      </c>
      <c r="U184" s="6">
        <f>-[1]Capital!T27+[1]Capital!T9+[1]Capital!T11+[1]Capital!T13+[1]Capital!T15+[1]Capital!T17+[1]Capital!T19+[1]Capital!T21+[1]Capital!T23+[1]Capital!T25+[1]Capital!T27+[1]Capital!T41</f>
        <v>798385.83787999989</v>
      </c>
      <c r="V184" s="6">
        <f>-[1]Capital!U27+[1]Capital!U9+[1]Capital!U11+[1]Capital!U13+[1]Capital!U15+[1]Capital!U17+[1]Capital!U19+[1]Capital!U21+[1]Capital!U23+[1]Capital!U25+[1]Capital!U27+[1]Capital!U41</f>
        <v>811894.28867000004</v>
      </c>
      <c r="W184" s="6">
        <f>-[1]Capital!V27+[1]Capital!V9+[1]Capital!V11+[1]Capital!V13+[1]Capital!V15+[1]Capital!V17+[1]Capital!V19+[1]Capital!V21+[1]Capital!V23+[1]Capital!V25+[1]Capital!V27+[1]Capital!V41</f>
        <v>826044.88049999997</v>
      </c>
      <c r="X184" s="6">
        <f>-[1]Capital!W27+[1]Capital!W9+[1]Capital!W11+[1]Capital!W13+[1]Capital!W15+[1]Capital!W17+[1]Capital!W19+[1]Capital!W21+[1]Capital!W23+[1]Capital!W25+[1]Capital!W27+[1]Capital!W41</f>
        <v>840939.6452100001</v>
      </c>
      <c r="Y184" s="6">
        <f>-[1]Capital!X27+[1]Capital!X9+[1]Capital!X11+[1]Capital!X13+[1]Capital!X15+[1]Capital!X17+[1]Capital!X19+[1]Capital!X21+[1]Capital!X23+[1]Capital!X25+[1]Capital!X27+[1]Capital!X41</f>
        <v>856692.18279999983</v>
      </c>
      <c r="Z184" s="6">
        <f>-[1]Capital!Y27+[1]Capital!Y9+[1]Capital!Y11+[1]Capital!Y13+[1]Capital!Y15+[1]Capital!Y17+[1]Capital!Y19+[1]Capital!Y21+[1]Capital!Y23+[1]Capital!Y25+[1]Capital!Y27+[1]Capital!Y41</f>
        <v>873422.14273000008</v>
      </c>
      <c r="AA184" s="6">
        <f>-[1]Capital!Z27+[1]Capital!Z9+[1]Capital!Z11+[1]Capital!Z13+[1]Capital!Z15+[1]Capital!Z17+[1]Capital!Z19+[1]Capital!Z21+[1]Capital!Z23+[1]Capital!Z25+[1]Capital!Z27+[1]Capital!Z41</f>
        <v>891243.30238999997</v>
      </c>
      <c r="AB184" s="6">
        <f>-[1]Capital!AA27+[1]Capital!AA9+[1]Capital!AA11+[1]Capital!AA13+[1]Capital!AA15+[1]Capital!AA17+[1]Capital!AA19+[1]Capital!AA21+[1]Capital!AA23+[1]Capital!AA25+[1]Capital!AA27+[1]Capital!AA41</f>
        <v>910264.60713000002</v>
      </c>
      <c r="AC184" s="6">
        <f>-[1]Capital!AB27+[1]Capital!AB9+[1]Capital!AB11+[1]Capital!AB13+[1]Capital!AB15+[1]Capital!AB17+[1]Capital!AB19+[1]Capital!AB21+[1]Capital!AB23+[1]Capital!AB25+[1]Capital!AB27+[1]Capital!AB41</f>
        <v>930593.98220999993</v>
      </c>
      <c r="AD184" s="6">
        <f>-[1]Capital!AC27+[1]Capital!AC9+[1]Capital!AC11+[1]Capital!AC13+[1]Capital!AC15+[1]Capital!AC17+[1]Capital!AC19+[1]Capital!AC21+[1]Capital!AC23+[1]Capital!AC25+[1]Capital!AC27+[1]Capital!AC41</f>
        <v>952349.14890999999</v>
      </c>
      <c r="AE184" s="6">
        <f>-[1]Capital!AD27+[1]Capital!AD9+[1]Capital!AD11+[1]Capital!AD13+[1]Capital!AD15+[1]Capital!AD17+[1]Capital!AD19+[1]Capital!AD21+[1]Capital!AD23+[1]Capital!AD25+[1]Capital!AD27+[1]Capital!AD41</f>
        <v>975648.15347000002</v>
      </c>
      <c r="AF184" s="6">
        <f>-[1]Capital!AE27+[1]Capital!AE9+[1]Capital!AE11+[1]Capital!AE13+[1]Capital!AE15+[1]Capital!AE17+[1]Capital!AE19+[1]Capital!AE21+[1]Capital!AE23+[1]Capital!AE25+[1]Capital!AE27+[1]Capital!AE41</f>
        <v>1000579.64715</v>
      </c>
      <c r="AG184" s="6">
        <f>-[1]Capital!AF27+[1]Capital!AF9+[1]Capital!AF11+[1]Capital!AF13+[1]Capital!AF15+[1]Capital!AF17+[1]Capital!AF19+[1]Capital!AF21+[1]Capital!AF23+[1]Capital!AF25+[1]Capital!AF27+[1]Capital!AF41</f>
        <v>1027186.14266</v>
      </c>
      <c r="AH184" s="6">
        <f>-[1]Capital!AG27+[1]Capital!AG9+[1]Capital!AG11+[1]Capital!AG13+[1]Capital!AG15+[1]Capital!AG17+[1]Capital!AG19+[1]Capital!AG21+[1]Capital!AG23+[1]Capital!AG25+[1]Capital!AG27+[1]Capital!AG41</f>
        <v>1055469.3765</v>
      </c>
      <c r="AI184" s="6">
        <f>-[1]Capital!AH27+[1]Capital!AH9+[1]Capital!AH11+[1]Capital!AH13+[1]Capital!AH15+[1]Capital!AH17+[1]Capital!AH19+[1]Capital!AH21+[1]Capital!AH23+[1]Capital!AH25+[1]Capital!AH27+[1]Capital!AH41</f>
        <v>1085402.4104300002</v>
      </c>
      <c r="AJ184" s="6">
        <f>-[1]Capital!AI27+[1]Capital!AI9+[1]Capital!AI11+[1]Capital!AI13+[1]Capital!AI15+[1]Capital!AI17+[1]Capital!AI19+[1]Capital!AI21+[1]Capital!AI23+[1]Capital!AI25+[1]Capital!AI27+[1]Capital!AI41</f>
        <v>1116936.9399700002</v>
      </c>
      <c r="AK184" s="6">
        <f>-[1]Capital!AJ27+[1]Capital!AJ9+[1]Capital!AJ11+[1]Capital!AJ13+[1]Capital!AJ15+[1]Capital!AJ17+[1]Capital!AJ19+[1]Capital!AJ21+[1]Capital!AJ23+[1]Capital!AJ25+[1]Capital!AJ27+[1]Capital!AJ41</f>
        <v>1150006.58002</v>
      </c>
      <c r="AL184" s="6">
        <f>-[1]Capital!AK27+[1]Capital!AK9+[1]Capital!AK11+[1]Capital!AK13+[1]Capital!AK15+[1]Capital!AK17+[1]Capital!AK19+[1]Capital!AK21+[1]Capital!AK23+[1]Capital!AK25+[1]Capital!AK27+[1]Capital!AK41</f>
        <v>1184527.7707800001</v>
      </c>
    </row>
    <row r="185" spans="1:38" x14ac:dyDescent="0.35">
      <c r="B185" t="s">
        <v>24</v>
      </c>
      <c r="C185" s="6">
        <f>[1]Capital!B43+[1]Capital!B47+[1]Capital!B45+[1]Capital!B49</f>
        <v>48083.341004300004</v>
      </c>
      <c r="D185" s="6">
        <f>[1]Capital!C43+[1]Capital!C47+[1]Capital!C45+[1]Capital!C49</f>
        <v>48704.595815399996</v>
      </c>
      <c r="E185" s="6">
        <f>[1]Capital!D43+[1]Capital!D47+[1]Capital!D45+[1]Capital!D49</f>
        <v>49411.074803899995</v>
      </c>
      <c r="F185" s="6">
        <f>[1]Capital!E43+[1]Capital!E47+[1]Capital!E45+[1]Capital!E49</f>
        <v>50185.015603100001</v>
      </c>
      <c r="G185" s="6">
        <f>[1]Capital!F43+[1]Capital!F47+[1]Capital!F45+[1]Capital!F49</f>
        <v>51013.964105999992</v>
      </c>
      <c r="H185" s="6">
        <f>[1]Capital!G43+[1]Capital!G47+[1]Capital!G45+[1]Capital!G49</f>
        <v>51888.885882100003</v>
      </c>
      <c r="I185" s="6">
        <f>[1]Capital!H43+[1]Capital!H47+[1]Capital!H45+[1]Capital!H49</f>
        <v>52797.894110900001</v>
      </c>
      <c r="J185" s="6">
        <f>[1]Capital!I43+[1]Capital!I47+[1]Capital!I45+[1]Capital!I49</f>
        <v>53727.740772200006</v>
      </c>
      <c r="K185" s="6">
        <f>[1]Capital!J43+[1]Capital!J47+[1]Capital!J45+[1]Capital!J49</f>
        <v>54665.617563400003</v>
      </c>
      <c r="L185" s="6">
        <f>[1]Capital!K43+[1]Capital!K47+[1]Capital!K45+[1]Capital!K49</f>
        <v>55600.552387400006</v>
      </c>
      <c r="M185" s="6">
        <f>[1]Capital!L43+[1]Capital!L47+[1]Capital!L45+[1]Capital!L49</f>
        <v>56523.859248300003</v>
      </c>
      <c r="N185" s="6">
        <f>[1]Capital!M43+[1]Capital!M47+[1]Capital!M45+[1]Capital!M49</f>
        <v>57429.038123099999</v>
      </c>
      <c r="O185" s="6">
        <f>[1]Capital!N43+[1]Capital!N47+[1]Capital!N45+[1]Capital!N49</f>
        <v>58310.422643999998</v>
      </c>
      <c r="P185" s="6">
        <f>[1]Capital!O43+[1]Capital!O47+[1]Capital!O45+[1]Capital!O49</f>
        <v>59161.168518400002</v>
      </c>
      <c r="Q185" s="6">
        <f>[1]Capital!P43+[1]Capital!P47+[1]Capital!P45+[1]Capital!P49</f>
        <v>59976.4500893</v>
      </c>
      <c r="R185" s="6">
        <f>[1]Capital!Q43+[1]Capital!Q47+[1]Capital!Q45+[1]Capital!Q49</f>
        <v>60754.314573599993</v>
      </c>
      <c r="S185" s="6">
        <f>[1]Capital!R43+[1]Capital!R47+[1]Capital!R45+[1]Capital!R49</f>
        <v>61491.586518799995</v>
      </c>
      <c r="T185" s="6">
        <f>[1]Capital!S43+[1]Capital!S47+[1]Capital!S45+[1]Capital!S49</f>
        <v>62193.781599100002</v>
      </c>
      <c r="U185" s="6">
        <f>[1]Capital!T43+[1]Capital!T47+[1]Capital!T45+[1]Capital!T49</f>
        <v>62869.232328900005</v>
      </c>
      <c r="V185" s="6">
        <f>[1]Capital!U43+[1]Capital!U47+[1]Capital!U45+[1]Capital!U49</f>
        <v>63526.376680199988</v>
      </c>
      <c r="W185" s="6">
        <f>[1]Capital!V43+[1]Capital!V47+[1]Capital!V45+[1]Capital!V49</f>
        <v>64173.007750499994</v>
      </c>
      <c r="X185" s="6">
        <f>[1]Capital!W43+[1]Capital!W47+[1]Capital!W45+[1]Capital!W49</f>
        <v>64816.148673800002</v>
      </c>
      <c r="Y185" s="6">
        <f>[1]Capital!X43+[1]Capital!X47+[1]Capital!X45+[1]Capital!X49</f>
        <v>65462.292713100003</v>
      </c>
      <c r="Z185" s="6">
        <f>[1]Capital!Y43+[1]Capital!Y47+[1]Capital!Y45+[1]Capital!Y49</f>
        <v>66117.509353600006</v>
      </c>
      <c r="AA185" s="6">
        <f>[1]Capital!Z43+[1]Capital!Z47+[1]Capital!Z45+[1]Capital!Z49</f>
        <v>66787.370296100009</v>
      </c>
      <c r="AB185" s="6">
        <f>[1]Capital!AA43+[1]Capital!AA47+[1]Capital!AA45+[1]Capital!AA49</f>
        <v>67477.041814800003</v>
      </c>
      <c r="AC185" s="6">
        <f>[1]Capital!AB43+[1]Capital!AB47+[1]Capital!AB45+[1]Capital!AB49</f>
        <v>68191.41359679999</v>
      </c>
      <c r="AD185" s="6">
        <f>[1]Capital!AC43+[1]Capital!AC47+[1]Capital!AC45+[1]Capital!AC49</f>
        <v>68935.334577700007</v>
      </c>
      <c r="AE185" s="6">
        <f>[1]Capital!AD43+[1]Capital!AD47+[1]Capital!AD45+[1]Capital!AD49</f>
        <v>69713.509455699997</v>
      </c>
      <c r="AF185" s="6">
        <f>[1]Capital!AE43+[1]Capital!AE47+[1]Capital!AE45+[1]Capital!AE49</f>
        <v>70529.923527399995</v>
      </c>
      <c r="AG185" s="6">
        <f>[1]Capital!AF43+[1]Capital!AF47+[1]Capital!AF45+[1]Capital!AF49</f>
        <v>71387.416065400015</v>
      </c>
      <c r="AH185" s="6">
        <f>[1]Capital!AG43+[1]Capital!AG47+[1]Capital!AG45+[1]Capital!AG49</f>
        <v>72287.654339099987</v>
      </c>
      <c r="AI185" s="6">
        <f>[1]Capital!AH43+[1]Capital!AH47+[1]Capital!AH45+[1]Capital!AH49</f>
        <v>73231.3097576</v>
      </c>
      <c r="AJ185" s="6">
        <f>[1]Capital!AI43+[1]Capital!AI47+[1]Capital!AI45+[1]Capital!AI49</f>
        <v>74218.216535200001</v>
      </c>
      <c r="AK185" s="6">
        <f>[1]Capital!AJ43+[1]Capital!AJ47+[1]Capital!AJ45+[1]Capital!AJ49</f>
        <v>75247.479611999996</v>
      </c>
      <c r="AL185" s="6">
        <f>[1]Capital!AK43+[1]Capital!AK47+[1]Capital!AK45+[1]Capital!AK49</f>
        <v>76317.531632999991</v>
      </c>
    </row>
    <row r="186" spans="1:38" x14ac:dyDescent="0.35">
      <c r="B186" t="s">
        <v>10</v>
      </c>
      <c r="C186" s="6">
        <f>[1]Capital!B37+[1]Capital!B39</f>
        <v>7641756.3899999997</v>
      </c>
      <c r="D186" s="6">
        <f>[1]Capital!C37+[1]Capital!C39</f>
        <v>7729010.9299999997</v>
      </c>
      <c r="E186" s="6">
        <f>[1]Capital!D37+[1]Capital!D39</f>
        <v>7817089.3700000001</v>
      </c>
      <c r="F186" s="6">
        <f>[1]Capital!E37+[1]Capital!E39</f>
        <v>7907144.7749999994</v>
      </c>
      <c r="G186" s="6">
        <f>[1]Capital!F37+[1]Capital!F39</f>
        <v>7999974.1410000008</v>
      </c>
      <c r="H186" s="6">
        <f>[1]Capital!G37+[1]Capital!G39</f>
        <v>8096014.1519999998</v>
      </c>
      <c r="I186" s="6">
        <f>[1]Capital!H37+[1]Capital!H39</f>
        <v>8195249.0260000005</v>
      </c>
      <c r="J186" s="6">
        <f>[1]Capital!I37+[1]Capital!I39</f>
        <v>8297602.2549999999</v>
      </c>
      <c r="K186" s="6">
        <f>[1]Capital!J37+[1]Capital!J39</f>
        <v>8403074.4360000007</v>
      </c>
      <c r="L186" s="6">
        <f>[1]Capital!K37+[1]Capital!K39</f>
        <v>8511782.0620000008</v>
      </c>
      <c r="M186" s="6">
        <f>[1]Capital!L37+[1]Capital!L39</f>
        <v>8623937.273</v>
      </c>
      <c r="N186" s="6">
        <f>[1]Capital!M37+[1]Capital!M39</f>
        <v>8739824.8650000002</v>
      </c>
      <c r="O186" s="6">
        <f>[1]Capital!N37+[1]Capital!N39</f>
        <v>8859699.1789999995</v>
      </c>
      <c r="P186" s="6">
        <f>[1]Capital!O37+[1]Capital!O39</f>
        <v>8983629.061999999</v>
      </c>
      <c r="Q186" s="6">
        <f>[1]Capital!P37+[1]Capital!P39</f>
        <v>9111665.2310000006</v>
      </c>
      <c r="R186" s="6">
        <f>[1]Capital!Q37+[1]Capital!Q39</f>
        <v>9243903.8430000003</v>
      </c>
      <c r="S186" s="6">
        <f>[1]Capital!R37+[1]Capital!R39</f>
        <v>9380679.3839999996</v>
      </c>
      <c r="T186" s="6">
        <f>[1]Capital!S37+[1]Capital!S39</f>
        <v>9522405.8839999996</v>
      </c>
      <c r="U186" s="6">
        <f>[1]Capital!T37+[1]Capital!T39</f>
        <v>9669494.7829999998</v>
      </c>
      <c r="V186" s="6">
        <f>[1]Capital!U37+[1]Capital!U39</f>
        <v>9822309.7679999992</v>
      </c>
      <c r="W186" s="6">
        <f>[1]Capital!V37+[1]Capital!V39</f>
        <v>9981178.1380000003</v>
      </c>
      <c r="X186" s="6">
        <f>[1]Capital!W37+[1]Capital!W39</f>
        <v>10146414.255999999</v>
      </c>
      <c r="Y186" s="6">
        <f>[1]Capital!X37+[1]Capital!X39</f>
        <v>10318360.148</v>
      </c>
      <c r="Z186" s="6">
        <f>[1]Capital!Y37+[1]Capital!Y39</f>
        <v>10497392.056</v>
      </c>
      <c r="AA186" s="6">
        <f>[1]Capital!Z37+[1]Capital!Z39</f>
        <v>10683894.286</v>
      </c>
      <c r="AB186" s="6">
        <f>[1]Capital!AA37+[1]Capital!AA39</f>
        <v>10878262.169</v>
      </c>
      <c r="AC186" s="6">
        <f>[1]Capital!AB37+[1]Capital!AB39</f>
        <v>11080915.829</v>
      </c>
      <c r="AD186" s="6">
        <f>[1]Capital!AC37+[1]Capital!AC39</f>
        <v>11292338.651000001</v>
      </c>
      <c r="AE186" s="6">
        <f>[1]Capital!AD37+[1]Capital!AD39</f>
        <v>11513067.835000001</v>
      </c>
      <c r="AF186" s="6">
        <f>[1]Capital!AE37+[1]Capital!AE39</f>
        <v>11743639.73</v>
      </c>
      <c r="AG186" s="6">
        <f>[1]Capital!AF37+[1]Capital!AF39</f>
        <v>11984537.256999999</v>
      </c>
      <c r="AH186" s="6">
        <f>[1]Capital!AG37+[1]Capital!AG39</f>
        <v>12236180.707</v>
      </c>
      <c r="AI186" s="6">
        <f>[1]Capital!AH37+[1]Capital!AH39</f>
        <v>12498939.284</v>
      </c>
      <c r="AJ186" s="6">
        <f>[1]Capital!AI37+[1]Capital!AI39</f>
        <v>12773135.459000001</v>
      </c>
      <c r="AK186" s="6">
        <f>[1]Capital!AJ37+[1]Capital!AJ39</f>
        <v>13059041.612</v>
      </c>
      <c r="AL186" s="6">
        <f>[1]Capital!AK37+[1]Capital!AK39</f>
        <v>13356871.637</v>
      </c>
    </row>
    <row r="187" spans="1:38" x14ac:dyDescent="0.35">
      <c r="B187" t="s">
        <v>9</v>
      </c>
      <c r="C187" s="6">
        <f>[1]Capital!B29+[1]Capital!B31+[1]Capital!B33+[1]Capital!B35</f>
        <v>164776.12271</v>
      </c>
      <c r="D187" s="6">
        <f>[1]Capital!C29+[1]Capital!C31+[1]Capital!C33+[1]Capital!C35</f>
        <v>166606.09214999998</v>
      </c>
      <c r="E187" s="6">
        <f>[1]Capital!D29+[1]Capital!D31+[1]Capital!D33+[1]Capital!D35</f>
        <v>168393.32837999999</v>
      </c>
      <c r="F187" s="6">
        <f>[1]Capital!E29+[1]Capital!E31+[1]Capital!E33+[1]Capital!E35</f>
        <v>170173.95144</v>
      </c>
      <c r="G187" s="6">
        <f>[1]Capital!F29+[1]Capital!F31+[1]Capital!F33+[1]Capital!F35</f>
        <v>171976.12607</v>
      </c>
      <c r="H187" s="6">
        <f>[1]Capital!G29+[1]Capital!G31+[1]Capital!G33+[1]Capital!G35</f>
        <v>173823.78702999998</v>
      </c>
      <c r="I187" s="6">
        <f>[1]Capital!H29+[1]Capital!H31+[1]Capital!H33+[1]Capital!H35</f>
        <v>175730.01607000001</v>
      </c>
      <c r="J187" s="6">
        <f>[1]Capital!I29+[1]Capital!I31+[1]Capital!I33+[1]Capital!I35</f>
        <v>177702.81824999998</v>
      </c>
      <c r="K187" s="6">
        <f>[1]Capital!J29+[1]Capital!J31+[1]Capital!J33+[1]Capital!J35</f>
        <v>179749.38438999999</v>
      </c>
      <c r="L187" s="6">
        <f>[1]Capital!K29+[1]Capital!K31+[1]Capital!K33+[1]Capital!K35</f>
        <v>181877.48338000002</v>
      </c>
      <c r="M187" s="6">
        <f>[1]Capital!L29+[1]Capital!L31+[1]Capital!L33+[1]Capital!L35</f>
        <v>184095.61218999999</v>
      </c>
      <c r="N187" s="6">
        <f>[1]Capital!M29+[1]Capital!M31+[1]Capital!M33+[1]Capital!M35</f>
        <v>186412.30922999998</v>
      </c>
      <c r="O187" s="6">
        <f>[1]Capital!N29+[1]Capital!N31+[1]Capital!N33+[1]Capital!N35</f>
        <v>188829.70490000001</v>
      </c>
      <c r="P187" s="6">
        <f>[1]Capital!O29+[1]Capital!O31+[1]Capital!O33+[1]Capital!O35</f>
        <v>191334.50104999999</v>
      </c>
      <c r="Q187" s="6">
        <f>[1]Capital!P29+[1]Capital!P31+[1]Capital!P33+[1]Capital!P35</f>
        <v>193915.68993000002</v>
      </c>
      <c r="R187" s="6">
        <f>[1]Capital!Q29+[1]Capital!Q31+[1]Capital!Q33+[1]Capital!Q35</f>
        <v>196569.36908</v>
      </c>
      <c r="S187" s="6">
        <f>[1]Capital!R29+[1]Capital!R31+[1]Capital!R33+[1]Capital!R35</f>
        <v>199302.37209999998</v>
      </c>
      <c r="T187" s="6">
        <f>[1]Capital!S29+[1]Capital!S31+[1]Capital!S33+[1]Capital!S35</f>
        <v>202130.06857999999</v>
      </c>
      <c r="U187" s="6">
        <f>[1]Capital!T29+[1]Capital!T31+[1]Capital!T33+[1]Capital!T35</f>
        <v>205071.75921000002</v>
      </c>
      <c r="V187" s="6">
        <f>[1]Capital!U29+[1]Capital!U31+[1]Capital!U33+[1]Capital!U35</f>
        <v>208147.09927999999</v>
      </c>
      <c r="W187" s="6">
        <f>[1]Capital!V29+[1]Capital!V31+[1]Capital!V33+[1]Capital!V35</f>
        <v>211375.77996999997</v>
      </c>
      <c r="X187" s="6">
        <f>[1]Capital!W29+[1]Capital!W31+[1]Capital!W33+[1]Capital!W35</f>
        <v>214777.52249999999</v>
      </c>
      <c r="Y187" s="6">
        <f>[1]Capital!X29+[1]Capital!X31+[1]Capital!X33+[1]Capital!X35</f>
        <v>218373.74932</v>
      </c>
      <c r="Z187" s="6">
        <f>[1]Capital!Y29+[1]Capital!Y31+[1]Capital!Y33+[1]Capital!Y35</f>
        <v>222186.95778</v>
      </c>
      <c r="AA187" s="6">
        <f>[1]Capital!Z29+[1]Capital!Z31+[1]Capital!Z33+[1]Capital!Z35</f>
        <v>226238.68797000003</v>
      </c>
      <c r="AB187" s="6">
        <f>[1]Capital!AA29+[1]Capital!AA31+[1]Capital!AA33+[1]Capital!AA35</f>
        <v>230549.78303999998</v>
      </c>
      <c r="AC187" s="6">
        <f>[1]Capital!AB29+[1]Capital!AB31+[1]Capital!AB33+[1]Capital!AB35</f>
        <v>235141.15916000001</v>
      </c>
      <c r="AD187" s="6">
        <f>[1]Capital!AC29+[1]Capital!AC31+[1]Capital!AC33+[1]Capital!AC35</f>
        <v>240035.93886999998</v>
      </c>
      <c r="AE187" s="6">
        <f>[1]Capital!AD29+[1]Capital!AD31+[1]Capital!AD33+[1]Capital!AD35</f>
        <v>245257.79455999998</v>
      </c>
      <c r="AF187" s="6">
        <f>[1]Capital!AE29+[1]Capital!AE31+[1]Capital!AE33+[1]Capital!AE35</f>
        <v>250825.52649999998</v>
      </c>
      <c r="AG187" s="6">
        <f>[1]Capital!AF29+[1]Capital!AF31+[1]Capital!AF33+[1]Capital!AF35</f>
        <v>256749.73732000001</v>
      </c>
      <c r="AH187" s="6">
        <f>[1]Capital!AG29+[1]Capital!AG31+[1]Capital!AG33+[1]Capital!AG35</f>
        <v>263033.50890000002</v>
      </c>
      <c r="AI187" s="6">
        <f>[1]Capital!AH29+[1]Capital!AH31+[1]Capital!AH33+[1]Capital!AH35</f>
        <v>269674.41230000003</v>
      </c>
      <c r="AJ187" s="6">
        <f>[1]Capital!AI29+[1]Capital!AI31+[1]Capital!AI33+[1]Capital!AI35</f>
        <v>276665.71046999999</v>
      </c>
      <c r="AK187" s="6">
        <f>[1]Capital!AJ29+[1]Capital!AJ31+[1]Capital!AJ33+[1]Capital!AJ35</f>
        <v>283996.86678000004</v>
      </c>
      <c r="AL187" s="6">
        <f>[1]Capital!AK29+[1]Capital!AK31+[1]Capital!AK33+[1]Capital!AK35</f>
        <v>291653.64181</v>
      </c>
    </row>
    <row r="188" spans="1:38" x14ac:dyDescent="0.35"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</row>
    <row r="189" spans="1:38" x14ac:dyDescent="0.35">
      <c r="A189" s="12" t="s">
        <v>29</v>
      </c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</row>
    <row r="190" spans="1:38" x14ac:dyDescent="0.35">
      <c r="A190" t="s">
        <v>27</v>
      </c>
      <c r="B190" t="s">
        <v>28</v>
      </c>
      <c r="C190" s="6">
        <f>[1]Capital!B2</f>
        <v>8841077.0380000006</v>
      </c>
      <c r="D190" s="6">
        <f>[1]Capital!C2</f>
        <v>8942223.4829999991</v>
      </c>
      <c r="E190" s="6">
        <f>[1]Capital!D2</f>
        <v>9044593.4859999996</v>
      </c>
      <c r="F190" s="6">
        <f>[1]Capital!E2</f>
        <v>9149413.9379999992</v>
      </c>
      <c r="G190" s="6">
        <f>[1]Capital!F2</f>
        <v>9257473.4010000005</v>
      </c>
      <c r="H190" s="6">
        <f>[1]Capital!G2</f>
        <v>9369226.875</v>
      </c>
      <c r="I190" s="6">
        <f>[1]Capital!H2</f>
        <v>9484897.7100000009</v>
      </c>
      <c r="J190" s="6">
        <f>[1]Capital!I2</f>
        <v>9603431.7489999998</v>
      </c>
      <c r="K190" s="6">
        <f>[1]Capital!J2</f>
        <v>9724650.9419999998</v>
      </c>
      <c r="L190" s="6">
        <f>[1]Capital!K2</f>
        <v>9850197.3760000002</v>
      </c>
      <c r="M190" s="6">
        <f>[1]Capital!L2</f>
        <v>9981060.7719999999</v>
      </c>
      <c r="N190" s="6">
        <f>[1]Capital!M2</f>
        <v>10117846.529999999</v>
      </c>
      <c r="O190" s="6">
        <f>[1]Capital!N2</f>
        <v>10260888.289999999</v>
      </c>
      <c r="P190" s="6">
        <f>[1]Capital!O2</f>
        <v>10410168.91</v>
      </c>
      <c r="Q190" s="6">
        <f>[1]Capital!P2</f>
        <v>10565719.550000001</v>
      </c>
      <c r="R190" s="6">
        <f>[1]Capital!Q2</f>
        <v>10727665.84</v>
      </c>
      <c r="S190" s="6">
        <f>[1]Capital!R2</f>
        <v>10896197.08</v>
      </c>
      <c r="T190" s="6">
        <f>[1]Capital!S2</f>
        <v>11071567.57</v>
      </c>
      <c r="U190" s="6">
        <f>[1]Capital!T2</f>
        <v>11254107.01</v>
      </c>
      <c r="V190" s="6">
        <f>[1]Capital!U2</f>
        <v>11444195.65</v>
      </c>
      <c r="W190" s="6">
        <f>[1]Capital!V2</f>
        <v>11642263.59</v>
      </c>
      <c r="X190" s="6">
        <f>[1]Capital!W2</f>
        <v>11848775.58</v>
      </c>
      <c r="Y190" s="6">
        <f>[1]Capital!X2</f>
        <v>12064254.9</v>
      </c>
      <c r="Z190" s="6">
        <f>[1]Capital!Y2</f>
        <v>12289276.66</v>
      </c>
      <c r="AA190" s="6">
        <f>[1]Capital!Z2</f>
        <v>12524417.92</v>
      </c>
      <c r="AB190" s="6">
        <f>[1]Capital!AA2</f>
        <v>12770254.939999999</v>
      </c>
      <c r="AC190" s="6">
        <f>[1]Capital!AB2</f>
        <v>13027359.99</v>
      </c>
      <c r="AD190" s="6">
        <f>[1]Capital!AC2</f>
        <v>13296337.77</v>
      </c>
      <c r="AE190" s="6">
        <f>[1]Capital!AD2</f>
        <v>13577852.42</v>
      </c>
      <c r="AF190" s="6">
        <f>[1]Capital!AE2</f>
        <v>13872547.93</v>
      </c>
      <c r="AG190" s="6">
        <f>[1]Capital!AF2</f>
        <v>14180970.390000001</v>
      </c>
      <c r="AH190" s="6">
        <f>[1]Capital!AG2</f>
        <v>14503546.42</v>
      </c>
      <c r="AI190" s="6">
        <f>[1]Capital!AH2</f>
        <v>14840605.08</v>
      </c>
      <c r="AJ190" s="6">
        <f>[1]Capital!AI2</f>
        <v>15192414.48</v>
      </c>
      <c r="AK190" s="6">
        <f>[1]Capital!AJ2</f>
        <v>15559203.17</v>
      </c>
      <c r="AL190" s="6">
        <f>[1]Capital!AK2</f>
        <v>15941186.85</v>
      </c>
    </row>
    <row r="191" spans="1:38" x14ac:dyDescent="0.35">
      <c r="B191" t="s">
        <v>7</v>
      </c>
      <c r="C191" s="6">
        <f>[1]Capital!B4+[1]Capital!B6</f>
        <v>195855.98576000001</v>
      </c>
      <c r="D191" s="6">
        <f>[1]Capital!C4+[1]Capital!C6</f>
        <v>197963.33374</v>
      </c>
      <c r="E191" s="6">
        <f>[1]Capital!D4+[1]Capital!D6</f>
        <v>199934.54445000002</v>
      </c>
      <c r="F191" s="6">
        <f>[1]Capital!E4+[1]Capital!E6</f>
        <v>201841.31698999999</v>
      </c>
      <c r="G191" s="6">
        <f>[1]Capital!F4+[1]Capital!F6</f>
        <v>203739.07521000001</v>
      </c>
      <c r="H191" s="6">
        <f>[1]Capital!G4+[1]Capital!G6</f>
        <v>205667.45474000002</v>
      </c>
      <c r="I191" s="6">
        <f>[1]Capital!H4+[1]Capital!H6</f>
        <v>207653.84648000001</v>
      </c>
      <c r="J191" s="6">
        <f>[1]Capital!I4+[1]Capital!I6</f>
        <v>209711.15051000001</v>
      </c>
      <c r="K191" s="6">
        <f>[1]Capital!J4+[1]Capital!J6</f>
        <v>211847.18979999999</v>
      </c>
      <c r="L191" s="6">
        <f>[1]Capital!K4+[1]Capital!K6</f>
        <v>214113.77708</v>
      </c>
      <c r="M191" s="6">
        <f>[1]Capital!L4+[1]Capital!L6</f>
        <v>216540.22713999997</v>
      </c>
      <c r="N191" s="6">
        <f>[1]Capital!M4+[1]Capital!M6</f>
        <v>219134.37606000001</v>
      </c>
      <c r="O191" s="6">
        <f>[1]Capital!N4+[1]Capital!N6</f>
        <v>221903.14027</v>
      </c>
      <c r="P191" s="6">
        <f>[1]Capital!O4+[1]Capital!O6</f>
        <v>224847.06571</v>
      </c>
      <c r="Q191" s="6">
        <f>[1]Capital!P4+[1]Capital!P6</f>
        <v>227968.71493999998</v>
      </c>
      <c r="R191" s="6">
        <f>[1]Capital!Q4+[1]Capital!Q6</f>
        <v>231272.40002</v>
      </c>
      <c r="S191" s="6">
        <f>[1]Capital!R4+[1]Capital!R6</f>
        <v>234767.95137</v>
      </c>
      <c r="T191" s="6">
        <f>[1]Capital!S4+[1]Capital!S6</f>
        <v>238462.61211000002</v>
      </c>
      <c r="U191" s="6">
        <f>[1]Capital!T4+[1]Capital!T6</f>
        <v>242363.93091000002</v>
      </c>
      <c r="V191" s="6">
        <f>[1]Capital!U4+[1]Capital!U6</f>
        <v>246480.39521000002</v>
      </c>
      <c r="W191" s="6">
        <f>[1]Capital!V4+[1]Capital!V6</f>
        <v>250821.86231000003</v>
      </c>
      <c r="X191" s="6">
        <f>[1]Capital!W4+[1]Capital!W6</f>
        <v>255399.12723000001</v>
      </c>
      <c r="Y191" s="6">
        <f>[1]Capital!X4+[1]Capital!X6</f>
        <v>260224.64309000003</v>
      </c>
      <c r="Z191" s="6">
        <f>[1]Capital!Y4+[1]Capital!Y6</f>
        <v>265312.31396</v>
      </c>
      <c r="AA191" s="6">
        <f>[1]Capital!Z4+[1]Capital!Z6</f>
        <v>270675.96256999997</v>
      </c>
      <c r="AB191" s="6">
        <f>[1]Capital!AA4+[1]Capital!AA6</f>
        <v>276329.13978000003</v>
      </c>
      <c r="AC191" s="6">
        <f>[1]Capital!AB4+[1]Capital!AB6</f>
        <v>282281.87988999998</v>
      </c>
      <c r="AD191" s="6">
        <f>[1]Capital!AC4+[1]Capital!AC6</f>
        <v>288546.19091999996</v>
      </c>
      <c r="AE191" s="6">
        <f>[1]Capital!AD4+[1]Capital!AD6</f>
        <v>295135.70825999998</v>
      </c>
      <c r="AF191" s="6">
        <f>[1]Capital!AE4+[1]Capital!AE6</f>
        <v>302062.59490999999</v>
      </c>
      <c r="AG191" s="6">
        <f>[1]Capital!AF4+[1]Capital!AF6</f>
        <v>309334.82467999996</v>
      </c>
      <c r="AH191" s="6">
        <f>[1]Capital!AG4+[1]Capital!AG6</f>
        <v>316955.26981999999</v>
      </c>
      <c r="AI191" s="6">
        <f>[1]Capital!AH4+[1]Capital!AH6</f>
        <v>324922.11175000004</v>
      </c>
      <c r="AJ191" s="6">
        <f>[1]Capital!AI4+[1]Capital!AI6</f>
        <v>333229.6091</v>
      </c>
      <c r="AK191" s="6">
        <f>[1]Capital!AJ4+[1]Capital!AJ6</f>
        <v>341868.19256999996</v>
      </c>
      <c r="AL191" s="6">
        <f>[1]Capital!AK4+[1]Capital!AK6</f>
        <v>350824.05903999996</v>
      </c>
    </row>
    <row r="192" spans="1:38" x14ac:dyDescent="0.35">
      <c r="B192" t="s">
        <v>96</v>
      </c>
      <c r="C192" s="6">
        <f>[1]Capital!B26</f>
        <v>84741.007719999994</v>
      </c>
      <c r="D192" s="6">
        <f>[1]Capital!C26</f>
        <v>86026.53542</v>
      </c>
      <c r="E192" s="6">
        <f>[1]Capital!D26</f>
        <v>87695.150150000001</v>
      </c>
      <c r="F192" s="6">
        <f>[1]Capital!E26</f>
        <v>89613.14963</v>
      </c>
      <c r="G192" s="6">
        <f>[1]Capital!F26</f>
        <v>91639.476809999993</v>
      </c>
      <c r="H192" s="6">
        <f>[1]Capital!G26</f>
        <v>93689.200349999999</v>
      </c>
      <c r="I192" s="6">
        <f>[1]Capital!H26</f>
        <v>95725.558659999995</v>
      </c>
      <c r="J192" s="6">
        <f>[1]Capital!I26</f>
        <v>97733.197549999997</v>
      </c>
      <c r="K192" s="6">
        <f>[1]Capital!J26</f>
        <v>99725.208310000002</v>
      </c>
      <c r="L192" s="6">
        <f>[1]Capital!K26</f>
        <v>101741.3354</v>
      </c>
      <c r="M192" s="6">
        <f>[1]Capital!L26</f>
        <v>103819.79610000001</v>
      </c>
      <c r="N192" s="6">
        <f>[1]Capital!M26</f>
        <v>105979.47689999999</v>
      </c>
      <c r="O192" s="6">
        <f>[1]Capital!N26</f>
        <v>108214.7282</v>
      </c>
      <c r="P192" s="6">
        <f>[1]Capital!O26</f>
        <v>110511.5724</v>
      </c>
      <c r="Q192" s="6">
        <f>[1]Capital!P26</f>
        <v>112859.9632</v>
      </c>
      <c r="R192" s="6">
        <f>[1]Capital!Q26</f>
        <v>115256.6952</v>
      </c>
      <c r="S192" s="6">
        <f>[1]Capital!R26</f>
        <v>117706.3818</v>
      </c>
      <c r="T192" s="6">
        <f>[1]Capital!S26</f>
        <v>120218.2383</v>
      </c>
      <c r="U192" s="6">
        <f>[1]Capital!T26</f>
        <v>122800.6954</v>
      </c>
      <c r="V192" s="6">
        <f>[1]Capital!U26</f>
        <v>125459.50840000001</v>
      </c>
      <c r="W192" s="6">
        <f>[1]Capital!V26</f>
        <v>128198.6305</v>
      </c>
      <c r="X192" s="6">
        <f>[1]Capital!W26</f>
        <v>131021.4504</v>
      </c>
      <c r="Y192" s="6">
        <f>[1]Capital!X26</f>
        <v>133931.5319</v>
      </c>
      <c r="Z192" s="6">
        <f>[1]Capital!Y26</f>
        <v>136933.00030000001</v>
      </c>
      <c r="AA192" s="6">
        <f>[1]Capital!Z26</f>
        <v>140030.2323</v>
      </c>
      <c r="AB192" s="6">
        <f>[1]Capital!AA26</f>
        <v>143228.2414</v>
      </c>
      <c r="AC192" s="6">
        <f>[1]Capital!AB26</f>
        <v>146532.3376</v>
      </c>
      <c r="AD192" s="6">
        <f>[1]Capital!AC26</f>
        <v>149947.78049999999</v>
      </c>
      <c r="AE192" s="6">
        <f>[1]Capital!AD26</f>
        <v>153481.45509999999</v>
      </c>
      <c r="AF192" s="6">
        <f>[1]Capital!AE26</f>
        <v>157142.09090000001</v>
      </c>
      <c r="AG192" s="6">
        <f>[1]Capital!AF26</f>
        <v>160939.622</v>
      </c>
      <c r="AH192" s="6">
        <f>[1]Capital!AG26</f>
        <v>164883.9253</v>
      </c>
      <c r="AI192" s="6">
        <f>[1]Capital!AH26</f>
        <v>168983.54389999999</v>
      </c>
      <c r="AJ192" s="6">
        <f>[1]Capital!AI26</f>
        <v>173245.60250000001</v>
      </c>
      <c r="AK192" s="6">
        <f>[1]Capital!AJ26</f>
        <v>177675.85870000001</v>
      </c>
      <c r="AL192" s="6">
        <f>[1]Capital!AK26</f>
        <v>182278.734</v>
      </c>
    </row>
    <row r="193" spans="1:38" x14ac:dyDescent="0.35">
      <c r="B193" t="s">
        <v>11</v>
      </c>
      <c r="C193" s="6">
        <f>[1]Capital!B50+[1]Capital!B52+[1]Capital!B54+[1]Capital!B56+[1]Capital!B58+[1]Capital!B60+[1]Capital!B62+[1]Capital!B64+[1]Capital!B66</f>
        <v>83897.457716999998</v>
      </c>
      <c r="D193" s="6">
        <f>[1]Capital!C50+[1]Capital!C52+[1]Capital!C54+[1]Capital!C56+[1]Capital!C58+[1]Capital!C60+[1]Capital!C62+[1]Capital!C64+[1]Capital!C66</f>
        <v>84866.89929299998</v>
      </c>
      <c r="E193" s="6">
        <f>[1]Capital!D50+[1]Capital!D52+[1]Capital!D54+[1]Capital!D56+[1]Capital!D58+[1]Capital!D60+[1]Capital!D62+[1]Capital!D64+[1]Capital!D66</f>
        <v>85839.397955900014</v>
      </c>
      <c r="F193" s="6">
        <f>[1]Capital!E50+[1]Capital!E52+[1]Capital!E54+[1]Capital!E56+[1]Capital!E58+[1]Capital!E60+[1]Capital!E62+[1]Capital!E64+[1]Capital!E66</f>
        <v>86818.697559499997</v>
      </c>
      <c r="G193" s="6">
        <f>[1]Capital!F50+[1]Capital!F52+[1]Capital!F54+[1]Capital!F56+[1]Capital!F58+[1]Capital!F60+[1]Capital!F62+[1]Capital!F64+[1]Capital!F66</f>
        <v>87804.530628699998</v>
      </c>
      <c r="H193" s="6">
        <f>[1]Capital!G50+[1]Capital!G52+[1]Capital!G54+[1]Capital!G56+[1]Capital!G58+[1]Capital!G60+[1]Capital!G62+[1]Capital!G64+[1]Capital!G66</f>
        <v>88801.648692300005</v>
      </c>
      <c r="I193" s="6">
        <f>[1]Capital!H50+[1]Capital!H52+[1]Capital!H54+[1]Capital!H56+[1]Capital!H58+[1]Capital!H60+[1]Capital!H62+[1]Capital!H64+[1]Capital!H66</f>
        <v>89819.035415899998</v>
      </c>
      <c r="J193" s="6">
        <f>[1]Capital!I50+[1]Capital!I52+[1]Capital!I54+[1]Capital!I56+[1]Capital!I58+[1]Capital!I60+[1]Capital!I62+[1]Capital!I64+[1]Capital!I66</f>
        <v>90902.025794600006</v>
      </c>
      <c r="K193" s="6">
        <f>[1]Capital!J50+[1]Capital!J52+[1]Capital!J54+[1]Capital!J56+[1]Capital!J58+[1]Capital!J60+[1]Capital!J62+[1]Capital!J64+[1]Capital!J66</f>
        <v>92088.706615999981</v>
      </c>
      <c r="L193" s="6">
        <f>[1]Capital!K50+[1]Capital!K52+[1]Capital!K54+[1]Capital!K56+[1]Capital!K58+[1]Capital!K60+[1]Capital!K62+[1]Capital!K64+[1]Capital!K66</f>
        <v>93439.398094199991</v>
      </c>
      <c r="M193" s="6">
        <f>[1]Capital!L50+[1]Capital!L52+[1]Capital!L54+[1]Capital!L56+[1]Capital!L58+[1]Capital!L60+[1]Capital!L62+[1]Capital!L64+[1]Capital!L66</f>
        <v>94997.5074953</v>
      </c>
      <c r="N193" s="6">
        <f>[1]Capital!M50+[1]Capital!M52+[1]Capital!M54+[1]Capital!M56+[1]Capital!M58+[1]Capital!M60+[1]Capital!M62+[1]Capital!M64+[1]Capital!M66</f>
        <v>96785.958571600029</v>
      </c>
      <c r="O193" s="6">
        <f>[1]Capital!N50+[1]Capital!N52+[1]Capital!N54+[1]Capital!N56+[1]Capital!N58+[1]Capital!N60+[1]Capital!N62+[1]Capital!N64+[1]Capital!N66</f>
        <v>98819.368825500002</v>
      </c>
      <c r="P193" s="6">
        <f>[1]Capital!O50+[1]Capital!O52+[1]Capital!O54+[1]Capital!O56+[1]Capital!O58+[1]Capital!O60+[1]Capital!O62+[1]Capital!O64+[1]Capital!O66</f>
        <v>101105.06153010001</v>
      </c>
      <c r="Q193" s="6">
        <f>[1]Capital!P50+[1]Capital!P52+[1]Capital!P54+[1]Capital!P56+[1]Capital!P58+[1]Capital!P60+[1]Capital!P62+[1]Capital!P64+[1]Capital!P66</f>
        <v>103650.49002390001</v>
      </c>
      <c r="R193" s="6">
        <f>[1]Capital!Q50+[1]Capital!Q52+[1]Capital!Q54+[1]Capital!Q56+[1]Capital!Q58+[1]Capital!Q60+[1]Capital!Q62+[1]Capital!Q64+[1]Capital!Q66</f>
        <v>106463.36651320002</v>
      </c>
      <c r="S193" s="6">
        <f>[1]Capital!R50+[1]Capital!R52+[1]Capital!R54+[1]Capital!R56+[1]Capital!R58+[1]Capital!R60+[1]Capital!R62+[1]Capital!R64+[1]Capital!R66</f>
        <v>109541.66174479999</v>
      </c>
      <c r="T193" s="6">
        <f>[1]Capital!S50+[1]Capital!S52+[1]Capital!S54+[1]Capital!S56+[1]Capital!S58+[1]Capital!S60+[1]Capital!S62+[1]Capital!S64+[1]Capital!S66</f>
        <v>112889.41727460001</v>
      </c>
      <c r="U193" s="6">
        <f>[1]Capital!T50+[1]Capital!T52+[1]Capital!T54+[1]Capital!T56+[1]Capital!T58+[1]Capital!T60+[1]Capital!T62+[1]Capital!T64+[1]Capital!T66</f>
        <v>116511.1678026</v>
      </c>
      <c r="V193" s="6">
        <f>[1]Capital!U50+[1]Capital!U52+[1]Capital!U54+[1]Capital!U56+[1]Capital!U58+[1]Capital!U60+[1]Capital!U62+[1]Capital!U64+[1]Capital!U66</f>
        <v>120410.34195060001</v>
      </c>
      <c r="W193" s="6">
        <f>[1]Capital!V50+[1]Capital!V52+[1]Capital!V54+[1]Capital!V56+[1]Capital!V58+[1]Capital!V60+[1]Capital!V62+[1]Capital!V64+[1]Capital!V66</f>
        <v>124589.5719868</v>
      </c>
      <c r="X193" s="6">
        <f>[1]Capital!W50+[1]Capital!W52+[1]Capital!W54+[1]Capital!W56+[1]Capital!W58+[1]Capital!W60+[1]Capital!W62+[1]Capital!W64+[1]Capital!W66</f>
        <v>129051.40065529999</v>
      </c>
      <c r="Y193" s="6">
        <f>[1]Capital!X50+[1]Capital!X52+[1]Capital!X54+[1]Capital!X56+[1]Capital!X58+[1]Capital!X60+[1]Capital!X62+[1]Capital!X64+[1]Capital!X66</f>
        <v>133799.08590300003</v>
      </c>
      <c r="Z193" s="6">
        <f>[1]Capital!Y50+[1]Capital!Y52+[1]Capital!Y54+[1]Capital!Y56+[1]Capital!Y58+[1]Capital!Y60+[1]Capital!Y62+[1]Capital!Y64+[1]Capital!Y66</f>
        <v>138835.89129579999</v>
      </c>
      <c r="AA193" s="6">
        <f>[1]Capital!Z50+[1]Capital!Z52+[1]Capital!Z54+[1]Capital!Z56+[1]Capital!Z58+[1]Capital!Z60+[1]Capital!Z62+[1]Capital!Z64+[1]Capital!Z66</f>
        <v>144164.12568539998</v>
      </c>
      <c r="AB193" s="6">
        <f>[1]Capital!AA50+[1]Capital!AA52+[1]Capital!AA54+[1]Capital!AA56+[1]Capital!AA58+[1]Capital!AA60+[1]Capital!AA62+[1]Capital!AA64+[1]Capital!AA66</f>
        <v>149785.04300550002</v>
      </c>
      <c r="AC193" s="6">
        <f>[1]Capital!AB50+[1]Capital!AB52+[1]Capital!AB54+[1]Capital!AB56+[1]Capital!AB58+[1]Capital!AB60+[1]Capital!AB62+[1]Capital!AB64+[1]Capital!AB66</f>
        <v>155705.9014763</v>
      </c>
      <c r="AD193" s="6">
        <f>[1]Capital!AC50+[1]Capital!AC52+[1]Capital!AC54+[1]Capital!AC56+[1]Capital!AC58+[1]Capital!AC60+[1]Capital!AC62+[1]Capital!AC64+[1]Capital!AC66</f>
        <v>161934.4112526</v>
      </c>
      <c r="AE193" s="6">
        <f>[1]Capital!AD50+[1]Capital!AD52+[1]Capital!AD54+[1]Capital!AD56+[1]Capital!AD58+[1]Capital!AD60+[1]Capital!AD62+[1]Capital!AD64+[1]Capital!AD66</f>
        <v>168477.97043599997</v>
      </c>
      <c r="AF193" s="6">
        <f>[1]Capital!AE50+[1]Capital!AE52+[1]Capital!AE54+[1]Capital!AE56+[1]Capital!AE58+[1]Capital!AE60+[1]Capital!AE62+[1]Capital!AE64+[1]Capital!AE66</f>
        <v>175340.68131799996</v>
      </c>
      <c r="AG193" s="6">
        <f>[1]Capital!AF50+[1]Capital!AF52+[1]Capital!AF54+[1]Capital!AF56+[1]Capital!AF58+[1]Capital!AF60+[1]Capital!AF62+[1]Capital!AF64+[1]Capital!AF66</f>
        <v>182521.48217139998</v>
      </c>
      <c r="AH193" s="6">
        <f>[1]Capital!AG50+[1]Capital!AG52+[1]Capital!AG54+[1]Capital!AG56+[1]Capital!AG58+[1]Capital!AG60+[1]Capital!AG62+[1]Capital!AG64+[1]Capital!AG66</f>
        <v>190015.27130629998</v>
      </c>
      <c r="AI193" s="6">
        <f>[1]Capital!AH50+[1]Capital!AH52+[1]Capital!AH54+[1]Capital!AH56+[1]Capital!AH58+[1]Capital!AH60+[1]Capital!AH62+[1]Capital!AH64+[1]Capital!AH66</f>
        <v>197814.704493</v>
      </c>
      <c r="AJ193" s="6">
        <f>[1]Capital!AI50+[1]Capital!AI52+[1]Capital!AI54+[1]Capital!AI56+[1]Capital!AI58+[1]Capital!AI60+[1]Capital!AI62+[1]Capital!AI64+[1]Capital!AI66</f>
        <v>205909.9376877</v>
      </c>
      <c r="AK193" s="6">
        <f>[1]Capital!AJ50+[1]Capital!AJ52+[1]Capital!AJ54+[1]Capital!AJ56+[1]Capital!AJ58+[1]Capital!AJ60+[1]Capital!AJ62+[1]Capital!AJ64+[1]Capital!AJ66</f>
        <v>214288.28075800001</v>
      </c>
      <c r="AL193" s="6">
        <f>[1]Capital!AK50+[1]Capital!AK52+[1]Capital!AK54+[1]Capital!AK56+[1]Capital!AK58+[1]Capital!AK60+[1]Capital!AK62+[1]Capital!AK64+[1]Capital!AK66</f>
        <v>222933.99568139997</v>
      </c>
    </row>
    <row r="194" spans="1:38" x14ac:dyDescent="0.35">
      <c r="B194" t="s">
        <v>8</v>
      </c>
      <c r="C194" s="6">
        <f>-[1]Capital!B26+[1]Capital!B8+[1]Capital!B10+[1]Capital!B13+[1]Capital!B14+[1]Capital!B16+[1]Capital!B18+[1]Capital!B20+[1]Capital!B22+[1]Capital!B24+[1]Capital!B26+[1]Capital!B40</f>
        <v>621966.73258800013</v>
      </c>
      <c r="D194" s="6">
        <f>-[1]Capital!C26+[1]Capital!C8+[1]Capital!C10+[1]Capital!C13+[1]Capital!C14+[1]Capital!C16+[1]Capital!C18+[1]Capital!C20+[1]Capital!C22+[1]Capital!C24+[1]Capital!C26+[1]Capital!C40</f>
        <v>629045.09622599999</v>
      </c>
      <c r="E194" s="6">
        <f>-[1]Capital!D26+[1]Capital!D8+[1]Capital!D10+[1]Capital!D13+[1]Capital!D14+[1]Capital!D16+[1]Capital!D18+[1]Capital!D20+[1]Capital!D22+[1]Capital!D24+[1]Capital!D26+[1]Capital!D40</f>
        <v>636230.62090299989</v>
      </c>
      <c r="F194" s="6">
        <f>-[1]Capital!E26+[1]Capital!E8+[1]Capital!E10+[1]Capital!E13+[1]Capital!E14+[1]Capital!E16+[1]Capital!E18+[1]Capital!E20+[1]Capital!E22+[1]Capital!E24+[1]Capital!E26+[1]Capital!E40</f>
        <v>643637.03149299999</v>
      </c>
      <c r="G194" s="6">
        <f>-[1]Capital!F26+[1]Capital!F8+[1]Capital!F10+[1]Capital!F13+[1]Capital!F14+[1]Capital!F16+[1]Capital!F18+[1]Capital!F20+[1]Capital!F22+[1]Capital!F24+[1]Capital!F26+[1]Capital!F40</f>
        <v>651326.08802399994</v>
      </c>
      <c r="H194" s="6">
        <f>-[1]Capital!G26+[1]Capital!G8+[1]Capital!G10+[1]Capital!G13+[1]Capital!G14+[1]Capital!G16+[1]Capital!G18+[1]Capital!G20+[1]Capital!G22+[1]Capital!G24+[1]Capital!G26+[1]Capital!G40</f>
        <v>659341.74586100003</v>
      </c>
      <c r="I194" s="6">
        <f>-[1]Capital!H26+[1]Capital!H8+[1]Capital!H10+[1]Capital!H13+[1]Capital!H14+[1]Capital!H16+[1]Capital!H18+[1]Capital!H20+[1]Capital!H22+[1]Capital!H24+[1]Capital!H26+[1]Capital!H40</f>
        <v>667714.40161499998</v>
      </c>
      <c r="J194" s="6">
        <f>-[1]Capital!I26+[1]Capital!I8+[1]Capital!I10+[1]Capital!I13+[1]Capital!I14+[1]Capital!I16+[1]Capital!I18+[1]Capital!I20+[1]Capital!I22+[1]Capital!I24+[1]Capital!I26+[1]Capital!I40</f>
        <v>676214.54257699999</v>
      </c>
      <c r="K194" s="6">
        <f>-[1]Capital!J26+[1]Capital!J8+[1]Capital!J10+[1]Capital!J13+[1]Capital!J14+[1]Capital!J16+[1]Capital!J18+[1]Capital!J20+[1]Capital!J22+[1]Capital!J24+[1]Capital!J26+[1]Capital!J40</f>
        <v>684853.40491499996</v>
      </c>
      <c r="L194" s="6">
        <f>-[1]Capital!K26+[1]Capital!K8+[1]Capital!K10+[1]Capital!K13+[1]Capital!K14+[1]Capital!K16+[1]Capital!K18+[1]Capital!K20+[1]Capital!K22+[1]Capital!K24+[1]Capital!K26+[1]Capital!K40</f>
        <v>694071.87025999988</v>
      </c>
      <c r="M194" s="6">
        <f>-[1]Capital!L26+[1]Capital!L8+[1]Capital!L10+[1]Capital!L13+[1]Capital!L14+[1]Capital!L16+[1]Capital!L18+[1]Capital!L20+[1]Capital!L22+[1]Capital!L24+[1]Capital!L26+[1]Capital!L40</f>
        <v>704041.63974999986</v>
      </c>
      <c r="N194" s="6">
        <f>-[1]Capital!M26+[1]Capital!M8+[1]Capital!M10+[1]Capital!M13+[1]Capital!M14+[1]Capital!M16+[1]Capital!M18+[1]Capital!M20+[1]Capital!M22+[1]Capital!M24+[1]Capital!M26+[1]Capital!M40</f>
        <v>714779.68223000003</v>
      </c>
      <c r="O194" s="6">
        <f>-[1]Capital!N26+[1]Capital!N8+[1]Capital!N10+[1]Capital!N13+[1]Capital!N14+[1]Capital!N16+[1]Capital!N18+[1]Capital!N20+[1]Capital!N22+[1]Capital!N24+[1]Capital!N26+[1]Capital!N40</f>
        <v>726191.25315999996</v>
      </c>
      <c r="P194" s="6">
        <f>-[1]Capital!O26+[1]Capital!O8+[1]Capital!O10+[1]Capital!O13+[1]Capital!O14+[1]Capital!O16+[1]Capital!O18+[1]Capital!O20+[1]Capital!O22+[1]Capital!O24+[1]Capital!O26+[1]Capital!O40</f>
        <v>738100.67366999993</v>
      </c>
      <c r="Q194" s="6">
        <f>-[1]Capital!P26+[1]Capital!P8+[1]Capital!P10+[1]Capital!P13+[1]Capital!P14+[1]Capital!P16+[1]Capital!P18+[1]Capital!P20+[1]Capital!P22+[1]Capital!P24+[1]Capital!P26+[1]Capital!P40</f>
        <v>750390.55580000009</v>
      </c>
      <c r="R194" s="6">
        <f>-[1]Capital!Q26+[1]Capital!Q8+[1]Capital!Q10+[1]Capital!Q13+[1]Capital!Q14+[1]Capital!Q16+[1]Capital!Q18+[1]Capital!Q20+[1]Capital!Q22+[1]Capital!Q24+[1]Capital!Q26+[1]Capital!Q40</f>
        <v>763009.05993999995</v>
      </c>
      <c r="S194" s="6">
        <f>-[1]Capital!R26+[1]Capital!R8+[1]Capital!R10+[1]Capital!R13+[1]Capital!R14+[1]Capital!R16+[1]Capital!R18+[1]Capital!R20+[1]Capital!R22+[1]Capital!R24+[1]Capital!R26+[1]Capital!R40</f>
        <v>775946.09008999995</v>
      </c>
      <c r="T194" s="6">
        <f>-[1]Capital!S26+[1]Capital!S8+[1]Capital!S10+[1]Capital!S13+[1]Capital!S14+[1]Capital!S16+[1]Capital!S18+[1]Capital!S20+[1]Capital!S22+[1]Capital!S24+[1]Capital!S26+[1]Capital!S40</f>
        <v>789238.81163999997</v>
      </c>
      <c r="U194" s="6">
        <f>-[1]Capital!T26+[1]Capital!T8+[1]Capital!T10+[1]Capital!T13+[1]Capital!T14+[1]Capital!T16+[1]Capital!T18+[1]Capital!T20+[1]Capital!T22+[1]Capital!T24+[1]Capital!T26+[1]Capital!T40</f>
        <v>802956.0385599999</v>
      </c>
      <c r="V194" s="6">
        <f>-[1]Capital!U26+[1]Capital!U8+[1]Capital!U10+[1]Capital!U13+[1]Capital!U14+[1]Capital!U16+[1]Capital!U18+[1]Capital!U20+[1]Capital!U22+[1]Capital!U24+[1]Capital!U26+[1]Capital!U40</f>
        <v>817180.55686000001</v>
      </c>
      <c r="W194" s="6">
        <f>-[1]Capital!V26+[1]Capital!V8+[1]Capital!V10+[1]Capital!V13+[1]Capital!V14+[1]Capital!V16+[1]Capital!V18+[1]Capital!V20+[1]Capital!V22+[1]Capital!V24+[1]Capital!V26+[1]Capital!V40</f>
        <v>832005.21076999989</v>
      </c>
      <c r="X194" s="6">
        <f>-[1]Capital!W26+[1]Capital!W8+[1]Capital!W10+[1]Capital!W13+[1]Capital!W14+[1]Capital!W16+[1]Capital!W18+[1]Capital!W20+[1]Capital!W22+[1]Capital!W24+[1]Capital!W26+[1]Capital!W40</f>
        <v>847530.3552799999</v>
      </c>
      <c r="Y194" s="6">
        <f>-[1]Capital!X26+[1]Capital!X8+[1]Capital!X10+[1]Capital!X13+[1]Capital!X14+[1]Capital!X16+[1]Capital!X18+[1]Capital!X20+[1]Capital!X22+[1]Capital!X24+[1]Capital!X26+[1]Capital!X40</f>
        <v>863869.20886999986</v>
      </c>
      <c r="Z194" s="6">
        <f>-[1]Capital!Y26+[1]Capital!Y8+[1]Capital!Y10+[1]Capital!Y13+[1]Capital!Y14+[1]Capital!Y16+[1]Capital!Y18+[1]Capital!Y20+[1]Capital!Y22+[1]Capital!Y24+[1]Capital!Y26+[1]Capital!Y40</f>
        <v>881139.59834000003</v>
      </c>
      <c r="AA194" s="6">
        <f>-[1]Capital!Z26+[1]Capital!Z8+[1]Capital!Z10+[1]Capital!Z13+[1]Capital!Z14+[1]Capital!Z16+[1]Capital!Z18+[1]Capital!Z20+[1]Capital!Z22+[1]Capital!Z24+[1]Capital!Z26+[1]Capital!Z40</f>
        <v>899450.93642000004</v>
      </c>
      <c r="AB194" s="6">
        <f>-[1]Capital!AA26+[1]Capital!AA8+[1]Capital!AA10+[1]Capital!AA13+[1]Capital!AA14+[1]Capital!AA16+[1]Capital!AA18+[1]Capital!AA20+[1]Capital!AA22+[1]Capital!AA24+[1]Capital!AA26+[1]Capital!AA40</f>
        <v>918905.18742000009</v>
      </c>
      <c r="AC194" s="6">
        <f>-[1]Capital!AB26+[1]Capital!AB8+[1]Capital!AB10+[1]Capital!AB13+[1]Capital!AB14+[1]Capital!AB16+[1]Capital!AB18+[1]Capital!AB20+[1]Capital!AB22+[1]Capital!AB24+[1]Capital!AB26+[1]Capital!AB40</f>
        <v>939605.72726000007</v>
      </c>
      <c r="AD194" s="6">
        <f>-[1]Capital!AC26+[1]Capital!AC8+[1]Capital!AC10+[1]Capital!AC13+[1]Capital!AC14+[1]Capital!AC16+[1]Capital!AC18+[1]Capital!AC20+[1]Capital!AC22+[1]Capital!AC24+[1]Capital!AC26+[1]Capital!AC40</f>
        <v>961673.59631000005</v>
      </c>
      <c r="AE194" s="6">
        <f>-[1]Capital!AD26+[1]Capital!AD8+[1]Capital!AD10+[1]Capital!AD13+[1]Capital!AD14+[1]Capital!AD16+[1]Capital!AD18+[1]Capital!AD20+[1]Capital!AD22+[1]Capital!AD24+[1]Capital!AD26+[1]Capital!AD40</f>
        <v>985232.30825999996</v>
      </c>
      <c r="AF194" s="6">
        <f>-[1]Capital!AE26+[1]Capital!AE8+[1]Capital!AE10+[1]Capital!AE13+[1]Capital!AE14+[1]Capital!AE16+[1]Capital!AE18+[1]Capital!AE20+[1]Capital!AE22+[1]Capital!AE24+[1]Capital!AE26+[1]Capital!AE40</f>
        <v>1010375.49905</v>
      </c>
      <c r="AG194" s="6">
        <f>-[1]Capital!AF26+[1]Capital!AF8+[1]Capital!AF10+[1]Capital!AF13+[1]Capital!AF14+[1]Capital!AF16+[1]Capital!AF18+[1]Capital!AF20+[1]Capital!AF22+[1]Capital!AF24+[1]Capital!AF26+[1]Capital!AF40</f>
        <v>1037149.6520599999</v>
      </c>
      <c r="AH194" s="6">
        <f>-[1]Capital!AG26+[1]Capital!AG8+[1]Capital!AG10+[1]Capital!AG13+[1]Capital!AG14+[1]Capital!AG16+[1]Capital!AG18+[1]Capital!AG20+[1]Capital!AG22+[1]Capital!AG24+[1]Capital!AG26+[1]Capital!AG40</f>
        <v>1065562.2279399999</v>
      </c>
      <c r="AI194" s="6">
        <f>-[1]Capital!AH26+[1]Capital!AH8+[1]Capital!AH10+[1]Capital!AH13+[1]Capital!AH14+[1]Capital!AH16+[1]Capital!AH18+[1]Capital!AH20+[1]Capital!AH22+[1]Capital!AH24+[1]Capital!AH26+[1]Capital!AH40</f>
        <v>1095596.2050400001</v>
      </c>
      <c r="AJ194" s="6">
        <f>-[1]Capital!AI26+[1]Capital!AI8+[1]Capital!AI10+[1]Capital!AI13+[1]Capital!AI14+[1]Capital!AI16+[1]Capital!AI18+[1]Capital!AI20+[1]Capital!AI22+[1]Capital!AI24+[1]Capital!AI26+[1]Capital!AI40</f>
        <v>1127214.9446099999</v>
      </c>
      <c r="AK194" s="6">
        <f>-[1]Capital!AJ26+[1]Capital!AJ8+[1]Capital!AJ10+[1]Capital!AJ13+[1]Capital!AJ14+[1]Capital!AJ16+[1]Capital!AJ18+[1]Capital!AJ20+[1]Capital!AJ22+[1]Capital!AJ24+[1]Capital!AJ26+[1]Capital!AJ40</f>
        <v>1160364.1585400002</v>
      </c>
      <c r="AL194" s="6">
        <f>-[1]Capital!AK26+[1]Capital!AK8+[1]Capital!AK10+[1]Capital!AK13+[1]Capital!AK14+[1]Capital!AK16+[1]Capital!AK18+[1]Capital!AK20+[1]Capital!AK22+[1]Capital!AK24+[1]Capital!AK26+[1]Capital!AK40</f>
        <v>1194974.0968799999</v>
      </c>
    </row>
    <row r="195" spans="1:38" x14ac:dyDescent="0.35">
      <c r="B195" t="s">
        <v>24</v>
      </c>
      <c r="C195" s="6">
        <f>[1]Capital!B42+[1]Capital!B46+[1]Capital!B44+[1]Capital!B48</f>
        <v>48083.341004300004</v>
      </c>
      <c r="D195" s="6">
        <f>[1]Capital!C42+[1]Capital!C46+[1]Capital!C44+[1]Capital!C48</f>
        <v>48704.595815399996</v>
      </c>
      <c r="E195" s="6">
        <f>[1]Capital!D42+[1]Capital!D46+[1]Capital!D44+[1]Capital!D48</f>
        <v>49411.074803899995</v>
      </c>
      <c r="F195" s="6">
        <f>[1]Capital!E42+[1]Capital!E46+[1]Capital!E44+[1]Capital!E48</f>
        <v>50185.015603100001</v>
      </c>
      <c r="G195" s="6">
        <f>[1]Capital!F42+[1]Capital!F46+[1]Capital!F44+[1]Capital!F48</f>
        <v>51013.964105999992</v>
      </c>
      <c r="H195" s="6">
        <f>[1]Capital!G42+[1]Capital!G46+[1]Capital!G44+[1]Capital!G48</f>
        <v>51888.885882100003</v>
      </c>
      <c r="I195" s="6">
        <f>[1]Capital!H42+[1]Capital!H46+[1]Capital!H44+[1]Capital!H48</f>
        <v>52803.560312400004</v>
      </c>
      <c r="J195" s="6">
        <f>[1]Capital!I42+[1]Capital!I46+[1]Capital!I44+[1]Capital!I48</f>
        <v>53758.444642000002</v>
      </c>
      <c r="K195" s="6">
        <f>[1]Capital!J42+[1]Capital!J46+[1]Capital!J44+[1]Capital!J48</f>
        <v>54741.565692000004</v>
      </c>
      <c r="L195" s="6">
        <f>[1]Capital!K42+[1]Capital!K46+[1]Capital!K44+[1]Capital!K48</f>
        <v>55748.087758900008</v>
      </c>
      <c r="M195" s="6">
        <f>[1]Capital!L42+[1]Capital!L46+[1]Capital!L44+[1]Capital!L48</f>
        <v>56769.871914099997</v>
      </c>
      <c r="N195" s="6">
        <f>[1]Capital!M42+[1]Capital!M46+[1]Capital!M44+[1]Capital!M48</f>
        <v>57804.056199999992</v>
      </c>
      <c r="O195" s="6">
        <f>[1]Capital!N42+[1]Capital!N46+[1]Capital!N44+[1]Capital!N48</f>
        <v>58847.176323799998</v>
      </c>
      <c r="P195" s="6">
        <f>[1]Capital!O42+[1]Capital!O46+[1]Capital!O44+[1]Capital!O48</f>
        <v>59894.142337699996</v>
      </c>
      <c r="Q195" s="6">
        <f>[1]Capital!P42+[1]Capital!P46+[1]Capital!P44+[1]Capital!P48</f>
        <v>60940.770135600003</v>
      </c>
      <c r="R195" s="6">
        <f>[1]Capital!Q42+[1]Capital!Q46+[1]Capital!Q44+[1]Capital!Q48</f>
        <v>61984.283752999996</v>
      </c>
      <c r="S195" s="6">
        <f>[1]Capital!R42+[1]Capital!R46+[1]Capital!R44+[1]Capital!R48</f>
        <v>63025.173236000002</v>
      </c>
      <c r="T195" s="6">
        <f>[1]Capital!S42+[1]Capital!S46+[1]Capital!S44+[1]Capital!S48</f>
        <v>64062.080115999997</v>
      </c>
      <c r="U195" s="6">
        <f>[1]Capital!T42+[1]Capital!T46+[1]Capital!T44+[1]Capital!T48</f>
        <v>65094.591678999997</v>
      </c>
      <c r="V195" s="6">
        <f>[1]Capital!U42+[1]Capital!U46+[1]Capital!U44+[1]Capital!U48</f>
        <v>66123.744426999998</v>
      </c>
      <c r="W195" s="6">
        <f>[1]Capital!V42+[1]Capital!V46+[1]Capital!V44+[1]Capital!V48</f>
        <v>67152.020345000012</v>
      </c>
      <c r="X195" s="6">
        <f>[1]Capital!W42+[1]Capital!W46+[1]Capital!W44+[1]Capital!W48</f>
        <v>68183.273811999999</v>
      </c>
      <c r="Y195" s="6">
        <f>[1]Capital!X42+[1]Capital!X46+[1]Capital!X44+[1]Capital!X48</f>
        <v>69222.734322000004</v>
      </c>
      <c r="Z195" s="6">
        <f>[1]Capital!Y42+[1]Capital!Y46+[1]Capital!Y44+[1]Capital!Y48</f>
        <v>70276.607155999998</v>
      </c>
      <c r="AA195" s="6">
        <f>[1]Capital!Z42+[1]Capital!Z46+[1]Capital!Z44+[1]Capital!Z48</f>
        <v>71351.921248999992</v>
      </c>
      <c r="AB195" s="6">
        <f>[1]Capital!AA42+[1]Capital!AA46+[1]Capital!AA44+[1]Capital!AA48</f>
        <v>72456.689994999993</v>
      </c>
      <c r="AC195" s="6">
        <f>[1]Capital!AB42+[1]Capital!AB46+[1]Capital!AB44+[1]Capital!AB48</f>
        <v>73600.803665000014</v>
      </c>
      <c r="AD195" s="6">
        <f>[1]Capital!AC42+[1]Capital!AC46+[1]Capital!AC44+[1]Capital!AC48</f>
        <v>74796.367390999992</v>
      </c>
      <c r="AE195" s="6">
        <f>[1]Capital!AD42+[1]Capital!AD46+[1]Capital!AD44+[1]Capital!AD48</f>
        <v>76057.848276000004</v>
      </c>
      <c r="AF195" s="6">
        <f>[1]Capital!AE42+[1]Capital!AE46+[1]Capital!AE44+[1]Capital!AE48</f>
        <v>77402.037484</v>
      </c>
      <c r="AG195" s="6">
        <f>[1]Capital!AF42+[1]Capital!AF46+[1]Capital!AF44+[1]Capital!AF48</f>
        <v>78848.759757000007</v>
      </c>
      <c r="AH195" s="6">
        <f>[1]Capital!AG42+[1]Capital!AG46+[1]Capital!AG44+[1]Capital!AG48</f>
        <v>80423.096335999988</v>
      </c>
      <c r="AI195" s="6">
        <f>[1]Capital!AH42+[1]Capital!AH46+[1]Capital!AH44+[1]Capital!AH48</f>
        <v>82159.444457999998</v>
      </c>
      <c r="AJ195" s="6">
        <f>[1]Capital!AI42+[1]Capital!AI46+[1]Capital!AI44+[1]Capital!AI48</f>
        <v>84108.56577500001</v>
      </c>
      <c r="AK195" s="6">
        <f>[1]Capital!AJ42+[1]Capital!AJ46+[1]Capital!AJ44+[1]Capital!AJ48</f>
        <v>86352.040076999983</v>
      </c>
      <c r="AL195" s="6">
        <f>[1]Capital!AK42+[1]Capital!AK46+[1]Capital!AK44+[1]Capital!AK48</f>
        <v>89035.511121000003</v>
      </c>
    </row>
    <row r="196" spans="1:38" x14ac:dyDescent="0.35">
      <c r="B196" t="s">
        <v>10</v>
      </c>
      <c r="C196" s="6">
        <f>[1]Capital!B36+[1]Capital!B38</f>
        <v>7641756.3899999997</v>
      </c>
      <c r="D196" s="6">
        <f>[1]Capital!C36+[1]Capital!C38</f>
        <v>7729010.9299999997</v>
      </c>
      <c r="E196" s="6">
        <f>[1]Capital!D36+[1]Capital!D38</f>
        <v>7817089.3700000001</v>
      </c>
      <c r="F196" s="6">
        <f>[1]Capital!E36+[1]Capital!E38</f>
        <v>7907144.7749999994</v>
      </c>
      <c r="G196" s="6">
        <f>[1]Capital!F36+[1]Capital!F38</f>
        <v>7999974.1410000008</v>
      </c>
      <c r="H196" s="6">
        <f>[1]Capital!G36+[1]Capital!G38</f>
        <v>8096014.1519999998</v>
      </c>
      <c r="I196" s="6">
        <f>[1]Capital!H36+[1]Capital!H38</f>
        <v>8195446.9739999995</v>
      </c>
      <c r="J196" s="6">
        <f>[1]Capital!I36+[1]Capital!I38</f>
        <v>8297426.7580000004</v>
      </c>
      <c r="K196" s="6">
        <f>[1]Capital!J36+[1]Capital!J38</f>
        <v>8401709.1209999993</v>
      </c>
      <c r="L196" s="6">
        <f>[1]Capital!K36+[1]Capital!K38</f>
        <v>8509251.6380000003</v>
      </c>
      <c r="M196" s="6">
        <f>[1]Capital!L36+[1]Capital!L38</f>
        <v>8620718.5930000003</v>
      </c>
      <c r="N196" s="6">
        <f>[1]Capital!M36+[1]Capital!M38</f>
        <v>8736637.466</v>
      </c>
      <c r="O196" s="6">
        <f>[1]Capital!N36+[1]Capital!N38</f>
        <v>8857434.004999999</v>
      </c>
      <c r="P196" s="6">
        <f>[1]Capital!O36+[1]Capital!O38</f>
        <v>8983307.8900000006</v>
      </c>
      <c r="Q196" s="6">
        <f>[1]Capital!P36+[1]Capital!P38</f>
        <v>9114435.8969999999</v>
      </c>
      <c r="R196" s="6">
        <f>[1]Capital!Q36+[1]Capital!Q38</f>
        <v>9251005.0879999995</v>
      </c>
      <c r="S196" s="6">
        <f>[1]Capital!R36+[1]Capital!R38</f>
        <v>9393203.1099999994</v>
      </c>
      <c r="T196" s="6">
        <f>[1]Capital!S36+[1]Capital!S38</f>
        <v>9541223.9649999999</v>
      </c>
      <c r="U196" s="6">
        <f>[1]Capital!T36+[1]Capital!T38</f>
        <v>9695299.0399999991</v>
      </c>
      <c r="V196" s="6">
        <f>[1]Capital!U36+[1]Capital!U38</f>
        <v>9855694.6080000009</v>
      </c>
      <c r="W196" s="6">
        <f>[1]Capital!V36+[1]Capital!V38</f>
        <v>10022713.903999999</v>
      </c>
      <c r="X196" s="6">
        <f>[1]Capital!W36+[1]Capital!W38</f>
        <v>10196683.109000001</v>
      </c>
      <c r="Y196" s="6">
        <f>[1]Capital!X36+[1]Capital!X38</f>
        <v>10377966.391000001</v>
      </c>
      <c r="Z196" s="6">
        <f>[1]Capital!Y36+[1]Capital!Y38</f>
        <v>10566970.991</v>
      </c>
      <c r="AA196" s="6">
        <f>[1]Capital!Z36+[1]Capital!Z38</f>
        <v>10764116.640000001</v>
      </c>
      <c r="AB196" s="6">
        <f>[1]Capital!AA36+[1]Capital!AA38</f>
        <v>10969831.709000001</v>
      </c>
      <c r="AC196" s="6">
        <f>[1]Capital!AB36+[1]Capital!AB38</f>
        <v>11184532.743999999</v>
      </c>
      <c r="AD196" s="6">
        <f>[1]Capital!AC36+[1]Capital!AC38</f>
        <v>11408639.189999999</v>
      </c>
      <c r="AE196" s="6">
        <f>[1]Capital!AD36+[1]Capital!AD38</f>
        <v>11642619.790999999</v>
      </c>
      <c r="AF196" s="6">
        <f>[1]Capital!AE36+[1]Capital!AE38</f>
        <v>11886959.138</v>
      </c>
      <c r="AG196" s="6">
        <f>[1]Capital!AF36+[1]Capital!AF38</f>
        <v>12142106.036</v>
      </c>
      <c r="AH196" s="6">
        <f>[1]Capital!AG36+[1]Capital!AG38</f>
        <v>12408440.351999998</v>
      </c>
      <c r="AI196" s="6">
        <f>[1]Capital!AH36+[1]Capital!AH38</f>
        <v>12686271.405000001</v>
      </c>
      <c r="AJ196" s="6">
        <f>[1]Capital!AI36+[1]Capital!AI38</f>
        <v>12975862.241</v>
      </c>
      <c r="AK196" s="6">
        <f>[1]Capital!AJ36+[1]Capital!AJ38</f>
        <v>13277435.458000001</v>
      </c>
      <c r="AL196" s="6">
        <f>[1]Capital!AK36+[1]Capital!AK38</f>
        <v>13591165.598999999</v>
      </c>
    </row>
    <row r="197" spans="1:38" x14ac:dyDescent="0.35">
      <c r="B197" t="s">
        <v>9</v>
      </c>
      <c r="C197" s="6">
        <f>[1]Capital!B28+[1]Capital!B30+[1]Capital!B32+[1]Capital!B34</f>
        <v>164776.12271</v>
      </c>
      <c r="D197" s="6">
        <f>[1]Capital!C28+[1]Capital!C30+[1]Capital!C32+[1]Capital!C34</f>
        <v>166606.09214999998</v>
      </c>
      <c r="E197" s="6">
        <f>[1]Capital!D28+[1]Capital!D30+[1]Capital!D32+[1]Capital!D34</f>
        <v>168393.32837999999</v>
      </c>
      <c r="F197" s="6">
        <f>[1]Capital!E28+[1]Capital!E30+[1]Capital!E32+[1]Capital!E34</f>
        <v>170173.95144</v>
      </c>
      <c r="G197" s="6">
        <f>[1]Capital!F28+[1]Capital!F30+[1]Capital!F32+[1]Capital!F34</f>
        <v>171976.12607</v>
      </c>
      <c r="H197" s="6">
        <f>[1]Capital!G28+[1]Capital!G30+[1]Capital!G32+[1]Capital!G34</f>
        <v>173823.78702999998</v>
      </c>
      <c r="I197" s="6">
        <f>[1]Capital!H28+[1]Capital!H30+[1]Capital!H32+[1]Capital!H34</f>
        <v>175734.90191000002</v>
      </c>
      <c r="J197" s="6">
        <f>[1]Capital!I28+[1]Capital!I30+[1]Capital!I32+[1]Capital!I34</f>
        <v>177689.38845</v>
      </c>
      <c r="K197" s="6">
        <f>[1]Capital!J28+[1]Capital!J30+[1]Capital!J32+[1]Capital!J34</f>
        <v>179696.46126000001</v>
      </c>
      <c r="L197" s="6">
        <f>[1]Capital!K28+[1]Capital!K30+[1]Capital!K32+[1]Capital!K34</f>
        <v>181847.19805000001</v>
      </c>
      <c r="M197" s="6">
        <f>[1]Capital!L28+[1]Capital!L30+[1]Capital!L32+[1]Capital!L34</f>
        <v>184189.31400000001</v>
      </c>
      <c r="N197" s="6">
        <f>[1]Capital!M28+[1]Capital!M30+[1]Capital!M32+[1]Capital!M34</f>
        <v>186737.93784999999</v>
      </c>
      <c r="O197" s="6">
        <f>[1]Capital!N28+[1]Capital!N30+[1]Capital!N32+[1]Capital!N34</f>
        <v>189486.14152</v>
      </c>
      <c r="P197" s="6">
        <f>[1]Capital!O28+[1]Capital!O30+[1]Capital!O32+[1]Capital!O34</f>
        <v>192406.85011</v>
      </c>
      <c r="Q197" s="6">
        <f>[1]Capital!P28+[1]Capital!P30+[1]Capital!P32+[1]Capital!P34</f>
        <v>195477.85566999999</v>
      </c>
      <c r="R197" s="6">
        <f>[1]Capital!Q28+[1]Capital!Q30+[1]Capital!Q32+[1]Capital!Q34</f>
        <v>198684.46691999998</v>
      </c>
      <c r="S197" s="6">
        <f>[1]Capital!R28+[1]Capital!R30+[1]Capital!R32+[1]Capital!R34</f>
        <v>202023.79150999998</v>
      </c>
      <c r="T197" s="6">
        <f>[1]Capital!S28+[1]Capital!S30+[1]Capital!S32+[1]Capital!S34</f>
        <v>205499.06186000002</v>
      </c>
      <c r="U197" s="6">
        <f>[1]Capital!T28+[1]Capital!T30+[1]Capital!T32+[1]Capital!T34</f>
        <v>209119.50788000002</v>
      </c>
      <c r="V197" s="6">
        <f>[1]Capital!U28+[1]Capital!U30+[1]Capital!U32+[1]Capital!U34</f>
        <v>212897.75919000001</v>
      </c>
      <c r="W197" s="6">
        <f>[1]Capital!V28+[1]Capital!V30+[1]Capital!V32+[1]Capital!V34</f>
        <v>216849.18206999998</v>
      </c>
      <c r="X197" s="6">
        <f>[1]Capital!W28+[1]Capital!W30+[1]Capital!W32+[1]Capital!W34</f>
        <v>220991.78085000004</v>
      </c>
      <c r="Y197" s="6">
        <f>[1]Capital!X28+[1]Capital!X30+[1]Capital!X32+[1]Capital!X34</f>
        <v>225347.30339999998</v>
      </c>
      <c r="Z197" s="6">
        <f>[1]Capital!Y28+[1]Capital!Y30+[1]Capital!Y32+[1]Capital!Y34</f>
        <v>229938.70442000005</v>
      </c>
      <c r="AA197" s="6">
        <f>[1]Capital!Z28+[1]Capital!Z30+[1]Capital!Z32+[1]Capital!Z34</f>
        <v>234786.79698000001</v>
      </c>
      <c r="AB197" s="6">
        <f>[1]Capital!AA28+[1]Capital!AA30+[1]Capital!AA32+[1]Capital!AA34</f>
        <v>239910.14757999999</v>
      </c>
      <c r="AC197" s="6">
        <f>[1]Capital!AB28+[1]Capital!AB30+[1]Capital!AB32+[1]Capital!AB34</f>
        <v>245329.68515</v>
      </c>
      <c r="AD197" s="6">
        <f>[1]Capital!AC28+[1]Capital!AC30+[1]Capital!AC32+[1]Capital!AC34</f>
        <v>251073.34795999998</v>
      </c>
      <c r="AE197" s="6">
        <f>[1]Capital!AD28+[1]Capital!AD30+[1]Capital!AD32+[1]Capital!AD34</f>
        <v>257171.37126999997</v>
      </c>
      <c r="AF197" s="6">
        <f>[1]Capital!AE28+[1]Capital!AE30+[1]Capital!AE32+[1]Capital!AE34</f>
        <v>263648.40483000001</v>
      </c>
      <c r="AG197" s="6">
        <f>[1]Capital!AF28+[1]Capital!AF30+[1]Capital!AF32+[1]Capital!AF34</f>
        <v>270519.15056000004</v>
      </c>
      <c r="AH197" s="6">
        <f>[1]Capital!AG28+[1]Capital!AG30+[1]Capital!AG32+[1]Capital!AG34</f>
        <v>277790.77132999996</v>
      </c>
      <c r="AI197" s="6">
        <f>[1]Capital!AH28+[1]Capital!AH30+[1]Capital!AH32+[1]Capital!AH34</f>
        <v>285466.82455999998</v>
      </c>
      <c r="AJ197" s="6">
        <f>[1]Capital!AI28+[1]Capital!AI30+[1]Capital!AI32+[1]Capital!AI34</f>
        <v>293547.24212999997</v>
      </c>
      <c r="AK197" s="6">
        <f>[1]Capital!AJ28+[1]Capital!AJ30+[1]Capital!AJ32+[1]Capital!AJ34</f>
        <v>302027.65661999997</v>
      </c>
      <c r="AL197" s="6">
        <f>[1]Capital!AK28+[1]Capital!AK30+[1]Capital!AK32+[1]Capital!AK34</f>
        <v>310898.76048</v>
      </c>
    </row>
    <row r="198" spans="1:38" x14ac:dyDescent="0.35"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</row>
    <row r="199" spans="1:38" x14ac:dyDescent="0.35">
      <c r="C199" s="2">
        <v>42005</v>
      </c>
      <c r="D199" s="2">
        <v>42370</v>
      </c>
      <c r="E199" s="2">
        <v>42736</v>
      </c>
      <c r="F199" s="2">
        <v>43101</v>
      </c>
      <c r="G199" s="2">
        <v>43466</v>
      </c>
      <c r="H199" s="2">
        <v>43831</v>
      </c>
      <c r="I199" s="2">
        <v>44197</v>
      </c>
      <c r="J199" s="2">
        <v>44562</v>
      </c>
      <c r="K199" s="2">
        <v>44927</v>
      </c>
      <c r="L199" s="2">
        <v>45292</v>
      </c>
      <c r="M199" s="2">
        <v>45658</v>
      </c>
      <c r="N199" s="2">
        <v>46023</v>
      </c>
      <c r="O199" s="2">
        <v>46388</v>
      </c>
      <c r="P199" s="2">
        <v>46753</v>
      </c>
      <c r="Q199" s="2">
        <v>47119</v>
      </c>
      <c r="R199" s="2">
        <v>47484</v>
      </c>
      <c r="S199" s="2">
        <v>47849</v>
      </c>
      <c r="T199" s="2">
        <v>48214</v>
      </c>
      <c r="U199" s="2">
        <v>48580</v>
      </c>
      <c r="V199" s="2">
        <v>48945</v>
      </c>
      <c r="W199" s="2">
        <v>49310</v>
      </c>
      <c r="X199" s="2">
        <v>49675</v>
      </c>
      <c r="Y199" s="2">
        <v>50041</v>
      </c>
      <c r="Z199" s="2">
        <v>50406</v>
      </c>
      <c r="AA199" s="2">
        <v>50771</v>
      </c>
      <c r="AB199" s="2">
        <v>51136</v>
      </c>
      <c r="AC199" s="2">
        <v>51502</v>
      </c>
      <c r="AD199" s="2">
        <v>51867</v>
      </c>
      <c r="AE199" s="2">
        <v>52232</v>
      </c>
      <c r="AF199" s="2">
        <v>52597</v>
      </c>
      <c r="AG199" s="2">
        <v>52963</v>
      </c>
      <c r="AH199" s="2">
        <v>53328</v>
      </c>
      <c r="AI199" s="2">
        <v>53693</v>
      </c>
      <c r="AJ199" s="2">
        <v>54058</v>
      </c>
      <c r="AK199" s="2">
        <v>54424</v>
      </c>
      <c r="AL199" s="2">
        <v>54789</v>
      </c>
    </row>
    <row r="200" spans="1:38" x14ac:dyDescent="0.35">
      <c r="A200" s="12" t="s">
        <v>30</v>
      </c>
      <c r="B200" t="s">
        <v>28</v>
      </c>
      <c r="C200" s="9">
        <f t="shared" ref="C200:AL200" si="32">C190/C141/(C180/C129)-1</f>
        <v>0</v>
      </c>
      <c r="D200" s="9">
        <f t="shared" si="32"/>
        <v>0</v>
      </c>
      <c r="E200" s="9">
        <f t="shared" si="32"/>
        <v>0</v>
      </c>
      <c r="F200" s="9">
        <f t="shared" si="32"/>
        <v>0</v>
      </c>
      <c r="G200" s="9">
        <f t="shared" si="32"/>
        <v>0</v>
      </c>
      <c r="H200" s="9">
        <f t="shared" si="32"/>
        <v>0</v>
      </c>
      <c r="I200" s="9">
        <f t="shared" si="32"/>
        <v>-3.6767947365823339E-4</v>
      </c>
      <c r="J200" s="9">
        <f t="shared" si="32"/>
        <v>1.8718790727585422E-3</v>
      </c>
      <c r="K200" s="9">
        <f t="shared" si="32"/>
        <v>3.9529824281823167E-3</v>
      </c>
      <c r="L200" s="9">
        <f t="shared" si="32"/>
        <v>2.0732744237572653E-3</v>
      </c>
      <c r="M200" s="9">
        <f t="shared" si="32"/>
        <v>-1.4046430353964467E-4</v>
      </c>
      <c r="N200" s="9">
        <f t="shared" si="32"/>
        <v>-1.8735395048706804E-3</v>
      </c>
      <c r="O200" s="9">
        <f t="shared" si="32"/>
        <v>-2.949337473976632E-3</v>
      </c>
      <c r="P200" s="9">
        <f t="shared" si="32"/>
        <v>-3.5773566545796998E-3</v>
      </c>
      <c r="Q200" s="9">
        <f t="shared" si="32"/>
        <v>-4.0542756345285369E-3</v>
      </c>
      <c r="R200" s="9">
        <f t="shared" si="32"/>
        <v>-4.4125437376374421E-3</v>
      </c>
      <c r="S200" s="9">
        <f t="shared" si="32"/>
        <v>-4.3777249931532536E-3</v>
      </c>
      <c r="T200" s="9">
        <f t="shared" si="32"/>
        <v>-3.8655188611506075E-3</v>
      </c>
      <c r="U200" s="9">
        <f t="shared" si="32"/>
        <v>-2.9709522384250286E-3</v>
      </c>
      <c r="V200" s="9">
        <f t="shared" si="32"/>
        <v>-1.8253472686872163E-3</v>
      </c>
      <c r="W200" s="9">
        <f t="shared" si="32"/>
        <v>-5.3403305334864815E-4</v>
      </c>
      <c r="X200" s="9">
        <f t="shared" si="32"/>
        <v>8.3460981410476975E-4</v>
      </c>
      <c r="Y200" s="9">
        <f t="shared" si="32"/>
        <v>2.2461859939661988E-3</v>
      </c>
      <c r="Z200" s="9">
        <f t="shared" si="32"/>
        <v>3.6858152388188348E-3</v>
      </c>
      <c r="AA200" s="9">
        <f t="shared" si="32"/>
        <v>5.1443313480261654E-3</v>
      </c>
      <c r="AB200" s="9">
        <f t="shared" si="32"/>
        <v>6.6184824201529491E-3</v>
      </c>
      <c r="AC200" s="9">
        <f t="shared" si="32"/>
        <v>8.0832674508553026E-3</v>
      </c>
      <c r="AD200" s="9">
        <f t="shared" si="32"/>
        <v>9.5320832684757661E-3</v>
      </c>
      <c r="AE200" s="9">
        <f t="shared" si="32"/>
        <v>1.0949553614068908E-2</v>
      </c>
      <c r="AF200" s="9">
        <f t="shared" si="32"/>
        <v>1.2310238048074629E-2</v>
      </c>
      <c r="AG200" s="9">
        <f t="shared" si="32"/>
        <v>1.3592204747270298E-2</v>
      </c>
      <c r="AH200" s="9">
        <f t="shared" si="32"/>
        <v>1.4777602560583469E-2</v>
      </c>
      <c r="AI200" s="9">
        <f t="shared" si="32"/>
        <v>1.5851873836101316E-2</v>
      </c>
      <c r="AJ200" s="9">
        <f t="shared" si="32"/>
        <v>1.6808026221376116E-2</v>
      </c>
      <c r="AK200" s="9">
        <f t="shared" si="32"/>
        <v>1.7641053163093501E-2</v>
      </c>
      <c r="AL200" s="9">
        <f t="shared" si="32"/>
        <v>1.8350818444927697E-2</v>
      </c>
    </row>
    <row r="201" spans="1:38" x14ac:dyDescent="0.35">
      <c r="A201" t="s">
        <v>59</v>
      </c>
      <c r="B201" t="s">
        <v>7</v>
      </c>
      <c r="C201" s="9">
        <f t="shared" ref="C201:AL201" si="33">C191/C142/(C181/C130)-1</f>
        <v>0</v>
      </c>
      <c r="D201" s="9">
        <f t="shared" si="33"/>
        <v>0</v>
      </c>
      <c r="E201" s="9">
        <f t="shared" si="33"/>
        <v>0</v>
      </c>
      <c r="F201" s="9">
        <f t="shared" si="33"/>
        <v>0</v>
      </c>
      <c r="G201" s="9">
        <f t="shared" si="33"/>
        <v>0</v>
      </c>
      <c r="H201" s="9">
        <f t="shared" si="33"/>
        <v>0</v>
      </c>
      <c r="I201" s="9">
        <f t="shared" si="33"/>
        <v>-4.0177166589250302E-4</v>
      </c>
      <c r="J201" s="9">
        <f t="shared" si="33"/>
        <v>2.924259673048768E-3</v>
      </c>
      <c r="K201" s="9">
        <f t="shared" si="33"/>
        <v>6.9556502706935586E-3</v>
      </c>
      <c r="L201" s="9">
        <f t="shared" si="33"/>
        <v>7.0782343170479045E-3</v>
      </c>
      <c r="M201" s="9">
        <f t="shared" si="33"/>
        <v>7.3919569724589795E-3</v>
      </c>
      <c r="N201" s="9">
        <f t="shared" si="33"/>
        <v>8.1655627010794873E-3</v>
      </c>
      <c r="O201" s="9">
        <f t="shared" si="33"/>
        <v>8.8866675282013308E-3</v>
      </c>
      <c r="P201" s="9">
        <f t="shared" si="33"/>
        <v>9.284625986280437E-3</v>
      </c>
      <c r="Q201" s="9">
        <f t="shared" si="33"/>
        <v>9.2571634578966222E-3</v>
      </c>
      <c r="R201" s="9">
        <f t="shared" si="33"/>
        <v>9.0085620008046874E-3</v>
      </c>
      <c r="S201" s="9">
        <f t="shared" si="33"/>
        <v>9.026060103971334E-3</v>
      </c>
      <c r="T201" s="9">
        <f t="shared" si="33"/>
        <v>9.8341569610809199E-3</v>
      </c>
      <c r="U201" s="9">
        <f t="shared" si="33"/>
        <v>1.1343132215129392E-2</v>
      </c>
      <c r="V201" s="9">
        <f t="shared" si="33"/>
        <v>1.3319278027538628E-2</v>
      </c>
      <c r="W201" s="9">
        <f t="shared" si="33"/>
        <v>1.5551168597528031E-2</v>
      </c>
      <c r="X201" s="9">
        <f t="shared" si="33"/>
        <v>1.7894321134453106E-2</v>
      </c>
      <c r="Y201" s="9">
        <f t="shared" si="33"/>
        <v>2.0264134118036958E-2</v>
      </c>
      <c r="Z201" s="9">
        <f t="shared" si="33"/>
        <v>2.2602619056741213E-2</v>
      </c>
      <c r="AA201" s="9">
        <f t="shared" si="33"/>
        <v>2.486457151445709E-2</v>
      </c>
      <c r="AB201" s="9">
        <f t="shared" si="33"/>
        <v>2.7018705121504061E-2</v>
      </c>
      <c r="AC201" s="9">
        <f t="shared" si="33"/>
        <v>2.9231882031115708E-2</v>
      </c>
      <c r="AD201" s="9">
        <f t="shared" si="33"/>
        <v>3.1310434845397417E-2</v>
      </c>
      <c r="AE201" s="9">
        <f t="shared" si="33"/>
        <v>3.3203404739851727E-2</v>
      </c>
      <c r="AF201" s="9">
        <f t="shared" si="33"/>
        <v>3.4847754310250556E-2</v>
      </c>
      <c r="AG201" s="9">
        <f t="shared" si="33"/>
        <v>3.6187167279309929E-2</v>
      </c>
      <c r="AH201" s="9">
        <f t="shared" si="33"/>
        <v>3.7186346232698231E-2</v>
      </c>
      <c r="AI201" s="9">
        <f t="shared" si="33"/>
        <v>3.7823605367463653E-2</v>
      </c>
      <c r="AJ201" s="9">
        <f t="shared" si="33"/>
        <v>3.8077256597013331E-2</v>
      </c>
      <c r="AK201" s="9">
        <f t="shared" si="33"/>
        <v>3.7923982316132809E-2</v>
      </c>
      <c r="AL201" s="9">
        <f t="shared" si="33"/>
        <v>3.7345202759270446E-2</v>
      </c>
    </row>
    <row r="202" spans="1:38" x14ac:dyDescent="0.35">
      <c r="B202" t="s">
        <v>96</v>
      </c>
      <c r="C202" s="9">
        <f t="shared" ref="C202:AL202" si="34">C192/C143/(C182/C131)-1</f>
        <v>0</v>
      </c>
      <c r="D202" s="9">
        <f t="shared" si="34"/>
        <v>0</v>
      </c>
      <c r="E202" s="9">
        <f t="shared" si="34"/>
        <v>0</v>
      </c>
      <c r="F202" s="9">
        <f t="shared" si="34"/>
        <v>0</v>
      </c>
      <c r="G202" s="9">
        <f t="shared" si="34"/>
        <v>0</v>
      </c>
      <c r="H202" s="9">
        <f t="shared" si="34"/>
        <v>0</v>
      </c>
      <c r="I202" s="9">
        <f t="shared" si="34"/>
        <v>-3.4980889286861938E-4</v>
      </c>
      <c r="J202" s="9">
        <f t="shared" si="34"/>
        <v>5.9021236263245846E-4</v>
      </c>
      <c r="K202" s="9">
        <f t="shared" si="34"/>
        <v>1.1389754875024138E-4</v>
      </c>
      <c r="L202" s="9">
        <f t="shared" si="34"/>
        <v>-3.7242045129219914E-3</v>
      </c>
      <c r="M202" s="9">
        <f t="shared" si="34"/>
        <v>-9.0660237136663824E-3</v>
      </c>
      <c r="N202" s="9">
        <f t="shared" si="34"/>
        <v>-1.3397511553369879E-2</v>
      </c>
      <c r="O202" s="9">
        <f t="shared" si="34"/>
        <v>-1.4566943452513081E-2</v>
      </c>
      <c r="P202" s="9">
        <f t="shared" si="34"/>
        <v>-1.3427166820339398E-2</v>
      </c>
      <c r="Q202" s="9">
        <f t="shared" si="34"/>
        <v>-1.1254871587651594E-2</v>
      </c>
      <c r="R202" s="9">
        <f t="shared" si="34"/>
        <v>-8.8823106010880171E-3</v>
      </c>
      <c r="S202" s="9">
        <f t="shared" si="34"/>
        <v>-6.5621760157360542E-3</v>
      </c>
      <c r="T202" s="9">
        <f t="shared" si="34"/>
        <v>-4.6578239228654006E-3</v>
      </c>
      <c r="U202" s="9">
        <f t="shared" si="34"/>
        <v>-2.9599313015621354E-3</v>
      </c>
      <c r="V202" s="9">
        <f t="shared" si="34"/>
        <v>-1.3057314005494591E-3</v>
      </c>
      <c r="W202" s="9">
        <f t="shared" si="34"/>
        <v>3.5999398857655684E-4</v>
      </c>
      <c r="X202" s="9">
        <f t="shared" si="34"/>
        <v>2.0461313751796162E-3</v>
      </c>
      <c r="Y202" s="9">
        <f t="shared" si="34"/>
        <v>3.7381402000875585E-3</v>
      </c>
      <c r="Z202" s="9">
        <f t="shared" si="34"/>
        <v>5.399918043552443E-3</v>
      </c>
      <c r="AA202" s="9">
        <f t="shared" si="34"/>
        <v>6.9987874870223177E-3</v>
      </c>
      <c r="AB202" s="9">
        <f t="shared" si="34"/>
        <v>8.5191533058355251E-3</v>
      </c>
      <c r="AC202" s="9">
        <f t="shared" si="34"/>
        <v>9.9888831541790069E-3</v>
      </c>
      <c r="AD202" s="9">
        <f t="shared" si="34"/>
        <v>1.1458427949882388E-2</v>
      </c>
      <c r="AE202" s="9">
        <f t="shared" si="34"/>
        <v>1.2909714155249663E-2</v>
      </c>
      <c r="AF202" s="9">
        <f t="shared" si="34"/>
        <v>1.4304319647262975E-2</v>
      </c>
      <c r="AG202" s="9">
        <f t="shared" si="34"/>
        <v>1.5611390697972016E-2</v>
      </c>
      <c r="AH202" s="9">
        <f t="shared" si="34"/>
        <v>1.6828677821147719E-2</v>
      </c>
      <c r="AI202" s="9">
        <f t="shared" si="34"/>
        <v>1.796148495574057E-2</v>
      </c>
      <c r="AJ202" s="9">
        <f t="shared" si="34"/>
        <v>1.8987880030382209E-2</v>
      </c>
      <c r="AK202" s="9">
        <f t="shared" si="34"/>
        <v>1.9871791976925346E-2</v>
      </c>
      <c r="AL202" s="9">
        <f t="shared" si="34"/>
        <v>2.0568889892763398E-2</v>
      </c>
    </row>
    <row r="203" spans="1:38" x14ac:dyDescent="0.35">
      <c r="B203" t="s">
        <v>25</v>
      </c>
      <c r="C203" s="9">
        <f t="shared" ref="C203:AL203" si="35">C193/C144/(C183/C132)-1</f>
        <v>0</v>
      </c>
      <c r="D203" s="9">
        <f t="shared" si="35"/>
        <v>0</v>
      </c>
      <c r="E203" s="9">
        <f t="shared" si="35"/>
        <v>0</v>
      </c>
      <c r="F203" s="9">
        <f t="shared" si="35"/>
        <v>0</v>
      </c>
      <c r="G203" s="9">
        <f t="shared" si="35"/>
        <v>0</v>
      </c>
      <c r="H203" s="9">
        <f t="shared" si="35"/>
        <v>0</v>
      </c>
      <c r="I203" s="9">
        <f t="shared" si="35"/>
        <v>4.4794097744005335E-4</v>
      </c>
      <c r="J203" s="9">
        <f t="shared" si="35"/>
        <v>-6.6199090197971433E-3</v>
      </c>
      <c r="K203" s="9">
        <f t="shared" si="35"/>
        <v>-1.3719751641957045E-2</v>
      </c>
      <c r="L203" s="9">
        <f t="shared" si="35"/>
        <v>-2.4313838329514725E-2</v>
      </c>
      <c r="M203" s="9">
        <f t="shared" si="35"/>
        <v>-3.3459859246552703E-2</v>
      </c>
      <c r="N203" s="9">
        <f t="shared" si="35"/>
        <v>-3.8727352185918051E-2</v>
      </c>
      <c r="O203" s="9">
        <f t="shared" si="35"/>
        <v>-4.0683447666173267E-2</v>
      </c>
      <c r="P203" s="9">
        <f t="shared" si="35"/>
        <v>-3.9956709475852281E-2</v>
      </c>
      <c r="Q203" s="9">
        <f t="shared" si="35"/>
        <v>-3.7380504479000987E-2</v>
      </c>
      <c r="R203" s="9">
        <f t="shared" si="35"/>
        <v>-3.3344309627177604E-2</v>
      </c>
      <c r="S203" s="9">
        <f t="shared" si="35"/>
        <v>-2.7266022165612913E-2</v>
      </c>
      <c r="T203" s="9">
        <f t="shared" si="35"/>
        <v>-2.0222122576170509E-2</v>
      </c>
      <c r="U203" s="9">
        <f t="shared" si="35"/>
        <v>-1.2081614103088723E-2</v>
      </c>
      <c r="V203" s="9">
        <f t="shared" si="35"/>
        <v>-2.9127444422660798E-3</v>
      </c>
      <c r="W203" s="9">
        <f t="shared" si="35"/>
        <v>7.1368211274709381E-3</v>
      </c>
      <c r="X203" s="9">
        <f t="shared" si="35"/>
        <v>1.7874831360393584E-2</v>
      </c>
      <c r="Y203" s="9">
        <f t="shared" si="35"/>
        <v>2.9146108702269746E-2</v>
      </c>
      <c r="Z203" s="9">
        <f t="shared" si="35"/>
        <v>4.0892370721640647E-2</v>
      </c>
      <c r="AA203" s="9">
        <f t="shared" si="35"/>
        <v>5.3082180520384048E-2</v>
      </c>
      <c r="AB203" s="9">
        <f t="shared" si="35"/>
        <v>6.5679242037746111E-2</v>
      </c>
      <c r="AC203" s="9">
        <f t="shared" si="35"/>
        <v>7.8044982963501042E-2</v>
      </c>
      <c r="AD203" s="9">
        <f t="shared" si="35"/>
        <v>9.0380656805921999E-2</v>
      </c>
      <c r="AE203" s="9">
        <f t="shared" si="35"/>
        <v>0.10268770982802589</v>
      </c>
      <c r="AF203" s="9">
        <f t="shared" si="35"/>
        <v>0.11500059621357162</v>
      </c>
      <c r="AG203" s="9">
        <f t="shared" si="35"/>
        <v>0.12733480631382443</v>
      </c>
      <c r="AH203" s="9">
        <f t="shared" si="35"/>
        <v>0.13960304207496566</v>
      </c>
      <c r="AI203" s="9">
        <f t="shared" si="35"/>
        <v>0.15168171071336856</v>
      </c>
      <c r="AJ203" s="9">
        <f t="shared" si="35"/>
        <v>0.16355720599201495</v>
      </c>
      <c r="AK203" s="9">
        <f t="shared" si="35"/>
        <v>0.17525466246865329</v>
      </c>
      <c r="AL203" s="9">
        <f t="shared" si="35"/>
        <v>0.18681001177131917</v>
      </c>
    </row>
    <row r="204" spans="1:38" x14ac:dyDescent="0.35">
      <c r="B204" t="s">
        <v>8</v>
      </c>
      <c r="C204" s="9">
        <f t="shared" ref="C204:AL204" si="36">C194/C145/(C184/C133)-1</f>
        <v>0</v>
      </c>
      <c r="D204" s="9">
        <f t="shared" si="36"/>
        <v>0</v>
      </c>
      <c r="E204" s="9">
        <f t="shared" si="36"/>
        <v>0</v>
      </c>
      <c r="F204" s="9">
        <f t="shared" si="36"/>
        <v>0</v>
      </c>
      <c r="G204" s="9">
        <f t="shared" si="36"/>
        <v>0</v>
      </c>
      <c r="H204" s="9">
        <f t="shared" si="36"/>
        <v>0</v>
      </c>
      <c r="I204" s="9">
        <f t="shared" si="36"/>
        <v>-4.5242029533398842E-4</v>
      </c>
      <c r="J204" s="9">
        <f t="shared" si="36"/>
        <v>4.2727030489011497E-3</v>
      </c>
      <c r="K204" s="9">
        <f t="shared" si="36"/>
        <v>7.8782815382614224E-3</v>
      </c>
      <c r="L204" s="9">
        <f t="shared" si="36"/>
        <v>3.980202944024569E-3</v>
      </c>
      <c r="M204" s="9">
        <f t="shared" si="36"/>
        <v>5.3338035763705882E-4</v>
      </c>
      <c r="N204" s="9">
        <f t="shared" si="36"/>
        <v>-1.596443839910533E-3</v>
      </c>
      <c r="O204" s="9">
        <f t="shared" si="36"/>
        <v>-2.1382716334023E-3</v>
      </c>
      <c r="P204" s="9">
        <f t="shared" si="36"/>
        <v>-1.7475825706360082E-3</v>
      </c>
      <c r="Q204" s="9">
        <f t="shared" si="36"/>
        <v>-1.1943131169031007E-3</v>
      </c>
      <c r="R204" s="9">
        <f t="shared" si="36"/>
        <v>-6.3523462047387902E-4</v>
      </c>
      <c r="S204" s="9">
        <f t="shared" si="36"/>
        <v>5.4790357649880939E-4</v>
      </c>
      <c r="T204" s="9">
        <f t="shared" si="36"/>
        <v>2.085027950414986E-3</v>
      </c>
      <c r="U204" s="9">
        <f t="shared" si="36"/>
        <v>3.8578394841441987E-3</v>
      </c>
      <c r="V204" s="9">
        <f t="shared" si="36"/>
        <v>5.7668523920657577E-3</v>
      </c>
      <c r="W204" s="9">
        <f t="shared" si="36"/>
        <v>7.7363336721616438E-3</v>
      </c>
      <c r="X204" s="9">
        <f t="shared" si="36"/>
        <v>9.6898575732096148E-3</v>
      </c>
      <c r="Y204" s="9">
        <f t="shared" si="36"/>
        <v>1.1583106407807797E-2</v>
      </c>
      <c r="Z204" s="9">
        <f t="shared" si="36"/>
        <v>1.3416135077299218E-2</v>
      </c>
      <c r="AA204" s="9">
        <f t="shared" si="36"/>
        <v>1.5188743804799731E-2</v>
      </c>
      <c r="AB204" s="9">
        <f t="shared" si="36"/>
        <v>1.6898053979142791E-2</v>
      </c>
      <c r="AC204" s="9">
        <f t="shared" si="36"/>
        <v>1.8487673845547281E-2</v>
      </c>
      <c r="AD204" s="9">
        <f t="shared" si="36"/>
        <v>1.9826216758730864E-2</v>
      </c>
      <c r="AE204" s="9">
        <f t="shared" si="36"/>
        <v>2.0936368231985636E-2</v>
      </c>
      <c r="AF204" s="9">
        <f t="shared" si="36"/>
        <v>2.1837248158864009E-2</v>
      </c>
      <c r="AG204" s="9">
        <f t="shared" si="36"/>
        <v>2.2540751538795201E-2</v>
      </c>
      <c r="AH204" s="9">
        <f t="shared" si="36"/>
        <v>2.3023309438237938E-2</v>
      </c>
      <c r="AI204" s="9">
        <f t="shared" si="36"/>
        <v>2.3256627513817962E-2</v>
      </c>
      <c r="AJ204" s="9">
        <f t="shared" si="36"/>
        <v>2.326423365388286E-2</v>
      </c>
      <c r="AK204" s="9">
        <f t="shared" si="36"/>
        <v>2.3075084107729182E-2</v>
      </c>
      <c r="AL204" s="9">
        <f t="shared" si="36"/>
        <v>2.2709960902359327E-2</v>
      </c>
    </row>
    <row r="205" spans="1:38" x14ac:dyDescent="0.35">
      <c r="B205" t="s">
        <v>24</v>
      </c>
      <c r="C205" s="9">
        <f t="shared" ref="C205:AL205" si="37">C195/C146/(C185/C134)-1</f>
        <v>0</v>
      </c>
      <c r="D205" s="9">
        <f t="shared" si="37"/>
        <v>0</v>
      </c>
      <c r="E205" s="9">
        <f t="shared" si="37"/>
        <v>0</v>
      </c>
      <c r="F205" s="9">
        <f t="shared" si="37"/>
        <v>0</v>
      </c>
      <c r="G205" s="9">
        <f t="shared" si="37"/>
        <v>0</v>
      </c>
      <c r="H205" s="9">
        <f t="shared" si="37"/>
        <v>0</v>
      </c>
      <c r="I205" s="9">
        <f t="shared" si="37"/>
        <v>-1.1265610715590624E-3</v>
      </c>
      <c r="J205" s="9">
        <f t="shared" si="37"/>
        <v>1.705421012397923E-2</v>
      </c>
      <c r="K205" s="9">
        <f t="shared" si="37"/>
        <v>3.7130329232123671E-2</v>
      </c>
      <c r="L205" s="9">
        <f t="shared" si="37"/>
        <v>5.6975790434503848E-2</v>
      </c>
      <c r="M205" s="9">
        <f t="shared" si="37"/>
        <v>7.8856419502884689E-2</v>
      </c>
      <c r="N205" s="9">
        <f t="shared" si="37"/>
        <v>0.10149192709937482</v>
      </c>
      <c r="O205" s="9">
        <f t="shared" si="37"/>
        <v>0.12452212344498004</v>
      </c>
      <c r="P205" s="9">
        <f t="shared" si="37"/>
        <v>0.14696976497468928</v>
      </c>
      <c r="Q205" s="9">
        <f t="shared" si="37"/>
        <v>0.16900348202119697</v>
      </c>
      <c r="R205" s="9">
        <f t="shared" si="37"/>
        <v>0.19101226675172955</v>
      </c>
      <c r="S205" s="9">
        <f t="shared" si="37"/>
        <v>0.20585336949671929</v>
      </c>
      <c r="T205" s="9">
        <f t="shared" si="37"/>
        <v>0.22205954331509292</v>
      </c>
      <c r="U205" s="9">
        <f t="shared" si="37"/>
        <v>0.23938373660306844</v>
      </c>
      <c r="V205" s="9">
        <f t="shared" si="37"/>
        <v>0.25743272124283356</v>
      </c>
      <c r="W205" s="9">
        <f t="shared" si="37"/>
        <v>0.27583302183183522</v>
      </c>
      <c r="X205" s="9">
        <f t="shared" si="37"/>
        <v>0.29424167763824771</v>
      </c>
      <c r="Y205" s="9">
        <f t="shared" si="37"/>
        <v>0.31237742355422804</v>
      </c>
      <c r="Z205" s="9">
        <f t="shared" si="37"/>
        <v>0.33008199455160758</v>
      </c>
      <c r="AA205" s="9">
        <f t="shared" si="37"/>
        <v>0.34723183253893564</v>
      </c>
      <c r="AB205" s="9">
        <f t="shared" si="37"/>
        <v>0.36373116500038005</v>
      </c>
      <c r="AC205" s="9">
        <f t="shared" si="37"/>
        <v>0.37903804332087021</v>
      </c>
      <c r="AD205" s="9">
        <f t="shared" si="37"/>
        <v>0.39336833175886965</v>
      </c>
      <c r="AE205" s="9">
        <f t="shared" si="37"/>
        <v>0.40675162924086528</v>
      </c>
      <c r="AF205" s="9">
        <f t="shared" si="37"/>
        <v>0.41933882626876184</v>
      </c>
      <c r="AG205" s="9">
        <f t="shared" si="37"/>
        <v>0.43136109169033388</v>
      </c>
      <c r="AH205" s="9">
        <f t="shared" si="37"/>
        <v>0.44308379448420521</v>
      </c>
      <c r="AI205" s="9">
        <f t="shared" si="37"/>
        <v>0.45488573005401189</v>
      </c>
      <c r="AJ205" s="9">
        <f t="shared" si="37"/>
        <v>0.46745294930956427</v>
      </c>
      <c r="AK205" s="9">
        <f t="shared" si="37"/>
        <v>0.48199054754312409</v>
      </c>
      <c r="AL205" s="9">
        <f t="shared" si="37"/>
        <v>0.5008001245089857</v>
      </c>
    </row>
    <row r="206" spans="1:38" x14ac:dyDescent="0.35">
      <c r="B206" t="s">
        <v>10</v>
      </c>
      <c r="C206" s="9">
        <f t="shared" ref="C206:AL206" si="38">C196/C147/(C186/C135)-1</f>
        <v>0</v>
      </c>
      <c r="D206" s="9">
        <f t="shared" si="38"/>
        <v>0</v>
      </c>
      <c r="E206" s="9">
        <f t="shared" si="38"/>
        <v>0</v>
      </c>
      <c r="F206" s="9">
        <f t="shared" si="38"/>
        <v>0</v>
      </c>
      <c r="G206" s="9">
        <f t="shared" si="38"/>
        <v>0</v>
      </c>
      <c r="H206" s="9">
        <f t="shared" si="38"/>
        <v>0</v>
      </c>
      <c r="I206" s="9">
        <f t="shared" si="38"/>
        <v>-3.3248085265158434E-4</v>
      </c>
      <c r="J206" s="9">
        <f t="shared" si="38"/>
        <v>9.9648900846416311E-4</v>
      </c>
      <c r="K206" s="9">
        <f t="shared" si="38"/>
        <v>2.5381322656101712E-3</v>
      </c>
      <c r="L206" s="9">
        <f t="shared" si="38"/>
        <v>1.1320179006810704E-3</v>
      </c>
      <c r="M206" s="9">
        <f t="shared" si="38"/>
        <v>-6.1516394649629991E-4</v>
      </c>
      <c r="N206" s="9">
        <f t="shared" si="38"/>
        <v>-2.0747502443904109E-3</v>
      </c>
      <c r="O206" s="9">
        <f t="shared" si="38"/>
        <v>-3.3586460104887417E-3</v>
      </c>
      <c r="P206" s="9">
        <f t="shared" si="38"/>
        <v>-4.5066965483018251E-3</v>
      </c>
      <c r="Q206" s="9">
        <f t="shared" si="38"/>
        <v>-5.6075410582844265E-3</v>
      </c>
      <c r="R206" s="9">
        <f t="shared" si="38"/>
        <v>-6.5947068386769114E-3</v>
      </c>
      <c r="S206" s="9">
        <f t="shared" si="38"/>
        <v>-7.1065159646225284E-3</v>
      </c>
      <c r="T206" s="9">
        <f t="shared" si="38"/>
        <v>-7.0656664819355175E-3</v>
      </c>
      <c r="U206" s="9">
        <f t="shared" si="38"/>
        <v>-6.5907618359829501E-3</v>
      </c>
      <c r="V206" s="9">
        <f t="shared" si="38"/>
        <v>-5.8462465680864106E-3</v>
      </c>
      <c r="W206" s="9">
        <f t="shared" si="38"/>
        <v>-4.9549654557060618E-3</v>
      </c>
      <c r="X206" s="9">
        <f t="shared" si="38"/>
        <v>-3.981361696891117E-3</v>
      </c>
      <c r="Y206" s="9">
        <f t="shared" si="38"/>
        <v>-2.9514064871847268E-3</v>
      </c>
      <c r="Z206" s="9">
        <f t="shared" si="38"/>
        <v>-1.8811146828945358E-3</v>
      </c>
      <c r="AA206" s="9">
        <f t="shared" si="38"/>
        <v>-7.8081779003424945E-4</v>
      </c>
      <c r="AB206" s="9">
        <f t="shared" si="38"/>
        <v>3.4642974207033106E-4</v>
      </c>
      <c r="AC206" s="9">
        <f t="shared" si="38"/>
        <v>1.4973566075626721E-3</v>
      </c>
      <c r="AD206" s="9">
        <f t="shared" si="38"/>
        <v>2.7024374564752485E-3</v>
      </c>
      <c r="AE206" s="9">
        <f t="shared" si="38"/>
        <v>3.9381779364169311E-3</v>
      </c>
      <c r="AF206" s="9">
        <f t="shared" si="38"/>
        <v>5.166968952219575E-3</v>
      </c>
      <c r="AG206" s="9">
        <f t="shared" si="38"/>
        <v>6.3576232122874998E-3</v>
      </c>
      <c r="AH206" s="9">
        <f t="shared" si="38"/>
        <v>7.4978675791095295E-3</v>
      </c>
      <c r="AI206" s="9">
        <f t="shared" si="38"/>
        <v>8.58319671784602E-3</v>
      </c>
      <c r="AJ206" s="9">
        <f t="shared" si="38"/>
        <v>9.6004891940919546E-3</v>
      </c>
      <c r="AK206" s="9">
        <f t="shared" si="38"/>
        <v>1.0534444430721601E-2</v>
      </c>
      <c r="AL206" s="9">
        <f t="shared" si="38"/>
        <v>1.1373291647837069E-2</v>
      </c>
    </row>
    <row r="207" spans="1:38" x14ac:dyDescent="0.35">
      <c r="B207" t="s">
        <v>9</v>
      </c>
      <c r="C207" s="9">
        <f t="shared" ref="C207:AL207" si="39">C197/C148/(C187/C136)-1</f>
        <v>0</v>
      </c>
      <c r="D207" s="9">
        <f t="shared" si="39"/>
        <v>0</v>
      </c>
      <c r="E207" s="9">
        <f t="shared" si="39"/>
        <v>0</v>
      </c>
      <c r="F207" s="9">
        <f t="shared" si="39"/>
        <v>0</v>
      </c>
      <c r="G207" s="9">
        <f t="shared" si="39"/>
        <v>0</v>
      </c>
      <c r="H207" s="9">
        <f t="shared" si="39"/>
        <v>0</v>
      </c>
      <c r="I207" s="9">
        <f t="shared" si="39"/>
        <v>-4.2817233951863987E-4</v>
      </c>
      <c r="J207" s="9">
        <f t="shared" si="39"/>
        <v>3.0911786920093665E-3</v>
      </c>
      <c r="K207" s="9">
        <f t="shared" si="39"/>
        <v>5.799012520665503E-3</v>
      </c>
      <c r="L207" s="9">
        <f t="shared" si="39"/>
        <v>2.3617360945997756E-3</v>
      </c>
      <c r="M207" s="9">
        <f t="shared" si="39"/>
        <v>-1.2781146451098513E-3</v>
      </c>
      <c r="N207" s="9">
        <f t="shared" si="39"/>
        <v>-4.3319007070902193E-3</v>
      </c>
      <c r="O207" s="9">
        <f t="shared" si="39"/>
        <v>-6.1701747486889724E-3</v>
      </c>
      <c r="P207" s="9">
        <f t="shared" si="39"/>
        <v>-7.0030137974067541E-3</v>
      </c>
      <c r="Q207" s="9">
        <f t="shared" si="39"/>
        <v>-7.253674271070043E-3</v>
      </c>
      <c r="R207" s="9">
        <f t="shared" si="39"/>
        <v>-6.9735470478520245E-3</v>
      </c>
      <c r="S207" s="9">
        <f t="shared" si="39"/>
        <v>-5.8948494811781327E-3</v>
      </c>
      <c r="T207" s="9">
        <f t="shared" si="39"/>
        <v>-4.0760977439651125E-3</v>
      </c>
      <c r="U207" s="9">
        <f t="shared" si="39"/>
        <v>-1.7556272180097032E-3</v>
      </c>
      <c r="V207" s="9">
        <f t="shared" si="39"/>
        <v>8.5400099066701429E-4</v>
      </c>
      <c r="W207" s="9">
        <f t="shared" si="39"/>
        <v>3.5865200180693613E-3</v>
      </c>
      <c r="X207" s="9">
        <f t="shared" si="39"/>
        <v>6.2745072499850174E-3</v>
      </c>
      <c r="Y207" s="9">
        <f t="shared" si="39"/>
        <v>8.8088203138929622E-3</v>
      </c>
      <c r="Z207" s="9">
        <f t="shared" si="39"/>
        <v>1.1198069067339445E-2</v>
      </c>
      <c r="AA207" s="9">
        <f t="shared" si="39"/>
        <v>1.3474243072518322E-2</v>
      </c>
      <c r="AB207" s="9">
        <f t="shared" si="39"/>
        <v>1.5658374568386479E-2</v>
      </c>
      <c r="AC207" s="9">
        <f t="shared" si="39"/>
        <v>1.7532513261950156E-2</v>
      </c>
      <c r="AD207" s="9">
        <f t="shared" si="39"/>
        <v>1.8863225559657915E-2</v>
      </c>
      <c r="AE207" s="9">
        <f t="shared" si="39"/>
        <v>1.9676481741546903E-2</v>
      </c>
      <c r="AF207" s="9">
        <f t="shared" si="39"/>
        <v>2.0039308126917454E-2</v>
      </c>
      <c r="AG207" s="9">
        <f t="shared" si="39"/>
        <v>2.0005251190320594E-2</v>
      </c>
      <c r="AH207" s="9">
        <f t="shared" si="39"/>
        <v>1.9516156629733272E-2</v>
      </c>
      <c r="AI207" s="9">
        <f t="shared" si="39"/>
        <v>1.8470179451728574E-2</v>
      </c>
      <c r="AJ207" s="9">
        <f t="shared" si="39"/>
        <v>1.6873902443484079E-2</v>
      </c>
      <c r="AK207" s="9">
        <f t="shared" si="39"/>
        <v>1.475774407177699E-2</v>
      </c>
      <c r="AL207" s="9">
        <f t="shared" si="39"/>
        <v>1.214896441219171E-2</v>
      </c>
    </row>
    <row r="209" spans="1:38" x14ac:dyDescent="0.35">
      <c r="A209" s="12" t="s">
        <v>60</v>
      </c>
      <c r="B209" t="s">
        <v>22</v>
      </c>
      <c r="C209" s="6">
        <f>[1]Results!F1434</f>
        <v>27379.04247</v>
      </c>
      <c r="D209" s="6">
        <f>[1]Results!G1434</f>
        <v>27405.3495</v>
      </c>
      <c r="E209" s="6">
        <f>[1]Results!H1434</f>
        <v>27463.627670000002</v>
      </c>
      <c r="F209" s="6">
        <f>[1]Results!I1434</f>
        <v>27557.365849999998</v>
      </c>
      <c r="G209" s="6">
        <f>[1]Results!J1434</f>
        <v>27666.856029999999</v>
      </c>
      <c r="H209" s="6">
        <f>[1]Results!K1434</f>
        <v>27785.41562</v>
      </c>
      <c r="I209" s="6">
        <f>[1]Results!L1434</f>
        <v>27910.87961</v>
      </c>
      <c r="J209" s="6">
        <f>[1]Results!M1434</f>
        <v>28018.426909999998</v>
      </c>
      <c r="K209" s="6">
        <f>[1]Results!N1434</f>
        <v>28116.721580000001</v>
      </c>
      <c r="L209" s="6">
        <f>[1]Results!O1434</f>
        <v>28264.83641</v>
      </c>
      <c r="M209" s="6">
        <f>[1]Results!P1434</f>
        <v>28448.917750000001</v>
      </c>
      <c r="N209" s="6">
        <f>[1]Results!Q1434</f>
        <v>28645.068670000001</v>
      </c>
      <c r="O209" s="6">
        <f>[1]Results!R1434</f>
        <v>28835.142039999999</v>
      </c>
      <c r="P209" s="6">
        <f>[1]Results!S1434</f>
        <v>29003.30946</v>
      </c>
      <c r="Q209" s="6">
        <f>[1]Results!T1434</f>
        <v>29149.923559999999</v>
      </c>
      <c r="R209" s="6">
        <f>[1]Results!U1434</f>
        <v>29280.899310000001</v>
      </c>
      <c r="S209" s="6">
        <f>[1]Results!V1434</f>
        <v>29403.21473</v>
      </c>
      <c r="T209" s="6">
        <f>[1]Results!W1434</f>
        <v>29524.314829999999</v>
      </c>
      <c r="U209" s="6">
        <f>[1]Results!X1434</f>
        <v>29650.073950000002</v>
      </c>
      <c r="V209" s="6">
        <f>[1]Results!Y1434</f>
        <v>29784.514729999999</v>
      </c>
      <c r="W209" s="6">
        <f>[1]Results!Z1434</f>
        <v>29930.812829999999</v>
      </c>
      <c r="X209" s="6">
        <f>[1]Results!AA1434</f>
        <v>30091.437269999999</v>
      </c>
      <c r="Y209" s="6">
        <f>[1]Results!AB1434</f>
        <v>30269.056820000002</v>
      </c>
      <c r="Z209" s="6">
        <f>[1]Results!AC1434</f>
        <v>30465.49279</v>
      </c>
      <c r="AA209" s="6">
        <f>[1]Results!AD1434</f>
        <v>30680.8439</v>
      </c>
      <c r="AB209" s="6">
        <f>[1]Results!AE1434</f>
        <v>30914.58495</v>
      </c>
      <c r="AC209" s="6">
        <f>[1]Results!AF1434</f>
        <v>31166.484499999999</v>
      </c>
      <c r="AD209" s="6">
        <f>[1]Results!AG1434</f>
        <v>31437.5723</v>
      </c>
      <c r="AE209" s="6">
        <f>[1]Results!AH1434</f>
        <v>31728.173320000002</v>
      </c>
      <c r="AF209" s="6">
        <f>[1]Results!AI1434</f>
        <v>32035.568810000001</v>
      </c>
      <c r="AG209" s="6">
        <f>[1]Results!AJ1434</f>
        <v>32354.303739999999</v>
      </c>
      <c r="AH209" s="6">
        <f>[1]Results!AK1434</f>
        <v>32678.269820000001</v>
      </c>
      <c r="AI209" s="6">
        <f>[1]Results!AL1434</f>
        <v>33002.041550000002</v>
      </c>
      <c r="AJ209" s="6">
        <f>[1]Results!AM1434</f>
        <v>33320.925190000002</v>
      </c>
      <c r="AK209" s="6">
        <f>[1]Results!AN1434</f>
        <v>33630.909599999999</v>
      </c>
      <c r="AL209" s="6">
        <f>[1]Results!AO1434</f>
        <v>33928.581120000003</v>
      </c>
    </row>
    <row r="210" spans="1:38" x14ac:dyDescent="0.35">
      <c r="A210" t="s">
        <v>27</v>
      </c>
      <c r="B210" t="s">
        <v>7</v>
      </c>
      <c r="C210" s="6">
        <f>[1]Results!F1435</f>
        <v>760.76053509999997</v>
      </c>
      <c r="D210" s="6">
        <f>[1]Results!G1435</f>
        <v>752.30415689999995</v>
      </c>
      <c r="E210" s="6">
        <f>[1]Results!H1435</f>
        <v>741.83323800000005</v>
      </c>
      <c r="F210" s="6">
        <f>[1]Results!I1435</f>
        <v>734.14386569999999</v>
      </c>
      <c r="G210" s="6">
        <f>[1]Results!J1435</f>
        <v>729.9253473</v>
      </c>
      <c r="H210" s="6">
        <f>[1]Results!K1435</f>
        <v>728.69197210000004</v>
      </c>
      <c r="I210" s="6">
        <f>[1]Results!L1435</f>
        <v>729.64463880000005</v>
      </c>
      <c r="J210" s="6">
        <f>[1]Results!M1435</f>
        <v>730.82481210000003</v>
      </c>
      <c r="K210" s="6">
        <f>[1]Results!N1435</f>
        <v>731.92010089999997</v>
      </c>
      <c r="L210" s="6">
        <f>[1]Results!O1435</f>
        <v>734.82282710000004</v>
      </c>
      <c r="M210" s="6">
        <f>[1]Results!P1435</f>
        <v>738.73345110000002</v>
      </c>
      <c r="N210" s="6">
        <f>[1]Results!Q1435</f>
        <v>742.8606939</v>
      </c>
      <c r="O210" s="6">
        <f>[1]Results!R1435</f>
        <v>746.89376749999997</v>
      </c>
      <c r="P210" s="6">
        <f>[1]Results!S1435</f>
        <v>750.46369549999997</v>
      </c>
      <c r="Q210" s="6">
        <f>[1]Results!T1435</f>
        <v>753.6518337</v>
      </c>
      <c r="R210" s="6">
        <f>[1]Results!U1435</f>
        <v>756.62146659999996</v>
      </c>
      <c r="S210" s="6">
        <f>[1]Results!V1435</f>
        <v>759.63129309999999</v>
      </c>
      <c r="T210" s="6">
        <f>[1]Results!W1435</f>
        <v>762.76427809999996</v>
      </c>
      <c r="U210" s="6">
        <f>[1]Results!X1435</f>
        <v>766.13694910000004</v>
      </c>
      <c r="V210" s="6">
        <f>[1]Results!Y1435</f>
        <v>769.86320350000005</v>
      </c>
      <c r="W210" s="6">
        <f>[1]Results!Z1435</f>
        <v>774.05634429999998</v>
      </c>
      <c r="X210" s="6">
        <f>[1]Results!AA1435</f>
        <v>778.80771200000004</v>
      </c>
      <c r="Y210" s="6">
        <f>[1]Results!AB1435</f>
        <v>784.22095239999999</v>
      </c>
      <c r="Z210" s="6">
        <f>[1]Results!AC1435</f>
        <v>790.36912570000004</v>
      </c>
      <c r="AA210" s="6">
        <f>[1]Results!AD1435</f>
        <v>797.25836159999994</v>
      </c>
      <c r="AB210" s="6">
        <f>[1]Results!AE1435</f>
        <v>804.86973780000005</v>
      </c>
      <c r="AC210" s="6">
        <f>[1]Results!AF1435</f>
        <v>813.09556350000003</v>
      </c>
      <c r="AD210" s="6">
        <f>[1]Results!AG1435</f>
        <v>822.00668240000005</v>
      </c>
      <c r="AE210" s="6">
        <f>[1]Results!AH1435</f>
        <v>831.6316984</v>
      </c>
      <c r="AF210" s="6">
        <f>[1]Results!AI1435</f>
        <v>841.86645680000004</v>
      </c>
      <c r="AG210" s="6">
        <f>[1]Results!AJ1435</f>
        <v>852.49505910000005</v>
      </c>
      <c r="AH210" s="6">
        <f>[1]Results!AK1435</f>
        <v>863.27772359999994</v>
      </c>
      <c r="AI210" s="6">
        <f>[1]Results!AL1435</f>
        <v>874.00649850000002</v>
      </c>
      <c r="AJ210" s="6">
        <f>[1]Results!AM1435</f>
        <v>884.50605370000005</v>
      </c>
      <c r="AK210" s="6">
        <f>[1]Results!AN1435</f>
        <v>894.62828079999997</v>
      </c>
      <c r="AL210" s="6">
        <f>[1]Results!AO1435</f>
        <v>904.24439470000004</v>
      </c>
    </row>
    <row r="211" spans="1:38" x14ac:dyDescent="0.35">
      <c r="B211" t="s">
        <v>96</v>
      </c>
      <c r="C211" s="6">
        <f>[1]Results!F1448</f>
        <v>1769.446175</v>
      </c>
      <c r="D211" s="6">
        <f>[1]Results!G1448</f>
        <v>1831.5895169999999</v>
      </c>
      <c r="E211" s="6">
        <f>[1]Results!H1448</f>
        <v>1917.2881299999999</v>
      </c>
      <c r="F211" s="6">
        <f>[1]Results!I1448</f>
        <v>1984.2372250000001</v>
      </c>
      <c r="G211" s="6">
        <f>[1]Results!J1448</f>
        <v>2021.623302</v>
      </c>
      <c r="H211" s="6">
        <f>[1]Results!K1448</f>
        <v>2035.8183449999999</v>
      </c>
      <c r="I211" s="6">
        <f>[1]Results!L1448</f>
        <v>2036.8171</v>
      </c>
      <c r="J211" s="6">
        <f>[1]Results!M1448</f>
        <v>2030.7896720000001</v>
      </c>
      <c r="K211" s="6">
        <f>[1]Results!N1448</f>
        <v>2025.0603080000001</v>
      </c>
      <c r="L211" s="6">
        <f>[1]Results!O1448</f>
        <v>2026.1873330000001</v>
      </c>
      <c r="M211" s="6">
        <f>[1]Results!P1448</f>
        <v>2035.3780670000001</v>
      </c>
      <c r="N211" s="6">
        <f>[1]Results!Q1448</f>
        <v>2049.8542729999999</v>
      </c>
      <c r="O211" s="6">
        <f>[1]Results!R1448</f>
        <v>2064.7326790000002</v>
      </c>
      <c r="P211" s="6">
        <f>[1]Results!S1448</f>
        <v>2077.4518370000001</v>
      </c>
      <c r="Q211" s="6">
        <f>[1]Results!T1448</f>
        <v>2087.8984359999999</v>
      </c>
      <c r="R211" s="6">
        <f>[1]Results!U1448</f>
        <v>2097.0495559999999</v>
      </c>
      <c r="S211" s="6">
        <f>[1]Results!V1448</f>
        <v>2106.2060329999999</v>
      </c>
      <c r="T211" s="6">
        <f>[1]Results!W1448</f>
        <v>2116.5441460000002</v>
      </c>
      <c r="U211" s="6">
        <f>[1]Results!X1448</f>
        <v>2128.3071150000001</v>
      </c>
      <c r="V211" s="6">
        <f>[1]Results!Y1448</f>
        <v>2141.2377510000001</v>
      </c>
      <c r="W211" s="6">
        <f>[1]Results!Z1448</f>
        <v>2155.0505870000002</v>
      </c>
      <c r="X211" s="6">
        <f>[1]Results!AA1448</f>
        <v>2169.6087389999998</v>
      </c>
      <c r="Y211" s="6">
        <f>[1]Results!AB1448</f>
        <v>2184.8995060000002</v>
      </c>
      <c r="Z211" s="6">
        <f>[1]Results!AC1448</f>
        <v>2200.9743899999999</v>
      </c>
      <c r="AA211" s="6">
        <f>[1]Results!AD1448</f>
        <v>2217.8603779999999</v>
      </c>
      <c r="AB211" s="6">
        <f>[1]Results!AE1448</f>
        <v>2235.6321240000002</v>
      </c>
      <c r="AC211" s="6">
        <f>[1]Results!AF1448</f>
        <v>2254.3689730000001</v>
      </c>
      <c r="AD211" s="6">
        <f>[1]Results!AG1448</f>
        <v>2274.0989129999998</v>
      </c>
      <c r="AE211" s="6">
        <f>[1]Results!AH1448</f>
        <v>2294.980967</v>
      </c>
      <c r="AF211" s="6">
        <f>[1]Results!AI1448</f>
        <v>2317.178848</v>
      </c>
      <c r="AG211" s="6">
        <f>[1]Results!AJ1448</f>
        <v>2340.7721630000001</v>
      </c>
      <c r="AH211" s="6">
        <f>[1]Results!AK1448</f>
        <v>2365.6966029999999</v>
      </c>
      <c r="AI211" s="6">
        <f>[1]Results!AL1448</f>
        <v>2391.7266199999999</v>
      </c>
      <c r="AJ211" s="6">
        <f>[1]Results!AM1448</f>
        <v>2418.5844400000001</v>
      </c>
      <c r="AK211" s="6">
        <f>[1]Results!AN1448</f>
        <v>2445.9961050000002</v>
      </c>
      <c r="AL211" s="6">
        <f>[1]Results!AO1448</f>
        <v>2473.71965</v>
      </c>
    </row>
    <row r="212" spans="1:38" x14ac:dyDescent="0.35">
      <c r="B212" t="s">
        <v>11</v>
      </c>
      <c r="C212" s="6">
        <f>[1]Results!F1463</f>
        <v>57.221174349999998</v>
      </c>
      <c r="D212" s="6">
        <f>[1]Results!G1463</f>
        <v>57.285821460000001</v>
      </c>
      <c r="E212" s="6">
        <f>[1]Results!H1463</f>
        <v>57.281050929999999</v>
      </c>
      <c r="F212" s="6">
        <f>[1]Results!I1463</f>
        <v>57.283494599999997</v>
      </c>
      <c r="G212" s="6">
        <f>[1]Results!J1463</f>
        <v>57.277426660000003</v>
      </c>
      <c r="H212" s="6">
        <f>[1]Results!K1463</f>
        <v>57.298919589999997</v>
      </c>
      <c r="I212" s="6">
        <f>[1]Results!L1463</f>
        <v>57.380416949999997</v>
      </c>
      <c r="J212" s="6">
        <f>[1]Results!M1463</f>
        <v>57.75696791</v>
      </c>
      <c r="K212" s="6">
        <f>[1]Results!N1463</f>
        <v>58.43342406</v>
      </c>
      <c r="L212" s="6">
        <f>[1]Results!O1463</f>
        <v>59.578989759999999</v>
      </c>
      <c r="M212" s="6">
        <f>[1]Results!P1463</f>
        <v>61.069634360000002</v>
      </c>
      <c r="N212" s="6">
        <f>[1]Results!Q1463</f>
        <v>62.69685905</v>
      </c>
      <c r="O212" s="6">
        <f>[1]Results!R1463</f>
        <v>64.320274710000007</v>
      </c>
      <c r="P212" s="6">
        <f>[1]Results!S1463</f>
        <v>65.840038129999996</v>
      </c>
      <c r="Q212" s="6">
        <f>[1]Results!T1463</f>
        <v>67.234610660000001</v>
      </c>
      <c r="R212" s="6">
        <f>[1]Results!U1463</f>
        <v>68.512304499999999</v>
      </c>
      <c r="S212" s="6">
        <f>[1]Results!V1463</f>
        <v>69.638969110000005</v>
      </c>
      <c r="T212" s="6">
        <f>[1]Results!W1463</f>
        <v>70.667007729999995</v>
      </c>
      <c r="U212" s="6">
        <f>[1]Results!X1463</f>
        <v>71.627537320000002</v>
      </c>
      <c r="V212" s="6">
        <f>[1]Results!Y1463</f>
        <v>72.540016429999994</v>
      </c>
      <c r="W212" s="6">
        <f>[1]Results!Z1463</f>
        <v>73.419932599999996</v>
      </c>
      <c r="X212" s="6">
        <f>[1]Results!AA1463</f>
        <v>74.282006629999998</v>
      </c>
      <c r="Y212" s="6">
        <f>[1]Results!AB1463</f>
        <v>75.141617519999997</v>
      </c>
      <c r="Z212" s="6">
        <f>[1]Results!AC1463</f>
        <v>76.008436399999994</v>
      </c>
      <c r="AA212" s="6">
        <f>[1]Results!AD1463</f>
        <v>76.885079070000003</v>
      </c>
      <c r="AB212" s="6">
        <f>[1]Results!AE1463</f>
        <v>77.771235770000004</v>
      </c>
      <c r="AC212" s="6">
        <f>[1]Results!AF1463</f>
        <v>78.693995670000007</v>
      </c>
      <c r="AD212" s="6">
        <f>[1]Results!AG1463</f>
        <v>79.659659450000007</v>
      </c>
      <c r="AE212" s="6">
        <f>[1]Results!AH1463</f>
        <v>80.668262819999995</v>
      </c>
      <c r="AF212" s="6">
        <f>[1]Results!AI1463</f>
        <v>81.706180739999994</v>
      </c>
      <c r="AG212" s="6">
        <f>[1]Results!AJ1463</f>
        <v>82.75065051</v>
      </c>
      <c r="AH212" s="6">
        <f>[1]Results!AK1463</f>
        <v>83.781833399999996</v>
      </c>
      <c r="AI212" s="6">
        <f>[1]Results!AL1463</f>
        <v>84.787099459999993</v>
      </c>
      <c r="AJ212" s="6">
        <f>[1]Results!AM1463</f>
        <v>85.75466788</v>
      </c>
      <c r="AK212" s="6">
        <f>[1]Results!AN1463</f>
        <v>86.672219429999998</v>
      </c>
      <c r="AL212" s="6">
        <f>[1]Results!AO1463</f>
        <v>87.52582846</v>
      </c>
    </row>
    <row r="213" spans="1:38" x14ac:dyDescent="0.35">
      <c r="B213" t="s">
        <v>8</v>
      </c>
      <c r="C213" s="6">
        <f>[1]Results!F1438-[1]Results!F1448</f>
        <v>2595.3938609999996</v>
      </c>
      <c r="D213" s="6">
        <f>[1]Results!G1438-[1]Results!G1448</f>
        <v>2589.1745350000006</v>
      </c>
      <c r="E213" s="6">
        <f>[1]Results!H1438-[1]Results!H1448</f>
        <v>2583.9450740000002</v>
      </c>
      <c r="F213" s="6">
        <f>[1]Results!I1438-[1]Results!I1448</f>
        <v>2583.2831059999999</v>
      </c>
      <c r="G213" s="6">
        <f>[1]Results!J1438-[1]Results!J1448</f>
        <v>2586.5979859999998</v>
      </c>
      <c r="H213" s="6">
        <f>[1]Results!K1438-[1]Results!K1448</f>
        <v>2593.2818940000006</v>
      </c>
      <c r="I213" s="6">
        <f>[1]Results!L1438-[1]Results!L1448</f>
        <v>2602.6321200000002</v>
      </c>
      <c r="J213" s="6">
        <f>[1]Results!M1438-[1]Results!M1448</f>
        <v>2606.9561640000002</v>
      </c>
      <c r="K213" s="6">
        <f>[1]Results!N1438-[1]Results!N1448</f>
        <v>2610.3258470000001</v>
      </c>
      <c r="L213" s="6">
        <f>[1]Results!O1438-[1]Results!O1448</f>
        <v>2625.0494070000004</v>
      </c>
      <c r="M213" s="6">
        <f>[1]Results!P1438-[1]Results!P1448</f>
        <v>2646.3367050000002</v>
      </c>
      <c r="N213" s="6">
        <f>[1]Results!Q1438-[1]Results!Q1448</f>
        <v>2669.4462190000004</v>
      </c>
      <c r="O213" s="6">
        <f>[1]Results!R1438-[1]Results!R1448</f>
        <v>2690.2844369999998</v>
      </c>
      <c r="P213" s="6">
        <f>[1]Results!S1438-[1]Results!S1448</f>
        <v>2705.6675749999999</v>
      </c>
      <c r="Q213" s="6">
        <f>[1]Results!T1438-[1]Results!T1448</f>
        <v>2716.3130750000005</v>
      </c>
      <c r="R213" s="6">
        <f>[1]Results!U1438-[1]Results!U1448</f>
        <v>2723.9667790000003</v>
      </c>
      <c r="S213" s="6">
        <f>[1]Results!V1438-[1]Results!V1448</f>
        <v>2730.210302</v>
      </c>
      <c r="T213" s="6">
        <f>[1]Results!W1438-[1]Results!W1448</f>
        <v>2736.7697099999996</v>
      </c>
      <c r="U213" s="6">
        <f>[1]Results!X1438-[1]Results!X1448</f>
        <v>2744.9401940000002</v>
      </c>
      <c r="V213" s="6">
        <f>[1]Results!Y1438-[1]Results!Y1448</f>
        <v>2755.4661099999998</v>
      </c>
      <c r="W213" s="6">
        <f>[1]Results!Z1438-[1]Results!Z1448</f>
        <v>2768.8313489999996</v>
      </c>
      <c r="X213" s="6">
        <f>[1]Results!AA1438-[1]Results!AA1448</f>
        <v>2785.3662980000004</v>
      </c>
      <c r="Y213" s="6">
        <f>[1]Results!AB1438-[1]Results!AB1448</f>
        <v>2805.4578369999995</v>
      </c>
      <c r="Z213" s="6">
        <f>[1]Results!AC1438-[1]Results!AC1448</f>
        <v>2829.26046</v>
      </c>
      <c r="AA213" s="6">
        <f>[1]Results!AD1438-[1]Results!AD1448</f>
        <v>2856.5758300000002</v>
      </c>
      <c r="AB213" s="6">
        <f>[1]Results!AE1438-[1]Results!AE1448</f>
        <v>2887.1371219999996</v>
      </c>
      <c r="AC213" s="6">
        <f>[1]Results!AF1438-[1]Results!AF1448</f>
        <v>2920.736934</v>
      </c>
      <c r="AD213" s="6">
        <f>[1]Results!AG1438-[1]Results!AG1448</f>
        <v>2957.8303400000004</v>
      </c>
      <c r="AE213" s="6">
        <f>[1]Results!AH1438-[1]Results!AH1448</f>
        <v>2998.5015969999999</v>
      </c>
      <c r="AF213" s="6">
        <f>[1]Results!AI1438-[1]Results!AI1448</f>
        <v>3042.0488110000001</v>
      </c>
      <c r="AG213" s="6">
        <f>[1]Results!AJ1438-[1]Results!AJ1448</f>
        <v>3087.2382839999996</v>
      </c>
      <c r="AH213" s="6">
        <f>[1]Results!AK1438-[1]Results!AK1448</f>
        <v>3132.9052320000005</v>
      </c>
      <c r="AI213" s="6">
        <f>[1]Results!AL1438-[1]Results!AL1448</f>
        <v>3178.2082500000001</v>
      </c>
      <c r="AJ213" s="6">
        <f>[1]Results!AM1438-[1]Results!AM1448</f>
        <v>3222.4681850000002</v>
      </c>
      <c r="AK213" s="6">
        <f>[1]Results!AN1438-[1]Results!AN1448</f>
        <v>3265.1179869999996</v>
      </c>
      <c r="AL213" s="6">
        <f>[1]Results!AO1438-[1]Results!AO1448</f>
        <v>3305.6931260000001</v>
      </c>
    </row>
    <row r="214" spans="1:38" x14ac:dyDescent="0.35">
      <c r="B214" t="s">
        <v>24</v>
      </c>
      <c r="C214" s="6">
        <f>[1]Results!F1458</f>
        <v>43.667123519999997</v>
      </c>
      <c r="D214" s="6">
        <f>[1]Results!G1458</f>
        <v>44.305364390000001</v>
      </c>
      <c r="E214" s="6">
        <f>[1]Results!H1458</f>
        <v>45.073914889999998</v>
      </c>
      <c r="F214" s="6">
        <f>[1]Results!I1458</f>
        <v>45.751619009999999</v>
      </c>
      <c r="G214" s="6">
        <f>[1]Results!J1458</f>
        <v>46.317941419999997</v>
      </c>
      <c r="H214" s="6">
        <f>[1]Results!K1458</f>
        <v>46.78169037</v>
      </c>
      <c r="I214" s="6">
        <f>[1]Results!L1458</f>
        <v>47.161325669999997</v>
      </c>
      <c r="J214" s="6">
        <f>[1]Results!M1458</f>
        <v>47.861048719999999</v>
      </c>
      <c r="K214" s="6">
        <f>[1]Results!N1458</f>
        <v>48.632092370000002</v>
      </c>
      <c r="L214" s="6">
        <f>[1]Results!O1458</f>
        <v>49.430235170000003</v>
      </c>
      <c r="M214" s="6">
        <f>[1]Results!P1458</f>
        <v>50.141186830000002</v>
      </c>
      <c r="N214" s="6">
        <f>[1]Results!Q1458</f>
        <v>50.72470208</v>
      </c>
      <c r="O214" s="6">
        <f>[1]Results!R1458</f>
        <v>51.146655340000002</v>
      </c>
      <c r="P214" s="6">
        <f>[1]Results!S1458</f>
        <v>51.396075260000003</v>
      </c>
      <c r="Q214" s="6">
        <f>[1]Results!T1458</f>
        <v>51.498008980000002</v>
      </c>
      <c r="R214" s="6">
        <f>[1]Results!U1458</f>
        <v>51.489271180000003</v>
      </c>
      <c r="S214" s="6">
        <f>[1]Results!V1458</f>
        <v>51.462928130000002</v>
      </c>
      <c r="T214" s="6">
        <f>[1]Results!W1458</f>
        <v>51.412795799999998</v>
      </c>
      <c r="U214" s="6">
        <f>[1]Results!X1458</f>
        <v>51.346768439999998</v>
      </c>
      <c r="V214" s="6">
        <f>[1]Results!Y1458</f>
        <v>51.276371699999999</v>
      </c>
      <c r="W214" s="6">
        <f>[1]Results!Z1458</f>
        <v>51.213150859999999</v>
      </c>
      <c r="X214" s="6">
        <f>[1]Results!AA1458</f>
        <v>51.167618040000001</v>
      </c>
      <c r="Y214" s="6">
        <f>[1]Results!AB1458</f>
        <v>51.149412920000003</v>
      </c>
      <c r="Z214" s="6">
        <f>[1]Results!AC1458</f>
        <v>51.164529729999998</v>
      </c>
      <c r="AA214" s="6">
        <f>[1]Results!AD1458</f>
        <v>51.216168799999998</v>
      </c>
      <c r="AB214" s="6">
        <f>[1]Results!AE1458</f>
        <v>51.306802980000001</v>
      </c>
      <c r="AC214" s="6">
        <f>[1]Results!AF1458</f>
        <v>51.44431608</v>
      </c>
      <c r="AD214" s="6">
        <f>[1]Results!AG1458</f>
        <v>51.635983420000002</v>
      </c>
      <c r="AE214" s="6">
        <f>[1]Results!AH1458</f>
        <v>51.887206569999996</v>
      </c>
      <c r="AF214" s="6">
        <f>[1]Results!AI1458</f>
        <v>52.19804559</v>
      </c>
      <c r="AG214" s="6">
        <f>[1]Results!AJ1458</f>
        <v>52.564684849999999</v>
      </c>
      <c r="AH214" s="6">
        <f>[1]Results!AK1458</f>
        <v>52.984264670000002</v>
      </c>
      <c r="AI214" s="6">
        <f>[1]Results!AL1458</f>
        <v>53.457409239999997</v>
      </c>
      <c r="AJ214" s="6">
        <f>[1]Results!AM1458</f>
        <v>53.986743779999998</v>
      </c>
      <c r="AK214" s="6">
        <f>[1]Results!AN1458</f>
        <v>54.57515179</v>
      </c>
      <c r="AL214" s="6">
        <f>[1]Results!AO1458</f>
        <v>55.215061749999997</v>
      </c>
    </row>
    <row r="215" spans="1:38" x14ac:dyDescent="0.35">
      <c r="B215" t="s">
        <v>10</v>
      </c>
      <c r="C215" s="6">
        <f>[1]Results!F1455</f>
        <v>21284.268169999999</v>
      </c>
      <c r="D215" s="6">
        <f>[1]Results!G1455</f>
        <v>21267.93188</v>
      </c>
      <c r="E215" s="6">
        <f>[1]Results!H1455</f>
        <v>21262.60843</v>
      </c>
      <c r="F215" s="6">
        <f>[1]Results!I1455</f>
        <v>21303.151290000002</v>
      </c>
      <c r="G215" s="6">
        <f>[1]Results!J1455</f>
        <v>21379.859339999999</v>
      </c>
      <c r="H215" s="6">
        <f>[1]Results!K1455</f>
        <v>21480.680530000001</v>
      </c>
      <c r="I215" s="6">
        <f>[1]Results!L1455</f>
        <v>21595.234909999999</v>
      </c>
      <c r="J215" s="6">
        <f>[1]Results!M1455</f>
        <v>21703.915690000002</v>
      </c>
      <c r="K215" s="6">
        <f>[1]Results!N1455</f>
        <v>21804.09778</v>
      </c>
      <c r="L215" s="6">
        <f>[1]Results!O1455</f>
        <v>21931.403320000001</v>
      </c>
      <c r="M215" s="6">
        <f>[1]Results!P1455</f>
        <v>22077.367190000001</v>
      </c>
      <c r="N215" s="6">
        <f>[1]Results!Q1455</f>
        <v>22227.37156</v>
      </c>
      <c r="O215" s="6">
        <f>[1]Results!R1455</f>
        <v>22373.40307</v>
      </c>
      <c r="P215" s="6">
        <f>[1]Results!S1455</f>
        <v>22506.518830000001</v>
      </c>
      <c r="Q215" s="6">
        <f>[1]Results!T1455</f>
        <v>22626.358779999999</v>
      </c>
      <c r="R215" s="6">
        <f>[1]Results!U1455</f>
        <v>22735.6803</v>
      </c>
      <c r="S215" s="6">
        <f>[1]Results!V1455</f>
        <v>22838.018550000001</v>
      </c>
      <c r="T215" s="6">
        <f>[1]Results!W1455</f>
        <v>22937.541099999999</v>
      </c>
      <c r="U215" s="6">
        <f>[1]Results!X1455</f>
        <v>23038.193579999999</v>
      </c>
      <c r="V215" s="6">
        <f>[1]Results!Y1455</f>
        <v>23143.19543</v>
      </c>
      <c r="W215" s="6">
        <f>[1]Results!Z1455</f>
        <v>23255.24784</v>
      </c>
      <c r="X215" s="6">
        <f>[1]Results!AA1455</f>
        <v>23376.405490000001</v>
      </c>
      <c r="Y215" s="6">
        <f>[1]Results!AB1455</f>
        <v>23508.723569999998</v>
      </c>
      <c r="Z215" s="6">
        <f>[1]Results!AC1455</f>
        <v>23653.668580000001</v>
      </c>
      <c r="AA215" s="6">
        <f>[1]Results!AD1455</f>
        <v>23811.517179999999</v>
      </c>
      <c r="AB215" s="6">
        <f>[1]Results!AE1455</f>
        <v>23981.994760000001</v>
      </c>
      <c r="AC215" s="6">
        <f>[1]Results!AF1455</f>
        <v>24165.066719999999</v>
      </c>
      <c r="AD215" s="6">
        <f>[1]Results!AG1455</f>
        <v>24361.121070000001</v>
      </c>
      <c r="AE215" s="6">
        <f>[1]Results!AH1455</f>
        <v>24570.189679999999</v>
      </c>
      <c r="AF215" s="6">
        <f>[1]Results!AI1455</f>
        <v>24790.34993</v>
      </c>
      <c r="AG215" s="6">
        <f>[1]Results!AJ1455</f>
        <v>25017.799869999999</v>
      </c>
      <c r="AH215" s="6">
        <f>[1]Results!AK1455</f>
        <v>25248.176370000001</v>
      </c>
      <c r="AI215" s="6">
        <f>[1]Results!AL1455</f>
        <v>25477.5324</v>
      </c>
      <c r="AJ215" s="6">
        <f>[1]Results!AM1455</f>
        <v>25702.469990000001</v>
      </c>
      <c r="AK215" s="6">
        <f>[1]Results!AN1455</f>
        <v>25920.104149999999</v>
      </c>
      <c r="AL215" s="6">
        <f>[1]Results!AO1455</f>
        <v>26127.984469999999</v>
      </c>
    </row>
    <row r="216" spans="1:38" x14ac:dyDescent="0.35">
      <c r="B216" t="s">
        <v>23</v>
      </c>
      <c r="C216" s="6">
        <f>[1]Results!F1450</f>
        <v>868.28542909999999</v>
      </c>
      <c r="D216" s="6">
        <f>[1]Results!G1450</f>
        <v>862.7582218</v>
      </c>
      <c r="E216" s="6">
        <f>[1]Results!H1450</f>
        <v>855.59783570000002</v>
      </c>
      <c r="F216" s="6">
        <f>[1]Results!I1450</f>
        <v>849.51524689999997</v>
      </c>
      <c r="G216" s="6">
        <f>[1]Results!J1450</f>
        <v>845.25468939999996</v>
      </c>
      <c r="H216" s="6">
        <f>[1]Results!K1450</f>
        <v>842.86226509999995</v>
      </c>
      <c r="I216" s="6">
        <f>[1]Results!L1450</f>
        <v>842.00909720000004</v>
      </c>
      <c r="J216" s="6">
        <f>[1]Results!M1450</f>
        <v>840.32254980000005</v>
      </c>
      <c r="K216" s="6">
        <f>[1]Results!N1450</f>
        <v>838.25202969999998</v>
      </c>
      <c r="L216" s="6">
        <f>[1]Results!O1450</f>
        <v>838.36429699999997</v>
      </c>
      <c r="M216" s="6">
        <f>[1]Results!P1450</f>
        <v>839.89151349999997</v>
      </c>
      <c r="N216" s="6">
        <f>[1]Results!Q1450</f>
        <v>842.11436140000001</v>
      </c>
      <c r="O216" s="6">
        <f>[1]Results!R1450</f>
        <v>844.36115070000005</v>
      </c>
      <c r="P216" s="6">
        <f>[1]Results!S1450</f>
        <v>845.97140449999995</v>
      </c>
      <c r="Q216" s="6">
        <f>[1]Results!T1450</f>
        <v>846.9688142</v>
      </c>
      <c r="R216" s="6">
        <f>[1]Results!U1450</f>
        <v>847.57963099999995</v>
      </c>
      <c r="S216" s="6">
        <f>[1]Results!V1450</f>
        <v>848.04665379999994</v>
      </c>
      <c r="T216" s="6">
        <f>[1]Results!W1450</f>
        <v>848.61579489999997</v>
      </c>
      <c r="U216" s="6">
        <f>[1]Results!X1450</f>
        <v>849.52180209999995</v>
      </c>
      <c r="V216" s="6">
        <f>[1]Results!Y1450</f>
        <v>850.93584899999996</v>
      </c>
      <c r="W216" s="6">
        <f>[1]Results!Z1450</f>
        <v>852.9936265</v>
      </c>
      <c r="X216" s="6">
        <f>[1]Results!AA1450</f>
        <v>855.79940499999998</v>
      </c>
      <c r="Y216" s="6">
        <f>[1]Results!AB1450</f>
        <v>859.46392049999997</v>
      </c>
      <c r="Z216" s="6">
        <f>[1]Results!AC1450</f>
        <v>864.04725940000003</v>
      </c>
      <c r="AA216" s="6">
        <f>[1]Results!AD1450</f>
        <v>869.53089569999997</v>
      </c>
      <c r="AB216" s="6">
        <f>[1]Results!AE1450</f>
        <v>875.87317029999997</v>
      </c>
      <c r="AC216" s="6">
        <f>[1]Results!AF1450</f>
        <v>883.07799539999996</v>
      </c>
      <c r="AD216" s="6">
        <f>[1]Results!AG1450</f>
        <v>891.21965320000004</v>
      </c>
      <c r="AE216" s="6">
        <f>[1]Results!AH1450</f>
        <v>900.31390829999998</v>
      </c>
      <c r="AF216" s="6">
        <f>[1]Results!AI1450</f>
        <v>910.22053430000005</v>
      </c>
      <c r="AG216" s="6">
        <f>[1]Results!AJ1450</f>
        <v>920.68302200000005</v>
      </c>
      <c r="AH216" s="6">
        <f>[1]Results!AK1450</f>
        <v>931.44779389999997</v>
      </c>
      <c r="AI216" s="6">
        <f>[1]Results!AL1450</f>
        <v>942.32326780000005</v>
      </c>
      <c r="AJ216" s="6">
        <f>[1]Results!AM1450</f>
        <v>953.1551058</v>
      </c>
      <c r="AK216" s="6">
        <f>[1]Results!AN1450</f>
        <v>963.8157056</v>
      </c>
      <c r="AL216" s="6">
        <f>[1]Results!AO1450</f>
        <v>974.19858490000001</v>
      </c>
    </row>
    <row r="218" spans="1:38" x14ac:dyDescent="0.35">
      <c r="A218" s="12" t="s">
        <v>60</v>
      </c>
      <c r="B218" t="s">
        <v>22</v>
      </c>
      <c r="C218" s="6">
        <f>[1]Results!F1473</f>
        <v>27379.04247</v>
      </c>
      <c r="D218" s="3">
        <f>[1]Results!G1473</f>
        <v>27405.3495</v>
      </c>
      <c r="E218" s="3">
        <f>[1]Results!H1473</f>
        <v>27463.627670000002</v>
      </c>
      <c r="F218" s="3">
        <f>[1]Results!I1473</f>
        <v>27557.365849999998</v>
      </c>
      <c r="G218" s="3">
        <f>[1]Results!J1473</f>
        <v>27666.856029999999</v>
      </c>
      <c r="H218" s="3">
        <f>[1]Results!K1473</f>
        <v>27785.41562</v>
      </c>
      <c r="I218" s="3">
        <f>[1]Results!L1473</f>
        <v>27907.659360000001</v>
      </c>
      <c r="J218" s="3">
        <f>[1]Results!M1473</f>
        <v>28030.210200000001</v>
      </c>
      <c r="K218" s="3">
        <f>[1]Results!N1473</f>
        <v>28152.97654</v>
      </c>
      <c r="L218" s="3">
        <f>[1]Results!O1473</f>
        <v>28277.580809999999</v>
      </c>
      <c r="M218" s="3">
        <f>[1]Results!P1473</f>
        <v>28406.104950000001</v>
      </c>
      <c r="N218" s="3">
        <f>[1]Results!Q1473</f>
        <v>28539.933799999999</v>
      </c>
      <c r="O218" s="3">
        <f>[1]Results!R1473</f>
        <v>28675.365949999999</v>
      </c>
      <c r="P218" s="3">
        <f>[1]Results!S1473</f>
        <v>28800.47423</v>
      </c>
      <c r="Q218" s="3">
        <f>[1]Results!T1473</f>
        <v>28912.515370000001</v>
      </c>
      <c r="R218" s="3">
        <f>[1]Results!U1473</f>
        <v>29014.40166</v>
      </c>
      <c r="S218" s="3">
        <f>[1]Results!V1473</f>
        <v>29113.422699999999</v>
      </c>
      <c r="T218" s="3">
        <f>[1]Results!W1473</f>
        <v>29218.859840000001</v>
      </c>
      <c r="U218" s="3">
        <f>[1]Results!X1473</f>
        <v>29337.30803</v>
      </c>
      <c r="V218" s="3">
        <f>[1]Results!Y1473</f>
        <v>29471.856960000001</v>
      </c>
      <c r="W218" s="3">
        <f>[1]Results!Z1473</f>
        <v>29623.881219999999</v>
      </c>
      <c r="X218" s="3">
        <f>[1]Results!AA1473</f>
        <v>29793.917570000001</v>
      </c>
      <c r="Y218" s="3">
        <f>[1]Results!AB1473</f>
        <v>29983.080150000002</v>
      </c>
      <c r="Z218" s="3">
        <f>[1]Results!AC1473</f>
        <v>30192.177459999999</v>
      </c>
      <c r="AA218" s="3">
        <f>[1]Results!AD1473</f>
        <v>30420.697820000001</v>
      </c>
      <c r="AB218" s="3">
        <f>[1]Results!AE1473</f>
        <v>30667.799709999999</v>
      </c>
      <c r="AC218" s="3">
        <f>[1]Results!AF1473</f>
        <v>30932.846959999999</v>
      </c>
      <c r="AD218" s="3">
        <f>[1]Results!AG1473</f>
        <v>31216.330580000002</v>
      </c>
      <c r="AE218" s="3">
        <f>[1]Results!AH1473</f>
        <v>31518.211739999999</v>
      </c>
      <c r="AF218" s="3">
        <f>[1]Results!AI1473</f>
        <v>31835.362690000002</v>
      </c>
      <c r="AG218" s="3">
        <f>[1]Results!AJ1473</f>
        <v>32161.90999</v>
      </c>
      <c r="AH218" s="3">
        <f>[1]Results!AK1473</f>
        <v>32491.30774</v>
      </c>
      <c r="AI218" s="3">
        <f>[1]Results!AL1473</f>
        <v>32817.712420000003</v>
      </c>
      <c r="AJ218" s="3">
        <f>[1]Results!AM1473</f>
        <v>33136.193099999997</v>
      </c>
      <c r="AK218" s="3">
        <f>[1]Results!AN1473</f>
        <v>33442.601690000003</v>
      </c>
      <c r="AL218" s="3">
        <f>[1]Results!AO1473</f>
        <v>33733.40958</v>
      </c>
    </row>
    <row r="219" spans="1:38" x14ac:dyDescent="0.35">
      <c r="A219" t="s">
        <v>26</v>
      </c>
      <c r="B219" t="s">
        <v>7</v>
      </c>
      <c r="C219" s="6">
        <f>[1]Results!F1474</f>
        <v>760.76053509999997</v>
      </c>
      <c r="D219" s="3">
        <f>[1]Results!G1474</f>
        <v>752.30415689999995</v>
      </c>
      <c r="E219" s="3">
        <f>[1]Results!H1474</f>
        <v>741.83323800000005</v>
      </c>
      <c r="F219" s="3">
        <f>[1]Results!I1474</f>
        <v>734.14386569999999</v>
      </c>
      <c r="G219" s="3">
        <f>[1]Results!J1474</f>
        <v>729.9253473</v>
      </c>
      <c r="H219" s="3">
        <f>[1]Results!K1474</f>
        <v>728.69197210000004</v>
      </c>
      <c r="I219" s="3">
        <f>[1]Results!L1474</f>
        <v>729.56448590000002</v>
      </c>
      <c r="J219" s="3">
        <f>[1]Results!M1474</f>
        <v>731.68372869999996</v>
      </c>
      <c r="K219" s="3">
        <f>[1]Results!N1474</f>
        <v>734.49080030000005</v>
      </c>
      <c r="L219" s="3">
        <f>[1]Results!O1474</f>
        <v>737.69039789999999</v>
      </c>
      <c r="M219" s="3">
        <f>[1]Results!P1474</f>
        <v>741.1572807</v>
      </c>
      <c r="N219" s="3">
        <f>[1]Results!Q1474</f>
        <v>744.83992709999995</v>
      </c>
      <c r="O219" s="3">
        <f>[1]Results!R1474</f>
        <v>748.54398890000004</v>
      </c>
      <c r="P219" s="3">
        <f>[1]Results!S1474</f>
        <v>751.7863208</v>
      </c>
      <c r="Q219" s="3">
        <f>[1]Results!T1474</f>
        <v>754.50006399999995</v>
      </c>
      <c r="R219" s="3">
        <f>[1]Results!U1474</f>
        <v>756.83638120000001</v>
      </c>
      <c r="S219" s="3">
        <f>[1]Results!V1474</f>
        <v>759.0953121</v>
      </c>
      <c r="T219" s="3">
        <f>[1]Results!W1474</f>
        <v>761.66951310000002</v>
      </c>
      <c r="U219" s="3">
        <f>[1]Results!X1474</f>
        <v>764.8454941</v>
      </c>
      <c r="V219" s="3">
        <f>[1]Results!Y1474</f>
        <v>768.75186199999996</v>
      </c>
      <c r="W219" s="3">
        <f>[1]Results!Z1474</f>
        <v>773.43122419999997</v>
      </c>
      <c r="X219" s="3">
        <f>[1]Results!AA1474</f>
        <v>778.87963009999999</v>
      </c>
      <c r="Y219" s="3">
        <f>[1]Results!AB1474</f>
        <v>785.11816539999995</v>
      </c>
      <c r="Z219" s="3">
        <f>[1]Results!AC1474</f>
        <v>792.16006879999998</v>
      </c>
      <c r="AA219" s="3">
        <f>[1]Results!AD1474</f>
        <v>799.97009409999998</v>
      </c>
      <c r="AB219" s="3">
        <f>[1]Results!AE1474</f>
        <v>808.50334699999996</v>
      </c>
      <c r="AC219" s="3">
        <f>[1]Results!AF1474</f>
        <v>817.72591599999998</v>
      </c>
      <c r="AD219" s="3">
        <f>[1]Results!AG1474</f>
        <v>827.65781010000001</v>
      </c>
      <c r="AE219" s="3">
        <f>[1]Results!AH1474</f>
        <v>838.29210139999998</v>
      </c>
      <c r="AF219" s="3">
        <f>[1]Results!AI1474</f>
        <v>849.49145129999999</v>
      </c>
      <c r="AG219" s="3">
        <f>[1]Results!AJ1474</f>
        <v>861.00781840000002</v>
      </c>
      <c r="AH219" s="3">
        <f>[1]Results!AK1474</f>
        <v>872.57400500000006</v>
      </c>
      <c r="AI219" s="3">
        <f>[1]Results!AL1474</f>
        <v>883.96281669999996</v>
      </c>
      <c r="AJ219" s="3">
        <f>[1]Results!AM1474</f>
        <v>894.99003700000003</v>
      </c>
      <c r="AK219" s="3">
        <f>[1]Results!AN1474</f>
        <v>905.50468309999997</v>
      </c>
      <c r="AL219" s="3">
        <f>[1]Results!AO1474</f>
        <v>915.37964069999998</v>
      </c>
    </row>
    <row r="220" spans="1:38" x14ac:dyDescent="0.35">
      <c r="B220" t="s">
        <v>96</v>
      </c>
      <c r="C220" s="6">
        <f>[1]Results!F1487</f>
        <v>1769.446175</v>
      </c>
      <c r="D220" s="3">
        <f>[1]Results!G1487</f>
        <v>1831.5895169999999</v>
      </c>
      <c r="E220" s="3">
        <f>[1]Results!H1487</f>
        <v>1917.2881299999999</v>
      </c>
      <c r="F220" s="3">
        <f>[1]Results!I1487</f>
        <v>1984.2372250000001</v>
      </c>
      <c r="G220" s="3">
        <f>[1]Results!J1487</f>
        <v>2021.623302</v>
      </c>
      <c r="H220" s="3">
        <f>[1]Results!K1487</f>
        <v>2035.8183449999999</v>
      </c>
      <c r="I220" s="3">
        <f>[1]Results!L1487</f>
        <v>2036.3909060000001</v>
      </c>
      <c r="J220" s="3">
        <f>[1]Results!M1487</f>
        <v>2031.0894940000001</v>
      </c>
      <c r="K220" s="3">
        <f>[1]Results!N1487</f>
        <v>2024.792694</v>
      </c>
      <c r="L220" s="3">
        <f>[1]Results!O1487</f>
        <v>2020.1187399999999</v>
      </c>
      <c r="M220" s="3">
        <f>[1]Results!P1487</f>
        <v>2018.2766939999999</v>
      </c>
      <c r="N220" s="3">
        <f>[1]Results!Q1487</f>
        <v>2019.6972009999999</v>
      </c>
      <c r="O220" s="3">
        <f>[1]Results!R1487</f>
        <v>2024.142188</v>
      </c>
      <c r="P220" s="3">
        <f>[1]Results!S1487</f>
        <v>2030.6625799999999</v>
      </c>
      <c r="Q220" s="3">
        <f>[1]Results!T1487</f>
        <v>2038.4361570000001</v>
      </c>
      <c r="R220" s="3">
        <f>[1]Results!U1487</f>
        <v>2046.97983</v>
      </c>
      <c r="S220" s="3">
        <f>[1]Results!V1487</f>
        <v>2056.404775</v>
      </c>
      <c r="T220" s="3">
        <f>[1]Results!W1487</f>
        <v>2066.7865940000002</v>
      </c>
      <c r="U220" s="3">
        <f>[1]Results!X1487</f>
        <v>2078.0819820000002</v>
      </c>
      <c r="V220" s="3">
        <f>[1]Results!Y1487</f>
        <v>2090.1351140000002</v>
      </c>
      <c r="W220" s="3">
        <f>[1]Results!Z1487</f>
        <v>2102.8230229999999</v>
      </c>
      <c r="X220" s="3">
        <f>[1]Results!AA1487</f>
        <v>2116.132224</v>
      </c>
      <c r="Y220" s="3">
        <f>[1]Results!AB1487</f>
        <v>2130.1150040000002</v>
      </c>
      <c r="Z220" s="3">
        <f>[1]Results!AC1487</f>
        <v>2144.8240959999998</v>
      </c>
      <c r="AA220" s="3">
        <f>[1]Results!AD1487</f>
        <v>2160.2552260000002</v>
      </c>
      <c r="AB220" s="3">
        <f>[1]Results!AE1487</f>
        <v>2176.4528</v>
      </c>
      <c r="AC220" s="3">
        <f>[1]Results!AF1487</f>
        <v>2193.525427</v>
      </c>
      <c r="AD220" s="3">
        <f>[1]Results!AG1487</f>
        <v>2211.603012</v>
      </c>
      <c r="AE220" s="3">
        <f>[1]Results!AH1487</f>
        <v>2230.896432</v>
      </c>
      <c r="AF220" s="3">
        <f>[1]Results!AI1487</f>
        <v>2251.5656570000001</v>
      </c>
      <c r="AG220" s="3">
        <f>[1]Results!AJ1487</f>
        <v>2273.6654990000002</v>
      </c>
      <c r="AH220" s="3">
        <f>[1]Results!AK1487</f>
        <v>2297.1365129999999</v>
      </c>
      <c r="AI220" s="3">
        <f>[1]Results!AL1487</f>
        <v>2321.7903139999999</v>
      </c>
      <c r="AJ220" s="3">
        <f>[1]Results!AM1487</f>
        <v>2347.3675600000001</v>
      </c>
      <c r="AK220" s="3">
        <f>[1]Results!AN1487</f>
        <v>2373.5793079999999</v>
      </c>
      <c r="AL220" s="3">
        <f>[1]Results!AO1487</f>
        <v>2400.1326429999999</v>
      </c>
    </row>
    <row r="221" spans="1:38" x14ac:dyDescent="0.35">
      <c r="B221" t="s">
        <v>11</v>
      </c>
      <c r="C221" s="6">
        <f>[1]Results!F1502</f>
        <v>57.221174349999998</v>
      </c>
      <c r="D221" s="3">
        <f>[1]Results!G1502</f>
        <v>57.285821460000001</v>
      </c>
      <c r="E221" s="3">
        <f>[1]Results!H1502</f>
        <v>57.281050929999999</v>
      </c>
      <c r="F221" s="3">
        <f>[1]Results!I1502</f>
        <v>57.283494599999997</v>
      </c>
      <c r="G221" s="3">
        <f>[1]Results!J1502</f>
        <v>57.277426660000003</v>
      </c>
      <c r="H221" s="3">
        <f>[1]Results!K1502</f>
        <v>57.298919589999997</v>
      </c>
      <c r="I221" s="3">
        <f>[1]Results!L1502</f>
        <v>57.396756019999998</v>
      </c>
      <c r="J221" s="3">
        <f>[1]Results!M1502</f>
        <v>57.58967174</v>
      </c>
      <c r="K221" s="3">
        <f>[1]Results!N1502</f>
        <v>57.89127122</v>
      </c>
      <c r="L221" s="3">
        <f>[1]Results!O1502</f>
        <v>58.314101350000001</v>
      </c>
      <c r="M221" s="3">
        <f>[1]Results!P1502</f>
        <v>58.868960690000002</v>
      </c>
      <c r="N221" s="3">
        <f>[1]Results!Q1502</f>
        <v>59.556393509999999</v>
      </c>
      <c r="O221" s="3">
        <f>[1]Results!R1502</f>
        <v>60.352175000000003</v>
      </c>
      <c r="P221" s="3">
        <f>[1]Results!S1502</f>
        <v>61.20070527</v>
      </c>
      <c r="Q221" s="3">
        <f>[1]Results!T1502</f>
        <v>62.06406879</v>
      </c>
      <c r="R221" s="3">
        <f>[1]Results!U1502</f>
        <v>62.916523650000002</v>
      </c>
      <c r="S221" s="3">
        <f>[1]Results!V1502</f>
        <v>63.727631930000001</v>
      </c>
      <c r="T221" s="3">
        <f>[1]Results!W1502</f>
        <v>64.499835020000006</v>
      </c>
      <c r="U221" s="3">
        <f>[1]Results!X1502</f>
        <v>65.241116030000001</v>
      </c>
      <c r="V221" s="3">
        <f>[1]Results!Y1502</f>
        <v>65.956748730000001</v>
      </c>
      <c r="W221" s="3">
        <f>[1]Results!Z1502</f>
        <v>66.650686829999998</v>
      </c>
      <c r="X221" s="3">
        <f>[1]Results!AA1502</f>
        <v>67.32618429</v>
      </c>
      <c r="Y221" s="3">
        <f>[1]Results!AB1502</f>
        <v>67.988858129999997</v>
      </c>
      <c r="Z221" s="3">
        <f>[1]Results!AC1502</f>
        <v>68.644287270000007</v>
      </c>
      <c r="AA221" s="3">
        <f>[1]Results!AD1502</f>
        <v>69.295719890000001</v>
      </c>
      <c r="AB221" s="3">
        <f>[1]Results!AE1502</f>
        <v>69.94580492</v>
      </c>
      <c r="AC221" s="3">
        <f>[1]Results!AF1502</f>
        <v>70.597278099999997</v>
      </c>
      <c r="AD221" s="3">
        <f>[1]Results!AG1502</f>
        <v>71.254753260000001</v>
      </c>
      <c r="AE221" s="3">
        <f>[1]Results!AH1502</f>
        <v>71.920327819999997</v>
      </c>
      <c r="AF221" s="3">
        <f>[1]Results!AI1502</f>
        <v>72.586914620000002</v>
      </c>
      <c r="AG221" s="3">
        <f>[1]Results!AJ1502</f>
        <v>73.240291380000002</v>
      </c>
      <c r="AH221" s="3">
        <f>[1]Results!AK1502</f>
        <v>73.865145049999995</v>
      </c>
      <c r="AI221" s="3">
        <f>[1]Results!AL1502</f>
        <v>74.448752549999995</v>
      </c>
      <c r="AJ221" s="3">
        <f>[1]Results!AM1502</f>
        <v>74.981329169999995</v>
      </c>
      <c r="AK221" s="3">
        <f>[1]Results!AN1502</f>
        <v>75.455463719999997</v>
      </c>
      <c r="AL221" s="3">
        <f>[1]Results!AO1502</f>
        <v>75.865534949999997</v>
      </c>
    </row>
    <row r="222" spans="1:38" x14ac:dyDescent="0.35">
      <c r="B222" t="s">
        <v>8</v>
      </c>
      <c r="C222" s="6">
        <f>[1]Results!F1477-[1]Results!F1487</f>
        <v>2595.3938609999996</v>
      </c>
      <c r="D222" s="3">
        <f>[1]Results!G1477-[1]Results!G1487</f>
        <v>2589.1745350000006</v>
      </c>
      <c r="E222" s="3">
        <f>[1]Results!H1477-[1]Results!H1487</f>
        <v>2583.9450740000002</v>
      </c>
      <c r="F222" s="3">
        <f>[1]Results!I1477-[1]Results!I1487</f>
        <v>2583.2831059999999</v>
      </c>
      <c r="G222" s="3">
        <f>[1]Results!J1477-[1]Results!J1487</f>
        <v>2586.5979859999998</v>
      </c>
      <c r="H222" s="3">
        <f>[1]Results!K1477-[1]Results!K1487</f>
        <v>2593.2818940000006</v>
      </c>
      <c r="I222" s="3">
        <f>[1]Results!L1477-[1]Results!L1487</f>
        <v>2602.1642319999996</v>
      </c>
      <c r="J222" s="3">
        <f>[1]Results!M1477-[1]Results!M1487</f>
        <v>2612.4242300000005</v>
      </c>
      <c r="K222" s="3">
        <f>[1]Results!N1477-[1]Results!N1487</f>
        <v>2623.6627429999999</v>
      </c>
      <c r="L222" s="3">
        <f>[1]Results!O1477-[1]Results!O1487</f>
        <v>2635.7262479999999</v>
      </c>
      <c r="M222" s="3">
        <f>[1]Results!P1477-[1]Results!P1487</f>
        <v>2648.5675719999999</v>
      </c>
      <c r="N222" s="3">
        <f>[1]Results!Q1477-[1]Results!Q1487</f>
        <v>2662.0734190000003</v>
      </c>
      <c r="O222" s="3">
        <f>[1]Results!R1477-[1]Results!R1487</f>
        <v>2675.2058299999999</v>
      </c>
      <c r="P222" s="3">
        <f>[1]Results!S1477-[1]Results!S1487</f>
        <v>2685.5035609999995</v>
      </c>
      <c r="Q222" s="3">
        <f>[1]Results!T1477-[1]Results!T1487</f>
        <v>2692.8750339999997</v>
      </c>
      <c r="R222" s="3">
        <f>[1]Results!U1477-[1]Results!U1487</f>
        <v>2698.3421149999995</v>
      </c>
      <c r="S222" s="3">
        <f>[1]Results!V1477-[1]Results!V1487</f>
        <v>2703.5923140000004</v>
      </c>
      <c r="T222" s="3">
        <f>[1]Results!W1477-[1]Results!W1487</f>
        <v>2710.2650869999998</v>
      </c>
      <c r="U222" s="3">
        <f>[1]Results!X1477-[1]Results!X1487</f>
        <v>2719.5335829999999</v>
      </c>
      <c r="V222" s="3">
        <f>[1]Results!Y1477-[1]Results!Y1487</f>
        <v>2731.9766839999998</v>
      </c>
      <c r="W222" s="3">
        <f>[1]Results!Z1477-[1]Results!Z1487</f>
        <v>2747.8962609999999</v>
      </c>
      <c r="X222" s="3">
        <f>[1]Results!AA1477-[1]Results!AA1487</f>
        <v>2767.4060890000001</v>
      </c>
      <c r="Y222" s="3">
        <f>[1]Results!AB1477-[1]Results!AB1487</f>
        <v>2790.7093079999995</v>
      </c>
      <c r="Z222" s="3">
        <f>[1]Results!AC1477-[1]Results!AC1487</f>
        <v>2817.8906570000004</v>
      </c>
      <c r="AA222" s="3">
        <f>[1]Results!AD1477-[1]Results!AD1487</f>
        <v>2848.7508879999996</v>
      </c>
      <c r="AB222" s="3">
        <f>[1]Results!AE1477-[1]Results!AE1487</f>
        <v>2883.0530209999997</v>
      </c>
      <c r="AC222" s="3">
        <f>[1]Results!AF1477-[1]Results!AF1487</f>
        <v>2920.6219649999998</v>
      </c>
      <c r="AD222" s="3">
        <f>[1]Results!AG1477-[1]Results!AG1487</f>
        <v>2961.5259869999995</v>
      </c>
      <c r="AE222" s="3">
        <f>[1]Results!AH1477-[1]Results!AH1487</f>
        <v>3005.67517</v>
      </c>
      <c r="AF222" s="3">
        <f>[1]Results!AI1477-[1]Results!AI1487</f>
        <v>3052.3098030000001</v>
      </c>
      <c r="AG222" s="3">
        <f>[1]Results!AJ1477-[1]Results!AJ1487</f>
        <v>3100.1821100000002</v>
      </c>
      <c r="AH222" s="3">
        <f>[1]Results!AK1477-[1]Results!AK1487</f>
        <v>3148.0437539999998</v>
      </c>
      <c r="AI222" s="3">
        <f>[1]Results!AL1477-[1]Results!AL1487</f>
        <v>3194.9027249999999</v>
      </c>
      <c r="AJ222" s="3">
        <f>[1]Results!AM1477-[1]Results!AM1487</f>
        <v>3240.0073440000001</v>
      </c>
      <c r="AK222" s="3">
        <f>[1]Results!AN1477-[1]Results!AN1487</f>
        <v>3282.7781580000005</v>
      </c>
      <c r="AL222" s="3">
        <f>[1]Results!AO1477-[1]Results!AO1487</f>
        <v>3322.7478860000001</v>
      </c>
    </row>
    <row r="223" spans="1:38" x14ac:dyDescent="0.35">
      <c r="B223" t="s">
        <v>24</v>
      </c>
      <c r="C223" s="6">
        <f>[1]Results!F1497</f>
        <v>43.667123519999997</v>
      </c>
      <c r="D223" s="3">
        <f>[1]Results!G1497</f>
        <v>44.305364390000001</v>
      </c>
      <c r="E223" s="3">
        <f>[1]Results!H1497</f>
        <v>45.073914889999998</v>
      </c>
      <c r="F223" s="3">
        <f>[1]Results!I1497</f>
        <v>45.751619009999999</v>
      </c>
      <c r="G223" s="3">
        <f>[1]Results!J1497</f>
        <v>46.317941419999997</v>
      </c>
      <c r="H223" s="3">
        <f>[1]Results!K1497</f>
        <v>46.78169037</v>
      </c>
      <c r="I223" s="3">
        <f>[1]Results!L1497</f>
        <v>47.118670119999997</v>
      </c>
      <c r="J223" s="3">
        <f>[1]Results!M1497</f>
        <v>47.314832090000003</v>
      </c>
      <c r="K223" s="3">
        <f>[1]Results!N1497</f>
        <v>47.371253430000003</v>
      </c>
      <c r="L223" s="3">
        <f>[1]Results!O1497</f>
        <v>47.30228872</v>
      </c>
      <c r="M223" s="3">
        <f>[1]Results!P1497</f>
        <v>47.128974390000003</v>
      </c>
      <c r="N223" s="3">
        <f>[1]Results!Q1497</f>
        <v>46.873964110000003</v>
      </c>
      <c r="O223" s="3">
        <f>[1]Results!R1497</f>
        <v>46.549037859999999</v>
      </c>
      <c r="P223" s="3">
        <f>[1]Results!S1497</f>
        <v>46.147015160000002</v>
      </c>
      <c r="Q223" s="3">
        <f>[1]Results!T1497</f>
        <v>45.6874179</v>
      </c>
      <c r="R223" s="3">
        <f>[1]Results!U1497</f>
        <v>45.20019576</v>
      </c>
      <c r="S223" s="3">
        <f>[1]Results!V1497</f>
        <v>44.650636429999999</v>
      </c>
      <c r="T223" s="3">
        <f>[1]Results!W1497</f>
        <v>44.118053189999998</v>
      </c>
      <c r="U223" s="3">
        <f>[1]Results!X1497</f>
        <v>43.642198229999998</v>
      </c>
      <c r="V223" s="3">
        <f>[1]Results!Y1497</f>
        <v>43.235915849999998</v>
      </c>
      <c r="W223" s="3">
        <f>[1]Results!Z1497</f>
        <v>42.898535109999997</v>
      </c>
      <c r="X223" s="3">
        <f>[1]Results!AA1497</f>
        <v>42.623593560000003</v>
      </c>
      <c r="Y223" s="3">
        <f>[1]Results!AB1497</f>
        <v>42.404103300000003</v>
      </c>
      <c r="Z223" s="3">
        <f>[1]Results!AC1497</f>
        <v>42.233524469999999</v>
      </c>
      <c r="AA223" s="3">
        <f>[1]Results!AD1497</f>
        <v>42.105299979999998</v>
      </c>
      <c r="AB223" s="3">
        <f>[1]Results!AE1497</f>
        <v>42.013965949999999</v>
      </c>
      <c r="AC223" s="3">
        <f>[1]Results!AF1497</f>
        <v>41.955442789999999</v>
      </c>
      <c r="AD223" s="3">
        <f>[1]Results!AG1497</f>
        <v>41.927626779999997</v>
      </c>
      <c r="AE223" s="3">
        <f>[1]Results!AH1497</f>
        <v>41.928351290000002</v>
      </c>
      <c r="AF223" s="3">
        <f>[1]Results!AI1497</f>
        <v>41.952152499999997</v>
      </c>
      <c r="AG223" s="3">
        <f>[1]Results!AJ1497</f>
        <v>41.990649570000002</v>
      </c>
      <c r="AH223" s="3">
        <f>[1]Results!AK1497</f>
        <v>42.034954319999997</v>
      </c>
      <c r="AI223" s="3">
        <f>[1]Results!AL1497</f>
        <v>42.077334299999997</v>
      </c>
      <c r="AJ223" s="3">
        <f>[1]Results!AM1497</f>
        <v>42.111465019999997</v>
      </c>
      <c r="AK223" s="3">
        <f>[1]Results!AN1497</f>
        <v>42.132228140000002</v>
      </c>
      <c r="AL223" s="3">
        <f>[1]Results!AO1497</f>
        <v>42.13543439</v>
      </c>
    </row>
    <row r="224" spans="1:38" x14ac:dyDescent="0.35">
      <c r="B224" t="s">
        <v>10</v>
      </c>
      <c r="C224" s="6">
        <f>[1]Results!F1494</f>
        <v>21284.268169999999</v>
      </c>
      <c r="D224" s="3">
        <f>[1]Results!G1494</f>
        <v>21267.93188</v>
      </c>
      <c r="E224" s="3">
        <f>[1]Results!H1494</f>
        <v>21262.60843</v>
      </c>
      <c r="F224" s="3">
        <f>[1]Results!I1494</f>
        <v>21303.151290000002</v>
      </c>
      <c r="G224" s="3">
        <f>[1]Results!J1494</f>
        <v>21379.859339999999</v>
      </c>
      <c r="H224" s="3">
        <f>[1]Results!K1494</f>
        <v>21480.680530000001</v>
      </c>
      <c r="I224" s="3">
        <f>[1]Results!L1494</f>
        <v>21593.209419999999</v>
      </c>
      <c r="J224" s="3">
        <f>[1]Results!M1494</f>
        <v>21708.47795</v>
      </c>
      <c r="K224" s="3">
        <f>[1]Results!N1494</f>
        <v>21822.765009999999</v>
      </c>
      <c r="L224" s="3">
        <f>[1]Results!O1494</f>
        <v>21935.655890000002</v>
      </c>
      <c r="M224" s="3">
        <f>[1]Results!P1494</f>
        <v>22048.236089999999</v>
      </c>
      <c r="N224" s="3">
        <f>[1]Results!Q1494</f>
        <v>22161.653880000002</v>
      </c>
      <c r="O224" s="3">
        <f>[1]Results!R1494</f>
        <v>22273.924370000001</v>
      </c>
      <c r="P224" s="3">
        <f>[1]Results!S1494</f>
        <v>22377.615679999999</v>
      </c>
      <c r="Q224" s="3">
        <f>[1]Results!T1494</f>
        <v>22471.04882</v>
      </c>
      <c r="R224" s="3">
        <f>[1]Results!U1494</f>
        <v>22556.260590000002</v>
      </c>
      <c r="S224" s="3">
        <f>[1]Results!V1494</f>
        <v>22638.092390000002</v>
      </c>
      <c r="T224" s="3">
        <f>[1]Results!W1494</f>
        <v>22723.225989999999</v>
      </c>
      <c r="U224" s="3">
        <f>[1]Results!X1494</f>
        <v>22816.528890000001</v>
      </c>
      <c r="V224" s="3">
        <f>[1]Results!Y1494</f>
        <v>22920.415400000002</v>
      </c>
      <c r="W224" s="3">
        <f>[1]Results!Z1494</f>
        <v>23036.00345</v>
      </c>
      <c r="X224" s="3">
        <f>[1]Results!AA1494</f>
        <v>23163.744190000001</v>
      </c>
      <c r="Y224" s="3">
        <f>[1]Results!AB1494</f>
        <v>23304.459200000001</v>
      </c>
      <c r="Z224" s="3">
        <f>[1]Results!AC1494</f>
        <v>23458.803960000001</v>
      </c>
      <c r="AA224" s="3">
        <f>[1]Results!AD1494</f>
        <v>23626.557479999999</v>
      </c>
      <c r="AB224" s="3">
        <f>[1]Results!AE1494</f>
        <v>23807.174070000001</v>
      </c>
      <c r="AC224" s="3">
        <f>[1]Results!AF1494</f>
        <v>24000.161680000001</v>
      </c>
      <c r="AD224" s="3">
        <f>[1]Results!AG1494</f>
        <v>24205.781930000001</v>
      </c>
      <c r="AE224" s="3">
        <f>[1]Results!AH1494</f>
        <v>24423.90321</v>
      </c>
      <c r="AF224" s="3">
        <f>[1]Results!AI1494</f>
        <v>24652.307400000002</v>
      </c>
      <c r="AG224" s="3">
        <f>[1]Results!AJ1494</f>
        <v>24886.853070000001</v>
      </c>
      <c r="AH224" s="3">
        <f>[1]Results!AK1494</f>
        <v>25122.870989999999</v>
      </c>
      <c r="AI224" s="3">
        <f>[1]Results!AL1494</f>
        <v>25356.174180000002</v>
      </c>
      <c r="AJ224" s="3">
        <f>[1]Results!AM1494</f>
        <v>25583.22119</v>
      </c>
      <c r="AK224" s="3">
        <f>[1]Results!AN1494</f>
        <v>25801.035349999998</v>
      </c>
      <c r="AL224" s="3">
        <f>[1]Results!AO1494</f>
        <v>26007.09706</v>
      </c>
    </row>
    <row r="225" spans="1:38" x14ac:dyDescent="0.35">
      <c r="B225" t="s">
        <v>23</v>
      </c>
      <c r="C225" s="6">
        <f>[1]Results!F1489</f>
        <v>868.28542909999999</v>
      </c>
      <c r="D225" s="3">
        <f>[1]Results!G1489</f>
        <v>862.7582218</v>
      </c>
      <c r="E225" s="3">
        <f>[1]Results!H1489</f>
        <v>855.59783570000002</v>
      </c>
      <c r="F225" s="3">
        <f>[1]Results!I1489</f>
        <v>849.51524689999997</v>
      </c>
      <c r="G225" s="3">
        <f>[1]Results!J1489</f>
        <v>845.25468939999996</v>
      </c>
      <c r="H225" s="3">
        <f>[1]Results!K1489</f>
        <v>842.86226509999995</v>
      </c>
      <c r="I225" s="3">
        <f>[1]Results!L1489</f>
        <v>841.81488460000003</v>
      </c>
      <c r="J225" s="3">
        <f>[1]Results!M1489</f>
        <v>841.63029189999997</v>
      </c>
      <c r="K225" s="3">
        <f>[1]Results!N1489</f>
        <v>842.00276280000003</v>
      </c>
      <c r="L225" s="3">
        <f>[1]Results!O1489</f>
        <v>842.77315060000001</v>
      </c>
      <c r="M225" s="3">
        <f>[1]Results!P1489</f>
        <v>843.86937479999995</v>
      </c>
      <c r="N225" s="3">
        <f>[1]Results!Q1489</f>
        <v>845.23901360000002</v>
      </c>
      <c r="O225" s="3">
        <f>[1]Results!R1489</f>
        <v>846.64835110000001</v>
      </c>
      <c r="P225" s="3">
        <f>[1]Results!S1489</f>
        <v>847.55836620000002</v>
      </c>
      <c r="Q225" s="3">
        <f>[1]Results!T1489</f>
        <v>847.90380159999995</v>
      </c>
      <c r="R225" s="3">
        <f>[1]Results!U1489</f>
        <v>847.86602470000003</v>
      </c>
      <c r="S225" s="3">
        <f>[1]Results!V1489</f>
        <v>847.85964220000005</v>
      </c>
      <c r="T225" s="3">
        <f>[1]Results!W1489</f>
        <v>848.29476460000001</v>
      </c>
      <c r="U225" s="3">
        <f>[1]Results!X1489</f>
        <v>849.43476729999998</v>
      </c>
      <c r="V225" s="3">
        <f>[1]Results!Y1489</f>
        <v>851.38523710000004</v>
      </c>
      <c r="W225" s="3">
        <f>[1]Results!Z1489</f>
        <v>854.17804079999996</v>
      </c>
      <c r="X225" s="3">
        <f>[1]Results!AA1489</f>
        <v>857.80565669999999</v>
      </c>
      <c r="Y225" s="3">
        <f>[1]Results!AB1489</f>
        <v>862.28551010000001</v>
      </c>
      <c r="Z225" s="3">
        <f>[1]Results!AC1489</f>
        <v>867.62087259999998</v>
      </c>
      <c r="AA225" s="3">
        <f>[1]Results!AD1489</f>
        <v>873.76311599999997</v>
      </c>
      <c r="AB225" s="3">
        <f>[1]Results!AE1489</f>
        <v>880.65669730000002</v>
      </c>
      <c r="AC225" s="3">
        <f>[1]Results!AF1489</f>
        <v>888.25924540000005</v>
      </c>
      <c r="AD225" s="3">
        <f>[1]Results!AG1489</f>
        <v>896.57946400000003</v>
      </c>
      <c r="AE225" s="3">
        <f>[1]Results!AH1489</f>
        <v>905.59614859999999</v>
      </c>
      <c r="AF225" s="3">
        <f>[1]Results!AI1489</f>
        <v>915.14931019999995</v>
      </c>
      <c r="AG225" s="3">
        <f>[1]Results!AJ1489</f>
        <v>924.97054509999998</v>
      </c>
      <c r="AH225" s="3">
        <f>[1]Results!AK1489</f>
        <v>934.78237750000005</v>
      </c>
      <c r="AI225" s="3">
        <f>[1]Results!AL1489</f>
        <v>944.35630260000005</v>
      </c>
      <c r="AJ225" s="3">
        <f>[1]Results!AM1489</f>
        <v>953.51416810000001</v>
      </c>
      <c r="AK225" s="3">
        <f>[1]Results!AN1489</f>
        <v>962.11650090000001</v>
      </c>
      <c r="AL225" s="3">
        <f>[1]Results!AO1489</f>
        <v>970.05137990000003</v>
      </c>
    </row>
    <row r="227" spans="1:38" x14ac:dyDescent="0.35">
      <c r="A227" s="12" t="s">
        <v>60</v>
      </c>
      <c r="B227" t="s">
        <v>22</v>
      </c>
      <c r="C227" s="6">
        <f>C209-C218</f>
        <v>0</v>
      </c>
      <c r="D227" s="6">
        <f t="shared" ref="D227:AL227" si="40">D209-D218</f>
        <v>0</v>
      </c>
      <c r="E227" s="6">
        <f t="shared" si="40"/>
        <v>0</v>
      </c>
      <c r="F227" s="6">
        <f t="shared" si="40"/>
        <v>0</v>
      </c>
      <c r="G227" s="6">
        <f t="shared" si="40"/>
        <v>0</v>
      </c>
      <c r="H227" s="6">
        <f t="shared" si="40"/>
        <v>0</v>
      </c>
      <c r="I227" s="6">
        <f t="shared" si="40"/>
        <v>3.2202499999984866</v>
      </c>
      <c r="J227" s="6">
        <f t="shared" si="40"/>
        <v>-11.783290000003035</v>
      </c>
      <c r="K227" s="6">
        <f t="shared" si="40"/>
        <v>-36.254959999998391</v>
      </c>
      <c r="L227" s="6">
        <f t="shared" si="40"/>
        <v>-12.744399999999587</v>
      </c>
      <c r="M227" s="6">
        <f t="shared" si="40"/>
        <v>42.812799999999697</v>
      </c>
      <c r="N227" s="6">
        <f t="shared" si="40"/>
        <v>105.13487000000168</v>
      </c>
      <c r="O227" s="6">
        <f t="shared" si="40"/>
        <v>159.77608999999939</v>
      </c>
      <c r="P227" s="6">
        <f t="shared" si="40"/>
        <v>202.83523000000059</v>
      </c>
      <c r="Q227" s="6">
        <f t="shared" si="40"/>
        <v>237.40818999999829</v>
      </c>
      <c r="R227" s="6">
        <f t="shared" si="40"/>
        <v>266.49765000000116</v>
      </c>
      <c r="S227" s="6">
        <f t="shared" si="40"/>
        <v>289.79203000000052</v>
      </c>
      <c r="T227" s="6">
        <f t="shared" si="40"/>
        <v>305.45498999999836</v>
      </c>
      <c r="U227" s="6">
        <f t="shared" si="40"/>
        <v>312.76592000000164</v>
      </c>
      <c r="V227" s="6">
        <f t="shared" si="40"/>
        <v>312.65776999999798</v>
      </c>
      <c r="W227" s="6">
        <f t="shared" si="40"/>
        <v>306.93160999999964</v>
      </c>
      <c r="X227" s="6">
        <f t="shared" si="40"/>
        <v>297.5196999999971</v>
      </c>
      <c r="Y227" s="6">
        <f t="shared" si="40"/>
        <v>285.97667000000001</v>
      </c>
      <c r="Z227" s="6">
        <f t="shared" si="40"/>
        <v>273.31533000000127</v>
      </c>
      <c r="AA227" s="6">
        <f t="shared" si="40"/>
        <v>260.14607999999862</v>
      </c>
      <c r="AB227" s="6">
        <f t="shared" si="40"/>
        <v>246.78524000000107</v>
      </c>
      <c r="AC227" s="6">
        <f t="shared" si="40"/>
        <v>233.63753999999972</v>
      </c>
      <c r="AD227" s="6">
        <f t="shared" si="40"/>
        <v>221.24171999999817</v>
      </c>
      <c r="AE227" s="6">
        <f t="shared" si="40"/>
        <v>209.96158000000287</v>
      </c>
      <c r="AF227" s="6">
        <f t="shared" si="40"/>
        <v>200.20611999999892</v>
      </c>
      <c r="AG227" s="6">
        <f t="shared" si="40"/>
        <v>192.39374999999927</v>
      </c>
      <c r="AH227" s="6">
        <f t="shared" si="40"/>
        <v>186.96208000000115</v>
      </c>
      <c r="AI227" s="6">
        <f t="shared" si="40"/>
        <v>184.32912999999826</v>
      </c>
      <c r="AJ227" s="6">
        <f t="shared" si="40"/>
        <v>184.73209000000497</v>
      </c>
      <c r="AK227" s="6">
        <f t="shared" si="40"/>
        <v>188.3079099999959</v>
      </c>
      <c r="AL227" s="6">
        <f t="shared" si="40"/>
        <v>195.17154000000301</v>
      </c>
    </row>
    <row r="228" spans="1:38" x14ac:dyDescent="0.35">
      <c r="A228" t="s">
        <v>61</v>
      </c>
      <c r="B228" t="s">
        <v>7</v>
      </c>
      <c r="C228" s="6">
        <f t="shared" ref="C228:AL228" si="41">C210-C219</f>
        <v>0</v>
      </c>
      <c r="D228" s="6">
        <f t="shared" si="41"/>
        <v>0</v>
      </c>
      <c r="E228" s="6">
        <f t="shared" si="41"/>
        <v>0</v>
      </c>
      <c r="F228" s="6">
        <f t="shared" si="41"/>
        <v>0</v>
      </c>
      <c r="G228" s="6">
        <f t="shared" si="41"/>
        <v>0</v>
      </c>
      <c r="H228" s="6">
        <f t="shared" si="41"/>
        <v>0</v>
      </c>
      <c r="I228" s="6">
        <f t="shared" si="41"/>
        <v>8.0152900000030058E-2</v>
      </c>
      <c r="J228" s="6">
        <f t="shared" si="41"/>
        <v>-0.85891659999992953</v>
      </c>
      <c r="K228" s="6">
        <f t="shared" si="41"/>
        <v>-2.5706994000000805</v>
      </c>
      <c r="L228" s="6">
        <f t="shared" si="41"/>
        <v>-2.8675707999999531</v>
      </c>
      <c r="M228" s="6">
        <f t="shared" si="41"/>
        <v>-2.4238295999999764</v>
      </c>
      <c r="N228" s="6">
        <f t="shared" si="41"/>
        <v>-1.9792331999999533</v>
      </c>
      <c r="O228" s="6">
        <f t="shared" si="41"/>
        <v>-1.6502214000000777</v>
      </c>
      <c r="P228" s="6">
        <f t="shared" si="41"/>
        <v>-1.322625300000027</v>
      </c>
      <c r="Q228" s="6">
        <f t="shared" si="41"/>
        <v>-0.8482302999999547</v>
      </c>
      <c r="R228" s="6">
        <f t="shared" si="41"/>
        <v>-0.21491460000004281</v>
      </c>
      <c r="S228" s="6">
        <f t="shared" si="41"/>
        <v>0.53598099999999249</v>
      </c>
      <c r="T228" s="6">
        <f t="shared" si="41"/>
        <v>1.0947649999999385</v>
      </c>
      <c r="U228" s="6">
        <f t="shared" si="41"/>
        <v>1.2914550000000418</v>
      </c>
      <c r="V228" s="6">
        <f t="shared" si="41"/>
        <v>1.1113415000000941</v>
      </c>
      <c r="W228" s="6">
        <f t="shared" si="41"/>
        <v>0.62512010000000373</v>
      </c>
      <c r="X228" s="6">
        <f t="shared" si="41"/>
        <v>-7.1918099999948026E-2</v>
      </c>
      <c r="Y228" s="6">
        <f t="shared" si="41"/>
        <v>-0.89721299999996518</v>
      </c>
      <c r="Z228" s="6">
        <f t="shared" si="41"/>
        <v>-1.7909430999999358</v>
      </c>
      <c r="AA228" s="6">
        <f t="shared" si="41"/>
        <v>-2.7117325000000392</v>
      </c>
      <c r="AB228" s="6">
        <f t="shared" si="41"/>
        <v>-3.6336091999999098</v>
      </c>
      <c r="AC228" s="6">
        <f t="shared" si="41"/>
        <v>-4.6303524999999581</v>
      </c>
      <c r="AD228" s="6">
        <f t="shared" si="41"/>
        <v>-5.6511276999999609</v>
      </c>
      <c r="AE228" s="6">
        <f t="shared" si="41"/>
        <v>-6.6604029999999739</v>
      </c>
      <c r="AF228" s="6">
        <f t="shared" si="41"/>
        <v>-7.624994499999957</v>
      </c>
      <c r="AG228" s="6">
        <f t="shared" si="41"/>
        <v>-8.5127592999999706</v>
      </c>
      <c r="AH228" s="6">
        <f t="shared" si="41"/>
        <v>-9.2962814000001117</v>
      </c>
      <c r="AI228" s="6">
        <f t="shared" si="41"/>
        <v>-9.9563181999999415</v>
      </c>
      <c r="AJ228" s="6">
        <f t="shared" si="41"/>
        <v>-10.483983299999977</v>
      </c>
      <c r="AK228" s="6">
        <f t="shared" si="41"/>
        <v>-10.876402299999995</v>
      </c>
      <c r="AL228" s="6">
        <f t="shared" si="41"/>
        <v>-11.135245999999938</v>
      </c>
    </row>
    <row r="229" spans="1:38" x14ac:dyDescent="0.35">
      <c r="B229" t="s">
        <v>96</v>
      </c>
      <c r="C229" s="6">
        <f t="shared" ref="C229:AL229" si="42">C211-C220</f>
        <v>0</v>
      </c>
      <c r="D229" s="6">
        <f t="shared" si="42"/>
        <v>0</v>
      </c>
      <c r="E229" s="6">
        <f t="shared" si="42"/>
        <v>0</v>
      </c>
      <c r="F229" s="6">
        <f t="shared" si="42"/>
        <v>0</v>
      </c>
      <c r="G229" s="6">
        <f t="shared" si="42"/>
        <v>0</v>
      </c>
      <c r="H229" s="6">
        <f t="shared" si="42"/>
        <v>0</v>
      </c>
      <c r="I229" s="6">
        <f t="shared" si="42"/>
        <v>0.42619399999989582</v>
      </c>
      <c r="J229" s="6">
        <f t="shared" si="42"/>
        <v>-0.29982199999994918</v>
      </c>
      <c r="K229" s="6">
        <f t="shared" si="42"/>
        <v>0.26761400000009417</v>
      </c>
      <c r="L229" s="6">
        <f t="shared" si="42"/>
        <v>6.0685930000001918</v>
      </c>
      <c r="M229" s="6">
        <f t="shared" si="42"/>
        <v>17.101373000000194</v>
      </c>
      <c r="N229" s="6">
        <f t="shared" si="42"/>
        <v>30.157071999999971</v>
      </c>
      <c r="O229" s="6">
        <f t="shared" si="42"/>
        <v>40.590491000000156</v>
      </c>
      <c r="P229" s="6">
        <f t="shared" si="42"/>
        <v>46.789257000000134</v>
      </c>
      <c r="Q229" s="6">
        <f t="shared" si="42"/>
        <v>49.462278999999853</v>
      </c>
      <c r="R229" s="6">
        <f t="shared" si="42"/>
        <v>50.069725999999946</v>
      </c>
      <c r="S229" s="6">
        <f t="shared" si="42"/>
        <v>49.801257999999962</v>
      </c>
      <c r="T229" s="6">
        <f t="shared" si="42"/>
        <v>49.757552000000032</v>
      </c>
      <c r="U229" s="6">
        <f t="shared" si="42"/>
        <v>50.225132999999914</v>
      </c>
      <c r="V229" s="6">
        <f t="shared" si="42"/>
        <v>51.102636999999959</v>
      </c>
      <c r="W229" s="6">
        <f t="shared" si="42"/>
        <v>52.227564000000257</v>
      </c>
      <c r="X229" s="6">
        <f t="shared" si="42"/>
        <v>53.476514999999836</v>
      </c>
      <c r="Y229" s="6">
        <f t="shared" si="42"/>
        <v>54.784501999999975</v>
      </c>
      <c r="Z229" s="6">
        <f t="shared" si="42"/>
        <v>56.150294000000031</v>
      </c>
      <c r="AA229" s="6">
        <f t="shared" si="42"/>
        <v>57.605151999999634</v>
      </c>
      <c r="AB229" s="6">
        <f t="shared" si="42"/>
        <v>59.179324000000179</v>
      </c>
      <c r="AC229" s="6">
        <f t="shared" si="42"/>
        <v>60.84354600000006</v>
      </c>
      <c r="AD229" s="6">
        <f t="shared" si="42"/>
        <v>62.495900999999776</v>
      </c>
      <c r="AE229" s="6">
        <f t="shared" si="42"/>
        <v>64.08453499999996</v>
      </c>
      <c r="AF229" s="6">
        <f t="shared" si="42"/>
        <v>65.613190999999915</v>
      </c>
      <c r="AG229" s="6">
        <f t="shared" si="42"/>
        <v>67.10666399999991</v>
      </c>
      <c r="AH229" s="6">
        <f t="shared" si="42"/>
        <v>68.560089999999946</v>
      </c>
      <c r="AI229" s="6">
        <f t="shared" si="42"/>
        <v>69.936306000000059</v>
      </c>
      <c r="AJ229" s="6">
        <f t="shared" si="42"/>
        <v>71.216879999999946</v>
      </c>
      <c r="AK229" s="6">
        <f t="shared" si="42"/>
        <v>72.416797000000315</v>
      </c>
      <c r="AL229" s="6">
        <f t="shared" si="42"/>
        <v>73.587007000000085</v>
      </c>
    </row>
    <row r="230" spans="1:38" x14ac:dyDescent="0.35">
      <c r="B230" t="s">
        <v>11</v>
      </c>
      <c r="C230" s="6">
        <f t="shared" ref="C230:AL230" si="43">C212-C221</f>
        <v>0</v>
      </c>
      <c r="D230" s="6">
        <f t="shared" si="43"/>
        <v>0</v>
      </c>
      <c r="E230" s="6">
        <f t="shared" si="43"/>
        <v>0</v>
      </c>
      <c r="F230" s="6">
        <f t="shared" si="43"/>
        <v>0</v>
      </c>
      <c r="G230" s="6">
        <f t="shared" si="43"/>
        <v>0</v>
      </c>
      <c r="H230" s="6">
        <f t="shared" si="43"/>
        <v>0</v>
      </c>
      <c r="I230" s="6">
        <f t="shared" si="43"/>
        <v>-1.6339070000000788E-2</v>
      </c>
      <c r="J230" s="6">
        <f t="shared" si="43"/>
        <v>0.16729617000000019</v>
      </c>
      <c r="K230" s="6">
        <f t="shared" si="43"/>
        <v>0.54215283999999997</v>
      </c>
      <c r="L230" s="6">
        <f t="shared" si="43"/>
        <v>1.2648884099999975</v>
      </c>
      <c r="M230" s="6">
        <f t="shared" si="43"/>
        <v>2.2006736700000005</v>
      </c>
      <c r="N230" s="6">
        <f t="shared" si="43"/>
        <v>3.140465540000001</v>
      </c>
      <c r="O230" s="6">
        <f t="shared" si="43"/>
        <v>3.9680997100000042</v>
      </c>
      <c r="P230" s="6">
        <f t="shared" si="43"/>
        <v>4.6393328599999961</v>
      </c>
      <c r="Q230" s="6">
        <f t="shared" si="43"/>
        <v>5.170541870000001</v>
      </c>
      <c r="R230" s="6">
        <f t="shared" si="43"/>
        <v>5.595780849999997</v>
      </c>
      <c r="S230" s="6">
        <f t="shared" si="43"/>
        <v>5.9113371800000039</v>
      </c>
      <c r="T230" s="6">
        <f t="shared" si="43"/>
        <v>6.1671727099999885</v>
      </c>
      <c r="U230" s="6">
        <f t="shared" si="43"/>
        <v>6.3864212900000012</v>
      </c>
      <c r="V230" s="6">
        <f t="shared" si="43"/>
        <v>6.5832676999999933</v>
      </c>
      <c r="W230" s="6">
        <f t="shared" si="43"/>
        <v>6.7692457699999977</v>
      </c>
      <c r="X230" s="6">
        <f t="shared" si="43"/>
        <v>6.9558223399999974</v>
      </c>
      <c r="Y230" s="6">
        <f t="shared" si="43"/>
        <v>7.1527593899999999</v>
      </c>
      <c r="Z230" s="6">
        <f t="shared" si="43"/>
        <v>7.3641491299999871</v>
      </c>
      <c r="AA230" s="6">
        <f t="shared" si="43"/>
        <v>7.5893591800000024</v>
      </c>
      <c r="AB230" s="6">
        <f t="shared" si="43"/>
        <v>7.8254308500000036</v>
      </c>
      <c r="AC230" s="6">
        <f t="shared" si="43"/>
        <v>8.0967175700000098</v>
      </c>
      <c r="AD230" s="6">
        <f t="shared" si="43"/>
        <v>8.4049061900000055</v>
      </c>
      <c r="AE230" s="6">
        <f t="shared" si="43"/>
        <v>8.7479349999999982</v>
      </c>
      <c r="AF230" s="6">
        <f t="shared" si="43"/>
        <v>9.1192661199999918</v>
      </c>
      <c r="AG230" s="6">
        <f t="shared" si="43"/>
        <v>9.5103591299999977</v>
      </c>
      <c r="AH230" s="6">
        <f t="shared" si="43"/>
        <v>9.9166883500000012</v>
      </c>
      <c r="AI230" s="6">
        <f t="shared" si="43"/>
        <v>10.338346909999999</v>
      </c>
      <c r="AJ230" s="6">
        <f t="shared" si="43"/>
        <v>10.773338710000004</v>
      </c>
      <c r="AK230" s="6">
        <f t="shared" si="43"/>
        <v>11.216755710000001</v>
      </c>
      <c r="AL230" s="6">
        <f t="shared" si="43"/>
        <v>11.660293510000002</v>
      </c>
    </row>
    <row r="231" spans="1:38" x14ac:dyDescent="0.35">
      <c r="B231" t="s">
        <v>8</v>
      </c>
      <c r="C231" s="6">
        <f t="shared" ref="C231:AL231" si="44">C213-C222</f>
        <v>0</v>
      </c>
      <c r="D231" s="6">
        <f t="shared" si="44"/>
        <v>0</v>
      </c>
      <c r="E231" s="6">
        <f t="shared" si="44"/>
        <v>0</v>
      </c>
      <c r="F231" s="6">
        <f t="shared" si="44"/>
        <v>0</v>
      </c>
      <c r="G231" s="6">
        <f t="shared" si="44"/>
        <v>0</v>
      </c>
      <c r="H231" s="6">
        <f t="shared" si="44"/>
        <v>0</v>
      </c>
      <c r="I231" s="6">
        <f t="shared" si="44"/>
        <v>0.46788800000058473</v>
      </c>
      <c r="J231" s="6">
        <f t="shared" si="44"/>
        <v>-5.4680660000003627</v>
      </c>
      <c r="K231" s="6">
        <f t="shared" si="44"/>
        <v>-13.336895999999797</v>
      </c>
      <c r="L231" s="6">
        <f t="shared" si="44"/>
        <v>-10.676840999999513</v>
      </c>
      <c r="M231" s="6">
        <f t="shared" si="44"/>
        <v>-2.2308669999997619</v>
      </c>
      <c r="N231" s="6">
        <f t="shared" si="44"/>
        <v>7.3728000000000975</v>
      </c>
      <c r="O231" s="6">
        <f t="shared" si="44"/>
        <v>15.07860699999992</v>
      </c>
      <c r="P231" s="6">
        <f t="shared" si="44"/>
        <v>20.164014000000407</v>
      </c>
      <c r="Q231" s="6">
        <f t="shared" si="44"/>
        <v>23.438041000000794</v>
      </c>
      <c r="R231" s="6">
        <f t="shared" si="44"/>
        <v>25.624664000000848</v>
      </c>
      <c r="S231" s="6">
        <f t="shared" si="44"/>
        <v>26.617987999999514</v>
      </c>
      <c r="T231" s="6">
        <f t="shared" si="44"/>
        <v>26.50462299999981</v>
      </c>
      <c r="U231" s="6">
        <f t="shared" si="44"/>
        <v>25.406611000000339</v>
      </c>
      <c r="V231" s="6">
        <f t="shared" si="44"/>
        <v>23.489426000000094</v>
      </c>
      <c r="W231" s="6">
        <f t="shared" si="44"/>
        <v>20.935087999999723</v>
      </c>
      <c r="X231" s="6">
        <f t="shared" si="44"/>
        <v>17.960209000000305</v>
      </c>
      <c r="Y231" s="6">
        <f t="shared" si="44"/>
        <v>14.748528999999962</v>
      </c>
      <c r="Z231" s="6">
        <f t="shared" si="44"/>
        <v>11.369802999999592</v>
      </c>
      <c r="AA231" s="6">
        <f t="shared" si="44"/>
        <v>7.8249420000006467</v>
      </c>
      <c r="AB231" s="6">
        <f t="shared" si="44"/>
        <v>4.0841009999999187</v>
      </c>
      <c r="AC231" s="6">
        <f t="shared" si="44"/>
        <v>0.11496900000020105</v>
      </c>
      <c r="AD231" s="6">
        <f t="shared" si="44"/>
        <v>-3.6956469999990986</v>
      </c>
      <c r="AE231" s="6">
        <f t="shared" si="44"/>
        <v>-7.1735730000000331</v>
      </c>
      <c r="AF231" s="6">
        <f t="shared" si="44"/>
        <v>-10.260991999999987</v>
      </c>
      <c r="AG231" s="6">
        <f t="shared" si="44"/>
        <v>-12.943826000000627</v>
      </c>
      <c r="AH231" s="6">
        <f t="shared" si="44"/>
        <v>-15.138521999999284</v>
      </c>
      <c r="AI231" s="6">
        <f t="shared" si="44"/>
        <v>-16.694474999999784</v>
      </c>
      <c r="AJ231" s="6">
        <f t="shared" si="44"/>
        <v>-17.539158999999927</v>
      </c>
      <c r="AK231" s="6">
        <f t="shared" si="44"/>
        <v>-17.660171000000901</v>
      </c>
      <c r="AL231" s="6">
        <f t="shared" si="44"/>
        <v>-17.054759999999987</v>
      </c>
    </row>
    <row r="232" spans="1:38" x14ac:dyDescent="0.35">
      <c r="B232" t="s">
        <v>24</v>
      </c>
      <c r="C232" s="6">
        <f t="shared" ref="C232:AL232" si="45">C214-C223</f>
        <v>0</v>
      </c>
      <c r="D232" s="6">
        <f t="shared" si="45"/>
        <v>0</v>
      </c>
      <c r="E232" s="6">
        <f t="shared" si="45"/>
        <v>0</v>
      </c>
      <c r="F232" s="6">
        <f t="shared" si="45"/>
        <v>0</v>
      </c>
      <c r="G232" s="6">
        <f t="shared" si="45"/>
        <v>0</v>
      </c>
      <c r="H232" s="6">
        <f t="shared" si="45"/>
        <v>0</v>
      </c>
      <c r="I232" s="6">
        <f t="shared" si="45"/>
        <v>4.2655549999999209E-2</v>
      </c>
      <c r="J232" s="6">
        <f t="shared" si="45"/>
        <v>0.54621662999999643</v>
      </c>
      <c r="K232" s="6">
        <f t="shared" si="45"/>
        <v>1.2608389399999993</v>
      </c>
      <c r="L232" s="6">
        <f t="shared" si="45"/>
        <v>2.1279464500000032</v>
      </c>
      <c r="M232" s="6">
        <f t="shared" si="45"/>
        <v>3.012212439999999</v>
      </c>
      <c r="N232" s="6">
        <f t="shared" si="45"/>
        <v>3.8507379699999973</v>
      </c>
      <c r="O232" s="6">
        <f t="shared" si="45"/>
        <v>4.5976174800000038</v>
      </c>
      <c r="P232" s="6">
        <f t="shared" si="45"/>
        <v>5.2490601000000012</v>
      </c>
      <c r="Q232" s="6">
        <f t="shared" si="45"/>
        <v>5.8105910800000018</v>
      </c>
      <c r="R232" s="6">
        <f t="shared" si="45"/>
        <v>6.2890754200000032</v>
      </c>
      <c r="S232" s="6">
        <f t="shared" si="45"/>
        <v>6.8122917000000029</v>
      </c>
      <c r="T232" s="6">
        <f t="shared" si="45"/>
        <v>7.2947426100000001</v>
      </c>
      <c r="U232" s="6">
        <f t="shared" si="45"/>
        <v>7.70457021</v>
      </c>
      <c r="V232" s="6">
        <f t="shared" si="45"/>
        <v>8.0404558500000007</v>
      </c>
      <c r="W232" s="6">
        <f t="shared" si="45"/>
        <v>8.3146157500000015</v>
      </c>
      <c r="X232" s="6">
        <f t="shared" si="45"/>
        <v>8.5440244799999974</v>
      </c>
      <c r="Y232" s="6">
        <f t="shared" si="45"/>
        <v>8.7453096200000005</v>
      </c>
      <c r="Z232" s="6">
        <f t="shared" si="45"/>
        <v>8.9310052599999992</v>
      </c>
      <c r="AA232" s="6">
        <f t="shared" si="45"/>
        <v>9.1108688200000003</v>
      </c>
      <c r="AB232" s="6">
        <f t="shared" si="45"/>
        <v>9.2928370300000012</v>
      </c>
      <c r="AC232" s="6">
        <f t="shared" si="45"/>
        <v>9.4888732900000008</v>
      </c>
      <c r="AD232" s="6">
        <f t="shared" si="45"/>
        <v>9.7083566400000052</v>
      </c>
      <c r="AE232" s="6">
        <f t="shared" si="45"/>
        <v>9.9588552799999945</v>
      </c>
      <c r="AF232" s="6">
        <f t="shared" si="45"/>
        <v>10.245893090000003</v>
      </c>
      <c r="AG232" s="6">
        <f t="shared" si="45"/>
        <v>10.574035279999997</v>
      </c>
      <c r="AH232" s="6">
        <f t="shared" si="45"/>
        <v>10.949310350000005</v>
      </c>
      <c r="AI232" s="6">
        <f t="shared" si="45"/>
        <v>11.38007494</v>
      </c>
      <c r="AJ232" s="6">
        <f t="shared" si="45"/>
        <v>11.87527876</v>
      </c>
      <c r="AK232" s="6">
        <f t="shared" si="45"/>
        <v>12.442923649999997</v>
      </c>
      <c r="AL232" s="6">
        <f t="shared" si="45"/>
        <v>13.079627359999996</v>
      </c>
    </row>
    <row r="233" spans="1:38" x14ac:dyDescent="0.35">
      <c r="B233" t="s">
        <v>10</v>
      </c>
      <c r="C233" s="6">
        <f t="shared" ref="C233:AL233" si="46">C215-C224</f>
        <v>0</v>
      </c>
      <c r="D233" s="6">
        <f t="shared" si="46"/>
        <v>0</v>
      </c>
      <c r="E233" s="6">
        <f t="shared" si="46"/>
        <v>0</v>
      </c>
      <c r="F233" s="6">
        <f t="shared" si="46"/>
        <v>0</v>
      </c>
      <c r="G233" s="6">
        <f t="shared" si="46"/>
        <v>0</v>
      </c>
      <c r="H233" s="6">
        <f t="shared" si="46"/>
        <v>0</v>
      </c>
      <c r="I233" s="6">
        <f t="shared" si="46"/>
        <v>2.0254899999999907</v>
      </c>
      <c r="J233" s="6">
        <f t="shared" si="46"/>
        <v>-4.562259999998787</v>
      </c>
      <c r="K233" s="6">
        <f t="shared" si="46"/>
        <v>-18.667229999999108</v>
      </c>
      <c r="L233" s="6">
        <f t="shared" si="46"/>
        <v>-4.25257000000056</v>
      </c>
      <c r="M233" s="6">
        <f t="shared" si="46"/>
        <v>29.131100000002334</v>
      </c>
      <c r="N233" s="6">
        <f t="shared" si="46"/>
        <v>65.717679999997927</v>
      </c>
      <c r="O233" s="6">
        <f t="shared" si="46"/>
        <v>99.478699999999662</v>
      </c>
      <c r="P233" s="6">
        <f t="shared" si="46"/>
        <v>128.90315000000192</v>
      </c>
      <c r="Q233" s="6">
        <f t="shared" si="46"/>
        <v>155.30995999999868</v>
      </c>
      <c r="R233" s="6">
        <f t="shared" si="46"/>
        <v>179.4197099999983</v>
      </c>
      <c r="S233" s="6">
        <f t="shared" si="46"/>
        <v>199.92615999999907</v>
      </c>
      <c r="T233" s="6">
        <f t="shared" si="46"/>
        <v>214.31510999999955</v>
      </c>
      <c r="U233" s="6">
        <f t="shared" si="46"/>
        <v>221.66468999999779</v>
      </c>
      <c r="V233" s="6">
        <f t="shared" si="46"/>
        <v>222.78002999999808</v>
      </c>
      <c r="W233" s="6">
        <f t="shared" si="46"/>
        <v>219.24438999999984</v>
      </c>
      <c r="X233" s="6">
        <f t="shared" si="46"/>
        <v>212.66129999999976</v>
      </c>
      <c r="Y233" s="6">
        <f t="shared" si="46"/>
        <v>204.26436999999714</v>
      </c>
      <c r="Z233" s="6">
        <f t="shared" si="46"/>
        <v>194.86462000000029</v>
      </c>
      <c r="AA233" s="6">
        <f t="shared" si="46"/>
        <v>184.95969999999943</v>
      </c>
      <c r="AB233" s="6">
        <f t="shared" si="46"/>
        <v>174.82069000000047</v>
      </c>
      <c r="AC233" s="6">
        <f t="shared" si="46"/>
        <v>164.90503999999783</v>
      </c>
      <c r="AD233" s="6">
        <f t="shared" si="46"/>
        <v>155.33914000000004</v>
      </c>
      <c r="AE233" s="6">
        <f t="shared" si="46"/>
        <v>146.2864699999991</v>
      </c>
      <c r="AF233" s="6">
        <f t="shared" si="46"/>
        <v>138.04252999999881</v>
      </c>
      <c r="AG233" s="6">
        <f t="shared" si="46"/>
        <v>130.94679999999789</v>
      </c>
      <c r="AH233" s="6">
        <f t="shared" si="46"/>
        <v>125.30538000000161</v>
      </c>
      <c r="AI233" s="6">
        <f t="shared" si="46"/>
        <v>121.35821999999825</v>
      </c>
      <c r="AJ233" s="6">
        <f t="shared" si="46"/>
        <v>119.24880000000121</v>
      </c>
      <c r="AK233" s="6">
        <f t="shared" si="46"/>
        <v>119.06880000000092</v>
      </c>
      <c r="AL233" s="6">
        <f t="shared" si="46"/>
        <v>120.88740999999936</v>
      </c>
    </row>
    <row r="234" spans="1:38" x14ac:dyDescent="0.35">
      <c r="B234" t="s">
        <v>23</v>
      </c>
      <c r="C234" s="6">
        <f t="shared" ref="C234:AL234" si="47">C216-C225</f>
        <v>0</v>
      </c>
      <c r="D234" s="6">
        <f t="shared" si="47"/>
        <v>0</v>
      </c>
      <c r="E234" s="6">
        <f t="shared" si="47"/>
        <v>0</v>
      </c>
      <c r="F234" s="6">
        <f t="shared" si="47"/>
        <v>0</v>
      </c>
      <c r="G234" s="6">
        <f t="shared" si="47"/>
        <v>0</v>
      </c>
      <c r="H234" s="6">
        <f t="shared" si="47"/>
        <v>0</v>
      </c>
      <c r="I234" s="6">
        <f t="shared" si="47"/>
        <v>0.19421260000001439</v>
      </c>
      <c r="J234" s="6">
        <f t="shared" si="47"/>
        <v>-1.3077420999999276</v>
      </c>
      <c r="K234" s="6">
        <f t="shared" si="47"/>
        <v>-3.7507331000000477</v>
      </c>
      <c r="L234" s="6">
        <f t="shared" si="47"/>
        <v>-4.4088536000000431</v>
      </c>
      <c r="M234" s="6">
        <f t="shared" si="47"/>
        <v>-3.9778612999999723</v>
      </c>
      <c r="N234" s="6">
        <f t="shared" si="47"/>
        <v>-3.1246522000000141</v>
      </c>
      <c r="O234" s="6">
        <f t="shared" si="47"/>
        <v>-2.2872003999999606</v>
      </c>
      <c r="P234" s="6">
        <f t="shared" si="47"/>
        <v>-1.5869617000000744</v>
      </c>
      <c r="Q234" s="6">
        <f t="shared" si="47"/>
        <v>-0.9349873999999545</v>
      </c>
      <c r="R234" s="6">
        <f t="shared" si="47"/>
        <v>-0.28639370000007602</v>
      </c>
      <c r="S234" s="6">
        <f t="shared" si="47"/>
        <v>0.18701159999989159</v>
      </c>
      <c r="T234" s="6">
        <f t="shared" si="47"/>
        <v>0.32103029999996124</v>
      </c>
      <c r="U234" s="6">
        <f t="shared" si="47"/>
        <v>8.7034799999969437E-2</v>
      </c>
      <c r="V234" s="6">
        <f t="shared" si="47"/>
        <v>-0.44938810000007834</v>
      </c>
      <c r="W234" s="6">
        <f t="shared" si="47"/>
        <v>-1.1844142999999576</v>
      </c>
      <c r="X234" s="6">
        <f t="shared" si="47"/>
        <v>-2.0062517000000071</v>
      </c>
      <c r="Y234" s="6">
        <f t="shared" si="47"/>
        <v>-2.8215896000000384</v>
      </c>
      <c r="Z234" s="6">
        <f t="shared" si="47"/>
        <v>-3.5736131999999543</v>
      </c>
      <c r="AA234" s="6">
        <f t="shared" si="47"/>
        <v>-4.2322202999999945</v>
      </c>
      <c r="AB234" s="6">
        <f t="shared" si="47"/>
        <v>-4.7835270000000492</v>
      </c>
      <c r="AC234" s="6">
        <f t="shared" si="47"/>
        <v>-5.1812500000000909</v>
      </c>
      <c r="AD234" s="6">
        <f t="shared" si="47"/>
        <v>-5.3598107999999911</v>
      </c>
      <c r="AE234" s="6">
        <f t="shared" si="47"/>
        <v>-5.2822403000000122</v>
      </c>
      <c r="AF234" s="6">
        <f t="shared" si="47"/>
        <v>-4.9287758999998914</v>
      </c>
      <c r="AG234" s="6">
        <f t="shared" si="47"/>
        <v>-4.2875230999999303</v>
      </c>
      <c r="AH234" s="6">
        <f t="shared" si="47"/>
        <v>-3.3345836000000872</v>
      </c>
      <c r="AI234" s="6">
        <f t="shared" si="47"/>
        <v>-2.0330347999999958</v>
      </c>
      <c r="AJ234" s="6">
        <f t="shared" si="47"/>
        <v>-0.35906230000000505</v>
      </c>
      <c r="AK234" s="6">
        <f t="shared" si="47"/>
        <v>1.6992046999999957</v>
      </c>
      <c r="AL234" s="6">
        <f t="shared" si="47"/>
        <v>4.1472049999999854</v>
      </c>
    </row>
    <row r="236" spans="1:38" x14ac:dyDescent="0.35">
      <c r="A236" s="12" t="s">
        <v>60</v>
      </c>
      <c r="B236" t="s">
        <v>13</v>
      </c>
      <c r="C236" s="7" t="s">
        <v>14</v>
      </c>
      <c r="D236" s="7" t="s">
        <v>15</v>
      </c>
      <c r="E236" s="7" t="s">
        <v>16</v>
      </c>
    </row>
    <row r="237" spans="1:38" x14ac:dyDescent="0.35">
      <c r="A237" t="s">
        <v>61</v>
      </c>
      <c r="B237" t="s">
        <v>22</v>
      </c>
      <c r="C237" s="6">
        <f>R227</f>
        <v>266.49765000000116</v>
      </c>
      <c r="D237" s="6">
        <f>AB227</f>
        <v>246.78524000000107</v>
      </c>
      <c r="E237" s="6">
        <f>AL227</f>
        <v>195.17154000000301</v>
      </c>
    </row>
    <row r="238" spans="1:38" x14ac:dyDescent="0.35">
      <c r="B238" t="s">
        <v>7</v>
      </c>
      <c r="C238" s="6">
        <f t="shared" ref="C238:C244" si="48">R228</f>
        <v>-0.21491460000004281</v>
      </c>
      <c r="D238" s="6">
        <f t="shared" ref="D238:D244" si="49">AB228</f>
        <v>-3.6336091999999098</v>
      </c>
      <c r="E238" s="6">
        <f t="shared" ref="E238:E244" si="50">AL228</f>
        <v>-11.135245999999938</v>
      </c>
    </row>
    <row r="239" spans="1:38" x14ac:dyDescent="0.35">
      <c r="B239" t="s">
        <v>96</v>
      </c>
      <c r="C239" s="6">
        <f t="shared" si="48"/>
        <v>50.069725999999946</v>
      </c>
      <c r="D239" s="6">
        <f t="shared" si="49"/>
        <v>59.179324000000179</v>
      </c>
      <c r="E239" s="6">
        <f t="shared" si="50"/>
        <v>73.587007000000085</v>
      </c>
    </row>
    <row r="240" spans="1:38" x14ac:dyDescent="0.35">
      <c r="B240" t="s">
        <v>11</v>
      </c>
      <c r="C240" s="6">
        <f t="shared" si="48"/>
        <v>5.595780849999997</v>
      </c>
      <c r="D240" s="6">
        <f t="shared" si="49"/>
        <v>7.8254308500000036</v>
      </c>
      <c r="E240" s="6">
        <f t="shared" si="50"/>
        <v>11.660293510000002</v>
      </c>
    </row>
    <row r="241" spans="1:38" x14ac:dyDescent="0.35">
      <c r="B241" t="s">
        <v>8</v>
      </c>
      <c r="C241" s="6">
        <f t="shared" si="48"/>
        <v>25.624664000000848</v>
      </c>
      <c r="D241" s="6">
        <f t="shared" si="49"/>
        <v>4.0841009999999187</v>
      </c>
      <c r="E241" s="6">
        <f t="shared" si="50"/>
        <v>-17.054759999999987</v>
      </c>
    </row>
    <row r="242" spans="1:38" x14ac:dyDescent="0.35">
      <c r="B242" t="s">
        <v>24</v>
      </c>
      <c r="C242" s="6">
        <f t="shared" si="48"/>
        <v>6.2890754200000032</v>
      </c>
      <c r="D242" s="6">
        <f t="shared" si="49"/>
        <v>9.2928370300000012</v>
      </c>
      <c r="E242" s="6">
        <f t="shared" si="50"/>
        <v>13.079627359999996</v>
      </c>
    </row>
    <row r="243" spans="1:38" x14ac:dyDescent="0.35">
      <c r="B243" t="s">
        <v>10</v>
      </c>
      <c r="C243" s="6">
        <f t="shared" si="48"/>
        <v>179.4197099999983</v>
      </c>
      <c r="D243" s="6">
        <f t="shared" si="49"/>
        <v>174.82069000000047</v>
      </c>
      <c r="E243" s="6">
        <f t="shared" si="50"/>
        <v>120.88740999999936</v>
      </c>
    </row>
    <row r="244" spans="1:38" x14ac:dyDescent="0.35">
      <c r="B244" t="s">
        <v>23</v>
      </c>
      <c r="C244" s="6">
        <f t="shared" si="48"/>
        <v>-0.28639370000007602</v>
      </c>
      <c r="D244" s="6">
        <f t="shared" si="49"/>
        <v>-4.7835270000000492</v>
      </c>
      <c r="E244" s="6">
        <f t="shared" si="50"/>
        <v>4.1472049999999854</v>
      </c>
    </row>
    <row r="246" spans="1:38" x14ac:dyDescent="0.35">
      <c r="A246" s="12" t="s">
        <v>31</v>
      </c>
      <c r="B246" t="s">
        <v>21</v>
      </c>
      <c r="C246" s="6">
        <f t="shared" ref="C246:AL246" si="51">C247+C248+C250+C249</f>
        <v>76.452758325000005</v>
      </c>
      <c r="D246" s="6">
        <f t="shared" si="51"/>
        <v>76.971044902000003</v>
      </c>
      <c r="E246" s="6">
        <f t="shared" si="51"/>
        <v>77.551422387999992</v>
      </c>
      <c r="F246" s="6">
        <f t="shared" si="51"/>
        <v>78.060468245999999</v>
      </c>
      <c r="G246" s="6">
        <f t="shared" si="51"/>
        <v>78.718672768999994</v>
      </c>
      <c r="H246" s="6">
        <f t="shared" si="51"/>
        <v>79.551748582000016</v>
      </c>
      <c r="I246" s="6">
        <f t="shared" si="51"/>
        <v>80.545294833</v>
      </c>
      <c r="J246" s="6">
        <f t="shared" si="51"/>
        <v>80.617180918000003</v>
      </c>
      <c r="K246" s="6">
        <f t="shared" si="51"/>
        <v>80.409631595000008</v>
      </c>
      <c r="L246" s="6">
        <f t="shared" si="51"/>
        <v>80.446717680000006</v>
      </c>
      <c r="M246" s="6">
        <f t="shared" si="51"/>
        <v>80.515805725000007</v>
      </c>
      <c r="N246" s="6">
        <f t="shared" si="51"/>
        <v>80.734981268000013</v>
      </c>
      <c r="O246" s="6">
        <f t="shared" si="51"/>
        <v>81.034869207</v>
      </c>
      <c r="P246" s="6">
        <f t="shared" si="51"/>
        <v>81.346831233999993</v>
      </c>
      <c r="Q246" s="6">
        <f t="shared" si="51"/>
        <v>81.71605442500001</v>
      </c>
      <c r="R246" s="6">
        <f t="shared" si="51"/>
        <v>82.175917341000002</v>
      </c>
      <c r="S246" s="6">
        <f t="shared" si="51"/>
        <v>82.688951341999996</v>
      </c>
      <c r="T246" s="6">
        <f t="shared" si="51"/>
        <v>83.274545156999991</v>
      </c>
      <c r="U246" s="6">
        <f t="shared" si="51"/>
        <v>83.96688076800001</v>
      </c>
      <c r="V246" s="6">
        <f t="shared" si="51"/>
        <v>84.787939233000003</v>
      </c>
      <c r="W246" s="6">
        <f t="shared" si="51"/>
        <v>85.757359980000004</v>
      </c>
      <c r="X246" s="6">
        <f t="shared" si="51"/>
        <v>86.893160647000002</v>
      </c>
      <c r="Y246" s="6">
        <f t="shared" si="51"/>
        <v>88.216099870999997</v>
      </c>
      <c r="Z246" s="6">
        <f t="shared" si="51"/>
        <v>89.73530992100001</v>
      </c>
      <c r="AA246" s="6">
        <f t="shared" si="51"/>
        <v>91.450635367000004</v>
      </c>
      <c r="AB246" s="6">
        <f t="shared" si="51"/>
        <v>93.363628406000004</v>
      </c>
      <c r="AC246" s="6">
        <f t="shared" si="51"/>
        <v>95.478466897000004</v>
      </c>
      <c r="AD246" s="6">
        <f t="shared" si="51"/>
        <v>97.833369086999994</v>
      </c>
      <c r="AE246" s="6">
        <f t="shared" si="51"/>
        <v>100.431220446</v>
      </c>
      <c r="AF246" s="6">
        <f t="shared" si="51"/>
        <v>103.24569514499998</v>
      </c>
      <c r="AG246" s="6">
        <f t="shared" si="51"/>
        <v>106.241733598</v>
      </c>
      <c r="AH246" s="6">
        <f t="shared" si="51"/>
        <v>109.39840121</v>
      </c>
      <c r="AI246" s="6">
        <f t="shared" si="51"/>
        <v>112.70790718400001</v>
      </c>
      <c r="AJ246" s="6">
        <f t="shared" si="51"/>
        <v>116.16068570199999</v>
      </c>
      <c r="AK246" s="6">
        <f t="shared" si="51"/>
        <v>119.747698297</v>
      </c>
      <c r="AL246" s="6">
        <f t="shared" si="51"/>
        <v>123.45756363000001</v>
      </c>
    </row>
    <row r="247" spans="1:38" x14ac:dyDescent="0.35">
      <c r="A247" t="s">
        <v>27</v>
      </c>
      <c r="B247" t="s">
        <v>7</v>
      </c>
      <c r="C247" s="6">
        <f>[1]Results!F378</f>
        <v>4.8842363229999997</v>
      </c>
      <c r="D247" s="6">
        <f>[1]Results!G378</f>
        <v>4.797837039</v>
      </c>
      <c r="E247" s="6">
        <f>[1]Results!H378</f>
        <v>4.7196815519999999</v>
      </c>
      <c r="F247" s="6">
        <f>[1]Results!I378</f>
        <v>4.6650432860000004</v>
      </c>
      <c r="G247" s="6">
        <f>[1]Results!J378</f>
        <v>4.6487243720000002</v>
      </c>
      <c r="H247" s="6">
        <f>[1]Results!K378</f>
        <v>4.6615790779999999</v>
      </c>
      <c r="I247" s="6">
        <f>[1]Results!L378</f>
        <v>4.6914995209999999</v>
      </c>
      <c r="J247" s="6">
        <f>[1]Results!M378</f>
        <v>4.6430952999999997</v>
      </c>
      <c r="K247" s="6">
        <f>[1]Results!N378</f>
        <v>4.5675207259999997</v>
      </c>
      <c r="L247" s="6">
        <f>[1]Results!O378</f>
        <v>4.5013361659999997</v>
      </c>
      <c r="M247" s="6">
        <f>[1]Results!P378</f>
        <v>4.4382506089999998</v>
      </c>
      <c r="N247" s="6">
        <f>[1]Results!Q378</f>
        <v>4.3947028570000004</v>
      </c>
      <c r="O247" s="6">
        <f>[1]Results!R378</f>
        <v>4.3687161940000001</v>
      </c>
      <c r="P247" s="6">
        <f>[1]Results!S378</f>
        <v>4.3547979049999999</v>
      </c>
      <c r="Q247" s="6">
        <f>[1]Results!T378</f>
        <v>4.3524432290000004</v>
      </c>
      <c r="R247" s="6">
        <f>[1]Results!U378</f>
        <v>4.3609615350000004</v>
      </c>
      <c r="S247" s="6">
        <f>[1]Results!V378</f>
        <v>4.3759157149999997</v>
      </c>
      <c r="T247" s="6">
        <f>[1]Results!W378</f>
        <v>4.3978832419999998</v>
      </c>
      <c r="U247" s="6">
        <f>[1]Results!X378</f>
        <v>4.4283414570000001</v>
      </c>
      <c r="V247" s="6">
        <f>[1]Results!Y378</f>
        <v>4.4684393929999997</v>
      </c>
      <c r="W247" s="6">
        <f>[1]Results!Z378</f>
        <v>4.5192517299999997</v>
      </c>
      <c r="X247" s="6">
        <f>[1]Results!AA378</f>
        <v>4.5817416670000002</v>
      </c>
      <c r="Y247" s="6">
        <f>[1]Results!AB378</f>
        <v>4.6570923110000004</v>
      </c>
      <c r="Z247" s="6">
        <f>[1]Results!AC378</f>
        <v>4.7460957009999998</v>
      </c>
      <c r="AA247" s="6">
        <f>[1]Results!AD378</f>
        <v>4.8491844769999997</v>
      </c>
      <c r="AB247" s="6">
        <f>[1]Results!AE378</f>
        <v>4.9668773159999997</v>
      </c>
      <c r="AC247" s="6">
        <f>[1]Results!AF378</f>
        <v>5.0994468169999996</v>
      </c>
      <c r="AD247" s="6">
        <f>[1]Results!AG378</f>
        <v>5.2493051270000004</v>
      </c>
      <c r="AE247" s="6">
        <f>[1]Results!AH378</f>
        <v>5.417273486</v>
      </c>
      <c r="AF247" s="6">
        <f>[1]Results!AI378</f>
        <v>5.6028086049999999</v>
      </c>
      <c r="AG247" s="6">
        <f>[1]Results!AJ378</f>
        <v>5.804909898</v>
      </c>
      <c r="AH247" s="6">
        <f>[1]Results!AK378</f>
        <v>6.0232131999999998</v>
      </c>
      <c r="AI247" s="6">
        <f>[1]Results!AL378</f>
        <v>6.2580971339999998</v>
      </c>
      <c r="AJ247" s="6">
        <f>[1]Results!AM378</f>
        <v>6.5101565819999996</v>
      </c>
      <c r="AK247" s="6">
        <f>[1]Results!AN378</f>
        <v>6.7804298970000003</v>
      </c>
      <c r="AL247" s="6">
        <f>[1]Results!AO378</f>
        <v>7.0705049400000002</v>
      </c>
    </row>
    <row r="248" spans="1:38" x14ac:dyDescent="0.35">
      <c r="B248" t="s">
        <v>8</v>
      </c>
      <c r="C248" s="6">
        <f>[1]Results!F390</f>
        <v>33.520806069999999</v>
      </c>
      <c r="D248" s="6">
        <f>[1]Results!G390</f>
        <v>34.177375419999997</v>
      </c>
      <c r="E248" s="6">
        <f>[1]Results!H390</f>
        <v>34.868541690000001</v>
      </c>
      <c r="F248" s="6">
        <f>[1]Results!I390</f>
        <v>35.41962994</v>
      </c>
      <c r="G248" s="6">
        <f>[1]Results!J390</f>
        <v>35.931724170000003</v>
      </c>
      <c r="H248" s="6">
        <f>[1]Results!K390</f>
        <v>36.454710400000003</v>
      </c>
      <c r="I248" s="6">
        <f>[1]Results!L390</f>
        <v>37.011859790000003</v>
      </c>
      <c r="J248" s="6">
        <f>[1]Results!M390</f>
        <v>37.124714820000001</v>
      </c>
      <c r="K248" s="6">
        <f>[1]Results!N390</f>
        <v>37.142276379999998</v>
      </c>
      <c r="L248" s="6">
        <f>[1]Results!O390</f>
        <v>37.349052260000001</v>
      </c>
      <c r="M248" s="6">
        <f>[1]Results!P390</f>
        <v>37.581638159999997</v>
      </c>
      <c r="N248" s="6">
        <f>[1]Results!Q390</f>
        <v>37.861634260000002</v>
      </c>
      <c r="O248" s="6">
        <f>[1]Results!R390</f>
        <v>38.143417499999998</v>
      </c>
      <c r="P248" s="6">
        <f>[1]Results!S390</f>
        <v>38.394364959999997</v>
      </c>
      <c r="Q248" s="6">
        <f>[1]Results!T390</f>
        <v>38.652332780000002</v>
      </c>
      <c r="R248" s="6">
        <f>[1]Results!U390</f>
        <v>38.943250550000002</v>
      </c>
      <c r="S248" s="6">
        <f>[1]Results!V390</f>
        <v>39.276576669999997</v>
      </c>
      <c r="T248" s="6">
        <f>[1]Results!W390</f>
        <v>39.647666299999997</v>
      </c>
      <c r="U248" s="6">
        <f>[1]Results!X390</f>
        <v>40.069395100000001</v>
      </c>
      <c r="V248" s="6">
        <f>[1]Results!Y390</f>
        <v>40.54949869</v>
      </c>
      <c r="W248" s="6">
        <f>[1]Results!Z390</f>
        <v>41.096197629999999</v>
      </c>
      <c r="X248" s="6">
        <f>[1]Results!AA390</f>
        <v>41.71741849</v>
      </c>
      <c r="Y248" s="6">
        <f>[1]Results!AB390</f>
        <v>42.423611700000002</v>
      </c>
      <c r="Z248" s="6">
        <f>[1]Results!AC390</f>
        <v>43.219016600000003</v>
      </c>
      <c r="AA248" s="6">
        <f>[1]Results!AD390</f>
        <v>44.10186186</v>
      </c>
      <c r="AB248" s="6">
        <f>[1]Results!AE390</f>
        <v>45.072135179999997</v>
      </c>
      <c r="AC248" s="6">
        <f>[1]Results!AF390</f>
        <v>46.124226800000002</v>
      </c>
      <c r="AD248" s="6">
        <f>[1]Results!AG390</f>
        <v>47.282105719999997</v>
      </c>
      <c r="AE248" s="6">
        <f>[1]Results!AH390</f>
        <v>48.547910889999997</v>
      </c>
      <c r="AF248" s="6">
        <f>[1]Results!AI390</f>
        <v>49.906960939999998</v>
      </c>
      <c r="AG248" s="6">
        <f>[1]Results!AJ390</f>
        <v>51.33962313</v>
      </c>
      <c r="AH248" s="6">
        <f>[1]Results!AK390</f>
        <v>52.833702010000003</v>
      </c>
      <c r="AI248" s="6">
        <f>[1]Results!AL390</f>
        <v>54.383741669999999</v>
      </c>
      <c r="AJ248" s="6">
        <f>[1]Results!AM390</f>
        <v>55.983495339999997</v>
      </c>
      <c r="AK248" s="6">
        <f>[1]Results!AN390</f>
        <v>57.625939889999998</v>
      </c>
      <c r="AL248" s="6">
        <f>[1]Results!AO390</f>
        <v>59.300935619999997</v>
      </c>
    </row>
    <row r="249" spans="1:38" x14ac:dyDescent="0.35">
      <c r="B249" t="s">
        <v>10</v>
      </c>
      <c r="C249" s="6">
        <f>[1]Results!F402</f>
        <v>29.523528070000001</v>
      </c>
      <c r="D249" s="6">
        <f>[1]Results!G402</f>
        <v>29.474172849999999</v>
      </c>
      <c r="E249" s="6">
        <f>[1]Results!H402</f>
        <v>29.431673530000001</v>
      </c>
      <c r="F249" s="6">
        <f>[1]Results!I402</f>
        <v>29.417512590000001</v>
      </c>
      <c r="G249" s="6">
        <f>[1]Results!J402</f>
        <v>29.525640360000001</v>
      </c>
      <c r="H249" s="6">
        <f>[1]Results!K402</f>
        <v>29.745164469999999</v>
      </c>
      <c r="I249" s="6">
        <f>[1]Results!L402</f>
        <v>30.057701340000001</v>
      </c>
      <c r="J249" s="6">
        <f>[1]Results!M402</f>
        <v>30.03515896</v>
      </c>
      <c r="K249" s="6">
        <f>[1]Results!N402</f>
        <v>29.86131409</v>
      </c>
      <c r="L249" s="6">
        <f>[1]Results!O402</f>
        <v>29.68308103</v>
      </c>
      <c r="M249" s="6">
        <f>[1]Results!P402</f>
        <v>29.488707179999999</v>
      </c>
      <c r="N249" s="6">
        <f>[1]Results!Q402</f>
        <v>29.360845640000001</v>
      </c>
      <c r="O249" s="6">
        <f>[1]Results!R402</f>
        <v>29.28783336</v>
      </c>
      <c r="P249" s="6">
        <f>[1]Results!S402</f>
        <v>29.249151380000001</v>
      </c>
      <c r="Q249" s="6">
        <f>[1]Results!T402</f>
        <v>29.248426340000002</v>
      </c>
      <c r="R249" s="6">
        <f>[1]Results!U402</f>
        <v>29.290637499999999</v>
      </c>
      <c r="S249" s="6">
        <f>[1]Results!V402</f>
        <v>29.33305739</v>
      </c>
      <c r="T249" s="6">
        <f>[1]Results!W402</f>
        <v>29.395668910000001</v>
      </c>
      <c r="U249" s="6">
        <f>[1]Results!X402</f>
        <v>29.494942559999998</v>
      </c>
      <c r="V249" s="6">
        <f>[1]Results!Y402</f>
        <v>29.64194419</v>
      </c>
      <c r="W249" s="6">
        <f>[1]Results!Z402</f>
        <v>29.845108880000002</v>
      </c>
      <c r="X249" s="6">
        <f>[1]Results!AA402</f>
        <v>30.11171057</v>
      </c>
      <c r="Y249" s="6">
        <f>[1]Results!AB402</f>
        <v>30.448469029999998</v>
      </c>
      <c r="Z249" s="6">
        <f>[1]Results!AC402</f>
        <v>30.85843066</v>
      </c>
      <c r="AA249" s="6">
        <f>[1]Results!AD402</f>
        <v>31.343027970000001</v>
      </c>
      <c r="AB249" s="6">
        <f>[1]Results!AE402</f>
        <v>31.903237229999998</v>
      </c>
      <c r="AC249" s="6">
        <f>[1]Results!AF402</f>
        <v>32.5461326</v>
      </c>
      <c r="AD249" s="6">
        <f>[1]Results!AG402</f>
        <v>33.27944505</v>
      </c>
      <c r="AE249" s="6">
        <f>[1]Results!AH402</f>
        <v>34.101645490000003</v>
      </c>
      <c r="AF249" s="6">
        <f>[1]Results!AI402</f>
        <v>35.003497779999996</v>
      </c>
      <c r="AG249" s="6">
        <f>[1]Results!AJ402</f>
        <v>35.973543720000002</v>
      </c>
      <c r="AH249" s="6">
        <f>[1]Results!AK402</f>
        <v>37.004393579999999</v>
      </c>
      <c r="AI249" s="6">
        <f>[1]Results!AL402</f>
        <v>38.092129380000003</v>
      </c>
      <c r="AJ249" s="6">
        <f>[1]Results!AM402</f>
        <v>39.231218400000003</v>
      </c>
      <c r="AK249" s="6">
        <f>[1]Results!AN402</f>
        <v>40.416075919999997</v>
      </c>
      <c r="AL249" s="6">
        <f>[1]Results!AO402</f>
        <v>41.639756060000003</v>
      </c>
    </row>
    <row r="250" spans="1:38" x14ac:dyDescent="0.35">
      <c r="B250" t="s">
        <v>23</v>
      </c>
      <c r="C250" s="6">
        <f>[1]Results!F366</f>
        <v>8.5241878619999998</v>
      </c>
      <c r="D250" s="6">
        <f>[1]Results!G366</f>
        <v>8.5216595930000008</v>
      </c>
      <c r="E250" s="6">
        <f>[1]Results!H366</f>
        <v>8.5315256159999997</v>
      </c>
      <c r="F250" s="6">
        <f>[1]Results!I366</f>
        <v>8.5582824300000002</v>
      </c>
      <c r="G250" s="6">
        <f>[1]Results!J366</f>
        <v>8.6125838669999997</v>
      </c>
      <c r="H250" s="6">
        <f>[1]Results!K366</f>
        <v>8.6902946340000007</v>
      </c>
      <c r="I250" s="6">
        <f>[1]Results!L366</f>
        <v>8.7842341820000005</v>
      </c>
      <c r="J250" s="6">
        <f>[1]Results!M366</f>
        <v>8.8142118380000003</v>
      </c>
      <c r="K250" s="6">
        <f>[1]Results!N366</f>
        <v>8.8385203990000001</v>
      </c>
      <c r="L250" s="6">
        <f>[1]Results!O366</f>
        <v>8.9132482240000002</v>
      </c>
      <c r="M250" s="6">
        <f>[1]Results!P366</f>
        <v>9.0072097759999998</v>
      </c>
      <c r="N250" s="6">
        <f>[1]Results!Q366</f>
        <v>9.1177985110000002</v>
      </c>
      <c r="O250" s="6">
        <f>[1]Results!R366</f>
        <v>9.2349021530000002</v>
      </c>
      <c r="P250" s="6">
        <f>[1]Results!S366</f>
        <v>9.3485169890000002</v>
      </c>
      <c r="Q250" s="6">
        <f>[1]Results!T366</f>
        <v>9.4628520760000008</v>
      </c>
      <c r="R250" s="6">
        <f>[1]Results!U366</f>
        <v>9.5810677559999995</v>
      </c>
      <c r="S250" s="6">
        <f>[1]Results!V366</f>
        <v>9.7034015670000002</v>
      </c>
      <c r="T250" s="6">
        <f>[1]Results!W366</f>
        <v>9.8333267049999993</v>
      </c>
      <c r="U250" s="6">
        <f>[1]Results!X366</f>
        <v>9.9742016509999996</v>
      </c>
      <c r="V250" s="6">
        <f>[1]Results!Y366</f>
        <v>10.12805696</v>
      </c>
      <c r="W250" s="6">
        <f>[1]Results!Z366</f>
        <v>10.296801739999999</v>
      </c>
      <c r="X250" s="6">
        <f>[1]Results!AA366</f>
        <v>10.482289919999999</v>
      </c>
      <c r="Y250" s="6">
        <f>[1]Results!AB366</f>
        <v>10.686926830000001</v>
      </c>
      <c r="Z250" s="6">
        <f>[1]Results!AC366</f>
        <v>10.91176696</v>
      </c>
      <c r="AA250" s="6">
        <f>[1]Results!AD366</f>
        <v>11.15656106</v>
      </c>
      <c r="AB250" s="6">
        <f>[1]Results!AE366</f>
        <v>11.42137868</v>
      </c>
      <c r="AC250" s="6">
        <f>[1]Results!AF366</f>
        <v>11.708660679999999</v>
      </c>
      <c r="AD250" s="6">
        <f>[1]Results!AG366</f>
        <v>12.02251319</v>
      </c>
      <c r="AE250" s="6">
        <f>[1]Results!AH366</f>
        <v>12.36439058</v>
      </c>
      <c r="AF250" s="6">
        <f>[1]Results!AI366</f>
        <v>12.73242782</v>
      </c>
      <c r="AG250" s="6">
        <f>[1]Results!AJ366</f>
        <v>13.12365685</v>
      </c>
      <c r="AH250" s="6">
        <f>[1]Results!AK366</f>
        <v>13.53709242</v>
      </c>
      <c r="AI250" s="6">
        <f>[1]Results!AL366</f>
        <v>13.973939</v>
      </c>
      <c r="AJ250" s="6">
        <f>[1]Results!AM366</f>
        <v>14.435815379999999</v>
      </c>
      <c r="AK250" s="6">
        <f>[1]Results!AN366</f>
        <v>14.925252589999999</v>
      </c>
      <c r="AL250" s="6">
        <f>[1]Results!AO366</f>
        <v>15.446367009999999</v>
      </c>
    </row>
    <row r="251" spans="1:38" x14ac:dyDescent="0.35">
      <c r="B251" t="s">
        <v>32</v>
      </c>
      <c r="C251" s="6">
        <f>[1]Results!F353</f>
        <v>73.965462770000002</v>
      </c>
      <c r="D251" s="6">
        <f>[1]Results!G353</f>
        <v>73.738772749999995</v>
      </c>
      <c r="E251" s="6">
        <f>[1]Results!H353</f>
        <v>73.287575860000004</v>
      </c>
      <c r="F251" s="6">
        <f>[1]Results!I353</f>
        <v>72.839986249999995</v>
      </c>
      <c r="G251" s="6">
        <f>[1]Results!J353</f>
        <v>72.492965049999995</v>
      </c>
      <c r="H251" s="6">
        <f>[1]Results!K353</f>
        <v>72.227420260000002</v>
      </c>
      <c r="I251" s="6">
        <f>[1]Results!L353</f>
        <v>71.987690209999997</v>
      </c>
      <c r="J251" s="6">
        <f>[1]Results!M353</f>
        <v>71.568801089999994</v>
      </c>
      <c r="K251" s="6">
        <f>[1]Results!N353</f>
        <v>70.974866750000004</v>
      </c>
      <c r="L251" s="6">
        <f>[1]Results!O353</f>
        <v>70.138206650000001</v>
      </c>
      <c r="M251" s="6">
        <f>[1]Results!P353</f>
        <v>69.033724699999993</v>
      </c>
      <c r="N251" s="6">
        <f>[1]Results!Q353</f>
        <v>67.75052393</v>
      </c>
      <c r="O251" s="6">
        <f>[1]Results!R353</f>
        <v>66.409574190000001</v>
      </c>
      <c r="P251" s="6">
        <f>[1]Results!S353</f>
        <v>65.107113119999994</v>
      </c>
      <c r="Q251" s="6">
        <f>[1]Results!T353</f>
        <v>63.897073519999999</v>
      </c>
      <c r="R251" s="6">
        <f>[1]Results!U353</f>
        <v>62.800903699999999</v>
      </c>
      <c r="S251" s="6">
        <f>[1]Results!V353</f>
        <v>61.832006190000001</v>
      </c>
      <c r="T251" s="6">
        <f>[1]Results!W353</f>
        <v>60.96909033</v>
      </c>
      <c r="U251" s="6">
        <f>[1]Results!X353</f>
        <v>60.194892379999999</v>
      </c>
      <c r="V251" s="6">
        <f>[1]Results!Y353</f>
        <v>59.498782439999999</v>
      </c>
      <c r="W251" s="6">
        <f>[1]Results!Z353</f>
        <v>58.873903200000001</v>
      </c>
      <c r="X251" s="6">
        <f>[1]Results!AA353</f>
        <v>58.316000610000003</v>
      </c>
      <c r="Y251" s="6">
        <f>[1]Results!AB353</f>
        <v>57.82170962</v>
      </c>
      <c r="Z251" s="6">
        <f>[1]Results!AC353</f>
        <v>57.385930449999996</v>
      </c>
      <c r="AA251" s="6">
        <f>[1]Results!AD353</f>
        <v>57.00525648</v>
      </c>
      <c r="AB251" s="6">
        <f>[1]Results!AE353</f>
        <v>56.676953910000002</v>
      </c>
      <c r="AC251" s="6">
        <f>[1]Results!AF353</f>
        <v>56.397996169999999</v>
      </c>
      <c r="AD251" s="6">
        <f>[1]Results!AG353</f>
        <v>56.16553949</v>
      </c>
      <c r="AE251" s="6">
        <f>[1]Results!AH353</f>
        <v>55.977627589999997</v>
      </c>
      <c r="AF251" s="6">
        <f>[1]Results!AI353</f>
        <v>55.832744060000003</v>
      </c>
      <c r="AG251" s="6">
        <f>[1]Results!AJ353</f>
        <v>55.729485359999998</v>
      </c>
      <c r="AH251" s="6">
        <f>[1]Results!AK353</f>
        <v>55.666150960000003</v>
      </c>
      <c r="AI251" s="6">
        <f>[1]Results!AL353</f>
        <v>55.640728289999998</v>
      </c>
      <c r="AJ251" s="6">
        <f>[1]Results!AM353</f>
        <v>55.651053539999999</v>
      </c>
      <c r="AK251" s="6">
        <f>[1]Results!AN353</f>
        <v>55.69399954</v>
      </c>
      <c r="AL251" s="6">
        <f>[1]Results!AO353</f>
        <v>55.76360794</v>
      </c>
    </row>
    <row r="252" spans="1:38" x14ac:dyDescent="0.35">
      <c r="B252" t="s">
        <v>33</v>
      </c>
      <c r="C252" s="6">
        <f>[1]Results!F354</f>
        <v>39.923462319999999</v>
      </c>
      <c r="D252" s="6">
        <f>[1]Results!G354</f>
        <v>40.16425109</v>
      </c>
      <c r="E252" s="6">
        <f>[1]Results!H354</f>
        <v>39.96684612</v>
      </c>
      <c r="F252" s="6">
        <f>[1]Results!I354</f>
        <v>39.670568179999997</v>
      </c>
      <c r="G252" s="6">
        <f>[1]Results!J354</f>
        <v>39.411566479999998</v>
      </c>
      <c r="H252" s="6">
        <f>[1]Results!K354</f>
        <v>39.20971771</v>
      </c>
      <c r="I252" s="6">
        <f>[1]Results!L354</f>
        <v>39.049807139999999</v>
      </c>
      <c r="J252" s="6">
        <f>[1]Results!M354</f>
        <v>38.860270810000003</v>
      </c>
      <c r="K252" s="6">
        <f>[1]Results!N354</f>
        <v>38.663869529999999</v>
      </c>
      <c r="L252" s="6">
        <f>[1]Results!O354</f>
        <v>38.403280450000004</v>
      </c>
      <c r="M252" s="6">
        <f>[1]Results!P354</f>
        <v>38.036397239999999</v>
      </c>
      <c r="N252" s="6">
        <f>[1]Results!Q354</f>
        <v>37.570670829999997</v>
      </c>
      <c r="O252" s="6">
        <f>[1]Results!R354</f>
        <v>37.059840520000002</v>
      </c>
      <c r="P252" s="6">
        <f>[1]Results!S354</f>
        <v>36.561888170000003</v>
      </c>
      <c r="Q252" s="6">
        <f>[1]Results!T354</f>
        <v>36.110872759999999</v>
      </c>
      <c r="R252" s="6">
        <f>[1]Results!U354</f>
        <v>35.71926036</v>
      </c>
      <c r="S252" s="6">
        <f>[1]Results!V354</f>
        <v>35.393845560000003</v>
      </c>
      <c r="T252" s="6">
        <f>[1]Results!W354</f>
        <v>35.115229599999999</v>
      </c>
      <c r="U252" s="6">
        <f>[1]Results!X354</f>
        <v>34.86859596</v>
      </c>
      <c r="V252" s="6">
        <f>[1]Results!Y354</f>
        <v>34.646125390000002</v>
      </c>
      <c r="W252" s="6">
        <f>[1]Results!Z354</f>
        <v>34.443910899999999</v>
      </c>
      <c r="X252" s="6">
        <f>[1]Results!AA354</f>
        <v>34.260685180000003</v>
      </c>
      <c r="Y252" s="6">
        <f>[1]Results!AB354</f>
        <v>34.095854860000003</v>
      </c>
      <c r="Z252" s="6">
        <f>[1]Results!AC354</f>
        <v>33.946756740000005</v>
      </c>
      <c r="AA252" s="6">
        <f>[1]Results!AD354</f>
        <v>33.812385729999995</v>
      </c>
      <c r="AB252" s="6">
        <f>[1]Results!AE354</f>
        <v>33.692286659999994</v>
      </c>
      <c r="AC252" s="6">
        <f>[1]Results!AF354</f>
        <v>33.585821920000001</v>
      </c>
      <c r="AD252" s="6">
        <f>[1]Results!AG354</f>
        <v>33.492190600000001</v>
      </c>
      <c r="AE252" s="6">
        <f>[1]Results!AH354</f>
        <v>33.410710649999999</v>
      </c>
      <c r="AF252" s="6">
        <f>[1]Results!AI354</f>
        <v>33.340829120000002</v>
      </c>
      <c r="AG252" s="6">
        <f>[1]Results!AJ354</f>
        <v>33.28240976</v>
      </c>
      <c r="AH252" s="6">
        <f>[1]Results!AK354</f>
        <v>33.235546229999997</v>
      </c>
      <c r="AI252" s="6">
        <f>[1]Results!AL354</f>
        <v>33.200367890000003</v>
      </c>
      <c r="AJ252" s="6">
        <f>[1]Results!AM354</f>
        <v>33.17685367</v>
      </c>
      <c r="AK252" s="6">
        <f>[1]Results!AN354</f>
        <v>33.164025940000002</v>
      </c>
      <c r="AL252" s="6">
        <f>[1]Results!AO354</f>
        <v>33.158146559999999</v>
      </c>
    </row>
    <row r="253" spans="1:38" x14ac:dyDescent="0.35">
      <c r="B253" t="s">
        <v>34</v>
      </c>
      <c r="C253" s="6">
        <f>[1]Results!F362</f>
        <v>34.042000460000004</v>
      </c>
      <c r="D253" s="6">
        <f>[1]Results!G362</f>
        <v>33.574521650000001</v>
      </c>
      <c r="E253" s="6">
        <f>[1]Results!H362</f>
        <v>33.320729739999997</v>
      </c>
      <c r="F253" s="6">
        <f>[1]Results!I362</f>
        <v>33.169418069999999</v>
      </c>
      <c r="G253" s="6">
        <f>[1]Results!J362</f>
        <v>33.081398569999998</v>
      </c>
      <c r="H253" s="6">
        <f>[1]Results!K362</f>
        <v>33.017702550000003</v>
      </c>
      <c r="I253" s="6">
        <f>[1]Results!L362</f>
        <v>32.937883069999998</v>
      </c>
      <c r="J253" s="6">
        <f>[1]Results!M362</f>
        <v>32.708530279999998</v>
      </c>
      <c r="K253" s="6">
        <f>[1]Results!N362</f>
        <v>32.310997219999997</v>
      </c>
      <c r="L253" s="6">
        <f>[1]Results!O362</f>
        <v>31.7349262</v>
      </c>
      <c r="M253" s="6">
        <f>[1]Results!P362</f>
        <v>30.997327460000001</v>
      </c>
      <c r="N253" s="6">
        <f>[1]Results!Q362</f>
        <v>30.179853100000003</v>
      </c>
      <c r="O253" s="6">
        <f>[1]Results!R362</f>
        <v>29.349733670000003</v>
      </c>
      <c r="P253" s="6">
        <f>[1]Results!S362</f>
        <v>28.545224949999998</v>
      </c>
      <c r="Q253" s="6">
        <f>[1]Results!T362</f>
        <v>27.786200760000003</v>
      </c>
      <c r="R253" s="6">
        <f>[1]Results!U362</f>
        <v>27.081643329999999</v>
      </c>
      <c r="S253" s="6">
        <f>[1]Results!V362</f>
        <v>26.438160629999999</v>
      </c>
      <c r="T253" s="6">
        <f>[1]Results!W362</f>
        <v>25.853860739999998</v>
      </c>
      <c r="U253" s="6">
        <f>[1]Results!X362</f>
        <v>25.326296410000001</v>
      </c>
      <c r="V253" s="6">
        <f>[1]Results!Y362</f>
        <v>24.85265704</v>
      </c>
      <c r="W253" s="6">
        <f>[1]Results!Z362</f>
        <v>24.429992300000002</v>
      </c>
      <c r="X253" s="6">
        <f>[1]Results!AA362</f>
        <v>24.05531543</v>
      </c>
      <c r="Y253" s="6">
        <f>[1]Results!AB362</f>
        <v>23.725854769999998</v>
      </c>
      <c r="Z253" s="6">
        <f>[1]Results!AC362</f>
        <v>23.439173699999998</v>
      </c>
      <c r="AA253" s="6">
        <f>[1]Results!AD362</f>
        <v>23.192870760000002</v>
      </c>
      <c r="AB253" s="6">
        <f>[1]Results!AE362</f>
        <v>22.984667250000001</v>
      </c>
      <c r="AC253" s="6">
        <f>[1]Results!AF362</f>
        <v>22.812174250000002</v>
      </c>
      <c r="AD253" s="6">
        <f>[1]Results!AG362</f>
        <v>22.67334889</v>
      </c>
      <c r="AE253" s="6">
        <f>[1]Results!AH362</f>
        <v>22.566916940000002</v>
      </c>
      <c r="AF253" s="6">
        <f>[1]Results!AI362</f>
        <v>22.491914940000001</v>
      </c>
      <c r="AG253" s="6">
        <f>[1]Results!AJ362</f>
        <v>22.447075609999999</v>
      </c>
      <c r="AH253" s="6">
        <f>[1]Results!AK362</f>
        <v>22.430604729999999</v>
      </c>
      <c r="AI253" s="6">
        <f>[1]Results!AL362</f>
        <v>22.440360399999999</v>
      </c>
      <c r="AJ253" s="6">
        <f>[1]Results!AM362</f>
        <v>22.47419987</v>
      </c>
      <c r="AK253" s="6">
        <f>[1]Results!AN362</f>
        <v>22.529973600000002</v>
      </c>
      <c r="AL253" s="6">
        <f>[1]Results!AO362</f>
        <v>22.605461379999998</v>
      </c>
    </row>
    <row r="255" spans="1:38" x14ac:dyDescent="0.35">
      <c r="A255" s="12" t="s">
        <v>31</v>
      </c>
      <c r="B255" t="s">
        <v>21</v>
      </c>
      <c r="C255" s="6">
        <f t="shared" ref="C255:AL255" si="52">C256+C257+C259+C258</f>
        <v>76.452758325000005</v>
      </c>
      <c r="D255" s="6">
        <f t="shared" si="52"/>
        <v>76.971044902000003</v>
      </c>
      <c r="E255" s="6">
        <f t="shared" si="52"/>
        <v>77.551422387999992</v>
      </c>
      <c r="F255" s="6">
        <f t="shared" si="52"/>
        <v>78.060468245999999</v>
      </c>
      <c r="G255" s="6">
        <f t="shared" si="52"/>
        <v>78.718672768999994</v>
      </c>
      <c r="H255" s="6">
        <f t="shared" si="52"/>
        <v>79.551748582000016</v>
      </c>
      <c r="I255" s="6">
        <f t="shared" si="52"/>
        <v>80.458765733999996</v>
      </c>
      <c r="J255" s="6">
        <f t="shared" si="52"/>
        <v>81.375355228999993</v>
      </c>
      <c r="K255" s="6">
        <f t="shared" si="52"/>
        <v>82.267856584</v>
      </c>
      <c r="L255" s="6">
        <f t="shared" si="52"/>
        <v>83.135583271999991</v>
      </c>
      <c r="M255" s="6">
        <f t="shared" si="52"/>
        <v>83.990757377999998</v>
      </c>
      <c r="N255" s="6">
        <f t="shared" si="52"/>
        <v>84.843079735000003</v>
      </c>
      <c r="O255" s="6">
        <f t="shared" si="52"/>
        <v>85.668843350999992</v>
      </c>
      <c r="P255" s="6">
        <f t="shared" si="52"/>
        <v>86.401186198000005</v>
      </c>
      <c r="Q255" s="6">
        <f t="shared" si="52"/>
        <v>87.078220557999998</v>
      </c>
      <c r="R255" s="6">
        <f t="shared" si="52"/>
        <v>87.749646325000001</v>
      </c>
      <c r="S255" s="6">
        <f t="shared" si="52"/>
        <v>88.530682165999991</v>
      </c>
      <c r="T255" s="6">
        <f t="shared" si="52"/>
        <v>89.495681742000002</v>
      </c>
      <c r="U255" s="6">
        <f t="shared" si="52"/>
        <v>90.676933090999995</v>
      </c>
      <c r="V255" s="6">
        <f t="shared" si="52"/>
        <v>92.078104687999996</v>
      </c>
      <c r="W255" s="6">
        <f t="shared" si="52"/>
        <v>93.695764825999987</v>
      </c>
      <c r="X255" s="6">
        <f t="shared" si="52"/>
        <v>95.52257216000001</v>
      </c>
      <c r="Y255" s="6">
        <f t="shared" si="52"/>
        <v>97.559512966999989</v>
      </c>
      <c r="Z255" s="6">
        <f t="shared" si="52"/>
        <v>99.805082287000005</v>
      </c>
      <c r="AA255" s="6">
        <f t="shared" si="52"/>
        <v>102.251416745</v>
      </c>
      <c r="AB255" s="6">
        <f t="shared" si="52"/>
        <v>104.89386234599999</v>
      </c>
      <c r="AC255" s="6">
        <f t="shared" si="52"/>
        <v>107.731366546</v>
      </c>
      <c r="AD255" s="6">
        <f t="shared" si="52"/>
        <v>110.77220430200001</v>
      </c>
      <c r="AE255" s="6">
        <f t="shared" si="52"/>
        <v>114.014465828</v>
      </c>
      <c r="AF255" s="6">
        <f t="shared" si="52"/>
        <v>117.42601383900001</v>
      </c>
      <c r="AG255" s="6">
        <f t="shared" si="52"/>
        <v>120.961129938</v>
      </c>
      <c r="AH255" s="6">
        <f t="shared" si="52"/>
        <v>124.57970688</v>
      </c>
      <c r="AI255" s="6">
        <f t="shared" si="52"/>
        <v>128.251447399</v>
      </c>
      <c r="AJ255" s="6">
        <f t="shared" si="52"/>
        <v>131.95161825900001</v>
      </c>
      <c r="AK255" s="6">
        <f t="shared" si="52"/>
        <v>135.65857219200001</v>
      </c>
      <c r="AL255" s="6">
        <f t="shared" si="52"/>
        <v>139.35229210200001</v>
      </c>
    </row>
    <row r="256" spans="1:38" x14ac:dyDescent="0.35">
      <c r="A256" t="s">
        <v>26</v>
      </c>
      <c r="B256" t="s">
        <v>7</v>
      </c>
      <c r="C256" s="6">
        <f>[1]Results!F439</f>
        <v>4.8842363229999997</v>
      </c>
      <c r="D256" s="6">
        <f>[1]Results!G439</f>
        <v>4.797837039</v>
      </c>
      <c r="E256" s="6">
        <f>[1]Results!H439</f>
        <v>4.7196815519999999</v>
      </c>
      <c r="F256" s="6">
        <f>[1]Results!I439</f>
        <v>4.6650432860000004</v>
      </c>
      <c r="G256" s="6">
        <f>[1]Results!J439</f>
        <v>4.6487243720000002</v>
      </c>
      <c r="H256" s="6">
        <f>[1]Results!K439</f>
        <v>4.6615790779999999</v>
      </c>
      <c r="I256" s="6">
        <f>[1]Results!L439</f>
        <v>4.6810121960000002</v>
      </c>
      <c r="J256" s="6">
        <f>[1]Results!M439</f>
        <v>4.6990813779999998</v>
      </c>
      <c r="K256" s="6">
        <f>[1]Results!N439</f>
        <v>4.7131674429999997</v>
      </c>
      <c r="L256" s="6">
        <f>[1]Results!O439</f>
        <v>4.7241398019999998</v>
      </c>
      <c r="M256" s="6">
        <f>[1]Results!P439</f>
        <v>4.7338044249999998</v>
      </c>
      <c r="N256" s="6">
        <f>[1]Results!Q439</f>
        <v>4.7436847569999996</v>
      </c>
      <c r="O256" s="6">
        <f>[1]Results!R439</f>
        <v>4.7532739230000001</v>
      </c>
      <c r="P256" s="6">
        <f>[1]Results!S439</f>
        <v>4.7594446130000003</v>
      </c>
      <c r="Q256" s="6">
        <f>[1]Results!T439</f>
        <v>4.7641915680000002</v>
      </c>
      <c r="R256" s="6">
        <f>[1]Results!U439</f>
        <v>4.7699719150000002</v>
      </c>
      <c r="S256" s="6">
        <f>[1]Results!V439</f>
        <v>4.7885631469999996</v>
      </c>
      <c r="T256" s="6">
        <f>[1]Results!W439</f>
        <v>4.8236203289999997</v>
      </c>
      <c r="U256" s="6">
        <f>[1]Results!X439</f>
        <v>4.8756266009999996</v>
      </c>
      <c r="V256" s="6">
        <f>[1]Results!Y439</f>
        <v>4.9434873079999999</v>
      </c>
      <c r="W256" s="6">
        <f>[1]Results!Z439</f>
        <v>5.0258651260000002</v>
      </c>
      <c r="X256" s="6">
        <f>[1]Results!AA439</f>
        <v>5.1214473099999998</v>
      </c>
      <c r="Y256" s="6">
        <f>[1]Results!AB439</f>
        <v>5.2296336270000001</v>
      </c>
      <c r="Z256" s="6">
        <f>[1]Results!AC439</f>
        <v>5.3499532470000002</v>
      </c>
      <c r="AA256" s="6">
        <f>[1]Results!AD439</f>
        <v>5.4817455749999997</v>
      </c>
      <c r="AB256" s="6">
        <f>[1]Results!AE439</f>
        <v>5.6245472159999998</v>
      </c>
      <c r="AC256" s="6">
        <f>[1]Results!AF439</f>
        <v>5.7781270659999997</v>
      </c>
      <c r="AD256" s="6">
        <f>[1]Results!AG439</f>
        <v>5.9428516919999996</v>
      </c>
      <c r="AE256" s="6">
        <f>[1]Results!AH439</f>
        <v>6.1185960379999997</v>
      </c>
      <c r="AF256" s="6">
        <f>[1]Results!AI439</f>
        <v>6.3037106789999999</v>
      </c>
      <c r="AG256" s="6">
        <f>[1]Results!AJ439</f>
        <v>6.4957363079999997</v>
      </c>
      <c r="AH256" s="6">
        <f>[1]Results!AK439</f>
        <v>6.6923885700000003</v>
      </c>
      <c r="AI256" s="6">
        <f>[1]Results!AL439</f>
        <v>6.8918657290000001</v>
      </c>
      <c r="AJ256" s="6">
        <f>[1]Results!AM439</f>
        <v>7.0926403990000004</v>
      </c>
      <c r="AK256" s="6">
        <f>[1]Results!AN439</f>
        <v>7.2933391219999999</v>
      </c>
      <c r="AL256" s="6">
        <f>[1]Results!AO439</f>
        <v>7.4926736619999996</v>
      </c>
    </row>
    <row r="257" spans="1:38" x14ac:dyDescent="0.35">
      <c r="B257" t="s">
        <v>8</v>
      </c>
      <c r="C257" s="6">
        <f>[1]Results!F451</f>
        <v>33.520806069999999</v>
      </c>
      <c r="D257" s="6">
        <f>[1]Results!G451</f>
        <v>34.177375419999997</v>
      </c>
      <c r="E257" s="6">
        <f>[1]Results!H451</f>
        <v>34.868541690000001</v>
      </c>
      <c r="F257" s="6">
        <f>[1]Results!I451</f>
        <v>35.41962994</v>
      </c>
      <c r="G257" s="6">
        <f>[1]Results!J451</f>
        <v>35.931724170000003</v>
      </c>
      <c r="H257" s="6">
        <f>[1]Results!K451</f>
        <v>36.454710400000003</v>
      </c>
      <c r="I257" s="6">
        <f>[1]Results!L451</f>
        <v>36.96865863</v>
      </c>
      <c r="J257" s="6">
        <f>[1]Results!M451</f>
        <v>37.469762609999997</v>
      </c>
      <c r="K257" s="6">
        <f>[1]Results!N451</f>
        <v>37.958154690000001</v>
      </c>
      <c r="L257" s="6">
        <f>[1]Results!O451</f>
        <v>38.440517110000002</v>
      </c>
      <c r="M257" s="6">
        <f>[1]Results!P451</f>
        <v>38.924670089999999</v>
      </c>
      <c r="N257" s="6">
        <f>[1]Results!Q451</f>
        <v>39.415483080000001</v>
      </c>
      <c r="O257" s="6">
        <f>[1]Results!R451</f>
        <v>39.896205729999998</v>
      </c>
      <c r="P257" s="6">
        <f>[1]Results!S451</f>
        <v>40.323753529999998</v>
      </c>
      <c r="Q257" s="6">
        <f>[1]Results!T451</f>
        <v>40.721703269999999</v>
      </c>
      <c r="R257" s="6">
        <f>[1]Results!U451</f>
        <v>41.11824713</v>
      </c>
      <c r="S257" s="6">
        <f>[1]Results!V451</f>
        <v>41.573375640000002</v>
      </c>
      <c r="T257" s="6">
        <f>[1]Results!W451</f>
        <v>42.116960259999999</v>
      </c>
      <c r="U257" s="6">
        <f>[1]Results!X451</f>
        <v>42.760145559999998</v>
      </c>
      <c r="V257" s="6">
        <f>[1]Results!Y451</f>
        <v>43.501735429999997</v>
      </c>
      <c r="W257" s="6">
        <f>[1]Results!Z451</f>
        <v>44.339819249999998</v>
      </c>
      <c r="X257" s="6">
        <f>[1]Results!AA451</f>
        <v>45.271912380000003</v>
      </c>
      <c r="Y257" s="6">
        <f>[1]Results!AB451</f>
        <v>46.300924070000001</v>
      </c>
      <c r="Z257" s="6">
        <f>[1]Results!AC451</f>
        <v>47.427317950000003</v>
      </c>
      <c r="AA257" s="6">
        <f>[1]Results!AD451</f>
        <v>48.646523870000003</v>
      </c>
      <c r="AB257" s="6">
        <f>[1]Results!AE451</f>
        <v>49.956650289999999</v>
      </c>
      <c r="AC257" s="6">
        <f>[1]Results!AF451</f>
        <v>51.358538000000003</v>
      </c>
      <c r="AD257" s="6">
        <f>[1]Results!AG451</f>
        <v>52.859135539999997</v>
      </c>
      <c r="AE257" s="6">
        <f>[1]Results!AH451</f>
        <v>54.45921585</v>
      </c>
      <c r="AF257" s="6">
        <f>[1]Results!AI451</f>
        <v>56.142305929999999</v>
      </c>
      <c r="AG257" s="6">
        <f>[1]Results!AJ451</f>
        <v>57.8851206</v>
      </c>
      <c r="AH257" s="6">
        <f>[1]Results!AK451</f>
        <v>59.669115939999998</v>
      </c>
      <c r="AI257" s="6">
        <f>[1]Results!AL451</f>
        <v>61.481882380000002</v>
      </c>
      <c r="AJ257" s="6">
        <f>[1]Results!AM451</f>
        <v>63.313786579999999</v>
      </c>
      <c r="AK257" s="6">
        <f>[1]Results!AN451</f>
        <v>65.156201879999998</v>
      </c>
      <c r="AL257" s="6">
        <f>[1]Results!AO451</f>
        <v>67.000602049999998</v>
      </c>
    </row>
    <row r="258" spans="1:38" x14ac:dyDescent="0.35">
      <c r="B258" t="s">
        <v>10</v>
      </c>
      <c r="C258" s="6">
        <f>[1]Results!F463</f>
        <v>29.523528070000001</v>
      </c>
      <c r="D258" s="6">
        <f>[1]Results!G463</f>
        <v>29.474172849999999</v>
      </c>
      <c r="E258" s="6">
        <f>[1]Results!H463</f>
        <v>29.431673530000001</v>
      </c>
      <c r="F258" s="6">
        <f>[1]Results!I463</f>
        <v>29.417512590000001</v>
      </c>
      <c r="G258" s="6">
        <f>[1]Results!J463</f>
        <v>29.525640360000001</v>
      </c>
      <c r="H258" s="6">
        <f>[1]Results!K463</f>
        <v>29.745164469999999</v>
      </c>
      <c r="I258" s="6">
        <f>[1]Results!L463</f>
        <v>30.031742250000001</v>
      </c>
      <c r="J258" s="6">
        <f>[1]Results!M463</f>
        <v>30.33730117</v>
      </c>
      <c r="K258" s="6">
        <f>[1]Results!N463</f>
        <v>30.631973290000001</v>
      </c>
      <c r="L258" s="6">
        <f>[1]Results!O463</f>
        <v>30.90697144</v>
      </c>
      <c r="M258" s="6">
        <f>[1]Results!P463</f>
        <v>31.164069680000001</v>
      </c>
      <c r="N258" s="6">
        <f>[1]Results!Q463</f>
        <v>31.406254610000001</v>
      </c>
      <c r="O258" s="6">
        <f>[1]Results!R463</f>
        <v>31.63061673</v>
      </c>
      <c r="P258" s="6">
        <f>[1]Results!S463</f>
        <v>31.82485071</v>
      </c>
      <c r="Q258" s="6">
        <f>[1]Results!T463</f>
        <v>31.998104479999999</v>
      </c>
      <c r="R258" s="6">
        <f>[1]Results!U463</f>
        <v>32.165007719999998</v>
      </c>
      <c r="S258" s="6">
        <f>[1]Results!V463</f>
        <v>32.359797409999999</v>
      </c>
      <c r="T258" s="6">
        <f>[1]Results!W463</f>
        <v>32.618430830000001</v>
      </c>
      <c r="U258" s="6">
        <f>[1]Results!X463</f>
        <v>32.959903160000003</v>
      </c>
      <c r="V258" s="6">
        <f>[1]Results!Y463</f>
        <v>33.390363090000001</v>
      </c>
      <c r="W258" s="6">
        <f>[1]Results!Z463</f>
        <v>33.909728989999998</v>
      </c>
      <c r="X258" s="6">
        <f>[1]Results!AA463</f>
        <v>34.514566160000001</v>
      </c>
      <c r="Y258" s="6">
        <f>[1]Results!AB463</f>
        <v>35.2026404</v>
      </c>
      <c r="Z258" s="6">
        <f>[1]Results!AC463</f>
        <v>35.971987429999999</v>
      </c>
      <c r="AA258" s="6">
        <f>[1]Results!AD463</f>
        <v>36.82050572</v>
      </c>
      <c r="AB258" s="6">
        <f>[1]Results!AE463</f>
        <v>37.746075920000003</v>
      </c>
      <c r="AC258" s="6">
        <f>[1]Results!AF463</f>
        <v>38.746794219999998</v>
      </c>
      <c r="AD258" s="6">
        <f>[1]Results!AG463</f>
        <v>39.822246999999997</v>
      </c>
      <c r="AE258" s="6">
        <f>[1]Results!AH463</f>
        <v>40.969679640000003</v>
      </c>
      <c r="AF258" s="6">
        <f>[1]Results!AI463</f>
        <v>42.177964269999997</v>
      </c>
      <c r="AG258" s="6">
        <f>[1]Results!AJ463</f>
        <v>43.431376210000003</v>
      </c>
      <c r="AH258" s="6">
        <f>[1]Results!AK463</f>
        <v>44.714156809999999</v>
      </c>
      <c r="AI258" s="6">
        <f>[1]Results!AL463</f>
        <v>46.012654859999998</v>
      </c>
      <c r="AJ258" s="6">
        <f>[1]Results!AM463</f>
        <v>47.315238970000003</v>
      </c>
      <c r="AK258" s="6">
        <f>[1]Results!AN463</f>
        <v>48.612011989999999</v>
      </c>
      <c r="AL258" s="6">
        <f>[1]Results!AO463</f>
        <v>49.894482240000002</v>
      </c>
    </row>
    <row r="259" spans="1:38" x14ac:dyDescent="0.35">
      <c r="B259" t="s">
        <v>23</v>
      </c>
      <c r="C259" s="6">
        <f>[1]Results!F427</f>
        <v>8.5241878619999998</v>
      </c>
      <c r="D259" s="6">
        <f>[1]Results!G427</f>
        <v>8.5216595930000008</v>
      </c>
      <c r="E259" s="6">
        <f>[1]Results!H427</f>
        <v>8.5315256159999997</v>
      </c>
      <c r="F259" s="6">
        <f>[1]Results!I427</f>
        <v>8.5582824300000002</v>
      </c>
      <c r="G259" s="6">
        <f>[1]Results!J427</f>
        <v>8.6125838669999997</v>
      </c>
      <c r="H259" s="6">
        <f>[1]Results!K427</f>
        <v>8.6902946340000007</v>
      </c>
      <c r="I259" s="6">
        <f>[1]Results!L427</f>
        <v>8.7773526579999999</v>
      </c>
      <c r="J259" s="6">
        <f>[1]Results!M427</f>
        <v>8.8692100709999995</v>
      </c>
      <c r="K259" s="6">
        <f>[1]Results!N427</f>
        <v>8.9645611610000007</v>
      </c>
      <c r="L259" s="6">
        <f>[1]Results!O427</f>
        <v>9.0639549200000005</v>
      </c>
      <c r="M259" s="6">
        <f>[1]Results!P427</f>
        <v>9.1682131830000007</v>
      </c>
      <c r="N259" s="6">
        <f>[1]Results!Q427</f>
        <v>9.2776572880000003</v>
      </c>
      <c r="O259" s="6">
        <f>[1]Results!R427</f>
        <v>9.3887469679999995</v>
      </c>
      <c r="P259" s="6">
        <f>[1]Results!S427</f>
        <v>9.4931373449999992</v>
      </c>
      <c r="Q259" s="6">
        <f>[1]Results!T427</f>
        <v>9.5942212399999995</v>
      </c>
      <c r="R259" s="6">
        <f>[1]Results!U427</f>
        <v>9.6964195600000007</v>
      </c>
      <c r="S259" s="6">
        <f>[1]Results!V427</f>
        <v>9.8089459689999998</v>
      </c>
      <c r="T259" s="6">
        <f>[1]Results!W427</f>
        <v>9.9366703229999995</v>
      </c>
      <c r="U259" s="6">
        <f>[1]Results!X427</f>
        <v>10.081257770000001</v>
      </c>
      <c r="V259" s="6">
        <f>[1]Results!Y427</f>
        <v>10.242518860000001</v>
      </c>
      <c r="W259" s="6">
        <f>[1]Results!Z427</f>
        <v>10.420351459999999</v>
      </c>
      <c r="X259" s="6">
        <f>[1]Results!AA427</f>
        <v>10.614646309999999</v>
      </c>
      <c r="Y259" s="6">
        <f>[1]Results!AB427</f>
        <v>10.826314869999999</v>
      </c>
      <c r="Z259" s="6">
        <f>[1]Results!AC427</f>
        <v>11.05582366</v>
      </c>
      <c r="AA259" s="6">
        <f>[1]Results!AD427</f>
        <v>11.30264158</v>
      </c>
      <c r="AB259" s="6">
        <f>[1]Results!AE427</f>
        <v>11.566588919999999</v>
      </c>
      <c r="AC259" s="6">
        <f>[1]Results!AF427</f>
        <v>11.847907259999999</v>
      </c>
      <c r="AD259" s="6">
        <f>[1]Results!AG427</f>
        <v>12.14797007</v>
      </c>
      <c r="AE259" s="6">
        <f>[1]Results!AH427</f>
        <v>12.4669743</v>
      </c>
      <c r="AF259" s="6">
        <f>[1]Results!AI427</f>
        <v>12.80203296</v>
      </c>
      <c r="AG259" s="6">
        <f>[1]Results!AJ427</f>
        <v>13.148896819999999</v>
      </c>
      <c r="AH259" s="6">
        <f>[1]Results!AK427</f>
        <v>13.50404556</v>
      </c>
      <c r="AI259" s="6">
        <f>[1]Results!AL427</f>
        <v>13.865044429999999</v>
      </c>
      <c r="AJ259" s="6">
        <f>[1]Results!AM427</f>
        <v>14.22995231</v>
      </c>
      <c r="AK259" s="6">
        <f>[1]Results!AN427</f>
        <v>14.5970192</v>
      </c>
      <c r="AL259" s="6">
        <f>[1]Results!AO427</f>
        <v>14.96453415</v>
      </c>
    </row>
    <row r="260" spans="1:38" x14ac:dyDescent="0.35">
      <c r="B260" t="s">
        <v>32</v>
      </c>
      <c r="C260" s="6">
        <f>[1]Results!F414</f>
        <v>73.965462770000002</v>
      </c>
      <c r="D260" s="6">
        <f>[1]Results!G414</f>
        <v>73.738772749999995</v>
      </c>
      <c r="E260" s="6">
        <f>[1]Results!H414</f>
        <v>73.287575860000004</v>
      </c>
      <c r="F260" s="6">
        <f>[1]Results!I414</f>
        <v>72.839986249999995</v>
      </c>
      <c r="G260" s="6">
        <f>[1]Results!J414</f>
        <v>72.492965049999995</v>
      </c>
      <c r="H260" s="6">
        <f>[1]Results!K414</f>
        <v>72.227420260000002</v>
      </c>
      <c r="I260" s="6">
        <f>[1]Results!L414</f>
        <v>71.891507250000004</v>
      </c>
      <c r="J260" s="6">
        <f>[1]Results!M414</f>
        <v>71.461335689999999</v>
      </c>
      <c r="K260" s="6">
        <f>[1]Results!N414</f>
        <v>70.924324350000006</v>
      </c>
      <c r="L260" s="6">
        <f>[1]Results!O414</f>
        <v>70.271701590000006</v>
      </c>
      <c r="M260" s="6">
        <f>[1]Results!P414</f>
        <v>69.502867379999998</v>
      </c>
      <c r="N260" s="6">
        <f>[1]Results!Q414</f>
        <v>68.630587939999998</v>
      </c>
      <c r="O260" s="6">
        <f>[1]Results!R414</f>
        <v>67.680760079999999</v>
      </c>
      <c r="P260" s="6">
        <f>[1]Results!S414</f>
        <v>66.686592360000006</v>
      </c>
      <c r="Q260" s="6">
        <f>[1]Results!T414</f>
        <v>65.681905009999994</v>
      </c>
      <c r="R260" s="6">
        <f>[1]Results!U414</f>
        <v>64.695312920000006</v>
      </c>
      <c r="S260" s="6">
        <f>[1]Results!V414</f>
        <v>63.807946520000002</v>
      </c>
      <c r="T260" s="6">
        <f>[1]Results!W414</f>
        <v>63.021778959999999</v>
      </c>
      <c r="U260" s="6">
        <f>[1]Results!X414</f>
        <v>62.324250200000002</v>
      </c>
      <c r="V260" s="6">
        <f>[1]Results!Y414</f>
        <v>61.699919360000003</v>
      </c>
      <c r="W260" s="6">
        <f>[1]Results!Z414</f>
        <v>61.136773859999998</v>
      </c>
      <c r="X260" s="6">
        <f>[1]Results!AA414</f>
        <v>60.626300039999997</v>
      </c>
      <c r="Y260" s="6">
        <f>[1]Results!AB414</f>
        <v>60.162733879999998</v>
      </c>
      <c r="Z260" s="6">
        <f>[1]Results!AC414</f>
        <v>59.74216629</v>
      </c>
      <c r="AA260" s="6">
        <f>[1]Results!AD414</f>
        <v>59.361271160000001</v>
      </c>
      <c r="AB260" s="6">
        <f>[1]Results!AE414</f>
        <v>59.017739489999997</v>
      </c>
      <c r="AC260" s="6">
        <f>[1]Results!AF414</f>
        <v>58.70989737</v>
      </c>
      <c r="AD260" s="6">
        <f>[1]Results!AG414</f>
        <v>58.436521540000001</v>
      </c>
      <c r="AE260" s="6">
        <f>[1]Results!AH414</f>
        <v>58.196724770000003</v>
      </c>
      <c r="AF260" s="6">
        <f>[1]Results!AI414</f>
        <v>57.989820160000001</v>
      </c>
      <c r="AG260" s="6">
        <f>[1]Results!AJ414</f>
        <v>57.814968110000002</v>
      </c>
      <c r="AH260" s="6">
        <f>[1]Results!AK414</f>
        <v>57.670924339999999</v>
      </c>
      <c r="AI260" s="6">
        <f>[1]Results!AL414</f>
        <v>57.555960550000002</v>
      </c>
      <c r="AJ260" s="6">
        <f>[1]Results!AM414</f>
        <v>57.467944629999998</v>
      </c>
      <c r="AK260" s="6">
        <f>[1]Results!AN414</f>
        <v>57.40446515</v>
      </c>
      <c r="AL260" s="6">
        <f>[1]Results!AO414</f>
        <v>57.362818279999999</v>
      </c>
    </row>
    <row r="261" spans="1:38" x14ac:dyDescent="0.35">
      <c r="B261" t="s">
        <v>33</v>
      </c>
      <c r="C261" s="6">
        <f>[1]Results!F415</f>
        <v>39.923462319999999</v>
      </c>
      <c r="D261" s="6">
        <f>[1]Results!G415</f>
        <v>40.16425109</v>
      </c>
      <c r="E261" s="6">
        <f>[1]Results!H415</f>
        <v>39.96684612</v>
      </c>
      <c r="F261" s="6">
        <f>[1]Results!I415</f>
        <v>39.670568179999997</v>
      </c>
      <c r="G261" s="6">
        <f>[1]Results!J415</f>
        <v>39.411566479999998</v>
      </c>
      <c r="H261" s="6">
        <f>[1]Results!K415</f>
        <v>39.20971771</v>
      </c>
      <c r="I261" s="6">
        <f>[1]Results!L415</f>
        <v>38.99849605</v>
      </c>
      <c r="J261" s="6">
        <f>[1]Results!M415</f>
        <v>38.778036319999998</v>
      </c>
      <c r="K261" s="6">
        <f>[1]Results!N415</f>
        <v>38.55520508</v>
      </c>
      <c r="L261" s="6">
        <f>[1]Results!O415</f>
        <v>38.333888930000001</v>
      </c>
      <c r="M261" s="6">
        <f>[1]Results!P415</f>
        <v>38.114345759999999</v>
      </c>
      <c r="N261" s="6">
        <f>[1]Results!Q415</f>
        <v>37.894363370000001</v>
      </c>
      <c r="O261" s="6">
        <f>[1]Results!R415</f>
        <v>37.672241759999999</v>
      </c>
      <c r="P261" s="6">
        <f>[1]Results!S415</f>
        <v>37.448422640000004</v>
      </c>
      <c r="Q261" s="6">
        <f>[1]Results!T415</f>
        <v>37.224878770000004</v>
      </c>
      <c r="R261" s="6">
        <f>[1]Results!U415</f>
        <v>37.003988299999996</v>
      </c>
      <c r="S261" s="6">
        <f>[1]Results!V415</f>
        <v>36.828680390000002</v>
      </c>
      <c r="T261" s="6">
        <f>[1]Results!W415</f>
        <v>36.694334810000001</v>
      </c>
      <c r="U261" s="6">
        <f>[1]Results!X415</f>
        <v>36.589360030000002</v>
      </c>
      <c r="V261" s="6">
        <f>[1]Results!Y415</f>
        <v>36.501516170000002</v>
      </c>
      <c r="W261" s="6">
        <f>[1]Results!Z415</f>
        <v>36.4222842</v>
      </c>
      <c r="X261" s="6">
        <f>[1]Results!AA415</f>
        <v>36.346312170000004</v>
      </c>
      <c r="Y261" s="6">
        <f>[1]Results!AB415</f>
        <v>36.270548170000005</v>
      </c>
      <c r="Z261" s="6">
        <f>[1]Results!AC415</f>
        <v>36.193461970000001</v>
      </c>
      <c r="AA261" s="6">
        <f>[1]Results!AD415</f>
        <v>36.114022219999995</v>
      </c>
      <c r="AB261" s="6">
        <f>[1]Results!AE415</f>
        <v>36.031980829999995</v>
      </c>
      <c r="AC261" s="6">
        <f>[1]Results!AF415</f>
        <v>35.947468479999998</v>
      </c>
      <c r="AD261" s="6">
        <f>[1]Results!AG415</f>
        <v>35.86072163</v>
      </c>
      <c r="AE261" s="6">
        <f>[1]Results!AH415</f>
        <v>35.772095110000002</v>
      </c>
      <c r="AF261" s="6">
        <f>[1]Results!AI415</f>
        <v>35.682064859999997</v>
      </c>
      <c r="AG261" s="6">
        <f>[1]Results!AJ415</f>
        <v>35.591257159999998</v>
      </c>
      <c r="AH261" s="6">
        <f>[1]Results!AK415</f>
        <v>35.500261100000003</v>
      </c>
      <c r="AI261" s="6">
        <f>[1]Results!AL415</f>
        <v>35.409474020000005</v>
      </c>
      <c r="AJ261" s="6">
        <f>[1]Results!AM415</f>
        <v>35.319093270000003</v>
      </c>
      <c r="AK261" s="6">
        <f>[1]Results!AN415</f>
        <v>35.229160310000005</v>
      </c>
      <c r="AL261" s="6">
        <f>[1]Results!AO415</f>
        <v>35.139489909999995</v>
      </c>
    </row>
    <row r="262" spans="1:38" x14ac:dyDescent="0.35">
      <c r="B262" t="s">
        <v>34</v>
      </c>
      <c r="C262" s="6">
        <f>[1]Results!F423</f>
        <v>34.042000460000004</v>
      </c>
      <c r="D262" s="6">
        <f>[1]Results!G423</f>
        <v>33.574521650000001</v>
      </c>
      <c r="E262" s="6">
        <f>[1]Results!H423</f>
        <v>33.320729739999997</v>
      </c>
      <c r="F262" s="6">
        <f>[1]Results!I423</f>
        <v>33.169418069999999</v>
      </c>
      <c r="G262" s="6">
        <f>[1]Results!J423</f>
        <v>33.081398569999998</v>
      </c>
      <c r="H262" s="6">
        <f>[1]Results!K423</f>
        <v>33.017702550000003</v>
      </c>
      <c r="I262" s="6">
        <f>[1]Results!L423</f>
        <v>32.893011209999997</v>
      </c>
      <c r="J262" s="6">
        <f>[1]Results!M423</f>
        <v>32.683299380000001</v>
      </c>
      <c r="K262" s="6">
        <f>[1]Results!N423</f>
        <v>32.369119269999999</v>
      </c>
      <c r="L262" s="6">
        <f>[1]Results!O423</f>
        <v>31.937812659999999</v>
      </c>
      <c r="M262" s="6">
        <f>[1]Results!P423</f>
        <v>31.38852163</v>
      </c>
      <c r="N262" s="6">
        <f>[1]Results!Q423</f>
        <v>30.736224570000001</v>
      </c>
      <c r="O262" s="6">
        <f>[1]Results!R423</f>
        <v>30.00851832</v>
      </c>
      <c r="P262" s="6">
        <f>[1]Results!S423</f>
        <v>29.238169719999998</v>
      </c>
      <c r="Q262" s="6">
        <f>[1]Results!T423</f>
        <v>28.457026239999998</v>
      </c>
      <c r="R262" s="6">
        <f>[1]Results!U423</f>
        <v>27.69132462</v>
      </c>
      <c r="S262" s="6">
        <f>[1]Results!V423</f>
        <v>26.979266129999999</v>
      </c>
      <c r="T262" s="6">
        <f>[1]Results!W423</f>
        <v>26.327444149999998</v>
      </c>
      <c r="U262" s="6">
        <f>[1]Results!X423</f>
        <v>25.734890159999999</v>
      </c>
      <c r="V262" s="6">
        <f>[1]Results!Y423</f>
        <v>25.198403190000001</v>
      </c>
      <c r="W262" s="6">
        <f>[1]Results!Z423</f>
        <v>24.714489660000002</v>
      </c>
      <c r="X262" s="6">
        <f>[1]Results!AA423</f>
        <v>24.279987869999999</v>
      </c>
      <c r="Y262" s="6">
        <f>[1]Results!AB423</f>
        <v>23.892185720000001</v>
      </c>
      <c r="Z262" s="6">
        <f>[1]Results!AC423</f>
        <v>23.548704319999999</v>
      </c>
      <c r="AA262" s="6">
        <f>[1]Results!AD423</f>
        <v>23.247248940000002</v>
      </c>
      <c r="AB262" s="6">
        <f>[1]Results!AE423</f>
        <v>22.985758660000002</v>
      </c>
      <c r="AC262" s="6">
        <f>[1]Results!AF423</f>
        <v>22.762428879999998</v>
      </c>
      <c r="AD262" s="6">
        <f>[1]Results!AG423</f>
        <v>22.575799910000001</v>
      </c>
      <c r="AE262" s="6">
        <f>[1]Results!AH423</f>
        <v>22.424629670000002</v>
      </c>
      <c r="AF262" s="6">
        <f>[1]Results!AI423</f>
        <v>22.3077553</v>
      </c>
      <c r="AG262" s="6">
        <f>[1]Results!AJ423</f>
        <v>22.223710950000001</v>
      </c>
      <c r="AH262" s="6">
        <f>[1]Results!AK423</f>
        <v>22.17066324</v>
      </c>
      <c r="AI262" s="6">
        <f>[1]Results!AL423</f>
        <v>22.146486530000001</v>
      </c>
      <c r="AJ262" s="6">
        <f>[1]Results!AM423</f>
        <v>22.148851359999998</v>
      </c>
      <c r="AK262" s="6">
        <f>[1]Results!AN423</f>
        <v>22.175304839999999</v>
      </c>
      <c r="AL262" s="6">
        <f>[1]Results!AO423</f>
        <v>22.223328370000001</v>
      </c>
    </row>
    <row r="264" spans="1:38" x14ac:dyDescent="0.35">
      <c r="A264" s="12" t="s">
        <v>31</v>
      </c>
      <c r="C264" s="2">
        <v>42005</v>
      </c>
      <c r="D264" s="2">
        <v>42370</v>
      </c>
      <c r="E264" s="2">
        <v>42736</v>
      </c>
      <c r="F264" s="2">
        <v>43101</v>
      </c>
      <c r="G264" s="2">
        <v>43466</v>
      </c>
      <c r="H264" s="2">
        <v>43831</v>
      </c>
      <c r="I264" s="2">
        <v>44197</v>
      </c>
      <c r="J264" s="2">
        <v>44562</v>
      </c>
      <c r="K264" s="2">
        <v>44927</v>
      </c>
      <c r="L264" s="2">
        <v>45292</v>
      </c>
      <c r="M264" s="2">
        <v>45658</v>
      </c>
      <c r="N264" s="2">
        <v>46023</v>
      </c>
      <c r="O264" s="2">
        <v>46388</v>
      </c>
      <c r="P264" s="2">
        <v>46753</v>
      </c>
      <c r="Q264" s="2">
        <v>47119</v>
      </c>
      <c r="R264" s="2">
        <v>47484</v>
      </c>
      <c r="S264" s="2">
        <v>47849</v>
      </c>
      <c r="T264" s="2">
        <v>48214</v>
      </c>
      <c r="U264" s="2">
        <v>48580</v>
      </c>
      <c r="V264" s="2">
        <v>48945</v>
      </c>
      <c r="W264" s="2">
        <v>49310</v>
      </c>
      <c r="X264" s="2">
        <v>49675</v>
      </c>
      <c r="Y264" s="2">
        <v>50041</v>
      </c>
      <c r="Z264" s="2">
        <v>50406</v>
      </c>
      <c r="AA264" s="2">
        <v>50771</v>
      </c>
      <c r="AB264" s="2">
        <v>51136</v>
      </c>
      <c r="AC264" s="2">
        <v>51502</v>
      </c>
      <c r="AD264" s="2">
        <v>51867</v>
      </c>
      <c r="AE264" s="2">
        <v>52232</v>
      </c>
      <c r="AF264" s="2">
        <v>52597</v>
      </c>
      <c r="AG264" s="2">
        <v>52963</v>
      </c>
      <c r="AH264" s="2">
        <v>53328</v>
      </c>
      <c r="AI264" s="2">
        <v>53693</v>
      </c>
      <c r="AJ264" s="2">
        <v>54058</v>
      </c>
      <c r="AK264" s="2">
        <v>54424</v>
      </c>
      <c r="AL264" s="2">
        <v>54789</v>
      </c>
    </row>
    <row r="265" spans="1:38" x14ac:dyDescent="0.35">
      <c r="A265" t="s">
        <v>27</v>
      </c>
      <c r="B265" t="s">
        <v>80</v>
      </c>
      <c r="C265" s="9">
        <f t="shared" ref="C265:AL265" si="53">(C246/C141)/(C255/C129)-1</f>
        <v>0</v>
      </c>
      <c r="D265" s="9">
        <f t="shared" si="53"/>
        <v>0</v>
      </c>
      <c r="E265" s="9">
        <f t="shared" si="53"/>
        <v>0</v>
      </c>
      <c r="F265" s="9">
        <f t="shared" si="53"/>
        <v>0</v>
      </c>
      <c r="G265" s="9">
        <f t="shared" si="53"/>
        <v>0</v>
      </c>
      <c r="H265" s="9">
        <f t="shared" si="53"/>
        <v>0</v>
      </c>
      <c r="I265" s="9">
        <f t="shared" si="53"/>
        <v>6.8311108787844077E-4</v>
      </c>
      <c r="J265" s="9">
        <f t="shared" si="53"/>
        <v>-7.4300178418835738E-3</v>
      </c>
      <c r="K265" s="9">
        <f t="shared" si="53"/>
        <v>-1.8535733339097082E-2</v>
      </c>
      <c r="L265" s="9">
        <f t="shared" si="53"/>
        <v>-3.0045544401623658E-2</v>
      </c>
      <c r="M265" s="9">
        <f t="shared" si="53"/>
        <v>-4.1228728396989434E-2</v>
      </c>
      <c r="N265" s="9">
        <f t="shared" si="53"/>
        <v>-5.0065936183087079E-2</v>
      </c>
      <c r="O265" s="9">
        <f t="shared" si="53"/>
        <v>-5.7013104002322956E-2</v>
      </c>
      <c r="P265" s="9">
        <f t="shared" si="53"/>
        <v>-6.238679713565265E-2</v>
      </c>
      <c r="Q265" s="9">
        <f t="shared" si="53"/>
        <v>-6.6411207045350307E-2</v>
      </c>
      <c r="R265" s="9">
        <f t="shared" si="53"/>
        <v>-6.9305378127389905E-2</v>
      </c>
      <c r="S265" s="9">
        <f t="shared" si="53"/>
        <v>-7.2450125401869125E-2</v>
      </c>
      <c r="T265" s="9">
        <f t="shared" si="53"/>
        <v>-7.6271619552551573E-2</v>
      </c>
      <c r="U265" s="9">
        <f t="shared" si="53"/>
        <v>-8.0737848109211585E-2</v>
      </c>
      <c r="V265" s="9">
        <f t="shared" si="53"/>
        <v>-8.5692348744093372E-2</v>
      </c>
      <c r="W265" s="9">
        <f t="shared" si="53"/>
        <v>-9.0920535052031459E-2</v>
      </c>
      <c r="X265" s="9">
        <f t="shared" si="53"/>
        <v>-9.6170467041550411E-2</v>
      </c>
      <c r="Y265" s="9">
        <f t="shared" si="53"/>
        <v>-0.10123051481985645</v>
      </c>
      <c r="Z265" s="9">
        <f t="shared" si="53"/>
        <v>-0.10598521145122031</v>
      </c>
      <c r="AA265" s="9">
        <f t="shared" si="53"/>
        <v>-0.11036317006697871</v>
      </c>
      <c r="AB265" s="9">
        <f t="shared" si="53"/>
        <v>-0.11431062123870372</v>
      </c>
      <c r="AC265" s="9">
        <f t="shared" si="53"/>
        <v>-0.11780651461284508</v>
      </c>
      <c r="AD265" s="9">
        <f t="shared" si="53"/>
        <v>-0.12058728658038498</v>
      </c>
      <c r="AE265" s="9">
        <f t="shared" si="53"/>
        <v>-0.12266125901683023</v>
      </c>
      <c r="AF265" s="9">
        <f t="shared" si="53"/>
        <v>-0.12407672795940416</v>
      </c>
      <c r="AG265" s="9">
        <f t="shared" si="53"/>
        <v>-0.12485852398129438</v>
      </c>
      <c r="AH265" s="9">
        <f t="shared" si="53"/>
        <v>-0.12495964018220285</v>
      </c>
      <c r="AI265" s="9">
        <f t="shared" si="53"/>
        <v>-0.12430546764100103</v>
      </c>
      <c r="AJ265" s="9">
        <f t="shared" si="53"/>
        <v>-0.12287806392966816</v>
      </c>
      <c r="AK265" s="9">
        <f t="shared" si="53"/>
        <v>-0.12067955790104334</v>
      </c>
      <c r="AL265" s="9">
        <f t="shared" si="53"/>
        <v>-0.11773900832610573</v>
      </c>
    </row>
    <row r="266" spans="1:38" x14ac:dyDescent="0.35">
      <c r="B266" t="s">
        <v>7</v>
      </c>
      <c r="C266" s="9">
        <f t="shared" ref="C266:AL266" si="54">(C247/C142)/(C256/C130)-1</f>
        <v>0</v>
      </c>
      <c r="D266" s="9">
        <f t="shared" si="54"/>
        <v>0</v>
      </c>
      <c r="E266" s="9">
        <f t="shared" si="54"/>
        <v>0</v>
      </c>
      <c r="F266" s="9">
        <f t="shared" si="54"/>
        <v>0</v>
      </c>
      <c r="G266" s="9">
        <f t="shared" si="54"/>
        <v>0</v>
      </c>
      <c r="H266" s="9">
        <f t="shared" si="54"/>
        <v>0</v>
      </c>
      <c r="I266" s="9">
        <f t="shared" si="54"/>
        <v>1.8376989598241078E-3</v>
      </c>
      <c r="J266" s="9">
        <f t="shared" si="54"/>
        <v>-9.0031154231881017E-3</v>
      </c>
      <c r="K266" s="9">
        <f t="shared" si="54"/>
        <v>-2.4068882951359338E-2</v>
      </c>
      <c r="L266" s="9">
        <f t="shared" si="54"/>
        <v>-4.0382051760041171E-2</v>
      </c>
      <c r="M266" s="9">
        <f t="shared" si="54"/>
        <v>-5.5708534453971059E-2</v>
      </c>
      <c r="N266" s="9">
        <f t="shared" si="54"/>
        <v>-6.6592635153217228E-2</v>
      </c>
      <c r="O266" s="9">
        <f t="shared" si="54"/>
        <v>-7.3834480671880254E-2</v>
      </c>
      <c r="P266" s="9">
        <f t="shared" si="54"/>
        <v>-7.8249807619783285E-2</v>
      </c>
      <c r="Q266" s="9">
        <f t="shared" si="54"/>
        <v>-8.0444656994947406E-2</v>
      </c>
      <c r="R266" s="9">
        <f t="shared" si="54"/>
        <v>-8.08632571791289E-2</v>
      </c>
      <c r="S266" s="9">
        <f t="shared" si="54"/>
        <v>-8.2283830804607438E-2</v>
      </c>
      <c r="T266" s="9">
        <f t="shared" si="54"/>
        <v>-8.4764430000761948E-2</v>
      </c>
      <c r="U266" s="9">
        <f t="shared" si="54"/>
        <v>-8.8090048711855551E-2</v>
      </c>
      <c r="V266" s="9">
        <f t="shared" si="54"/>
        <v>-9.1939851328947442E-2</v>
      </c>
      <c r="W266" s="9">
        <f t="shared" si="54"/>
        <v>-9.5959228275119157E-2</v>
      </c>
      <c r="X266" s="9">
        <f t="shared" si="54"/>
        <v>-9.9788885053574083E-2</v>
      </c>
      <c r="Y266" s="9">
        <f t="shared" si="54"/>
        <v>-0.10313216130738967</v>
      </c>
      <c r="Z266" s="9">
        <f t="shared" si="54"/>
        <v>-0.10579825025998568</v>
      </c>
      <c r="AA266" s="9">
        <f t="shared" si="54"/>
        <v>-0.10764849925395359</v>
      </c>
      <c r="AB266" s="9">
        <f t="shared" si="54"/>
        <v>-0.10857314681707741</v>
      </c>
      <c r="AC266" s="9">
        <f t="shared" si="54"/>
        <v>-0.1083805503729337</v>
      </c>
      <c r="AD266" s="9">
        <f t="shared" si="54"/>
        <v>-0.106931598669879</v>
      </c>
      <c r="AE266" s="9">
        <f t="shared" si="54"/>
        <v>-0.10419915262190582</v>
      </c>
      <c r="AF266" s="9">
        <f t="shared" si="54"/>
        <v>-0.10019053536296485</v>
      </c>
      <c r="AG266" s="9">
        <f t="shared" si="54"/>
        <v>-9.4881312290852504E-2</v>
      </c>
      <c r="AH266" s="9">
        <f t="shared" si="54"/>
        <v>-8.8167091333682945E-2</v>
      </c>
      <c r="AI266" s="9">
        <f t="shared" si="54"/>
        <v>-7.9899644192138908E-2</v>
      </c>
      <c r="AJ266" s="9">
        <f t="shared" si="54"/>
        <v>-6.9951376927156472E-2</v>
      </c>
      <c r="AK266" s="9">
        <f t="shared" si="54"/>
        <v>-5.8166004220207235E-2</v>
      </c>
      <c r="AL266" s="9">
        <f t="shared" si="54"/>
        <v>-4.4331697515493595E-2</v>
      </c>
    </row>
    <row r="267" spans="1:38" x14ac:dyDescent="0.35">
      <c r="B267" t="s">
        <v>8</v>
      </c>
      <c r="C267" s="9">
        <f t="shared" ref="C267:AL267" si="55">(C248/C145)/(C257/C133)-1</f>
        <v>0</v>
      </c>
      <c r="D267" s="9">
        <f t="shared" si="55"/>
        <v>0</v>
      </c>
      <c r="E267" s="9">
        <f t="shared" si="55"/>
        <v>0</v>
      </c>
      <c r="F267" s="9">
        <f t="shared" si="55"/>
        <v>0</v>
      </c>
      <c r="G267" s="9">
        <f t="shared" si="55"/>
        <v>0</v>
      </c>
      <c r="H267" s="9">
        <f t="shared" si="55"/>
        <v>0</v>
      </c>
      <c r="I267" s="9">
        <f t="shared" si="55"/>
        <v>6.8319335693800554E-4</v>
      </c>
      <c r="J267" s="9">
        <f t="shared" si="55"/>
        <v>-4.7135535880976631E-3</v>
      </c>
      <c r="K267" s="9">
        <f t="shared" si="55"/>
        <v>-1.2903164492879093E-2</v>
      </c>
      <c r="L267" s="9">
        <f t="shared" si="55"/>
        <v>-2.3297505811530561E-2</v>
      </c>
      <c r="M267" s="9">
        <f t="shared" si="55"/>
        <v>-3.2852756636468472E-2</v>
      </c>
      <c r="N267" s="9">
        <f t="shared" si="55"/>
        <v>-4.0301487200791963E-2</v>
      </c>
      <c r="O267" s="9">
        <f t="shared" si="55"/>
        <v>-4.6051900319031946E-2</v>
      </c>
      <c r="P267" s="9">
        <f t="shared" si="55"/>
        <v>-5.0434848827104806E-2</v>
      </c>
      <c r="Q267" s="9">
        <f t="shared" si="55"/>
        <v>-5.378362124555669E-2</v>
      </c>
      <c r="R267" s="9">
        <f t="shared" si="55"/>
        <v>-5.6270943978060539E-2</v>
      </c>
      <c r="S267" s="9">
        <f t="shared" si="55"/>
        <v>-5.8424297841959794E-2</v>
      </c>
      <c r="T267" s="9">
        <f t="shared" si="55"/>
        <v>-6.1228288606498538E-2</v>
      </c>
      <c r="U267" s="9">
        <f t="shared" si="55"/>
        <v>-6.4665653658897759E-2</v>
      </c>
      <c r="V267" s="9">
        <f t="shared" si="55"/>
        <v>-6.8553990762778683E-2</v>
      </c>
      <c r="W267" s="9">
        <f t="shared" si="55"/>
        <v>-7.2674424409866045E-2</v>
      </c>
      <c r="X267" s="9">
        <f t="shared" si="55"/>
        <v>-7.6820515297660763E-2</v>
      </c>
      <c r="Y267" s="9">
        <f t="shared" si="55"/>
        <v>-8.0828907080660706E-2</v>
      </c>
      <c r="Z267" s="9">
        <f t="shared" si="55"/>
        <v>-8.4594307652971601E-2</v>
      </c>
      <c r="AA267" s="9">
        <f t="shared" si="55"/>
        <v>-8.8050673626360876E-2</v>
      </c>
      <c r="AB267" s="9">
        <f t="shared" si="55"/>
        <v>-9.1156319407762698E-2</v>
      </c>
      <c r="AC267" s="9">
        <f t="shared" si="55"/>
        <v>-9.4086339724188117E-2</v>
      </c>
      <c r="AD267" s="9">
        <f t="shared" si="55"/>
        <v>-9.6618003351208293E-2</v>
      </c>
      <c r="AE267" s="9">
        <f t="shared" si="55"/>
        <v>-9.8735180185771543E-2</v>
      </c>
      <c r="AF267" s="9">
        <f t="shared" si="55"/>
        <v>-0.1004579576142709</v>
      </c>
      <c r="AG267" s="9">
        <f t="shared" si="55"/>
        <v>-0.10179786133607427</v>
      </c>
      <c r="AH267" s="9">
        <f t="shared" si="55"/>
        <v>-0.10274933660365693</v>
      </c>
      <c r="AI267" s="9">
        <f t="shared" si="55"/>
        <v>-0.10330085184126847</v>
      </c>
      <c r="AJ267" s="9">
        <f t="shared" si="55"/>
        <v>-0.1034563619989709</v>
      </c>
      <c r="AK267" s="9">
        <f t="shared" si="55"/>
        <v>-0.10324090684501819</v>
      </c>
      <c r="AL267" s="9">
        <f t="shared" si="55"/>
        <v>-0.10273220144508821</v>
      </c>
    </row>
    <row r="268" spans="1:38" x14ac:dyDescent="0.35">
      <c r="B268" t="s">
        <v>10</v>
      </c>
      <c r="C268" s="9">
        <f t="shared" ref="C268:AL268" si="56">(C249/C147)/(C258/C135)-1</f>
        <v>0</v>
      </c>
      <c r="D268" s="9">
        <f t="shared" si="56"/>
        <v>0</v>
      </c>
      <c r="E268" s="9">
        <f t="shared" si="56"/>
        <v>0</v>
      </c>
      <c r="F268" s="9">
        <f t="shared" si="56"/>
        <v>0</v>
      </c>
      <c r="G268" s="9">
        <f t="shared" si="56"/>
        <v>0</v>
      </c>
      <c r="H268" s="9">
        <f t="shared" si="56"/>
        <v>0</v>
      </c>
      <c r="I268" s="9">
        <f t="shared" si="56"/>
        <v>5.0745391543172147E-4</v>
      </c>
      <c r="J268" s="9">
        <f t="shared" si="56"/>
        <v>-8.9519038890332192E-3</v>
      </c>
      <c r="K268" s="9">
        <f t="shared" si="56"/>
        <v>-2.2525559034508591E-2</v>
      </c>
      <c r="L268" s="9">
        <f t="shared" si="56"/>
        <v>-3.8226058027937881E-2</v>
      </c>
      <c r="M268" s="9">
        <f t="shared" si="56"/>
        <v>-5.3988442784384416E-2</v>
      </c>
      <c r="N268" s="9">
        <f t="shared" si="56"/>
        <v>-6.6726704147556881E-2</v>
      </c>
      <c r="O268" s="9">
        <f t="shared" si="56"/>
        <v>-7.6940833234047545E-2</v>
      </c>
      <c r="P268" s="9">
        <f t="shared" si="56"/>
        <v>-8.5042830169862915E-2</v>
      </c>
      <c r="Q268" s="9">
        <f t="shared" si="56"/>
        <v>-9.1334509033557776E-2</v>
      </c>
      <c r="R268" s="9">
        <f t="shared" si="56"/>
        <v>-9.6063062733368287E-2</v>
      </c>
      <c r="S268" s="9">
        <f t="shared" si="56"/>
        <v>-0.10117575620040742</v>
      </c>
      <c r="T268" s="9">
        <f t="shared" si="56"/>
        <v>-0.10693430141659566</v>
      </c>
      <c r="U268" s="9">
        <f t="shared" si="56"/>
        <v>-0.11339046701401267</v>
      </c>
      <c r="V268" s="9">
        <f t="shared" si="56"/>
        <v>-0.12043996324831396</v>
      </c>
      <c r="W268" s="9">
        <f t="shared" si="56"/>
        <v>-0.12785627874527106</v>
      </c>
      <c r="X268" s="9">
        <f t="shared" si="56"/>
        <v>-0.13532253422889517</v>
      </c>
      <c r="Y268" s="9">
        <f t="shared" si="56"/>
        <v>-0.14255757265178404</v>
      </c>
      <c r="Z268" s="9">
        <f t="shared" si="56"/>
        <v>-0.14940548470112247</v>
      </c>
      <c r="AA268" s="9">
        <f t="shared" si="56"/>
        <v>-0.15576539306970805</v>
      </c>
      <c r="AB268" s="9">
        <f t="shared" si="56"/>
        <v>-0.16155818994032312</v>
      </c>
      <c r="AC268" s="9">
        <f t="shared" si="56"/>
        <v>-0.16656596600838114</v>
      </c>
      <c r="AD268" s="9">
        <f t="shared" si="56"/>
        <v>-0.17058395387873315</v>
      </c>
      <c r="AE268" s="9">
        <f t="shared" si="56"/>
        <v>-0.17365750768713706</v>
      </c>
      <c r="AF268" s="9">
        <f t="shared" si="56"/>
        <v>-0.17586949842970179</v>
      </c>
      <c r="AG268" s="9">
        <f t="shared" si="56"/>
        <v>-0.17726642619947242</v>
      </c>
      <c r="AH268" s="9">
        <f t="shared" si="56"/>
        <v>-0.17779319609070465</v>
      </c>
      <c r="AI268" s="9">
        <f t="shared" si="56"/>
        <v>-0.1773618480601048</v>
      </c>
      <c r="AJ268" s="9">
        <f t="shared" si="56"/>
        <v>-0.17597269573476204</v>
      </c>
      <c r="AK268" s="9">
        <f t="shared" si="56"/>
        <v>-0.17365999912942787</v>
      </c>
      <c r="AL268" s="9">
        <f t="shared" si="56"/>
        <v>-0.17050230193400051</v>
      </c>
    </row>
    <row r="269" spans="1:38" x14ac:dyDescent="0.35">
      <c r="B269" t="s">
        <v>23</v>
      </c>
      <c r="C269" s="9">
        <f t="shared" ref="C269:AL269" si="57">(C250/C148)/(C259/C136)-1</f>
        <v>0</v>
      </c>
      <c r="D269" s="9">
        <f t="shared" si="57"/>
        <v>0</v>
      </c>
      <c r="E269" s="9">
        <f t="shared" si="57"/>
        <v>0</v>
      </c>
      <c r="F269" s="9">
        <f t="shared" si="57"/>
        <v>0</v>
      </c>
      <c r="G269" s="9">
        <f t="shared" si="57"/>
        <v>0</v>
      </c>
      <c r="H269" s="9">
        <f t="shared" si="57"/>
        <v>0</v>
      </c>
      <c r="I269" s="9">
        <f t="shared" si="57"/>
        <v>3.2768881346334489E-4</v>
      </c>
      <c r="J269" s="9">
        <f t="shared" si="57"/>
        <v>-3.0536755544202654E-3</v>
      </c>
      <c r="K269" s="9">
        <f t="shared" si="57"/>
        <v>-8.0503559190689966E-3</v>
      </c>
      <c r="L269" s="9">
        <f t="shared" si="57"/>
        <v>-1.4140407193296567E-2</v>
      </c>
      <c r="M269" s="9">
        <f t="shared" si="57"/>
        <v>-1.9315867919008411E-2</v>
      </c>
      <c r="N269" s="9">
        <f t="shared" si="57"/>
        <v>-2.3194074402142828E-2</v>
      </c>
      <c r="O269" s="9">
        <f t="shared" si="57"/>
        <v>-2.584166317693759E-2</v>
      </c>
      <c r="P269" s="9">
        <f t="shared" si="57"/>
        <v>-2.7580529195094128E-2</v>
      </c>
      <c r="Q269" s="9">
        <f t="shared" si="57"/>
        <v>-2.8671807763686386E-2</v>
      </c>
      <c r="R269" s="9">
        <f t="shared" si="57"/>
        <v>-2.9232432599897162E-2</v>
      </c>
      <c r="S269" s="9">
        <f t="shared" si="57"/>
        <v>-2.9838722473861434E-2</v>
      </c>
      <c r="T269" s="9">
        <f t="shared" si="57"/>
        <v>-3.0591501427953194E-2</v>
      </c>
      <c r="U269" s="9">
        <f t="shared" si="57"/>
        <v>-3.1473285317110133E-2</v>
      </c>
      <c r="V269" s="9">
        <f t="shared" si="57"/>
        <v>-3.2414469811595792E-2</v>
      </c>
      <c r="W269" s="9">
        <f t="shared" si="57"/>
        <v>-3.3343361991730269E-2</v>
      </c>
      <c r="X269" s="9">
        <f t="shared" si="57"/>
        <v>-3.4216421066551317E-2</v>
      </c>
      <c r="Y269" s="9">
        <f t="shared" si="57"/>
        <v>-3.4995990029645152E-2</v>
      </c>
      <c r="Z269" s="9">
        <f t="shared" si="57"/>
        <v>-3.5623334669481976E-2</v>
      </c>
      <c r="AA269" s="9">
        <f t="shared" si="57"/>
        <v>-3.6046001703364361E-2</v>
      </c>
      <c r="AB269" s="9">
        <f t="shared" si="57"/>
        <v>-3.6222054709463936E-2</v>
      </c>
      <c r="AC269" s="9">
        <f t="shared" si="57"/>
        <v>-3.6187792730509871E-2</v>
      </c>
      <c r="AD269" s="9">
        <f t="shared" si="57"/>
        <v>-3.5986550821734076E-2</v>
      </c>
      <c r="AE269" s="9">
        <f t="shared" si="57"/>
        <v>-3.5562136973442904E-2</v>
      </c>
      <c r="AF269" s="9">
        <f t="shared" si="57"/>
        <v>-3.4847867994422299E-2</v>
      </c>
      <c r="AG269" s="9">
        <f t="shared" si="57"/>
        <v>-3.3771264474870888E-2</v>
      </c>
      <c r="AH269" s="9">
        <f t="shared" si="57"/>
        <v>-3.2281871471629642E-2</v>
      </c>
      <c r="AI269" s="9">
        <f t="shared" si="57"/>
        <v>-3.0316531118970702E-2</v>
      </c>
      <c r="AJ269" s="9">
        <f t="shared" si="57"/>
        <v>-2.7740247200358725E-2</v>
      </c>
      <c r="AK269" s="9">
        <f t="shared" si="57"/>
        <v>-2.4366463467079269E-2</v>
      </c>
      <c r="AL269" s="9">
        <f t="shared" si="57"/>
        <v>-1.9932481125377821E-2</v>
      </c>
    </row>
    <row r="270" spans="1:38" x14ac:dyDescent="0.35">
      <c r="B270" t="s">
        <v>32</v>
      </c>
      <c r="C270" s="9">
        <f t="shared" ref="C270:AL270" si="58">(C251/C59)/(C260/C58)-1</f>
        <v>0</v>
      </c>
      <c r="D270" s="9">
        <f t="shared" si="58"/>
        <v>0</v>
      </c>
      <c r="E270" s="9">
        <f t="shared" si="58"/>
        <v>0</v>
      </c>
      <c r="F270" s="9">
        <f t="shared" si="58"/>
        <v>0</v>
      </c>
      <c r="G270" s="9">
        <f t="shared" si="58"/>
        <v>0</v>
      </c>
      <c r="H270" s="9">
        <f t="shared" si="58"/>
        <v>0</v>
      </c>
      <c r="I270" s="9">
        <f t="shared" si="58"/>
        <v>3.7477566138099938E-4</v>
      </c>
      <c r="J270" s="9">
        <f t="shared" si="58"/>
        <v>-3.2251879030165131E-4</v>
      </c>
      <c r="K270" s="9">
        <f t="shared" si="58"/>
        <v>-1.4743742554015338E-3</v>
      </c>
      <c r="L270" s="9">
        <f t="shared" si="58"/>
        <v>-5.2948727626391801E-3</v>
      </c>
      <c r="M270" s="9">
        <f t="shared" si="58"/>
        <v>-1.2325773707631771E-2</v>
      </c>
      <c r="N270" s="9">
        <f t="shared" si="58"/>
        <v>-2.1092266139068339E-2</v>
      </c>
      <c r="O270" s="9">
        <f t="shared" si="58"/>
        <v>-3.0285200160171555E-2</v>
      </c>
      <c r="P270" s="9">
        <f t="shared" si="58"/>
        <v>-3.8555891173029933E-2</v>
      </c>
      <c r="Q270" s="9">
        <f t="shared" si="58"/>
        <v>-4.527933131018913E-2</v>
      </c>
      <c r="R270" s="9">
        <f t="shared" si="58"/>
        <v>-5.0380815980819005E-2</v>
      </c>
      <c r="S270" s="9">
        <f t="shared" si="58"/>
        <v>-5.443982726519947E-2</v>
      </c>
      <c r="T270" s="9">
        <f t="shared" si="58"/>
        <v>-5.7685070471981237E-2</v>
      </c>
      <c r="U270" s="9">
        <f t="shared" si="58"/>
        <v>-6.0444111232853648E-2</v>
      </c>
      <c r="V270" s="9">
        <f t="shared" si="58"/>
        <v>-6.2882761971160606E-2</v>
      </c>
      <c r="W270" s="9">
        <f t="shared" si="58"/>
        <v>-6.5055278702323416E-2</v>
      </c>
      <c r="X270" s="9">
        <f t="shared" si="58"/>
        <v>-6.6909261538974363E-2</v>
      </c>
      <c r="Y270" s="9">
        <f t="shared" si="58"/>
        <v>-6.8389716015060054E-2</v>
      </c>
      <c r="Z270" s="9">
        <f t="shared" si="58"/>
        <v>-6.9537688342594661E-2</v>
      </c>
      <c r="AA270" s="9">
        <f t="shared" si="58"/>
        <v>-7.0371559822860585E-2</v>
      </c>
      <c r="AB270" s="9">
        <f t="shared" si="58"/>
        <v>-7.0896347350340227E-2</v>
      </c>
      <c r="AC270" s="9">
        <f t="shared" si="58"/>
        <v>-7.1000851785092411E-2</v>
      </c>
      <c r="AD270" s="9">
        <f t="shared" si="58"/>
        <v>-7.0591832811095379E-2</v>
      </c>
      <c r="AE270" s="9">
        <f t="shared" si="58"/>
        <v>-6.9754881998761675E-2</v>
      </c>
      <c r="AF270" s="9">
        <f t="shared" si="58"/>
        <v>-6.8590113274476394E-2</v>
      </c>
      <c r="AG270" s="9">
        <f t="shared" si="58"/>
        <v>-6.7165305617469917E-2</v>
      </c>
      <c r="AH270" s="9">
        <f t="shared" si="58"/>
        <v>-6.5470049890047122E-2</v>
      </c>
      <c r="AI270" s="9">
        <f t="shared" si="58"/>
        <v>-6.3472867570603664E-2</v>
      </c>
      <c r="AJ270" s="9">
        <f t="shared" si="58"/>
        <v>-6.1212995398984615E-2</v>
      </c>
      <c r="AK270" s="9">
        <f t="shared" si="58"/>
        <v>-5.8755775870483085E-2</v>
      </c>
      <c r="AL270" s="9">
        <f t="shared" si="58"/>
        <v>-5.6197802854474399E-2</v>
      </c>
    </row>
    <row r="271" spans="1:38" x14ac:dyDescent="0.35">
      <c r="B271" t="s">
        <v>33</v>
      </c>
      <c r="C271" s="9">
        <f t="shared" ref="C271:AL271" si="59">(C252/C59)/(C261/C58)-1</f>
        <v>0</v>
      </c>
      <c r="D271" s="9">
        <f t="shared" si="59"/>
        <v>0</v>
      </c>
      <c r="E271" s="9">
        <f t="shared" si="59"/>
        <v>0</v>
      </c>
      <c r="F271" s="9">
        <f t="shared" si="59"/>
        <v>0</v>
      </c>
      <c r="G271" s="9">
        <f t="shared" si="59"/>
        <v>0</v>
      </c>
      <c r="H271" s="9">
        <f t="shared" si="59"/>
        <v>0</v>
      </c>
      <c r="I271" s="9">
        <f t="shared" si="59"/>
        <v>3.5262626173881984E-4</v>
      </c>
      <c r="J271" s="9">
        <f t="shared" si="59"/>
        <v>2.9317664091821349E-4</v>
      </c>
      <c r="K271" s="9">
        <f t="shared" si="59"/>
        <v>6.2681125825658768E-4</v>
      </c>
      <c r="L271" s="9">
        <f t="shared" si="59"/>
        <v>-1.5976081267898845E-3</v>
      </c>
      <c r="M271" s="9">
        <f t="shared" si="59"/>
        <v>-7.6473322565545621E-3</v>
      </c>
      <c r="N271" s="9">
        <f t="shared" si="59"/>
        <v>-1.6846894729785733E-2</v>
      </c>
      <c r="O271" s="9">
        <f t="shared" si="59"/>
        <v>-2.7788761262602213E-2</v>
      </c>
      <c r="P271" s="9">
        <f t="shared" si="59"/>
        <v>-3.8544438462499553E-2</v>
      </c>
      <c r="Q271" s="9">
        <f t="shared" si="59"/>
        <v>-4.7980618418838383E-2</v>
      </c>
      <c r="R271" s="9">
        <f t="shared" si="59"/>
        <v>-5.5699267599692792E-2</v>
      </c>
      <c r="S271" s="9">
        <f t="shared" si="59"/>
        <v>-6.2238938885681327E-2</v>
      </c>
      <c r="T271" s="9">
        <f t="shared" si="59"/>
        <v>-6.7876391357572508E-2</v>
      </c>
      <c r="U271" s="9">
        <f t="shared" si="59"/>
        <v>-7.2957412705661806E-2</v>
      </c>
      <c r="V271" s="9">
        <f t="shared" si="59"/>
        <v>-7.7610791763580544E-2</v>
      </c>
      <c r="W271" s="9">
        <f t="shared" si="59"/>
        <v>-8.1855788787405626E-2</v>
      </c>
      <c r="X271" s="9">
        <f t="shared" si="59"/>
        <v>-8.5606977682635144E-2</v>
      </c>
      <c r="Y271" s="9">
        <f t="shared" si="59"/>
        <v>-8.8790218566377366E-2</v>
      </c>
      <c r="Z271" s="9">
        <f t="shared" si="59"/>
        <v>-9.1463274025099239E-2</v>
      </c>
      <c r="AA271" s="9">
        <f t="shared" si="59"/>
        <v>-9.3646442343032099E-2</v>
      </c>
      <c r="AB271" s="9">
        <f t="shared" si="59"/>
        <v>-9.5345835724404804E-2</v>
      </c>
      <c r="AC271" s="9">
        <f t="shared" si="59"/>
        <v>-9.6453240604788659E-2</v>
      </c>
      <c r="AD271" s="9">
        <f t="shared" si="59"/>
        <v>-9.6880050853534794E-2</v>
      </c>
      <c r="AE271" s="9">
        <f t="shared" si="59"/>
        <v>-9.671917450860712E-2</v>
      </c>
      <c r="AF271" s="9">
        <f t="shared" si="59"/>
        <v>-9.6079887252308982E-2</v>
      </c>
      <c r="AG271" s="9">
        <f t="shared" si="59"/>
        <v>-9.5035833967998307E-2</v>
      </c>
      <c r="AH271" s="9">
        <f t="shared" si="59"/>
        <v>-9.357846055781438E-2</v>
      </c>
      <c r="AI271" s="9">
        <f t="shared" si="59"/>
        <v>-9.1674964024597072E-2</v>
      </c>
      <c r="AJ271" s="9">
        <f t="shared" si="59"/>
        <v>-8.9363622979701907E-2</v>
      </c>
      <c r="AK271" s="9">
        <f t="shared" si="59"/>
        <v>-8.6718739522759325E-2</v>
      </c>
      <c r="AL271" s="9">
        <f t="shared" si="59"/>
        <v>-8.3873610902438611E-2</v>
      </c>
    </row>
    <row r="272" spans="1:38" x14ac:dyDescent="0.35">
      <c r="B272" t="s">
        <v>34</v>
      </c>
      <c r="C272" s="9">
        <f t="shared" ref="C272:AL272" si="60">(C253/C59)/(C262/C58)-1</f>
        <v>0</v>
      </c>
      <c r="D272" s="9">
        <f t="shared" si="60"/>
        <v>0</v>
      </c>
      <c r="E272" s="9">
        <f t="shared" si="60"/>
        <v>0</v>
      </c>
      <c r="F272" s="9">
        <f t="shared" si="60"/>
        <v>0</v>
      </c>
      <c r="G272" s="9">
        <f t="shared" si="60"/>
        <v>0</v>
      </c>
      <c r="H272" s="9">
        <f t="shared" si="60"/>
        <v>0</v>
      </c>
      <c r="I272" s="9">
        <f t="shared" si="60"/>
        <v>4.0103605041008628E-4</v>
      </c>
      <c r="J272" s="9">
        <f t="shared" si="60"/>
        <v>-1.053028568799963E-3</v>
      </c>
      <c r="K272" s="9">
        <f t="shared" si="60"/>
        <v>-3.9771188532532475E-3</v>
      </c>
      <c r="L272" s="9">
        <f t="shared" si="60"/>
        <v>-9.7325759142068424E-3</v>
      </c>
      <c r="M272" s="9">
        <f t="shared" si="60"/>
        <v>-1.800669576770686E-2</v>
      </c>
      <c r="N272" s="9">
        <f t="shared" si="60"/>
        <v>-2.6326339258803566E-2</v>
      </c>
      <c r="O272" s="9">
        <f t="shared" si="60"/>
        <v>-3.3419191938286574E-2</v>
      </c>
      <c r="P272" s="9">
        <f t="shared" si="60"/>
        <v>-3.857055987317104E-2</v>
      </c>
      <c r="Q272" s="9">
        <f t="shared" si="60"/>
        <v>-4.1745754600719609E-2</v>
      </c>
      <c r="R272" s="9">
        <f t="shared" si="60"/>
        <v>-4.3273755758999721E-2</v>
      </c>
      <c r="S272" s="9">
        <f t="shared" si="60"/>
        <v>-4.3793466915269086E-2</v>
      </c>
      <c r="T272" s="9">
        <f t="shared" si="60"/>
        <v>-4.3480738735798163E-2</v>
      </c>
      <c r="U272" s="9">
        <f t="shared" si="60"/>
        <v>-4.2652945637291939E-2</v>
      </c>
      <c r="V272" s="9">
        <f t="shared" si="60"/>
        <v>-4.1548258992981979E-2</v>
      </c>
      <c r="W272" s="9">
        <f t="shared" si="60"/>
        <v>-4.0295999370968505E-2</v>
      </c>
      <c r="X272" s="9">
        <f t="shared" si="60"/>
        <v>-3.8919419391514554E-2</v>
      </c>
      <c r="Y272" s="9">
        <f t="shared" si="60"/>
        <v>-3.7419865892158732E-2</v>
      </c>
      <c r="Z272" s="9">
        <f t="shared" si="60"/>
        <v>-3.5838898332773317E-2</v>
      </c>
      <c r="AA272" s="9">
        <f t="shared" si="60"/>
        <v>-3.4214609107905858E-2</v>
      </c>
      <c r="AB272" s="9">
        <f t="shared" si="60"/>
        <v>-3.2569855306783912E-2</v>
      </c>
      <c r="AC272" s="9">
        <f t="shared" si="60"/>
        <v>-3.0805275164064838E-2</v>
      </c>
      <c r="AD272" s="9">
        <f t="shared" si="60"/>
        <v>-2.8834088982444439E-2</v>
      </c>
      <c r="AE272" s="9">
        <f t="shared" si="60"/>
        <v>-2.6741051173986952E-2</v>
      </c>
      <c r="AF272" s="9">
        <f t="shared" si="60"/>
        <v>-2.4619221319078122E-2</v>
      </c>
      <c r="AG272" s="9">
        <f t="shared" si="60"/>
        <v>-2.253067400181008E-2</v>
      </c>
      <c r="AH272" s="9">
        <f t="shared" si="60"/>
        <v>-2.0462108223627706E-2</v>
      </c>
      <c r="AI272" s="9">
        <f t="shared" si="60"/>
        <v>-1.8381227398043265E-2</v>
      </c>
      <c r="AJ272" s="9">
        <f t="shared" si="60"/>
        <v>-1.6323324825458951E-2</v>
      </c>
      <c r="AK272" s="9">
        <f t="shared" si="60"/>
        <v>-1.4331956835905935E-2</v>
      </c>
      <c r="AL272" s="9">
        <f t="shared" si="60"/>
        <v>-1.2436861133189869E-2</v>
      </c>
    </row>
    <row r="274" spans="1:38" x14ac:dyDescent="0.35">
      <c r="A274" s="12" t="s">
        <v>17</v>
      </c>
      <c r="B274" t="s">
        <v>80</v>
      </c>
      <c r="C274" s="6">
        <f>[1]Results!F1600</f>
        <v>472777.57949999999</v>
      </c>
      <c r="D274" s="6">
        <f>[1]Results!G1600</f>
        <v>477375.7671</v>
      </c>
      <c r="E274" s="6">
        <f>[1]Results!H1600</f>
        <v>482907.80219999998</v>
      </c>
      <c r="F274" s="6">
        <f>[1]Results!I1600</f>
        <v>489726.42259999999</v>
      </c>
      <c r="G274" s="6">
        <f>[1]Results!J1600</f>
        <v>497441.59759999998</v>
      </c>
      <c r="H274" s="6">
        <f>[1]Results!K1600</f>
        <v>505748.71950000001</v>
      </c>
      <c r="I274" s="6">
        <f>[1]Results!L1600</f>
        <v>514433.8909</v>
      </c>
      <c r="J274" s="6">
        <f>[1]Results!M1600</f>
        <v>522229.61790000001</v>
      </c>
      <c r="K274" s="6">
        <f>[1]Results!N1600</f>
        <v>529962.40119999996</v>
      </c>
      <c r="L274" s="6">
        <f>[1]Results!O1600</f>
        <v>539449.42720000003</v>
      </c>
      <c r="M274" s="6">
        <f>[1]Results!P1600</f>
        <v>550132.5943</v>
      </c>
      <c r="N274" s="6">
        <f>[1]Results!Q1600</f>
        <v>561679.25430000003</v>
      </c>
      <c r="O274" s="6">
        <f>[1]Results!R1600</f>
        <v>573843.15190000006</v>
      </c>
      <c r="P274" s="6">
        <f>[1]Results!S1600</f>
        <v>586280.1483</v>
      </c>
      <c r="Q274" s="6">
        <f>[1]Results!T1600</f>
        <v>599025.9473</v>
      </c>
      <c r="R274" s="6">
        <f>[1]Results!U1600</f>
        <v>612167.97860000003</v>
      </c>
      <c r="S274" s="6">
        <f>[1]Results!V1600</f>
        <v>625770.82770000002</v>
      </c>
      <c r="T274" s="6">
        <f>[1]Results!W1600</f>
        <v>639905.36910000001</v>
      </c>
      <c r="U274" s="6">
        <f>[1]Results!X1600</f>
        <v>654658.90040000004</v>
      </c>
      <c r="V274" s="6">
        <f>[1]Results!Y1600</f>
        <v>670098.78099999996</v>
      </c>
      <c r="W274" s="6">
        <f>[1]Results!Z1600</f>
        <v>686294.3848</v>
      </c>
      <c r="X274" s="6">
        <f>[1]Results!AA1600</f>
        <v>703302.43449999997</v>
      </c>
      <c r="Y274" s="6">
        <f>[1]Results!AB1600</f>
        <v>721205.29220000003</v>
      </c>
      <c r="Z274" s="6">
        <f>[1]Results!AC1600</f>
        <v>740081.8088</v>
      </c>
      <c r="AA274" s="6">
        <f>[1]Results!AD1600</f>
        <v>759963.18949999998</v>
      </c>
      <c r="AB274" s="6">
        <f>[1]Results!AE1600</f>
        <v>780877.37879999995</v>
      </c>
      <c r="AC274" s="6">
        <f>[1]Results!AF1600</f>
        <v>802848.65350000001</v>
      </c>
      <c r="AD274" s="6">
        <f>[1]Results!AG1600</f>
        <v>825938.11609999998</v>
      </c>
      <c r="AE274" s="6">
        <f>[1]Results!AH1600</f>
        <v>850236.43530000001</v>
      </c>
      <c r="AF274" s="6">
        <f>[1]Results!AI1600</f>
        <v>875757.1923</v>
      </c>
      <c r="AG274" s="6">
        <f>[1]Results!AJ1600</f>
        <v>902433.51670000004</v>
      </c>
      <c r="AH274" s="6">
        <f>[1]Results!AK1600</f>
        <v>930170.31050000002</v>
      </c>
      <c r="AI274" s="6">
        <f>[1]Results!AL1600</f>
        <v>958887.42099999997</v>
      </c>
      <c r="AJ274" s="6">
        <f>[1]Results!AM1600</f>
        <v>988536.35069999995</v>
      </c>
      <c r="AK274" s="6">
        <f>[1]Results!AN1600</f>
        <v>1019086.939</v>
      </c>
      <c r="AL274" s="6">
        <f>[1]Results!AO1600</f>
        <v>1050533.9240000001</v>
      </c>
    </row>
    <row r="275" spans="1:38" x14ac:dyDescent="0.35">
      <c r="A275" t="s">
        <v>27</v>
      </c>
      <c r="B275" t="s">
        <v>7</v>
      </c>
      <c r="C275" s="6">
        <f>[1]Results!F1601</f>
        <v>12186.07504</v>
      </c>
      <c r="D275" s="6">
        <f>[1]Results!G1601</f>
        <v>12164.777830000001</v>
      </c>
      <c r="E275" s="6">
        <f>[1]Results!H1601</f>
        <v>12136.855250000001</v>
      </c>
      <c r="F275" s="6">
        <f>[1]Results!I1601</f>
        <v>12173.640939999999</v>
      </c>
      <c r="G275" s="6">
        <f>[1]Results!J1601</f>
        <v>12262.541649999999</v>
      </c>
      <c r="H275" s="6">
        <f>[1]Results!K1601</f>
        <v>12390.61501</v>
      </c>
      <c r="I275" s="6">
        <f>[1]Results!L1601</f>
        <v>12547.65177</v>
      </c>
      <c r="J275" s="6">
        <f>[1]Results!M1601</f>
        <v>12720.56755</v>
      </c>
      <c r="K275" s="6">
        <f>[1]Results!N1601</f>
        <v>12904.947620000001</v>
      </c>
      <c r="L275" s="6">
        <f>[1]Results!O1601</f>
        <v>13145.18384</v>
      </c>
      <c r="M275" s="6">
        <f>[1]Results!P1601</f>
        <v>13421.438319999999</v>
      </c>
      <c r="N275" s="6">
        <f>[1]Results!Q1601</f>
        <v>13713.73833</v>
      </c>
      <c r="O275" s="6">
        <f>[1]Results!R1601</f>
        <v>14021.56602</v>
      </c>
      <c r="P275" s="6">
        <f>[1]Results!S1601</f>
        <v>14338.90661</v>
      </c>
      <c r="Q275" s="6">
        <f>[1]Results!T1601</f>
        <v>14667.804260000001</v>
      </c>
      <c r="R275" s="6">
        <f>[1]Results!U1601</f>
        <v>15010.14035</v>
      </c>
      <c r="S275" s="6">
        <f>[1]Results!V1601</f>
        <v>15371.654640000001</v>
      </c>
      <c r="T275" s="6">
        <f>[1]Results!W1601</f>
        <v>15750.2647</v>
      </c>
      <c r="U275" s="6">
        <f>[1]Results!X1601</f>
        <v>16146.647790000001</v>
      </c>
      <c r="V275" s="6">
        <f>[1]Results!Y1601</f>
        <v>16562.130430000001</v>
      </c>
      <c r="W275" s="6">
        <f>[1]Results!Z1601</f>
        <v>16998.518530000001</v>
      </c>
      <c r="X275" s="6">
        <f>[1]Results!AA1601</f>
        <v>17457.255570000001</v>
      </c>
      <c r="Y275" s="6">
        <f>[1]Results!AB1601</f>
        <v>17940.554380000001</v>
      </c>
      <c r="Z275" s="6">
        <f>[1]Results!AC1601</f>
        <v>18450.505150000001</v>
      </c>
      <c r="AA275" s="6">
        <f>[1]Results!AD1601</f>
        <v>18987.740570000002</v>
      </c>
      <c r="AB275" s="6">
        <f>[1]Results!AE1601</f>
        <v>19552.698710000001</v>
      </c>
      <c r="AC275" s="6">
        <f>[1]Results!AF1601</f>
        <v>20142.558819999998</v>
      </c>
      <c r="AD275" s="6">
        <f>[1]Results!AG1601</f>
        <v>20759.809740000001</v>
      </c>
      <c r="AE275" s="6">
        <f>[1]Results!AH1601</f>
        <v>21406.695540000001</v>
      </c>
      <c r="AF275" s="6">
        <f>[1]Results!AI1601</f>
        <v>22082.444230000001</v>
      </c>
      <c r="AG275" s="6">
        <f>[1]Results!AJ1601</f>
        <v>22783.490890000001</v>
      </c>
      <c r="AH275" s="6">
        <f>[1]Results!AK1601</f>
        <v>23505.143680000001</v>
      </c>
      <c r="AI275" s="6">
        <f>[1]Results!AL1601</f>
        <v>24242.85902</v>
      </c>
      <c r="AJ275" s="6">
        <f>[1]Results!AM1601</f>
        <v>24992.62097</v>
      </c>
      <c r="AK275" s="6">
        <f>[1]Results!AN1601</f>
        <v>25750.306519999998</v>
      </c>
      <c r="AL275" s="6">
        <f>[1]Results!AO1601</f>
        <v>26511.19081</v>
      </c>
    </row>
    <row r="276" spans="1:38" x14ac:dyDescent="0.35">
      <c r="B276" t="s">
        <v>96</v>
      </c>
      <c r="C276" s="6">
        <f>[1]Results!F1614</f>
        <v>7520.3798610000003</v>
      </c>
      <c r="D276" s="6">
        <f>[1]Results!G1614</f>
        <v>7913.0890570000001</v>
      </c>
      <c r="E276" s="6">
        <f>[1]Results!H1614</f>
        <v>8396.7167079999999</v>
      </c>
      <c r="F276" s="6">
        <f>[1]Results!I1614</f>
        <v>8776.6031679999996</v>
      </c>
      <c r="G276" s="6">
        <f>[1]Results!J1614</f>
        <v>9034.9368579999991</v>
      </c>
      <c r="H276" s="6">
        <f>[1]Results!K1614</f>
        <v>9216.8114829999995</v>
      </c>
      <c r="I276" s="6">
        <f>[1]Results!L1614</f>
        <v>9363.7543380000006</v>
      </c>
      <c r="J276" s="6">
        <f>[1]Results!M1614</f>
        <v>9494.2977119999996</v>
      </c>
      <c r="K276" s="6">
        <f>[1]Results!N1614</f>
        <v>9635.6862490000003</v>
      </c>
      <c r="L276" s="6">
        <f>[1]Results!O1614</f>
        <v>9815.5969179999993</v>
      </c>
      <c r="M276" s="6">
        <f>[1]Results!P1614</f>
        <v>10035.611129999999</v>
      </c>
      <c r="N276" s="6">
        <f>[1]Results!Q1614</f>
        <v>10279.386839999999</v>
      </c>
      <c r="O276" s="6">
        <f>[1]Results!R1614</f>
        <v>10523.86505</v>
      </c>
      <c r="P276" s="6">
        <f>[1]Results!S1614</f>
        <v>10760.276089999999</v>
      </c>
      <c r="Q276" s="6">
        <f>[1]Results!T1614</f>
        <v>10991.45802</v>
      </c>
      <c r="R276" s="6">
        <f>[1]Results!U1614</f>
        <v>11223.46595</v>
      </c>
      <c r="S276" s="6">
        <f>[1]Results!V1614</f>
        <v>11463.868049999999</v>
      </c>
      <c r="T276" s="6">
        <f>[1]Results!W1614</f>
        <v>11717.62702</v>
      </c>
      <c r="U276" s="6">
        <f>[1]Results!X1614</f>
        <v>11984.67887</v>
      </c>
      <c r="V276" s="6">
        <f>[1]Results!Y1614</f>
        <v>12263.00776</v>
      </c>
      <c r="W276" s="6">
        <f>[1]Results!Z1614</f>
        <v>12551.26161</v>
      </c>
      <c r="X276" s="6">
        <f>[1]Results!AA1614</f>
        <v>12849.185090000001</v>
      </c>
      <c r="Y276" s="6">
        <f>[1]Results!AB1614</f>
        <v>13157.21831</v>
      </c>
      <c r="Z276" s="6">
        <f>[1]Results!AC1614</f>
        <v>13476.20161</v>
      </c>
      <c r="AA276" s="6">
        <f>[1]Results!AD1614</f>
        <v>13806.70882</v>
      </c>
      <c r="AB276" s="6">
        <f>[1]Results!AE1614</f>
        <v>14149.719279999999</v>
      </c>
      <c r="AC276" s="6">
        <f>[1]Results!AF1614</f>
        <v>14505.92139</v>
      </c>
      <c r="AD276" s="6">
        <f>[1]Results!AG1614</f>
        <v>14875.68021</v>
      </c>
      <c r="AE276" s="6">
        <f>[1]Results!AH1614</f>
        <v>15261.03242</v>
      </c>
      <c r="AF276" s="6">
        <f>[1]Results!AI1614</f>
        <v>15664.360839999999</v>
      </c>
      <c r="AG276" s="6">
        <f>[1]Results!AJ1614</f>
        <v>16087.55312</v>
      </c>
      <c r="AH276" s="6">
        <f>[1]Results!AK1614</f>
        <v>16531.328699999998</v>
      </c>
      <c r="AI276" s="6">
        <f>[1]Results!AL1614</f>
        <v>16995.126459999999</v>
      </c>
      <c r="AJ276" s="6">
        <f>[1]Results!AM1614</f>
        <v>17478.196090000001</v>
      </c>
      <c r="AK276" s="6">
        <f>[1]Results!AN1614</f>
        <v>17979.727510000001</v>
      </c>
      <c r="AL276" s="6">
        <f>[1]Results!AO1614</f>
        <v>18498.835309999999</v>
      </c>
    </row>
    <row r="277" spans="1:38" x14ac:dyDescent="0.35">
      <c r="B277" t="s">
        <v>11</v>
      </c>
      <c r="C277" s="6">
        <f>[1]Results!F1629</f>
        <v>6753.6530009999997</v>
      </c>
      <c r="D277" s="6">
        <f>[1]Results!G1629</f>
        <v>6831.00947</v>
      </c>
      <c r="E277" s="6">
        <f>[1]Results!H1629</f>
        <v>6901.7974199999999</v>
      </c>
      <c r="F277" s="6">
        <f>[1]Results!I1629</f>
        <v>6976.542813</v>
      </c>
      <c r="G277" s="6">
        <f>[1]Results!J1629</f>
        <v>7051.4958900000001</v>
      </c>
      <c r="H277" s="6">
        <f>[1]Results!K1629</f>
        <v>7131.656962</v>
      </c>
      <c r="I277" s="6">
        <f>[1]Results!L1629</f>
        <v>7221.5901229999999</v>
      </c>
      <c r="J277" s="6">
        <f>[1]Results!M1629</f>
        <v>7358.2743829999999</v>
      </c>
      <c r="K277" s="6">
        <f>[1]Results!N1629</f>
        <v>7537.6288770000001</v>
      </c>
      <c r="L277" s="6">
        <f>[1]Results!O1629</f>
        <v>7784.5480040000002</v>
      </c>
      <c r="M277" s="6">
        <f>[1]Results!P1629</f>
        <v>8086.3331410000001</v>
      </c>
      <c r="N277" s="6">
        <f>[1]Results!Q1629</f>
        <v>8425.5334789999997</v>
      </c>
      <c r="O277" s="6">
        <f>[1]Results!R1629</f>
        <v>8795.4443169999995</v>
      </c>
      <c r="P277" s="6">
        <f>[1]Results!S1629</f>
        <v>9189.7927189999991</v>
      </c>
      <c r="Q277" s="6">
        <f>[1]Results!T1629</f>
        <v>9609.2203969999991</v>
      </c>
      <c r="R277" s="6">
        <f>[1]Results!U1629</f>
        <v>10054.506939999999</v>
      </c>
      <c r="S277" s="6">
        <f>[1]Results!V1629</f>
        <v>10516.449710000001</v>
      </c>
      <c r="T277" s="6">
        <f>[1]Results!W1629</f>
        <v>11000.97775</v>
      </c>
      <c r="U277" s="6">
        <f>[1]Results!X1629</f>
        <v>11508.86656</v>
      </c>
      <c r="V277" s="6">
        <f>[1]Results!Y1629</f>
        <v>12039.326880000001</v>
      </c>
      <c r="W277" s="6">
        <f>[1]Results!Z1629</f>
        <v>12591.80193</v>
      </c>
      <c r="X277" s="6">
        <f>[1]Results!AA1629</f>
        <v>13166.386049999999</v>
      </c>
      <c r="Y277" s="6">
        <f>[1]Results!AB1629</f>
        <v>13763.972100000001</v>
      </c>
      <c r="Z277" s="6">
        <f>[1]Results!AC1629</f>
        <v>14384.793379999999</v>
      </c>
      <c r="AA277" s="6">
        <f>[1]Results!AD1629</f>
        <v>15028.123089999999</v>
      </c>
      <c r="AB277" s="6">
        <f>[1]Results!AE1629</f>
        <v>15693.0677</v>
      </c>
      <c r="AC277" s="6">
        <f>[1]Results!AF1629</f>
        <v>16385.71905</v>
      </c>
      <c r="AD277" s="6">
        <f>[1]Results!AG1629</f>
        <v>17107.036220000002</v>
      </c>
      <c r="AE277" s="6">
        <f>[1]Results!AH1629</f>
        <v>17857.24581</v>
      </c>
      <c r="AF277" s="6">
        <f>[1]Results!AI1629</f>
        <v>18633.568899999998</v>
      </c>
      <c r="AG277" s="6">
        <f>[1]Results!AJ1629</f>
        <v>19431.128049999999</v>
      </c>
      <c r="AH277" s="6">
        <f>[1]Results!AK1629</f>
        <v>20245.809140000001</v>
      </c>
      <c r="AI277" s="6">
        <f>[1]Results!AL1629</f>
        <v>21075.013210000001</v>
      </c>
      <c r="AJ277" s="6">
        <f>[1]Results!AM1629</f>
        <v>21915.727299999999</v>
      </c>
      <c r="AK277" s="6">
        <f>[1]Results!AN1629</f>
        <v>22764.417590000001</v>
      </c>
      <c r="AL277" s="6">
        <f>[1]Results!AO1629</f>
        <v>23617.149590000001</v>
      </c>
    </row>
    <row r="278" spans="1:38" x14ac:dyDescent="0.35">
      <c r="B278" t="s">
        <v>8</v>
      </c>
      <c r="C278" s="6">
        <f>[1]Results!F1604-[1]Results!F1614</f>
        <v>59840.374749000002</v>
      </c>
      <c r="D278" s="6">
        <f>[1]Results!G1604-[1]Results!G1614</f>
        <v>60426.995213000009</v>
      </c>
      <c r="E278" s="6">
        <f>[1]Results!H1604-[1]Results!H1614</f>
        <v>61136.135281999996</v>
      </c>
      <c r="F278" s="6">
        <f>[1]Results!I1604-[1]Results!I1614</f>
        <v>61962.592831999995</v>
      </c>
      <c r="G278" s="6">
        <f>[1]Results!J1604-[1]Results!J1614</f>
        <v>62864.709302000003</v>
      </c>
      <c r="H278" s="6">
        <f>[1]Results!K1604-[1]Results!K1614</f>
        <v>63830.828297</v>
      </c>
      <c r="I278" s="6">
        <f>[1]Results!L1604-[1]Results!L1614</f>
        <v>64851.290322000001</v>
      </c>
      <c r="J278" s="6">
        <f>[1]Results!M1604-[1]Results!M1614</f>
        <v>65667.736818000005</v>
      </c>
      <c r="K278" s="6">
        <f>[1]Results!N1604-[1]Results!N1614</f>
        <v>66501.103940999994</v>
      </c>
      <c r="L278" s="6">
        <f>[1]Results!O1604-[1]Results!O1614</f>
        <v>67789.353492000009</v>
      </c>
      <c r="M278" s="6">
        <f>[1]Results!P1604-[1]Results!P1614</f>
        <v>69302.436799999996</v>
      </c>
      <c r="N278" s="6">
        <f>[1]Results!Q1604-[1]Results!Q1614</f>
        <v>70897.647079999995</v>
      </c>
      <c r="O278" s="6">
        <f>[1]Results!R1604-[1]Results!R1614</f>
        <v>72462.981390000001</v>
      </c>
      <c r="P278" s="6">
        <f>[1]Results!S1604-[1]Results!S1614</f>
        <v>73908.487179999996</v>
      </c>
      <c r="Q278" s="6">
        <f>[1]Results!T1604-[1]Results!T1614</f>
        <v>75276.949869999997</v>
      </c>
      <c r="R278" s="6">
        <f>[1]Results!U1604-[1]Results!U1614</f>
        <v>76623.729770000005</v>
      </c>
      <c r="S278" s="6">
        <f>[1]Results!V1604-[1]Results!V1614</f>
        <v>77988.37457</v>
      </c>
      <c r="T278" s="6">
        <f>[1]Results!W1604-[1]Results!W1614</f>
        <v>79415.641090000005</v>
      </c>
      <c r="U278" s="6">
        <f>[1]Results!X1604-[1]Results!X1614</f>
        <v>80939.857879999996</v>
      </c>
      <c r="V278" s="6">
        <f>[1]Results!Y1604-[1]Results!Y1614</f>
        <v>82580.938309999998</v>
      </c>
      <c r="W278" s="6">
        <f>[1]Results!Z1604-[1]Results!Z1614</f>
        <v>84356.339760000003</v>
      </c>
      <c r="X278" s="6">
        <f>[1]Results!AA1604-[1]Results!AA1614</f>
        <v>86281.960049999994</v>
      </c>
      <c r="Y278" s="6">
        <f>[1]Results!AB1604-[1]Results!AB1614</f>
        <v>88379.737690000009</v>
      </c>
      <c r="Z278" s="6">
        <f>[1]Results!AC1604-[1]Results!AC1614</f>
        <v>90664.503190000003</v>
      </c>
      <c r="AA278" s="6">
        <f>[1]Results!AD1604-[1]Results!AD1614</f>
        <v>93138.427179999999</v>
      </c>
      <c r="AB278" s="6">
        <f>[1]Results!AE1604-[1]Results!AE1614</f>
        <v>95803.811219999989</v>
      </c>
      <c r="AC278" s="6">
        <f>[1]Results!AF1604-[1]Results!AF1614</f>
        <v>98670.613310000001</v>
      </c>
      <c r="AD278" s="6">
        <f>[1]Results!AG1604-[1]Results!AG1614</f>
        <v>101766.13909</v>
      </c>
      <c r="AE278" s="6">
        <f>[1]Results!AH1604-[1]Results!AH1614</f>
        <v>105103.86098</v>
      </c>
      <c r="AF278" s="6">
        <f>[1]Results!AI1604-[1]Results!AI1614</f>
        <v>108665.00916</v>
      </c>
      <c r="AG278" s="6">
        <f>[1]Results!AJ1604-[1]Results!AJ1614</f>
        <v>112410.74378</v>
      </c>
      <c r="AH278" s="6">
        <f>[1]Results!AK1604-[1]Results!AK1614</f>
        <v>116305.99510000001</v>
      </c>
      <c r="AI278" s="6">
        <f>[1]Results!AL1604-[1]Results!AL1614</f>
        <v>120326.68223999999</v>
      </c>
      <c r="AJ278" s="6">
        <f>[1]Results!AM1604-[1]Results!AM1614</f>
        <v>124451.41781</v>
      </c>
      <c r="AK278" s="6">
        <f>[1]Results!AN1604-[1]Results!AN1614</f>
        <v>128659.05389000001</v>
      </c>
      <c r="AL278" s="6">
        <f>[1]Results!AO1604-[1]Results!AO1614</f>
        <v>132929.17339000001</v>
      </c>
    </row>
    <row r="279" spans="1:38" x14ac:dyDescent="0.35">
      <c r="B279" t="s">
        <v>24</v>
      </c>
      <c r="C279" s="6">
        <f>[1]Results!F1624</f>
        <v>3908.2854010000001</v>
      </c>
      <c r="D279" s="6">
        <f>[1]Results!G1624</f>
        <v>4027.782393</v>
      </c>
      <c r="E279" s="6">
        <f>[1]Results!H1624</f>
        <v>4157.0120550000001</v>
      </c>
      <c r="F279" s="6">
        <f>[1]Results!I1624</f>
        <v>4274.5009870000004</v>
      </c>
      <c r="G279" s="6">
        <f>[1]Results!J1624</f>
        <v>4384.3036780000002</v>
      </c>
      <c r="H279" s="6">
        <f>[1]Results!K1624</f>
        <v>4488.9595600000002</v>
      </c>
      <c r="I279" s="6">
        <f>[1]Results!L1624</f>
        <v>4590.6427679999997</v>
      </c>
      <c r="J279" s="6">
        <f>[1]Results!M1624</f>
        <v>4695.5869409999996</v>
      </c>
      <c r="K279" s="6">
        <f>[1]Results!N1624</f>
        <v>4792.8682509999999</v>
      </c>
      <c r="L279" s="6">
        <f>[1]Results!O1624</f>
        <v>4889.1974799999998</v>
      </c>
      <c r="M279" s="6">
        <f>[1]Results!P1624</f>
        <v>4980.965776</v>
      </c>
      <c r="N279" s="6">
        <f>[1]Results!Q1624</f>
        <v>5072.7546190000003</v>
      </c>
      <c r="O279" s="6">
        <f>[1]Results!R1624</f>
        <v>5163.5665989999998</v>
      </c>
      <c r="P279" s="6">
        <f>[1]Results!S1624</f>
        <v>5251.3109990000003</v>
      </c>
      <c r="Q279" s="6">
        <f>[1]Results!T1624</f>
        <v>5336.3073340000001</v>
      </c>
      <c r="R279" s="6">
        <f>[1]Results!U1624</f>
        <v>5419.445772</v>
      </c>
      <c r="S279" s="6">
        <f>[1]Results!V1624</f>
        <v>5503.5835079999997</v>
      </c>
      <c r="T279" s="6">
        <f>[1]Results!W1624</f>
        <v>5586.8501800000004</v>
      </c>
      <c r="U279" s="6">
        <f>[1]Results!X1624</f>
        <v>5669.9815319999998</v>
      </c>
      <c r="V279" s="6">
        <f>[1]Results!Y1624</f>
        <v>5754.2685190000002</v>
      </c>
      <c r="W279" s="6">
        <f>[1]Results!Z1624</f>
        <v>5841.1036219999996</v>
      </c>
      <c r="X279" s="6">
        <f>[1]Results!AA1624</f>
        <v>5931.9178389999997</v>
      </c>
      <c r="Y279" s="6">
        <f>[1]Results!AB1624</f>
        <v>6028.2539829999996</v>
      </c>
      <c r="Z279" s="6">
        <f>[1]Results!AC1624</f>
        <v>6131.3664159999998</v>
      </c>
      <c r="AA279" s="6">
        <f>[1]Results!AD1624</f>
        <v>6242.4405969999998</v>
      </c>
      <c r="AB279" s="6">
        <f>[1]Results!AE1624</f>
        <v>6362.8946120000001</v>
      </c>
      <c r="AC279" s="6">
        <f>[1]Results!AF1624</f>
        <v>6495.1220370000001</v>
      </c>
      <c r="AD279" s="6">
        <f>[1]Results!AG1624</f>
        <v>6642.0011780000004</v>
      </c>
      <c r="AE279" s="6">
        <f>[1]Results!AH1624</f>
        <v>6806.730759</v>
      </c>
      <c r="AF279" s="6">
        <f>[1]Results!AI1624</f>
        <v>6992.6534089999996</v>
      </c>
      <c r="AG279" s="6">
        <f>[1]Results!AJ1624</f>
        <v>7203.9968820000004</v>
      </c>
      <c r="AH279" s="6">
        <f>[1]Results!AK1624</f>
        <v>7447.4340140000004</v>
      </c>
      <c r="AI279" s="6">
        <f>[1]Results!AL1624</f>
        <v>7734.0755410000002</v>
      </c>
      <c r="AJ279" s="6">
        <f>[1]Results!AM1624</f>
        <v>8082.74557</v>
      </c>
      <c r="AK279" s="6">
        <f>[1]Results!AN1624</f>
        <v>8527.8825080000006</v>
      </c>
      <c r="AL279" s="6">
        <f>[1]Results!AO1624</f>
        <v>9139.3464220000005</v>
      </c>
    </row>
    <row r="280" spans="1:38" x14ac:dyDescent="0.35">
      <c r="B280" t="s">
        <v>10</v>
      </c>
      <c r="C280" s="6">
        <f>[1]Results!F1621</f>
        <v>366908.98749999999</v>
      </c>
      <c r="D280" s="6">
        <f>[1]Results!G1621</f>
        <v>370245.4143</v>
      </c>
      <c r="E280" s="6">
        <f>[1]Results!H1621</f>
        <v>374300.54149999999</v>
      </c>
      <c r="F280" s="6">
        <f>[1]Results!I1621</f>
        <v>379539.24709999998</v>
      </c>
      <c r="G280" s="6">
        <f>[1]Results!J1621</f>
        <v>385648.15899999999</v>
      </c>
      <c r="H280" s="6">
        <f>[1]Results!K1621</f>
        <v>392296.48320000002</v>
      </c>
      <c r="I280" s="6">
        <f>[1]Results!L1621</f>
        <v>399245.86790000001</v>
      </c>
      <c r="J280" s="6">
        <f>[1]Results!M1621</f>
        <v>405475.04739999998</v>
      </c>
      <c r="K280" s="6">
        <f>[1]Results!N1621</f>
        <v>411554.16279999999</v>
      </c>
      <c r="L280" s="6">
        <f>[1]Results!O1621</f>
        <v>418676.12229999999</v>
      </c>
      <c r="M280" s="6">
        <f>[1]Results!P1621</f>
        <v>426583.09590000001</v>
      </c>
      <c r="N280" s="6">
        <f>[1]Results!Q1621</f>
        <v>435162.87719999999</v>
      </c>
      <c r="O280" s="6">
        <f>[1]Results!R1621</f>
        <v>444333.26990000001</v>
      </c>
      <c r="P280" s="6">
        <f>[1]Results!S1621</f>
        <v>453883.96870000003</v>
      </c>
      <c r="Q280" s="6">
        <f>[1]Results!T1621</f>
        <v>463799.47149999999</v>
      </c>
      <c r="R280" s="6">
        <f>[1]Results!U1621</f>
        <v>474096.60320000001</v>
      </c>
      <c r="S280" s="6">
        <f>[1]Results!V1621</f>
        <v>484782.88280000002</v>
      </c>
      <c r="T280" s="6">
        <f>[1]Results!W1621</f>
        <v>495871.60879999999</v>
      </c>
      <c r="U280" s="6">
        <f>[1]Results!X1621</f>
        <v>507407.35489999998</v>
      </c>
      <c r="V280" s="6">
        <f>[1]Results!Y1621</f>
        <v>519433.57449999999</v>
      </c>
      <c r="W280" s="6">
        <f>[1]Results!Z1621</f>
        <v>531997.08940000006</v>
      </c>
      <c r="X280" s="6">
        <f>[1]Results!AA1621</f>
        <v>545132.0736</v>
      </c>
      <c r="Y280" s="6">
        <f>[1]Results!AB1621</f>
        <v>558888.59539999999</v>
      </c>
      <c r="Z280" s="6">
        <f>[1]Results!AC1621</f>
        <v>573323.21120000002</v>
      </c>
      <c r="AA280" s="6">
        <f>[1]Results!AD1621</f>
        <v>588463.49</v>
      </c>
      <c r="AB280" s="6">
        <f>[1]Results!AE1621</f>
        <v>604333.61939999997</v>
      </c>
      <c r="AC280" s="6">
        <f>[1]Results!AF1621</f>
        <v>620937.63219999999</v>
      </c>
      <c r="AD280" s="6">
        <f>[1]Results!AG1621</f>
        <v>638293.85439999995</v>
      </c>
      <c r="AE280" s="6">
        <f>[1]Results!AH1621</f>
        <v>656467.11620000005</v>
      </c>
      <c r="AF280" s="6">
        <f>[1]Results!AI1621</f>
        <v>675490.62230000005</v>
      </c>
      <c r="AG280" s="6">
        <f>[1]Results!AJ1621</f>
        <v>695346.53249999997</v>
      </c>
      <c r="AH280" s="6">
        <f>[1]Results!AK1621</f>
        <v>715982.527</v>
      </c>
      <c r="AI280" s="6">
        <f>[1]Results!AL1621</f>
        <v>737342.12719999999</v>
      </c>
      <c r="AJ280" s="6">
        <f>[1]Results!AM1621</f>
        <v>759390.50230000005</v>
      </c>
      <c r="AK280" s="6">
        <f>[1]Results!AN1621</f>
        <v>782096.973</v>
      </c>
      <c r="AL280" s="6">
        <f>[1]Results!AO1621</f>
        <v>805421.6899</v>
      </c>
    </row>
    <row r="281" spans="1:38" x14ac:dyDescent="0.35">
      <c r="B281" t="s">
        <v>23</v>
      </c>
      <c r="C281" s="6">
        <f>[1]Results!F1616</f>
        <v>15659.823969999999</v>
      </c>
      <c r="D281" s="6">
        <f>[1]Results!G1616</f>
        <v>15766.69881</v>
      </c>
      <c r="E281" s="6">
        <f>[1]Results!H1616</f>
        <v>15878.74401</v>
      </c>
      <c r="F281" s="6">
        <f>[1]Results!I1616</f>
        <v>16023.29477</v>
      </c>
      <c r="G281" s="6">
        <f>[1]Results!J1616</f>
        <v>16195.451209999999</v>
      </c>
      <c r="H281" s="6">
        <f>[1]Results!K1616</f>
        <v>16393.365040000001</v>
      </c>
      <c r="I281" s="6">
        <f>[1]Results!L1616</f>
        <v>16613.09374</v>
      </c>
      <c r="J281" s="6">
        <f>[1]Results!M1616</f>
        <v>16818.107049999999</v>
      </c>
      <c r="K281" s="6">
        <f>[1]Results!N1616</f>
        <v>17036.003369999999</v>
      </c>
      <c r="L281" s="6">
        <f>[1]Results!O1616</f>
        <v>17349.42512</v>
      </c>
      <c r="M281" s="6">
        <f>[1]Results!P1616</f>
        <v>17722.71326</v>
      </c>
      <c r="N281" s="6">
        <f>[1]Results!Q1616</f>
        <v>18127.316729999999</v>
      </c>
      <c r="O281" s="6">
        <f>[1]Results!R1616</f>
        <v>18542.458579999999</v>
      </c>
      <c r="P281" s="6">
        <f>[1]Results!S1616</f>
        <v>18947.406070000001</v>
      </c>
      <c r="Q281" s="6">
        <f>[1]Results!T1616</f>
        <v>19344.73589</v>
      </c>
      <c r="R281" s="6">
        <f>[1]Results!U1616</f>
        <v>19740.086650000001</v>
      </c>
      <c r="S281" s="6">
        <f>[1]Results!V1616</f>
        <v>20144.014439999999</v>
      </c>
      <c r="T281" s="6">
        <f>[1]Results!W1616</f>
        <v>20562.3995</v>
      </c>
      <c r="U281" s="6">
        <f>[1]Results!X1616</f>
        <v>21001.512879999998</v>
      </c>
      <c r="V281" s="6">
        <f>[1]Results!Y1616</f>
        <v>21465.534680000001</v>
      </c>
      <c r="W281" s="6">
        <f>[1]Results!Z1616</f>
        <v>21958.269990000001</v>
      </c>
      <c r="X281" s="6">
        <f>[1]Results!AA1616</f>
        <v>22483.656330000002</v>
      </c>
      <c r="Y281" s="6">
        <f>[1]Results!AB1616</f>
        <v>23046.960330000002</v>
      </c>
      <c r="Z281" s="6">
        <f>[1]Results!AC1616</f>
        <v>23651.227849999999</v>
      </c>
      <c r="AA281" s="6">
        <f>[1]Results!AD1616</f>
        <v>24296.259150000002</v>
      </c>
      <c r="AB281" s="6">
        <f>[1]Results!AE1616</f>
        <v>24981.56782</v>
      </c>
      <c r="AC281" s="6">
        <f>[1]Results!AF1616</f>
        <v>25711.086729999999</v>
      </c>
      <c r="AD281" s="6">
        <f>[1]Results!AG1616</f>
        <v>26493.595270000002</v>
      </c>
      <c r="AE281" s="6">
        <f>[1]Results!AH1616</f>
        <v>27333.753540000002</v>
      </c>
      <c r="AF281" s="6">
        <f>[1]Results!AI1616</f>
        <v>28228.5334</v>
      </c>
      <c r="AG281" s="6">
        <f>[1]Results!AJ1616</f>
        <v>29170.071520000001</v>
      </c>
      <c r="AH281" s="6">
        <f>[1]Results!AK1616</f>
        <v>30152.072909999999</v>
      </c>
      <c r="AI281" s="6">
        <f>[1]Results!AL1616</f>
        <v>31171.537410000001</v>
      </c>
      <c r="AJ281" s="6">
        <f>[1]Results!AM1616</f>
        <v>32225.140729999999</v>
      </c>
      <c r="AK281" s="6">
        <f>[1]Results!AN1616</f>
        <v>33308.577700000002</v>
      </c>
      <c r="AL281" s="6">
        <f>[1]Results!AO1616</f>
        <v>34416.538719999997</v>
      </c>
    </row>
    <row r="283" spans="1:38" x14ac:dyDescent="0.35">
      <c r="A283" s="12" t="s">
        <v>17</v>
      </c>
      <c r="B283" t="s">
        <v>80</v>
      </c>
      <c r="C283" s="6">
        <f>[1]Results!F1639</f>
        <v>472777.57949999999</v>
      </c>
      <c r="D283" s="6">
        <f>[1]Results!G1639</f>
        <v>477375.7671</v>
      </c>
      <c r="E283" s="6">
        <f>[1]Results!H1639</f>
        <v>482907.80219999998</v>
      </c>
      <c r="F283" s="6">
        <f>[1]Results!I1639</f>
        <v>489726.42259999999</v>
      </c>
      <c r="G283" s="6">
        <f>[1]Results!J1639</f>
        <v>497441.59759999998</v>
      </c>
      <c r="H283" s="6">
        <f>[1]Results!K1639</f>
        <v>505748.71950000001</v>
      </c>
      <c r="I283" s="6">
        <f>[1]Results!L1639</f>
        <v>514203.9448</v>
      </c>
      <c r="J283" s="6">
        <f>[1]Results!M1639</f>
        <v>522764.29479999997</v>
      </c>
      <c r="K283" s="6">
        <f>[1]Results!N1639</f>
        <v>531529.74430000002</v>
      </c>
      <c r="L283" s="6">
        <f>[1]Results!O1639</f>
        <v>540638.44759999996</v>
      </c>
      <c r="M283" s="6">
        <f>[1]Results!P1639</f>
        <v>550206.53110000002</v>
      </c>
      <c r="N283" s="6">
        <f>[1]Results!Q1639</f>
        <v>560321.60349999997</v>
      </c>
      <c r="O283" s="6">
        <f>[1]Results!R1639</f>
        <v>570918.86670000001</v>
      </c>
      <c r="P283" s="6">
        <f>[1]Results!S1639</f>
        <v>581702.28</v>
      </c>
      <c r="Q283" s="6">
        <f>[1]Results!T1639</f>
        <v>592660.59620000003</v>
      </c>
      <c r="R283" s="6">
        <f>[1]Results!U1639</f>
        <v>603885.03480000002</v>
      </c>
      <c r="S283" s="6">
        <f>[1]Results!V1639</f>
        <v>615683.96329999994</v>
      </c>
      <c r="T283" s="6">
        <f>[1]Results!W1639</f>
        <v>628212.27119999996</v>
      </c>
      <c r="U283" s="6">
        <f>[1]Results!X1639</f>
        <v>641520.77690000006</v>
      </c>
      <c r="V283" s="6">
        <f>[1]Results!Y1639</f>
        <v>655593.94689999998</v>
      </c>
      <c r="W283" s="6">
        <f>[1]Results!Z1639</f>
        <v>670425.08230000001</v>
      </c>
      <c r="X283" s="6">
        <f>[1]Results!AA1639</f>
        <v>686029.58840000001</v>
      </c>
      <c r="Y283" s="6">
        <f>[1]Results!AB1639</f>
        <v>702474.44709999999</v>
      </c>
      <c r="Z283" s="6">
        <f>[1]Results!AC1639</f>
        <v>719829.41040000005</v>
      </c>
      <c r="AA283" s="6">
        <f>[1]Results!AD1639</f>
        <v>738124.0024</v>
      </c>
      <c r="AB283" s="6">
        <f>[1]Results!AE1639</f>
        <v>757392.29890000005</v>
      </c>
      <c r="AC283" s="6">
        <f>[1]Results!AF1639</f>
        <v>777687.91639999999</v>
      </c>
      <c r="AD283" s="6">
        <f>[1]Results!AG1639</f>
        <v>799119.31389999995</v>
      </c>
      <c r="AE283" s="6">
        <f>[1]Results!AH1639</f>
        <v>821777.19900000002</v>
      </c>
      <c r="AF283" s="6">
        <f>[1]Results!AI1639</f>
        <v>845658.8236</v>
      </c>
      <c r="AG283" s="6">
        <f>[1]Results!AJ1639</f>
        <v>870680.69799999997</v>
      </c>
      <c r="AH283" s="6">
        <f>[1]Results!AK1639</f>
        <v>896748.01119999995</v>
      </c>
      <c r="AI283" s="6">
        <f>[1]Results!AL1639</f>
        <v>923785.20310000004</v>
      </c>
      <c r="AJ283" s="6">
        <f>[1]Results!AM1639</f>
        <v>951724.78579999995</v>
      </c>
      <c r="AK283" s="6">
        <f>[1]Results!AN1639</f>
        <v>980495.52260000003</v>
      </c>
      <c r="AL283" s="6">
        <f>[1]Results!AO1639</f>
        <v>1010014.402</v>
      </c>
    </row>
    <row r="284" spans="1:38" x14ac:dyDescent="0.35">
      <c r="A284" t="s">
        <v>26</v>
      </c>
      <c r="B284" t="s">
        <v>7</v>
      </c>
      <c r="C284" s="6">
        <f>[1]Results!F1640</f>
        <v>12186.07504</v>
      </c>
      <c r="D284" s="6">
        <f>[1]Results!G1640</f>
        <v>12164.777830000001</v>
      </c>
      <c r="E284" s="6">
        <f>[1]Results!H1640</f>
        <v>12136.855250000001</v>
      </c>
      <c r="F284" s="6">
        <f>[1]Results!I1640</f>
        <v>12173.640939999999</v>
      </c>
      <c r="G284" s="6">
        <f>[1]Results!J1640</f>
        <v>12262.541649999999</v>
      </c>
      <c r="H284" s="6">
        <f>[1]Results!K1640</f>
        <v>12390.61501</v>
      </c>
      <c r="I284" s="6">
        <f>[1]Results!L1640</f>
        <v>12547.64633</v>
      </c>
      <c r="J284" s="6">
        <f>[1]Results!M1640</f>
        <v>12725.17022</v>
      </c>
      <c r="K284" s="6">
        <f>[1]Results!N1640</f>
        <v>12920.667100000001</v>
      </c>
      <c r="L284" s="6">
        <f>[1]Results!O1640</f>
        <v>13134.2423</v>
      </c>
      <c r="M284" s="6">
        <f>[1]Results!P1640</f>
        <v>13366.920599999999</v>
      </c>
      <c r="N284" s="6">
        <f>[1]Results!Q1640</f>
        <v>13619.782520000001</v>
      </c>
      <c r="O284" s="6">
        <f>[1]Results!R1640</f>
        <v>13889.97399</v>
      </c>
      <c r="P284" s="6">
        <f>[1]Results!S1640</f>
        <v>14168.190979999999</v>
      </c>
      <c r="Q284" s="6">
        <f>[1]Results!T1640</f>
        <v>14454.10288</v>
      </c>
      <c r="R284" s="6">
        <f>[1]Results!U1640</f>
        <v>14750.43871</v>
      </c>
      <c r="S284" s="6">
        <f>[1]Results!V1640</f>
        <v>15059.24768</v>
      </c>
      <c r="T284" s="6">
        <f>[1]Results!W1640</f>
        <v>15386.34611</v>
      </c>
      <c r="U284" s="6">
        <f>[1]Results!X1640</f>
        <v>15735.005730000001</v>
      </c>
      <c r="V284" s="6">
        <f>[1]Results!Y1640</f>
        <v>16106.082979999999</v>
      </c>
      <c r="W284" s="6">
        <f>[1]Results!Z1640</f>
        <v>16500.127349999999</v>
      </c>
      <c r="X284" s="6">
        <f>[1]Results!AA1640</f>
        <v>16917.892090000001</v>
      </c>
      <c r="Y284" s="6">
        <f>[1]Results!AB1640</f>
        <v>17361.532899999998</v>
      </c>
      <c r="Z284" s="6">
        <f>[1]Results!AC1640</f>
        <v>17833.236400000002</v>
      </c>
      <c r="AA284" s="6">
        <f>[1]Results!AD1640</f>
        <v>18333.97265</v>
      </c>
      <c r="AB284" s="6">
        <f>[1]Results!AE1640</f>
        <v>18864.77188</v>
      </c>
      <c r="AC284" s="6">
        <f>[1]Results!AF1640</f>
        <v>19427.178339999999</v>
      </c>
      <c r="AD284" s="6">
        <f>[1]Results!AG1640</f>
        <v>20024.41502</v>
      </c>
      <c r="AE284" s="6">
        <f>[1]Results!AH1640</f>
        <v>20658.985359999999</v>
      </c>
      <c r="AF284" s="6">
        <f>[1]Results!AI1640</f>
        <v>21330.244770000001</v>
      </c>
      <c r="AG284" s="6">
        <f>[1]Results!AJ1640</f>
        <v>22034.92913</v>
      </c>
      <c r="AH284" s="6">
        <f>[1]Results!AK1640</f>
        <v>22769.420770000001</v>
      </c>
      <c r="AI284" s="6">
        <f>[1]Results!AL1640</f>
        <v>23530.793829999999</v>
      </c>
      <c r="AJ284" s="6">
        <f>[1]Results!AM1640</f>
        <v>24316.431629999999</v>
      </c>
      <c r="AK284" s="6">
        <f>[1]Results!AN1640</f>
        <v>25123.633470000001</v>
      </c>
      <c r="AL284" s="6">
        <f>[1]Results!AO1640</f>
        <v>25949.363020000001</v>
      </c>
    </row>
    <row r="285" spans="1:38" x14ac:dyDescent="0.35">
      <c r="B285" t="s">
        <v>96</v>
      </c>
      <c r="C285" s="6">
        <f>[1]Results!F1653</f>
        <v>7520.3798610000003</v>
      </c>
      <c r="D285" s="6">
        <f>[1]Results!G1653</f>
        <v>7913.0890570000001</v>
      </c>
      <c r="E285" s="6">
        <f>[1]Results!H1653</f>
        <v>8396.7167079999999</v>
      </c>
      <c r="F285" s="6">
        <f>[1]Results!I1653</f>
        <v>8776.6031679999996</v>
      </c>
      <c r="G285" s="6">
        <f>[1]Results!J1653</f>
        <v>9034.9368579999991</v>
      </c>
      <c r="H285" s="6">
        <f>[1]Results!K1653</f>
        <v>9216.8114829999995</v>
      </c>
      <c r="I285" s="6">
        <f>[1]Results!L1653</f>
        <v>9360.9965969999994</v>
      </c>
      <c r="J285" s="6">
        <f>[1]Results!M1653</f>
        <v>9492.4382850000002</v>
      </c>
      <c r="K285" s="6">
        <f>[1]Results!N1653</f>
        <v>9624.4887159999998</v>
      </c>
      <c r="L285" s="6">
        <f>[1]Results!O1653</f>
        <v>9763.9318789999998</v>
      </c>
      <c r="M285" s="6">
        <f>[1]Results!P1653</f>
        <v>9914.4366690000006</v>
      </c>
      <c r="N285" s="6">
        <f>[1]Results!Q1653</f>
        <v>10078.411179999999</v>
      </c>
      <c r="O285" s="6">
        <f>[1]Results!R1653</f>
        <v>10256.03325</v>
      </c>
      <c r="P285" s="6">
        <f>[1]Results!S1653</f>
        <v>10444.06403</v>
      </c>
      <c r="Q285" s="6">
        <f>[1]Results!T1653</f>
        <v>10640.255520000001</v>
      </c>
      <c r="R285" s="6">
        <f>[1]Results!U1653</f>
        <v>10843.85324</v>
      </c>
      <c r="S285" s="6">
        <f>[1]Results!V1653</f>
        <v>11057.25576</v>
      </c>
      <c r="T285" s="6">
        <f>[1]Results!W1653</f>
        <v>11281.09</v>
      </c>
      <c r="U285" s="6">
        <f>[1]Results!X1653</f>
        <v>11514.89696</v>
      </c>
      <c r="V285" s="6">
        <f>[1]Results!Y1653</f>
        <v>11757.651099999999</v>
      </c>
      <c r="W285" s="6">
        <f>[1]Results!Z1653</f>
        <v>12008.84556</v>
      </c>
      <c r="X285" s="6">
        <f>[1]Results!AA1653</f>
        <v>12268.859189999999</v>
      </c>
      <c r="Y285" s="6">
        <f>[1]Results!AB1653</f>
        <v>12538.51838</v>
      </c>
      <c r="Z285" s="6">
        <f>[1]Results!AC1653</f>
        <v>12818.64134</v>
      </c>
      <c r="AA285" s="6">
        <f>[1]Results!AD1653</f>
        <v>13109.669540000001</v>
      </c>
      <c r="AB285" s="6">
        <f>[1]Results!AE1653</f>
        <v>13412.53168</v>
      </c>
      <c r="AC285" s="6">
        <f>[1]Results!AF1653</f>
        <v>13728.700940000001</v>
      </c>
      <c r="AD285" s="6">
        <f>[1]Results!AG1653</f>
        <v>14059.905220000001</v>
      </c>
      <c r="AE285" s="6">
        <f>[1]Results!AH1653</f>
        <v>14408.612880000001</v>
      </c>
      <c r="AF285" s="6">
        <f>[1]Results!AI1653</f>
        <v>14777.153560000001</v>
      </c>
      <c r="AG285" s="6">
        <f>[1]Results!AJ1653</f>
        <v>15167.32123</v>
      </c>
      <c r="AH285" s="6">
        <f>[1]Results!AK1653</f>
        <v>15580.273020000001</v>
      </c>
      <c r="AI285" s="6">
        <f>[1]Results!AL1653</f>
        <v>16016.28701</v>
      </c>
      <c r="AJ285" s="6">
        <f>[1]Results!AM1653</f>
        <v>16475.121569999999</v>
      </c>
      <c r="AK285" s="6">
        <f>[1]Results!AN1653</f>
        <v>16956.202140000001</v>
      </c>
      <c r="AL285" s="6">
        <f>[1]Results!AO1653</f>
        <v>17458.68</v>
      </c>
    </row>
    <row r="286" spans="1:38" x14ac:dyDescent="0.35">
      <c r="B286" t="s">
        <v>11</v>
      </c>
      <c r="C286" s="6">
        <f>[1]Results!F1668</f>
        <v>6753.6530009999997</v>
      </c>
      <c r="D286" s="6">
        <f>[1]Results!G1668</f>
        <v>6831.00947</v>
      </c>
      <c r="E286" s="6">
        <f>[1]Results!H1668</f>
        <v>6901.7974199999999</v>
      </c>
      <c r="F286" s="6">
        <f>[1]Results!I1668</f>
        <v>6976.542813</v>
      </c>
      <c r="G286" s="6">
        <f>[1]Results!J1668</f>
        <v>7051.4958900000001</v>
      </c>
      <c r="H286" s="6">
        <f>[1]Results!K1668</f>
        <v>7131.656962</v>
      </c>
      <c r="I286" s="6">
        <f>[1]Results!L1668</f>
        <v>7223.9892730000001</v>
      </c>
      <c r="J286" s="6">
        <f>[1]Results!M1668</f>
        <v>7330.8486140000005</v>
      </c>
      <c r="K286" s="6">
        <f>[1]Results!N1668</f>
        <v>7454.5263459999996</v>
      </c>
      <c r="L286" s="6">
        <f>[1]Results!O1668</f>
        <v>7597.6531139999997</v>
      </c>
      <c r="M286" s="6">
        <f>[1]Results!P1668</f>
        <v>7762.9005459999998</v>
      </c>
      <c r="N286" s="6">
        <f>[1]Results!Q1668</f>
        <v>7951.6179009999996</v>
      </c>
      <c r="O286" s="6">
        <f>[1]Results!R1668</f>
        <v>8161.62273</v>
      </c>
      <c r="P286" s="6">
        <f>[1]Results!S1668</f>
        <v>8386.2027400000006</v>
      </c>
      <c r="Q286" s="6">
        <f>[1]Results!T1668</f>
        <v>8621.8444029999991</v>
      </c>
      <c r="R286" s="6">
        <f>[1]Results!U1668</f>
        <v>8866.2640489999994</v>
      </c>
      <c r="S286" s="6">
        <f>[1]Results!V1668</f>
        <v>9115.4844499999999</v>
      </c>
      <c r="T286" s="6">
        <f>[1]Results!W1668</f>
        <v>9370.5472100000006</v>
      </c>
      <c r="U286" s="6">
        <f>[1]Results!X1668</f>
        <v>9632.4770769999996</v>
      </c>
      <c r="V286" s="6">
        <f>[1]Results!Y1668</f>
        <v>9901.4649759999993</v>
      </c>
      <c r="W286" s="6">
        <f>[1]Results!Z1668</f>
        <v>10177.546410000001</v>
      </c>
      <c r="X286" s="6">
        <f>[1]Results!AA1668</f>
        <v>10460.765729999999</v>
      </c>
      <c r="Y286" s="6">
        <f>[1]Results!AB1668</f>
        <v>10751.7297</v>
      </c>
      <c r="Z286" s="6">
        <f>[1]Results!AC1668</f>
        <v>11051.10749</v>
      </c>
      <c r="AA286" s="6">
        <f>[1]Results!AD1668</f>
        <v>11359.248600000001</v>
      </c>
      <c r="AB286" s="6">
        <f>[1]Results!AE1668</f>
        <v>11676.53751</v>
      </c>
      <c r="AC286" s="6">
        <f>[1]Results!AF1668</f>
        <v>12003.49151</v>
      </c>
      <c r="AD286" s="6">
        <f>[1]Results!AG1668</f>
        <v>12341.107190000001</v>
      </c>
      <c r="AE286" s="6">
        <f>[1]Results!AH1668</f>
        <v>12689.913710000001</v>
      </c>
      <c r="AF286" s="6">
        <f>[1]Results!AI1668</f>
        <v>13048.64351</v>
      </c>
      <c r="AG286" s="6">
        <f>[1]Results!AJ1668</f>
        <v>13414.71803</v>
      </c>
      <c r="AH286" s="6">
        <f>[1]Results!AK1668</f>
        <v>13785.36953</v>
      </c>
      <c r="AI286" s="6">
        <f>[1]Results!AL1668</f>
        <v>14158.17211</v>
      </c>
      <c r="AJ286" s="6">
        <f>[1]Results!AM1668</f>
        <v>14530.98006</v>
      </c>
      <c r="AK286" s="6">
        <f>[1]Results!AN1668</f>
        <v>14901.806119999999</v>
      </c>
      <c r="AL286" s="6">
        <f>[1]Results!AO1668</f>
        <v>15268.73122</v>
      </c>
    </row>
    <row r="287" spans="1:38" x14ac:dyDescent="0.35">
      <c r="B287" t="s">
        <v>8</v>
      </c>
      <c r="C287" s="6">
        <f>[1]Results!F1643-[1]Results!F1653</f>
        <v>59840.374749000002</v>
      </c>
      <c r="D287" s="6">
        <f>[1]Results!G1643-[1]Results!G1653</f>
        <v>60426.995213000009</v>
      </c>
      <c r="E287" s="6">
        <f>[1]Results!H1643-[1]Results!H1653</f>
        <v>61136.135281999996</v>
      </c>
      <c r="F287" s="6">
        <f>[1]Results!I1643-[1]Results!I1653</f>
        <v>61962.592831999995</v>
      </c>
      <c r="G287" s="6">
        <f>[1]Results!J1643-[1]Results!J1653</f>
        <v>62864.709302000003</v>
      </c>
      <c r="H287" s="6">
        <f>[1]Results!K1643-[1]Results!K1653</f>
        <v>63830.828297</v>
      </c>
      <c r="I287" s="6">
        <f>[1]Results!L1643-[1]Results!L1653</f>
        <v>64830.208673000008</v>
      </c>
      <c r="J287" s="6">
        <f>[1]Results!M1643-[1]Results!M1653</f>
        <v>65868.515895000004</v>
      </c>
      <c r="K287" s="6">
        <f>[1]Results!N1643-[1]Results!N1653</f>
        <v>66958.96863399999</v>
      </c>
      <c r="L287" s="6">
        <f>[1]Results!O1643-[1]Results!O1653</f>
        <v>68112.173290999999</v>
      </c>
      <c r="M287" s="6">
        <f>[1]Results!P1643-[1]Results!P1653</f>
        <v>69334.046281000003</v>
      </c>
      <c r="N287" s="6">
        <f>[1]Results!Q1643-[1]Results!Q1653</f>
        <v>70624.525640000007</v>
      </c>
      <c r="O287" s="6">
        <f>[1]Results!R1643-[1]Results!R1653</f>
        <v>71948.901470000012</v>
      </c>
      <c r="P287" s="6">
        <f>[1]Results!S1643-[1]Results!S1653</f>
        <v>73223.305330000003</v>
      </c>
      <c r="Q287" s="6">
        <f>[1]Results!T1643-[1]Results!T1653</f>
        <v>74455.469669999991</v>
      </c>
      <c r="R287" s="6">
        <f>[1]Results!U1643-[1]Results!U1653</f>
        <v>75680.907550000004</v>
      </c>
      <c r="S287" s="6">
        <f>[1]Results!V1643-[1]Results!V1653</f>
        <v>76956.577780000007</v>
      </c>
      <c r="T287" s="6">
        <f>[1]Results!W1643-[1]Results!W1653</f>
        <v>78320.401370000007</v>
      </c>
      <c r="U287" s="6">
        <f>[1]Results!X1643-[1]Results!X1653</f>
        <v>79798.185880000005</v>
      </c>
      <c r="V287" s="6">
        <f>[1]Results!Y1643-[1]Results!Y1653</f>
        <v>81404.204249999995</v>
      </c>
      <c r="W287" s="6">
        <f>[1]Results!Z1643-[1]Results!Z1653</f>
        <v>83152.941070000001</v>
      </c>
      <c r="X287" s="6">
        <f>[1]Results!AA1643-[1]Results!AA1653</f>
        <v>85057.953599999993</v>
      </c>
      <c r="Y287" s="6">
        <f>[1]Results!AB1643-[1]Results!AB1653</f>
        <v>87139.984460000007</v>
      </c>
      <c r="Z287" s="6">
        <f>[1]Results!AC1643-[1]Results!AC1653</f>
        <v>89415.301559999993</v>
      </c>
      <c r="AA287" s="6">
        <f>[1]Results!AD1643-[1]Results!AD1653</f>
        <v>91888.781359999994</v>
      </c>
      <c r="AB287" s="6">
        <f>[1]Results!AE1643-[1]Results!AE1653</f>
        <v>94565.78602</v>
      </c>
      <c r="AC287" s="6">
        <f>[1]Results!AF1643-[1]Results!AF1653</f>
        <v>97455.030160000009</v>
      </c>
      <c r="AD287" s="6">
        <f>[1]Results!AG1643-[1]Results!AG1653</f>
        <v>100575.92157999999</v>
      </c>
      <c r="AE287" s="6">
        <f>[1]Results!AH1643-[1]Results!AH1653</f>
        <v>103939.24412</v>
      </c>
      <c r="AF287" s="6">
        <f>[1]Results!AI1643-[1]Results!AI1653</f>
        <v>107526.04433999999</v>
      </c>
      <c r="AG287" s="6">
        <f>[1]Results!AJ1643-[1]Results!AJ1653</f>
        <v>111297.91597</v>
      </c>
      <c r="AH287" s="6">
        <f>[1]Results!AK1643-[1]Results!AK1653</f>
        <v>115217.61548000001</v>
      </c>
      <c r="AI287" s="6">
        <f>[1]Results!AL1643-[1]Results!AL1653</f>
        <v>119256.30278999999</v>
      </c>
      <c r="AJ287" s="6">
        <f>[1]Results!AM1643-[1]Results!AM1653</f>
        <v>123389.86333000001</v>
      </c>
      <c r="AK287" s="6">
        <f>[1]Results!AN1643-[1]Results!AN1653</f>
        <v>127595.55366000001</v>
      </c>
      <c r="AL287" s="6">
        <f>[1]Results!AO1643-[1]Results!AO1653</f>
        <v>131849.92920000001</v>
      </c>
    </row>
    <row r="288" spans="1:38" x14ac:dyDescent="0.35">
      <c r="B288" t="s">
        <v>24</v>
      </c>
      <c r="C288" s="6">
        <f>[1]Results!F1663</f>
        <v>3908.2854010000001</v>
      </c>
      <c r="D288" s="6">
        <f>[1]Results!G1663</f>
        <v>4027.782393</v>
      </c>
      <c r="E288" s="6">
        <f>[1]Results!H1663</f>
        <v>4157.0120550000001</v>
      </c>
      <c r="F288" s="6">
        <f>[1]Results!I1663</f>
        <v>4274.5009870000004</v>
      </c>
      <c r="G288" s="6">
        <f>[1]Results!J1663</f>
        <v>4384.3036780000002</v>
      </c>
      <c r="H288" s="6">
        <f>[1]Results!K1663</f>
        <v>4488.9595600000002</v>
      </c>
      <c r="I288" s="6">
        <f>[1]Results!L1663</f>
        <v>4584.9765710000001</v>
      </c>
      <c r="J288" s="6">
        <f>[1]Results!M1663</f>
        <v>4670.1508940000003</v>
      </c>
      <c r="K288" s="6">
        <f>[1]Results!N1663</f>
        <v>4743.9813439999998</v>
      </c>
      <c r="L288" s="6">
        <f>[1]Results!O1663</f>
        <v>4807.3915360000001</v>
      </c>
      <c r="M288" s="6">
        <f>[1]Results!P1663</f>
        <v>4861.8816989999996</v>
      </c>
      <c r="N288" s="6">
        <f>[1]Results!Q1663</f>
        <v>4909.0117129999999</v>
      </c>
      <c r="O288" s="6">
        <f>[1]Results!R1663</f>
        <v>4949.1438719999996</v>
      </c>
      <c r="P288" s="6">
        <f>[1]Results!S1663</f>
        <v>4980.6882690000002</v>
      </c>
      <c r="Q288" s="6">
        <f>[1]Results!T1663</f>
        <v>5005.1679480000003</v>
      </c>
      <c r="R288" s="6">
        <f>[1]Results!U1663</f>
        <v>5025.1096530000004</v>
      </c>
      <c r="S288" s="6">
        <f>[1]Results!V1663</f>
        <v>5039.155264</v>
      </c>
      <c r="T288" s="6">
        <f>[1]Results!W1663</f>
        <v>5055.7397490000003</v>
      </c>
      <c r="U288" s="6">
        <f>[1]Results!X1663</f>
        <v>5078.0661620000001</v>
      </c>
      <c r="V288" s="6">
        <f>[1]Results!Y1663</f>
        <v>5106.8352420000001</v>
      </c>
      <c r="W288" s="6">
        <f>[1]Results!Z1663</f>
        <v>5142.0081499999997</v>
      </c>
      <c r="X288" s="6">
        <f>[1]Results!AA1663</f>
        <v>5183.3761459999996</v>
      </c>
      <c r="Y288" s="6">
        <f>[1]Results!AB1663</f>
        <v>5230.9159179999997</v>
      </c>
      <c r="Z288" s="6">
        <f>[1]Results!AC1663</f>
        <v>5284.6719620000003</v>
      </c>
      <c r="AA288" s="6">
        <f>[1]Results!AD1663</f>
        <v>5344.5838160000003</v>
      </c>
      <c r="AB288" s="6">
        <f>[1]Results!AE1663</f>
        <v>5410.6472370000001</v>
      </c>
      <c r="AC288" s="6">
        <f>[1]Results!AF1663</f>
        <v>5482.9572170000001</v>
      </c>
      <c r="AD288" s="6">
        <f>[1]Results!AG1663</f>
        <v>5561.8240900000001</v>
      </c>
      <c r="AE288" s="6">
        <f>[1]Results!AH1663</f>
        <v>5647.4507480000002</v>
      </c>
      <c r="AF288" s="6">
        <f>[1]Results!AI1663</f>
        <v>5739.4538389999998</v>
      </c>
      <c r="AG288" s="6">
        <f>[1]Results!AJ1663</f>
        <v>5836.9722519999996</v>
      </c>
      <c r="AH288" s="6">
        <f>[1]Results!AK1663</f>
        <v>5939.037797</v>
      </c>
      <c r="AI288" s="6">
        <f>[1]Results!AL1663</f>
        <v>6044.775705</v>
      </c>
      <c r="AJ288" s="6">
        <f>[1]Results!AM1663</f>
        <v>6153.39959</v>
      </c>
      <c r="AK288" s="6">
        <f>[1]Results!AN1663</f>
        <v>6264.1717239999998</v>
      </c>
      <c r="AL288" s="6">
        <f>[1]Results!AO1663</f>
        <v>6376.3598949999996</v>
      </c>
    </row>
    <row r="289" spans="1:38" x14ac:dyDescent="0.35">
      <c r="B289" t="s">
        <v>10</v>
      </c>
      <c r="C289" s="6">
        <f>[1]Results!F1660</f>
        <v>366908.98749999999</v>
      </c>
      <c r="D289" s="6">
        <f>[1]Results!G1660</f>
        <v>370245.4143</v>
      </c>
      <c r="E289" s="6">
        <f>[1]Results!H1660</f>
        <v>374300.54149999999</v>
      </c>
      <c r="F289" s="6">
        <f>[1]Results!I1660</f>
        <v>379539.24709999998</v>
      </c>
      <c r="G289" s="6">
        <f>[1]Results!J1660</f>
        <v>385648.15899999999</v>
      </c>
      <c r="H289" s="6">
        <f>[1]Results!K1660</f>
        <v>392296.48320000002</v>
      </c>
      <c r="I289" s="6">
        <f>[1]Results!L1660</f>
        <v>399047.91940000001</v>
      </c>
      <c r="J289" s="6">
        <f>[1]Results!M1660</f>
        <v>405841.16149999999</v>
      </c>
      <c r="K289" s="6">
        <f>[1]Results!N1660</f>
        <v>412750.47960000002</v>
      </c>
      <c r="L289" s="6">
        <f>[1]Results!O1660</f>
        <v>419891.79180000001</v>
      </c>
      <c r="M289" s="6">
        <f>[1]Results!P1660</f>
        <v>427365.05780000001</v>
      </c>
      <c r="N289" s="6">
        <f>[1]Results!Q1660</f>
        <v>435250.78989999997</v>
      </c>
      <c r="O289" s="6">
        <f>[1]Results!R1660</f>
        <v>443529.08230000001</v>
      </c>
      <c r="P289" s="6">
        <f>[1]Results!S1660</f>
        <v>452023.85629999998</v>
      </c>
      <c r="Q289" s="6">
        <f>[1]Results!T1660</f>
        <v>460719.5356</v>
      </c>
      <c r="R289" s="6">
        <f>[1]Results!U1660</f>
        <v>469663.43469999998</v>
      </c>
      <c r="S289" s="6">
        <f>[1]Results!V1660</f>
        <v>479097.44410000002</v>
      </c>
      <c r="T289" s="6">
        <f>[1]Results!W1660</f>
        <v>489113.49819999997</v>
      </c>
      <c r="U289" s="6">
        <f>[1]Results!X1660</f>
        <v>499724.33639999997</v>
      </c>
      <c r="V289" s="6">
        <f>[1]Results!Y1660</f>
        <v>510897.44260000001</v>
      </c>
      <c r="W289" s="6">
        <f>[1]Results!Z1660</f>
        <v>522609.8958</v>
      </c>
      <c r="X289" s="6">
        <f>[1]Results!AA1660</f>
        <v>534860.88069999998</v>
      </c>
      <c r="Y289" s="6">
        <f>[1]Results!AB1660</f>
        <v>547689.70180000004</v>
      </c>
      <c r="Z289" s="6">
        <f>[1]Results!AC1660</f>
        <v>561143.23809999996</v>
      </c>
      <c r="AA289" s="6">
        <f>[1]Results!AD1660</f>
        <v>575243.49069999997</v>
      </c>
      <c r="AB289" s="6">
        <f>[1]Results!AE1660</f>
        <v>590015.7095</v>
      </c>
      <c r="AC289" s="6">
        <f>[1]Results!AF1660</f>
        <v>605499.33050000004</v>
      </c>
      <c r="AD289" s="6">
        <f>[1]Results!AG1660</f>
        <v>621773.17200000002</v>
      </c>
      <c r="AE289" s="6">
        <f>[1]Results!AH1660</f>
        <v>638908.94790000003</v>
      </c>
      <c r="AF289" s="6">
        <f>[1]Results!AI1660</f>
        <v>656925.6997</v>
      </c>
      <c r="AG289" s="6">
        <f>[1]Results!AJ1660</f>
        <v>675789.86100000003</v>
      </c>
      <c r="AH289" s="6">
        <f>[1]Results!AK1660</f>
        <v>695456.68489999999</v>
      </c>
      <c r="AI289" s="6">
        <f>[1]Results!AL1660</f>
        <v>715890.65009999997</v>
      </c>
      <c r="AJ289" s="6">
        <f>[1]Results!AM1660</f>
        <v>737058.68729999999</v>
      </c>
      <c r="AK289" s="6">
        <f>[1]Results!AN1660</f>
        <v>758922.67240000004</v>
      </c>
      <c r="AL289" s="6">
        <f>[1]Results!AO1660</f>
        <v>781434.1692</v>
      </c>
    </row>
    <row r="290" spans="1:38" x14ac:dyDescent="0.35">
      <c r="B290" t="s">
        <v>23</v>
      </c>
      <c r="C290" s="6">
        <f>[1]Results!F1655</f>
        <v>15659.823969999999</v>
      </c>
      <c r="D290" s="6">
        <f>[1]Results!G1655</f>
        <v>15766.69881</v>
      </c>
      <c r="E290" s="6">
        <f>[1]Results!H1655</f>
        <v>15878.74401</v>
      </c>
      <c r="F290" s="6">
        <f>[1]Results!I1655</f>
        <v>16023.29477</v>
      </c>
      <c r="G290" s="6">
        <f>[1]Results!J1655</f>
        <v>16195.451209999999</v>
      </c>
      <c r="H290" s="6">
        <f>[1]Results!K1655</f>
        <v>16393.365040000001</v>
      </c>
      <c r="I290" s="6">
        <f>[1]Results!L1655</f>
        <v>16608.207910000001</v>
      </c>
      <c r="J290" s="6">
        <f>[1]Results!M1655</f>
        <v>16836.009450000001</v>
      </c>
      <c r="K290" s="6">
        <f>[1]Results!N1655</f>
        <v>17076.632580000001</v>
      </c>
      <c r="L290" s="6">
        <f>[1]Results!O1655</f>
        <v>17331.263630000001</v>
      </c>
      <c r="M290" s="6">
        <f>[1]Results!P1655</f>
        <v>17601.287530000001</v>
      </c>
      <c r="N290" s="6">
        <f>[1]Results!Q1655</f>
        <v>17887.464650000002</v>
      </c>
      <c r="O290" s="6">
        <f>[1]Results!R1655</f>
        <v>18184.109049999999</v>
      </c>
      <c r="P290" s="6">
        <f>[1]Results!S1655</f>
        <v>18475.972330000001</v>
      </c>
      <c r="Q290" s="6">
        <f>[1]Results!T1655</f>
        <v>18764.22018</v>
      </c>
      <c r="R290" s="6">
        <f>[1]Results!U1655</f>
        <v>19055.026900000001</v>
      </c>
      <c r="S290" s="6">
        <f>[1]Results!V1655</f>
        <v>19358.79825</v>
      </c>
      <c r="T290" s="6">
        <f>[1]Results!W1655</f>
        <v>19684.64863</v>
      </c>
      <c r="U290" s="6">
        <f>[1]Results!X1655</f>
        <v>20037.808720000001</v>
      </c>
      <c r="V290" s="6">
        <f>[1]Results!Y1655</f>
        <v>20420.265810000001</v>
      </c>
      <c r="W290" s="6">
        <f>[1]Results!Z1655</f>
        <v>20833.717929999999</v>
      </c>
      <c r="X290" s="6">
        <f>[1]Results!AA1655</f>
        <v>21279.860949999998</v>
      </c>
      <c r="Y290" s="6">
        <f>[1]Results!AB1655</f>
        <v>21762.063900000001</v>
      </c>
      <c r="Z290" s="6">
        <f>[1]Results!AC1655</f>
        <v>22283.21356</v>
      </c>
      <c r="AA290" s="6">
        <f>[1]Results!AD1655</f>
        <v>22844.255710000001</v>
      </c>
      <c r="AB290" s="6">
        <f>[1]Results!AE1655</f>
        <v>23446.31508</v>
      </c>
      <c r="AC290" s="6">
        <f>[1]Results!AF1655</f>
        <v>24091.227630000001</v>
      </c>
      <c r="AD290" s="6">
        <f>[1]Results!AG1655</f>
        <v>24782.968779999999</v>
      </c>
      <c r="AE290" s="6">
        <f>[1]Results!AH1655</f>
        <v>25524.04423</v>
      </c>
      <c r="AF290" s="6">
        <f>[1]Results!AI1655</f>
        <v>26311.583920000001</v>
      </c>
      <c r="AG290" s="6">
        <f>[1]Results!AJ1655</f>
        <v>27138.980329999999</v>
      </c>
      <c r="AH290" s="6">
        <f>[1]Results!AK1655</f>
        <v>27999.609670000002</v>
      </c>
      <c r="AI290" s="6">
        <f>[1]Results!AL1655</f>
        <v>28888.221539999999</v>
      </c>
      <c r="AJ290" s="6">
        <f>[1]Results!AM1655</f>
        <v>29800.30241</v>
      </c>
      <c r="AK290" s="6">
        <f>[1]Results!AN1655</f>
        <v>30731.483090000002</v>
      </c>
      <c r="AL290" s="6">
        <f>[1]Results!AO1655</f>
        <v>31677.169559999998</v>
      </c>
    </row>
    <row r="292" spans="1:38" x14ac:dyDescent="0.35">
      <c r="A292" s="12" t="s">
        <v>17</v>
      </c>
      <c r="B292" t="s">
        <v>80</v>
      </c>
      <c r="C292" s="4">
        <f>C274/C283-1</f>
        <v>0</v>
      </c>
      <c r="D292" s="4">
        <f t="shared" ref="D292:AL292" si="61">D274/D283-1</f>
        <v>0</v>
      </c>
      <c r="E292" s="4">
        <f t="shared" si="61"/>
        <v>0</v>
      </c>
      <c r="F292" s="4">
        <f t="shared" si="61"/>
        <v>0</v>
      </c>
      <c r="G292" s="4">
        <f t="shared" si="61"/>
        <v>0</v>
      </c>
      <c r="H292" s="4">
        <f t="shared" si="61"/>
        <v>0</v>
      </c>
      <c r="I292" s="4">
        <f t="shared" si="61"/>
        <v>4.4718851795155778E-4</v>
      </c>
      <c r="J292" s="4">
        <f t="shared" si="61"/>
        <v>-1.0227877177505507E-3</v>
      </c>
      <c r="K292" s="4">
        <f t="shared" si="61"/>
        <v>-2.9487401538820235E-3</v>
      </c>
      <c r="L292" s="4">
        <f t="shared" si="61"/>
        <v>-2.1992893869797747E-3</v>
      </c>
      <c r="M292" s="4">
        <f t="shared" si="61"/>
        <v>-1.3438008424260239E-4</v>
      </c>
      <c r="N292" s="4">
        <f t="shared" si="61"/>
        <v>2.422984927797911E-3</v>
      </c>
      <c r="O292" s="4">
        <f t="shared" si="61"/>
        <v>5.1220678988992407E-3</v>
      </c>
      <c r="P292" s="4">
        <f t="shared" si="61"/>
        <v>7.8697788497579246E-3</v>
      </c>
      <c r="Q292" s="4">
        <f t="shared" si="61"/>
        <v>1.0740297466734106E-2</v>
      </c>
      <c r="R292" s="4">
        <f t="shared" si="61"/>
        <v>1.3716093830248965E-2</v>
      </c>
      <c r="S292" s="4">
        <f t="shared" si="61"/>
        <v>1.6383185207448969E-2</v>
      </c>
      <c r="T292" s="4">
        <f t="shared" si="61"/>
        <v>1.8613291137506982E-2</v>
      </c>
      <c r="U292" s="4">
        <f t="shared" si="61"/>
        <v>2.0479653930285613E-2</v>
      </c>
      <c r="V292" s="4">
        <f t="shared" si="61"/>
        <v>2.2124722427024457E-2</v>
      </c>
      <c r="W292" s="4">
        <f t="shared" si="61"/>
        <v>2.367050833712514E-2</v>
      </c>
      <c r="X292" s="4">
        <f t="shared" si="61"/>
        <v>2.517798997603693E-2</v>
      </c>
      <c r="Y292" s="4">
        <f t="shared" si="61"/>
        <v>2.6664094583548126E-2</v>
      </c>
      <c r="Z292" s="4">
        <f t="shared" si="61"/>
        <v>2.8134997135982553E-2</v>
      </c>
      <c r="AA292" s="4">
        <f t="shared" si="61"/>
        <v>2.9587423019696191E-2</v>
      </c>
      <c r="AB292" s="4">
        <f t="shared" si="61"/>
        <v>3.1007814489411256E-2</v>
      </c>
      <c r="AC292" s="4">
        <f t="shared" si="61"/>
        <v>3.2353257096332078E-2</v>
      </c>
      <c r="AD292" s="4">
        <f t="shared" si="61"/>
        <v>3.3560448025106826E-2</v>
      </c>
      <c r="AE292" s="4">
        <f t="shared" si="61"/>
        <v>3.4631328703973896E-2</v>
      </c>
      <c r="AF292" s="4">
        <f t="shared" si="61"/>
        <v>3.5591621419936326E-2</v>
      </c>
      <c r="AG292" s="4">
        <f t="shared" si="61"/>
        <v>3.6468959025895531E-2</v>
      </c>
      <c r="AH292" s="4">
        <f t="shared" si="61"/>
        <v>3.7270558599037606E-2</v>
      </c>
      <c r="AI292" s="4">
        <f t="shared" si="61"/>
        <v>3.7998246542816805E-2</v>
      </c>
      <c r="AJ292" s="4">
        <f t="shared" si="61"/>
        <v>3.867879186214207E-2</v>
      </c>
      <c r="AK292" s="4">
        <f t="shared" si="61"/>
        <v>3.9359094978492548E-2</v>
      </c>
      <c r="AL292" s="4">
        <f t="shared" si="61"/>
        <v>4.011776655834276E-2</v>
      </c>
    </row>
    <row r="293" spans="1:38" x14ac:dyDescent="0.35">
      <c r="A293" t="s">
        <v>62</v>
      </c>
      <c r="B293" t="s">
        <v>7</v>
      </c>
      <c r="C293" s="4">
        <f t="shared" ref="C293:AL293" si="62">C275/C284-1</f>
        <v>0</v>
      </c>
      <c r="D293" s="4">
        <f t="shared" si="62"/>
        <v>0</v>
      </c>
      <c r="E293" s="4">
        <f t="shared" si="62"/>
        <v>0</v>
      </c>
      <c r="F293" s="4">
        <f t="shared" si="62"/>
        <v>0</v>
      </c>
      <c r="G293" s="4">
        <f t="shared" si="62"/>
        <v>0</v>
      </c>
      <c r="H293" s="4">
        <f t="shared" si="62"/>
        <v>0</v>
      </c>
      <c r="I293" s="4">
        <f t="shared" si="62"/>
        <v>4.3354744438950377E-7</v>
      </c>
      <c r="J293" s="4">
        <f t="shared" si="62"/>
        <v>-3.616981085853288E-4</v>
      </c>
      <c r="K293" s="4">
        <f t="shared" si="62"/>
        <v>-1.2166152009287501E-3</v>
      </c>
      <c r="L293" s="4">
        <f t="shared" si="62"/>
        <v>8.3305452648763101E-4</v>
      </c>
      <c r="M293" s="4">
        <f t="shared" si="62"/>
        <v>4.0785549365798257E-3</v>
      </c>
      <c r="N293" s="4">
        <f t="shared" si="62"/>
        <v>6.8984809311036788E-3</v>
      </c>
      <c r="O293" s="4">
        <f t="shared" si="62"/>
        <v>9.4738859910563633E-3</v>
      </c>
      <c r="P293" s="4">
        <f t="shared" si="62"/>
        <v>1.2049218579915033E-2</v>
      </c>
      <c r="Q293" s="4">
        <f t="shared" si="62"/>
        <v>1.4784824888419479E-2</v>
      </c>
      <c r="R293" s="4">
        <f t="shared" si="62"/>
        <v>1.760636718038322E-2</v>
      </c>
      <c r="S293" s="4">
        <f t="shared" si="62"/>
        <v>2.0745190373281597E-2</v>
      </c>
      <c r="T293" s="4">
        <f t="shared" si="62"/>
        <v>2.3652047562057632E-2</v>
      </c>
      <c r="U293" s="4">
        <f t="shared" si="62"/>
        <v>2.6160909443787128E-2</v>
      </c>
      <c r="V293" s="4">
        <f t="shared" si="62"/>
        <v>2.8315230373909372E-2</v>
      </c>
      <c r="W293" s="4">
        <f t="shared" si="62"/>
        <v>3.0205292930663541E-2</v>
      </c>
      <c r="X293" s="4">
        <f t="shared" si="62"/>
        <v>3.1881246028210075E-2</v>
      </c>
      <c r="Y293" s="4">
        <f t="shared" si="62"/>
        <v>3.3350826988324478E-2</v>
      </c>
      <c r="Z293" s="4">
        <f t="shared" si="62"/>
        <v>3.4613389076140866E-2</v>
      </c>
      <c r="AA293" s="4">
        <f t="shared" si="62"/>
        <v>3.5658824875578921E-2</v>
      </c>
      <c r="AB293" s="4">
        <f t="shared" si="62"/>
        <v>3.6466215143016179E-2</v>
      </c>
      <c r="AC293" s="4">
        <f t="shared" si="62"/>
        <v>3.6823694490262238E-2</v>
      </c>
      <c r="AD293" s="4">
        <f t="shared" si="62"/>
        <v>3.672490403667239E-2</v>
      </c>
      <c r="AE293" s="4">
        <f t="shared" si="62"/>
        <v>3.6192976904263707E-2</v>
      </c>
      <c r="AF293" s="4">
        <f t="shared" si="62"/>
        <v>3.5264455148584783E-2</v>
      </c>
      <c r="AG293" s="4">
        <f t="shared" si="62"/>
        <v>3.3971598255827962E-2</v>
      </c>
      <c r="AH293" s="4">
        <f t="shared" si="62"/>
        <v>3.2311885200406953E-2</v>
      </c>
      <c r="AI293" s="4">
        <f t="shared" si="62"/>
        <v>3.0260993111595358E-2</v>
      </c>
      <c r="AJ293" s="4">
        <f t="shared" si="62"/>
        <v>2.7807918130790421E-2</v>
      </c>
      <c r="AK293" s="4">
        <f t="shared" si="62"/>
        <v>2.4943567607301098E-2</v>
      </c>
      <c r="AL293" s="4">
        <f t="shared" si="62"/>
        <v>2.1650927984898205E-2</v>
      </c>
    </row>
    <row r="294" spans="1:38" x14ac:dyDescent="0.35">
      <c r="B294" t="s">
        <v>96</v>
      </c>
      <c r="C294" s="4">
        <f t="shared" ref="C294:AL294" si="63">C276/C285-1</f>
        <v>0</v>
      </c>
      <c r="D294" s="4">
        <f t="shared" si="63"/>
        <v>0</v>
      </c>
      <c r="E294" s="4">
        <f t="shared" si="63"/>
        <v>0</v>
      </c>
      <c r="F294" s="4">
        <f t="shared" si="63"/>
        <v>0</v>
      </c>
      <c r="G294" s="4">
        <f t="shared" si="63"/>
        <v>0</v>
      </c>
      <c r="H294" s="4">
        <f t="shared" si="63"/>
        <v>0</v>
      </c>
      <c r="I294" s="4">
        <f t="shared" si="63"/>
        <v>2.9459908156415082E-4</v>
      </c>
      <c r="J294" s="4">
        <f t="shared" si="63"/>
        <v>1.9588507653911513E-4</v>
      </c>
      <c r="K294" s="4">
        <f t="shared" si="63"/>
        <v>1.1634418544628211E-3</v>
      </c>
      <c r="L294" s="4">
        <f t="shared" si="63"/>
        <v>5.2914173962150812E-3</v>
      </c>
      <c r="M294" s="4">
        <f t="shared" si="63"/>
        <v>1.2222021789586979E-2</v>
      </c>
      <c r="N294" s="4">
        <f t="shared" si="63"/>
        <v>1.9941204661189538E-2</v>
      </c>
      <c r="O294" s="4">
        <f t="shared" si="63"/>
        <v>2.6114560422276334E-2</v>
      </c>
      <c r="P294" s="4">
        <f t="shared" si="63"/>
        <v>3.0276725524824188E-2</v>
      </c>
      <c r="Q294" s="4">
        <f t="shared" si="63"/>
        <v>3.3006961095986886E-2</v>
      </c>
      <c r="R294" s="4">
        <f t="shared" si="63"/>
        <v>3.5007178868827982E-2</v>
      </c>
      <c r="S294" s="4">
        <f t="shared" si="63"/>
        <v>3.6773345830611426E-2</v>
      </c>
      <c r="T294" s="4">
        <f t="shared" si="63"/>
        <v>3.8696351150464992E-2</v>
      </c>
      <c r="U294" s="4">
        <f t="shared" si="63"/>
        <v>4.0797751958346673E-2</v>
      </c>
      <c r="V294" s="4">
        <f t="shared" si="63"/>
        <v>4.2981089989989618E-2</v>
      </c>
      <c r="W294" s="4">
        <f t="shared" si="63"/>
        <v>4.5168042780625139E-2</v>
      </c>
      <c r="X294" s="4">
        <f t="shared" si="63"/>
        <v>4.7300722179044019E-2</v>
      </c>
      <c r="Y294" s="4">
        <f t="shared" si="63"/>
        <v>4.9343942501761662E-2</v>
      </c>
      <c r="Z294" s="4">
        <f t="shared" si="63"/>
        <v>5.1297189191815029E-2</v>
      </c>
      <c r="AA294" s="4">
        <f t="shared" si="63"/>
        <v>5.3169858925368407E-2</v>
      </c>
      <c r="AB294" s="4">
        <f t="shared" si="63"/>
        <v>5.4962598977436272E-2</v>
      </c>
      <c r="AC294" s="4">
        <f t="shared" si="63"/>
        <v>5.6612818168067625E-2</v>
      </c>
      <c r="AD294" s="4">
        <f t="shared" si="63"/>
        <v>5.8021371925009335E-2</v>
      </c>
      <c r="AE294" s="4">
        <f t="shared" si="63"/>
        <v>5.9160416557738627E-2</v>
      </c>
      <c r="AF294" s="4">
        <f t="shared" si="63"/>
        <v>6.0039118927583068E-2</v>
      </c>
      <c r="AG294" s="4">
        <f t="shared" si="63"/>
        <v>6.0672011625878985E-2</v>
      </c>
      <c r="AH294" s="4">
        <f t="shared" si="63"/>
        <v>6.1042298731168065E-2</v>
      </c>
      <c r="AI294" s="4">
        <f t="shared" si="63"/>
        <v>6.1115254077855008E-2</v>
      </c>
      <c r="AJ294" s="4">
        <f t="shared" si="63"/>
        <v>6.0884195344969694E-2</v>
      </c>
      <c r="AK294" s="4">
        <f t="shared" si="63"/>
        <v>6.0362890318786944E-2</v>
      </c>
      <c r="AL294" s="4">
        <f t="shared" si="63"/>
        <v>5.9578118735207797E-2</v>
      </c>
    </row>
    <row r="295" spans="1:38" x14ac:dyDescent="0.35">
      <c r="B295" t="s">
        <v>11</v>
      </c>
      <c r="C295" s="4">
        <f t="shared" ref="C295:AL295" si="64">C277/C286-1</f>
        <v>0</v>
      </c>
      <c r="D295" s="4">
        <f t="shared" si="64"/>
        <v>0</v>
      </c>
      <c r="E295" s="4">
        <f t="shared" si="64"/>
        <v>0</v>
      </c>
      <c r="F295" s="4">
        <f t="shared" si="64"/>
        <v>0</v>
      </c>
      <c r="G295" s="4">
        <f t="shared" si="64"/>
        <v>0</v>
      </c>
      <c r="H295" s="4">
        <f t="shared" si="64"/>
        <v>0</v>
      </c>
      <c r="I295" s="4">
        <f t="shared" si="64"/>
        <v>-3.3210874342892716E-4</v>
      </c>
      <c r="J295" s="4">
        <f t="shared" si="64"/>
        <v>3.7411451857869427E-3</v>
      </c>
      <c r="K295" s="4">
        <f t="shared" si="64"/>
        <v>1.1147929075948859E-2</v>
      </c>
      <c r="L295" s="4">
        <f t="shared" si="64"/>
        <v>2.4599029094341418E-2</v>
      </c>
      <c r="M295" s="4">
        <f t="shared" si="64"/>
        <v>4.1663884920779548E-2</v>
      </c>
      <c r="N295" s="4">
        <f t="shared" si="64"/>
        <v>5.9599893241902402E-2</v>
      </c>
      <c r="O295" s="4">
        <f t="shared" si="64"/>
        <v>7.7658770561672252E-2</v>
      </c>
      <c r="P295" s="4">
        <f t="shared" si="64"/>
        <v>9.5822865713355965E-2</v>
      </c>
      <c r="Q295" s="4">
        <f t="shared" si="64"/>
        <v>0.1145202752274721</v>
      </c>
      <c r="R295" s="4">
        <f t="shared" si="64"/>
        <v>0.13401844163822507</v>
      </c>
      <c r="S295" s="4">
        <f t="shared" si="64"/>
        <v>0.15369070812248498</v>
      </c>
      <c r="T295" s="4">
        <f t="shared" si="64"/>
        <v>0.17399523245131809</v>
      </c>
      <c r="U295" s="4">
        <f t="shared" si="64"/>
        <v>0.19479822978041228</v>
      </c>
      <c r="V295" s="4">
        <f t="shared" si="64"/>
        <v>0.21591369652692105</v>
      </c>
      <c r="W295" s="4">
        <f t="shared" si="64"/>
        <v>0.23721390428913791</v>
      </c>
      <c r="X295" s="4">
        <f t="shared" si="64"/>
        <v>0.25864457629910054</v>
      </c>
      <c r="Y295" s="4">
        <f t="shared" si="64"/>
        <v>0.28016351638750758</v>
      </c>
      <c r="Z295" s="4">
        <f t="shared" si="64"/>
        <v>0.30166079671350654</v>
      </c>
      <c r="AA295" s="4">
        <f t="shared" si="64"/>
        <v>0.32298566737944245</v>
      </c>
      <c r="AB295" s="4">
        <f t="shared" si="64"/>
        <v>0.34398298181804066</v>
      </c>
      <c r="AC295" s="4">
        <f t="shared" si="64"/>
        <v>0.3650794051338484</v>
      </c>
      <c r="AD295" s="4">
        <f t="shared" si="64"/>
        <v>0.38618326189256624</v>
      </c>
      <c r="AE295" s="4">
        <f t="shared" si="64"/>
        <v>0.40719993989620273</v>
      </c>
      <c r="AF295" s="4">
        <f t="shared" si="64"/>
        <v>0.42800812097594032</v>
      </c>
      <c r="AG295" s="4">
        <f t="shared" si="64"/>
        <v>0.44849321517941743</v>
      </c>
      <c r="AH295" s="4">
        <f t="shared" si="64"/>
        <v>0.46864464503041869</v>
      </c>
      <c r="AI295" s="4">
        <f t="shared" si="64"/>
        <v>0.48854054367050637</v>
      </c>
      <c r="AJ295" s="4">
        <f t="shared" si="64"/>
        <v>0.50820710024427629</v>
      </c>
      <c r="AK295" s="4">
        <f t="shared" si="64"/>
        <v>0.52762808794347693</v>
      </c>
      <c r="AL295" s="4">
        <f t="shared" si="64"/>
        <v>0.54676569059416602</v>
      </c>
    </row>
    <row r="296" spans="1:38" x14ac:dyDescent="0.35">
      <c r="B296" t="s">
        <v>8</v>
      </c>
      <c r="C296" s="4">
        <f t="shared" ref="C296:AL296" si="65">C278/C287-1</f>
        <v>0</v>
      </c>
      <c r="D296" s="4">
        <f t="shared" si="65"/>
        <v>0</v>
      </c>
      <c r="E296" s="4">
        <f t="shared" si="65"/>
        <v>0</v>
      </c>
      <c r="F296" s="4">
        <f t="shared" si="65"/>
        <v>0</v>
      </c>
      <c r="G296" s="4">
        <f t="shared" si="65"/>
        <v>0</v>
      </c>
      <c r="H296" s="4">
        <f t="shared" si="65"/>
        <v>0</v>
      </c>
      <c r="I296" s="4">
        <f t="shared" si="65"/>
        <v>3.2518249488178164E-4</v>
      </c>
      <c r="J296" s="4">
        <f t="shared" si="65"/>
        <v>-3.0481797604193783E-3</v>
      </c>
      <c r="K296" s="4">
        <f t="shared" si="65"/>
        <v>-6.837989030307523E-3</v>
      </c>
      <c r="L296" s="4">
        <f t="shared" si="65"/>
        <v>-4.7395316197118564E-3</v>
      </c>
      <c r="M296" s="4">
        <f t="shared" si="65"/>
        <v>-4.5590128797468044E-4</v>
      </c>
      <c r="N296" s="4">
        <f t="shared" si="65"/>
        <v>3.8672322047470509E-3</v>
      </c>
      <c r="O296" s="4">
        <f t="shared" si="65"/>
        <v>7.1450697577966071E-3</v>
      </c>
      <c r="P296" s="4">
        <f t="shared" si="65"/>
        <v>9.3574285797677348E-3</v>
      </c>
      <c r="Q296" s="4">
        <f t="shared" si="65"/>
        <v>1.1033174643057864E-2</v>
      </c>
      <c r="R296" s="4">
        <f t="shared" si="65"/>
        <v>1.2457860912636454E-2</v>
      </c>
      <c r="S296" s="4">
        <f t="shared" si="65"/>
        <v>1.3407519146052094E-2</v>
      </c>
      <c r="T296" s="4">
        <f t="shared" si="65"/>
        <v>1.3984092277896876E-2</v>
      </c>
      <c r="U296" s="4">
        <f t="shared" si="65"/>
        <v>1.4306991912282685E-2</v>
      </c>
      <c r="V296" s="4">
        <f t="shared" si="65"/>
        <v>1.4455445770173547E-2</v>
      </c>
      <c r="W296" s="4">
        <f t="shared" si="65"/>
        <v>1.447211216482347E-2</v>
      </c>
      <c r="X296" s="4">
        <f t="shared" si="65"/>
        <v>1.4390264498439498E-2</v>
      </c>
      <c r="Y296" s="4">
        <f t="shared" si="65"/>
        <v>1.4227145410716568E-2</v>
      </c>
      <c r="Z296" s="4">
        <f t="shared" si="65"/>
        <v>1.397078137864094E-2</v>
      </c>
      <c r="AA296" s="4">
        <f t="shared" si="65"/>
        <v>1.3599547208098972E-2</v>
      </c>
      <c r="AB296" s="4">
        <f t="shared" si="65"/>
        <v>1.3091682014234607E-2</v>
      </c>
      <c r="AC296" s="4">
        <f t="shared" si="65"/>
        <v>1.247327252379149E-2</v>
      </c>
      <c r="AD296" s="4">
        <f t="shared" si="65"/>
        <v>1.1834020422604619E-2</v>
      </c>
      <c r="AE296" s="4">
        <f t="shared" si="65"/>
        <v>1.1204784774607512E-2</v>
      </c>
      <c r="AF296" s="4">
        <f t="shared" si="65"/>
        <v>1.0592455316207561E-2</v>
      </c>
      <c r="AG296" s="4">
        <f t="shared" si="65"/>
        <v>9.9986401389577928E-3</v>
      </c>
      <c r="AH296" s="4">
        <f t="shared" si="65"/>
        <v>9.4462953035938657E-3</v>
      </c>
      <c r="AI296" s="4">
        <f t="shared" si="65"/>
        <v>8.9754539169712988E-3</v>
      </c>
      <c r="AJ296" s="4">
        <f t="shared" si="65"/>
        <v>8.6032551730843565E-3</v>
      </c>
      <c r="AK296" s="4">
        <f t="shared" si="65"/>
        <v>8.334931739344853E-3</v>
      </c>
      <c r="AL296" s="4">
        <f t="shared" si="65"/>
        <v>8.185398327843707E-3</v>
      </c>
    </row>
    <row r="297" spans="1:38" x14ac:dyDescent="0.35">
      <c r="B297" t="s">
        <v>24</v>
      </c>
      <c r="C297" s="4">
        <f t="shared" ref="C297:AL297" si="66">C279/C288-1</f>
        <v>0</v>
      </c>
      <c r="D297" s="4">
        <f t="shared" si="66"/>
        <v>0</v>
      </c>
      <c r="E297" s="4">
        <f t="shared" si="66"/>
        <v>0</v>
      </c>
      <c r="F297" s="4">
        <f t="shared" si="66"/>
        <v>0</v>
      </c>
      <c r="G297" s="4">
        <f t="shared" si="66"/>
        <v>0</v>
      </c>
      <c r="H297" s="4">
        <f t="shared" si="66"/>
        <v>0</v>
      </c>
      <c r="I297" s="4">
        <f t="shared" si="66"/>
        <v>1.235818092471419E-3</v>
      </c>
      <c r="J297" s="4">
        <f t="shared" si="66"/>
        <v>5.4465150221758574E-3</v>
      </c>
      <c r="K297" s="4">
        <f t="shared" si="66"/>
        <v>1.0305037784735349E-2</v>
      </c>
      <c r="L297" s="4">
        <f t="shared" si="66"/>
        <v>1.7016700925522432E-2</v>
      </c>
      <c r="M297" s="4">
        <f t="shared" si="66"/>
        <v>2.4493413121198238E-2</v>
      </c>
      <c r="N297" s="4">
        <f t="shared" si="66"/>
        <v>3.3355574517448749E-2</v>
      </c>
      <c r="O297" s="4">
        <f t="shared" si="66"/>
        <v>4.3325215945551054E-2</v>
      </c>
      <c r="P297" s="4">
        <f t="shared" si="66"/>
        <v>5.4334404279899662E-2</v>
      </c>
      <c r="Q297" s="4">
        <f t="shared" si="66"/>
        <v>6.6159495433578464E-2</v>
      </c>
      <c r="R297" s="4">
        <f t="shared" si="66"/>
        <v>7.8473137151261918E-2</v>
      </c>
      <c r="S297" s="4">
        <f t="shared" si="66"/>
        <v>9.2163908367321135E-2</v>
      </c>
      <c r="T297" s="4">
        <f t="shared" si="66"/>
        <v>0.10505098311380667</v>
      </c>
      <c r="U297" s="4">
        <f t="shared" si="66"/>
        <v>0.11656314650435218</v>
      </c>
      <c r="V297" s="4">
        <f t="shared" si="66"/>
        <v>0.12677778826215746</v>
      </c>
      <c r="W297" s="4">
        <f t="shared" si="66"/>
        <v>0.13595767482398879</v>
      </c>
      <c r="X297" s="4">
        <f t="shared" si="66"/>
        <v>0.14441199556347994</v>
      </c>
      <c r="Y297" s="4">
        <f t="shared" si="66"/>
        <v>0.15242800257146083</v>
      </c>
      <c r="Z297" s="4">
        <f t="shared" si="66"/>
        <v>0.16021703146160182</v>
      </c>
      <c r="AA297" s="4">
        <f t="shared" si="66"/>
        <v>0.16799376937678456</v>
      </c>
      <c r="AB297" s="4">
        <f t="shared" si="66"/>
        <v>0.17599509509475708</v>
      </c>
      <c r="AC297" s="4">
        <f t="shared" si="66"/>
        <v>0.18460199121411458</v>
      </c>
      <c r="AD297" s="4">
        <f t="shared" si="66"/>
        <v>0.19421273857656307</v>
      </c>
      <c r="AE297" s="4">
        <f t="shared" si="66"/>
        <v>0.20527492185930973</v>
      </c>
      <c r="AF297" s="4">
        <f t="shared" si="66"/>
        <v>0.21834822705331636</v>
      </c>
      <c r="AG297" s="4">
        <f t="shared" si="66"/>
        <v>0.23420098143032964</v>
      </c>
      <c r="AH297" s="4">
        <f t="shared" si="66"/>
        <v>0.2539798985219357</v>
      </c>
      <c r="AI297" s="4">
        <f t="shared" si="66"/>
        <v>0.27946443647241992</v>
      </c>
      <c r="AJ297" s="4">
        <f t="shared" si="66"/>
        <v>0.31354147439659452</v>
      </c>
      <c r="AK297" s="4">
        <f t="shared" si="66"/>
        <v>0.36137431790495422</v>
      </c>
      <c r="AL297" s="4">
        <f t="shared" si="66"/>
        <v>0.43331721742472329</v>
      </c>
    </row>
    <row r="298" spans="1:38" x14ac:dyDescent="0.35">
      <c r="B298" t="s">
        <v>10</v>
      </c>
      <c r="C298" s="4">
        <f t="shared" ref="C298:AL298" si="67">C280/C289-1</f>
        <v>0</v>
      </c>
      <c r="D298" s="4">
        <f t="shared" si="67"/>
        <v>0</v>
      </c>
      <c r="E298" s="4">
        <f t="shared" si="67"/>
        <v>0</v>
      </c>
      <c r="F298" s="4">
        <f t="shared" si="67"/>
        <v>0</v>
      </c>
      <c r="G298" s="4">
        <f t="shared" si="67"/>
        <v>0</v>
      </c>
      <c r="H298" s="4">
        <f t="shared" si="67"/>
        <v>0</v>
      </c>
      <c r="I298" s="4">
        <f t="shared" si="67"/>
        <v>4.9605195360413745E-4</v>
      </c>
      <c r="J298" s="4">
        <f t="shared" si="67"/>
        <v>-9.0211179823862508E-4</v>
      </c>
      <c r="K298" s="4">
        <f t="shared" si="67"/>
        <v>-2.8984019622687596E-3</v>
      </c>
      <c r="L298" s="4">
        <f t="shared" si="67"/>
        <v>-2.8951971049223646E-3</v>
      </c>
      <c r="M298" s="4">
        <f t="shared" si="67"/>
        <v>-1.829728204793768E-3</v>
      </c>
      <c r="N298" s="4">
        <f t="shared" si="67"/>
        <v>-2.0198171270446874E-4</v>
      </c>
      <c r="O298" s="4">
        <f t="shared" si="67"/>
        <v>1.8131564131707023E-3</v>
      </c>
      <c r="P298" s="4">
        <f t="shared" si="67"/>
        <v>4.1150757290242534E-3</v>
      </c>
      <c r="Q298" s="4">
        <f t="shared" si="67"/>
        <v>6.6850560091595845E-3</v>
      </c>
      <c r="R298" s="4">
        <f t="shared" si="67"/>
        <v>9.4390326614031128E-3</v>
      </c>
      <c r="S298" s="4">
        <f t="shared" si="67"/>
        <v>1.1866977730762729E-2</v>
      </c>
      <c r="T298" s="4">
        <f t="shared" si="67"/>
        <v>1.3817060099283074E-2</v>
      </c>
      <c r="U298" s="4">
        <f t="shared" si="67"/>
        <v>1.5374513387417243E-2</v>
      </c>
      <c r="V298" s="4">
        <f t="shared" si="67"/>
        <v>1.6708112408155618E-2</v>
      </c>
      <c r="W298" s="4">
        <f t="shared" si="67"/>
        <v>1.7962142843909179E-2</v>
      </c>
      <c r="X298" s="4">
        <f t="shared" si="67"/>
        <v>1.9203485000730547E-2</v>
      </c>
      <c r="Y298" s="4">
        <f t="shared" si="67"/>
        <v>2.0447515378131831E-2</v>
      </c>
      <c r="Z298" s="4">
        <f t="shared" si="67"/>
        <v>2.1705639973923274E-2</v>
      </c>
      <c r="AA298" s="4">
        <f t="shared" si="67"/>
        <v>2.2981571306287973E-2</v>
      </c>
      <c r="AB298" s="4">
        <f t="shared" si="67"/>
        <v>2.4266997758641828E-2</v>
      </c>
      <c r="AC298" s="4">
        <f t="shared" si="67"/>
        <v>2.5496810520420521E-2</v>
      </c>
      <c r="AD298" s="4">
        <f t="shared" si="67"/>
        <v>2.6570272157062425E-2</v>
      </c>
      <c r="AE298" s="4">
        <f t="shared" si="67"/>
        <v>2.7481487554229966E-2</v>
      </c>
      <c r="AF298" s="4">
        <f t="shared" si="67"/>
        <v>2.8260307989896205E-2</v>
      </c>
      <c r="AG298" s="4">
        <f t="shared" si="67"/>
        <v>2.8938983297353671E-2</v>
      </c>
      <c r="AH298" s="4">
        <f t="shared" si="67"/>
        <v>2.9514191962870306E-2</v>
      </c>
      <c r="AI298" s="4">
        <f t="shared" si="67"/>
        <v>2.9964739862161194E-2</v>
      </c>
      <c r="AJ298" s="4">
        <f t="shared" si="67"/>
        <v>3.0298557475533228E-2</v>
      </c>
      <c r="AK298" s="4">
        <f t="shared" si="67"/>
        <v>3.0535786375592178E-2</v>
      </c>
      <c r="AL298" s="4">
        <f t="shared" si="67"/>
        <v>3.0696790139798313E-2</v>
      </c>
    </row>
    <row r="299" spans="1:38" x14ac:dyDescent="0.35">
      <c r="B299" t="s">
        <v>23</v>
      </c>
      <c r="C299" s="4">
        <f t="shared" ref="C299:AL299" si="68">C281/C290-1</f>
        <v>0</v>
      </c>
      <c r="D299" s="4">
        <f t="shared" si="68"/>
        <v>0</v>
      </c>
      <c r="E299" s="4">
        <f t="shared" si="68"/>
        <v>0</v>
      </c>
      <c r="F299" s="4">
        <f t="shared" si="68"/>
        <v>0</v>
      </c>
      <c r="G299" s="4">
        <f t="shared" si="68"/>
        <v>0</v>
      </c>
      <c r="H299" s="4">
        <f t="shared" si="68"/>
        <v>0</v>
      </c>
      <c r="I299" s="4">
        <f t="shared" si="68"/>
        <v>2.9418164960826054E-4</v>
      </c>
      <c r="J299" s="4">
        <f t="shared" si="68"/>
        <v>-1.0633398640674807E-3</v>
      </c>
      <c r="K299" s="4">
        <f t="shared" si="68"/>
        <v>-2.3792284462211821E-3</v>
      </c>
      <c r="L299" s="4">
        <f t="shared" si="68"/>
        <v>1.0479033951431571E-3</v>
      </c>
      <c r="M299" s="4">
        <f t="shared" si="68"/>
        <v>6.898684530494581E-3</v>
      </c>
      <c r="N299" s="4">
        <f t="shared" si="68"/>
        <v>1.3408947813070782E-2</v>
      </c>
      <c r="O299" s="4">
        <f t="shared" si="68"/>
        <v>1.9706741144955853E-2</v>
      </c>
      <c r="P299" s="4">
        <f t="shared" si="68"/>
        <v>2.5516044924711156E-2</v>
      </c>
      <c r="Q299" s="4">
        <f t="shared" si="68"/>
        <v>3.0937374664722128E-2</v>
      </c>
      <c r="R299" s="4">
        <f t="shared" si="68"/>
        <v>3.5951654836026581E-2</v>
      </c>
      <c r="S299" s="4">
        <f t="shared" si="68"/>
        <v>4.0561205290726043E-2</v>
      </c>
      <c r="T299" s="4">
        <f t="shared" si="68"/>
        <v>4.4590629301977103E-2</v>
      </c>
      <c r="U299" s="4">
        <f t="shared" si="68"/>
        <v>4.8094288825010656E-2</v>
      </c>
      <c r="V299" s="4">
        <f t="shared" si="68"/>
        <v>5.1187818989511857E-2</v>
      </c>
      <c r="W299" s="4">
        <f t="shared" si="68"/>
        <v>5.3977502420759826E-2</v>
      </c>
      <c r="X299" s="4">
        <f t="shared" si="68"/>
        <v>5.6569701410572604E-2</v>
      </c>
      <c r="Y299" s="4">
        <f t="shared" si="68"/>
        <v>5.9042949046758331E-2</v>
      </c>
      <c r="Z299" s="4">
        <f t="shared" si="68"/>
        <v>6.1392145541147913E-2</v>
      </c>
      <c r="AA299" s="4">
        <f t="shared" si="68"/>
        <v>6.3560986990895518E-2</v>
      </c>
      <c r="AB299" s="4">
        <f t="shared" si="68"/>
        <v>6.5479489410666059E-2</v>
      </c>
      <c r="AC299" s="4">
        <f t="shared" si="68"/>
        <v>6.7238545286203655E-2</v>
      </c>
      <c r="AD299" s="4">
        <f t="shared" si="68"/>
        <v>6.9024276517690053E-2</v>
      </c>
      <c r="AE299" s="4">
        <f t="shared" si="68"/>
        <v>7.0902138144429916E-2</v>
      </c>
      <c r="AF299" s="4">
        <f t="shared" si="68"/>
        <v>7.2855723388924654E-2</v>
      </c>
      <c r="AG299" s="4">
        <f t="shared" si="68"/>
        <v>7.4840364866427755E-2</v>
      </c>
      <c r="AH299" s="4">
        <f t="shared" si="68"/>
        <v>7.687475880445005E-2</v>
      </c>
      <c r="AI299" s="4">
        <f t="shared" si="68"/>
        <v>7.9039682897696473E-2</v>
      </c>
      <c r="AJ299" s="4">
        <f t="shared" si="68"/>
        <v>8.1369587685335087E-2</v>
      </c>
      <c r="AK299" s="4">
        <f t="shared" si="68"/>
        <v>8.385845233868916E-2</v>
      </c>
      <c r="AL299" s="4">
        <f t="shared" si="68"/>
        <v>8.6477712436123344E-2</v>
      </c>
    </row>
    <row r="301" spans="1:38" x14ac:dyDescent="0.35">
      <c r="A301" s="12" t="s">
        <v>17</v>
      </c>
      <c r="C301" s="7" t="s">
        <v>14</v>
      </c>
      <c r="D301" s="7" t="s">
        <v>15</v>
      </c>
      <c r="E301" s="7" t="s">
        <v>16</v>
      </c>
    </row>
    <row r="302" spans="1:38" x14ac:dyDescent="0.35">
      <c r="A302" t="s">
        <v>54</v>
      </c>
      <c r="B302" t="s">
        <v>80</v>
      </c>
      <c r="C302" s="4">
        <f>R292</f>
        <v>1.3716093830248965E-2</v>
      </c>
      <c r="D302" s="4">
        <f>AB292</f>
        <v>3.1007814489411256E-2</v>
      </c>
      <c r="E302" s="4">
        <f>AL292</f>
        <v>4.011776655834276E-2</v>
      </c>
    </row>
    <row r="303" spans="1:38" x14ac:dyDescent="0.35">
      <c r="B303" t="s">
        <v>7</v>
      </c>
      <c r="C303" s="4">
        <f t="shared" ref="C303:C309" si="69">R293</f>
        <v>1.760636718038322E-2</v>
      </c>
      <c r="D303" s="4">
        <f t="shared" ref="D303:D309" si="70">AB293</f>
        <v>3.6466215143016179E-2</v>
      </c>
      <c r="E303" s="4">
        <f t="shared" ref="E303:E309" si="71">AL293</f>
        <v>2.1650927984898205E-2</v>
      </c>
    </row>
    <row r="304" spans="1:38" x14ac:dyDescent="0.35">
      <c r="B304" t="s">
        <v>96</v>
      </c>
      <c r="C304" s="4">
        <f t="shared" si="69"/>
        <v>3.5007178868827982E-2</v>
      </c>
      <c r="D304" s="4">
        <f t="shared" si="70"/>
        <v>5.4962598977436272E-2</v>
      </c>
      <c r="E304" s="4">
        <f t="shared" si="71"/>
        <v>5.9578118735207797E-2</v>
      </c>
    </row>
    <row r="305" spans="1:9" x14ac:dyDescent="0.35">
      <c r="B305" t="s">
        <v>11</v>
      </c>
      <c r="C305" s="4">
        <f t="shared" si="69"/>
        <v>0.13401844163822507</v>
      </c>
      <c r="D305" s="4">
        <f t="shared" si="70"/>
        <v>0.34398298181804066</v>
      </c>
      <c r="E305" s="4">
        <f t="shared" si="71"/>
        <v>0.54676569059416602</v>
      </c>
    </row>
    <row r="306" spans="1:9" x14ac:dyDescent="0.35">
      <c r="B306" t="s">
        <v>8</v>
      </c>
      <c r="C306" s="4">
        <f t="shared" si="69"/>
        <v>1.2457860912636454E-2</v>
      </c>
      <c r="D306" s="4">
        <f t="shared" si="70"/>
        <v>1.3091682014234607E-2</v>
      </c>
      <c r="E306" s="4">
        <f t="shared" si="71"/>
        <v>8.185398327843707E-3</v>
      </c>
    </row>
    <row r="307" spans="1:9" x14ac:dyDescent="0.35">
      <c r="B307" t="s">
        <v>24</v>
      </c>
      <c r="C307" s="4">
        <f t="shared" si="69"/>
        <v>7.8473137151261918E-2</v>
      </c>
      <c r="D307" s="4">
        <f t="shared" si="70"/>
        <v>0.17599509509475708</v>
      </c>
      <c r="E307" s="4">
        <f t="shared" si="71"/>
        <v>0.43331721742472329</v>
      </c>
    </row>
    <row r="308" spans="1:9" x14ac:dyDescent="0.35">
      <c r="B308" t="s">
        <v>10</v>
      </c>
      <c r="C308" s="4">
        <f t="shared" si="69"/>
        <v>9.4390326614031128E-3</v>
      </c>
      <c r="D308" s="4">
        <f t="shared" si="70"/>
        <v>2.4266997758641828E-2</v>
      </c>
      <c r="E308" s="4">
        <f t="shared" si="71"/>
        <v>3.0696790139798313E-2</v>
      </c>
    </row>
    <row r="309" spans="1:9" x14ac:dyDescent="0.35">
      <c r="B309" t="s">
        <v>23</v>
      </c>
      <c r="C309" s="4">
        <f t="shared" si="69"/>
        <v>3.5951654836026581E-2</v>
      </c>
      <c r="D309" s="4">
        <f t="shared" si="70"/>
        <v>6.5479489410666059E-2</v>
      </c>
      <c r="E309" s="4">
        <f t="shared" si="71"/>
        <v>8.6477712436123344E-2</v>
      </c>
    </row>
    <row r="310" spans="1:9" x14ac:dyDescent="0.35">
      <c r="C310" s="4"/>
      <c r="D310" s="4"/>
      <c r="E310" s="4"/>
    </row>
    <row r="311" spans="1:9" x14ac:dyDescent="0.35">
      <c r="A311" s="12" t="s">
        <v>17</v>
      </c>
      <c r="C311" s="7" t="s">
        <v>14</v>
      </c>
      <c r="D311" s="7" t="s">
        <v>15</v>
      </c>
      <c r="E311" s="7" t="s">
        <v>16</v>
      </c>
    </row>
    <row r="312" spans="1:9" x14ac:dyDescent="0.35">
      <c r="A312" t="s">
        <v>99</v>
      </c>
      <c r="B312" t="s">
        <v>80</v>
      </c>
      <c r="C312" s="4">
        <f>C302</f>
        <v>1.3716093830248965E-2</v>
      </c>
      <c r="D312" s="4">
        <f>D302</f>
        <v>3.1007814489411256E-2</v>
      </c>
      <c r="E312" s="4">
        <f>E302</f>
        <v>4.011776655834276E-2</v>
      </c>
      <c r="G312" s="6">
        <f>R283</f>
        <v>603885.03480000002</v>
      </c>
      <c r="H312" s="6">
        <f>AB283</f>
        <v>757392.29890000005</v>
      </c>
      <c r="I312" s="6">
        <f>AL283</f>
        <v>1010014.402</v>
      </c>
    </row>
    <row r="313" spans="1:9" x14ac:dyDescent="0.35">
      <c r="B313" t="s">
        <v>7</v>
      </c>
      <c r="C313" s="4">
        <f>C303*G313/G$312</f>
        <v>4.3005145852969932E-4</v>
      </c>
      <c r="D313" s="4">
        <f t="shared" ref="D313:E313" si="72">D303*H313/H$312</f>
        <v>9.0828337045295213E-4</v>
      </c>
      <c r="E313" s="4">
        <f t="shared" si="72"/>
        <v>5.5625720671654405E-4</v>
      </c>
      <c r="G313" s="6">
        <f t="shared" ref="G313:G319" si="73">R284</f>
        <v>14750.43871</v>
      </c>
      <c r="H313" s="6">
        <f t="shared" ref="H313:H319" si="74">AB284</f>
        <v>18864.77188</v>
      </c>
      <c r="I313" s="6">
        <f t="shared" ref="I313:I319" si="75">AL284</f>
        <v>25949.363020000001</v>
      </c>
    </row>
    <row r="314" spans="1:9" x14ac:dyDescent="0.35">
      <c r="B314" t="s">
        <v>96</v>
      </c>
      <c r="C314" s="4">
        <f t="shared" ref="C314:E314" si="76">C304*G314/G$312</f>
        <v>6.2861751512971898E-4</v>
      </c>
      <c r="D314" s="4">
        <f t="shared" si="76"/>
        <v>9.7332333728591546E-4</v>
      </c>
      <c r="E314" s="4">
        <f t="shared" si="76"/>
        <v>1.0298420576383004E-3</v>
      </c>
      <c r="G314" s="6">
        <f t="shared" si="73"/>
        <v>10843.85324</v>
      </c>
      <c r="H314" s="6">
        <f t="shared" si="74"/>
        <v>13412.53168</v>
      </c>
      <c r="I314" s="6">
        <f t="shared" si="75"/>
        <v>17458.68</v>
      </c>
    </row>
    <row r="315" spans="1:9" x14ac:dyDescent="0.35">
      <c r="B315" t="s">
        <v>11</v>
      </c>
      <c r="C315" s="4">
        <f t="shared" ref="C315:E315" si="77">C305*G315/G$312</f>
        <v>1.9676640792953785E-3</v>
      </c>
      <c r="D315" s="4">
        <f t="shared" si="77"/>
        <v>5.30310407939639E-3</v>
      </c>
      <c r="E315" s="4">
        <f t="shared" si="77"/>
        <v>8.2656428992187812E-3</v>
      </c>
      <c r="G315" s="6">
        <f t="shared" si="73"/>
        <v>8866.2640489999994</v>
      </c>
      <c r="H315" s="6">
        <f t="shared" si="74"/>
        <v>11676.53751</v>
      </c>
      <c r="I315" s="6">
        <f t="shared" si="75"/>
        <v>15268.73122</v>
      </c>
    </row>
    <row r="316" spans="1:9" x14ac:dyDescent="0.35">
      <c r="B316" t="s">
        <v>8</v>
      </c>
      <c r="C316" s="4">
        <f t="shared" ref="C316:E316" si="78">C306*G316/G$312</f>
        <v>1.5612611104235266E-3</v>
      </c>
      <c r="D316" s="4">
        <f t="shared" si="78"/>
        <v>1.6345891050094385E-3</v>
      </c>
      <c r="E316" s="4">
        <f t="shared" si="78"/>
        <v>1.0685433671667498E-3</v>
      </c>
      <c r="G316" s="6">
        <f t="shared" si="73"/>
        <v>75680.907550000004</v>
      </c>
      <c r="H316" s="6">
        <f t="shared" si="74"/>
        <v>94565.78602</v>
      </c>
      <c r="I316" s="6">
        <f t="shared" si="75"/>
        <v>131849.92920000001</v>
      </c>
    </row>
    <row r="317" spans="1:9" x14ac:dyDescent="0.35">
      <c r="B317" t="s">
        <v>24</v>
      </c>
      <c r="C317" s="4">
        <f t="shared" ref="C317:E317" si="79">C307*G317/G$312</f>
        <v>6.5299866079741311E-4</v>
      </c>
      <c r="D317" s="4">
        <f t="shared" si="79"/>
        <v>1.2572710026006308E-3</v>
      </c>
      <c r="E317" s="4">
        <f t="shared" si="79"/>
        <v>2.7355912168468273E-3</v>
      </c>
      <c r="G317" s="6">
        <f t="shared" si="73"/>
        <v>5025.1096530000004</v>
      </c>
      <c r="H317" s="6">
        <f t="shared" si="74"/>
        <v>5410.6472370000001</v>
      </c>
      <c r="I317" s="6">
        <f t="shared" si="75"/>
        <v>6376.3598949999996</v>
      </c>
    </row>
    <row r="318" spans="1:9" x14ac:dyDescent="0.35">
      <c r="B318" t="s">
        <v>10</v>
      </c>
      <c r="C318" s="4">
        <f t="shared" ref="C318:E318" si="80">C308*G318/G$312</f>
        <v>7.3410802462894019E-3</v>
      </c>
      <c r="D318" s="4">
        <f t="shared" si="80"/>
        <v>1.8904219016742854E-2</v>
      </c>
      <c r="E318" s="4">
        <f t="shared" si="80"/>
        <v>2.3749681838695254E-2</v>
      </c>
      <c r="G318" s="6">
        <f t="shared" si="73"/>
        <v>469663.43469999998</v>
      </c>
      <c r="H318" s="6">
        <f t="shared" si="74"/>
        <v>590015.7095</v>
      </c>
      <c r="I318" s="6">
        <f t="shared" si="75"/>
        <v>781434.1692</v>
      </c>
    </row>
    <row r="319" spans="1:9" x14ac:dyDescent="0.35">
      <c r="B319" t="s">
        <v>23</v>
      </c>
      <c r="C319" s="4">
        <f t="shared" ref="C319:E319" si="81">C309*G319/G$312</f>
        <v>1.1344208094623272E-3</v>
      </c>
      <c r="D319" s="4">
        <f t="shared" si="81"/>
        <v>2.0270244921023447E-3</v>
      </c>
      <c r="E319" s="4">
        <f t="shared" si="81"/>
        <v>2.7122080185941742E-3</v>
      </c>
      <c r="G319" s="6">
        <f t="shared" si="73"/>
        <v>19055.026900000001</v>
      </c>
      <c r="H319" s="6">
        <f t="shared" si="74"/>
        <v>23446.31508</v>
      </c>
      <c r="I319" s="6">
        <f t="shared" si="75"/>
        <v>31677.169559999998</v>
      </c>
    </row>
    <row r="320" spans="1:9" x14ac:dyDescent="0.35">
      <c r="C320" s="4"/>
      <c r="D320" s="4"/>
      <c r="E320" s="4"/>
    </row>
    <row r="321" spans="1:38" x14ac:dyDescent="0.35">
      <c r="A321" s="12" t="s">
        <v>63</v>
      </c>
      <c r="C321" s="2">
        <v>42005</v>
      </c>
      <c r="D321" s="2">
        <v>42370</v>
      </c>
      <c r="E321" s="2">
        <v>42736</v>
      </c>
      <c r="F321" s="2">
        <v>43101</v>
      </c>
      <c r="G321" s="2">
        <v>43466</v>
      </c>
      <c r="H321" s="2">
        <v>43831</v>
      </c>
      <c r="I321" s="2">
        <v>44197</v>
      </c>
      <c r="J321" s="2">
        <v>44562</v>
      </c>
      <c r="K321" s="2">
        <v>44927</v>
      </c>
      <c r="L321" s="2">
        <v>45292</v>
      </c>
      <c r="M321" s="2">
        <v>45658</v>
      </c>
      <c r="N321" s="2">
        <v>46023</v>
      </c>
      <c r="O321" s="2">
        <v>46388</v>
      </c>
      <c r="P321" s="2">
        <v>46753</v>
      </c>
      <c r="Q321" s="2">
        <v>47119</v>
      </c>
      <c r="R321" s="2">
        <v>47484</v>
      </c>
      <c r="S321" s="2">
        <v>47849</v>
      </c>
      <c r="T321" s="2">
        <v>48214</v>
      </c>
      <c r="U321" s="2">
        <v>48580</v>
      </c>
      <c r="V321" s="2">
        <v>48945</v>
      </c>
      <c r="W321" s="2">
        <v>49310</v>
      </c>
      <c r="X321" s="2">
        <v>49675</v>
      </c>
      <c r="Y321" s="2">
        <v>50041</v>
      </c>
      <c r="Z321" s="2">
        <v>50406</v>
      </c>
      <c r="AA321" s="2">
        <v>50771</v>
      </c>
      <c r="AB321" s="2">
        <v>51136</v>
      </c>
      <c r="AC321" s="2">
        <v>51502</v>
      </c>
      <c r="AD321" s="2">
        <v>51867</v>
      </c>
      <c r="AE321" s="2">
        <v>52232</v>
      </c>
      <c r="AF321" s="2">
        <v>52597</v>
      </c>
      <c r="AG321" s="2">
        <v>52963</v>
      </c>
      <c r="AH321" s="2">
        <v>53328</v>
      </c>
      <c r="AI321" s="2">
        <v>53693</v>
      </c>
      <c r="AJ321" s="2">
        <v>54058</v>
      </c>
      <c r="AK321" s="2">
        <v>54424</v>
      </c>
      <c r="AL321" s="2">
        <v>54789</v>
      </c>
    </row>
    <row r="322" spans="1:38" x14ac:dyDescent="0.35">
      <c r="A322" t="s">
        <v>27</v>
      </c>
      <c r="B322" t="s">
        <v>83</v>
      </c>
      <c r="C322" s="6">
        <f>[1]Results!F3</f>
        <v>32317.940999999999</v>
      </c>
      <c r="D322" s="6">
        <f>[1]Results!G3</f>
        <v>31931.994600000002</v>
      </c>
      <c r="E322" s="6">
        <f>[1]Results!H3</f>
        <v>31779.039720000001</v>
      </c>
      <c r="F322" s="6">
        <f>[1]Results!I3</f>
        <v>31766.822619999999</v>
      </c>
      <c r="G322" s="6">
        <f>[1]Results!J3</f>
        <v>31869.659909999998</v>
      </c>
      <c r="H322" s="6">
        <f>[1]Results!K3</f>
        <v>32047.67642</v>
      </c>
      <c r="I322" s="6">
        <f>[1]Results!L3</f>
        <v>32260.965889999999</v>
      </c>
      <c r="J322" s="6">
        <f>[1]Results!M3</f>
        <v>32405.359260000001</v>
      </c>
      <c r="K322" s="6">
        <f>[1]Results!N3</f>
        <v>32561.99079</v>
      </c>
      <c r="L322" s="6">
        <f>[1]Results!O3</f>
        <v>32775.542529999999</v>
      </c>
      <c r="M322" s="6">
        <f>[1]Results!P3</f>
        <v>33071.244440000002</v>
      </c>
      <c r="N322" s="6">
        <f>[1]Results!Q3</f>
        <v>33487.27605</v>
      </c>
      <c r="O322" s="6">
        <f>[1]Results!R3</f>
        <v>34004.259870000002</v>
      </c>
      <c r="P322" s="6">
        <f>[1]Results!S3</f>
        <v>34593.033329999998</v>
      </c>
      <c r="Q322" s="6">
        <f>[1]Results!T3</f>
        <v>35227.378490000003</v>
      </c>
      <c r="R322" s="6">
        <f>[1]Results!U3</f>
        <v>35887.270900000003</v>
      </c>
      <c r="S322" s="6">
        <f>[1]Results!V3</f>
        <v>36567.024149999997</v>
      </c>
      <c r="T322" s="6">
        <f>[1]Results!W3</f>
        <v>37253.397550000002</v>
      </c>
      <c r="U322" s="6">
        <f>[1]Results!X3</f>
        <v>37939.221649999999</v>
      </c>
      <c r="V322" s="6">
        <f>[1]Results!Y3</f>
        <v>38620.753080000002</v>
      </c>
      <c r="W322" s="6">
        <f>[1]Results!Z3</f>
        <v>39296.299729999999</v>
      </c>
      <c r="X322" s="6">
        <f>[1]Results!AA3</f>
        <v>39965.328840000002</v>
      </c>
      <c r="Y322" s="6">
        <f>[1]Results!AB3</f>
        <v>40628.401230000003</v>
      </c>
      <c r="Z322" s="6">
        <f>[1]Results!AC3</f>
        <v>41287.05358</v>
      </c>
      <c r="AA322" s="6">
        <f>[1]Results!AD3</f>
        <v>41942.834439999999</v>
      </c>
      <c r="AB322" s="6">
        <f>[1]Results!AE3</f>
        <v>42597.373630000002</v>
      </c>
      <c r="AC322" s="6">
        <f>[1]Results!AF3</f>
        <v>43251.747380000001</v>
      </c>
      <c r="AD322" s="6">
        <f>[1]Results!AG3</f>
        <v>43907.555039999999</v>
      </c>
      <c r="AE322" s="6">
        <f>[1]Results!AH3</f>
        <v>44567.909489999998</v>
      </c>
      <c r="AF322" s="6">
        <f>[1]Results!AI3</f>
        <v>45236.277560000002</v>
      </c>
      <c r="AG322" s="6">
        <f>[1]Results!AJ3</f>
        <v>45914.973279999998</v>
      </c>
      <c r="AH322" s="6">
        <f>[1]Results!AK3</f>
        <v>46604.627390000001</v>
      </c>
      <c r="AI322" s="6">
        <f>[1]Results!AL3</f>
        <v>47304.647870000001</v>
      </c>
      <c r="AJ322" s="6">
        <f>[1]Results!AM3</f>
        <v>48014.08567</v>
      </c>
      <c r="AK322" s="6">
        <f>[1]Results!AN3</f>
        <v>48731.634030000001</v>
      </c>
      <c r="AL322" s="6">
        <f>[1]Results!AO3</f>
        <v>49455.490019999997</v>
      </c>
    </row>
    <row r="323" spans="1:38" x14ac:dyDescent="0.35">
      <c r="B323" t="s">
        <v>48</v>
      </c>
      <c r="C323" s="6">
        <f>[1]Results!F4</f>
        <v>32271.24</v>
      </c>
      <c r="D323" s="6">
        <f>[1]Results!G4</f>
        <v>31833.17037</v>
      </c>
      <c r="E323" s="6">
        <f>[1]Results!H4</f>
        <v>31580.97522</v>
      </c>
      <c r="F323" s="6">
        <f>[1]Results!I4</f>
        <v>31398.794310000001</v>
      </c>
      <c r="G323" s="6">
        <f>[1]Results!J4</f>
        <v>31241.263360000001</v>
      </c>
      <c r="H323" s="6">
        <f>[1]Results!K4</f>
        <v>31072.43763</v>
      </c>
      <c r="I323" s="6">
        <f>[1]Results!L4</f>
        <v>30853.93506</v>
      </c>
      <c r="J323" s="6">
        <f>[1]Results!M4</f>
        <v>30440.87804</v>
      </c>
      <c r="K323" s="6">
        <f>[1]Results!N4</f>
        <v>29749.01339</v>
      </c>
      <c r="L323" s="6">
        <f>[1]Results!O4</f>
        <v>28731.501240000001</v>
      </c>
      <c r="M323" s="6">
        <f>[1]Results!P4</f>
        <v>27399.35282</v>
      </c>
      <c r="N323" s="6">
        <f>[1]Results!Q4</f>
        <v>25859.671460000001</v>
      </c>
      <c r="O323" s="6">
        <f>[1]Results!R4</f>
        <v>24233.854810000001</v>
      </c>
      <c r="P323" s="6">
        <f>[1]Results!S4</f>
        <v>22602.425220000001</v>
      </c>
      <c r="Q323" s="6">
        <f>[1]Results!T4</f>
        <v>21014.001950000002</v>
      </c>
      <c r="R323" s="6">
        <f>[1]Results!U4</f>
        <v>19495.52018</v>
      </c>
      <c r="S323" s="6">
        <f>[1]Results!V4</f>
        <v>18060.74841</v>
      </c>
      <c r="T323" s="6">
        <f>[1]Results!W4</f>
        <v>16714.869790000001</v>
      </c>
      <c r="U323" s="6">
        <f>[1]Results!X4</f>
        <v>15458.34663</v>
      </c>
      <c r="V323" s="6">
        <f>[1]Results!Y4</f>
        <v>14288.946330000001</v>
      </c>
      <c r="W323" s="6">
        <f>[1]Results!Z4</f>
        <v>13202.975780000001</v>
      </c>
      <c r="X323" s="6">
        <f>[1]Results!AA4</f>
        <v>12196.00777</v>
      </c>
      <c r="Y323" s="6">
        <f>[1]Results!AB4</f>
        <v>11263.310369999999</v>
      </c>
      <c r="Z323" s="6">
        <f>[1]Results!AC4</f>
        <v>10400.0988</v>
      </c>
      <c r="AA323" s="6">
        <f>[1]Results!AD4</f>
        <v>9601.6754199999996</v>
      </c>
      <c r="AB323" s="6">
        <f>[1]Results!AE4</f>
        <v>8863.5150080000003</v>
      </c>
      <c r="AC323" s="6">
        <f>[1]Results!AF4</f>
        <v>8181.3063069999998</v>
      </c>
      <c r="AD323" s="6">
        <f>[1]Results!AG4</f>
        <v>7550.9783850000003</v>
      </c>
      <c r="AE323" s="6">
        <f>[1]Results!AH4</f>
        <v>6968.7141659999998</v>
      </c>
      <c r="AF323" s="6">
        <f>[1]Results!AI4</f>
        <v>6430.9487660000004</v>
      </c>
      <c r="AG323" s="6">
        <f>[1]Results!AJ4</f>
        <v>5934.3592410000001</v>
      </c>
      <c r="AH323" s="6">
        <f>[1]Results!AK4</f>
        <v>5475.8531139999996</v>
      </c>
      <c r="AI323" s="6">
        <f>[1]Results!AL4</f>
        <v>5052.5570660000003</v>
      </c>
      <c r="AJ323" s="6">
        <f>[1]Results!AM4</f>
        <v>4661.8057060000001</v>
      </c>
      <c r="AK323" s="6">
        <f>[1]Results!AN4</f>
        <v>4301.1287560000001</v>
      </c>
      <c r="AL323" s="6">
        <f>[1]Results!AO4</f>
        <v>3968.2380330000001</v>
      </c>
    </row>
    <row r="324" spans="1:38" x14ac:dyDescent="0.35">
      <c r="B324" t="s">
        <v>81</v>
      </c>
      <c r="C324" s="6">
        <f>[1]Results!F20</f>
        <v>1.9359999999999999</v>
      </c>
      <c r="D324" s="6">
        <f>[1]Results!G20</f>
        <v>1.989180913</v>
      </c>
      <c r="E324" s="6">
        <f>[1]Results!H20</f>
        <v>2.0517894989999999</v>
      </c>
      <c r="F324" s="6">
        <f>[1]Results!I20</f>
        <v>2.1147182080000002</v>
      </c>
      <c r="G324" s="6">
        <f>[1]Results!J20</f>
        <v>2.174593674</v>
      </c>
      <c r="H324" s="6">
        <f>[1]Results!K20</f>
        <v>2.2287481279999999</v>
      </c>
      <c r="I324" s="6">
        <f>[1]Results!L20</f>
        <v>2.274240775</v>
      </c>
      <c r="J324" s="6">
        <f>[1]Results!M20</f>
        <v>2.299116889</v>
      </c>
      <c r="K324" s="6">
        <f>[1]Results!N20</f>
        <v>2.2963148470000001</v>
      </c>
      <c r="L324" s="6">
        <f>[1]Results!O20</f>
        <v>2.2618066739999998</v>
      </c>
      <c r="M324" s="6">
        <f>[1]Results!P20</f>
        <v>2.196370044</v>
      </c>
      <c r="N324" s="6">
        <f>[1]Results!Q20</f>
        <v>2.108878808</v>
      </c>
      <c r="O324" s="6">
        <f>[1]Results!R20</f>
        <v>2.009553301</v>
      </c>
      <c r="P324" s="6">
        <f>[1]Results!S20</f>
        <v>1.905334793</v>
      </c>
      <c r="Q324" s="6">
        <f>[1]Results!T20</f>
        <v>1.800576951</v>
      </c>
      <c r="R324" s="6">
        <f>[1]Results!U20</f>
        <v>1.697857502</v>
      </c>
      <c r="S324" s="6">
        <f>[1]Results!V20</f>
        <v>1.5986630180000001</v>
      </c>
      <c r="T324" s="6">
        <f>[1]Results!W20</f>
        <v>1.5037559110000001</v>
      </c>
      <c r="U324" s="6">
        <f>[1]Results!X20</f>
        <v>1.4134882259999999</v>
      </c>
      <c r="V324" s="6">
        <f>[1]Results!Y20</f>
        <v>1.327966626</v>
      </c>
      <c r="W324" s="6">
        <f>[1]Results!Z20</f>
        <v>1.247153814</v>
      </c>
      <c r="X324" s="6">
        <f>[1]Results!AA20</f>
        <v>1.1709290029999999</v>
      </c>
      <c r="Y324" s="6">
        <f>[1]Results!AB20</f>
        <v>1.0991244149999999</v>
      </c>
      <c r="Z324" s="6">
        <f>[1]Results!AC20</f>
        <v>1.031547379</v>
      </c>
      <c r="AA324" s="6">
        <f>[1]Results!AD20</f>
        <v>0.96799330569999997</v>
      </c>
      <c r="AB324" s="6">
        <f>[1]Results!AE20</f>
        <v>0.90825416510000001</v>
      </c>
      <c r="AC324" s="6">
        <f>[1]Results!AF20</f>
        <v>0.85212331919999995</v>
      </c>
      <c r="AD324" s="6">
        <f>[1]Results!AG20</f>
        <v>0.79939904890000002</v>
      </c>
      <c r="AE324" s="6">
        <f>[1]Results!AH20</f>
        <v>0.74988695419999996</v>
      </c>
      <c r="AF324" s="6">
        <f>[1]Results!AI20</f>
        <v>0.70340101639999997</v>
      </c>
      <c r="AG324" s="6">
        <f>[1]Results!AJ20</f>
        <v>0.65976386220000005</v>
      </c>
      <c r="AH324" s="6">
        <f>[1]Results!AK20</f>
        <v>0.61880684109999995</v>
      </c>
      <c r="AI324" s="6">
        <f>[1]Results!AL20</f>
        <v>0.58037003679999999</v>
      </c>
      <c r="AJ324" s="6">
        <f>[1]Results!AM20</f>
        <v>0.54430221069999996</v>
      </c>
      <c r="AK324" s="6">
        <f>[1]Results!AN20</f>
        <v>0.51046054259999996</v>
      </c>
      <c r="AL324" s="6">
        <f>[1]Results!AO20</f>
        <v>0.47871028609999999</v>
      </c>
    </row>
    <row r="325" spans="1:38" x14ac:dyDescent="0.35">
      <c r="B325" t="s">
        <v>82</v>
      </c>
      <c r="C325" s="6">
        <f>[1]Results!F12</f>
        <v>44.765000000000001</v>
      </c>
      <c r="D325" s="6">
        <f>[1]Results!G12</f>
        <v>96.835052719999993</v>
      </c>
      <c r="E325" s="6">
        <f>[1]Results!H12</f>
        <v>196.01271070000001</v>
      </c>
      <c r="F325" s="6">
        <f>[1]Results!I12</f>
        <v>365.91359319999998</v>
      </c>
      <c r="G325" s="6">
        <f>[1]Results!J12</f>
        <v>626.22195039999997</v>
      </c>
      <c r="H325" s="6">
        <f>[1]Results!K12</f>
        <v>973.01004509999996</v>
      </c>
      <c r="I325" s="6">
        <f>[1]Results!L12</f>
        <v>1404.75659</v>
      </c>
      <c r="J325" s="6">
        <f>[1]Results!M12</f>
        <v>1962.1821110000001</v>
      </c>
      <c r="K325" s="6">
        <f>[1]Results!N12</f>
        <v>2810.6810820000001</v>
      </c>
      <c r="L325" s="6">
        <f>[1]Results!O12</f>
        <v>4041.7794789999998</v>
      </c>
      <c r="M325" s="6">
        <f>[1]Results!P12</f>
        <v>5669.6952490000003</v>
      </c>
      <c r="N325" s="6">
        <f>[1]Results!Q12</f>
        <v>7625.4957039999999</v>
      </c>
      <c r="O325" s="6">
        <f>[1]Results!R12</f>
        <v>9768.3955129999995</v>
      </c>
      <c r="P325" s="6">
        <f>[1]Results!S12</f>
        <v>11988.70278</v>
      </c>
      <c r="Q325" s="6">
        <f>[1]Results!T12</f>
        <v>14211.57596</v>
      </c>
      <c r="R325" s="6">
        <f>[1]Results!U12</f>
        <v>16390.05286</v>
      </c>
      <c r="S325" s="6">
        <f>[1]Results!V12</f>
        <v>18504.677080000001</v>
      </c>
      <c r="T325" s="6">
        <f>[1]Results!W12</f>
        <v>20537.024010000001</v>
      </c>
      <c r="U325" s="6">
        <f>[1]Results!X12</f>
        <v>22479.46153</v>
      </c>
      <c r="V325" s="6">
        <f>[1]Results!Y12</f>
        <v>24330.478790000001</v>
      </c>
      <c r="W325" s="6">
        <f>[1]Results!Z12</f>
        <v>26092.076789999999</v>
      </c>
      <c r="X325" s="6">
        <f>[1]Results!AA12</f>
        <v>27768.150140000002</v>
      </c>
      <c r="Y325" s="6">
        <f>[1]Results!AB12</f>
        <v>29363.991730000002</v>
      </c>
      <c r="Z325" s="6">
        <f>[1]Results!AC12</f>
        <v>30885.92323</v>
      </c>
      <c r="AA325" s="6">
        <f>[1]Results!AD12</f>
        <v>32340.191030000002</v>
      </c>
      <c r="AB325" s="6">
        <f>[1]Results!AE12</f>
        <v>33732.950360000003</v>
      </c>
      <c r="AC325" s="6">
        <f>[1]Results!AF12</f>
        <v>35069.588949999998</v>
      </c>
      <c r="AD325" s="6">
        <f>[1]Results!AG12</f>
        <v>36355.777260000003</v>
      </c>
      <c r="AE325" s="6">
        <f>[1]Results!AH12</f>
        <v>37598.445440000003</v>
      </c>
      <c r="AF325" s="6">
        <f>[1]Results!AI12</f>
        <v>38804.625390000001</v>
      </c>
      <c r="AG325" s="6">
        <f>[1]Results!AJ12</f>
        <v>39979.954279999998</v>
      </c>
      <c r="AH325" s="6">
        <f>[1]Results!AK12</f>
        <v>41128.155469999998</v>
      </c>
      <c r="AI325" s="6">
        <f>[1]Results!AL12</f>
        <v>42251.510430000002</v>
      </c>
      <c r="AJ325" s="6">
        <f>[1]Results!AM12</f>
        <v>43351.735659999998</v>
      </c>
      <c r="AK325" s="6">
        <f>[1]Results!AN12</f>
        <v>44429.994809999997</v>
      </c>
      <c r="AL325" s="6">
        <f>[1]Results!AO12</f>
        <v>45486.773269999998</v>
      </c>
    </row>
    <row r="327" spans="1:38" x14ac:dyDescent="0.35">
      <c r="A327" s="12" t="s">
        <v>63</v>
      </c>
      <c r="C327" s="2">
        <v>42005</v>
      </c>
      <c r="D327" s="2">
        <v>42370</v>
      </c>
      <c r="E327" s="2">
        <v>42736</v>
      </c>
      <c r="F327" s="2">
        <v>43101</v>
      </c>
      <c r="G327" s="2">
        <v>43466</v>
      </c>
      <c r="H327" s="2">
        <v>43831</v>
      </c>
      <c r="I327" s="2">
        <v>44197</v>
      </c>
      <c r="J327" s="2">
        <v>44562</v>
      </c>
      <c r="K327" s="2">
        <v>44927</v>
      </c>
      <c r="L327" s="2">
        <v>45292</v>
      </c>
      <c r="M327" s="2">
        <v>45658</v>
      </c>
      <c r="N327" s="2">
        <v>46023</v>
      </c>
      <c r="O327" s="2">
        <v>46388</v>
      </c>
      <c r="P327" s="2">
        <v>46753</v>
      </c>
      <c r="Q327" s="2">
        <v>47119</v>
      </c>
      <c r="R327" s="2">
        <v>47484</v>
      </c>
      <c r="S327" s="2">
        <v>47849</v>
      </c>
      <c r="T327" s="2">
        <v>48214</v>
      </c>
      <c r="U327" s="2">
        <v>48580</v>
      </c>
      <c r="V327" s="2">
        <v>48945</v>
      </c>
      <c r="W327" s="2">
        <v>49310</v>
      </c>
      <c r="X327" s="2">
        <v>49675</v>
      </c>
      <c r="Y327" s="2">
        <v>50041</v>
      </c>
      <c r="Z327" s="2">
        <v>50406</v>
      </c>
      <c r="AA327" s="2">
        <v>50771</v>
      </c>
      <c r="AB327" s="2">
        <v>51136</v>
      </c>
      <c r="AC327" s="2">
        <v>51502</v>
      </c>
      <c r="AD327" s="2">
        <v>51867</v>
      </c>
      <c r="AE327" s="2">
        <v>52232</v>
      </c>
      <c r="AF327" s="2">
        <v>52597</v>
      </c>
      <c r="AG327" s="2">
        <v>52963</v>
      </c>
      <c r="AH327" s="2">
        <v>53328</v>
      </c>
      <c r="AI327" s="2">
        <v>53693</v>
      </c>
      <c r="AJ327" s="2">
        <v>54058</v>
      </c>
      <c r="AK327" s="2">
        <v>54424</v>
      </c>
      <c r="AL327" s="2">
        <v>54789</v>
      </c>
    </row>
    <row r="328" spans="1:38" x14ac:dyDescent="0.35">
      <c r="A328" t="s">
        <v>26</v>
      </c>
      <c r="B328" t="s">
        <v>83</v>
      </c>
      <c r="C328" s="6">
        <f>[1]Results!F28</f>
        <v>32317.940999999999</v>
      </c>
      <c r="D328" s="6">
        <f>[1]Results!G28</f>
        <v>31931.994600000002</v>
      </c>
      <c r="E328" s="6">
        <f>[1]Results!H28</f>
        <v>31779.039720000001</v>
      </c>
      <c r="F328" s="6">
        <f>[1]Results!I28</f>
        <v>31766.822619999999</v>
      </c>
      <c r="G328" s="6">
        <f>[1]Results!J28</f>
        <v>31869.659909999998</v>
      </c>
      <c r="H328" s="6">
        <f>[1]Results!K28</f>
        <v>32047.67642</v>
      </c>
      <c r="I328" s="6">
        <f>[1]Results!L28</f>
        <v>32222.465169999999</v>
      </c>
      <c r="J328" s="6">
        <f>[1]Results!M28</f>
        <v>32400.50157</v>
      </c>
      <c r="K328" s="6">
        <f>[1]Results!N28</f>
        <v>32594.997800000001</v>
      </c>
      <c r="L328" s="6">
        <f>[1]Results!O28</f>
        <v>32820.437230000003</v>
      </c>
      <c r="M328" s="6">
        <f>[1]Results!P28</f>
        <v>33088.688779999997</v>
      </c>
      <c r="N328" s="6">
        <f>[1]Results!Q28</f>
        <v>33408.691010000002</v>
      </c>
      <c r="O328" s="6">
        <f>[1]Results!R28</f>
        <v>33783.860139999997</v>
      </c>
      <c r="P328" s="6">
        <f>[1]Results!S28</f>
        <v>34210.104740000002</v>
      </c>
      <c r="Q328" s="6">
        <f>[1]Results!T28</f>
        <v>34679.008390000003</v>
      </c>
      <c r="R328" s="6">
        <f>[1]Results!U28</f>
        <v>35180.741159999998</v>
      </c>
      <c r="S328" s="6">
        <f>[1]Results!V28</f>
        <v>35742.999810000001</v>
      </c>
      <c r="T328" s="6">
        <f>[1]Results!W28</f>
        <v>36342.743430000002</v>
      </c>
      <c r="U328" s="6">
        <f>[1]Results!X28</f>
        <v>36961.175810000001</v>
      </c>
      <c r="V328" s="6">
        <f>[1]Results!Y28</f>
        <v>37585.837800000001</v>
      </c>
      <c r="W328" s="6">
        <f>[1]Results!Z28</f>
        <v>38209.6149</v>
      </c>
      <c r="X328" s="6">
        <f>[1]Results!AA28</f>
        <v>38829.295510000004</v>
      </c>
      <c r="Y328" s="6">
        <f>[1]Results!AB28</f>
        <v>39444.306770000003</v>
      </c>
      <c r="Z328" s="6">
        <f>[1]Results!AC28</f>
        <v>40055.600010000002</v>
      </c>
      <c r="AA328" s="6">
        <f>[1]Results!AD28</f>
        <v>40664.59491</v>
      </c>
      <c r="AB328" s="6">
        <f>[1]Results!AE28</f>
        <v>41273.263440000002</v>
      </c>
      <c r="AC328" s="6">
        <f>[1]Results!AF28</f>
        <v>41884.022830000002</v>
      </c>
      <c r="AD328" s="6">
        <f>[1]Results!AG28</f>
        <v>42499.855629999998</v>
      </c>
      <c r="AE328" s="6">
        <f>[1]Results!AH28</f>
        <v>43123.94859</v>
      </c>
      <c r="AF328" s="6">
        <f>[1]Results!AI28</f>
        <v>43759.311009999998</v>
      </c>
      <c r="AG328" s="6">
        <f>[1]Results!AJ28</f>
        <v>44407.831440000002</v>
      </c>
      <c r="AH328" s="6">
        <f>[1]Results!AK28</f>
        <v>45070.123299999999</v>
      </c>
      <c r="AI328" s="6">
        <f>[1]Results!AL28</f>
        <v>45745.719389999998</v>
      </c>
      <c r="AJ328" s="6">
        <f>[1]Results!AM28</f>
        <v>46433.303599999999</v>
      </c>
      <c r="AK328" s="6">
        <f>[1]Results!AN28</f>
        <v>47130.924870000003</v>
      </c>
      <c r="AL328" s="6">
        <f>[1]Results!AO28</f>
        <v>47836.157039999998</v>
      </c>
    </row>
    <row r="329" spans="1:38" x14ac:dyDescent="0.35">
      <c r="B329" t="s">
        <v>48</v>
      </c>
      <c r="C329" s="6">
        <f>[1]Results!F29</f>
        <v>32271.24</v>
      </c>
      <c r="D329" s="6">
        <f>[1]Results!G29</f>
        <v>31833.17037</v>
      </c>
      <c r="E329" s="6">
        <f>[1]Results!H29</f>
        <v>31580.97522</v>
      </c>
      <c r="F329" s="6">
        <f>[1]Results!I29</f>
        <v>31398.794310000001</v>
      </c>
      <c r="G329" s="6">
        <f>[1]Results!J29</f>
        <v>31241.263360000001</v>
      </c>
      <c r="H329" s="6">
        <f>[1]Results!K29</f>
        <v>31072.43763</v>
      </c>
      <c r="I329" s="6">
        <f>[1]Results!L29</f>
        <v>30807.532950000001</v>
      </c>
      <c r="J329" s="6">
        <f>[1]Results!M29</f>
        <v>30403.586380000001</v>
      </c>
      <c r="K329" s="6">
        <f>[1]Results!N29</f>
        <v>29820.243869999998</v>
      </c>
      <c r="L329" s="6">
        <f>[1]Results!O29</f>
        <v>29027.176039999998</v>
      </c>
      <c r="M329" s="6">
        <f>[1]Results!P29</f>
        <v>28014.941760000002</v>
      </c>
      <c r="N329" s="6">
        <f>[1]Results!Q29</f>
        <v>26801.778129999999</v>
      </c>
      <c r="O329" s="6">
        <f>[1]Results!R29</f>
        <v>25430.099099999999</v>
      </c>
      <c r="P329" s="6">
        <f>[1]Results!S29</f>
        <v>23955.656879999999</v>
      </c>
      <c r="Q329" s="6">
        <f>[1]Results!T29</f>
        <v>22435.46327</v>
      </c>
      <c r="R329" s="6">
        <f>[1]Results!U29</f>
        <v>20918.220939999999</v>
      </c>
      <c r="S329" s="6">
        <f>[1]Results!V29</f>
        <v>19446.767639999998</v>
      </c>
      <c r="T329" s="6">
        <f>[1]Results!W29</f>
        <v>18046.126749999999</v>
      </c>
      <c r="U329" s="6">
        <f>[1]Results!X29</f>
        <v>16726.578239999999</v>
      </c>
      <c r="V329" s="6">
        <f>[1]Results!Y29</f>
        <v>15490.875340000001</v>
      </c>
      <c r="W329" s="6">
        <f>[1]Results!Z29</f>
        <v>14337.970170000001</v>
      </c>
      <c r="X329" s="6">
        <f>[1]Results!AA29</f>
        <v>13264.909089999999</v>
      </c>
      <c r="Y329" s="6">
        <f>[1]Results!AB29</f>
        <v>12267.811100000001</v>
      </c>
      <c r="Z329" s="6">
        <f>[1]Results!AC29</f>
        <v>11342.38615</v>
      </c>
      <c r="AA329" s="6">
        <f>[1]Results!AD29</f>
        <v>10484.21573</v>
      </c>
      <c r="AB329" s="6">
        <f>[1]Results!AE29</f>
        <v>9688.9244099999996</v>
      </c>
      <c r="AC329" s="6">
        <f>[1]Results!AF29</f>
        <v>8952.2748200000005</v>
      </c>
      <c r="AD329" s="6">
        <f>[1]Results!AG29</f>
        <v>8270.2210329999998</v>
      </c>
      <c r="AE329" s="6">
        <f>[1]Results!AH29</f>
        <v>7638.9324530000004</v>
      </c>
      <c r="AF329" s="6">
        <f>[1]Results!AI29</f>
        <v>7054.8055539999996</v>
      </c>
      <c r="AG329" s="6">
        <f>[1]Results!AJ29</f>
        <v>6514.4610510000002</v>
      </c>
      <c r="AH329" s="6">
        <f>[1]Results!AK29</f>
        <v>6014.7385190000005</v>
      </c>
      <c r="AI329" s="6">
        <f>[1]Results!AL29</f>
        <v>5552.6884440000003</v>
      </c>
      <c r="AJ329" s="6">
        <f>[1]Results!AM29</f>
        <v>5125.562124</v>
      </c>
      <c r="AK329" s="6">
        <f>[1]Results!AN29</f>
        <v>4730.8005190000003</v>
      </c>
      <c r="AL329" s="6">
        <f>[1]Results!AO29</f>
        <v>4366.0227519999999</v>
      </c>
    </row>
    <row r="330" spans="1:38" x14ac:dyDescent="0.35">
      <c r="B330" t="s">
        <v>81</v>
      </c>
      <c r="C330" s="6">
        <f>[1]Results!F45</f>
        <v>1.9359999999999999</v>
      </c>
      <c r="D330" s="6">
        <f>[1]Results!G45</f>
        <v>1.989180913</v>
      </c>
      <c r="E330" s="6">
        <f>[1]Results!H45</f>
        <v>2.0517894989999999</v>
      </c>
      <c r="F330" s="6">
        <f>[1]Results!I45</f>
        <v>2.1147182080000002</v>
      </c>
      <c r="G330" s="6">
        <f>[1]Results!J45</f>
        <v>2.174593674</v>
      </c>
      <c r="H330" s="6">
        <f>[1]Results!K45</f>
        <v>2.2287481279999999</v>
      </c>
      <c r="I330" s="6">
        <f>[1]Results!L45</f>
        <v>2.2703424889999999</v>
      </c>
      <c r="J330" s="6">
        <f>[1]Results!M45</f>
        <v>2.295924254</v>
      </c>
      <c r="K330" s="6">
        <f>[1]Results!N45</f>
        <v>2.302194998</v>
      </c>
      <c r="L330" s="6">
        <f>[1]Results!O45</f>
        <v>2.2866407990000002</v>
      </c>
      <c r="M330" s="6">
        <f>[1]Results!P45</f>
        <v>2.2484614110000001</v>
      </c>
      <c r="N330" s="6">
        <f>[1]Results!Q45</f>
        <v>2.1891701530000001</v>
      </c>
      <c r="O330" s="6">
        <f>[1]Results!R45</f>
        <v>2.1123361159999998</v>
      </c>
      <c r="P330" s="6">
        <f>[1]Results!S45</f>
        <v>2.0227031769999999</v>
      </c>
      <c r="Q330" s="6">
        <f>[1]Results!T45</f>
        <v>1.9251890389999999</v>
      </c>
      <c r="R330" s="6">
        <f>[1]Results!U45</f>
        <v>1.8240787199999999</v>
      </c>
      <c r="S330" s="6">
        <f>[1]Results!V45</f>
        <v>1.723215121</v>
      </c>
      <c r="T330" s="6">
        <f>[1]Results!W45</f>
        <v>1.6249844200000001</v>
      </c>
      <c r="U330" s="6">
        <f>[1]Results!X45</f>
        <v>1.5305486500000001</v>
      </c>
      <c r="V330" s="6">
        <f>[1]Results!Y45</f>
        <v>1.440432097</v>
      </c>
      <c r="W330" s="6">
        <f>[1]Results!Z45</f>
        <v>1.3548249450000001</v>
      </c>
      <c r="X330" s="6">
        <f>[1]Results!AA45</f>
        <v>1.273738534</v>
      </c>
      <c r="Y330" s="6">
        <f>[1]Results!AB45</f>
        <v>1.197086278</v>
      </c>
      <c r="Z330" s="6">
        <f>[1]Results!AC45</f>
        <v>1.124727263</v>
      </c>
      <c r="AA330" s="6">
        <f>[1]Results!AD45</f>
        <v>1.0564905440000001</v>
      </c>
      <c r="AB330" s="6">
        <f>[1]Results!AE45</f>
        <v>0.99219059170000001</v>
      </c>
      <c r="AC330" s="6">
        <f>[1]Results!AF45</f>
        <v>0.93163646450000004</v>
      </c>
      <c r="AD330" s="6">
        <f>[1]Results!AG45</f>
        <v>0.87463753519999998</v>
      </c>
      <c r="AE330" s="6">
        <f>[1]Results!AH45</f>
        <v>0.82100672910000005</v>
      </c>
      <c r="AF330" s="6">
        <f>[1]Results!AI45</f>
        <v>0.77056269669999999</v>
      </c>
      <c r="AG330" s="6">
        <f>[1]Results!AJ45</f>
        <v>0.72313070199999996</v>
      </c>
      <c r="AH330" s="6">
        <f>[1]Results!AK45</f>
        <v>0.67854322379999998</v>
      </c>
      <c r="AI330" s="6">
        <f>[1]Results!AL45</f>
        <v>0.63664026740000002</v>
      </c>
      <c r="AJ330" s="6">
        <f>[1]Results!AM45</f>
        <v>0.59726942449999998</v>
      </c>
      <c r="AK330" s="6">
        <f>[1]Results!AN45</f>
        <v>0.56028577609999997</v>
      </c>
      <c r="AL330" s="6">
        <f>[1]Results!AO45</f>
        <v>0.52555169710000005</v>
      </c>
    </row>
    <row r="331" spans="1:38" x14ac:dyDescent="0.35">
      <c r="B331" t="s">
        <v>82</v>
      </c>
      <c r="C331" s="6">
        <f>[1]Results!F37</f>
        <v>44.765000000000001</v>
      </c>
      <c r="D331" s="6">
        <f>[1]Results!G37</f>
        <v>96.835052719999993</v>
      </c>
      <c r="E331" s="6">
        <f>[1]Results!H37</f>
        <v>196.01271070000001</v>
      </c>
      <c r="F331" s="6">
        <f>[1]Results!I37</f>
        <v>365.91359319999998</v>
      </c>
      <c r="G331" s="6">
        <f>[1]Results!J37</f>
        <v>626.22195039999997</v>
      </c>
      <c r="H331" s="6">
        <f>[1]Results!K37</f>
        <v>973.01004509999996</v>
      </c>
      <c r="I331" s="6">
        <f>[1]Results!L37</f>
        <v>1412.661871</v>
      </c>
      <c r="J331" s="6">
        <f>[1]Results!M37</f>
        <v>1994.6192679999999</v>
      </c>
      <c r="K331" s="6">
        <f>[1]Results!N37</f>
        <v>2772.4517300000002</v>
      </c>
      <c r="L331" s="6">
        <f>[1]Results!O37</f>
        <v>3790.9745509999998</v>
      </c>
      <c r="M331" s="6">
        <f>[1]Results!P37</f>
        <v>5071.4985619999998</v>
      </c>
      <c r="N331" s="6">
        <f>[1]Results!Q37</f>
        <v>6604.7237080000004</v>
      </c>
      <c r="O331" s="6">
        <f>[1]Results!R37</f>
        <v>8351.6486999999997</v>
      </c>
      <c r="P331" s="6">
        <f>[1]Results!S37</f>
        <v>10252.425160000001</v>
      </c>
      <c r="Q331" s="6">
        <f>[1]Results!T37</f>
        <v>12241.619919999999</v>
      </c>
      <c r="R331" s="6">
        <f>[1]Results!U37</f>
        <v>14260.69614</v>
      </c>
      <c r="S331" s="6">
        <f>[1]Results!V37</f>
        <v>16294.508949999999</v>
      </c>
      <c r="T331" s="6">
        <f>[1]Results!W37</f>
        <v>18294.991689999999</v>
      </c>
      <c r="U331" s="6">
        <f>[1]Results!X37</f>
        <v>20233.067019999999</v>
      </c>
      <c r="V331" s="6">
        <f>[1]Results!Y37</f>
        <v>22093.52202</v>
      </c>
      <c r="W331" s="6">
        <f>[1]Results!Z37</f>
        <v>23870.28991</v>
      </c>
      <c r="X331" s="6">
        <f>[1]Results!AA37</f>
        <v>25563.112690000002</v>
      </c>
      <c r="Y331" s="6">
        <f>[1]Results!AB37</f>
        <v>27175.298579999999</v>
      </c>
      <c r="Z331" s="6">
        <f>[1]Results!AC37</f>
        <v>28712.08914</v>
      </c>
      <c r="AA331" s="6">
        <f>[1]Results!AD37</f>
        <v>30179.322690000001</v>
      </c>
      <c r="AB331" s="6">
        <f>[1]Results!AE37</f>
        <v>31583.346839999998</v>
      </c>
      <c r="AC331" s="6">
        <f>[1]Results!AF37</f>
        <v>32930.81637</v>
      </c>
      <c r="AD331" s="6">
        <f>[1]Results!AG37</f>
        <v>34228.759960000003</v>
      </c>
      <c r="AE331" s="6">
        <f>[1]Results!AH37</f>
        <v>35484.19513</v>
      </c>
      <c r="AF331" s="6">
        <f>[1]Results!AI37</f>
        <v>36703.73489</v>
      </c>
      <c r="AG331" s="6">
        <f>[1]Results!AJ37</f>
        <v>37892.647259999998</v>
      </c>
      <c r="AH331" s="6">
        <f>[1]Results!AK37</f>
        <v>39054.706230000003</v>
      </c>
      <c r="AI331" s="6">
        <f>[1]Results!AL37</f>
        <v>40192.3943</v>
      </c>
      <c r="AJ331" s="6">
        <f>[1]Results!AM37</f>
        <v>41307.144200000002</v>
      </c>
      <c r="AK331" s="6">
        <f>[1]Results!AN37</f>
        <v>42399.564059999997</v>
      </c>
      <c r="AL331" s="6">
        <f>[1]Results!AO37</f>
        <v>43469.608740000003</v>
      </c>
    </row>
    <row r="333" spans="1:38" x14ac:dyDescent="0.35">
      <c r="A333" s="12" t="s">
        <v>64</v>
      </c>
      <c r="B333" s="5" t="str">
        <f>[1]Hybrid!A18</f>
        <v>auto_ca_cfut_2</v>
      </c>
      <c r="C333" s="5">
        <f>[1]Hybrid!B18</f>
        <v>7095.7005250000002</v>
      </c>
      <c r="D333" s="5">
        <f>[1]Hybrid!C18</f>
        <v>7133.3075660000004</v>
      </c>
      <c r="E333" s="5">
        <f>[1]Hybrid!D18</f>
        <v>7215.8078619999997</v>
      </c>
      <c r="F333" s="5">
        <f>[1]Hybrid!E18</f>
        <v>7311.6603359999999</v>
      </c>
      <c r="G333" s="5">
        <f>[1]Hybrid!F18</f>
        <v>7408.5291779999998</v>
      </c>
      <c r="H333" s="5">
        <f>[1]Hybrid!G18</f>
        <v>7496.0179699999999</v>
      </c>
      <c r="I333" s="5">
        <f>[1]Hybrid!H18</f>
        <v>7562.9825300000002</v>
      </c>
      <c r="J333" s="5">
        <f>[1]Hybrid!I18</f>
        <v>7567.0090149999996</v>
      </c>
      <c r="K333" s="5">
        <f>[1]Hybrid!J18</f>
        <v>7480.4766929999996</v>
      </c>
      <c r="L333" s="5">
        <f>[1]Hybrid!K18</f>
        <v>7284.4004640000003</v>
      </c>
      <c r="M333" s="5">
        <f>[1]Hybrid!L18</f>
        <v>6978.869788</v>
      </c>
      <c r="N333" s="5">
        <f>[1]Hybrid!M18</f>
        <v>6597.7127119999996</v>
      </c>
      <c r="O333" s="5">
        <f>[1]Hybrid!N18</f>
        <v>6181.9510149999996</v>
      </c>
      <c r="P333" s="5">
        <f>[1]Hybrid!O18</f>
        <v>5759.1276090000001</v>
      </c>
      <c r="Q333" s="5">
        <f>[1]Hybrid!P18</f>
        <v>5345.7074220000004</v>
      </c>
      <c r="R333" s="5">
        <f>[1]Hybrid!Q18</f>
        <v>4950.5864529999999</v>
      </c>
      <c r="S333" s="5">
        <f>[1]Hybrid!R18</f>
        <v>4578.0854289999997</v>
      </c>
      <c r="T333" s="5">
        <f>[1]Hybrid!S18</f>
        <v>4229.7494429999997</v>
      </c>
      <c r="U333" s="5">
        <f>[1]Hybrid!T18</f>
        <v>3905.6201540000002</v>
      </c>
      <c r="V333" s="5">
        <f>[1]Hybrid!U18</f>
        <v>3604.9387929999998</v>
      </c>
      <c r="W333" s="5">
        <f>[1]Hybrid!V18</f>
        <v>3326.549062</v>
      </c>
      <c r="X333" s="5">
        <f>[1]Hybrid!W18</f>
        <v>3069.1203660000001</v>
      </c>
      <c r="Y333" s="5">
        <f>[1]Hybrid!X18</f>
        <v>2831.2704440000002</v>
      </c>
      <c r="Z333" s="5">
        <f>[1]Hybrid!Y18</f>
        <v>2611.6317979999999</v>
      </c>
      <c r="AA333" s="5">
        <f>[1]Hybrid!Z18</f>
        <v>2408.886614</v>
      </c>
      <c r="AB333" s="5">
        <f>[1]Hybrid!AA18</f>
        <v>2221.7844810000001</v>
      </c>
      <c r="AC333" s="5">
        <f>[1]Hybrid!AB18</f>
        <v>2049.1500460000002</v>
      </c>
      <c r="AD333" s="5">
        <f>[1]Hybrid!AC18</f>
        <v>1889.8852979999999</v>
      </c>
      <c r="AE333" s="5">
        <f>[1]Hybrid!AD18</f>
        <v>1742.9686569999999</v>
      </c>
      <c r="AF333" s="5">
        <f>[1]Hybrid!AE18</f>
        <v>1607.4521099999999</v>
      </c>
      <c r="AG333" s="5">
        <f>[1]Hybrid!AF18</f>
        <v>1482.4574459999999</v>
      </c>
      <c r="AH333" s="5">
        <f>[1]Hybrid!AG18</f>
        <v>1367.172114</v>
      </c>
      <c r="AI333" s="5">
        <f>[1]Hybrid!AH18</f>
        <v>1260.8449820000001</v>
      </c>
      <c r="AJ333" s="5">
        <f>[1]Hybrid!AI18</f>
        <v>1162.7821449999999</v>
      </c>
      <c r="AK333" s="5">
        <f>[1]Hybrid!AJ18</f>
        <v>1072.3428429999999</v>
      </c>
      <c r="AL333" s="5">
        <f>[1]Hybrid!AK18</f>
        <v>988.93557120000003</v>
      </c>
    </row>
    <row r="334" spans="1:38" x14ac:dyDescent="0.35">
      <c r="A334" t="s">
        <v>27</v>
      </c>
      <c r="B334" s="5" t="str">
        <f>[1]Hybrid!A20</f>
        <v>auto_cb_cfut_2</v>
      </c>
      <c r="C334" s="5">
        <f>[1]Hybrid!B20</f>
        <v>8251.256421</v>
      </c>
      <c r="D334" s="5">
        <f>[1]Hybrid!C20</f>
        <v>8173.2410410000002</v>
      </c>
      <c r="E334" s="5">
        <f>[1]Hybrid!D20</f>
        <v>8144.2144850000004</v>
      </c>
      <c r="F334" s="5">
        <f>[1]Hybrid!E20</f>
        <v>8132.368727</v>
      </c>
      <c r="G334" s="5">
        <f>[1]Hybrid!F20</f>
        <v>8124.8867659999996</v>
      </c>
      <c r="H334" s="5">
        <f>[1]Hybrid!G20</f>
        <v>8111.9835519999997</v>
      </c>
      <c r="I334" s="5">
        <f>[1]Hybrid!H20</f>
        <v>8083.0245750000004</v>
      </c>
      <c r="J334" s="5">
        <f>[1]Hybrid!I20</f>
        <v>7996.3401800000001</v>
      </c>
      <c r="K334" s="5">
        <f>[1]Hybrid!J20</f>
        <v>7823.3190039999999</v>
      </c>
      <c r="L334" s="5">
        <f>[1]Hybrid!K20</f>
        <v>7549.2565789999999</v>
      </c>
      <c r="M334" s="5">
        <f>[1]Hybrid!L20</f>
        <v>7180.0659029999997</v>
      </c>
      <c r="N334" s="5">
        <f>[1]Hybrid!M20</f>
        <v>6751.3111410000001</v>
      </c>
      <c r="O334" s="5">
        <f>[1]Hybrid!N20</f>
        <v>6301.4389190000002</v>
      </c>
      <c r="P334" s="5">
        <f>[1]Hybrid!O20</f>
        <v>5854.5344349999996</v>
      </c>
      <c r="Q334" s="5">
        <f>[1]Hybrid!P20</f>
        <v>5424.0142519999999</v>
      </c>
      <c r="R334" s="5">
        <f>[1]Hybrid!Q20</f>
        <v>5016.5088589999996</v>
      </c>
      <c r="S334" s="5">
        <f>[1]Hybrid!R20</f>
        <v>4634.763379</v>
      </c>
      <c r="T334" s="5">
        <f>[1]Hybrid!S20</f>
        <v>4279.2994909999998</v>
      </c>
      <c r="U334" s="5">
        <f>[1]Hybrid!T20</f>
        <v>3949.49586</v>
      </c>
      <c r="V334" s="5">
        <f>[1]Hybrid!U20</f>
        <v>3644.165375</v>
      </c>
      <c r="W334" s="5">
        <f>[1]Hybrid!V20</f>
        <v>3361.8718260000001</v>
      </c>
      <c r="X334" s="5">
        <f>[1]Hybrid!W20</f>
        <v>3101.0983940000001</v>
      </c>
      <c r="Y334" s="5">
        <f>[1]Hybrid!X20</f>
        <v>2860.336131</v>
      </c>
      <c r="Z334" s="5">
        <f>[1]Hybrid!Y20</f>
        <v>2638.1292199999998</v>
      </c>
      <c r="AA334" s="5">
        <f>[1]Hybrid!Z20</f>
        <v>2433.0967620000001</v>
      </c>
      <c r="AB334" s="5">
        <f>[1]Hybrid!AA20</f>
        <v>2243.9420810000001</v>
      </c>
      <c r="AC334" s="5">
        <f>[1]Hybrid!AB20</f>
        <v>2069.4550389999999</v>
      </c>
      <c r="AD334" s="5">
        <f>[1]Hybrid!AC20</f>
        <v>1908.5107410000001</v>
      </c>
      <c r="AE334" s="5">
        <f>[1]Hybrid!AD20</f>
        <v>1760.066243</v>
      </c>
      <c r="AF334" s="5">
        <f>[1]Hybrid!AE20</f>
        <v>1623.1561670000001</v>
      </c>
      <c r="AG334" s="5">
        <f>[1]Hybrid!AF20</f>
        <v>1496.8879039999999</v>
      </c>
      <c r="AH334" s="5">
        <f>[1]Hybrid!AG20</f>
        <v>1380.436745</v>
      </c>
      <c r="AI334" s="5">
        <f>[1]Hybrid!AH20</f>
        <v>1273.041123</v>
      </c>
      <c r="AJ334" s="5">
        <f>[1]Hybrid!AI20</f>
        <v>1173.998047</v>
      </c>
      <c r="AK334" s="5">
        <f>[1]Hybrid!AJ20</f>
        <v>1082.6587549999999</v>
      </c>
      <c r="AL334" s="5">
        <f>[1]Hybrid!AK20</f>
        <v>998.42464319999999</v>
      </c>
    </row>
    <row r="335" spans="1:38" x14ac:dyDescent="0.35">
      <c r="B335" s="5" t="str">
        <f>[1]Hybrid!A22</f>
        <v>auto_cc_cfut_2</v>
      </c>
      <c r="C335" s="5">
        <f>[1]Hybrid!B22</f>
        <v>6777.6024520000001</v>
      </c>
      <c r="D335" s="5">
        <f>[1]Hybrid!C22</f>
        <v>6638.8651630000004</v>
      </c>
      <c r="E335" s="5">
        <f>[1]Hybrid!D22</f>
        <v>6538.1976340000001</v>
      </c>
      <c r="F335" s="5">
        <f>[1]Hybrid!E22</f>
        <v>6452.4103789999999</v>
      </c>
      <c r="G335" s="5">
        <f>[1]Hybrid!F22</f>
        <v>6371.9259529999999</v>
      </c>
      <c r="H335" s="5">
        <f>[1]Hybrid!G22</f>
        <v>6290.2081209999997</v>
      </c>
      <c r="I335" s="5">
        <f>[1]Hybrid!H22</f>
        <v>6200.0377070000004</v>
      </c>
      <c r="J335" s="5">
        <f>[1]Hybrid!I22</f>
        <v>6072.0174800000004</v>
      </c>
      <c r="K335" s="5">
        <f>[1]Hybrid!J22</f>
        <v>5885.1896200000001</v>
      </c>
      <c r="L335" s="5">
        <f>[1]Hybrid!K22</f>
        <v>5632.4747809999999</v>
      </c>
      <c r="M335" s="5">
        <f>[1]Hybrid!L22</f>
        <v>5322.3241090000001</v>
      </c>
      <c r="N335" s="5">
        <f>[1]Hybrid!M22</f>
        <v>4981.0617739999998</v>
      </c>
      <c r="O335" s="5">
        <f>[1]Hybrid!N22</f>
        <v>4634.0041179999998</v>
      </c>
      <c r="P335" s="5">
        <f>[1]Hybrid!O22</f>
        <v>4295.8086270000003</v>
      </c>
      <c r="Q335" s="5">
        <f>[1]Hybrid!P22</f>
        <v>3973.9529560000001</v>
      </c>
      <c r="R335" s="5">
        <f>[1]Hybrid!Q22</f>
        <v>3671.6753779999999</v>
      </c>
      <c r="S335" s="5">
        <f>[1]Hybrid!R22</f>
        <v>3389.9295160000001</v>
      </c>
      <c r="T335" s="5">
        <f>[1]Hybrid!S22</f>
        <v>3128.446821</v>
      </c>
      <c r="U335" s="5">
        <f>[1]Hybrid!T22</f>
        <v>2886.373317</v>
      </c>
      <c r="V335" s="5">
        <f>[1]Hybrid!U22</f>
        <v>2662.5962960000002</v>
      </c>
      <c r="W335" s="5">
        <f>[1]Hybrid!V22</f>
        <v>2455.914808</v>
      </c>
      <c r="X335" s="5">
        <f>[1]Hybrid!W22</f>
        <v>2265.125896</v>
      </c>
      <c r="Y335" s="5">
        <f>[1]Hybrid!X22</f>
        <v>2089.0671299999999</v>
      </c>
      <c r="Z335" s="5">
        <f>[1]Hybrid!Y22</f>
        <v>1926.6364249999999</v>
      </c>
      <c r="AA335" s="5">
        <f>[1]Hybrid!Z22</f>
        <v>1776.799982</v>
      </c>
      <c r="AB335" s="5">
        <f>[1]Hybrid!AA22</f>
        <v>1638.594151</v>
      </c>
      <c r="AC335" s="5">
        <f>[1]Hybrid!AB22</f>
        <v>1511.1240700000001</v>
      </c>
      <c r="AD335" s="5">
        <f>[1]Hybrid!AC22</f>
        <v>1393.5607640000001</v>
      </c>
      <c r="AE335" s="5">
        <f>[1]Hybrid!AD22</f>
        <v>1285.137469</v>
      </c>
      <c r="AF335" s="5">
        <f>[1]Hybrid!AE22</f>
        <v>1185.1456519999999</v>
      </c>
      <c r="AG335" s="5">
        <f>[1]Hybrid!AF22</f>
        <v>1092.9309989999999</v>
      </c>
      <c r="AH335" s="5">
        <f>[1]Hybrid!AG22</f>
        <v>1007.889515</v>
      </c>
      <c r="AI335" s="5">
        <f>[1]Hybrid!AH22</f>
        <v>929.46382289999997</v>
      </c>
      <c r="AJ335" s="5">
        <f>[1]Hybrid!AI22</f>
        <v>857.13966559999994</v>
      </c>
      <c r="AK335" s="5">
        <f>[1]Hybrid!AJ22</f>
        <v>790.442635</v>
      </c>
      <c r="AL335" s="5">
        <f>[1]Hybrid!AK22</f>
        <v>728.93512490000001</v>
      </c>
    </row>
    <row r="336" spans="1:38" x14ac:dyDescent="0.35">
      <c r="B336" s="5" t="str">
        <f>[1]Hybrid!A24</f>
        <v>auto_cd_cfut_2</v>
      </c>
      <c r="C336" s="5">
        <f>[1]Hybrid!B24</f>
        <v>4159.6639080000004</v>
      </c>
      <c r="D336" s="5">
        <f>[1]Hybrid!C24</f>
        <v>4052.7611179999999</v>
      </c>
      <c r="E336" s="5">
        <f>[1]Hybrid!D24</f>
        <v>3970.9613119999999</v>
      </c>
      <c r="F336" s="5">
        <f>[1]Hybrid!E24</f>
        <v>3902.4638920000002</v>
      </c>
      <c r="G336" s="5">
        <f>[1]Hybrid!F24</f>
        <v>3842.7079899999999</v>
      </c>
      <c r="H336" s="5">
        <f>[1]Hybrid!G24</f>
        <v>3787.4295780000002</v>
      </c>
      <c r="I336" s="5">
        <f>[1]Hybrid!H24</f>
        <v>3732.18651</v>
      </c>
      <c r="J336" s="5">
        <f>[1]Hybrid!I24</f>
        <v>3662.721693</v>
      </c>
      <c r="K336" s="5">
        <f>[1]Hybrid!J24</f>
        <v>3574.305922</v>
      </c>
      <c r="L336" s="5">
        <f>[1]Hybrid!K24</f>
        <v>3462.2437340000001</v>
      </c>
      <c r="M336" s="5">
        <f>[1]Hybrid!L24</f>
        <v>3323.486958</v>
      </c>
      <c r="N336" s="5">
        <f>[1]Hybrid!M24</f>
        <v>3162.9638060000002</v>
      </c>
      <c r="O336" s="5">
        <f>[1]Hybrid!N24</f>
        <v>2989.0499869999999</v>
      </c>
      <c r="P336" s="5">
        <f>[1]Hybrid!O24</f>
        <v>2808.9831989999998</v>
      </c>
      <c r="Q336" s="5">
        <f>[1]Hybrid!P24</f>
        <v>2628.4372800000001</v>
      </c>
      <c r="R336" s="5">
        <f>[1]Hybrid!Q24</f>
        <v>2451.4692960000002</v>
      </c>
      <c r="S336" s="5">
        <f>[1]Hybrid!R24</f>
        <v>2280.8566230000001</v>
      </c>
      <c r="T336" s="5">
        <f>[1]Hybrid!S24</f>
        <v>2118.2265309999998</v>
      </c>
      <c r="U336" s="5">
        <f>[1]Hybrid!T24</f>
        <v>1964.462912</v>
      </c>
      <c r="V336" s="5">
        <f>[1]Hybrid!U24</f>
        <v>1819.9319129999999</v>
      </c>
      <c r="W336" s="5">
        <f>[1]Hybrid!V24</f>
        <v>1684.6581140000001</v>
      </c>
      <c r="X336" s="5">
        <f>[1]Hybrid!W24</f>
        <v>1558.4476810000001</v>
      </c>
      <c r="Y336" s="5">
        <f>[1]Hybrid!X24</f>
        <v>1440.9725209999999</v>
      </c>
      <c r="Z336" s="5">
        <f>[1]Hybrid!Y24</f>
        <v>1331.826178</v>
      </c>
      <c r="AA336" s="5">
        <f>[1]Hybrid!Z24</f>
        <v>1230.559712</v>
      </c>
      <c r="AB336" s="5">
        <f>[1]Hybrid!AA24</f>
        <v>1136.706461</v>
      </c>
      <c r="AC336" s="5">
        <f>[1]Hybrid!AB24</f>
        <v>1049.797534</v>
      </c>
      <c r="AD336" s="5">
        <f>[1]Hybrid!AC24</f>
        <v>969.37303459999998</v>
      </c>
      <c r="AE336" s="5">
        <f>[1]Hybrid!AD24</f>
        <v>894.98941669999999</v>
      </c>
      <c r="AF336" s="5">
        <f>[1]Hybrid!AE24</f>
        <v>826.22315920000005</v>
      </c>
      <c r="AG336" s="5">
        <f>[1]Hybrid!AF24</f>
        <v>762.67258149999998</v>
      </c>
      <c r="AH336" s="5">
        <f>[1]Hybrid!AG24</f>
        <v>703.95885480000004</v>
      </c>
      <c r="AI336" s="5">
        <f>[1]Hybrid!AH24</f>
        <v>649.72641420000002</v>
      </c>
      <c r="AJ336" s="5">
        <f>[1]Hybrid!AI24</f>
        <v>599.64285229999996</v>
      </c>
      <c r="AK336" s="5">
        <f>[1]Hybrid!AJ24</f>
        <v>553.39820450000002</v>
      </c>
      <c r="AL336" s="5">
        <f>[1]Hybrid!AK24</f>
        <v>510.70397050000003</v>
      </c>
    </row>
    <row r="337" spans="2:38" x14ac:dyDescent="0.35">
      <c r="B337" s="5" t="str">
        <f>[1]Hybrid!A26</f>
        <v>auto_ce_cfut_2</v>
      </c>
      <c r="C337" s="5">
        <f>[1]Hybrid!B26</f>
        <v>2503.7292430000002</v>
      </c>
      <c r="D337" s="5">
        <f>[1]Hybrid!C26</f>
        <v>2441.6230310000001</v>
      </c>
      <c r="E337" s="5">
        <f>[1]Hybrid!D26</f>
        <v>2393.7318479999999</v>
      </c>
      <c r="F337" s="5">
        <f>[1]Hybrid!E26</f>
        <v>2352.7143689999998</v>
      </c>
      <c r="G337" s="5">
        <f>[1]Hybrid!F26</f>
        <v>2315.8002759999999</v>
      </c>
      <c r="H337" s="5">
        <f>[1]Hybrid!G26</f>
        <v>2280.5650989999999</v>
      </c>
      <c r="I337" s="5">
        <f>[1]Hybrid!H26</f>
        <v>2244.4782180000002</v>
      </c>
      <c r="J337" s="5">
        <f>[1]Hybrid!I26</f>
        <v>2199.0708239999999</v>
      </c>
      <c r="K337" s="5">
        <f>[1]Hybrid!J26</f>
        <v>2141.753604</v>
      </c>
      <c r="L337" s="5">
        <f>[1]Hybrid!K26</f>
        <v>2070.4770720000001</v>
      </c>
      <c r="M337" s="5">
        <f>[1]Hybrid!L26</f>
        <v>1984.205537</v>
      </c>
      <c r="N337" s="5">
        <f>[1]Hybrid!M26</f>
        <v>1886.1559070000001</v>
      </c>
      <c r="O337" s="5">
        <f>[1]Hybrid!N26</f>
        <v>1781.1129060000001</v>
      </c>
      <c r="P337" s="5">
        <f>[1]Hybrid!O26</f>
        <v>1673.1084860000001</v>
      </c>
      <c r="Q337" s="5">
        <f>[1]Hybrid!P26</f>
        <v>1565.270221</v>
      </c>
      <c r="R337" s="5">
        <f>[1]Hybrid!Q26</f>
        <v>1459.825738</v>
      </c>
      <c r="S337" s="5">
        <f>[1]Hybrid!R26</f>
        <v>1358.3019179999999</v>
      </c>
      <c r="T337" s="5">
        <f>[1]Hybrid!S26</f>
        <v>1261.5884579999999</v>
      </c>
      <c r="U337" s="5">
        <f>[1]Hybrid!T26</f>
        <v>1170.1665410000001</v>
      </c>
      <c r="V337" s="5">
        <f>[1]Hybrid!U26</f>
        <v>1084.2306840000001</v>
      </c>
      <c r="W337" s="5">
        <f>[1]Hybrid!V26</f>
        <v>1003.784887</v>
      </c>
      <c r="X337" s="5">
        <f>[1]Hybrid!W26</f>
        <v>928.71041170000001</v>
      </c>
      <c r="Y337" s="5">
        <f>[1]Hybrid!X26</f>
        <v>858.81252310000002</v>
      </c>
      <c r="Z337" s="5">
        <f>[1]Hybrid!Y26</f>
        <v>793.85179830000004</v>
      </c>
      <c r="AA337" s="5">
        <f>[1]Hybrid!Z26</f>
        <v>733.56425869999998</v>
      </c>
      <c r="AB337" s="5">
        <f>[1]Hybrid!AA26</f>
        <v>677.67549759999997</v>
      </c>
      <c r="AC337" s="5">
        <f>[1]Hybrid!AB26</f>
        <v>625.90951359999997</v>
      </c>
      <c r="AD337" s="5">
        <f>[1]Hybrid!AC26</f>
        <v>577.99527479999995</v>
      </c>
      <c r="AE337" s="5">
        <f>[1]Hybrid!AD26</f>
        <v>533.67111729999999</v>
      </c>
      <c r="AF337" s="5">
        <f>[1]Hybrid!AE26</f>
        <v>492.68694570000002</v>
      </c>
      <c r="AG337" s="5">
        <f>[1]Hybrid!AF26</f>
        <v>454.80530149999998</v>
      </c>
      <c r="AH337" s="5">
        <f>[1]Hybrid!AG26</f>
        <v>419.80198350000001</v>
      </c>
      <c r="AI337" s="5">
        <f>[1]Hybrid!AH26</f>
        <v>387.46633960000003</v>
      </c>
      <c r="AJ337" s="5">
        <f>[1]Hybrid!AI26</f>
        <v>357.60126170000001</v>
      </c>
      <c r="AK337" s="5">
        <f>[1]Hybrid!AJ26</f>
        <v>330.02280839999997</v>
      </c>
      <c r="AL337" s="5">
        <f>[1]Hybrid!AK26</f>
        <v>304.5596582</v>
      </c>
    </row>
    <row r="338" spans="2:38" x14ac:dyDescent="0.35">
      <c r="B338" s="5" t="str">
        <f>[1]Hybrid!A28</f>
        <v>auto_cf_cfut_2</v>
      </c>
      <c r="C338" s="5">
        <f>[1]Hybrid!B28</f>
        <v>1243.6668460000001</v>
      </c>
      <c r="D338" s="5">
        <f>[1]Hybrid!C28</f>
        <v>1210.4196260000001</v>
      </c>
      <c r="E338" s="5">
        <f>[1]Hybrid!D28</f>
        <v>1183.2416189999999</v>
      </c>
      <c r="F338" s="5">
        <f>[1]Hybrid!E28</f>
        <v>1158.608471</v>
      </c>
      <c r="G338" s="5">
        <f>[1]Hybrid!F28</f>
        <v>1135.2945970000001</v>
      </c>
      <c r="H338" s="5">
        <f>[1]Hybrid!G28</f>
        <v>1112.2367400000001</v>
      </c>
      <c r="I338" s="5">
        <f>[1]Hybrid!H28</f>
        <v>1088.399484</v>
      </c>
      <c r="J338" s="5">
        <f>[1]Hybrid!I28</f>
        <v>1060.446007</v>
      </c>
      <c r="K338" s="5">
        <f>[1]Hybrid!J28</f>
        <v>1028.3394390000001</v>
      </c>
      <c r="L338" s="5">
        <f>[1]Hybrid!K28</f>
        <v>992.02246209999998</v>
      </c>
      <c r="M338" s="5">
        <f>[1]Hybrid!L28</f>
        <v>951.39562190000004</v>
      </c>
      <c r="N338" s="5">
        <f>[1]Hybrid!M28</f>
        <v>907.43967459999999</v>
      </c>
      <c r="O338" s="5">
        <f>[1]Hybrid!N28</f>
        <v>861.32402750000006</v>
      </c>
      <c r="P338" s="5">
        <f>[1]Hybrid!O28</f>
        <v>814.12194290000002</v>
      </c>
      <c r="Q338" s="5">
        <f>[1]Hybrid!P28</f>
        <v>766.77893059999997</v>
      </c>
      <c r="R338" s="5">
        <f>[1]Hybrid!Q28</f>
        <v>720.05984279999996</v>
      </c>
      <c r="S338" s="5">
        <f>[1]Hybrid!R28</f>
        <v>674.58157670000003</v>
      </c>
      <c r="T338" s="5">
        <f>[1]Hybrid!S28</f>
        <v>630.73950850000006</v>
      </c>
      <c r="U338" s="5">
        <f>[1]Hybrid!T28</f>
        <v>588.79763679999996</v>
      </c>
      <c r="V338" s="5">
        <f>[1]Hybrid!U28</f>
        <v>548.91219579999995</v>
      </c>
      <c r="W338" s="5">
        <f>[1]Hybrid!V28</f>
        <v>511.1584249</v>
      </c>
      <c r="X338" s="5">
        <f>[1]Hybrid!W28</f>
        <v>475.55284990000001</v>
      </c>
      <c r="Y338" s="5">
        <f>[1]Hybrid!X28</f>
        <v>442.07117679999999</v>
      </c>
      <c r="Z338" s="5">
        <f>[1]Hybrid!Y28</f>
        <v>410.66163760000001</v>
      </c>
      <c r="AA338" s="5">
        <f>[1]Hybrid!Z28</f>
        <v>381.2530539</v>
      </c>
      <c r="AB338" s="5">
        <f>[1]Hybrid!AA28</f>
        <v>353.76213150000001</v>
      </c>
      <c r="AC338" s="5">
        <f>[1]Hybrid!AB28</f>
        <v>328.09735030000002</v>
      </c>
      <c r="AD338" s="5">
        <f>[1]Hybrid!AC28</f>
        <v>304.16345740000003</v>
      </c>
      <c r="AE338" s="5">
        <f>[1]Hybrid!AD28</f>
        <v>281.86535629999997</v>
      </c>
      <c r="AF338" s="5">
        <f>[1]Hybrid!AE28</f>
        <v>261.10969879999999</v>
      </c>
      <c r="AG338" s="5">
        <f>[1]Hybrid!AF28</f>
        <v>241.80513110000001</v>
      </c>
      <c r="AH338" s="5">
        <f>[1]Hybrid!AG28</f>
        <v>223.86269859999999</v>
      </c>
      <c r="AI338" s="5">
        <f>[1]Hybrid!AH28</f>
        <v>207.19650179999999</v>
      </c>
      <c r="AJ338" s="5">
        <f>[1]Hybrid!AI28</f>
        <v>191.7244082</v>
      </c>
      <c r="AK338" s="5">
        <f>[1]Hybrid!AJ28</f>
        <v>177.36825859999999</v>
      </c>
      <c r="AL338" s="5">
        <f>[1]Hybrid!AK28</f>
        <v>164.05386970000001</v>
      </c>
    </row>
    <row r="339" spans="2:38" x14ac:dyDescent="0.35">
      <c r="B339" s="5" t="str">
        <f>[1]Hybrid!A30</f>
        <v>auto_cg_cfut_2</v>
      </c>
      <c r="C339" s="5">
        <f>[1]Hybrid!B30</f>
        <v>2239.620606</v>
      </c>
      <c r="D339" s="5">
        <f>[1]Hybrid!C30</f>
        <v>2182.952824</v>
      </c>
      <c r="E339" s="5">
        <f>[1]Hybrid!D30</f>
        <v>2134.8204559999999</v>
      </c>
      <c r="F339" s="5">
        <f>[1]Hybrid!E30</f>
        <v>2088.5681359999999</v>
      </c>
      <c r="G339" s="5">
        <f>[1]Hybrid!F30</f>
        <v>2042.1186029999999</v>
      </c>
      <c r="H339" s="5">
        <f>[1]Hybrid!G30</f>
        <v>1993.9965689999999</v>
      </c>
      <c r="I339" s="5">
        <f>[1]Hybrid!H30</f>
        <v>1942.8260339999999</v>
      </c>
      <c r="J339" s="5">
        <f>[1]Hybrid!I30</f>
        <v>1883.2728380000001</v>
      </c>
      <c r="K339" s="5">
        <f>[1]Hybrid!J30</f>
        <v>1815.6291040000001</v>
      </c>
      <c r="L339" s="5">
        <f>[1]Hybrid!K30</f>
        <v>1740.6261489999999</v>
      </c>
      <c r="M339" s="5">
        <f>[1]Hybrid!L30</f>
        <v>1659.0049019999999</v>
      </c>
      <c r="N339" s="5">
        <f>[1]Hybrid!M30</f>
        <v>1573.026449</v>
      </c>
      <c r="O339" s="5">
        <f>[1]Hybrid!N30</f>
        <v>1484.9738339999999</v>
      </c>
      <c r="P339" s="5">
        <f>[1]Hybrid!O30</f>
        <v>1396.7409210000001</v>
      </c>
      <c r="Q339" s="5">
        <f>[1]Hybrid!P30</f>
        <v>1309.8408910000001</v>
      </c>
      <c r="R339" s="5">
        <f>[1]Hybrid!Q30</f>
        <v>1225.394614</v>
      </c>
      <c r="S339" s="5">
        <f>[1]Hybrid!R30</f>
        <v>1144.2299680000001</v>
      </c>
      <c r="T339" s="5">
        <f>[1]Hybrid!S30</f>
        <v>1066.8195350000001</v>
      </c>
      <c r="U339" s="5">
        <f>[1]Hybrid!T30</f>
        <v>993.43021109999995</v>
      </c>
      <c r="V339" s="5">
        <f>[1]Hybrid!U30</f>
        <v>924.17107109999995</v>
      </c>
      <c r="W339" s="5">
        <f>[1]Hybrid!V30</f>
        <v>859.0386565</v>
      </c>
      <c r="X339" s="5">
        <f>[1]Hybrid!W30</f>
        <v>797.95217190000005</v>
      </c>
      <c r="Y339" s="5">
        <f>[1]Hybrid!X30</f>
        <v>740.78044</v>
      </c>
      <c r="Z339" s="5">
        <f>[1]Hybrid!Y30</f>
        <v>687.36174730000005</v>
      </c>
      <c r="AA339" s="5">
        <f>[1]Hybrid!Z30</f>
        <v>637.51503639999999</v>
      </c>
      <c r="AB339" s="5">
        <f>[1]Hybrid!AA30</f>
        <v>591.05020590000004</v>
      </c>
      <c r="AC339" s="5">
        <f>[1]Hybrid!AB30</f>
        <v>547.77275450000002</v>
      </c>
      <c r="AD339" s="5">
        <f>[1]Hybrid!AC30</f>
        <v>507.48981429999998</v>
      </c>
      <c r="AE339" s="5">
        <f>[1]Hybrid!AD30</f>
        <v>470.01590709999999</v>
      </c>
      <c r="AF339" s="5">
        <f>[1]Hybrid!AE30</f>
        <v>435.1750328</v>
      </c>
      <c r="AG339" s="5">
        <f>[1]Hybrid!AF30</f>
        <v>402.79987779999999</v>
      </c>
      <c r="AH339" s="5">
        <f>[1]Hybrid!AG30</f>
        <v>372.7312038</v>
      </c>
      <c r="AI339" s="5">
        <f>[1]Hybrid!AH30</f>
        <v>344.81788269999998</v>
      </c>
      <c r="AJ339" s="5">
        <f>[1]Hybrid!AI30</f>
        <v>318.917326</v>
      </c>
      <c r="AK339" s="5">
        <f>[1]Hybrid!AJ30</f>
        <v>294.89525159999999</v>
      </c>
      <c r="AL339" s="5">
        <f>[1]Hybrid!AK30</f>
        <v>272.62519500000002</v>
      </c>
    </row>
    <row r="340" spans="2:38" x14ac:dyDescent="0.35">
      <c r="B340" s="5" t="str">
        <f>[1]Hybrid!A32</f>
        <v>auto_ca_cele_2</v>
      </c>
      <c r="C340" s="5">
        <f>[1]Hybrid!B32</f>
        <v>9.8427898650000003</v>
      </c>
      <c r="D340" s="5">
        <f>[1]Hybrid!C32</f>
        <v>24.590022810000001</v>
      </c>
      <c r="E340" s="5">
        <f>[1]Hybrid!D32</f>
        <v>52.7682669</v>
      </c>
      <c r="F340" s="5">
        <f>[1]Hybrid!E32</f>
        <v>101.4160948</v>
      </c>
      <c r="G340" s="5">
        <f>[1]Hybrid!F32</f>
        <v>176.6059616</v>
      </c>
      <c r="H340" s="5">
        <f>[1]Hybrid!G32</f>
        <v>277.51035780000001</v>
      </c>
      <c r="I340" s="5">
        <f>[1]Hybrid!H32</f>
        <v>404.02695240000003</v>
      </c>
      <c r="J340" s="5">
        <f>[1]Hybrid!I32</f>
        <v>569.37398389999998</v>
      </c>
      <c r="K340" s="5">
        <f>[1]Hybrid!J32</f>
        <v>827.36980640000002</v>
      </c>
      <c r="L340" s="5">
        <f>[1]Hybrid!K32</f>
        <v>1210.790236</v>
      </c>
      <c r="M340" s="5">
        <f>[1]Hybrid!L32</f>
        <v>1727.497404</v>
      </c>
      <c r="N340" s="5">
        <f>[1]Hybrid!M32</f>
        <v>2354.9139829999999</v>
      </c>
      <c r="O340" s="5">
        <f>[1]Hybrid!N32</f>
        <v>3044.3933459999998</v>
      </c>
      <c r="P340" s="5">
        <f>[1]Hybrid!O32</f>
        <v>3757.8373059999999</v>
      </c>
      <c r="Q340" s="5">
        <f>[1]Hybrid!P32</f>
        <v>4469.420494</v>
      </c>
      <c r="R340" s="5">
        <f>[1]Hybrid!Q32</f>
        <v>5163.2055060000002</v>
      </c>
      <c r="S340" s="5">
        <f>[1]Hybrid!R32</f>
        <v>5832.6381549999996</v>
      </c>
      <c r="T340" s="5">
        <f>[1]Hybrid!S32</f>
        <v>6471.909541</v>
      </c>
      <c r="U340" s="5">
        <f>[1]Hybrid!T32</f>
        <v>7078.9095550000002</v>
      </c>
      <c r="V340" s="5">
        <f>[1]Hybrid!U32</f>
        <v>7653.6128509999999</v>
      </c>
      <c r="W340" s="5">
        <f>[1]Hybrid!V32</f>
        <v>8197.1788309999993</v>
      </c>
      <c r="X340" s="5">
        <f>[1]Hybrid!W32</f>
        <v>8711.4038920000003</v>
      </c>
      <c r="Y340" s="5">
        <f>[1]Hybrid!X32</f>
        <v>9198.547724</v>
      </c>
      <c r="Z340" s="5">
        <f>[1]Hybrid!Y32</f>
        <v>9661.1963429999996</v>
      </c>
      <c r="AA340" s="5">
        <f>[1]Hybrid!Z32</f>
        <v>10101.926880000001</v>
      </c>
      <c r="AB340" s="5">
        <f>[1]Hybrid!AA32</f>
        <v>10523.297070000001</v>
      </c>
      <c r="AC340" s="5">
        <f>[1]Hybrid!AB32</f>
        <v>10927.66641</v>
      </c>
      <c r="AD340" s="5">
        <f>[1]Hybrid!AC32</f>
        <v>11317.528399999999</v>
      </c>
      <c r="AE340" s="5">
        <f>[1]Hybrid!AD32</f>
        <v>11695.761469999999</v>
      </c>
      <c r="AF340" s="5">
        <f>[1]Hybrid!AE32</f>
        <v>12065.20428</v>
      </c>
      <c r="AG340" s="5">
        <f>[1]Hybrid!AF32</f>
        <v>12428.18331</v>
      </c>
      <c r="AH340" s="5">
        <f>[1]Hybrid!AG32</f>
        <v>12786.365030000001</v>
      </c>
      <c r="AI340" s="5">
        <f>[1]Hybrid!AH32</f>
        <v>13140.91323</v>
      </c>
      <c r="AJ340" s="5">
        <f>[1]Hybrid!AI32</f>
        <v>13492.749610000001</v>
      </c>
      <c r="AK340" s="5">
        <f>[1]Hybrid!AJ32</f>
        <v>13842.54501</v>
      </c>
      <c r="AL340" s="5">
        <f>[1]Hybrid!AK32</f>
        <v>14190.67836</v>
      </c>
    </row>
    <row r="341" spans="2:38" x14ac:dyDescent="0.35">
      <c r="B341" s="5" t="str">
        <f>[1]Hybrid!A34</f>
        <v>auto_cb_cele_2</v>
      </c>
      <c r="C341" s="5">
        <f>[1]Hybrid!B34</f>
        <v>11.44571741</v>
      </c>
      <c r="D341" s="5">
        <f>[1]Hybrid!C34</f>
        <v>26.86791307</v>
      </c>
      <c r="E341" s="5">
        <f>[1]Hybrid!D34</f>
        <v>56.902894259999997</v>
      </c>
      <c r="F341" s="5">
        <f>[1]Hybrid!E34</f>
        <v>109.06869140000001</v>
      </c>
      <c r="G341" s="5">
        <f>[1]Hybrid!F34</f>
        <v>189.68872010000001</v>
      </c>
      <c r="H341" s="5">
        <f>[1]Hybrid!G34</f>
        <v>297.68651080000001</v>
      </c>
      <c r="I341" s="5">
        <f>[1]Hybrid!H34</f>
        <v>432.72687459999997</v>
      </c>
      <c r="J341" s="5">
        <f>[1]Hybrid!I34</f>
        <v>607.88524659999996</v>
      </c>
      <c r="K341" s="5">
        <f>[1]Hybrid!J34</f>
        <v>875.7334591</v>
      </c>
      <c r="L341" s="5">
        <f>[1]Hybrid!K34</f>
        <v>1264.2866710000001</v>
      </c>
      <c r="M341" s="5">
        <f>[1]Hybrid!L34</f>
        <v>1775.4835720000001</v>
      </c>
      <c r="N341" s="5">
        <f>[1]Hybrid!M34</f>
        <v>2384.8057629999998</v>
      </c>
      <c r="O341" s="5">
        <f>[1]Hybrid!N34</f>
        <v>3047.1422429999998</v>
      </c>
      <c r="P341" s="5">
        <f>[1]Hybrid!O34</f>
        <v>3728.591891</v>
      </c>
      <c r="Q341" s="5">
        <f>[1]Hybrid!P34</f>
        <v>4406.7596789999998</v>
      </c>
      <c r="R341" s="5">
        <f>[1]Hybrid!Q34</f>
        <v>5068.0239359999996</v>
      </c>
      <c r="S341" s="5">
        <f>[1]Hybrid!R34</f>
        <v>5707.1171130000002</v>
      </c>
      <c r="T341" s="5">
        <f>[1]Hybrid!S34</f>
        <v>6318.9842580000004</v>
      </c>
      <c r="U341" s="5">
        <f>[1]Hybrid!T34</f>
        <v>6901.7595739999997</v>
      </c>
      <c r="V341" s="5">
        <f>[1]Hybrid!U34</f>
        <v>7455.363687</v>
      </c>
      <c r="W341" s="5">
        <f>[1]Hybrid!V34</f>
        <v>7980.7377139999999</v>
      </c>
      <c r="X341" s="5">
        <f>[1]Hybrid!W34</f>
        <v>8479.3763859999999</v>
      </c>
      <c r="Y341" s="5">
        <f>[1]Hybrid!X34</f>
        <v>8953.1963610000003</v>
      </c>
      <c r="Z341" s="5">
        <f>[1]Hybrid!Y34</f>
        <v>9404.4281630000005</v>
      </c>
      <c r="AA341" s="5">
        <f>[1]Hybrid!Z34</f>
        <v>9835.2983519999998</v>
      </c>
      <c r="AB341" s="5">
        <f>[1]Hybrid!AA34</f>
        <v>10248.02492</v>
      </c>
      <c r="AC341" s="5">
        <f>[1]Hybrid!AB34</f>
        <v>10644.63499</v>
      </c>
      <c r="AD341" s="5">
        <f>[1]Hybrid!AC34</f>
        <v>11027.28479</v>
      </c>
      <c r="AE341" s="5">
        <f>[1]Hybrid!AD34</f>
        <v>11398.516149999999</v>
      </c>
      <c r="AF341" s="5">
        <f>[1]Hybrid!AE34</f>
        <v>11760.85764</v>
      </c>
      <c r="AG341" s="5">
        <f>[1]Hybrid!AF34</f>
        <v>12116.362810000001</v>
      </c>
      <c r="AH341" s="5">
        <f>[1]Hybrid!AG34</f>
        <v>12466.458769999999</v>
      </c>
      <c r="AI341" s="5">
        <f>[1]Hybrid!AH34</f>
        <v>12812.093440000001</v>
      </c>
      <c r="AJ341" s="5">
        <f>[1]Hybrid!AI34</f>
        <v>13153.991459999999</v>
      </c>
      <c r="AK341" s="5">
        <f>[1]Hybrid!AJ34</f>
        <v>13492.648590000001</v>
      </c>
      <c r="AL341" s="5">
        <f>[1]Hybrid!AK34</f>
        <v>13828.292149999999</v>
      </c>
    </row>
    <row r="342" spans="2:38" x14ac:dyDescent="0.35">
      <c r="B342" s="5" t="str">
        <f>[1]Hybrid!A36</f>
        <v>auto_cc_cele_2</v>
      </c>
      <c r="C342" s="5">
        <f>[1]Hybrid!B36</f>
        <v>9.4015406210000005</v>
      </c>
      <c r="D342" s="5">
        <f>[1]Hybrid!C36</f>
        <v>21.200515459999998</v>
      </c>
      <c r="E342" s="5">
        <f>[1]Hybrid!D36</f>
        <v>44.607230950000002</v>
      </c>
      <c r="F342" s="5">
        <f>[1]Hybrid!E36</f>
        <v>85.456264899999994</v>
      </c>
      <c r="G342" s="5">
        <f>[1]Hybrid!F36</f>
        <v>148.50532430000001</v>
      </c>
      <c r="H342" s="5">
        <f>[1]Hybrid!G36</f>
        <v>232.73189199999999</v>
      </c>
      <c r="I342" s="5">
        <f>[1]Hybrid!H36</f>
        <v>337.66683319999999</v>
      </c>
      <c r="J342" s="5">
        <f>[1]Hybrid!I36</f>
        <v>472.56274509999997</v>
      </c>
      <c r="K342" s="5">
        <f>[1]Hybrid!J36</f>
        <v>674.19718079999996</v>
      </c>
      <c r="L342" s="5">
        <f>[1]Hybrid!K36</f>
        <v>958.93501619999995</v>
      </c>
      <c r="M342" s="5">
        <f>[1]Hybrid!L36</f>
        <v>1323.874247</v>
      </c>
      <c r="N342" s="5">
        <f>[1]Hybrid!M36</f>
        <v>1750.4304830000001</v>
      </c>
      <c r="O342" s="5">
        <f>[1]Hybrid!N36</f>
        <v>2209.0495350000001</v>
      </c>
      <c r="P342" s="5">
        <f>[1]Hybrid!O36</f>
        <v>2678.466766</v>
      </c>
      <c r="Q342" s="5">
        <f>[1]Hybrid!P36</f>
        <v>3144.9967109999998</v>
      </c>
      <c r="R342" s="5">
        <f>[1]Hybrid!Q36</f>
        <v>3600.4186840000002</v>
      </c>
      <c r="S342" s="5">
        <f>[1]Hybrid!R36</f>
        <v>4041.7970500000001</v>
      </c>
      <c r="T342" s="5">
        <f>[1]Hybrid!S36</f>
        <v>4465.9665560000003</v>
      </c>
      <c r="U342" s="5">
        <f>[1]Hybrid!T36</f>
        <v>4871.7115700000004</v>
      </c>
      <c r="V342" s="5">
        <f>[1]Hybrid!U36</f>
        <v>5258.9012460000004</v>
      </c>
      <c r="W342" s="5">
        <f>[1]Hybrid!V36</f>
        <v>5628.0290690000002</v>
      </c>
      <c r="X342" s="5">
        <f>[1]Hybrid!W36</f>
        <v>5979.9314679999998</v>
      </c>
      <c r="Y342" s="5">
        <f>[1]Hybrid!X36</f>
        <v>6315.7225440000002</v>
      </c>
      <c r="Z342" s="5">
        <f>[1]Hybrid!Y36</f>
        <v>6636.736973</v>
      </c>
      <c r="AA342" s="5">
        <f>[1]Hybrid!Z36</f>
        <v>6944.3119699999997</v>
      </c>
      <c r="AB342" s="5">
        <f>[1]Hybrid!AA36</f>
        <v>7239.7886600000002</v>
      </c>
      <c r="AC342" s="5">
        <f>[1]Hybrid!AB36</f>
        <v>7524.3772349999999</v>
      </c>
      <c r="AD342" s="5">
        <f>[1]Hybrid!AC36</f>
        <v>7799.3815599999998</v>
      </c>
      <c r="AE342" s="5">
        <f>[1]Hybrid!AD36</f>
        <v>8066.3907209999998</v>
      </c>
      <c r="AF342" s="5">
        <f>[1]Hybrid!AE36</f>
        <v>8327.0070180000002</v>
      </c>
      <c r="AG342" s="5">
        <f>[1]Hybrid!AF36</f>
        <v>8582.5165820000002</v>
      </c>
      <c r="AH342" s="5">
        <f>[1]Hybrid!AG36</f>
        <v>8833.7757259999998</v>
      </c>
      <c r="AI342" s="5">
        <f>[1]Hybrid!AH36</f>
        <v>9081.3107029999992</v>
      </c>
      <c r="AJ342" s="5">
        <f>[1]Hybrid!AI36</f>
        <v>9325.5007420000002</v>
      </c>
      <c r="AK342" s="5">
        <f>[1]Hybrid!AJ36</f>
        <v>9566.5759120000002</v>
      </c>
      <c r="AL342" s="5">
        <f>[1]Hybrid!AK36</f>
        <v>9804.5890610000006</v>
      </c>
    </row>
    <row r="343" spans="2:38" x14ac:dyDescent="0.35">
      <c r="B343" s="5" t="str">
        <f>[1]Hybrid!A38</f>
        <v>auto_cd_cele_2</v>
      </c>
      <c r="C343" s="5">
        <f>[1]Hybrid!B38</f>
        <v>5.770071272</v>
      </c>
      <c r="D343" s="5">
        <f>[1]Hybrid!C38</f>
        <v>9.957015427</v>
      </c>
      <c r="E343" s="5">
        <f>[1]Hybrid!D38</f>
        <v>17.404826280000002</v>
      </c>
      <c r="F343" s="5">
        <f>[1]Hybrid!E38</f>
        <v>29.659791210000002</v>
      </c>
      <c r="G343" s="5">
        <f>[1]Hybrid!F38</f>
        <v>48.022057060000002</v>
      </c>
      <c r="H343" s="5">
        <f>[1]Hybrid!G38</f>
        <v>72.201543819999998</v>
      </c>
      <c r="I343" s="5">
        <f>[1]Hybrid!H38</f>
        <v>102.0763618</v>
      </c>
      <c r="J343" s="5">
        <f>[1]Hybrid!I38</f>
        <v>140.4006918</v>
      </c>
      <c r="K343" s="5">
        <f>[1]Hybrid!J38</f>
        <v>198.777638</v>
      </c>
      <c r="L343" s="5">
        <f>[1]Hybrid!K38</f>
        <v>285.34044879999999</v>
      </c>
      <c r="M343" s="5">
        <f>[1]Hybrid!L38</f>
        <v>404.62146790000003</v>
      </c>
      <c r="N343" s="5">
        <f>[1]Hybrid!M38</f>
        <v>555.03104729999995</v>
      </c>
      <c r="O343" s="5">
        <f>[1]Hybrid!N38</f>
        <v>726.96614030000001</v>
      </c>
      <c r="P343" s="5">
        <f>[1]Hybrid!O38</f>
        <v>911.29499250000003</v>
      </c>
      <c r="Q343" s="5">
        <f>[1]Hybrid!P38</f>
        <v>1100.767664</v>
      </c>
      <c r="R343" s="5">
        <f>[1]Hybrid!Q38</f>
        <v>1290.204015</v>
      </c>
      <c r="S343" s="5">
        <f>[1]Hybrid!R38</f>
        <v>1476.844218</v>
      </c>
      <c r="T343" s="5">
        <f>[1]Hybrid!S38</f>
        <v>1658.203847</v>
      </c>
      <c r="U343" s="5">
        <f>[1]Hybrid!T38</f>
        <v>1832.9010659999999</v>
      </c>
      <c r="V343" s="5">
        <f>[1]Hybrid!U38</f>
        <v>2000.2307060000001</v>
      </c>
      <c r="W343" s="5">
        <f>[1]Hybrid!V38</f>
        <v>2159.9052969999998</v>
      </c>
      <c r="X343" s="5">
        <f>[1]Hybrid!W38</f>
        <v>2311.8855349999999</v>
      </c>
      <c r="Y343" s="5">
        <f>[1]Hybrid!X38</f>
        <v>2456.314781</v>
      </c>
      <c r="Z343" s="5">
        <f>[1]Hybrid!Y38</f>
        <v>2593.4749160000001</v>
      </c>
      <c r="AA343" s="5">
        <f>[1]Hybrid!Z38</f>
        <v>2723.6759050000001</v>
      </c>
      <c r="AB343" s="5">
        <f>[1]Hybrid!AA38</f>
        <v>2847.2466829999998</v>
      </c>
      <c r="AC343" s="5">
        <f>[1]Hybrid!AB38</f>
        <v>2964.4604629999999</v>
      </c>
      <c r="AD343" s="5">
        <f>[1]Hybrid!AC38</f>
        <v>3075.6146629999998</v>
      </c>
      <c r="AE343" s="5">
        <f>[1]Hybrid!AD38</f>
        <v>3181.1215000000002</v>
      </c>
      <c r="AF343" s="5">
        <f>[1]Hybrid!AE38</f>
        <v>3281.4230680000001</v>
      </c>
      <c r="AG343" s="5">
        <f>[1]Hybrid!AF38</f>
        <v>3376.863797</v>
      </c>
      <c r="AH343" s="5">
        <f>[1]Hybrid!AG38</f>
        <v>3467.6411640000001</v>
      </c>
      <c r="AI343" s="5">
        <f>[1]Hybrid!AH38</f>
        <v>3553.8401140000001</v>
      </c>
      <c r="AJ343" s="5">
        <f>[1]Hybrid!AI38</f>
        <v>3635.5083639999998</v>
      </c>
      <c r="AK343" s="5">
        <f>[1]Hybrid!AJ38</f>
        <v>3712.6622189999998</v>
      </c>
      <c r="AL343" s="5">
        <f>[1]Hybrid!AK38</f>
        <v>3785.2785250000002</v>
      </c>
    </row>
    <row r="344" spans="2:38" x14ac:dyDescent="0.35">
      <c r="B344" s="5" t="str">
        <f>[1]Hybrid!A40</f>
        <v>auto_ce_cele_2</v>
      </c>
      <c r="C344" s="5">
        <f>[1]Hybrid!B40</f>
        <v>3.4730440960000002</v>
      </c>
      <c r="D344" s="5">
        <f>[1]Hybrid!C40</f>
        <v>6.1652483589999996</v>
      </c>
      <c r="E344" s="5">
        <f>[1]Hybrid!D40</f>
        <v>10.979067300000001</v>
      </c>
      <c r="F344" s="5">
        <f>[1]Hybrid!E40</f>
        <v>18.880338989999998</v>
      </c>
      <c r="G344" s="5">
        <f>[1]Hybrid!F40</f>
        <v>30.650210510000001</v>
      </c>
      <c r="H344" s="5">
        <f>[1]Hybrid!G40</f>
        <v>46.060334650000001</v>
      </c>
      <c r="I344" s="5">
        <f>[1]Hybrid!H40</f>
        <v>64.985446699999997</v>
      </c>
      <c r="J344" s="5">
        <f>[1]Hybrid!I40</f>
        <v>88.986660029999996</v>
      </c>
      <c r="K344" s="5">
        <f>[1]Hybrid!J40</f>
        <v>124.638938</v>
      </c>
      <c r="L344" s="5">
        <f>[1]Hybrid!K40</f>
        <v>176.1754693</v>
      </c>
      <c r="M344" s="5">
        <f>[1]Hybrid!L40</f>
        <v>245.6901144</v>
      </c>
      <c r="N344" s="5">
        <f>[1]Hybrid!M40</f>
        <v>332.1709085</v>
      </c>
      <c r="O344" s="5">
        <f>[1]Hybrid!N40</f>
        <v>430.48829790000002</v>
      </c>
      <c r="P344" s="5">
        <f>[1]Hybrid!O40</f>
        <v>535.83099319999997</v>
      </c>
      <c r="Q344" s="5">
        <f>[1]Hybrid!P40</f>
        <v>644.40080969999997</v>
      </c>
      <c r="R344" s="5">
        <f>[1]Hybrid!Q40</f>
        <v>753.47932900000001</v>
      </c>
      <c r="S344" s="5">
        <f>[1]Hybrid!R40</f>
        <v>861.64421890000006</v>
      </c>
      <c r="T344" s="5">
        <f>[1]Hybrid!S40</f>
        <v>967.54129939999996</v>
      </c>
      <c r="U344" s="5">
        <f>[1]Hybrid!T40</f>
        <v>1070.3807549999999</v>
      </c>
      <c r="V344" s="5">
        <f>[1]Hybrid!U40</f>
        <v>1169.7129910000001</v>
      </c>
      <c r="W344" s="5">
        <f>[1]Hybrid!V40</f>
        <v>1265.294766</v>
      </c>
      <c r="X344" s="5">
        <f>[1]Hybrid!W40</f>
        <v>1357.001919</v>
      </c>
      <c r="Y344" s="5">
        <f>[1]Hybrid!X40</f>
        <v>1444.7995309999999</v>
      </c>
      <c r="Z344" s="5">
        <f>[1]Hybrid!Y40</f>
        <v>1528.7247600000001</v>
      </c>
      <c r="AA344" s="5">
        <f>[1]Hybrid!Z40</f>
        <v>1608.823461</v>
      </c>
      <c r="AB344" s="5">
        <f>[1]Hybrid!AA40</f>
        <v>1685.1495150000001</v>
      </c>
      <c r="AC344" s="5">
        <f>[1]Hybrid!AB40</f>
        <v>1757.717026</v>
      </c>
      <c r="AD344" s="5">
        <f>[1]Hybrid!AC40</f>
        <v>1826.549501</v>
      </c>
      <c r="AE344" s="5">
        <f>[1]Hybrid!AD40</f>
        <v>1891.745056</v>
      </c>
      <c r="AF344" s="5">
        <f>[1]Hybrid!AE40</f>
        <v>1953.437674</v>
      </c>
      <c r="AG344" s="5">
        <f>[1]Hybrid!AF40</f>
        <v>2011.7214899999999</v>
      </c>
      <c r="AH344" s="5">
        <f>[1]Hybrid!AG40</f>
        <v>2066.6180639999998</v>
      </c>
      <c r="AI344" s="5">
        <f>[1]Hybrid!AH40</f>
        <v>2118.0946269999999</v>
      </c>
      <c r="AJ344" s="5">
        <f>[1]Hybrid!AI40</f>
        <v>2166.1111700000001</v>
      </c>
      <c r="AK344" s="5">
        <f>[1]Hybrid!AJ40</f>
        <v>2210.6257070000001</v>
      </c>
      <c r="AL344" s="5">
        <f>[1]Hybrid!AK40</f>
        <v>2251.5895839999998</v>
      </c>
    </row>
    <row r="345" spans="2:38" x14ac:dyDescent="0.35">
      <c r="B345" s="5" t="str">
        <f>[1]Hybrid!A42</f>
        <v>auto_cf_cele_2</v>
      </c>
      <c r="C345" s="5">
        <f>[1]Hybrid!B42</f>
        <v>1.7251505170000001</v>
      </c>
      <c r="D345" s="5">
        <f>[1]Hybrid!C42</f>
        <v>2.7902060510000002</v>
      </c>
      <c r="E345" s="5">
        <f>[1]Hybrid!D42</f>
        <v>4.5334585880000002</v>
      </c>
      <c r="F345" s="5">
        <f>[1]Hybrid!E42</f>
        <v>7.2090352370000002</v>
      </c>
      <c r="G345" s="5">
        <f>[1]Hybrid!F42</f>
        <v>10.99806119</v>
      </c>
      <c r="H345" s="5">
        <f>[1]Hybrid!G42</f>
        <v>15.77024082</v>
      </c>
      <c r="I345" s="5">
        <f>[1]Hybrid!H42</f>
        <v>21.429849170000001</v>
      </c>
      <c r="J345" s="5">
        <f>[1]Hybrid!I42</f>
        <v>28.329438620000001</v>
      </c>
      <c r="K345" s="5">
        <f>[1]Hybrid!J42</f>
        <v>38.055830200000003</v>
      </c>
      <c r="L345" s="5">
        <f>[1]Hybrid!K42</f>
        <v>51.53530404</v>
      </c>
      <c r="M345" s="5">
        <f>[1]Hybrid!L42</f>
        <v>69.237189709999996</v>
      </c>
      <c r="N345" s="5">
        <f>[1]Hybrid!M42</f>
        <v>91.042481600000002</v>
      </c>
      <c r="O345" s="5">
        <f>[1]Hybrid!N42</f>
        <v>115.88034140000001</v>
      </c>
      <c r="P345" s="5">
        <f>[1]Hybrid!O42</f>
        <v>142.70530729999999</v>
      </c>
      <c r="Q345" s="5">
        <f>[1]Hybrid!P42</f>
        <v>170.66767999999999</v>
      </c>
      <c r="R345" s="5">
        <f>[1]Hybrid!Q42</f>
        <v>199.14408969999999</v>
      </c>
      <c r="S345" s="5">
        <f>[1]Hybrid!R42</f>
        <v>227.81679099999999</v>
      </c>
      <c r="T345" s="5">
        <f>[1]Hybrid!S42</f>
        <v>256.35845130000001</v>
      </c>
      <c r="U345" s="5">
        <f>[1]Hybrid!T42</f>
        <v>284.5689271</v>
      </c>
      <c r="V345" s="5">
        <f>[1]Hybrid!U42</f>
        <v>312.32037439999999</v>
      </c>
      <c r="W345" s="5">
        <f>[1]Hybrid!V42</f>
        <v>339.52232609999999</v>
      </c>
      <c r="X345" s="5">
        <f>[1]Hybrid!W42</f>
        <v>366.09744030000002</v>
      </c>
      <c r="Y345" s="5">
        <f>[1]Hybrid!X42</f>
        <v>391.9724933</v>
      </c>
      <c r="Z345" s="5">
        <f>[1]Hybrid!Y42</f>
        <v>417.07676750000002</v>
      </c>
      <c r="AA345" s="5">
        <f>[1]Hybrid!Z42</f>
        <v>441.32272979999999</v>
      </c>
      <c r="AB345" s="5">
        <f>[1]Hybrid!AA42</f>
        <v>464.60950229999997</v>
      </c>
      <c r="AC345" s="5">
        <f>[1]Hybrid!AB42</f>
        <v>486.8051342</v>
      </c>
      <c r="AD345" s="5">
        <f>[1]Hybrid!AC42</f>
        <v>507.7630102</v>
      </c>
      <c r="AE345" s="5">
        <f>[1]Hybrid!AD42</f>
        <v>527.35714759999996</v>
      </c>
      <c r="AF345" s="5">
        <f>[1]Hybrid!AE42</f>
        <v>545.49080719999995</v>
      </c>
      <c r="AG345" s="5">
        <f>[1]Hybrid!AF42</f>
        <v>562.07926120000002</v>
      </c>
      <c r="AH345" s="5">
        <f>[1]Hybrid!AG42</f>
        <v>577.03859030000001</v>
      </c>
      <c r="AI345" s="5">
        <f>[1]Hybrid!AH42</f>
        <v>590.28905870000006</v>
      </c>
      <c r="AJ345" s="5">
        <f>[1]Hybrid!AI42</f>
        <v>601.77121169999998</v>
      </c>
      <c r="AK345" s="5">
        <f>[1]Hybrid!AJ42</f>
        <v>611.44944450000003</v>
      </c>
      <c r="AL345" s="5">
        <f>[1]Hybrid!AK42</f>
        <v>619.31002290000004</v>
      </c>
    </row>
    <row r="346" spans="2:38" x14ac:dyDescent="0.35">
      <c r="B346" s="5" t="str">
        <f>[1]Hybrid!A44</f>
        <v>auto_cg_cele_2</v>
      </c>
      <c r="C346" s="5">
        <f>[1]Hybrid!B44</f>
        <v>3.1066862139999998</v>
      </c>
      <c r="D346" s="5">
        <f>[1]Hybrid!C44</f>
        <v>5.2641315410000002</v>
      </c>
      <c r="E346" s="5">
        <f>[1]Hybrid!D44</f>
        <v>8.816966377</v>
      </c>
      <c r="F346" s="5">
        <f>[1]Hybrid!E44</f>
        <v>14.22337664</v>
      </c>
      <c r="G346" s="5">
        <f>[1]Hybrid!F44</f>
        <v>21.751615600000001</v>
      </c>
      <c r="H346" s="5">
        <f>[1]Hybrid!G44</f>
        <v>31.04916528</v>
      </c>
      <c r="I346" s="5">
        <f>[1]Hybrid!H44</f>
        <v>41.844271980000002</v>
      </c>
      <c r="J346" s="5">
        <f>[1]Hybrid!I44</f>
        <v>54.643344560000003</v>
      </c>
      <c r="K346" s="5">
        <f>[1]Hybrid!J44</f>
        <v>71.908229289999994</v>
      </c>
      <c r="L346" s="5">
        <f>[1]Hybrid!K44</f>
        <v>94.71633353</v>
      </c>
      <c r="M346" s="5">
        <f>[1]Hybrid!L44</f>
        <v>123.2912534</v>
      </c>
      <c r="N346" s="5">
        <f>[1]Hybrid!M44</f>
        <v>157.10103749999999</v>
      </c>
      <c r="O346" s="5">
        <f>[1]Hybrid!N44</f>
        <v>194.4756103</v>
      </c>
      <c r="P346" s="5">
        <f>[1]Hybrid!O44</f>
        <v>233.97552150000001</v>
      </c>
      <c r="Q346" s="5">
        <f>[1]Hybrid!P44</f>
        <v>274.5629227</v>
      </c>
      <c r="R346" s="5">
        <f>[1]Hybrid!Q44</f>
        <v>315.57729819999997</v>
      </c>
      <c r="S346" s="5">
        <f>[1]Hybrid!R44</f>
        <v>356.81953490000001</v>
      </c>
      <c r="T346" s="5">
        <f>[1]Hybrid!S44</f>
        <v>398.0600546</v>
      </c>
      <c r="U346" s="5">
        <f>[1]Hybrid!T44</f>
        <v>439.23008700000003</v>
      </c>
      <c r="V346" s="5">
        <f>[1]Hybrid!U44</f>
        <v>480.33693510000001</v>
      </c>
      <c r="W346" s="5">
        <f>[1]Hybrid!V44</f>
        <v>521.4087902</v>
      </c>
      <c r="X346" s="5">
        <f>[1]Hybrid!W44</f>
        <v>562.45349669999996</v>
      </c>
      <c r="Y346" s="5">
        <f>[1]Hybrid!X44</f>
        <v>603.43830079999998</v>
      </c>
      <c r="Z346" s="5">
        <f>[1]Hybrid!Y44</f>
        <v>644.28530790000002</v>
      </c>
      <c r="AA346" s="5">
        <f>[1]Hybrid!Z44</f>
        <v>684.83172779999995</v>
      </c>
      <c r="AB346" s="5">
        <f>[1]Hybrid!AA44</f>
        <v>724.83401570000001</v>
      </c>
      <c r="AC346" s="5">
        <f>[1]Hybrid!AB44</f>
        <v>763.92769029999999</v>
      </c>
      <c r="AD346" s="5">
        <f>[1]Hybrid!AC44</f>
        <v>801.65533630000004</v>
      </c>
      <c r="AE346" s="5">
        <f>[1]Hybrid!AD44</f>
        <v>837.5533921</v>
      </c>
      <c r="AF346" s="5">
        <f>[1]Hybrid!AE44</f>
        <v>871.20490510000002</v>
      </c>
      <c r="AG346" s="5">
        <f>[1]Hybrid!AF44</f>
        <v>902.22702040000001</v>
      </c>
      <c r="AH346" s="5">
        <f>[1]Hybrid!AG44</f>
        <v>930.25812189999999</v>
      </c>
      <c r="AI346" s="5">
        <f>[1]Hybrid!AH44</f>
        <v>954.96924720000004</v>
      </c>
      <c r="AJ346" s="5">
        <f>[1]Hybrid!AI44</f>
        <v>976.1031011</v>
      </c>
      <c r="AK346" s="5">
        <f>[1]Hybrid!AJ44</f>
        <v>993.48792849999995</v>
      </c>
      <c r="AL346" s="5">
        <f>[1]Hybrid!AK44</f>
        <v>1007.035574</v>
      </c>
    </row>
    <row r="347" spans="2:38" x14ac:dyDescent="0.35">
      <c r="B347" s="5" t="str">
        <f>[1]Hybrid!A46</f>
        <v>auto_ca_cgas_2</v>
      </c>
      <c r="C347" s="5">
        <f>[1]Hybrid!B46</f>
        <v>0.42568169729999999</v>
      </c>
      <c r="D347" s="5">
        <f>[1]Hybrid!C46</f>
        <v>0.44862641349999999</v>
      </c>
      <c r="E347" s="5">
        <f>[1]Hybrid!D46</f>
        <v>0.4741544801</v>
      </c>
      <c r="F347" s="5">
        <f>[1]Hybrid!E46</f>
        <v>0.49974814449999999</v>
      </c>
      <c r="G347" s="5">
        <f>[1]Hybrid!F46</f>
        <v>0.52445425720000005</v>
      </c>
      <c r="H347" s="5">
        <f>[1]Hybrid!G46</f>
        <v>0.54746152150000005</v>
      </c>
      <c r="I347" s="5">
        <f>[1]Hybrid!H46</f>
        <v>0.56787855679999999</v>
      </c>
      <c r="J347" s="5">
        <f>[1]Hybrid!I46</f>
        <v>0.5821698394</v>
      </c>
      <c r="K347" s="5">
        <f>[1]Hybrid!J46</f>
        <v>0.58798630569999999</v>
      </c>
      <c r="L347" s="5">
        <f>[1]Hybrid!K46</f>
        <v>0.58367061730000003</v>
      </c>
      <c r="M347" s="5">
        <f>[1]Hybrid!L46</f>
        <v>0.56914737130000004</v>
      </c>
      <c r="N347" s="5">
        <f>[1]Hybrid!M46</f>
        <v>0.54718087429999995</v>
      </c>
      <c r="O347" s="5">
        <f>[1]Hybrid!N46</f>
        <v>0.52118817799999995</v>
      </c>
      <c r="P347" s="5">
        <f>[1]Hybrid!O46</f>
        <v>0.49350858869999997</v>
      </c>
      <c r="Q347" s="5">
        <f>[1]Hybrid!P46</f>
        <v>0.4655846039</v>
      </c>
      <c r="R347" s="5">
        <f>[1]Hybrid!Q46</f>
        <v>0.43824033670000001</v>
      </c>
      <c r="S347" s="5">
        <f>[1]Hybrid!R46</f>
        <v>0.41192218009999998</v>
      </c>
      <c r="T347" s="5">
        <f>[1]Hybrid!S46</f>
        <v>0.38684369239999999</v>
      </c>
      <c r="U347" s="5">
        <f>[1]Hybrid!T46</f>
        <v>0.36308888080000001</v>
      </c>
      <c r="V347" s="5">
        <f>[1]Hybrid!U46</f>
        <v>0.3406695294</v>
      </c>
      <c r="W347" s="5">
        <f>[1]Hybrid!V46</f>
        <v>0.3195583286</v>
      </c>
      <c r="X347" s="5">
        <f>[1]Hybrid!W46</f>
        <v>0.29970747320000002</v>
      </c>
      <c r="Y347" s="5">
        <f>[1]Hybrid!X46</f>
        <v>0.281059106</v>
      </c>
      <c r="Z347" s="5">
        <f>[1]Hybrid!Y46</f>
        <v>0.26355118900000002</v>
      </c>
      <c r="AA347" s="5">
        <f>[1]Hybrid!Z46</f>
        <v>0.2471207953</v>
      </c>
      <c r="AB347" s="5">
        <f>[1]Hybrid!AA46</f>
        <v>0.23170597779999999</v>
      </c>
      <c r="AC347" s="5">
        <f>[1]Hybrid!AB46</f>
        <v>0.21724679190000001</v>
      </c>
      <c r="AD347" s="5">
        <f>[1]Hybrid!AC46</f>
        <v>0.20368585289999999</v>
      </c>
      <c r="AE347" s="5">
        <f>[1]Hybrid!AD46</f>
        <v>0.19096860500000001</v>
      </c>
      <c r="AF347" s="5">
        <f>[1]Hybrid!AE46</f>
        <v>0.17904340369999999</v>
      </c>
      <c r="AG347" s="5">
        <f>[1]Hybrid!AF46</f>
        <v>0.1678614984</v>
      </c>
      <c r="AH347" s="5">
        <f>[1]Hybrid!AG46</f>
        <v>0.15737696009999999</v>
      </c>
      <c r="AI347" s="5">
        <f>[1]Hybrid!AH46</f>
        <v>0.14754657800000001</v>
      </c>
      <c r="AJ347" s="5">
        <f>[1]Hybrid!AI46</f>
        <v>0.13832973870000001</v>
      </c>
      <c r="AK347" s="5">
        <f>[1]Hybrid!AJ46</f>
        <v>0.12968829539999999</v>
      </c>
      <c r="AL347" s="5">
        <f>[1]Hybrid!AK46</f>
        <v>0.1215864342</v>
      </c>
    </row>
    <row r="348" spans="2:38" x14ac:dyDescent="0.35">
      <c r="B348" s="5" t="str">
        <f>[1]Hybrid!A48</f>
        <v>auto_cb_cgas_2</v>
      </c>
      <c r="C348" s="5">
        <f>[1]Hybrid!B48</f>
        <v>0.49500522540000003</v>
      </c>
      <c r="D348" s="5">
        <f>[1]Hybrid!C48</f>
        <v>0.51145848370000002</v>
      </c>
      <c r="E348" s="5">
        <f>[1]Hybrid!D48</f>
        <v>0.5304889626</v>
      </c>
      <c r="F348" s="5">
        <f>[1]Hybrid!E48</f>
        <v>0.54958364209999999</v>
      </c>
      <c r="G348" s="5">
        <f>[1]Hybrid!F48</f>
        <v>0.5677740657</v>
      </c>
      <c r="H348" s="5">
        <f>[1]Hybrid!G48</f>
        <v>0.58432322709999995</v>
      </c>
      <c r="I348" s="5">
        <f>[1]Hybrid!H48</f>
        <v>0.59840484640000002</v>
      </c>
      <c r="J348" s="5">
        <f>[1]Hybrid!I48</f>
        <v>0.60656746620000002</v>
      </c>
      <c r="K348" s="5">
        <f>[1]Hybrid!J48</f>
        <v>0.60639995629999999</v>
      </c>
      <c r="L348" s="5">
        <f>[1]Hybrid!K48</f>
        <v>0.59662315840000002</v>
      </c>
      <c r="M348" s="5">
        <f>[1]Hybrid!L48</f>
        <v>0.57767382030000003</v>
      </c>
      <c r="N348" s="5">
        <f>[1]Hybrid!M48</f>
        <v>0.55249107539999998</v>
      </c>
      <c r="O348" s="5">
        <f>[1]Hybrid!N48</f>
        <v>0.52430503139999995</v>
      </c>
      <c r="P348" s="5">
        <f>[1]Hybrid!O48</f>
        <v>0.4951887539</v>
      </c>
      <c r="Q348" s="5">
        <f>[1]Hybrid!P48</f>
        <v>0.46634692389999999</v>
      </c>
      <c r="R348" s="5">
        <f>[1]Hybrid!Q48</f>
        <v>0.43842653980000001</v>
      </c>
      <c r="S348" s="5">
        <f>[1]Hybrid!R48</f>
        <v>0.41175109850000002</v>
      </c>
      <c r="T348" s="5">
        <f>[1]Hybrid!S48</f>
        <v>0.3864550316</v>
      </c>
      <c r="U348" s="5">
        <f>[1]Hybrid!T48</f>
        <v>0.36257175330000002</v>
      </c>
      <c r="V348" s="5">
        <f>[1]Hybrid!U48</f>
        <v>0.3400809964</v>
      </c>
      <c r="W348" s="5">
        <f>[1]Hybrid!V48</f>
        <v>0.31893507170000002</v>
      </c>
      <c r="X348" s="5">
        <f>[1]Hybrid!W48</f>
        <v>0.29907310920000002</v>
      </c>
      <c r="Y348" s="5">
        <f>[1]Hybrid!X48</f>
        <v>0.28042878770000002</v>
      </c>
      <c r="Z348" s="5">
        <f>[1]Hybrid!Y48</f>
        <v>0.2629345293</v>
      </c>
      <c r="AA348" s="5">
        <f>[1]Hybrid!Z48</f>
        <v>0.24652375600000001</v>
      </c>
      <c r="AB348" s="5">
        <f>[1]Hybrid!AA48</f>
        <v>0.23113209840000001</v>
      </c>
      <c r="AC348" s="5">
        <f>[1]Hybrid!AB48</f>
        <v>0.21669800310000001</v>
      </c>
      <c r="AD348" s="5">
        <f>[1]Hybrid!AC48</f>
        <v>0.20316301319999999</v>
      </c>
      <c r="AE348" s="5">
        <f>[1]Hybrid!AD48</f>
        <v>0.1904718557</v>
      </c>
      <c r="AF348" s="5">
        <f>[1]Hybrid!AE48</f>
        <v>0.17857241039999999</v>
      </c>
      <c r="AG348" s="5">
        <f>[1]Hybrid!AF48</f>
        <v>0.16741561620000001</v>
      </c>
      <c r="AH348" s="5">
        <f>[1]Hybrid!AG48</f>
        <v>0.156955347</v>
      </c>
      <c r="AI348" s="5">
        <f>[1]Hybrid!AH48</f>
        <v>0.14714827259999999</v>
      </c>
      <c r="AJ348" s="5">
        <f>[1]Hybrid!AI48</f>
        <v>0.13795371270000001</v>
      </c>
      <c r="AK348" s="5">
        <f>[1]Hybrid!AJ48</f>
        <v>0.12933348950000001</v>
      </c>
      <c r="AL348" s="5">
        <f>[1]Hybrid!AK48</f>
        <v>0.1212517836</v>
      </c>
    </row>
    <row r="349" spans="2:38" x14ac:dyDescent="0.35">
      <c r="B349" s="5" t="str">
        <f>[1]Hybrid!A50</f>
        <v>auto_cc_cgas_2</v>
      </c>
      <c r="C349" s="5">
        <f>[1]Hybrid!B50</f>
        <v>0.40659851759999999</v>
      </c>
      <c r="D349" s="5">
        <f>[1]Hybrid!C50</f>
        <v>0.41384140190000002</v>
      </c>
      <c r="E349" s="5">
        <f>[1]Hybrid!D50</f>
        <v>0.42292284460000001</v>
      </c>
      <c r="F349" s="5">
        <f>[1]Hybrid!E50</f>
        <v>0.43202865759999998</v>
      </c>
      <c r="G349" s="5">
        <f>[1]Hybrid!F50</f>
        <v>0.44044999159999998</v>
      </c>
      <c r="H349" s="5">
        <f>[1]Hybrid!G50</f>
        <v>0.44771517979999997</v>
      </c>
      <c r="I349" s="5">
        <f>[1]Hybrid!H50</f>
        <v>0.4532819273</v>
      </c>
      <c r="J349" s="5">
        <f>[1]Hybrid!I50</f>
        <v>0.45473143459999998</v>
      </c>
      <c r="K349" s="5">
        <f>[1]Hybrid!J50</f>
        <v>0.45031288679999998</v>
      </c>
      <c r="L349" s="5">
        <f>[1]Hybrid!K50</f>
        <v>0.43941382039999999</v>
      </c>
      <c r="M349" s="5">
        <f>[1]Hybrid!L50</f>
        <v>0.42271849989999999</v>
      </c>
      <c r="N349" s="5">
        <f>[1]Hybrid!M50</f>
        <v>0.4024252056</v>
      </c>
      <c r="O349" s="5">
        <f>[1]Hybrid!N50</f>
        <v>0.38068225970000003</v>
      </c>
      <c r="P349" s="5">
        <f>[1]Hybrid!O50</f>
        <v>0.35877376640000003</v>
      </c>
      <c r="Q349" s="5">
        <f>[1]Hybrid!P50</f>
        <v>0.33739621710000001</v>
      </c>
      <c r="R349" s="5">
        <f>[1]Hybrid!Q50</f>
        <v>0.31689530510000002</v>
      </c>
      <c r="S349" s="5">
        <f>[1]Hybrid!R50</f>
        <v>0.29742435319999999</v>
      </c>
      <c r="T349" s="5">
        <f>[1]Hybrid!S50</f>
        <v>0.2790306609</v>
      </c>
      <c r="U349" s="5">
        <f>[1]Hybrid!T50</f>
        <v>0.26170763279999998</v>
      </c>
      <c r="V349" s="5">
        <f>[1]Hybrid!U50</f>
        <v>0.24542176660000001</v>
      </c>
      <c r="W349" s="5">
        <f>[1]Hybrid!V50</f>
        <v>0.23012696569999999</v>
      </c>
      <c r="X349" s="5">
        <f>[1]Hybrid!W50</f>
        <v>0.2157719944</v>
      </c>
      <c r="Y349" s="5">
        <f>[1]Hybrid!X50</f>
        <v>0.2023043595</v>
      </c>
      <c r="Z349" s="5">
        <f>[1]Hybrid!Y50</f>
        <v>0.18967231809999999</v>
      </c>
      <c r="AA349" s="5">
        <f>[1]Hybrid!Z50</f>
        <v>0.1778258929</v>
      </c>
      <c r="AB349" s="5">
        <f>[1]Hybrid!AA50</f>
        <v>0.16671736470000001</v>
      </c>
      <c r="AC349" s="5">
        <f>[1]Hybrid!AB50</f>
        <v>0.15630147580000001</v>
      </c>
      <c r="AD349" s="5">
        <f>[1]Hybrid!AC50</f>
        <v>0.14653548129999999</v>
      </c>
      <c r="AE349" s="5">
        <f>[1]Hybrid!AD50</f>
        <v>0.1373791151</v>
      </c>
      <c r="AF349" s="5">
        <f>[1]Hybrid!AE50</f>
        <v>0.12879450670000001</v>
      </c>
      <c r="AG349" s="5">
        <f>[1]Hybrid!AF50</f>
        <v>0.1207460749</v>
      </c>
      <c r="AH349" s="5">
        <f>[1]Hybrid!AG50</f>
        <v>0.11320041240000001</v>
      </c>
      <c r="AI349" s="5">
        <f>[1]Hybrid!AH50</f>
        <v>0.10612616699999999</v>
      </c>
      <c r="AJ349" s="5">
        <f>[1]Hybrid!AI50</f>
        <v>9.9493924900000003E-2</v>
      </c>
      <c r="AK349" s="5">
        <f>[1]Hybrid!AJ50</f>
        <v>9.3276096099999997E-2</v>
      </c>
      <c r="AL349" s="5">
        <f>[1]Hybrid!AK50</f>
        <v>8.7446805099999997E-2</v>
      </c>
    </row>
    <row r="350" spans="2:38" x14ac:dyDescent="0.35">
      <c r="B350" s="5" t="str">
        <f>[1]Hybrid!A52</f>
        <v>auto_cd_cgas_2</v>
      </c>
      <c r="C350" s="5">
        <f>[1]Hybrid!B52</f>
        <v>0.2495444651</v>
      </c>
      <c r="D350" s="5">
        <f>[1]Hybrid!C52</f>
        <v>0.25216206289999998</v>
      </c>
      <c r="E350" s="5">
        <f>[1]Hybrid!D52</f>
        <v>0.25602607620000001</v>
      </c>
      <c r="F350" s="5">
        <f>[1]Hybrid!E52</f>
        <v>0.26023134279999999</v>
      </c>
      <c r="G350" s="5">
        <f>[1]Hybrid!F52</f>
        <v>0.26446034010000002</v>
      </c>
      <c r="H350" s="5">
        <f>[1]Hybrid!G52</f>
        <v>0.26841050999999999</v>
      </c>
      <c r="I350" s="5">
        <f>[1]Hybrid!H52</f>
        <v>0.2717553633</v>
      </c>
      <c r="J350" s="5">
        <f>[1]Hybrid!I52</f>
        <v>0.2733352107</v>
      </c>
      <c r="K350" s="5">
        <f>[1]Hybrid!J52</f>
        <v>0.27277008060000002</v>
      </c>
      <c r="L350" s="5">
        <f>[1]Hybrid!K52</f>
        <v>0.2696756656</v>
      </c>
      <c r="M350" s="5">
        <f>[1]Hybrid!L52</f>
        <v>0.26379937019999999</v>
      </c>
      <c r="N350" s="5">
        <f>[1]Hybrid!M52</f>
        <v>0.2555545615</v>
      </c>
      <c r="O350" s="5">
        <f>[1]Hybrid!N52</f>
        <v>0.2456506185</v>
      </c>
      <c r="P350" s="5">
        <f>[1]Hybrid!O52</f>
        <v>0.23471173740000001</v>
      </c>
      <c r="Q350" s="5">
        <f>[1]Hybrid!P52</f>
        <v>0.22323903989999999</v>
      </c>
      <c r="R350" s="5">
        <f>[1]Hybrid!Q52</f>
        <v>0.2116035949</v>
      </c>
      <c r="S350" s="5">
        <f>[1]Hybrid!R52</f>
        <v>0.20007229630000001</v>
      </c>
      <c r="T350" s="5">
        <f>[1]Hybrid!S52</f>
        <v>0.18881689339999999</v>
      </c>
      <c r="U350" s="5">
        <f>[1]Hybrid!T52</f>
        <v>0.1779465881</v>
      </c>
      <c r="V350" s="5">
        <f>[1]Hybrid!U52</f>
        <v>0.16752603939999999</v>
      </c>
      <c r="W350" s="5">
        <f>[1]Hybrid!V52</f>
        <v>0.15758956390000001</v>
      </c>
      <c r="X350" s="5">
        <f>[1]Hybrid!W52</f>
        <v>0.14815114460000001</v>
      </c>
      <c r="Y350" s="5">
        <f>[1]Hybrid!X52</f>
        <v>0.13921134439999999</v>
      </c>
      <c r="Z350" s="5">
        <f>[1]Hybrid!Y52</f>
        <v>0.13076196239999999</v>
      </c>
      <c r="AA350" s="5">
        <f>[1]Hybrid!Z52</f>
        <v>0.1227890839</v>
      </c>
      <c r="AB350" s="5">
        <f>[1]Hybrid!AA52</f>
        <v>0.1152752397</v>
      </c>
      <c r="AC350" s="5">
        <f>[1]Hybrid!AB52</f>
        <v>0.1082008148</v>
      </c>
      <c r="AD350" s="5">
        <f>[1]Hybrid!AC52</f>
        <v>0.1015451096</v>
      </c>
      <c r="AE350" s="5">
        <f>[1]Hybrid!AD52</f>
        <v>9.5287085499999993E-2</v>
      </c>
      <c r="AF350" s="5">
        <f>[1]Hybrid!AE52</f>
        <v>8.9405801199999996E-2</v>
      </c>
      <c r="AG350" s="5">
        <f>[1]Hybrid!AF52</f>
        <v>8.3880690199999997E-2</v>
      </c>
      <c r="AH350" s="5">
        <f>[1]Hybrid!AG52</f>
        <v>7.8691764999999997E-2</v>
      </c>
      <c r="AI350" s="5">
        <f>[1]Hybrid!AH52</f>
        <v>7.3819765100000004E-2</v>
      </c>
      <c r="AJ350" s="5">
        <f>[1]Hybrid!AI52</f>
        <v>6.9246254699999996E-2</v>
      </c>
      <c r="AK350" s="5">
        <f>[1]Hybrid!AJ52</f>
        <v>6.4953662300000006E-2</v>
      </c>
      <c r="AL350" s="5">
        <f>[1]Hybrid!AK52</f>
        <v>6.0925291499999999E-2</v>
      </c>
    </row>
    <row r="351" spans="2:38" x14ac:dyDescent="0.35">
      <c r="B351" s="5" t="str">
        <f>[1]Hybrid!A54</f>
        <v>auto_ce_cgas_2</v>
      </c>
      <c r="C351" s="5">
        <f>[1]Hybrid!B54</f>
        <v>0.15020246549999999</v>
      </c>
      <c r="D351" s="5">
        <f>[1]Hybrid!C54</f>
        <v>0.15196613950000001</v>
      </c>
      <c r="E351" s="5">
        <f>[1]Hybrid!D54</f>
        <v>0.1544077633</v>
      </c>
      <c r="F351" s="5">
        <f>[1]Hybrid!E54</f>
        <v>0.1569611484</v>
      </c>
      <c r="G351" s="5">
        <f>[1]Hybrid!F54</f>
        <v>0.1594315114</v>
      </c>
      <c r="H351" s="5">
        <f>[1]Hybrid!G54</f>
        <v>0.16164718650000001</v>
      </c>
      <c r="I351" s="5">
        <f>[1]Hybrid!H54</f>
        <v>0.1634224682</v>
      </c>
      <c r="J351" s="5">
        <f>[1]Hybrid!I54</f>
        <v>0.16406783959999999</v>
      </c>
      <c r="K351" s="5">
        <f>[1]Hybrid!J54</f>
        <v>0.16337545349999999</v>
      </c>
      <c r="L351" s="5">
        <f>[1]Hybrid!K54</f>
        <v>0.1611788763</v>
      </c>
      <c r="M351" s="5">
        <f>[1]Hybrid!L54</f>
        <v>0.15739384670000001</v>
      </c>
      <c r="N351" s="5">
        <f>[1]Hybrid!M54</f>
        <v>0.15229186419999999</v>
      </c>
      <c r="O351" s="5">
        <f>[1]Hybrid!N54</f>
        <v>0.14628020459999999</v>
      </c>
      <c r="P351" s="5">
        <f>[1]Hybrid!O54</f>
        <v>0.13970872979999999</v>
      </c>
      <c r="Q351" s="5">
        <f>[1]Hybrid!P54</f>
        <v>0.13285581739999999</v>
      </c>
      <c r="R351" s="5">
        <f>[1]Hybrid!Q54</f>
        <v>0.12592728880000001</v>
      </c>
      <c r="S351" s="5">
        <f>[1]Hybrid!R54</f>
        <v>0.1190717949</v>
      </c>
      <c r="T351" s="5">
        <f>[1]Hybrid!S54</f>
        <v>0.112385148</v>
      </c>
      <c r="U351" s="5">
        <f>[1]Hybrid!T54</f>
        <v>0.1059286691</v>
      </c>
      <c r="V351" s="5">
        <f>[1]Hybrid!U54</f>
        <v>9.9738909400000006E-2</v>
      </c>
      <c r="W351" s="5">
        <f>[1]Hybrid!V54</f>
        <v>9.3835401799999996E-2</v>
      </c>
      <c r="X351" s="5">
        <f>[1]Hybrid!W54</f>
        <v>8.8226173399999996E-2</v>
      </c>
      <c r="Y351" s="5">
        <f>[1]Hybrid!X54</f>
        <v>8.2911588499999994E-2</v>
      </c>
      <c r="Z351" s="5">
        <f>[1]Hybrid!Y54</f>
        <v>7.7886961300000002E-2</v>
      </c>
      <c r="AA351" s="5">
        <f>[1]Hybrid!Z54</f>
        <v>7.31442707E-2</v>
      </c>
      <c r="AB351" s="5">
        <f>[1]Hybrid!AA54</f>
        <v>6.8673394900000004E-2</v>
      </c>
      <c r="AC351" s="5">
        <f>[1]Hybrid!AB54</f>
        <v>6.4462916699999998E-2</v>
      </c>
      <c r="AD351" s="5">
        <f>[1]Hybrid!AC54</f>
        <v>6.0500745699999997E-2</v>
      </c>
      <c r="AE351" s="5">
        <f>[1]Hybrid!AD54</f>
        <v>5.6774561899999999E-2</v>
      </c>
      <c r="AF351" s="5">
        <f>[1]Hybrid!AE54</f>
        <v>5.3272076799999998E-2</v>
      </c>
      <c r="AG351" s="5">
        <f>[1]Hybrid!AF54</f>
        <v>4.9981196200000001E-2</v>
      </c>
      <c r="AH351" s="5">
        <f>[1]Hybrid!AG54</f>
        <v>4.6890143400000001E-2</v>
      </c>
      <c r="AI351" s="5">
        <f>[1]Hybrid!AH54</f>
        <v>4.3987549899999999E-2</v>
      </c>
      <c r="AJ351" s="5">
        <f>[1]Hybrid!AI54</f>
        <v>4.1262518499999998E-2</v>
      </c>
      <c r="AK351" s="5">
        <f>[1]Hybrid!AJ54</f>
        <v>3.8704650700000003E-2</v>
      </c>
      <c r="AL351" s="5">
        <f>[1]Hybrid!AK54</f>
        <v>3.63040554E-2</v>
      </c>
    </row>
    <row r="352" spans="2:38" x14ac:dyDescent="0.35">
      <c r="B352" s="5" t="str">
        <f>[1]Hybrid!A56</f>
        <v>auto_cf_cgas_2</v>
      </c>
      <c r="C352" s="5">
        <f>[1]Hybrid!B56</f>
        <v>7.4609436000000001E-2</v>
      </c>
      <c r="D352" s="5">
        <f>[1]Hybrid!C56</f>
        <v>7.5284084900000006E-2</v>
      </c>
      <c r="E352" s="5">
        <f>[1]Hybrid!D56</f>
        <v>7.6209084600000004E-2</v>
      </c>
      <c r="F352" s="5">
        <f>[1]Hybrid!E56</f>
        <v>7.7112383000000007E-2</v>
      </c>
      <c r="G352" s="5">
        <f>[1]Hybrid!F56</f>
        <v>7.7909011700000003E-2</v>
      </c>
      <c r="H352" s="5">
        <f>[1]Hybrid!G56</f>
        <v>7.8524937399999994E-2</v>
      </c>
      <c r="I352" s="5">
        <f>[1]Hybrid!H56</f>
        <v>7.8886141600000001E-2</v>
      </c>
      <c r="J352" s="5">
        <f>[1]Hybrid!I56</f>
        <v>7.87231189E-2</v>
      </c>
      <c r="K352" s="5">
        <f>[1]Hybrid!J56</f>
        <v>7.8038625099999995E-2</v>
      </c>
      <c r="L352" s="5">
        <f>[1]Hybrid!K56</f>
        <v>7.6833284399999993E-2</v>
      </c>
      <c r="M352" s="5">
        <f>[1]Hybrid!L56</f>
        <v>7.5103767799999999E-2</v>
      </c>
      <c r="N352" s="5">
        <f>[1]Hybrid!M56</f>
        <v>7.2937053399999993E-2</v>
      </c>
      <c r="O352" s="5">
        <f>[1]Hybrid!N56</f>
        <v>7.0436943900000007E-2</v>
      </c>
      <c r="P352" s="5">
        <f>[1]Hybrid!O56</f>
        <v>6.7700322800000004E-2</v>
      </c>
      <c r="Q352" s="5">
        <f>[1]Hybrid!P56</f>
        <v>6.4814302300000001E-2</v>
      </c>
      <c r="R352" s="5">
        <f>[1]Hybrid!Q56</f>
        <v>6.1851554500000003E-2</v>
      </c>
      <c r="S352" s="5">
        <f>[1]Hybrid!R56</f>
        <v>5.887278E-2</v>
      </c>
      <c r="T352" s="5">
        <f>[1]Hybrid!S56</f>
        <v>5.59203089E-2</v>
      </c>
      <c r="U352" s="5">
        <f>[1]Hybrid!T56</f>
        <v>5.3025373000000001E-2</v>
      </c>
      <c r="V352" s="5">
        <f>[1]Hybrid!U56</f>
        <v>5.0209924900000001E-2</v>
      </c>
      <c r="W352" s="5">
        <f>[1]Hybrid!V56</f>
        <v>4.74887622E-2</v>
      </c>
      <c r="X352" s="5">
        <f>[1]Hybrid!W56</f>
        <v>4.48713169E-2</v>
      </c>
      <c r="Y352" s="5">
        <f>[1]Hybrid!X56</f>
        <v>4.2363110099999997E-2</v>
      </c>
      <c r="Z352" s="5">
        <f>[1]Hybrid!Y56</f>
        <v>3.99668512E-2</v>
      </c>
      <c r="AA352" s="5">
        <f>[1]Hybrid!Z56</f>
        <v>3.7683110700000001E-2</v>
      </c>
      <c r="AB352" s="5">
        <f>[1]Hybrid!AA56</f>
        <v>3.5510940599999999E-2</v>
      </c>
      <c r="AC352" s="5">
        <f>[1]Hybrid!AB56</f>
        <v>3.3448216400000001E-2</v>
      </c>
      <c r="AD352" s="5">
        <f>[1]Hybrid!AC56</f>
        <v>3.1492034299999999E-2</v>
      </c>
      <c r="AE352" s="5">
        <f>[1]Hybrid!AD56</f>
        <v>2.96390627E-2</v>
      </c>
      <c r="AF352" s="5">
        <f>[1]Hybrid!AE56</f>
        <v>2.78857029E-2</v>
      </c>
      <c r="AG352" s="5">
        <f>[1]Hybrid!AF56</f>
        <v>2.62281389E-2</v>
      </c>
      <c r="AH352" s="5">
        <f>[1]Hybrid!AG56</f>
        <v>2.4662397199999998E-2</v>
      </c>
      <c r="AI352" s="5">
        <f>[1]Hybrid!AH56</f>
        <v>2.3184427800000001E-2</v>
      </c>
      <c r="AJ352" s="5">
        <f>[1]Hybrid!AI56</f>
        <v>2.17901886E-2</v>
      </c>
      <c r="AK352" s="5">
        <f>[1]Hybrid!AJ56</f>
        <v>2.0475687199999999E-2</v>
      </c>
      <c r="AL352" s="5">
        <f>[1]Hybrid!AK56</f>
        <v>1.92370036E-2</v>
      </c>
    </row>
    <row r="353" spans="1:38" x14ac:dyDescent="0.35">
      <c r="B353" s="5" t="str">
        <f>[1]Hybrid!A58</f>
        <v>auto_cg_cgas_2</v>
      </c>
      <c r="C353" s="5">
        <f>[1]Hybrid!B58</f>
        <v>0.13435819299999999</v>
      </c>
      <c r="D353" s="5">
        <f>[1]Hybrid!C58</f>
        <v>0.13584232709999999</v>
      </c>
      <c r="E353" s="5">
        <f>[1]Hybrid!D58</f>
        <v>0.13758028750000001</v>
      </c>
      <c r="F353" s="5">
        <f>[1]Hybrid!E58</f>
        <v>0.13905288930000001</v>
      </c>
      <c r="G353" s="5">
        <f>[1]Hybrid!F58</f>
        <v>0.14011449610000001</v>
      </c>
      <c r="H353" s="5">
        <f>[1]Hybrid!G58</f>
        <v>0.14066556529999999</v>
      </c>
      <c r="I353" s="5">
        <f>[1]Hybrid!H58</f>
        <v>0.1406114718</v>
      </c>
      <c r="J353" s="5">
        <f>[1]Hybrid!I58</f>
        <v>0.13952197969999999</v>
      </c>
      <c r="K353" s="5">
        <f>[1]Hybrid!J58</f>
        <v>0.13743153869999999</v>
      </c>
      <c r="L353" s="5">
        <f>[1]Hybrid!K58</f>
        <v>0.13441125200000001</v>
      </c>
      <c r="M353" s="5">
        <f>[1]Hybrid!L58</f>
        <v>0.13053336809999999</v>
      </c>
      <c r="N353" s="5">
        <f>[1]Hybrid!M58</f>
        <v>0.12599817369999999</v>
      </c>
      <c r="O353" s="5">
        <f>[1]Hybrid!N58</f>
        <v>0.1210100648</v>
      </c>
      <c r="P353" s="5">
        <f>[1]Hybrid!O58</f>
        <v>0.1157428935</v>
      </c>
      <c r="Q353" s="5">
        <f>[1]Hybrid!P58</f>
        <v>0.11034004629999999</v>
      </c>
      <c r="R353" s="5">
        <f>[1]Hybrid!Q58</f>
        <v>0.1049128824</v>
      </c>
      <c r="S353" s="5">
        <f>[1]Hybrid!R58</f>
        <v>9.9548514800000001E-2</v>
      </c>
      <c r="T353" s="5">
        <f>[1]Hybrid!S58</f>
        <v>9.4304175399999995E-2</v>
      </c>
      <c r="U353" s="5">
        <f>[1]Hybrid!T58</f>
        <v>8.9219329099999994E-2</v>
      </c>
      <c r="V353" s="5">
        <f>[1]Hybrid!U58</f>
        <v>8.4319460299999996E-2</v>
      </c>
      <c r="W353" s="5">
        <f>[1]Hybrid!V58</f>
        <v>7.9619719699999994E-2</v>
      </c>
      <c r="X353" s="5">
        <f>[1]Hybrid!W58</f>
        <v>7.5127791499999999E-2</v>
      </c>
      <c r="Y353" s="5">
        <f>[1]Hybrid!X58</f>
        <v>7.0846118700000002E-2</v>
      </c>
      <c r="Z353" s="5">
        <f>[1]Hybrid!Y58</f>
        <v>6.6773568399999997E-2</v>
      </c>
      <c r="AA353" s="5">
        <f>[1]Hybrid!Z58</f>
        <v>6.2906396399999995E-2</v>
      </c>
      <c r="AB353" s="5">
        <f>[1]Hybrid!AA58</f>
        <v>5.9239148899999997E-2</v>
      </c>
      <c r="AC353" s="5">
        <f>[1]Hybrid!AB58</f>
        <v>5.5765100599999999E-2</v>
      </c>
      <c r="AD353" s="5">
        <f>[1]Hybrid!AC58</f>
        <v>5.2476811900000003E-2</v>
      </c>
      <c r="AE353" s="5">
        <f>[1]Hybrid!AD58</f>
        <v>4.93666683E-2</v>
      </c>
      <c r="AF353" s="5">
        <f>[1]Hybrid!AE58</f>
        <v>4.6427114700000001E-2</v>
      </c>
      <c r="AG353" s="5">
        <f>[1]Hybrid!AF58</f>
        <v>4.3650647399999999E-2</v>
      </c>
      <c r="AH353" s="5">
        <f>[1]Hybrid!AG58</f>
        <v>4.1029815999999997E-2</v>
      </c>
      <c r="AI353" s="5">
        <f>[1]Hybrid!AH58</f>
        <v>3.85572764E-2</v>
      </c>
      <c r="AJ353" s="5">
        <f>[1]Hybrid!AI58</f>
        <v>3.6225872499999999E-2</v>
      </c>
      <c r="AK353" s="5">
        <f>[1]Hybrid!AJ58</f>
        <v>3.40286614E-2</v>
      </c>
      <c r="AL353" s="5">
        <f>[1]Hybrid!AK58</f>
        <v>3.1958912700000001E-2</v>
      </c>
    </row>
    <row r="355" spans="1:38" x14ac:dyDescent="0.35">
      <c r="A355" s="12" t="s">
        <v>64</v>
      </c>
      <c r="B355" t="s">
        <v>83</v>
      </c>
      <c r="C355" s="2">
        <v>42005</v>
      </c>
      <c r="D355" s="2">
        <v>42370</v>
      </c>
      <c r="E355" s="2">
        <v>42736</v>
      </c>
      <c r="F355" s="2">
        <v>43101</v>
      </c>
      <c r="G355" s="2">
        <v>43466</v>
      </c>
      <c r="H355" s="2">
        <v>43831</v>
      </c>
      <c r="I355" s="2">
        <v>44197</v>
      </c>
      <c r="J355" s="2">
        <v>44562</v>
      </c>
      <c r="K355" s="2">
        <v>44927</v>
      </c>
      <c r="L355" s="2">
        <v>45292</v>
      </c>
      <c r="M355" s="2">
        <v>45658</v>
      </c>
      <c r="N355" s="2">
        <v>46023</v>
      </c>
      <c r="O355" s="2">
        <v>46388</v>
      </c>
      <c r="P355" s="2">
        <v>46753</v>
      </c>
      <c r="Q355" s="2">
        <v>47119</v>
      </c>
      <c r="R355" s="2">
        <v>47484</v>
      </c>
      <c r="S355" s="2">
        <v>47849</v>
      </c>
      <c r="T355" s="2">
        <v>48214</v>
      </c>
      <c r="U355" s="2">
        <v>48580</v>
      </c>
      <c r="V355" s="2">
        <v>48945</v>
      </c>
      <c r="W355" s="2">
        <v>49310</v>
      </c>
      <c r="X355" s="2">
        <v>49675</v>
      </c>
      <c r="Y355" s="2">
        <v>50041</v>
      </c>
      <c r="Z355" s="2">
        <v>50406</v>
      </c>
      <c r="AA355" s="2">
        <v>50771</v>
      </c>
      <c r="AB355" s="2">
        <v>51136</v>
      </c>
      <c r="AC355" s="2">
        <v>51502</v>
      </c>
      <c r="AD355" s="2">
        <v>51867</v>
      </c>
      <c r="AE355" s="2">
        <v>52232</v>
      </c>
      <c r="AF355" s="2">
        <v>52597</v>
      </c>
      <c r="AG355" s="2">
        <v>52963</v>
      </c>
      <c r="AH355" s="2">
        <v>53328</v>
      </c>
      <c r="AI355" s="2">
        <v>53693</v>
      </c>
      <c r="AJ355" s="2">
        <v>54058</v>
      </c>
      <c r="AK355" s="2">
        <v>54424</v>
      </c>
      <c r="AL355" s="2">
        <v>54789</v>
      </c>
    </row>
    <row r="356" spans="1:38" x14ac:dyDescent="0.35">
      <c r="A356" t="s">
        <v>27</v>
      </c>
      <c r="B356" t="s">
        <v>70</v>
      </c>
      <c r="C356" s="6">
        <f t="shared" ref="C356:AL356" si="82">C333+C347+C340</f>
        <v>7105.9689965623002</v>
      </c>
      <c r="D356" s="6">
        <f t="shared" si="82"/>
        <v>7158.3462152235006</v>
      </c>
      <c r="E356" s="6">
        <f t="shared" si="82"/>
        <v>7269.0502833800992</v>
      </c>
      <c r="F356" s="6">
        <f t="shared" si="82"/>
        <v>7413.5761789444996</v>
      </c>
      <c r="G356" s="6">
        <f t="shared" si="82"/>
        <v>7585.6595938572</v>
      </c>
      <c r="H356" s="6">
        <f t="shared" si="82"/>
        <v>7774.0757893214995</v>
      </c>
      <c r="I356" s="6">
        <f t="shared" si="82"/>
        <v>7967.5773609568005</v>
      </c>
      <c r="J356" s="6">
        <f t="shared" si="82"/>
        <v>8136.9651687393998</v>
      </c>
      <c r="K356" s="6">
        <f t="shared" si="82"/>
        <v>8308.4344857057004</v>
      </c>
      <c r="L356" s="6">
        <f t="shared" si="82"/>
        <v>8495.7743706173005</v>
      </c>
      <c r="M356" s="6">
        <f t="shared" si="82"/>
        <v>8706.9363393712993</v>
      </c>
      <c r="N356" s="6">
        <f t="shared" si="82"/>
        <v>8953.1738758742995</v>
      </c>
      <c r="O356" s="6">
        <f t="shared" si="82"/>
        <v>9226.8655491779991</v>
      </c>
      <c r="P356" s="6">
        <f t="shared" si="82"/>
        <v>9517.4584235886996</v>
      </c>
      <c r="Q356" s="6">
        <f t="shared" si="82"/>
        <v>9815.5935006038999</v>
      </c>
      <c r="R356" s="6">
        <f t="shared" si="82"/>
        <v>10114.2301993367</v>
      </c>
      <c r="S356" s="6">
        <f t="shared" si="82"/>
        <v>10411.1355061801</v>
      </c>
      <c r="T356" s="6">
        <f t="shared" si="82"/>
        <v>10702.0458276924</v>
      </c>
      <c r="U356" s="6">
        <f t="shared" si="82"/>
        <v>10984.892797880801</v>
      </c>
      <c r="V356" s="6">
        <f t="shared" si="82"/>
        <v>11258.892313529399</v>
      </c>
      <c r="W356" s="6">
        <f t="shared" si="82"/>
        <v>11524.047451328599</v>
      </c>
      <c r="X356" s="6">
        <f t="shared" si="82"/>
        <v>11780.823965473201</v>
      </c>
      <c r="Y356" s="6">
        <f t="shared" si="82"/>
        <v>12030.099227106</v>
      </c>
      <c r="Z356" s="6">
        <f t="shared" si="82"/>
        <v>12273.091692188998</v>
      </c>
      <c r="AA356" s="6">
        <f t="shared" si="82"/>
        <v>12511.0606147953</v>
      </c>
      <c r="AB356" s="6">
        <f t="shared" si="82"/>
        <v>12745.313256977801</v>
      </c>
      <c r="AC356" s="6">
        <f t="shared" si="82"/>
        <v>12977.033702791899</v>
      </c>
      <c r="AD356" s="6">
        <f t="shared" si="82"/>
        <v>13207.617383852899</v>
      </c>
      <c r="AE356" s="6">
        <f t="shared" si="82"/>
        <v>13438.921095604999</v>
      </c>
      <c r="AF356" s="6">
        <f t="shared" si="82"/>
        <v>13672.835433403699</v>
      </c>
      <c r="AG356" s="6">
        <f t="shared" si="82"/>
        <v>13910.8086174984</v>
      </c>
      <c r="AH356" s="6">
        <f t="shared" si="82"/>
        <v>14153.6945209601</v>
      </c>
      <c r="AI356" s="6">
        <f t="shared" si="82"/>
        <v>14401.905758577999</v>
      </c>
      <c r="AJ356" s="6">
        <f t="shared" si="82"/>
        <v>14655.6700847387</v>
      </c>
      <c r="AK356" s="6">
        <f t="shared" si="82"/>
        <v>14915.017541295399</v>
      </c>
      <c r="AL356" s="6">
        <f t="shared" si="82"/>
        <v>15179.735517634201</v>
      </c>
    </row>
    <row r="357" spans="1:38" x14ac:dyDescent="0.35">
      <c r="B357" t="s">
        <v>71</v>
      </c>
      <c r="C357" s="6">
        <f t="shared" ref="C357:AL357" si="83">C334+C348+C341</f>
        <v>8263.1971436354015</v>
      </c>
      <c r="D357" s="6">
        <f t="shared" si="83"/>
        <v>8200.6204125537006</v>
      </c>
      <c r="E357" s="6">
        <f t="shared" si="83"/>
        <v>8201.6478682226007</v>
      </c>
      <c r="F357" s="6">
        <f t="shared" si="83"/>
        <v>8241.9870020421004</v>
      </c>
      <c r="G357" s="6">
        <f t="shared" si="83"/>
        <v>8315.1432601656998</v>
      </c>
      <c r="H357" s="6">
        <f t="shared" si="83"/>
        <v>8410.2543860270998</v>
      </c>
      <c r="I357" s="6">
        <f t="shared" si="83"/>
        <v>8516.3498544464001</v>
      </c>
      <c r="J357" s="6">
        <f t="shared" si="83"/>
        <v>8604.8319940662004</v>
      </c>
      <c r="K357" s="6">
        <f t="shared" si="83"/>
        <v>8699.6588630563001</v>
      </c>
      <c r="L357" s="6">
        <f t="shared" si="83"/>
        <v>8814.1398731583995</v>
      </c>
      <c r="M357" s="6">
        <f t="shared" si="83"/>
        <v>8956.1271488203001</v>
      </c>
      <c r="N357" s="6">
        <f t="shared" si="83"/>
        <v>9136.6693950753997</v>
      </c>
      <c r="O357" s="6">
        <f t="shared" si="83"/>
        <v>9349.1054670314006</v>
      </c>
      <c r="P357" s="6">
        <f t="shared" si="83"/>
        <v>9583.6215147539006</v>
      </c>
      <c r="Q357" s="6">
        <f t="shared" si="83"/>
        <v>9831.2402779239001</v>
      </c>
      <c r="R357" s="6">
        <f t="shared" si="83"/>
        <v>10084.971221539799</v>
      </c>
      <c r="S357" s="6">
        <f t="shared" si="83"/>
        <v>10342.2922430985</v>
      </c>
      <c r="T357" s="6">
        <f t="shared" si="83"/>
        <v>10598.670204031601</v>
      </c>
      <c r="U357" s="6">
        <f t="shared" si="83"/>
        <v>10851.6180057533</v>
      </c>
      <c r="V357" s="6">
        <f t="shared" si="83"/>
        <v>11099.8691429964</v>
      </c>
      <c r="W357" s="6">
        <f t="shared" si="83"/>
        <v>11342.9284750717</v>
      </c>
      <c r="X357" s="6">
        <f t="shared" si="83"/>
        <v>11580.7738531092</v>
      </c>
      <c r="Y357" s="6">
        <f t="shared" si="83"/>
        <v>11813.812920787701</v>
      </c>
      <c r="Z357" s="6">
        <f t="shared" si="83"/>
        <v>12042.8203175293</v>
      </c>
      <c r="AA357" s="6">
        <f t="shared" si="83"/>
        <v>12268.641637756</v>
      </c>
      <c r="AB357" s="6">
        <f t="shared" si="83"/>
        <v>12492.1981330984</v>
      </c>
      <c r="AC357" s="6">
        <f t="shared" si="83"/>
        <v>12714.306727003101</v>
      </c>
      <c r="AD357" s="6">
        <f t="shared" si="83"/>
        <v>12935.9986940132</v>
      </c>
      <c r="AE357" s="6">
        <f t="shared" si="83"/>
        <v>13158.772864855699</v>
      </c>
      <c r="AF357" s="6">
        <f t="shared" si="83"/>
        <v>13384.1923794104</v>
      </c>
      <c r="AG357" s="6">
        <f t="shared" si="83"/>
        <v>13613.418129616201</v>
      </c>
      <c r="AH357" s="6">
        <f t="shared" si="83"/>
        <v>13847.052470347</v>
      </c>
      <c r="AI357" s="6">
        <f t="shared" si="83"/>
        <v>14085.281711272601</v>
      </c>
      <c r="AJ357" s="6">
        <f t="shared" si="83"/>
        <v>14328.1274607127</v>
      </c>
      <c r="AK357" s="6">
        <f t="shared" si="83"/>
        <v>14575.436678489501</v>
      </c>
      <c r="AL357" s="6">
        <f t="shared" si="83"/>
        <v>14826.838044983599</v>
      </c>
    </row>
    <row r="358" spans="1:38" x14ac:dyDescent="0.35">
      <c r="B358" t="s">
        <v>72</v>
      </c>
      <c r="C358" s="6">
        <f t="shared" ref="C358:AL358" si="84">C335+C349+C342</f>
        <v>6787.4105911386005</v>
      </c>
      <c r="D358" s="6">
        <f t="shared" si="84"/>
        <v>6660.4795198619004</v>
      </c>
      <c r="E358" s="6">
        <f t="shared" si="84"/>
        <v>6583.2277877945999</v>
      </c>
      <c r="F358" s="6">
        <f t="shared" si="84"/>
        <v>6538.2986725576002</v>
      </c>
      <c r="G358" s="6">
        <f t="shared" si="84"/>
        <v>6520.8717272916001</v>
      </c>
      <c r="H358" s="6">
        <f t="shared" si="84"/>
        <v>6523.3877281797995</v>
      </c>
      <c r="I358" s="6">
        <f t="shared" si="84"/>
        <v>6538.1578221273003</v>
      </c>
      <c r="J358" s="6">
        <f t="shared" si="84"/>
        <v>6545.0349565346005</v>
      </c>
      <c r="K358" s="6">
        <f t="shared" si="84"/>
        <v>6559.8371136868</v>
      </c>
      <c r="L358" s="6">
        <f t="shared" si="84"/>
        <v>6591.8492110203997</v>
      </c>
      <c r="M358" s="6">
        <f t="shared" si="84"/>
        <v>6646.6210744998998</v>
      </c>
      <c r="N358" s="6">
        <f t="shared" si="84"/>
        <v>6731.8946822055996</v>
      </c>
      <c r="O358" s="6">
        <f t="shared" si="84"/>
        <v>6843.4343352596998</v>
      </c>
      <c r="P358" s="6">
        <f t="shared" si="84"/>
        <v>6974.6341667664001</v>
      </c>
      <c r="Q358" s="6">
        <f t="shared" si="84"/>
        <v>7119.2870632170998</v>
      </c>
      <c r="R358" s="6">
        <f t="shared" si="84"/>
        <v>7272.4109573051001</v>
      </c>
      <c r="S358" s="6">
        <f t="shared" si="84"/>
        <v>7432.0239903532001</v>
      </c>
      <c r="T358" s="6">
        <f t="shared" si="84"/>
        <v>7594.6924076609002</v>
      </c>
      <c r="U358" s="6">
        <f t="shared" si="84"/>
        <v>7758.3465946328006</v>
      </c>
      <c r="V358" s="6">
        <f t="shared" si="84"/>
        <v>7921.742963766601</v>
      </c>
      <c r="W358" s="6">
        <f t="shared" si="84"/>
        <v>8084.1740039656997</v>
      </c>
      <c r="X358" s="6">
        <f t="shared" si="84"/>
        <v>8245.2731359943991</v>
      </c>
      <c r="Y358" s="6">
        <f t="shared" si="84"/>
        <v>8404.9919783594996</v>
      </c>
      <c r="Z358" s="6">
        <f t="shared" si="84"/>
        <v>8563.5630703180996</v>
      </c>
      <c r="AA358" s="6">
        <f t="shared" si="84"/>
        <v>8721.2897778929</v>
      </c>
      <c r="AB358" s="6">
        <f t="shared" si="84"/>
        <v>8878.5495283646997</v>
      </c>
      <c r="AC358" s="6">
        <f t="shared" si="84"/>
        <v>9035.657606475801</v>
      </c>
      <c r="AD358" s="6">
        <f t="shared" si="84"/>
        <v>9193.0888594813005</v>
      </c>
      <c r="AE358" s="6">
        <f t="shared" si="84"/>
        <v>9351.6655691150991</v>
      </c>
      <c r="AF358" s="6">
        <f t="shared" si="84"/>
        <v>9512.281464506701</v>
      </c>
      <c r="AG358" s="6">
        <f t="shared" si="84"/>
        <v>9675.5683270748996</v>
      </c>
      <c r="AH358" s="6">
        <f t="shared" si="84"/>
        <v>9841.7784414123998</v>
      </c>
      <c r="AI358" s="6">
        <f t="shared" si="84"/>
        <v>10010.880652066999</v>
      </c>
      <c r="AJ358" s="6">
        <f t="shared" si="84"/>
        <v>10182.739901524899</v>
      </c>
      <c r="AK358" s="6">
        <f t="shared" si="84"/>
        <v>10357.1118230961</v>
      </c>
      <c r="AL358" s="6">
        <f t="shared" si="84"/>
        <v>10533.6116327051</v>
      </c>
    </row>
    <row r="359" spans="1:38" x14ac:dyDescent="0.35">
      <c r="B359" t="s">
        <v>73</v>
      </c>
      <c r="C359" s="6">
        <f t="shared" ref="C359:AL359" si="85">C336+C350+C343</f>
        <v>4165.6835237371006</v>
      </c>
      <c r="D359" s="6">
        <f t="shared" si="85"/>
        <v>4062.9702954898999</v>
      </c>
      <c r="E359" s="6">
        <f t="shared" si="85"/>
        <v>3988.6221643562003</v>
      </c>
      <c r="F359" s="6">
        <f t="shared" si="85"/>
        <v>3932.3839145528004</v>
      </c>
      <c r="G359" s="6">
        <f t="shared" si="85"/>
        <v>3890.9945074000998</v>
      </c>
      <c r="H359" s="6">
        <f t="shared" si="85"/>
        <v>3859.8995323300005</v>
      </c>
      <c r="I359" s="6">
        <f t="shared" si="85"/>
        <v>3834.5346271633002</v>
      </c>
      <c r="J359" s="6">
        <f t="shared" si="85"/>
        <v>3803.3957200107002</v>
      </c>
      <c r="K359" s="6">
        <f t="shared" si="85"/>
        <v>3773.3563300805999</v>
      </c>
      <c r="L359" s="6">
        <f t="shared" si="85"/>
        <v>3747.8538584656003</v>
      </c>
      <c r="M359" s="6">
        <f t="shared" si="85"/>
        <v>3728.3722252702</v>
      </c>
      <c r="N359" s="6">
        <f t="shared" si="85"/>
        <v>3718.2504078615002</v>
      </c>
      <c r="O359" s="6">
        <f t="shared" si="85"/>
        <v>3716.2617779184998</v>
      </c>
      <c r="P359" s="6">
        <f t="shared" si="85"/>
        <v>3720.5129032373998</v>
      </c>
      <c r="Q359" s="6">
        <f t="shared" si="85"/>
        <v>3729.4281830399</v>
      </c>
      <c r="R359" s="6">
        <f t="shared" si="85"/>
        <v>3741.8849145949007</v>
      </c>
      <c r="S359" s="6">
        <f t="shared" si="85"/>
        <v>3757.9009132963001</v>
      </c>
      <c r="T359" s="6">
        <f t="shared" si="85"/>
        <v>3776.6191948934002</v>
      </c>
      <c r="U359" s="6">
        <f t="shared" si="85"/>
        <v>3797.5419245880998</v>
      </c>
      <c r="V359" s="6">
        <f t="shared" si="85"/>
        <v>3820.3301450394001</v>
      </c>
      <c r="W359" s="6">
        <f t="shared" si="85"/>
        <v>3844.7210005638999</v>
      </c>
      <c r="X359" s="6">
        <f t="shared" si="85"/>
        <v>3870.4813671446</v>
      </c>
      <c r="Y359" s="6">
        <f t="shared" si="85"/>
        <v>3897.4265133444001</v>
      </c>
      <c r="Z359" s="6">
        <f t="shared" si="85"/>
        <v>3925.4318559623998</v>
      </c>
      <c r="AA359" s="6">
        <f t="shared" si="85"/>
        <v>3954.3584060839003</v>
      </c>
      <c r="AB359" s="6">
        <f t="shared" si="85"/>
        <v>3984.0684192396998</v>
      </c>
      <c r="AC359" s="6">
        <f t="shared" si="85"/>
        <v>4014.3661978148002</v>
      </c>
      <c r="AD359" s="6">
        <f t="shared" si="85"/>
        <v>4045.0892427095996</v>
      </c>
      <c r="AE359" s="6">
        <f t="shared" si="85"/>
        <v>4076.2062037855003</v>
      </c>
      <c r="AF359" s="6">
        <f t="shared" si="85"/>
        <v>4107.7356330011999</v>
      </c>
      <c r="AG359" s="6">
        <f t="shared" si="85"/>
        <v>4139.6202591902002</v>
      </c>
      <c r="AH359" s="6">
        <f t="shared" si="85"/>
        <v>4171.6787105650001</v>
      </c>
      <c r="AI359" s="6">
        <f t="shared" si="85"/>
        <v>4203.6403479650999</v>
      </c>
      <c r="AJ359" s="6">
        <f t="shared" si="85"/>
        <v>4235.2204625547001</v>
      </c>
      <c r="AK359" s="6">
        <f t="shared" si="85"/>
        <v>4266.1253771622996</v>
      </c>
      <c r="AL359" s="6">
        <f t="shared" si="85"/>
        <v>4296.0434207915005</v>
      </c>
    </row>
    <row r="360" spans="1:38" x14ac:dyDescent="0.35">
      <c r="B360" t="s">
        <v>74</v>
      </c>
      <c r="C360" s="6">
        <f t="shared" ref="C360:AL360" si="86">C337+C351+C344</f>
        <v>2507.3524895615005</v>
      </c>
      <c r="D360" s="6">
        <f t="shared" si="86"/>
        <v>2447.9402454985002</v>
      </c>
      <c r="E360" s="6">
        <f t="shared" si="86"/>
        <v>2404.8653230632999</v>
      </c>
      <c r="F360" s="6">
        <f t="shared" si="86"/>
        <v>2371.7516691383998</v>
      </c>
      <c r="G360" s="6">
        <f t="shared" si="86"/>
        <v>2346.6099180213996</v>
      </c>
      <c r="H360" s="6">
        <f t="shared" si="86"/>
        <v>2326.7870808365001</v>
      </c>
      <c r="I360" s="6">
        <f t="shared" si="86"/>
        <v>2309.6270871682004</v>
      </c>
      <c r="J360" s="6">
        <f t="shared" si="86"/>
        <v>2288.2215518696003</v>
      </c>
      <c r="K360" s="6">
        <f t="shared" si="86"/>
        <v>2266.5559174535001</v>
      </c>
      <c r="L360" s="6">
        <f t="shared" si="86"/>
        <v>2246.8137201762997</v>
      </c>
      <c r="M360" s="6">
        <f t="shared" si="86"/>
        <v>2230.0530452467001</v>
      </c>
      <c r="N360" s="6">
        <f t="shared" si="86"/>
        <v>2218.4791073642</v>
      </c>
      <c r="O360" s="6">
        <f t="shared" si="86"/>
        <v>2211.7474841046001</v>
      </c>
      <c r="P360" s="6">
        <f t="shared" si="86"/>
        <v>2209.0791879298004</v>
      </c>
      <c r="Q360" s="6">
        <f t="shared" si="86"/>
        <v>2209.8038865173999</v>
      </c>
      <c r="R360" s="6">
        <f t="shared" si="86"/>
        <v>2213.4309942888003</v>
      </c>
      <c r="S360" s="6">
        <f t="shared" si="86"/>
        <v>2220.0652086948999</v>
      </c>
      <c r="T360" s="6">
        <f t="shared" si="86"/>
        <v>2229.2421425479997</v>
      </c>
      <c r="U360" s="6">
        <f t="shared" si="86"/>
        <v>2240.6532246690999</v>
      </c>
      <c r="V360" s="6">
        <f t="shared" si="86"/>
        <v>2254.0434139094004</v>
      </c>
      <c r="W360" s="6">
        <f t="shared" si="86"/>
        <v>2269.1734884018001</v>
      </c>
      <c r="X360" s="6">
        <f t="shared" si="86"/>
        <v>2285.8005568734002</v>
      </c>
      <c r="Y360" s="6">
        <f t="shared" si="86"/>
        <v>2303.6949656884999</v>
      </c>
      <c r="Z360" s="6">
        <f t="shared" si="86"/>
        <v>2322.6544452613002</v>
      </c>
      <c r="AA360" s="6">
        <f t="shared" si="86"/>
        <v>2342.4608639706998</v>
      </c>
      <c r="AB360" s="6">
        <f t="shared" si="86"/>
        <v>2362.8936859948999</v>
      </c>
      <c r="AC360" s="6">
        <f t="shared" si="86"/>
        <v>2383.6910025166999</v>
      </c>
      <c r="AD360" s="6">
        <f t="shared" si="86"/>
        <v>2404.6052765456998</v>
      </c>
      <c r="AE360" s="6">
        <f t="shared" si="86"/>
        <v>2425.4729478619001</v>
      </c>
      <c r="AF360" s="6">
        <f t="shared" si="86"/>
        <v>2446.1778917768002</v>
      </c>
      <c r="AG360" s="6">
        <f t="shared" si="86"/>
        <v>2466.5767726961999</v>
      </c>
      <c r="AH360" s="6">
        <f t="shared" si="86"/>
        <v>2486.4669376433999</v>
      </c>
      <c r="AI360" s="6">
        <f t="shared" si="86"/>
        <v>2505.6049541499001</v>
      </c>
      <c r="AJ360" s="6">
        <f t="shared" si="86"/>
        <v>2523.7536942185002</v>
      </c>
      <c r="AK360" s="6">
        <f t="shared" si="86"/>
        <v>2540.6872200507</v>
      </c>
      <c r="AL360" s="6">
        <f t="shared" si="86"/>
        <v>2556.1855462553999</v>
      </c>
    </row>
    <row r="361" spans="1:38" x14ac:dyDescent="0.35">
      <c r="B361" t="s">
        <v>75</v>
      </c>
      <c r="C361" s="6">
        <f t="shared" ref="C361:AL361" si="87">C338+C352+C345</f>
        <v>1245.466605953</v>
      </c>
      <c r="D361" s="6">
        <f t="shared" si="87"/>
        <v>1213.2851161359001</v>
      </c>
      <c r="E361" s="6">
        <f t="shared" si="87"/>
        <v>1187.8512866725998</v>
      </c>
      <c r="F361" s="6">
        <f t="shared" si="87"/>
        <v>1165.8946186200001</v>
      </c>
      <c r="G361" s="6">
        <f t="shared" si="87"/>
        <v>1146.3705672017002</v>
      </c>
      <c r="H361" s="6">
        <f t="shared" si="87"/>
        <v>1128.0855057574001</v>
      </c>
      <c r="I361" s="6">
        <f t="shared" si="87"/>
        <v>1109.9082193115999</v>
      </c>
      <c r="J361" s="6">
        <f t="shared" si="87"/>
        <v>1088.8541687388999</v>
      </c>
      <c r="K361" s="6">
        <f t="shared" si="87"/>
        <v>1066.4733078250999</v>
      </c>
      <c r="L361" s="6">
        <f t="shared" si="87"/>
        <v>1043.6345994244</v>
      </c>
      <c r="M361" s="6">
        <f t="shared" si="87"/>
        <v>1020.7079153778</v>
      </c>
      <c r="N361" s="6">
        <f t="shared" si="87"/>
        <v>998.55509325339995</v>
      </c>
      <c r="O361" s="6">
        <f t="shared" si="87"/>
        <v>977.27480584390003</v>
      </c>
      <c r="P361" s="6">
        <f t="shared" si="87"/>
        <v>956.89495052279995</v>
      </c>
      <c r="Q361" s="6">
        <f t="shared" si="87"/>
        <v>937.51142490229995</v>
      </c>
      <c r="R361" s="6">
        <f t="shared" si="87"/>
        <v>919.26578405449993</v>
      </c>
      <c r="S361" s="6">
        <f t="shared" si="87"/>
        <v>902.45724048</v>
      </c>
      <c r="T361" s="6">
        <f t="shared" si="87"/>
        <v>887.15388010890001</v>
      </c>
      <c r="U361" s="6">
        <f t="shared" si="87"/>
        <v>873.41958927299993</v>
      </c>
      <c r="V361" s="6">
        <f t="shared" si="87"/>
        <v>861.28278012489989</v>
      </c>
      <c r="W361" s="6">
        <f t="shared" si="87"/>
        <v>850.72823976220002</v>
      </c>
      <c r="X361" s="6">
        <f t="shared" si="87"/>
        <v>841.69516151690004</v>
      </c>
      <c r="Y361" s="6">
        <f t="shared" si="87"/>
        <v>834.08603321009991</v>
      </c>
      <c r="Z361" s="6">
        <f t="shared" si="87"/>
        <v>827.77837195120003</v>
      </c>
      <c r="AA361" s="6">
        <f t="shared" si="87"/>
        <v>822.61346681069995</v>
      </c>
      <c r="AB361" s="6">
        <f t="shared" si="87"/>
        <v>818.40714474059996</v>
      </c>
      <c r="AC361" s="6">
        <f t="shared" si="87"/>
        <v>814.93593271639998</v>
      </c>
      <c r="AD361" s="6">
        <f t="shared" si="87"/>
        <v>811.9579596343001</v>
      </c>
      <c r="AE361" s="6">
        <f t="shared" si="87"/>
        <v>809.25214296269996</v>
      </c>
      <c r="AF361" s="6">
        <f t="shared" si="87"/>
        <v>806.62839170289999</v>
      </c>
      <c r="AG361" s="6">
        <f t="shared" si="87"/>
        <v>803.91062043889997</v>
      </c>
      <c r="AH361" s="6">
        <f t="shared" si="87"/>
        <v>800.92595129719996</v>
      </c>
      <c r="AI361" s="6">
        <f t="shared" si="87"/>
        <v>797.50874492780008</v>
      </c>
      <c r="AJ361" s="6">
        <f t="shared" si="87"/>
        <v>793.51741008859995</v>
      </c>
      <c r="AK361" s="6">
        <f t="shared" si="87"/>
        <v>788.83817878720004</v>
      </c>
      <c r="AL361" s="6">
        <f t="shared" si="87"/>
        <v>783.38312960360008</v>
      </c>
    </row>
    <row r="362" spans="1:38" x14ac:dyDescent="0.35">
      <c r="B362" t="s">
        <v>76</v>
      </c>
      <c r="C362" s="6">
        <f t="shared" ref="C362:AL362" si="88">C339+C353+C346</f>
        <v>2242.8616504070001</v>
      </c>
      <c r="D362" s="6">
        <f t="shared" si="88"/>
        <v>2188.3527978681</v>
      </c>
      <c r="E362" s="6">
        <f t="shared" si="88"/>
        <v>2143.7750026644999</v>
      </c>
      <c r="F362" s="6">
        <f t="shared" si="88"/>
        <v>2102.9305655292997</v>
      </c>
      <c r="G362" s="6">
        <f t="shared" si="88"/>
        <v>2064.0103330961001</v>
      </c>
      <c r="H362" s="6">
        <f t="shared" si="88"/>
        <v>2025.1863998452998</v>
      </c>
      <c r="I362" s="6">
        <f t="shared" si="88"/>
        <v>1984.8109174517999</v>
      </c>
      <c r="J362" s="6">
        <f t="shared" si="88"/>
        <v>1938.0557045397002</v>
      </c>
      <c r="K362" s="6">
        <f t="shared" si="88"/>
        <v>1887.6747648287001</v>
      </c>
      <c r="L362" s="6">
        <f t="shared" si="88"/>
        <v>1835.4768937819999</v>
      </c>
      <c r="M362" s="6">
        <f t="shared" si="88"/>
        <v>1782.4266887680999</v>
      </c>
      <c r="N362" s="6">
        <f t="shared" si="88"/>
        <v>1730.2534846737001</v>
      </c>
      <c r="O362" s="6">
        <f t="shared" si="88"/>
        <v>1679.5704543647998</v>
      </c>
      <c r="P362" s="6">
        <f t="shared" si="88"/>
        <v>1630.8321853935001</v>
      </c>
      <c r="Q362" s="6">
        <f t="shared" si="88"/>
        <v>1584.5141537463001</v>
      </c>
      <c r="R362" s="6">
        <f t="shared" si="88"/>
        <v>1541.0768250823999</v>
      </c>
      <c r="S362" s="6">
        <f t="shared" si="88"/>
        <v>1501.1490514148002</v>
      </c>
      <c r="T362" s="6">
        <f t="shared" si="88"/>
        <v>1464.9738937754003</v>
      </c>
      <c r="U362" s="6">
        <f t="shared" si="88"/>
        <v>1432.7495174291</v>
      </c>
      <c r="V362" s="6">
        <f t="shared" si="88"/>
        <v>1404.5923256603</v>
      </c>
      <c r="W362" s="6">
        <f t="shared" si="88"/>
        <v>1380.5270664197001</v>
      </c>
      <c r="X362" s="6">
        <f t="shared" si="88"/>
        <v>1360.4807963915</v>
      </c>
      <c r="Y362" s="6">
        <f t="shared" si="88"/>
        <v>1344.2895869187</v>
      </c>
      <c r="Z362" s="6">
        <f t="shared" si="88"/>
        <v>1331.7138287684002</v>
      </c>
      <c r="AA362" s="6">
        <f t="shared" si="88"/>
        <v>1322.4096705963998</v>
      </c>
      <c r="AB362" s="6">
        <f t="shared" si="88"/>
        <v>1315.9434607489002</v>
      </c>
      <c r="AC362" s="6">
        <f t="shared" si="88"/>
        <v>1311.7562099006</v>
      </c>
      <c r="AD362" s="6">
        <f t="shared" si="88"/>
        <v>1309.1976274119002</v>
      </c>
      <c r="AE362" s="6">
        <f t="shared" si="88"/>
        <v>1307.6186658683</v>
      </c>
      <c r="AF362" s="6">
        <f t="shared" si="88"/>
        <v>1306.4263650147</v>
      </c>
      <c r="AG362" s="6">
        <f t="shared" si="88"/>
        <v>1305.0705488474</v>
      </c>
      <c r="AH362" s="6">
        <f t="shared" si="88"/>
        <v>1303.0303555159999</v>
      </c>
      <c r="AI362" s="6">
        <f t="shared" si="88"/>
        <v>1299.8256871764002</v>
      </c>
      <c r="AJ362" s="6">
        <f t="shared" si="88"/>
        <v>1295.0566529724999</v>
      </c>
      <c r="AK362" s="6">
        <f t="shared" si="88"/>
        <v>1288.4172087613999</v>
      </c>
      <c r="AL362" s="6">
        <f t="shared" si="88"/>
        <v>1279.6927279127001</v>
      </c>
    </row>
    <row r="364" spans="1:38" x14ac:dyDescent="0.35">
      <c r="A364" s="12" t="s">
        <v>64</v>
      </c>
      <c r="B364" s="6" t="str">
        <f>[1]Hybrid!A19</f>
        <v>auto_ca_cfut_0</v>
      </c>
      <c r="C364" s="6">
        <f>[1]Hybrid!B19</f>
        <v>7095.7005250000002</v>
      </c>
      <c r="D364" s="6">
        <f>[1]Hybrid!C19</f>
        <v>7133.3075660000004</v>
      </c>
      <c r="E364" s="6">
        <f>[1]Hybrid!D19</f>
        <v>7215.8078619999997</v>
      </c>
      <c r="F364" s="6">
        <f>[1]Hybrid!E19</f>
        <v>7311.6603359999999</v>
      </c>
      <c r="G364" s="6">
        <f>[1]Hybrid!F19</f>
        <v>7408.5291779999998</v>
      </c>
      <c r="H364" s="6">
        <f>[1]Hybrid!G19</f>
        <v>7496.0179699999999</v>
      </c>
      <c r="I364" s="6">
        <f>[1]Hybrid!H19</f>
        <v>7549.4625260000003</v>
      </c>
      <c r="J364" s="6">
        <f>[1]Hybrid!I19</f>
        <v>7556.065329</v>
      </c>
      <c r="K364" s="6">
        <f>[1]Hybrid!J19</f>
        <v>7502.5440269999999</v>
      </c>
      <c r="L364" s="6">
        <f>[1]Hybrid!K19</f>
        <v>7377.7217300000002</v>
      </c>
      <c r="M364" s="6">
        <f>[1]Hybrid!L19</f>
        <v>7176.6026380000003</v>
      </c>
      <c r="N364" s="6">
        <f>[1]Hybrid!M19</f>
        <v>6903.3537969999998</v>
      </c>
      <c r="O364" s="6">
        <f>[1]Hybrid!N19</f>
        <v>6570.9068749999997</v>
      </c>
      <c r="P364" s="6">
        <f>[1]Hybrid!O19</f>
        <v>6197.6580750000003</v>
      </c>
      <c r="Q364" s="6">
        <f>[1]Hybrid!P19</f>
        <v>5803.1689130000004</v>
      </c>
      <c r="R364" s="6">
        <f>[1]Hybrid!Q19</f>
        <v>5404.4652459999998</v>
      </c>
      <c r="S364" s="6">
        <f>[1]Hybrid!R19</f>
        <v>5015.9710640000003</v>
      </c>
      <c r="T364" s="6">
        <f>[1]Hybrid!S19</f>
        <v>4646.0731610000003</v>
      </c>
      <c r="U364" s="6">
        <f>[1]Hybrid!T19</f>
        <v>4298.1512670000002</v>
      </c>
      <c r="V364" s="6">
        <f>[1]Hybrid!U19</f>
        <v>3973.1107390000002</v>
      </c>
      <c r="W364" s="6">
        <f>[1]Hybrid!V19</f>
        <v>3670.6571720000002</v>
      </c>
      <c r="X364" s="6">
        <f>[1]Hybrid!W19</f>
        <v>3389.921006</v>
      </c>
      <c r="Y364" s="6">
        <f>[1]Hybrid!X19</f>
        <v>3129.768317</v>
      </c>
      <c r="Z364" s="6">
        <f>[1]Hybrid!Y19</f>
        <v>2888.9597100000001</v>
      </c>
      <c r="AA364" s="6">
        <f>[1]Hybrid!Z19</f>
        <v>2666.2338450000002</v>
      </c>
      <c r="AB364" s="6">
        <f>[1]Hybrid!AA19</f>
        <v>2460.3529239999998</v>
      </c>
      <c r="AC364" s="6">
        <f>[1]Hybrid!AB19</f>
        <v>2270.1267039999998</v>
      </c>
      <c r="AD364" s="6">
        <f>[1]Hybrid!AC19</f>
        <v>2094.4247639999999</v>
      </c>
      <c r="AE364" s="6">
        <f>[1]Hybrid!AD19</f>
        <v>1932.181818</v>
      </c>
      <c r="AF364" s="6">
        <f>[1]Hybrid!AE19</f>
        <v>1782.3992679999999</v>
      </c>
      <c r="AG364" s="6">
        <f>[1]Hybrid!AF19</f>
        <v>1644.1444160000001</v>
      </c>
      <c r="AH364" s="6">
        <f>[1]Hybrid!AG19</f>
        <v>1516.548481</v>
      </c>
      <c r="AI364" s="6">
        <f>[1]Hybrid!AH19</f>
        <v>1398.8038529999999</v>
      </c>
      <c r="AJ364" s="6">
        <f>[1]Hybrid!AI19</f>
        <v>1290.1609189999999</v>
      </c>
      <c r="AK364" s="6">
        <f>[1]Hybrid!AJ19</f>
        <v>1189.9246889999999</v>
      </c>
      <c r="AL364" s="6">
        <f>[1]Hybrid!AK19</f>
        <v>1097.4513910000001</v>
      </c>
    </row>
    <row r="365" spans="1:38" x14ac:dyDescent="0.35">
      <c r="A365" t="s">
        <v>26</v>
      </c>
      <c r="B365" s="6" t="str">
        <f>[1]Hybrid!A21</f>
        <v>auto_cb_cfut_0</v>
      </c>
      <c r="C365" s="6">
        <f>[1]Hybrid!B21</f>
        <v>8251.256421</v>
      </c>
      <c r="D365" s="6">
        <f>[1]Hybrid!C21</f>
        <v>8173.2410410000002</v>
      </c>
      <c r="E365" s="6">
        <f>[1]Hybrid!D21</f>
        <v>8144.2144850000004</v>
      </c>
      <c r="F365" s="6">
        <f>[1]Hybrid!E21</f>
        <v>8132.368727</v>
      </c>
      <c r="G365" s="6">
        <f>[1]Hybrid!F21</f>
        <v>8124.8867659999996</v>
      </c>
      <c r="H365" s="6">
        <f>[1]Hybrid!G21</f>
        <v>8111.9835519999997</v>
      </c>
      <c r="I365" s="6">
        <f>[1]Hybrid!H21</f>
        <v>8069.8524809999999</v>
      </c>
      <c r="J365" s="6">
        <f>[1]Hybrid!I21</f>
        <v>7984.9400409999998</v>
      </c>
      <c r="K365" s="6">
        <f>[1]Hybrid!J21</f>
        <v>7844.2523659999997</v>
      </c>
      <c r="L365" s="6">
        <f>[1]Hybrid!K21</f>
        <v>7638.2016880000001</v>
      </c>
      <c r="M365" s="6">
        <f>[1]Hybrid!L21</f>
        <v>7364.3744340000003</v>
      </c>
      <c r="N365" s="6">
        <f>[1]Hybrid!M21</f>
        <v>7029.5719939999999</v>
      </c>
      <c r="O365" s="6">
        <f>[1]Hybrid!N21</f>
        <v>6648.3640210000003</v>
      </c>
      <c r="P365" s="6">
        <f>[1]Hybrid!O21</f>
        <v>6239.1817860000001</v>
      </c>
      <c r="Q365" s="6">
        <f>[1]Hybrid!P21</f>
        <v>5820.1052250000002</v>
      </c>
      <c r="R365" s="6">
        <f>[1]Hybrid!Q21</f>
        <v>5405.8114670000004</v>
      </c>
      <c r="S365" s="6">
        <f>[1]Hybrid!R21</f>
        <v>5007.7560549999998</v>
      </c>
      <c r="T365" s="6">
        <f>[1]Hybrid!S21</f>
        <v>4632.0297430000001</v>
      </c>
      <c r="U365" s="6">
        <f>[1]Hybrid!T21</f>
        <v>4280.6305089999996</v>
      </c>
      <c r="V365" s="6">
        <f>[1]Hybrid!U21</f>
        <v>3953.6312480000001</v>
      </c>
      <c r="W365" s="6">
        <f>[1]Hybrid!V21</f>
        <v>3650.2222689999999</v>
      </c>
      <c r="X365" s="6">
        <f>[1]Hybrid!W21</f>
        <v>3369.2040729999999</v>
      </c>
      <c r="Y365" s="6">
        <f>[1]Hybrid!X21</f>
        <v>3109.2245549999998</v>
      </c>
      <c r="Z365" s="6">
        <f>[1]Hybrid!Y21</f>
        <v>2868.8961340000001</v>
      </c>
      <c r="AA365" s="6">
        <f>[1]Hybrid!Z21</f>
        <v>2646.8547619999999</v>
      </c>
      <c r="AB365" s="6">
        <f>[1]Hybrid!AA21</f>
        <v>2441.7901360000001</v>
      </c>
      <c r="AC365" s="6">
        <f>[1]Hybrid!AB21</f>
        <v>2252.4601710000002</v>
      </c>
      <c r="AD365" s="6">
        <f>[1]Hybrid!AC21</f>
        <v>2077.6970379999998</v>
      </c>
      <c r="AE365" s="6">
        <f>[1]Hybrid!AD21</f>
        <v>1916.4084130000001</v>
      </c>
      <c r="AF365" s="6">
        <f>[1]Hybrid!AE21</f>
        <v>1767.5761990000001</v>
      </c>
      <c r="AG365" s="6">
        <f>[1]Hybrid!AF21</f>
        <v>1630.253784</v>
      </c>
      <c r="AH365" s="6">
        <f>[1]Hybrid!AG21</f>
        <v>1503.562602</v>
      </c>
      <c r="AI365" s="6">
        <f>[1]Hybrid!AH21</f>
        <v>1386.6883250000001</v>
      </c>
      <c r="AJ365" s="6">
        <f>[1]Hybrid!AI21</f>
        <v>1278.876921</v>
      </c>
      <c r="AK365" s="6">
        <f>[1]Hybrid!AJ21</f>
        <v>1179.4307160000001</v>
      </c>
      <c r="AL365" s="6">
        <f>[1]Hybrid!AK21</f>
        <v>1087.7045660000001</v>
      </c>
    </row>
    <row r="366" spans="1:38" x14ac:dyDescent="0.35">
      <c r="B366" s="6" t="str">
        <f>[1]Hybrid!A23</f>
        <v>auto_cc_cfut_0</v>
      </c>
      <c r="C366" s="6">
        <f>[1]Hybrid!B23</f>
        <v>6777.6024520000001</v>
      </c>
      <c r="D366" s="6">
        <f>[1]Hybrid!C23</f>
        <v>6638.8651630000004</v>
      </c>
      <c r="E366" s="6">
        <f>[1]Hybrid!D23</f>
        <v>6538.1976340000001</v>
      </c>
      <c r="F366" s="6">
        <f>[1]Hybrid!E23</f>
        <v>6452.4103789999999</v>
      </c>
      <c r="G366" s="6">
        <f>[1]Hybrid!F23</f>
        <v>6371.9259529999999</v>
      </c>
      <c r="H366" s="6">
        <f>[1]Hybrid!G23</f>
        <v>6290.2081209999997</v>
      </c>
      <c r="I366" s="6">
        <f>[1]Hybrid!H23</f>
        <v>6190.786865</v>
      </c>
      <c r="J366" s="6">
        <f>[1]Hybrid!I23</f>
        <v>6063.4555540000001</v>
      </c>
      <c r="K366" s="6">
        <f>[1]Hybrid!J23</f>
        <v>5899.2630479999998</v>
      </c>
      <c r="L366" s="6">
        <f>[1]Hybrid!K23</f>
        <v>5692.7061460000004</v>
      </c>
      <c r="M366" s="6">
        <f>[1]Hybrid!L23</f>
        <v>5444.0901990000002</v>
      </c>
      <c r="N366" s="6">
        <f>[1]Hybrid!M23</f>
        <v>5160.1853090000004</v>
      </c>
      <c r="O366" s="6">
        <f>[1]Hybrid!N23</f>
        <v>4852.4043689999999</v>
      </c>
      <c r="P366" s="6">
        <f>[1]Hybrid!O23</f>
        <v>4533.6698390000001</v>
      </c>
      <c r="Q366" s="6">
        <f>[1]Hybrid!P23</f>
        <v>4215.6120510000001</v>
      </c>
      <c r="R366" s="6">
        <f>[1]Hybrid!Q23</f>
        <v>3906.9412659999998</v>
      </c>
      <c r="S366" s="6">
        <f>[1]Hybrid!R23</f>
        <v>3613.8149969999999</v>
      </c>
      <c r="T366" s="6">
        <f>[1]Hybrid!S23</f>
        <v>3339.090432</v>
      </c>
      <c r="U366" s="6">
        <f>[1]Hybrid!T23</f>
        <v>3083.3241830000002</v>
      </c>
      <c r="V366" s="6">
        <f>[1]Hybrid!U23</f>
        <v>2846.053821</v>
      </c>
      <c r="W366" s="6">
        <f>[1]Hybrid!V23</f>
        <v>2626.3851079999999</v>
      </c>
      <c r="X366" s="6">
        <f>[1]Hybrid!W23</f>
        <v>2423.2585429999999</v>
      </c>
      <c r="Y366" s="6">
        <f>[1]Hybrid!X23</f>
        <v>2235.572643</v>
      </c>
      <c r="Z366" s="6">
        <f>[1]Hybrid!Y23</f>
        <v>2062.2420430000002</v>
      </c>
      <c r="AA366" s="6">
        <f>[1]Hybrid!Z23</f>
        <v>1902.2249400000001</v>
      </c>
      <c r="AB366" s="6">
        <f>[1]Hybrid!AA23</f>
        <v>1754.5356810000001</v>
      </c>
      <c r="AC366" s="6">
        <f>[1]Hybrid!AB23</f>
        <v>1618.249548</v>
      </c>
      <c r="AD366" s="6">
        <f>[1]Hybrid!AC23</f>
        <v>1492.5034889999999</v>
      </c>
      <c r="AE366" s="6">
        <f>[1]Hybrid!AD23</f>
        <v>1376.4946629999999</v>
      </c>
      <c r="AF366" s="6">
        <f>[1]Hybrid!AE23</f>
        <v>1269.4779129999999</v>
      </c>
      <c r="AG366" s="6">
        <f>[1]Hybrid!AF23</f>
        <v>1170.762686</v>
      </c>
      <c r="AH366" s="6">
        <f>[1]Hybrid!AG23</f>
        <v>1079.709748</v>
      </c>
      <c r="AI366" s="6">
        <f>[1]Hybrid!AH23</f>
        <v>995.72785580000004</v>
      </c>
      <c r="AJ366" s="6">
        <f>[1]Hybrid!AI23</f>
        <v>918.27049550000004</v>
      </c>
      <c r="AK366" s="6">
        <f>[1]Hybrid!AJ23</f>
        <v>846.83273350000002</v>
      </c>
      <c r="AL366" s="6">
        <f>[1]Hybrid!AK23</f>
        <v>780.94822369999997</v>
      </c>
    </row>
    <row r="367" spans="1:38" x14ac:dyDescent="0.35">
      <c r="B367" s="6" t="str">
        <f>[1]Hybrid!A25</f>
        <v>auto_cd_cfut_0</v>
      </c>
      <c r="C367" s="6">
        <f>[1]Hybrid!B25</f>
        <v>4159.6639080000004</v>
      </c>
      <c r="D367" s="6">
        <f>[1]Hybrid!C25</f>
        <v>4052.7611179999999</v>
      </c>
      <c r="E367" s="6">
        <f>[1]Hybrid!D25</f>
        <v>3970.9613119999999</v>
      </c>
      <c r="F367" s="6">
        <f>[1]Hybrid!E25</f>
        <v>3902.4638920000002</v>
      </c>
      <c r="G367" s="6">
        <f>[1]Hybrid!F25</f>
        <v>3842.7079899999999</v>
      </c>
      <c r="H367" s="6">
        <f>[1]Hybrid!G25</f>
        <v>3787.4295780000002</v>
      </c>
      <c r="I367" s="6">
        <f>[1]Hybrid!H25</f>
        <v>3727.6223420000001</v>
      </c>
      <c r="J367" s="6">
        <f>[1]Hybrid!I25</f>
        <v>3659.8039020000001</v>
      </c>
      <c r="K367" s="6">
        <f>[1]Hybrid!J25</f>
        <v>3580.7190369999998</v>
      </c>
      <c r="L367" s="6">
        <f>[1]Hybrid!K25</f>
        <v>3487.4247599999999</v>
      </c>
      <c r="M367" s="6">
        <f>[1]Hybrid!L25</f>
        <v>3377.8194149999999</v>
      </c>
      <c r="N367" s="6">
        <f>[1]Hybrid!M25</f>
        <v>3251.330187</v>
      </c>
      <c r="O367" s="6">
        <f>[1]Hybrid!N25</f>
        <v>3109.133824</v>
      </c>
      <c r="P367" s="6">
        <f>[1]Hybrid!O25</f>
        <v>2953.9641019999999</v>
      </c>
      <c r="Q367" s="6">
        <f>[1]Hybrid!P25</f>
        <v>2789.6812009999999</v>
      </c>
      <c r="R367" s="6">
        <f>[1]Hybrid!Q25</f>
        <v>2620.5719629999999</v>
      </c>
      <c r="S367" s="6">
        <f>[1]Hybrid!R25</f>
        <v>2452.0425989999999</v>
      </c>
      <c r="T367" s="6">
        <f>[1]Hybrid!S25</f>
        <v>2288.0284459999998</v>
      </c>
      <c r="U367" s="6">
        <f>[1]Hybrid!T25</f>
        <v>2130.739399</v>
      </c>
      <c r="V367" s="6">
        <f>[1]Hybrid!U25</f>
        <v>1981.3159659999999</v>
      </c>
      <c r="W367" s="6">
        <f>[1]Hybrid!V25</f>
        <v>1840.2575260000001</v>
      </c>
      <c r="X367" s="6">
        <f>[1]Hybrid!W25</f>
        <v>1707.6816530000001</v>
      </c>
      <c r="Y367" s="6">
        <f>[1]Hybrid!X25</f>
        <v>1583.4775480000001</v>
      </c>
      <c r="Z367" s="6">
        <f>[1]Hybrid!Y25</f>
        <v>1467.3972309999999</v>
      </c>
      <c r="AA367" s="6">
        <f>[1]Hybrid!Z25</f>
        <v>1359.1108489999999</v>
      </c>
      <c r="AB367" s="6">
        <f>[1]Hybrid!AA25</f>
        <v>1258.2440099999999</v>
      </c>
      <c r="AC367" s="6">
        <f>[1]Hybrid!AB25</f>
        <v>1164.4010350000001</v>
      </c>
      <c r="AD367" s="6">
        <f>[1]Hybrid!AC25</f>
        <v>1077.1801390000001</v>
      </c>
      <c r="AE367" s="6">
        <f>[1]Hybrid!AD25</f>
        <v>996.18258860000003</v>
      </c>
      <c r="AF367" s="6">
        <f>[1]Hybrid!AE25</f>
        <v>921.01893610000002</v>
      </c>
      <c r="AG367" s="6">
        <f>[1]Hybrid!AF25</f>
        <v>851.3125556</v>
      </c>
      <c r="AH367" s="6">
        <f>[1]Hybrid!AG25</f>
        <v>786.70236250000005</v>
      </c>
      <c r="AI367" s="6">
        <f>[1]Hybrid!AH25</f>
        <v>726.84454500000004</v>
      </c>
      <c r="AJ367" s="6">
        <f>[1]Hybrid!AI25</f>
        <v>671.41339960000005</v>
      </c>
      <c r="AK367" s="6">
        <f>[1]Hybrid!AJ25</f>
        <v>620.10155429999998</v>
      </c>
      <c r="AL367" s="6">
        <f>[1]Hybrid!AK25</f>
        <v>572.619778</v>
      </c>
    </row>
    <row r="368" spans="1:38" x14ac:dyDescent="0.35">
      <c r="B368" s="6" t="str">
        <f>[1]Hybrid!A27</f>
        <v>auto_ce_cfut_0</v>
      </c>
      <c r="C368" s="6">
        <f>[1]Hybrid!B27</f>
        <v>2503.7292430000002</v>
      </c>
      <c r="D368" s="6">
        <f>[1]Hybrid!C27</f>
        <v>2441.6230310000001</v>
      </c>
      <c r="E368" s="6">
        <f>[1]Hybrid!D27</f>
        <v>2393.7318479999999</v>
      </c>
      <c r="F368" s="6">
        <f>[1]Hybrid!E27</f>
        <v>2352.7143689999998</v>
      </c>
      <c r="G368" s="6">
        <f>[1]Hybrid!F27</f>
        <v>2315.8002759999999</v>
      </c>
      <c r="H368" s="6">
        <f>[1]Hybrid!G27</f>
        <v>2280.5650989999999</v>
      </c>
      <c r="I368" s="6">
        <f>[1]Hybrid!H27</f>
        <v>2241.7231670000001</v>
      </c>
      <c r="J368" s="6">
        <f>[1]Hybrid!I27</f>
        <v>2197.266658</v>
      </c>
      <c r="K368" s="6">
        <f>[1]Hybrid!J27</f>
        <v>2145.4916210000001</v>
      </c>
      <c r="L368" s="6">
        <f>[1]Hybrid!K27</f>
        <v>2085.021514</v>
      </c>
      <c r="M368" s="6">
        <f>[1]Hybrid!L27</f>
        <v>2015.0474569999999</v>
      </c>
      <c r="N368" s="6">
        <f>[1]Hybrid!M27</f>
        <v>1935.637152</v>
      </c>
      <c r="O368" s="6">
        <f>[1]Hybrid!N27</f>
        <v>1847.771416</v>
      </c>
      <c r="P368" s="6">
        <f>[1]Hybrid!O27</f>
        <v>1753.180668</v>
      </c>
      <c r="Q368" s="6">
        <f>[1]Hybrid!P27</f>
        <v>1654.09718</v>
      </c>
      <c r="R368" s="6">
        <f>[1]Hybrid!Q27</f>
        <v>1552.897307</v>
      </c>
      <c r="S368" s="6">
        <f>[1]Hybrid!R27</f>
        <v>1452.5337959999999</v>
      </c>
      <c r="T368" s="6">
        <f>[1]Hybrid!S27</f>
        <v>1355.12601</v>
      </c>
      <c r="U368" s="6">
        <f>[1]Hybrid!T27</f>
        <v>1261.8589750000001</v>
      </c>
      <c r="V368" s="6">
        <f>[1]Hybrid!U27</f>
        <v>1173.3364670000001</v>
      </c>
      <c r="W368" s="6">
        <f>[1]Hybrid!V27</f>
        <v>1089.8122330000001</v>
      </c>
      <c r="X368" s="6">
        <f>[1]Hybrid!W27</f>
        <v>1011.3311200000001</v>
      </c>
      <c r="Y368" s="6">
        <f>[1]Hybrid!X27</f>
        <v>937.81297849999999</v>
      </c>
      <c r="Z368" s="6">
        <f>[1]Hybrid!Y27</f>
        <v>869.10267539999995</v>
      </c>
      <c r="AA368" s="6">
        <f>[1]Hybrid!Z27</f>
        <v>805.00041880000003</v>
      </c>
      <c r="AB368" s="6">
        <f>[1]Hybrid!AA27</f>
        <v>745.28253930000005</v>
      </c>
      <c r="AC368" s="6">
        <f>[1]Hybrid!AB27</f>
        <v>689.71437790000004</v>
      </c>
      <c r="AD368" s="6">
        <f>[1]Hybrid!AC27</f>
        <v>638.05869170000005</v>
      </c>
      <c r="AE368" s="6">
        <f>[1]Hybrid!AD27</f>
        <v>590.08064339999999</v>
      </c>
      <c r="AF368" s="6">
        <f>[1]Hybrid!AE27</f>
        <v>545.55124809999995</v>
      </c>
      <c r="AG368" s="6">
        <f>[1]Hybrid!AF27</f>
        <v>504.24921189999998</v>
      </c>
      <c r="AH368" s="6">
        <f>[1]Hybrid!AG27</f>
        <v>465.96237150000002</v>
      </c>
      <c r="AI368" s="6">
        <f>[1]Hybrid!AH27</f>
        <v>430.48861570000003</v>
      </c>
      <c r="AJ368" s="6">
        <f>[1]Hybrid!AI27</f>
        <v>397.63632580000001</v>
      </c>
      <c r="AK368" s="6">
        <f>[1]Hybrid!AJ27</f>
        <v>367.22448889999998</v>
      </c>
      <c r="AL368" s="6">
        <f>[1]Hybrid!AK27</f>
        <v>339.08258840000002</v>
      </c>
    </row>
    <row r="369" spans="2:38" x14ac:dyDescent="0.35">
      <c r="B369" s="6" t="str">
        <f>[1]Hybrid!A29</f>
        <v>auto_cf_cfut_0</v>
      </c>
      <c r="C369" s="6">
        <f>[1]Hybrid!B29</f>
        <v>1243.6668460000001</v>
      </c>
      <c r="D369" s="6">
        <f>[1]Hybrid!C29</f>
        <v>1210.4196260000001</v>
      </c>
      <c r="E369" s="6">
        <f>[1]Hybrid!D29</f>
        <v>1183.2416189999999</v>
      </c>
      <c r="F369" s="6">
        <f>[1]Hybrid!E29</f>
        <v>1158.608471</v>
      </c>
      <c r="G369" s="6">
        <f>[1]Hybrid!F29</f>
        <v>1135.2945970000001</v>
      </c>
      <c r="H369" s="6">
        <f>[1]Hybrid!G29</f>
        <v>1112.2367400000001</v>
      </c>
      <c r="I369" s="6">
        <f>[1]Hybrid!H29</f>
        <v>1087.2460619999999</v>
      </c>
      <c r="J369" s="6">
        <f>[1]Hybrid!I29</f>
        <v>1059.850353</v>
      </c>
      <c r="K369" s="6">
        <f>[1]Hybrid!J29</f>
        <v>1029.802117</v>
      </c>
      <c r="L369" s="6">
        <f>[1]Hybrid!K29</f>
        <v>996.98066740000002</v>
      </c>
      <c r="M369" s="6">
        <f>[1]Hybrid!L29</f>
        <v>961.37655280000001</v>
      </c>
      <c r="N369" s="6">
        <f>[1]Hybrid!M29</f>
        <v>923.15782509999997</v>
      </c>
      <c r="O369" s="6">
        <f>[1]Hybrid!N29</f>
        <v>882.65890149999996</v>
      </c>
      <c r="P369" s="6">
        <f>[1]Hybrid!O29</f>
        <v>840.34246910000002</v>
      </c>
      <c r="Q369" s="6">
        <f>[1]Hybrid!P29</f>
        <v>796.7750992</v>
      </c>
      <c r="R369" s="6">
        <f>[1]Hybrid!Q29</f>
        <v>752.57107859999996</v>
      </c>
      <c r="S369" s="6">
        <f>[1]Hybrid!R29</f>
        <v>708.73348199999998</v>
      </c>
      <c r="T369" s="6">
        <f>[1]Hybrid!S29</f>
        <v>665.95722539999997</v>
      </c>
      <c r="U369" s="6">
        <f>[1]Hybrid!T29</f>
        <v>624.67032740000002</v>
      </c>
      <c r="V369" s="6">
        <f>[1]Hybrid!U29</f>
        <v>585.11900619999994</v>
      </c>
      <c r="W369" s="6">
        <f>[1]Hybrid!V29</f>
        <v>547.42983500000003</v>
      </c>
      <c r="X369" s="6">
        <f>[1]Hybrid!W29</f>
        <v>511.6528366</v>
      </c>
      <c r="Y369" s="6">
        <f>[1]Hybrid!X29</f>
        <v>477.78892710000002</v>
      </c>
      <c r="Z369" s="6">
        <f>[1]Hybrid!Y29</f>
        <v>445.80693550000001</v>
      </c>
      <c r="AA369" s="6">
        <f>[1]Hybrid!Z29</f>
        <v>415.65373979999998</v>
      </c>
      <c r="AB369" s="6">
        <f>[1]Hybrid!AA29</f>
        <v>387.26392399999997</v>
      </c>
      <c r="AC369" s="6">
        <f>[1]Hybrid!AB29</f>
        <v>360.56570900000003</v>
      </c>
      <c r="AD369" s="6">
        <f>[1]Hybrid!AC29</f>
        <v>335.48505069999999</v>
      </c>
      <c r="AE369" s="6">
        <f>[1]Hybrid!AD29</f>
        <v>311.9475084</v>
      </c>
      <c r="AF369" s="6">
        <f>[1]Hybrid!AE29</f>
        <v>289.8799803</v>
      </c>
      <c r="AG369" s="6">
        <f>[1]Hybrid!AF29</f>
        <v>269.21062389999997</v>
      </c>
      <c r="AH369" s="6">
        <f>[1]Hybrid!AG29</f>
        <v>249.86916719999999</v>
      </c>
      <c r="AI369" s="6">
        <f>[1]Hybrid!AH29</f>
        <v>231.7872405</v>
      </c>
      <c r="AJ369" s="6">
        <f>[1]Hybrid!AI29</f>
        <v>214.89854120000001</v>
      </c>
      <c r="AK369" s="6">
        <f>[1]Hybrid!AJ29</f>
        <v>199.13889829999999</v>
      </c>
      <c r="AL369" s="6">
        <f>[1]Hybrid!AK29</f>
        <v>184.4462685</v>
      </c>
    </row>
    <row r="370" spans="2:38" x14ac:dyDescent="0.35">
      <c r="B370" s="6" t="str">
        <f>[1]Hybrid!A31</f>
        <v>auto_cg_cfut_0</v>
      </c>
      <c r="C370" s="6">
        <f>[1]Hybrid!B31</f>
        <v>2239.620606</v>
      </c>
      <c r="D370" s="6">
        <f>[1]Hybrid!C31</f>
        <v>2182.952824</v>
      </c>
      <c r="E370" s="6">
        <f>[1]Hybrid!D31</f>
        <v>2134.8204559999999</v>
      </c>
      <c r="F370" s="6">
        <f>[1]Hybrid!E31</f>
        <v>2088.5681359999999</v>
      </c>
      <c r="G370" s="6">
        <f>[1]Hybrid!F31</f>
        <v>2042.1186029999999</v>
      </c>
      <c r="H370" s="6">
        <f>[1]Hybrid!G31</f>
        <v>1993.9965689999999</v>
      </c>
      <c r="I370" s="6">
        <f>[1]Hybrid!H31</f>
        <v>1940.8395109999999</v>
      </c>
      <c r="J370" s="6">
        <f>[1]Hybrid!I31</f>
        <v>1882.20454</v>
      </c>
      <c r="K370" s="6">
        <f>[1]Hybrid!J31</f>
        <v>1818.171654</v>
      </c>
      <c r="L370" s="6">
        <f>[1]Hybrid!K31</f>
        <v>1749.1195359999999</v>
      </c>
      <c r="M370" s="6">
        <f>[1]Hybrid!L31</f>
        <v>1675.631065</v>
      </c>
      <c r="N370" s="6">
        <f>[1]Hybrid!M31</f>
        <v>1598.5418649999999</v>
      </c>
      <c r="O370" s="6">
        <f>[1]Hybrid!N31</f>
        <v>1518.859696</v>
      </c>
      <c r="P370" s="6">
        <f>[1]Hybrid!O31</f>
        <v>1437.6599409999999</v>
      </c>
      <c r="Q370" s="6">
        <f>[1]Hybrid!P31</f>
        <v>1356.0236050000001</v>
      </c>
      <c r="R370" s="6">
        <f>[1]Hybrid!Q31</f>
        <v>1274.9626069999999</v>
      </c>
      <c r="S370" s="6">
        <f>[1]Hybrid!R31</f>
        <v>1195.9156499999999</v>
      </c>
      <c r="T370" s="6">
        <f>[1]Hybrid!S31</f>
        <v>1119.821733</v>
      </c>
      <c r="U370" s="6">
        <f>[1]Hybrid!T31</f>
        <v>1047.2035780000001</v>
      </c>
      <c r="V370" s="6">
        <f>[1]Hybrid!U31</f>
        <v>978.30809490000001</v>
      </c>
      <c r="W370" s="6">
        <f>[1]Hybrid!V31</f>
        <v>913.20602529999996</v>
      </c>
      <c r="X370" s="6">
        <f>[1]Hybrid!W31</f>
        <v>851.85985559999995</v>
      </c>
      <c r="Y370" s="6">
        <f>[1]Hybrid!X31</f>
        <v>794.16613570000004</v>
      </c>
      <c r="Z370" s="6">
        <f>[1]Hybrid!Y31</f>
        <v>739.98141889999999</v>
      </c>
      <c r="AA370" s="6">
        <f>[1]Hybrid!Z31</f>
        <v>689.13717210000004</v>
      </c>
      <c r="AB370" s="6">
        <f>[1]Hybrid!AA31</f>
        <v>641.45519650000006</v>
      </c>
      <c r="AC370" s="6">
        <f>[1]Hybrid!AB31</f>
        <v>596.75727489999997</v>
      </c>
      <c r="AD370" s="6">
        <f>[1]Hybrid!AC31</f>
        <v>554.87186039999995</v>
      </c>
      <c r="AE370" s="6">
        <f>[1]Hybrid!AD31</f>
        <v>515.63681859999997</v>
      </c>
      <c r="AF370" s="6">
        <f>[1]Hybrid!AE31</f>
        <v>478.90200850000002</v>
      </c>
      <c r="AG370" s="6">
        <f>[1]Hybrid!AF31</f>
        <v>444.52777209999999</v>
      </c>
      <c r="AH370" s="6">
        <f>[1]Hybrid!AG31</f>
        <v>412.3837868</v>
      </c>
      <c r="AI370" s="6">
        <f>[1]Hybrid!AH31</f>
        <v>382.3480093</v>
      </c>
      <c r="AJ370" s="6">
        <f>[1]Hybrid!AI31</f>
        <v>354.30552189999997</v>
      </c>
      <c r="AK370" s="6">
        <f>[1]Hybrid!AJ31</f>
        <v>328.14743989999999</v>
      </c>
      <c r="AL370" s="6">
        <f>[1]Hybrid!AK31</f>
        <v>303.76993649999997</v>
      </c>
    </row>
    <row r="371" spans="2:38" x14ac:dyDescent="0.35">
      <c r="B371" s="6" t="str">
        <f>[1]Hybrid!A33</f>
        <v>auto_ca_cele_0</v>
      </c>
      <c r="C371" s="6">
        <f>[1]Hybrid!B33</f>
        <v>9.8427898650000003</v>
      </c>
      <c r="D371" s="6">
        <f>[1]Hybrid!C33</f>
        <v>24.590022810000001</v>
      </c>
      <c r="E371" s="6">
        <f>[1]Hybrid!D33</f>
        <v>52.7682669</v>
      </c>
      <c r="F371" s="6">
        <f>[1]Hybrid!E33</f>
        <v>101.4160948</v>
      </c>
      <c r="G371" s="6">
        <f>[1]Hybrid!F33</f>
        <v>176.6059616</v>
      </c>
      <c r="H371" s="6">
        <f>[1]Hybrid!G33</f>
        <v>277.51035780000001</v>
      </c>
      <c r="I371" s="6">
        <f>[1]Hybrid!H33</f>
        <v>406.49185519999997</v>
      </c>
      <c r="J371" s="6">
        <f>[1]Hybrid!I33</f>
        <v>579.2394233</v>
      </c>
      <c r="K371" s="6">
        <f>[1]Hybrid!J33</f>
        <v>813.46367829999997</v>
      </c>
      <c r="L371" s="6">
        <f>[1]Hybrid!K33</f>
        <v>1124.8580489999999</v>
      </c>
      <c r="M371" s="6">
        <f>[1]Hybrid!L33</f>
        <v>1521.976678</v>
      </c>
      <c r="N371" s="6">
        <f>[1]Hybrid!M33</f>
        <v>2003.1722600000001</v>
      </c>
      <c r="O371" s="6">
        <f>[1]Hybrid!N33</f>
        <v>2556.220703</v>
      </c>
      <c r="P371" s="6">
        <f>[1]Hybrid!O33</f>
        <v>3161.0317110000001</v>
      </c>
      <c r="Q371" s="6">
        <f>[1]Hybrid!P33</f>
        <v>3794.994295</v>
      </c>
      <c r="R371" s="6">
        <f>[1]Hybrid!Q33</f>
        <v>4437.6477269999996</v>
      </c>
      <c r="S371" s="6">
        <f>[1]Hybrid!R33</f>
        <v>5082.2550849999998</v>
      </c>
      <c r="T371" s="6">
        <f>[1]Hybrid!S33</f>
        <v>5712.0459389999996</v>
      </c>
      <c r="U371" s="6">
        <f>[1]Hybrid!T33</f>
        <v>6317.3981480000002</v>
      </c>
      <c r="V371" s="6">
        <f>[1]Hybrid!U33</f>
        <v>6893.74802</v>
      </c>
      <c r="W371" s="6">
        <f>[1]Hybrid!V33</f>
        <v>7439.7756300000001</v>
      </c>
      <c r="X371" s="6">
        <f>[1]Hybrid!W33</f>
        <v>7956.1457190000001</v>
      </c>
      <c r="Y371" s="6">
        <f>[1]Hybrid!X33</f>
        <v>8444.6917450000001</v>
      </c>
      <c r="Z371" s="6">
        <f>[1]Hybrid!Y33</f>
        <v>8907.8565330000001</v>
      </c>
      <c r="AA371" s="6">
        <f>[1]Hybrid!Z33</f>
        <v>9348.2771499999999</v>
      </c>
      <c r="AB371" s="6">
        <f>[1]Hybrid!AA33</f>
        <v>9768.7425010000006</v>
      </c>
      <c r="AC371" s="6">
        <f>[1]Hybrid!AB33</f>
        <v>10172.120650000001</v>
      </c>
      <c r="AD371" s="6">
        <f>[1]Hybrid!AC33</f>
        <v>10561.36658</v>
      </c>
      <c r="AE371" s="6">
        <f>[1]Hybrid!AD33</f>
        <v>10939.396640000001</v>
      </c>
      <c r="AF371" s="6">
        <f>[1]Hybrid!AE33</f>
        <v>11308.931989999999</v>
      </c>
      <c r="AG371" s="6">
        <f>[1]Hybrid!AF33</f>
        <v>11672.203380000001</v>
      </c>
      <c r="AH371" s="6">
        <f>[1]Hybrid!AG33</f>
        <v>12030.90381</v>
      </c>
      <c r="AI371" s="6">
        <f>[1]Hybrid!AH33</f>
        <v>12386.249100000001</v>
      </c>
      <c r="AJ371" s="6">
        <f>[1]Hybrid!AI33</f>
        <v>12739.05076</v>
      </c>
      <c r="AK371" s="6">
        <f>[1]Hybrid!AJ33</f>
        <v>13089.78334</v>
      </c>
      <c r="AL371" s="6">
        <f>[1]Hybrid!AK33</f>
        <v>13438.635920000001</v>
      </c>
    </row>
    <row r="372" spans="2:38" x14ac:dyDescent="0.35">
      <c r="B372" s="6" t="str">
        <f>[1]Hybrid!A35</f>
        <v>auto_cb_cele_0</v>
      </c>
      <c r="C372" s="6">
        <f>[1]Hybrid!B35</f>
        <v>11.44571741</v>
      </c>
      <c r="D372" s="6">
        <f>[1]Hybrid!C35</f>
        <v>26.86791307</v>
      </c>
      <c r="E372" s="6">
        <f>[1]Hybrid!D35</f>
        <v>56.902894259999997</v>
      </c>
      <c r="F372" s="6">
        <f>[1]Hybrid!E35</f>
        <v>109.06869140000001</v>
      </c>
      <c r="G372" s="6">
        <f>[1]Hybrid!F35</f>
        <v>189.68872010000001</v>
      </c>
      <c r="H372" s="6">
        <f>[1]Hybrid!G35</f>
        <v>297.68651080000001</v>
      </c>
      <c r="I372" s="6">
        <f>[1]Hybrid!H35</f>
        <v>435.23853380000003</v>
      </c>
      <c r="J372" s="6">
        <f>[1]Hybrid!I35</f>
        <v>618.09341310000002</v>
      </c>
      <c r="K372" s="6">
        <f>[1]Hybrid!J35</f>
        <v>863.25232010000002</v>
      </c>
      <c r="L372" s="6">
        <f>[1]Hybrid!K35</f>
        <v>1184.6585970000001</v>
      </c>
      <c r="M372" s="6">
        <f>[1]Hybrid!L35</f>
        <v>1588.3159330000001</v>
      </c>
      <c r="N372" s="6">
        <f>[1]Hybrid!M35</f>
        <v>2070.0404109999999</v>
      </c>
      <c r="O372" s="6">
        <f>[1]Hybrid!N35</f>
        <v>2616.0586509999998</v>
      </c>
      <c r="P372" s="6">
        <f>[1]Hybrid!O35</f>
        <v>3206.2842879999998</v>
      </c>
      <c r="Q372" s="6">
        <f>[1]Hybrid!P35</f>
        <v>3819.5041799999999</v>
      </c>
      <c r="R372" s="6">
        <f>[1]Hybrid!Q35</f>
        <v>4437.3881250000004</v>
      </c>
      <c r="S372" s="6">
        <f>[1]Hybrid!R35</f>
        <v>5055.5841719999999</v>
      </c>
      <c r="T372" s="6">
        <f>[1]Hybrid!S35</f>
        <v>5659.867561</v>
      </c>
      <c r="U372" s="6">
        <f>[1]Hybrid!T35</f>
        <v>6241.8993639999999</v>
      </c>
      <c r="V372" s="6">
        <f>[1]Hybrid!U35</f>
        <v>6797.5913700000001</v>
      </c>
      <c r="W372" s="6">
        <f>[1]Hybrid!V35</f>
        <v>7325.6446729999998</v>
      </c>
      <c r="X372" s="6">
        <f>[1]Hybrid!W35</f>
        <v>7826.5150869999998</v>
      </c>
      <c r="Y372" s="6">
        <f>[1]Hybrid!X35</f>
        <v>8301.7242260000003</v>
      </c>
      <c r="Z372" s="6">
        <f>[1]Hybrid!Y35</f>
        <v>8753.367252</v>
      </c>
      <c r="AA372" s="6">
        <f>[1]Hybrid!Z35</f>
        <v>9183.7273650000006</v>
      </c>
      <c r="AB372" s="6">
        <f>[1]Hybrid!AA35</f>
        <v>9595.2463169999992</v>
      </c>
      <c r="AC372" s="6">
        <f>[1]Hybrid!AB35</f>
        <v>9990.4581890000009</v>
      </c>
      <c r="AD372" s="6">
        <f>[1]Hybrid!AC35</f>
        <v>10371.999</v>
      </c>
      <c r="AE372" s="6">
        <f>[1]Hybrid!AD35</f>
        <v>10742.482599999999</v>
      </c>
      <c r="AF372" s="6">
        <f>[1]Hybrid!AE35</f>
        <v>11104.35313</v>
      </c>
      <c r="AG372" s="6">
        <f>[1]Hybrid!AF35</f>
        <v>11459.594069999999</v>
      </c>
      <c r="AH372" s="6">
        <f>[1]Hybrid!AG35</f>
        <v>11809.67951</v>
      </c>
      <c r="AI372" s="6">
        <f>[1]Hybrid!AH35</f>
        <v>12155.631869999999</v>
      </c>
      <c r="AJ372" s="6">
        <f>[1]Hybrid!AI35</f>
        <v>12498.09261</v>
      </c>
      <c r="AK372" s="6">
        <f>[1]Hybrid!AJ35</f>
        <v>12837.38848</v>
      </c>
      <c r="AL372" s="6">
        <f>[1]Hybrid!AK35</f>
        <v>13173.58293</v>
      </c>
    </row>
    <row r="373" spans="2:38" x14ac:dyDescent="0.35">
      <c r="B373" s="6" t="str">
        <f>[1]Hybrid!A37</f>
        <v>auto_cc_cele_0</v>
      </c>
      <c r="C373" s="6">
        <f>[1]Hybrid!B37</f>
        <v>9.4015406210000005</v>
      </c>
      <c r="D373" s="6">
        <f>[1]Hybrid!C37</f>
        <v>21.200515459999998</v>
      </c>
      <c r="E373" s="6">
        <f>[1]Hybrid!D37</f>
        <v>44.607230950000002</v>
      </c>
      <c r="F373" s="6">
        <f>[1]Hybrid!E37</f>
        <v>85.456264899999994</v>
      </c>
      <c r="G373" s="6">
        <f>[1]Hybrid!F37</f>
        <v>148.50532430000001</v>
      </c>
      <c r="H373" s="6">
        <f>[1]Hybrid!G37</f>
        <v>232.73189199999999</v>
      </c>
      <c r="I373" s="6">
        <f>[1]Hybrid!H37</f>
        <v>339.51111659999998</v>
      </c>
      <c r="J373" s="6">
        <f>[1]Hybrid!I37</f>
        <v>480.20448670000002</v>
      </c>
      <c r="K373" s="6">
        <f>[1]Hybrid!J37</f>
        <v>666.41069589999995</v>
      </c>
      <c r="L373" s="6">
        <f>[1]Hybrid!K37</f>
        <v>906.69585789999996</v>
      </c>
      <c r="M373" s="6">
        <f>[1]Hybrid!L37</f>
        <v>1203.3704720000001</v>
      </c>
      <c r="N373" s="6">
        <f>[1]Hybrid!M37</f>
        <v>1551.5933660000001</v>
      </c>
      <c r="O373" s="6">
        <f>[1]Hybrid!N37</f>
        <v>1940.5387900000001</v>
      </c>
      <c r="P373" s="6">
        <f>[1]Hybrid!O37</f>
        <v>2356.0631629999998</v>
      </c>
      <c r="Q373" s="6">
        <f>[1]Hybrid!P37</f>
        <v>2784.1746419999999</v>
      </c>
      <c r="R373" s="6">
        <f>[1]Hybrid!Q37</f>
        <v>3213.351592</v>
      </c>
      <c r="S373" s="6">
        <f>[1]Hybrid!R37</f>
        <v>3642.1818750000002</v>
      </c>
      <c r="T373" s="6">
        <f>[1]Hybrid!S37</f>
        <v>4062.1007</v>
      </c>
      <c r="U373" s="6">
        <f>[1]Hybrid!T37</f>
        <v>4467.9044590000003</v>
      </c>
      <c r="V373" s="6">
        <f>[1]Hybrid!U37</f>
        <v>4856.9077969999998</v>
      </c>
      <c r="W373" s="6">
        <f>[1]Hybrid!V37</f>
        <v>5228.1342850000001</v>
      </c>
      <c r="X373" s="6">
        <f>[1]Hybrid!W37</f>
        <v>5581.7227599999997</v>
      </c>
      <c r="Y373" s="6">
        <f>[1]Hybrid!X37</f>
        <v>5918.5163329999996</v>
      </c>
      <c r="Z373" s="6">
        <f>[1]Hybrid!Y37</f>
        <v>6239.7524469999998</v>
      </c>
      <c r="AA373" s="6">
        <f>[1]Hybrid!Z37</f>
        <v>6546.8039399999998</v>
      </c>
      <c r="AB373" s="6">
        <f>[1]Hybrid!AA37</f>
        <v>6841.1672410000001</v>
      </c>
      <c r="AC373" s="6">
        <f>[1]Hybrid!AB37</f>
        <v>7124.4191970000002</v>
      </c>
      <c r="AD373" s="6">
        <f>[1]Hybrid!AC37</f>
        <v>7398.2257069999996</v>
      </c>
      <c r="AE373" s="6">
        <f>[1]Hybrid!AD37</f>
        <v>7664.2525169999999</v>
      </c>
      <c r="AF373" s="6">
        <f>[1]Hybrid!AE37</f>
        <v>7924.0638849999996</v>
      </c>
      <c r="AG373" s="6">
        <f>[1]Hybrid!AF37</f>
        <v>8178.9130910000003</v>
      </c>
      <c r="AH373" s="6">
        <f>[1]Hybrid!AG37</f>
        <v>8429.7051919999994</v>
      </c>
      <c r="AI373" s="6">
        <f>[1]Hybrid!AH37</f>
        <v>8677.0366350000004</v>
      </c>
      <c r="AJ373" s="6">
        <f>[1]Hybrid!AI37</f>
        <v>8921.2448129999993</v>
      </c>
      <c r="AK373" s="6">
        <f>[1]Hybrid!AJ37</f>
        <v>9162.4553209999995</v>
      </c>
      <c r="AL373" s="6">
        <f>[1]Hybrid!AK37</f>
        <v>9400.6191030000009</v>
      </c>
    </row>
    <row r="374" spans="2:38" x14ac:dyDescent="0.35">
      <c r="B374" s="6" t="str">
        <f>[1]Hybrid!A39</f>
        <v>auto_cd_cele_0</v>
      </c>
      <c r="C374" s="6">
        <f>[1]Hybrid!B39</f>
        <v>5.770071272</v>
      </c>
      <c r="D374" s="6">
        <f>[1]Hybrid!C39</f>
        <v>9.957015427</v>
      </c>
      <c r="E374" s="6">
        <f>[1]Hybrid!D39</f>
        <v>17.404826280000002</v>
      </c>
      <c r="F374" s="6">
        <f>[1]Hybrid!E39</f>
        <v>29.659791210000002</v>
      </c>
      <c r="G374" s="6">
        <f>[1]Hybrid!F39</f>
        <v>48.022057060000002</v>
      </c>
      <c r="H374" s="6">
        <f>[1]Hybrid!G39</f>
        <v>72.201543819999998</v>
      </c>
      <c r="I374" s="6">
        <f>[1]Hybrid!H39</f>
        <v>102.60669590000001</v>
      </c>
      <c r="J374" s="6">
        <f>[1]Hybrid!I39</f>
        <v>142.63990810000001</v>
      </c>
      <c r="K374" s="6">
        <f>[1]Hybrid!J39</f>
        <v>196.18702099999999</v>
      </c>
      <c r="L374" s="6">
        <f>[1]Hybrid!K39</f>
        <v>266.95408780000002</v>
      </c>
      <c r="M374" s="6">
        <f>[1]Hybrid!L39</f>
        <v>357.59168369999998</v>
      </c>
      <c r="N374" s="6">
        <f>[1]Hybrid!M39</f>
        <v>469.07988490000002</v>
      </c>
      <c r="O374" s="6">
        <f>[1]Hybrid!N39</f>
        <v>600.35977430000003</v>
      </c>
      <c r="P374" s="6">
        <f>[1]Hybrid!O39</f>
        <v>748.39598590000003</v>
      </c>
      <c r="Q374" s="6">
        <f>[1]Hybrid!P39</f>
        <v>908.88352459999999</v>
      </c>
      <c r="R374" s="6">
        <f>[1]Hybrid!Q39</f>
        <v>1077.121539</v>
      </c>
      <c r="S374" s="6">
        <f>[1]Hybrid!R39</f>
        <v>1251.1158949999999</v>
      </c>
      <c r="T374" s="6">
        <f>[1]Hybrid!S39</f>
        <v>1425.884916</v>
      </c>
      <c r="U374" s="6">
        <f>[1]Hybrid!T39</f>
        <v>1598.0371950000001</v>
      </c>
      <c r="V374" s="6">
        <f>[1]Hybrid!U39</f>
        <v>1765.432438</v>
      </c>
      <c r="W374" s="6">
        <f>[1]Hybrid!V39</f>
        <v>1926.804985</v>
      </c>
      <c r="X374" s="6">
        <f>[1]Hybrid!W39</f>
        <v>2081.4884419999998</v>
      </c>
      <c r="Y374" s="6">
        <f>[1]Hybrid!X39</f>
        <v>2229.2217329999999</v>
      </c>
      <c r="Z374" s="6">
        <f>[1]Hybrid!Y39</f>
        <v>2369.9983360000001</v>
      </c>
      <c r="AA374" s="6">
        <f>[1]Hybrid!Z39</f>
        <v>2503.9325450000001</v>
      </c>
      <c r="AB374" s="6">
        <f>[1]Hybrid!AA39</f>
        <v>2631.2412479999998</v>
      </c>
      <c r="AC374" s="6">
        <f>[1]Hybrid!AB39</f>
        <v>2752.2163110000001</v>
      </c>
      <c r="AD374" s="6">
        <f>[1]Hybrid!AC39</f>
        <v>2867.221188</v>
      </c>
      <c r="AE374" s="6">
        <f>[1]Hybrid!AD39</f>
        <v>2976.6481610000001</v>
      </c>
      <c r="AF374" s="6">
        <f>[1]Hybrid!AE39</f>
        <v>3080.8846469999999</v>
      </c>
      <c r="AG374" s="6">
        <f>[1]Hybrid!AF39</f>
        <v>3180.2290410000001</v>
      </c>
      <c r="AH374" s="6">
        <f>[1]Hybrid!AG39</f>
        <v>3274.874511</v>
      </c>
      <c r="AI374" s="6">
        <f>[1]Hybrid!AH39</f>
        <v>3364.9241229999998</v>
      </c>
      <c r="AJ374" s="6">
        <f>[1]Hybrid!AI39</f>
        <v>3450.4103220000002</v>
      </c>
      <c r="AK374" s="6">
        <f>[1]Hybrid!AJ39</f>
        <v>3531.3141129999999</v>
      </c>
      <c r="AL374" s="6">
        <f>[1]Hybrid!AK39</f>
        <v>3607.5805810000002</v>
      </c>
    </row>
    <row r="375" spans="2:38" x14ac:dyDescent="0.35">
      <c r="B375" s="6" t="str">
        <f>[1]Hybrid!A41</f>
        <v>auto_ce_cele_0</v>
      </c>
      <c r="C375" s="6">
        <f>[1]Hybrid!B41</f>
        <v>3.4730440960000002</v>
      </c>
      <c r="D375" s="6">
        <f>[1]Hybrid!C41</f>
        <v>6.1652483589999996</v>
      </c>
      <c r="E375" s="6">
        <f>[1]Hybrid!D41</f>
        <v>10.979067300000001</v>
      </c>
      <c r="F375" s="6">
        <f>[1]Hybrid!E41</f>
        <v>18.880338989999998</v>
      </c>
      <c r="G375" s="6">
        <f>[1]Hybrid!F41</f>
        <v>30.650210510000001</v>
      </c>
      <c r="H375" s="6">
        <f>[1]Hybrid!G41</f>
        <v>46.060334650000001</v>
      </c>
      <c r="I375" s="6">
        <f>[1]Hybrid!H41</f>
        <v>65.300926959999998</v>
      </c>
      <c r="J375" s="6">
        <f>[1]Hybrid!I41</f>
        <v>90.356838569999994</v>
      </c>
      <c r="K375" s="6">
        <f>[1]Hybrid!J41</f>
        <v>123.4036023</v>
      </c>
      <c r="L375" s="6">
        <f>[1]Hybrid!K41</f>
        <v>166.4174917</v>
      </c>
      <c r="M375" s="6">
        <f>[1]Hybrid!L41</f>
        <v>220.71117140000001</v>
      </c>
      <c r="N375" s="6">
        <f>[1]Hybrid!M41</f>
        <v>286.66133760000002</v>
      </c>
      <c r="O375" s="6">
        <f>[1]Hybrid!N41</f>
        <v>363.57333590000002</v>
      </c>
      <c r="P375" s="6">
        <f>[1]Hybrid!O41</f>
        <v>449.7525053</v>
      </c>
      <c r="Q375" s="6">
        <f>[1]Hybrid!P41</f>
        <v>542.8894239</v>
      </c>
      <c r="R375" s="6">
        <f>[1]Hybrid!Q41</f>
        <v>640.50381179999999</v>
      </c>
      <c r="S375" s="6">
        <f>[1]Hybrid!R41</f>
        <v>741.7803758</v>
      </c>
      <c r="T375" s="6">
        <f>[1]Hybrid!S41</f>
        <v>844.15168789999996</v>
      </c>
      <c r="U375" s="6">
        <f>[1]Hybrid!T41</f>
        <v>945.80040840000004</v>
      </c>
      <c r="V375" s="6">
        <f>[1]Hybrid!U41</f>
        <v>1045.510117</v>
      </c>
      <c r="W375" s="6">
        <f>[1]Hybrid!V41</f>
        <v>1142.4911569999999</v>
      </c>
      <c r="X375" s="6">
        <f>[1]Hybrid!W41</f>
        <v>1236.2550189999999</v>
      </c>
      <c r="Y375" s="6">
        <f>[1]Hybrid!X41</f>
        <v>1326.5233679999999</v>
      </c>
      <c r="Z375" s="6">
        <f>[1]Hybrid!Y41</f>
        <v>1413.1525160000001</v>
      </c>
      <c r="AA375" s="6">
        <f>[1]Hybrid!Z41</f>
        <v>1496.0585510000001</v>
      </c>
      <c r="AB375" s="6">
        <f>[1]Hybrid!AA41</f>
        <v>1575.214039</v>
      </c>
      <c r="AC375" s="6">
        <f>[1]Hybrid!AB41</f>
        <v>1650.6369239999999</v>
      </c>
      <c r="AD375" s="6">
        <f>[1]Hybrid!AC41</f>
        <v>1722.393435</v>
      </c>
      <c r="AE375" s="6">
        <f>[1]Hybrid!AD41</f>
        <v>1790.575079</v>
      </c>
      <c r="AF375" s="6">
        <f>[1]Hybrid!AE41</f>
        <v>1855.285709</v>
      </c>
      <c r="AG375" s="6">
        <f>[1]Hybrid!AF41</f>
        <v>1916.591381</v>
      </c>
      <c r="AH375" s="6">
        <f>[1]Hybrid!AG41</f>
        <v>1974.5104630000001</v>
      </c>
      <c r="AI375" s="6">
        <f>[1]Hybrid!AH41</f>
        <v>2029.022749</v>
      </c>
      <c r="AJ375" s="6">
        <f>[1]Hybrid!AI41</f>
        <v>2080.0812340000002</v>
      </c>
      <c r="AK375" s="6">
        <f>[1]Hybrid!AJ41</f>
        <v>2127.623889</v>
      </c>
      <c r="AL375" s="6">
        <f>[1]Hybrid!AK41</f>
        <v>2171.5832030000001</v>
      </c>
    </row>
    <row r="376" spans="2:38" x14ac:dyDescent="0.35">
      <c r="B376" s="6" t="str">
        <f>[1]Hybrid!A43</f>
        <v>auto_cf_cele_0</v>
      </c>
      <c r="C376" s="6">
        <f>[1]Hybrid!B43</f>
        <v>1.7251505170000001</v>
      </c>
      <c r="D376" s="6">
        <f>[1]Hybrid!C43</f>
        <v>2.7902060510000002</v>
      </c>
      <c r="E376" s="6">
        <f>[1]Hybrid!D43</f>
        <v>4.5334585880000002</v>
      </c>
      <c r="F376" s="6">
        <f>[1]Hybrid!E43</f>
        <v>7.2090352370000002</v>
      </c>
      <c r="G376" s="6">
        <f>[1]Hybrid!F43</f>
        <v>10.99806119</v>
      </c>
      <c r="H376" s="6">
        <f>[1]Hybrid!G43</f>
        <v>15.77024082</v>
      </c>
      <c r="I376" s="6">
        <f>[1]Hybrid!H43</f>
        <v>21.515298349999998</v>
      </c>
      <c r="J376" s="6">
        <f>[1]Hybrid!I43</f>
        <v>28.720067839999999</v>
      </c>
      <c r="K376" s="6">
        <f>[1]Hybrid!J43</f>
        <v>37.882296420000003</v>
      </c>
      <c r="L376" s="6">
        <f>[1]Hybrid!K43</f>
        <v>49.42769878</v>
      </c>
      <c r="M376" s="6">
        <f>[1]Hybrid!L43</f>
        <v>63.625940159999999</v>
      </c>
      <c r="N376" s="6">
        <f>[1]Hybrid!M43</f>
        <v>80.561504869999993</v>
      </c>
      <c r="O376" s="6">
        <f>[1]Hybrid!N43</f>
        <v>100.1211833</v>
      </c>
      <c r="P376" s="6">
        <f>[1]Hybrid!O43</f>
        <v>122.0063413</v>
      </c>
      <c r="Q376" s="6">
        <f>[1]Hybrid!P43</f>
        <v>145.79805640000001</v>
      </c>
      <c r="R376" s="6">
        <f>[1]Hybrid!Q43</f>
        <v>171.02993860000001</v>
      </c>
      <c r="S376" s="6">
        <f>[1]Hybrid!R43</f>
        <v>197.65841839999999</v>
      </c>
      <c r="T376" s="6">
        <f>[1]Hybrid!S43</f>
        <v>225.1571658</v>
      </c>
      <c r="U376" s="6">
        <f>[1]Hybrid!T43</f>
        <v>253.119227</v>
      </c>
      <c r="V376" s="6">
        <f>[1]Hybrid!U43</f>
        <v>281.2360147</v>
      </c>
      <c r="W376" s="6">
        <f>[1]Hybrid!V43</f>
        <v>309.26550270000001</v>
      </c>
      <c r="X376" s="6">
        <f>[1]Hybrid!W43</f>
        <v>337.01153420000003</v>
      </c>
      <c r="Y376" s="6">
        <f>[1]Hybrid!X43</f>
        <v>364.30761009999998</v>
      </c>
      <c r="Z376" s="6">
        <f>[1]Hybrid!Y43</f>
        <v>391.0010643</v>
      </c>
      <c r="AA376" s="6">
        <f>[1]Hybrid!Z43</f>
        <v>416.93152980000002</v>
      </c>
      <c r="AB376" s="6">
        <f>[1]Hybrid!AA43</f>
        <v>441.93677509999998</v>
      </c>
      <c r="AC376" s="6">
        <f>[1]Hybrid!AB43</f>
        <v>465.85682609999998</v>
      </c>
      <c r="AD376" s="6">
        <f>[1]Hybrid!AC43</f>
        <v>488.54337070000003</v>
      </c>
      <c r="AE376" s="6">
        <f>[1]Hybrid!AD43</f>
        <v>509.86020259999998</v>
      </c>
      <c r="AF376" s="6">
        <f>[1]Hybrid!AE43</f>
        <v>529.69275370000003</v>
      </c>
      <c r="AG376" s="6">
        <f>[1]Hybrid!AF43</f>
        <v>547.93782880000003</v>
      </c>
      <c r="AH376" s="6">
        <f>[1]Hybrid!AG43</f>
        <v>564.50250430000006</v>
      </c>
      <c r="AI376" s="6">
        <f>[1]Hybrid!AH43</f>
        <v>579.30758800000001</v>
      </c>
      <c r="AJ376" s="6">
        <f>[1]Hybrid!AI43</f>
        <v>592.29111709999995</v>
      </c>
      <c r="AK376" s="6">
        <f>[1]Hybrid!AJ43</f>
        <v>603.41139999999996</v>
      </c>
      <c r="AL376" s="6">
        <f>[1]Hybrid!AK43</f>
        <v>612.64882509999995</v>
      </c>
    </row>
    <row r="377" spans="2:38" x14ac:dyDescent="0.35">
      <c r="B377" s="6" t="str">
        <f>[1]Hybrid!A45</f>
        <v>auto_cg_cele_0</v>
      </c>
      <c r="C377" s="6">
        <f>[1]Hybrid!B45</f>
        <v>3.1066862139999998</v>
      </c>
      <c r="D377" s="6">
        <f>[1]Hybrid!C45</f>
        <v>5.2641315410000002</v>
      </c>
      <c r="E377" s="6">
        <f>[1]Hybrid!D45</f>
        <v>8.816966377</v>
      </c>
      <c r="F377" s="6">
        <f>[1]Hybrid!E45</f>
        <v>14.22337664</v>
      </c>
      <c r="G377" s="6">
        <f>[1]Hybrid!F45</f>
        <v>21.751615600000001</v>
      </c>
      <c r="H377" s="6">
        <f>[1]Hybrid!G45</f>
        <v>31.04916528</v>
      </c>
      <c r="I377" s="6">
        <f>[1]Hybrid!H45</f>
        <v>41.997444710000003</v>
      </c>
      <c r="J377" s="6">
        <f>[1]Hybrid!I45</f>
        <v>55.365130260000001</v>
      </c>
      <c r="K377" s="6">
        <f>[1]Hybrid!J45</f>
        <v>71.852115670000003</v>
      </c>
      <c r="L377" s="6">
        <f>[1]Hybrid!K45</f>
        <v>91.962768260000004</v>
      </c>
      <c r="M377" s="6">
        <f>[1]Hybrid!L45</f>
        <v>115.9066831</v>
      </c>
      <c r="N377" s="6">
        <f>[1]Hybrid!M45</f>
        <v>143.61494379999999</v>
      </c>
      <c r="O377" s="6">
        <f>[1]Hybrid!N45</f>
        <v>174.77626290000001</v>
      </c>
      <c r="P377" s="6">
        <f>[1]Hybrid!O45</f>
        <v>208.89116129999999</v>
      </c>
      <c r="Q377" s="6">
        <f>[1]Hybrid!P45</f>
        <v>245.37580080000001</v>
      </c>
      <c r="R377" s="6">
        <f>[1]Hybrid!Q45</f>
        <v>283.6534102</v>
      </c>
      <c r="S377" s="6">
        <f>[1]Hybrid!R45</f>
        <v>323.93313119999999</v>
      </c>
      <c r="T377" s="6">
        <f>[1]Hybrid!S45</f>
        <v>365.78372300000001</v>
      </c>
      <c r="U377" s="6">
        <f>[1]Hybrid!T45</f>
        <v>408.90822129999998</v>
      </c>
      <c r="V377" s="6">
        <f>[1]Hybrid!U45</f>
        <v>453.09626700000001</v>
      </c>
      <c r="W377" s="6">
        <f>[1]Hybrid!V45</f>
        <v>498.17367189999999</v>
      </c>
      <c r="X377" s="6">
        <f>[1]Hybrid!W45</f>
        <v>543.97412510000004</v>
      </c>
      <c r="Y377" s="6">
        <f>[1]Hybrid!X45</f>
        <v>590.31356489999996</v>
      </c>
      <c r="Z377" s="6">
        <f>[1]Hybrid!Y45</f>
        <v>636.96098900000004</v>
      </c>
      <c r="AA377" s="6">
        <f>[1]Hybrid!Z45</f>
        <v>683.59161310000002</v>
      </c>
      <c r="AB377" s="6">
        <f>[1]Hybrid!AA45</f>
        <v>729.79871809999997</v>
      </c>
      <c r="AC377" s="6">
        <f>[1]Hybrid!AB45</f>
        <v>775.10827700000004</v>
      </c>
      <c r="AD377" s="6">
        <f>[1]Hybrid!AC45</f>
        <v>819.01067799999998</v>
      </c>
      <c r="AE377" s="6">
        <f>[1]Hybrid!AD45</f>
        <v>860.97992750000003</v>
      </c>
      <c r="AF377" s="6">
        <f>[1]Hybrid!AE45</f>
        <v>900.5227754</v>
      </c>
      <c r="AG377" s="6">
        <f>[1]Hybrid!AF45</f>
        <v>937.17847140000003</v>
      </c>
      <c r="AH377" s="6">
        <f>[1]Hybrid!AG45</f>
        <v>970.53025019999995</v>
      </c>
      <c r="AI377" s="6">
        <f>[1]Hybrid!AH45</f>
        <v>1000.222227</v>
      </c>
      <c r="AJ377" s="6">
        <f>[1]Hybrid!AI45</f>
        <v>1025.973348</v>
      </c>
      <c r="AK377" s="6">
        <f>[1]Hybrid!AJ45</f>
        <v>1047.5875269999999</v>
      </c>
      <c r="AL377" s="6">
        <f>[1]Hybrid!AK45</f>
        <v>1064.9581760000001</v>
      </c>
    </row>
    <row r="378" spans="2:38" x14ac:dyDescent="0.35">
      <c r="B378" s="6" t="str">
        <f>[1]Hybrid!A47</f>
        <v>auto_ca_cgas_0</v>
      </c>
      <c r="C378" s="6">
        <f>[1]Hybrid!B47</f>
        <v>0.42568169729999999</v>
      </c>
      <c r="D378" s="6">
        <f>[1]Hybrid!C47</f>
        <v>0.44862641349999999</v>
      </c>
      <c r="E378" s="6">
        <f>[1]Hybrid!D47</f>
        <v>0.4741544801</v>
      </c>
      <c r="F378" s="6">
        <f>[1]Hybrid!E47</f>
        <v>0.49974814449999999</v>
      </c>
      <c r="G378" s="6">
        <f>[1]Hybrid!F47</f>
        <v>0.52445425720000005</v>
      </c>
      <c r="H378" s="6">
        <f>[1]Hybrid!G47</f>
        <v>0.54746152150000005</v>
      </c>
      <c r="I378" s="6">
        <f>[1]Hybrid!H47</f>
        <v>0.56674272780000001</v>
      </c>
      <c r="J378" s="6">
        <f>[1]Hybrid!I47</f>
        <v>0.58123304730000003</v>
      </c>
      <c r="K378" s="6">
        <f>[1]Hybrid!J47</f>
        <v>0.58980980400000005</v>
      </c>
      <c r="L378" s="6">
        <f>[1]Hybrid!K47</f>
        <v>0.59151053300000001</v>
      </c>
      <c r="M378" s="6">
        <f>[1]Hybrid!L47</f>
        <v>0.585879131</v>
      </c>
      <c r="N378" s="6">
        <f>[1]Hybrid!M47</f>
        <v>0.57322511909999996</v>
      </c>
      <c r="O378" s="6">
        <f>[1]Hybrid!N47</f>
        <v>0.55460224130000002</v>
      </c>
      <c r="P378" s="6">
        <f>[1]Hybrid!O47</f>
        <v>0.53154200880000002</v>
      </c>
      <c r="Q378" s="6">
        <f>[1]Hybrid!P47</f>
        <v>0.50569838300000003</v>
      </c>
      <c r="R378" s="6">
        <f>[1]Hybrid!Q47</f>
        <v>0.4785368197</v>
      </c>
      <c r="S378" s="6">
        <f>[1]Hybrid!R47</f>
        <v>0.45132390999999999</v>
      </c>
      <c r="T378" s="6">
        <f>[1]Hybrid!S47</f>
        <v>0.42483419379999998</v>
      </c>
      <c r="U378" s="6">
        <f>[1]Hybrid!T47</f>
        <v>0.3994279852</v>
      </c>
      <c r="V378" s="6">
        <f>[1]Hybrid!U47</f>
        <v>0.37525729990000001</v>
      </c>
      <c r="W378" s="6">
        <f>[1]Hybrid!V47</f>
        <v>0.35236977889999999</v>
      </c>
      <c r="X378" s="6">
        <f>[1]Hybrid!W47</f>
        <v>0.33075984120000002</v>
      </c>
      <c r="Y378" s="6">
        <f>[1]Hybrid!X47</f>
        <v>0.31039436040000001</v>
      </c>
      <c r="Z378" s="6">
        <f>[1]Hybrid!Y47</f>
        <v>0.29122600599999998</v>
      </c>
      <c r="AA378" s="6">
        <f>[1]Hybrid!Z47</f>
        <v>0.27320045949999999</v>
      </c>
      <c r="AB378" s="6">
        <f>[1]Hybrid!AA47</f>
        <v>0.25626052830000001</v>
      </c>
      <c r="AC378" s="6">
        <f>[1]Hybrid!AB47</f>
        <v>0.2403484974</v>
      </c>
      <c r="AD378" s="6">
        <f>[1]Hybrid!AC47</f>
        <v>0.2254075026</v>
      </c>
      <c r="AE378" s="6">
        <f>[1]Hybrid!AD47</f>
        <v>0.2113823158</v>
      </c>
      <c r="AF378" s="6">
        <f>[1]Hybrid!AE47</f>
        <v>0.19821979819999999</v>
      </c>
      <c r="AG378" s="6">
        <f>[1]Hybrid!AF47</f>
        <v>0.1858691398</v>
      </c>
      <c r="AH378" s="6">
        <f>[1]Hybrid!AG47</f>
        <v>0.17428197840000001</v>
      </c>
      <c r="AI378" s="6">
        <f>[1]Hybrid!AH47</f>
        <v>0.16341243329999999</v>
      </c>
      <c r="AJ378" s="6">
        <f>[1]Hybrid!AI47</f>
        <v>0.1532170839</v>
      </c>
      <c r="AK378" s="6">
        <f>[1]Hybrid!AJ47</f>
        <v>0.1436549114</v>
      </c>
      <c r="AL378" s="6">
        <f>[1]Hybrid!AK47</f>
        <v>0.13468721989999999</v>
      </c>
    </row>
    <row r="379" spans="2:38" x14ac:dyDescent="0.35">
      <c r="B379" s="6" t="str">
        <f>[1]Hybrid!A49</f>
        <v>auto_cb_cgas_0</v>
      </c>
      <c r="C379" s="6">
        <f>[1]Hybrid!B49</f>
        <v>0.49500522540000003</v>
      </c>
      <c r="D379" s="6">
        <f>[1]Hybrid!C49</f>
        <v>0.51145848370000002</v>
      </c>
      <c r="E379" s="6">
        <f>[1]Hybrid!D49</f>
        <v>0.5304889626</v>
      </c>
      <c r="F379" s="6">
        <f>[1]Hybrid!E49</f>
        <v>0.54958364209999999</v>
      </c>
      <c r="G379" s="6">
        <f>[1]Hybrid!F49</f>
        <v>0.5677740657</v>
      </c>
      <c r="H379" s="6">
        <f>[1]Hybrid!G49</f>
        <v>0.58432322709999995</v>
      </c>
      <c r="I379" s="6">
        <f>[1]Hybrid!H49</f>
        <v>0.59729824580000002</v>
      </c>
      <c r="J379" s="6">
        <f>[1]Hybrid!I49</f>
        <v>0.60559277489999996</v>
      </c>
      <c r="K379" s="6">
        <f>[1]Hybrid!J49</f>
        <v>0.60812802079999995</v>
      </c>
      <c r="L379" s="6">
        <f>[1]Hybrid!K49</f>
        <v>0.60409381200000001</v>
      </c>
      <c r="M379" s="6">
        <f>[1]Hybrid!L49</f>
        <v>0.59327064129999996</v>
      </c>
      <c r="N379" s="6">
        <f>[1]Hybrid!M49</f>
        <v>0.57621109920000002</v>
      </c>
      <c r="O379" s="6">
        <f>[1]Hybrid!N49</f>
        <v>0.55413032510000004</v>
      </c>
      <c r="P379" s="6">
        <f>[1]Hybrid!O49</f>
        <v>0.52858718449999997</v>
      </c>
      <c r="Q379" s="6">
        <f>[1]Hybrid!P49</f>
        <v>0.50113409799999997</v>
      </c>
      <c r="R379" s="6">
        <f>[1]Hybrid!Q49</f>
        <v>0.47305879000000001</v>
      </c>
      <c r="S379" s="6">
        <f>[1]Hybrid!R49</f>
        <v>0.44539381010000001</v>
      </c>
      <c r="T379" s="6">
        <f>[1]Hybrid!S49</f>
        <v>0.41873136649999998</v>
      </c>
      <c r="U379" s="6">
        <f>[1]Hybrid!T49</f>
        <v>0.39332263639999998</v>
      </c>
      <c r="V379" s="6">
        <f>[1]Hybrid!U49</f>
        <v>0.36925443279999998</v>
      </c>
      <c r="W379" s="6">
        <f>[1]Hybrid!V49</f>
        <v>0.34653447240000002</v>
      </c>
      <c r="X379" s="6">
        <f>[1]Hybrid!W49</f>
        <v>0.32513194810000001</v>
      </c>
      <c r="Y379" s="6">
        <f>[1]Hybrid!X49</f>
        <v>0.30499731520000001</v>
      </c>
      <c r="Z379" s="6">
        <f>[1]Hybrid!Y49</f>
        <v>0.28607230560000002</v>
      </c>
      <c r="AA379" s="6">
        <f>[1]Hybrid!Z49</f>
        <v>0.26829519819999997</v>
      </c>
      <c r="AB379" s="6">
        <f>[1]Hybrid!AA49</f>
        <v>0.25160372669999997</v>
      </c>
      <c r="AC379" s="6">
        <f>[1]Hybrid!AB49</f>
        <v>0.23593668100000001</v>
      </c>
      <c r="AD379" s="6">
        <f>[1]Hybrid!AC49</f>
        <v>0.22123479430000001</v>
      </c>
      <c r="AE379" s="6">
        <f>[1]Hybrid!AD49</f>
        <v>0.20744121230000001</v>
      </c>
      <c r="AF379" s="6">
        <f>[1]Hybrid!AE49</f>
        <v>0.19450172860000001</v>
      </c>
      <c r="AG379" s="6">
        <f>[1]Hybrid!AF49</f>
        <v>0.18236487400000001</v>
      </c>
      <c r="AH379" s="6">
        <f>[1]Hybrid!AG49</f>
        <v>0.1709819239</v>
      </c>
      <c r="AI379" s="6">
        <f>[1]Hybrid!AH49</f>
        <v>0.16030685189999999</v>
      </c>
      <c r="AJ379" s="6">
        <f>[1]Hybrid!AI49</f>
        <v>0.15029624990000001</v>
      </c>
      <c r="AK379" s="6">
        <f>[1]Hybrid!AJ49</f>
        <v>0.14090922750000001</v>
      </c>
      <c r="AL379" s="6">
        <f>[1]Hybrid!AK49</f>
        <v>0.13210730209999999</v>
      </c>
    </row>
    <row r="380" spans="2:38" x14ac:dyDescent="0.35">
      <c r="B380" s="6" t="str">
        <f>[1]Hybrid!A51</f>
        <v>auto_cc_cgas_0</v>
      </c>
      <c r="C380" s="6">
        <f>[1]Hybrid!B51</f>
        <v>0.40659851759999999</v>
      </c>
      <c r="D380" s="6">
        <f>[1]Hybrid!C51</f>
        <v>0.41384140190000002</v>
      </c>
      <c r="E380" s="6">
        <f>[1]Hybrid!D51</f>
        <v>0.42292284460000001</v>
      </c>
      <c r="F380" s="6">
        <f>[1]Hybrid!E51</f>
        <v>0.43202865759999998</v>
      </c>
      <c r="G380" s="6">
        <f>[1]Hybrid!F51</f>
        <v>0.44044999159999998</v>
      </c>
      <c r="H380" s="6">
        <f>[1]Hybrid!G51</f>
        <v>0.44771517979999997</v>
      </c>
      <c r="I380" s="6">
        <f>[1]Hybrid!H51</f>
        <v>0.45250475480000002</v>
      </c>
      <c r="J380" s="6">
        <f>[1]Hybrid!I51</f>
        <v>0.45400023169999998</v>
      </c>
      <c r="K380" s="6">
        <f>[1]Hybrid!J51</f>
        <v>0.45147302620000002</v>
      </c>
      <c r="L380" s="6">
        <f>[1]Hybrid!K51</f>
        <v>0.44447123490000001</v>
      </c>
      <c r="M380" s="6">
        <f>[1]Hybrid!L51</f>
        <v>0.43302320129999999</v>
      </c>
      <c r="N380" s="6">
        <f>[1]Hybrid!M51</f>
        <v>0.41770060419999999</v>
      </c>
      <c r="O380" s="6">
        <f>[1]Hybrid!N51</f>
        <v>0.39947369929999998</v>
      </c>
      <c r="P380" s="6">
        <f>[1]Hybrid!O51</f>
        <v>0.37945353749999999</v>
      </c>
      <c r="Q380" s="6">
        <f>[1]Hybrid!P51</f>
        <v>0.35865766040000002</v>
      </c>
      <c r="R380" s="6">
        <f>[1]Hybrid!Q51</f>
        <v>0.33787073220000002</v>
      </c>
      <c r="S380" s="6">
        <f>[1]Hybrid!R51</f>
        <v>0.31767086309999998</v>
      </c>
      <c r="T380" s="6">
        <f>[1]Hybrid!S51</f>
        <v>0.29836302440000001</v>
      </c>
      <c r="U380" s="6">
        <f>[1]Hybrid!T51</f>
        <v>0.28005853250000001</v>
      </c>
      <c r="V380" s="6">
        <f>[1]Hybrid!U51</f>
        <v>0.26277977549999998</v>
      </c>
      <c r="W380" s="6">
        <f>[1]Hybrid!V51</f>
        <v>0.2465084417</v>
      </c>
      <c r="X380" s="6">
        <f>[1]Hybrid!W51</f>
        <v>0.231207634</v>
      </c>
      <c r="Y380" s="6">
        <f>[1]Hybrid!X51</f>
        <v>0.2168323073</v>
      </c>
      <c r="Z380" s="6">
        <f>[1]Hybrid!Y51</f>
        <v>0.2033343849</v>
      </c>
      <c r="AA380" s="6">
        <f>[1]Hybrid!Z51</f>
        <v>0.1906653583</v>
      </c>
      <c r="AB380" s="6">
        <f>[1]Hybrid!AA51</f>
        <v>0.1787776573</v>
      </c>
      <c r="AC380" s="6">
        <f>[1]Hybrid!AB51</f>
        <v>0.1676253597</v>
      </c>
      <c r="AD380" s="6">
        <f>[1]Hybrid!AC51</f>
        <v>0.15716454839999999</v>
      </c>
      <c r="AE380" s="6">
        <f>[1]Hybrid!AD51</f>
        <v>0.14735346730000001</v>
      </c>
      <c r="AF380" s="6">
        <f>[1]Hybrid!AE51</f>
        <v>0.13815256719999999</v>
      </c>
      <c r="AG380" s="6">
        <f>[1]Hybrid!AF51</f>
        <v>0.12952448620000001</v>
      </c>
      <c r="AH380" s="6">
        <f>[1]Hybrid!AG51</f>
        <v>0.1214339943</v>
      </c>
      <c r="AI380" s="6">
        <f>[1]Hybrid!AH51</f>
        <v>0.11384791599999999</v>
      </c>
      <c r="AJ380" s="6">
        <f>[1]Hybrid!AI51</f>
        <v>0.10673504139999999</v>
      </c>
      <c r="AK380" s="6">
        <f>[1]Hybrid!AJ51</f>
        <v>0.10006603159999999</v>
      </c>
      <c r="AL380" s="6">
        <f>[1]Hybrid!AK51</f>
        <v>9.3813322000000005E-2</v>
      </c>
    </row>
    <row r="381" spans="2:38" x14ac:dyDescent="0.35">
      <c r="B381" s="6" t="str">
        <f>[1]Hybrid!A53</f>
        <v>auto_cd_cgas_0</v>
      </c>
      <c r="C381" s="6">
        <f>[1]Hybrid!B53</f>
        <v>0.2495444651</v>
      </c>
      <c r="D381" s="6">
        <f>[1]Hybrid!C53</f>
        <v>0.25216206289999998</v>
      </c>
      <c r="E381" s="6">
        <f>[1]Hybrid!D53</f>
        <v>0.25602607620000001</v>
      </c>
      <c r="F381" s="6">
        <f>[1]Hybrid!E53</f>
        <v>0.26023134279999999</v>
      </c>
      <c r="G381" s="6">
        <f>[1]Hybrid!F53</f>
        <v>0.26446034010000002</v>
      </c>
      <c r="H381" s="6">
        <f>[1]Hybrid!G53</f>
        <v>0.26841050999999999</v>
      </c>
      <c r="I381" s="6">
        <f>[1]Hybrid!H53</f>
        <v>0.27137192300000001</v>
      </c>
      <c r="J381" s="6">
        <f>[1]Hybrid!I53</f>
        <v>0.27308420950000001</v>
      </c>
      <c r="K381" s="6">
        <f>[1]Hybrid!J53</f>
        <v>0.27329958970000001</v>
      </c>
      <c r="L381" s="6">
        <f>[1]Hybrid!K53</f>
        <v>0.27179071910000002</v>
      </c>
      <c r="M381" s="6">
        <f>[1]Hybrid!L53</f>
        <v>0.26839590270000002</v>
      </c>
      <c r="N381" s="6">
        <f>[1]Hybrid!M53</f>
        <v>0.26307825019999997</v>
      </c>
      <c r="O381" s="6">
        <f>[1]Hybrid!N53</f>
        <v>0.25594641530000001</v>
      </c>
      <c r="P381" s="6">
        <f>[1]Hybrid!O53</f>
        <v>0.24724076079999999</v>
      </c>
      <c r="Q381" s="6">
        <f>[1]Hybrid!P53</f>
        <v>0.23729913080000001</v>
      </c>
      <c r="R381" s="6">
        <f>[1]Hybrid!Q53</f>
        <v>0.2264993351</v>
      </c>
      <c r="S381" s="6">
        <f>[1]Hybrid!R53</f>
        <v>0.21531763640000001</v>
      </c>
      <c r="T381" s="6">
        <f>[1]Hybrid!S53</f>
        <v>0.2041123067</v>
      </c>
      <c r="U381" s="6">
        <f>[1]Hybrid!T53</f>
        <v>0.1930999977</v>
      </c>
      <c r="V381" s="6">
        <f>[1]Hybrid!U53</f>
        <v>0.1824084285</v>
      </c>
      <c r="W381" s="6">
        <f>[1]Hybrid!V53</f>
        <v>0.17211093029999999</v>
      </c>
      <c r="X381" s="6">
        <f>[1]Hybrid!W53</f>
        <v>0.1622474397</v>
      </c>
      <c r="Y381" s="6">
        <f>[1]Hybrid!X53</f>
        <v>0.15283698070000001</v>
      </c>
      <c r="Z381" s="6">
        <f>[1]Hybrid!Y53</f>
        <v>0.14388513859999999</v>
      </c>
      <c r="AA381" s="6">
        <f>[1]Hybrid!Z53</f>
        <v>0.13538865059999999</v>
      </c>
      <c r="AB381" s="6">
        <f>[1]Hybrid!AA53</f>
        <v>0.1273385594</v>
      </c>
      <c r="AC381" s="6">
        <f>[1]Hybrid!AB53</f>
        <v>0.1197222313</v>
      </c>
      <c r="AD381" s="6">
        <f>[1]Hybrid!AC53</f>
        <v>0.1125247228</v>
      </c>
      <c r="AE381" s="6">
        <f>[1]Hybrid!AD53</f>
        <v>0.1057296533</v>
      </c>
      <c r="AF381" s="6">
        <f>[1]Hybrid!AE53</f>
        <v>9.9319839800000004E-2</v>
      </c>
      <c r="AG381" s="6">
        <f>[1]Hybrid!AF53</f>
        <v>9.3277704000000003E-2</v>
      </c>
      <c r="AH381" s="6">
        <f>[1]Hybrid!AG53</f>
        <v>8.7585609699999997E-2</v>
      </c>
      <c r="AI381" s="6">
        <f>[1]Hybrid!AH53</f>
        <v>8.2226113200000006E-2</v>
      </c>
      <c r="AJ381" s="6">
        <f>[1]Hybrid!AI53</f>
        <v>7.7182134700000002E-2</v>
      </c>
      <c r="AK381" s="6">
        <f>[1]Hybrid!AJ53</f>
        <v>7.2437072500000005E-2</v>
      </c>
      <c r="AL381" s="6">
        <f>[1]Hybrid!AK53</f>
        <v>6.7974876899999995E-2</v>
      </c>
    </row>
    <row r="382" spans="2:38" x14ac:dyDescent="0.35">
      <c r="B382" s="6" t="str">
        <f>[1]Hybrid!A55</f>
        <v>auto_ce_cgas_0</v>
      </c>
      <c r="C382" s="6">
        <f>[1]Hybrid!B55</f>
        <v>0.15020246549999999</v>
      </c>
      <c r="D382" s="6">
        <f>[1]Hybrid!C55</f>
        <v>0.15196613950000001</v>
      </c>
      <c r="E382" s="6">
        <f>[1]Hybrid!D55</f>
        <v>0.1544077633</v>
      </c>
      <c r="F382" s="6">
        <f>[1]Hybrid!E55</f>
        <v>0.1569611484</v>
      </c>
      <c r="G382" s="6">
        <f>[1]Hybrid!F55</f>
        <v>0.1594315114</v>
      </c>
      <c r="H382" s="6">
        <f>[1]Hybrid!G55</f>
        <v>0.16164718650000001</v>
      </c>
      <c r="I382" s="6">
        <f>[1]Hybrid!H55</f>
        <v>0.16319101359999999</v>
      </c>
      <c r="J382" s="6">
        <f>[1]Hybrid!I55</f>
        <v>0.16391272370000001</v>
      </c>
      <c r="K382" s="6">
        <f>[1]Hybrid!J55</f>
        <v>0.1636838414</v>
      </c>
      <c r="L382" s="6">
        <f>[1]Hybrid!K55</f>
        <v>0.16240028679999999</v>
      </c>
      <c r="M382" s="6">
        <f>[1]Hybrid!L55</f>
        <v>0.16000317550000001</v>
      </c>
      <c r="N382" s="6">
        <f>[1]Hybrid!M55</f>
        <v>0.1565056571</v>
      </c>
      <c r="O382" s="6">
        <f>[1]Hybrid!N55</f>
        <v>0.1519972141</v>
      </c>
      <c r="P382" s="6">
        <f>[1]Hybrid!O55</f>
        <v>0.14663112340000001</v>
      </c>
      <c r="Q382" s="6">
        <f>[1]Hybrid!P55</f>
        <v>0.14060455660000001</v>
      </c>
      <c r="R382" s="6">
        <f>[1]Hybrid!Q55</f>
        <v>0.1341290604</v>
      </c>
      <c r="S382" s="6">
        <f>[1]Hybrid!R55</f>
        <v>0.12746691969999999</v>
      </c>
      <c r="T382" s="6">
        <f>[1]Hybrid!S55</f>
        <v>0.1208133176</v>
      </c>
      <c r="U382" s="6">
        <f>[1]Hybrid!T55</f>
        <v>0.11428659970000001</v>
      </c>
      <c r="V382" s="6">
        <f>[1]Hybrid!U55</f>
        <v>0.10795663079999999</v>
      </c>
      <c r="W382" s="6">
        <f>[1]Hybrid!V55</f>
        <v>0.1018634508</v>
      </c>
      <c r="X382" s="6">
        <f>[1]Hybrid!W55</f>
        <v>9.60287056E-2</v>
      </c>
      <c r="Y382" s="6">
        <f>[1]Hybrid!X55</f>
        <v>9.04624807E-2</v>
      </c>
      <c r="Z382" s="6">
        <f>[1]Hybrid!Y55</f>
        <v>8.5167407799999997E-2</v>
      </c>
      <c r="AA382" s="6">
        <f>[1]Hybrid!Z55</f>
        <v>8.0141187799999999E-2</v>
      </c>
      <c r="AB382" s="6">
        <f>[1]Hybrid!AA55</f>
        <v>7.5378353499999995E-2</v>
      </c>
      <c r="AC382" s="6">
        <f>[1]Hybrid!AB55</f>
        <v>7.0871393399999996E-2</v>
      </c>
      <c r="AD382" s="6">
        <f>[1]Hybrid!AC55</f>
        <v>6.6611514600000005E-2</v>
      </c>
      <c r="AE382" s="6">
        <f>[1]Hybrid!AD55</f>
        <v>6.2589124600000004E-2</v>
      </c>
      <c r="AF382" s="6">
        <f>[1]Hybrid!AE55</f>
        <v>5.8794186900000003E-2</v>
      </c>
      <c r="AG382" s="6">
        <f>[1]Hybrid!AF55</f>
        <v>5.5216441300000002E-2</v>
      </c>
      <c r="AH382" s="6">
        <f>[1]Hybrid!AG55</f>
        <v>5.1845589099999999E-2</v>
      </c>
      <c r="AI382" s="6">
        <f>[1]Hybrid!AH55</f>
        <v>4.8671432600000002E-2</v>
      </c>
      <c r="AJ382" s="6">
        <f>[1]Hybrid!AI55</f>
        <v>4.5683971900000002E-2</v>
      </c>
      <c r="AK382" s="6">
        <f>[1]Hybrid!AJ55</f>
        <v>4.2873469900000002E-2</v>
      </c>
      <c r="AL382" s="6">
        <f>[1]Hybrid!AK55</f>
        <v>4.0230496800000001E-2</v>
      </c>
    </row>
    <row r="383" spans="2:38" x14ac:dyDescent="0.35">
      <c r="B383" s="6" t="str">
        <f>[1]Hybrid!A57</f>
        <v>auto_cf_cgas_0</v>
      </c>
      <c r="C383" s="6">
        <f>[1]Hybrid!B57</f>
        <v>7.4609436000000001E-2</v>
      </c>
      <c r="D383" s="6">
        <f>[1]Hybrid!C57</f>
        <v>7.5284084900000006E-2</v>
      </c>
      <c r="E383" s="6">
        <f>[1]Hybrid!D57</f>
        <v>7.6209084600000004E-2</v>
      </c>
      <c r="F383" s="6">
        <f>[1]Hybrid!E57</f>
        <v>7.7112383000000007E-2</v>
      </c>
      <c r="G383" s="6">
        <f>[1]Hybrid!F57</f>
        <v>7.7909011700000003E-2</v>
      </c>
      <c r="H383" s="6">
        <f>[1]Hybrid!G57</f>
        <v>7.8524937399999994E-2</v>
      </c>
      <c r="I383" s="6">
        <f>[1]Hybrid!H57</f>
        <v>7.8789241400000001E-2</v>
      </c>
      <c r="J383" s="6">
        <f>[1]Hybrid!I57</f>
        <v>7.8671592799999995E-2</v>
      </c>
      <c r="K383" s="6">
        <f>[1]Hybrid!J57</f>
        <v>7.8159347599999998E-2</v>
      </c>
      <c r="L383" s="6">
        <f>[1]Hybrid!K57</f>
        <v>7.72496872E-2</v>
      </c>
      <c r="M383" s="6">
        <f>[1]Hybrid!L57</f>
        <v>7.5948525500000003E-2</v>
      </c>
      <c r="N383" s="6">
        <f>[1]Hybrid!M57</f>
        <v>7.4276256700000001E-2</v>
      </c>
      <c r="O383" s="6">
        <f>[1]Hybrid!N57</f>
        <v>7.2267076099999994E-2</v>
      </c>
      <c r="P383" s="6">
        <f>[1]Hybrid!O57</f>
        <v>6.9966003799999996E-2</v>
      </c>
      <c r="Q383" s="6">
        <f>[1]Hybrid!P57</f>
        <v>6.7426998799999999E-2</v>
      </c>
      <c r="R383" s="6">
        <f>[1]Hybrid!Q57</f>
        <v>6.4708360300000003E-2</v>
      </c>
      <c r="S383" s="6">
        <f>[1]Hybrid!R57</f>
        <v>6.1901422400000003E-2</v>
      </c>
      <c r="T383" s="6">
        <f>[1]Hybrid!S57</f>
        <v>5.9072479999999997E-2</v>
      </c>
      <c r="U383" s="6">
        <f>[1]Hybrid!T57</f>
        <v>5.6265805500000002E-2</v>
      </c>
      <c r="V383" s="6">
        <f>[1]Hybrid!U57</f>
        <v>5.3510429399999997E-2</v>
      </c>
      <c r="W383" s="6">
        <f>[1]Hybrid!V57</f>
        <v>5.0825125899999997E-2</v>
      </c>
      <c r="X383" s="6">
        <f>[1]Hybrid!W57</f>
        <v>4.8221892299999999E-2</v>
      </c>
      <c r="Y383" s="6">
        <f>[1]Hybrid!X57</f>
        <v>4.5708177799999999E-2</v>
      </c>
      <c r="Z383" s="6">
        <f>[1]Hybrid!Y57</f>
        <v>4.3288276100000002E-2</v>
      </c>
      <c r="AA383" s="6">
        <f>[1]Hybrid!Z57</f>
        <v>4.0964164599999998E-2</v>
      </c>
      <c r="AB383" s="6">
        <f>[1]Hybrid!AA57</f>
        <v>3.8736317200000002E-2</v>
      </c>
      <c r="AC383" s="6">
        <f>[1]Hybrid!AB57</f>
        <v>3.6604215900000001E-2</v>
      </c>
      <c r="AD383" s="6">
        <f>[1]Hybrid!AC57</f>
        <v>3.4566715300000002E-2</v>
      </c>
      <c r="AE383" s="6">
        <f>[1]Hybrid!AD57</f>
        <v>3.2622224300000002E-2</v>
      </c>
      <c r="AF383" s="6">
        <f>[1]Hybrid!AE57</f>
        <v>3.0768877100000001E-2</v>
      </c>
      <c r="AG383" s="6">
        <f>[1]Hybrid!AF57</f>
        <v>2.9004552400000001E-2</v>
      </c>
      <c r="AH383" s="6">
        <f>[1]Hybrid!AG57</f>
        <v>2.7326923600000001E-2</v>
      </c>
      <c r="AI383" s="6">
        <f>[1]Hybrid!AH57</f>
        <v>2.5733510099999999E-2</v>
      </c>
      <c r="AJ383" s="6">
        <f>[1]Hybrid!AI57</f>
        <v>2.4221712699999998E-2</v>
      </c>
      <c r="AK383" s="6">
        <f>[1]Hybrid!AJ57</f>
        <v>2.27888404E-2</v>
      </c>
      <c r="AL383" s="6">
        <f>[1]Hybrid!AK57</f>
        <v>2.1432129899999999E-2</v>
      </c>
    </row>
    <row r="384" spans="2:38" x14ac:dyDescent="0.35">
      <c r="B384" s="6" t="str">
        <f>[1]Hybrid!A59</f>
        <v>auto_cg_cgas_0</v>
      </c>
      <c r="C384" s="6">
        <f>[1]Hybrid!B59</f>
        <v>0.13435819299999999</v>
      </c>
      <c r="D384" s="6">
        <f>[1]Hybrid!C59</f>
        <v>0.13584232709999999</v>
      </c>
      <c r="E384" s="6">
        <f>[1]Hybrid!D59</f>
        <v>0.13758028750000001</v>
      </c>
      <c r="F384" s="6">
        <f>[1]Hybrid!E59</f>
        <v>0.13905288930000001</v>
      </c>
      <c r="G384" s="6">
        <f>[1]Hybrid!F59</f>
        <v>0.14011449610000001</v>
      </c>
      <c r="H384" s="6">
        <f>[1]Hybrid!G59</f>
        <v>0.14066556529999999</v>
      </c>
      <c r="I384" s="6">
        <f>[1]Hybrid!H59</f>
        <v>0.14044458200000001</v>
      </c>
      <c r="J384" s="6">
        <f>[1]Hybrid!I59</f>
        <v>0.139429674</v>
      </c>
      <c r="K384" s="6">
        <f>[1]Hybrid!J59</f>
        <v>0.13764136860000001</v>
      </c>
      <c r="L384" s="6">
        <f>[1]Hybrid!K59</f>
        <v>0.1351245261</v>
      </c>
      <c r="M384" s="6">
        <f>[1]Hybrid!L59</f>
        <v>0.13194083349999999</v>
      </c>
      <c r="N384" s="6">
        <f>[1]Hybrid!M59</f>
        <v>0.1281731663</v>
      </c>
      <c r="O384" s="6">
        <f>[1]Hybrid!N59</f>
        <v>0.1239191451</v>
      </c>
      <c r="P384" s="6">
        <f>[1]Hybrid!O59</f>
        <v>0.1192825586</v>
      </c>
      <c r="Q384" s="6">
        <f>[1]Hybrid!P59</f>
        <v>0.1143682117</v>
      </c>
      <c r="R384" s="6">
        <f>[1]Hybrid!Q59</f>
        <v>0.10927562239999999</v>
      </c>
      <c r="S384" s="6">
        <f>[1]Hybrid!R59</f>
        <v>0.1041405593</v>
      </c>
      <c r="T384" s="6">
        <f>[1]Hybrid!S59</f>
        <v>9.9057730699999999E-2</v>
      </c>
      <c r="U384" s="6">
        <f>[1]Hybrid!T59</f>
        <v>9.40870927E-2</v>
      </c>
      <c r="V384" s="6">
        <f>[1]Hybrid!U59</f>
        <v>8.92651005E-2</v>
      </c>
      <c r="W384" s="6">
        <f>[1]Hybrid!V59</f>
        <v>8.4612744899999995E-2</v>
      </c>
      <c r="X384" s="6">
        <f>[1]Hybrid!W59</f>
        <v>8.0141072800000004E-2</v>
      </c>
      <c r="Y384" s="6">
        <f>[1]Hybrid!X59</f>
        <v>7.5854655800000004E-2</v>
      </c>
      <c r="Z384" s="6">
        <f>[1]Hybrid!Y59</f>
        <v>7.1753743600000003E-2</v>
      </c>
      <c r="AA384" s="6">
        <f>[1]Hybrid!Z59</f>
        <v>6.7835524699999997E-2</v>
      </c>
      <c r="AB384" s="6">
        <f>[1]Hybrid!AA59</f>
        <v>6.4095449400000004E-2</v>
      </c>
      <c r="AC384" s="6">
        <f>[1]Hybrid!AB59</f>
        <v>6.05280859E-2</v>
      </c>
      <c r="AD384" s="6">
        <f>[1]Hybrid!AC59</f>
        <v>5.7127737200000001E-2</v>
      </c>
      <c r="AE384" s="6">
        <f>[1]Hybrid!AD59</f>
        <v>5.3888731500000002E-2</v>
      </c>
      <c r="AF384" s="6">
        <f>[1]Hybrid!AE59</f>
        <v>5.08056988E-2</v>
      </c>
      <c r="AG384" s="6">
        <f>[1]Hybrid!AF59</f>
        <v>4.7873504300000001E-2</v>
      </c>
      <c r="AH384" s="6">
        <f>[1]Hybrid!AG59</f>
        <v>4.5087204899999997E-2</v>
      </c>
      <c r="AI384" s="6">
        <f>[1]Hybrid!AH59</f>
        <v>4.2442010299999999E-2</v>
      </c>
      <c r="AJ384" s="6">
        <f>[1]Hybrid!AI59</f>
        <v>3.9933230100000001E-2</v>
      </c>
      <c r="AK384" s="6">
        <f>[1]Hybrid!AJ59</f>
        <v>3.7556222600000001E-2</v>
      </c>
      <c r="AL384" s="6">
        <f>[1]Hybrid!AK59</f>
        <v>3.53063495E-2</v>
      </c>
    </row>
    <row r="386" spans="1:38" x14ac:dyDescent="0.35">
      <c r="A386" s="12" t="s">
        <v>64</v>
      </c>
      <c r="B386" t="s">
        <v>83</v>
      </c>
      <c r="C386" s="2">
        <v>42005</v>
      </c>
      <c r="D386" s="2">
        <v>42370</v>
      </c>
      <c r="E386" s="2">
        <v>42736</v>
      </c>
      <c r="F386" s="2">
        <v>43101</v>
      </c>
      <c r="G386" s="2">
        <v>43466</v>
      </c>
      <c r="H386" s="2">
        <v>43831</v>
      </c>
      <c r="I386" s="2">
        <v>44197</v>
      </c>
      <c r="J386" s="2">
        <v>44562</v>
      </c>
      <c r="K386" s="2">
        <v>44927</v>
      </c>
      <c r="L386" s="2">
        <v>45292</v>
      </c>
      <c r="M386" s="2">
        <v>45658</v>
      </c>
      <c r="N386" s="2">
        <v>46023</v>
      </c>
      <c r="O386" s="2">
        <v>46388</v>
      </c>
      <c r="P386" s="2">
        <v>46753</v>
      </c>
      <c r="Q386" s="2">
        <v>47119</v>
      </c>
      <c r="R386" s="2">
        <v>47484</v>
      </c>
      <c r="S386" s="2">
        <v>47849</v>
      </c>
      <c r="T386" s="2">
        <v>48214</v>
      </c>
      <c r="U386" s="2">
        <v>48580</v>
      </c>
      <c r="V386" s="2">
        <v>48945</v>
      </c>
      <c r="W386" s="2">
        <v>49310</v>
      </c>
      <c r="X386" s="2">
        <v>49675</v>
      </c>
      <c r="Y386" s="2">
        <v>50041</v>
      </c>
      <c r="Z386" s="2">
        <v>50406</v>
      </c>
      <c r="AA386" s="2">
        <v>50771</v>
      </c>
      <c r="AB386" s="2">
        <v>51136</v>
      </c>
      <c r="AC386" s="2">
        <v>51502</v>
      </c>
      <c r="AD386" s="2">
        <v>51867</v>
      </c>
      <c r="AE386" s="2">
        <v>52232</v>
      </c>
      <c r="AF386" s="2">
        <v>52597</v>
      </c>
      <c r="AG386" s="2">
        <v>52963</v>
      </c>
      <c r="AH386" s="2">
        <v>53328</v>
      </c>
      <c r="AI386" s="2">
        <v>53693</v>
      </c>
      <c r="AJ386" s="2">
        <v>54058</v>
      </c>
      <c r="AK386" s="2">
        <v>54424</v>
      </c>
      <c r="AL386" s="2">
        <v>54789</v>
      </c>
    </row>
    <row r="387" spans="1:38" x14ac:dyDescent="0.35">
      <c r="A387" t="s">
        <v>26</v>
      </c>
      <c r="B387" t="s">
        <v>70</v>
      </c>
      <c r="C387" s="6">
        <f>C364+C371+C378</f>
        <v>7105.9689965623002</v>
      </c>
      <c r="D387" s="6">
        <f t="shared" ref="D387:AL387" si="89">D364+D371+D378</f>
        <v>7158.3462152235006</v>
      </c>
      <c r="E387" s="6">
        <f t="shared" si="89"/>
        <v>7269.0502833800992</v>
      </c>
      <c r="F387" s="6">
        <f t="shared" si="89"/>
        <v>7413.5761789444996</v>
      </c>
      <c r="G387" s="6">
        <f t="shared" si="89"/>
        <v>7585.6595938572</v>
      </c>
      <c r="H387" s="6">
        <f t="shared" si="89"/>
        <v>7774.0757893214995</v>
      </c>
      <c r="I387" s="6">
        <f t="shared" si="89"/>
        <v>7956.5211239278005</v>
      </c>
      <c r="J387" s="6">
        <f t="shared" si="89"/>
        <v>8135.8859853473004</v>
      </c>
      <c r="K387" s="6">
        <f t="shared" si="89"/>
        <v>8316.5975151040002</v>
      </c>
      <c r="L387" s="6">
        <f t="shared" si="89"/>
        <v>8503.1712895330002</v>
      </c>
      <c r="M387" s="6">
        <f t="shared" si="89"/>
        <v>8699.1651951309996</v>
      </c>
      <c r="N387" s="6">
        <f t="shared" si="89"/>
        <v>8907.0992821190994</v>
      </c>
      <c r="O387" s="6">
        <f t="shared" si="89"/>
        <v>9127.6821802412996</v>
      </c>
      <c r="P387" s="6">
        <f t="shared" si="89"/>
        <v>9359.2213280088017</v>
      </c>
      <c r="Q387" s="6">
        <f t="shared" si="89"/>
        <v>9598.6689063829999</v>
      </c>
      <c r="R387" s="6">
        <f t="shared" si="89"/>
        <v>9842.5915098197001</v>
      </c>
      <c r="S387" s="6">
        <f t="shared" si="89"/>
        <v>10098.67747291</v>
      </c>
      <c r="T387" s="6">
        <f t="shared" si="89"/>
        <v>10358.5439341938</v>
      </c>
      <c r="U387" s="6">
        <f t="shared" si="89"/>
        <v>10615.948842985201</v>
      </c>
      <c r="V387" s="6">
        <f t="shared" si="89"/>
        <v>10867.234016299901</v>
      </c>
      <c r="W387" s="6">
        <f t="shared" si="89"/>
        <v>11110.7851717789</v>
      </c>
      <c r="X387" s="6">
        <f t="shared" si="89"/>
        <v>11346.3974848412</v>
      </c>
      <c r="Y387" s="6">
        <f t="shared" si="89"/>
        <v>11574.7704563604</v>
      </c>
      <c r="Z387" s="6">
        <f t="shared" si="89"/>
        <v>11797.107469006001</v>
      </c>
      <c r="AA387" s="6">
        <f t="shared" si="89"/>
        <v>12014.784195459501</v>
      </c>
      <c r="AB387" s="6">
        <f t="shared" si="89"/>
        <v>12229.3516855283</v>
      </c>
      <c r="AC387" s="6">
        <f t="shared" si="89"/>
        <v>12442.487702497401</v>
      </c>
      <c r="AD387" s="6">
        <f t="shared" si="89"/>
        <v>12656.016751502599</v>
      </c>
      <c r="AE387" s="6">
        <f t="shared" si="89"/>
        <v>12871.7898403158</v>
      </c>
      <c r="AF387" s="6">
        <f t="shared" si="89"/>
        <v>13091.529477798198</v>
      </c>
      <c r="AG387" s="6">
        <f t="shared" si="89"/>
        <v>13316.533665139801</v>
      </c>
      <c r="AH387" s="6">
        <f t="shared" si="89"/>
        <v>13547.626572978399</v>
      </c>
      <c r="AI387" s="6">
        <f t="shared" si="89"/>
        <v>13785.2163654333</v>
      </c>
      <c r="AJ387" s="6">
        <f t="shared" si="89"/>
        <v>14029.3648960839</v>
      </c>
      <c r="AK387" s="6">
        <f t="shared" si="89"/>
        <v>14279.8516839114</v>
      </c>
      <c r="AL387" s="6">
        <f t="shared" si="89"/>
        <v>14536.2219982199</v>
      </c>
    </row>
    <row r="388" spans="1:38" x14ac:dyDescent="0.35">
      <c r="B388" t="s">
        <v>71</v>
      </c>
      <c r="C388" s="6">
        <f t="shared" ref="C388:AL388" si="90">C365+C372+C379</f>
        <v>8263.1971436354015</v>
      </c>
      <c r="D388" s="6">
        <f t="shared" si="90"/>
        <v>8200.6204125536988</v>
      </c>
      <c r="E388" s="6">
        <f t="shared" si="90"/>
        <v>8201.6478682226007</v>
      </c>
      <c r="F388" s="6">
        <f t="shared" si="90"/>
        <v>8241.9870020421004</v>
      </c>
      <c r="G388" s="6">
        <f t="shared" si="90"/>
        <v>8315.1432601656998</v>
      </c>
      <c r="H388" s="6">
        <f t="shared" si="90"/>
        <v>8410.2543860270998</v>
      </c>
      <c r="I388" s="6">
        <f t="shared" si="90"/>
        <v>8505.6883130458009</v>
      </c>
      <c r="J388" s="6">
        <f t="shared" si="90"/>
        <v>8603.6390468748996</v>
      </c>
      <c r="K388" s="6">
        <f t="shared" si="90"/>
        <v>8708.1128141207992</v>
      </c>
      <c r="L388" s="6">
        <f t="shared" si="90"/>
        <v>8823.4643788120011</v>
      </c>
      <c r="M388" s="6">
        <f t="shared" si="90"/>
        <v>8953.2836376413015</v>
      </c>
      <c r="N388" s="6">
        <f t="shared" si="90"/>
        <v>9100.1886160991999</v>
      </c>
      <c r="O388" s="6">
        <f t="shared" si="90"/>
        <v>9264.9768023250999</v>
      </c>
      <c r="P388" s="6">
        <f t="shared" si="90"/>
        <v>9445.9946611845007</v>
      </c>
      <c r="Q388" s="6">
        <f t="shared" si="90"/>
        <v>9640.1105390979992</v>
      </c>
      <c r="R388" s="6">
        <f t="shared" si="90"/>
        <v>9843.6726507900003</v>
      </c>
      <c r="S388" s="6">
        <f t="shared" si="90"/>
        <v>10063.7856208101</v>
      </c>
      <c r="T388" s="6">
        <f t="shared" si="90"/>
        <v>10292.316035366501</v>
      </c>
      <c r="U388" s="6">
        <f t="shared" si="90"/>
        <v>10522.9231956364</v>
      </c>
      <c r="V388" s="6">
        <f t="shared" si="90"/>
        <v>10751.5918724328</v>
      </c>
      <c r="W388" s="6">
        <f t="shared" si="90"/>
        <v>10976.213476472401</v>
      </c>
      <c r="X388" s="6">
        <f t="shared" si="90"/>
        <v>11196.044291948101</v>
      </c>
      <c r="Y388" s="6">
        <f t="shared" si="90"/>
        <v>11411.253778315198</v>
      </c>
      <c r="Z388" s="6">
        <f t="shared" si="90"/>
        <v>11622.549458305601</v>
      </c>
      <c r="AA388" s="6">
        <f t="shared" si="90"/>
        <v>11830.850422198202</v>
      </c>
      <c r="AB388" s="6">
        <f t="shared" si="90"/>
        <v>12037.288056726698</v>
      </c>
      <c r="AC388" s="6">
        <f t="shared" si="90"/>
        <v>12243.154296681001</v>
      </c>
      <c r="AD388" s="6">
        <f t="shared" si="90"/>
        <v>12449.917272794301</v>
      </c>
      <c r="AE388" s="6">
        <f t="shared" si="90"/>
        <v>12659.098454212301</v>
      </c>
      <c r="AF388" s="6">
        <f t="shared" si="90"/>
        <v>12872.123830728598</v>
      </c>
      <c r="AG388" s="6">
        <f t="shared" si="90"/>
        <v>13090.030218873999</v>
      </c>
      <c r="AH388" s="6">
        <f t="shared" si="90"/>
        <v>13313.4130939239</v>
      </c>
      <c r="AI388" s="6">
        <f t="shared" si="90"/>
        <v>13542.4805018519</v>
      </c>
      <c r="AJ388" s="6">
        <f t="shared" si="90"/>
        <v>13777.119827249899</v>
      </c>
      <c r="AK388" s="6">
        <f t="shared" si="90"/>
        <v>14016.960105227501</v>
      </c>
      <c r="AL388" s="6">
        <f t="shared" si="90"/>
        <v>14261.419603302102</v>
      </c>
    </row>
    <row r="389" spans="1:38" x14ac:dyDescent="0.35">
      <c r="B389" t="s">
        <v>72</v>
      </c>
      <c r="C389" s="6">
        <f t="shared" ref="C389:AL389" si="91">C366+C373+C380</f>
        <v>6787.4105911386005</v>
      </c>
      <c r="D389" s="6">
        <f t="shared" si="91"/>
        <v>6660.4795198619004</v>
      </c>
      <c r="E389" s="6">
        <f t="shared" si="91"/>
        <v>6583.2277877945999</v>
      </c>
      <c r="F389" s="6">
        <f t="shared" si="91"/>
        <v>6538.2986725576002</v>
      </c>
      <c r="G389" s="6">
        <f t="shared" si="91"/>
        <v>6520.8717272916001</v>
      </c>
      <c r="H389" s="6">
        <f t="shared" si="91"/>
        <v>6523.3877281797995</v>
      </c>
      <c r="I389" s="6">
        <f t="shared" si="91"/>
        <v>6530.7504863548002</v>
      </c>
      <c r="J389" s="6">
        <f t="shared" si="91"/>
        <v>6544.1140409317004</v>
      </c>
      <c r="K389" s="6">
        <f t="shared" si="91"/>
        <v>6566.1252169261998</v>
      </c>
      <c r="L389" s="6">
        <f t="shared" si="91"/>
        <v>6599.8464751349011</v>
      </c>
      <c r="M389" s="6">
        <f t="shared" si="91"/>
        <v>6647.8936942013006</v>
      </c>
      <c r="N389" s="6">
        <f t="shared" si="91"/>
        <v>6712.1963756042005</v>
      </c>
      <c r="O389" s="6">
        <f t="shared" si="91"/>
        <v>6793.3426326993003</v>
      </c>
      <c r="P389" s="6">
        <f t="shared" si="91"/>
        <v>6890.1124555375</v>
      </c>
      <c r="Q389" s="6">
        <f t="shared" si="91"/>
        <v>7000.1453506604003</v>
      </c>
      <c r="R389" s="6">
        <f t="shared" si="91"/>
        <v>7120.6307287321997</v>
      </c>
      <c r="S389" s="6">
        <f t="shared" si="91"/>
        <v>7256.3145428630996</v>
      </c>
      <c r="T389" s="6">
        <f t="shared" si="91"/>
        <v>7401.4894950243997</v>
      </c>
      <c r="U389" s="6">
        <f t="shared" si="91"/>
        <v>7551.5087005325004</v>
      </c>
      <c r="V389" s="6">
        <f t="shared" si="91"/>
        <v>7703.2243977754997</v>
      </c>
      <c r="W389" s="6">
        <f t="shared" si="91"/>
        <v>7854.7659014417004</v>
      </c>
      <c r="X389" s="6">
        <f t="shared" si="91"/>
        <v>8005.212510634</v>
      </c>
      <c r="Y389" s="6">
        <f t="shared" si="91"/>
        <v>8154.3058083072992</v>
      </c>
      <c r="Z389" s="6">
        <f t="shared" si="91"/>
        <v>8302.1978243849007</v>
      </c>
      <c r="AA389" s="6">
        <f t="shared" si="91"/>
        <v>8449.219545358299</v>
      </c>
      <c r="AB389" s="6">
        <f t="shared" si="91"/>
        <v>8595.8816996573005</v>
      </c>
      <c r="AC389" s="6">
        <f t="shared" si="91"/>
        <v>8742.8363703597006</v>
      </c>
      <c r="AD389" s="6">
        <f t="shared" si="91"/>
        <v>8890.8863605484003</v>
      </c>
      <c r="AE389" s="6">
        <f t="shared" si="91"/>
        <v>9040.8945334673008</v>
      </c>
      <c r="AF389" s="6">
        <f t="shared" si="91"/>
        <v>9193.6799505672006</v>
      </c>
      <c r="AG389" s="6">
        <f t="shared" si="91"/>
        <v>9349.8053014861998</v>
      </c>
      <c r="AH389" s="6">
        <f t="shared" si="91"/>
        <v>9509.5363739942986</v>
      </c>
      <c r="AI389" s="6">
        <f t="shared" si="91"/>
        <v>9672.8783387160001</v>
      </c>
      <c r="AJ389" s="6">
        <f t="shared" si="91"/>
        <v>9839.6220435413998</v>
      </c>
      <c r="AK389" s="6">
        <f t="shared" si="91"/>
        <v>10009.388120531599</v>
      </c>
      <c r="AL389" s="6">
        <f t="shared" si="91"/>
        <v>10181.661140022001</v>
      </c>
    </row>
    <row r="390" spans="1:38" x14ac:dyDescent="0.35">
      <c r="B390" t="s">
        <v>73</v>
      </c>
      <c r="C390" s="6">
        <f t="shared" ref="C390:AL390" si="92">C367+C374+C381</f>
        <v>4165.6835237371006</v>
      </c>
      <c r="D390" s="6">
        <f t="shared" si="92"/>
        <v>4062.9702954898999</v>
      </c>
      <c r="E390" s="6">
        <f t="shared" si="92"/>
        <v>3988.6221643562003</v>
      </c>
      <c r="F390" s="6">
        <f t="shared" si="92"/>
        <v>3932.3839145528004</v>
      </c>
      <c r="G390" s="6">
        <f t="shared" si="92"/>
        <v>3890.9945074000998</v>
      </c>
      <c r="H390" s="6">
        <f t="shared" si="92"/>
        <v>3859.8995323300005</v>
      </c>
      <c r="I390" s="6">
        <f t="shared" si="92"/>
        <v>3830.5004098230002</v>
      </c>
      <c r="J390" s="6">
        <f t="shared" si="92"/>
        <v>3802.7168943095003</v>
      </c>
      <c r="K390" s="6">
        <f t="shared" si="92"/>
        <v>3777.1793575897</v>
      </c>
      <c r="L390" s="6">
        <f t="shared" si="92"/>
        <v>3754.6506385190996</v>
      </c>
      <c r="M390" s="6">
        <f t="shared" si="92"/>
        <v>3735.6794946026998</v>
      </c>
      <c r="N390" s="6">
        <f t="shared" si="92"/>
        <v>3720.6731501501999</v>
      </c>
      <c r="O390" s="6">
        <f t="shared" si="92"/>
        <v>3709.7495447153001</v>
      </c>
      <c r="P390" s="6">
        <f t="shared" si="92"/>
        <v>3702.6073286608002</v>
      </c>
      <c r="Q390" s="6">
        <f t="shared" si="92"/>
        <v>3698.8020247307995</v>
      </c>
      <c r="R390" s="6">
        <f t="shared" si="92"/>
        <v>3697.9200013351001</v>
      </c>
      <c r="S390" s="6">
        <f t="shared" si="92"/>
        <v>3703.3738116363998</v>
      </c>
      <c r="T390" s="6">
        <f t="shared" si="92"/>
        <v>3714.1174743066999</v>
      </c>
      <c r="U390" s="6">
        <f t="shared" si="92"/>
        <v>3728.9696939976998</v>
      </c>
      <c r="V390" s="6">
        <f t="shared" si="92"/>
        <v>3746.9308124284998</v>
      </c>
      <c r="W390" s="6">
        <f t="shared" si="92"/>
        <v>3767.2346219302999</v>
      </c>
      <c r="X390" s="6">
        <f t="shared" si="92"/>
        <v>3789.3323424396999</v>
      </c>
      <c r="Y390" s="6">
        <f t="shared" si="92"/>
        <v>3812.8521179807003</v>
      </c>
      <c r="Z390" s="6">
        <f t="shared" si="92"/>
        <v>3837.5394521386002</v>
      </c>
      <c r="AA390" s="6">
        <f t="shared" si="92"/>
        <v>3863.1787826506002</v>
      </c>
      <c r="AB390" s="6">
        <f t="shared" si="92"/>
        <v>3889.6125965593997</v>
      </c>
      <c r="AC390" s="6">
        <f t="shared" si="92"/>
        <v>3916.7370682312999</v>
      </c>
      <c r="AD390" s="6">
        <f t="shared" si="92"/>
        <v>3944.5138517228002</v>
      </c>
      <c r="AE390" s="6">
        <f t="shared" si="92"/>
        <v>3972.9364792533001</v>
      </c>
      <c r="AF390" s="6">
        <f t="shared" si="92"/>
        <v>4002.0029029398002</v>
      </c>
      <c r="AG390" s="6">
        <f t="shared" si="92"/>
        <v>4031.6348743039998</v>
      </c>
      <c r="AH390" s="6">
        <f t="shared" si="92"/>
        <v>4061.6644591097001</v>
      </c>
      <c r="AI390" s="6">
        <f t="shared" si="92"/>
        <v>4091.8508941131995</v>
      </c>
      <c r="AJ390" s="6">
        <f t="shared" si="92"/>
        <v>4121.9009037346996</v>
      </c>
      <c r="AK390" s="6">
        <f t="shared" si="92"/>
        <v>4151.4881043724999</v>
      </c>
      <c r="AL390" s="6">
        <f t="shared" si="92"/>
        <v>4180.2683338769002</v>
      </c>
    </row>
    <row r="391" spans="1:38" x14ac:dyDescent="0.35">
      <c r="B391" t="s">
        <v>74</v>
      </c>
      <c r="C391" s="6">
        <f t="shared" ref="C391:AL391" si="93">C368+C375+C382</f>
        <v>2507.3524895615005</v>
      </c>
      <c r="D391" s="6">
        <f t="shared" si="93"/>
        <v>2447.9402454985002</v>
      </c>
      <c r="E391" s="6">
        <f t="shared" si="93"/>
        <v>2404.8653230632999</v>
      </c>
      <c r="F391" s="6">
        <f t="shared" si="93"/>
        <v>2371.7516691383998</v>
      </c>
      <c r="G391" s="6">
        <f t="shared" si="93"/>
        <v>2346.6099180213996</v>
      </c>
      <c r="H391" s="6">
        <f t="shared" si="93"/>
        <v>2326.7870808365001</v>
      </c>
      <c r="I391" s="6">
        <f t="shared" si="93"/>
        <v>2307.1872849736005</v>
      </c>
      <c r="J391" s="6">
        <f t="shared" si="93"/>
        <v>2287.7874092937</v>
      </c>
      <c r="K391" s="6">
        <f t="shared" si="93"/>
        <v>2269.0589071414001</v>
      </c>
      <c r="L391" s="6">
        <f t="shared" si="93"/>
        <v>2251.6014059868003</v>
      </c>
      <c r="M391" s="6">
        <f t="shared" si="93"/>
        <v>2235.9186315755001</v>
      </c>
      <c r="N391" s="6">
        <f t="shared" si="93"/>
        <v>2222.4549952570997</v>
      </c>
      <c r="O391" s="6">
        <f t="shared" si="93"/>
        <v>2211.4967491141001</v>
      </c>
      <c r="P391" s="6">
        <f t="shared" si="93"/>
        <v>2203.0798044233998</v>
      </c>
      <c r="Q391" s="6">
        <f t="shared" si="93"/>
        <v>2197.1272084565999</v>
      </c>
      <c r="R391" s="6">
        <f t="shared" si="93"/>
        <v>2193.5352478604</v>
      </c>
      <c r="S391" s="6">
        <f t="shared" si="93"/>
        <v>2194.4416387196998</v>
      </c>
      <c r="T391" s="6">
        <f t="shared" si="93"/>
        <v>2199.3985112176001</v>
      </c>
      <c r="U391" s="6">
        <f t="shared" si="93"/>
        <v>2207.7736699996999</v>
      </c>
      <c r="V391" s="6">
        <f t="shared" si="93"/>
        <v>2218.9545406307998</v>
      </c>
      <c r="W391" s="6">
        <f t="shared" si="93"/>
        <v>2232.4052534508</v>
      </c>
      <c r="X391" s="6">
        <f t="shared" si="93"/>
        <v>2247.6821677056</v>
      </c>
      <c r="Y391" s="6">
        <f t="shared" si="93"/>
        <v>2264.4268089806997</v>
      </c>
      <c r="Z391" s="6">
        <f t="shared" si="93"/>
        <v>2282.3403588077999</v>
      </c>
      <c r="AA391" s="6">
        <f t="shared" si="93"/>
        <v>2301.1391109878004</v>
      </c>
      <c r="AB391" s="6">
        <f t="shared" si="93"/>
        <v>2320.5719566534999</v>
      </c>
      <c r="AC391" s="6">
        <f t="shared" si="93"/>
        <v>2340.4221732934002</v>
      </c>
      <c r="AD391" s="6">
        <f t="shared" si="93"/>
        <v>2360.5187382146</v>
      </c>
      <c r="AE391" s="6">
        <f t="shared" si="93"/>
        <v>2380.7183115245998</v>
      </c>
      <c r="AF391" s="6">
        <f t="shared" si="93"/>
        <v>2400.8957512868997</v>
      </c>
      <c r="AG391" s="6">
        <f t="shared" si="93"/>
        <v>2420.8958093413003</v>
      </c>
      <c r="AH391" s="6">
        <f t="shared" si="93"/>
        <v>2440.5246800891005</v>
      </c>
      <c r="AI391" s="6">
        <f t="shared" si="93"/>
        <v>2459.5600361325996</v>
      </c>
      <c r="AJ391" s="6">
        <f t="shared" si="93"/>
        <v>2477.7632437719003</v>
      </c>
      <c r="AK391" s="6">
        <f t="shared" si="93"/>
        <v>2494.8912513698997</v>
      </c>
      <c r="AL391" s="6">
        <f t="shared" si="93"/>
        <v>2510.7060218968004</v>
      </c>
    </row>
    <row r="392" spans="1:38" x14ac:dyDescent="0.35">
      <c r="B392" t="s">
        <v>75</v>
      </c>
      <c r="C392" s="6">
        <f t="shared" ref="C392:AL392" si="94">C369+C376+C383</f>
        <v>1245.466605953</v>
      </c>
      <c r="D392" s="6">
        <f t="shared" si="94"/>
        <v>1213.2851161359001</v>
      </c>
      <c r="E392" s="6">
        <f t="shared" si="94"/>
        <v>1187.8512866725998</v>
      </c>
      <c r="F392" s="6">
        <f t="shared" si="94"/>
        <v>1165.8946186200001</v>
      </c>
      <c r="G392" s="6">
        <f t="shared" si="94"/>
        <v>1146.3705672017002</v>
      </c>
      <c r="H392" s="6">
        <f t="shared" si="94"/>
        <v>1128.0855057574001</v>
      </c>
      <c r="I392" s="6">
        <f t="shared" si="94"/>
        <v>1108.8401495913999</v>
      </c>
      <c r="J392" s="6">
        <f t="shared" si="94"/>
        <v>1088.6490924328</v>
      </c>
      <c r="K392" s="6">
        <f t="shared" si="94"/>
        <v>1067.7625727676</v>
      </c>
      <c r="L392" s="6">
        <f t="shared" si="94"/>
        <v>1046.4856158672001</v>
      </c>
      <c r="M392" s="6">
        <f t="shared" si="94"/>
        <v>1025.0784414855</v>
      </c>
      <c r="N392" s="6">
        <f t="shared" si="94"/>
        <v>1003.7936062267</v>
      </c>
      <c r="O392" s="6">
        <f t="shared" si="94"/>
        <v>982.85235187609999</v>
      </c>
      <c r="P392" s="6">
        <f t="shared" si="94"/>
        <v>962.41877640380005</v>
      </c>
      <c r="Q392" s="6">
        <f t="shared" si="94"/>
        <v>942.64058259880005</v>
      </c>
      <c r="R392" s="6">
        <f t="shared" si="94"/>
        <v>923.66572556029996</v>
      </c>
      <c r="S392" s="6">
        <f t="shared" si="94"/>
        <v>906.4538018223999</v>
      </c>
      <c r="T392" s="6">
        <f t="shared" si="94"/>
        <v>891.17346368000005</v>
      </c>
      <c r="U392" s="6">
        <f t="shared" si="94"/>
        <v>877.84582020549999</v>
      </c>
      <c r="V392" s="6">
        <f t="shared" si="94"/>
        <v>866.40853132940003</v>
      </c>
      <c r="W392" s="6">
        <f t="shared" si="94"/>
        <v>856.7461628259</v>
      </c>
      <c r="X392" s="6">
        <f t="shared" si="94"/>
        <v>848.71259269230006</v>
      </c>
      <c r="Y392" s="6">
        <f t="shared" si="94"/>
        <v>842.14224537780001</v>
      </c>
      <c r="Z392" s="6">
        <f t="shared" si="94"/>
        <v>836.8512880761001</v>
      </c>
      <c r="AA392" s="6">
        <f t="shared" si="94"/>
        <v>832.62623376459999</v>
      </c>
      <c r="AB392" s="6">
        <f t="shared" si="94"/>
        <v>829.23943541719996</v>
      </c>
      <c r="AC392" s="6">
        <f t="shared" si="94"/>
        <v>826.45913931589996</v>
      </c>
      <c r="AD392" s="6">
        <f t="shared" si="94"/>
        <v>824.06298811530007</v>
      </c>
      <c r="AE392" s="6">
        <f t="shared" si="94"/>
        <v>821.84033322429991</v>
      </c>
      <c r="AF392" s="6">
        <f t="shared" si="94"/>
        <v>819.60350287710003</v>
      </c>
      <c r="AG392" s="6">
        <f t="shared" si="94"/>
        <v>817.17745725240002</v>
      </c>
      <c r="AH392" s="6">
        <f t="shared" si="94"/>
        <v>814.39899842360001</v>
      </c>
      <c r="AI392" s="6">
        <f t="shared" si="94"/>
        <v>811.1205620101</v>
      </c>
      <c r="AJ392" s="6">
        <f t="shared" si="94"/>
        <v>807.21388001269997</v>
      </c>
      <c r="AK392" s="6">
        <f t="shared" si="94"/>
        <v>802.57308714039993</v>
      </c>
      <c r="AL392" s="6">
        <f t="shared" si="94"/>
        <v>797.11652572989988</v>
      </c>
    </row>
    <row r="393" spans="1:38" x14ac:dyDescent="0.35">
      <c r="B393" t="s">
        <v>76</v>
      </c>
      <c r="C393" s="6">
        <f t="shared" ref="C393:AL393" si="95">C370+C377+C384</f>
        <v>2242.8616504070001</v>
      </c>
      <c r="D393" s="6">
        <f t="shared" si="95"/>
        <v>2188.3527978681</v>
      </c>
      <c r="E393" s="6">
        <f t="shared" si="95"/>
        <v>2143.7750026644999</v>
      </c>
      <c r="F393" s="6">
        <f t="shared" si="95"/>
        <v>2102.9305655292997</v>
      </c>
      <c r="G393" s="6">
        <f t="shared" si="95"/>
        <v>2064.0103330961001</v>
      </c>
      <c r="H393" s="6">
        <f t="shared" si="95"/>
        <v>2025.1863998452998</v>
      </c>
      <c r="I393" s="6">
        <f t="shared" si="95"/>
        <v>1982.9774002920001</v>
      </c>
      <c r="J393" s="6">
        <f t="shared" si="95"/>
        <v>1937.7090999339998</v>
      </c>
      <c r="K393" s="6">
        <f t="shared" si="95"/>
        <v>1890.1614110386001</v>
      </c>
      <c r="L393" s="6">
        <f t="shared" si="95"/>
        <v>1841.2174287861001</v>
      </c>
      <c r="M393" s="6">
        <f t="shared" si="95"/>
        <v>1791.6696889335001</v>
      </c>
      <c r="N393" s="6">
        <f t="shared" si="95"/>
        <v>1742.2849819662999</v>
      </c>
      <c r="O393" s="6">
        <f t="shared" si="95"/>
        <v>1693.7598780450999</v>
      </c>
      <c r="P393" s="6">
        <f t="shared" si="95"/>
        <v>1646.6703848585998</v>
      </c>
      <c r="Q393" s="6">
        <f t="shared" si="95"/>
        <v>1601.5137740117</v>
      </c>
      <c r="R393" s="6">
        <f t="shared" si="95"/>
        <v>1558.7252928224</v>
      </c>
      <c r="S393" s="6">
        <f t="shared" si="95"/>
        <v>1519.9529217592999</v>
      </c>
      <c r="T393" s="6">
        <f t="shared" si="95"/>
        <v>1485.7045137307</v>
      </c>
      <c r="U393" s="6">
        <f t="shared" si="95"/>
        <v>1456.2058863927</v>
      </c>
      <c r="V393" s="6">
        <f t="shared" si="95"/>
        <v>1431.4936270004998</v>
      </c>
      <c r="W393" s="6">
        <f t="shared" si="95"/>
        <v>1411.4643099448999</v>
      </c>
      <c r="X393" s="6">
        <f t="shared" si="95"/>
        <v>1395.9141217727999</v>
      </c>
      <c r="Y393" s="6">
        <f t="shared" si="95"/>
        <v>1384.5555552557998</v>
      </c>
      <c r="Z393" s="6">
        <f t="shared" si="95"/>
        <v>1377.0141616436001</v>
      </c>
      <c r="AA393" s="6">
        <f t="shared" si="95"/>
        <v>1372.7966207247</v>
      </c>
      <c r="AB393" s="6">
        <f t="shared" si="95"/>
        <v>1371.3180100493998</v>
      </c>
      <c r="AC393" s="6">
        <f t="shared" si="95"/>
        <v>1371.9260799858998</v>
      </c>
      <c r="AD393" s="6">
        <f t="shared" si="95"/>
        <v>1373.9396661372</v>
      </c>
      <c r="AE393" s="6">
        <f t="shared" si="95"/>
        <v>1376.6706348314999</v>
      </c>
      <c r="AF393" s="6">
        <f t="shared" si="95"/>
        <v>1379.4755895988001</v>
      </c>
      <c r="AG393" s="6">
        <f t="shared" si="95"/>
        <v>1381.7541170043</v>
      </c>
      <c r="AH393" s="6">
        <f t="shared" si="95"/>
        <v>1382.9591242049</v>
      </c>
      <c r="AI393" s="6">
        <f t="shared" si="95"/>
        <v>1382.6126783103</v>
      </c>
      <c r="AJ393" s="6">
        <f t="shared" si="95"/>
        <v>1380.3188031300999</v>
      </c>
      <c r="AK393" s="6">
        <f t="shared" si="95"/>
        <v>1375.7725231226</v>
      </c>
      <c r="AL393" s="6">
        <f t="shared" si="95"/>
        <v>1368.7634188494999</v>
      </c>
    </row>
    <row r="395" spans="1:38" x14ac:dyDescent="0.35">
      <c r="A395" s="12" t="s">
        <v>65</v>
      </c>
      <c r="C395" s="2">
        <v>42005</v>
      </c>
      <c r="D395" s="2">
        <v>42370</v>
      </c>
      <c r="E395" s="2">
        <v>42736</v>
      </c>
      <c r="F395" s="2">
        <v>43101</v>
      </c>
      <c r="G395" s="2">
        <v>43466</v>
      </c>
      <c r="H395" s="2">
        <v>43831</v>
      </c>
      <c r="I395" s="2">
        <v>44197</v>
      </c>
      <c r="J395" s="2">
        <v>44562</v>
      </c>
      <c r="K395" s="2">
        <v>44927</v>
      </c>
      <c r="L395" s="2">
        <v>45292</v>
      </c>
      <c r="M395" s="2">
        <v>45658</v>
      </c>
      <c r="N395" s="2">
        <v>46023</v>
      </c>
      <c r="O395" s="2">
        <v>46388</v>
      </c>
      <c r="P395" s="2">
        <v>46753</v>
      </c>
      <c r="Q395" s="2">
        <v>47119</v>
      </c>
      <c r="R395" s="2">
        <v>47484</v>
      </c>
      <c r="S395" s="2">
        <v>47849</v>
      </c>
      <c r="T395" s="2">
        <v>48214</v>
      </c>
      <c r="U395" s="2">
        <v>48580</v>
      </c>
      <c r="V395" s="2">
        <v>48945</v>
      </c>
      <c r="W395" s="2">
        <v>49310</v>
      </c>
      <c r="X395" s="2">
        <v>49675</v>
      </c>
      <c r="Y395" s="2">
        <v>50041</v>
      </c>
      <c r="Z395" s="2">
        <v>50406</v>
      </c>
      <c r="AA395" s="2">
        <v>50771</v>
      </c>
      <c r="AB395" s="2">
        <v>51136</v>
      </c>
      <c r="AC395" s="2">
        <v>51502</v>
      </c>
      <c r="AD395" s="2">
        <v>51867</v>
      </c>
      <c r="AE395" s="2">
        <v>52232</v>
      </c>
      <c r="AF395" s="2">
        <v>52597</v>
      </c>
      <c r="AG395" s="2">
        <v>52963</v>
      </c>
      <c r="AH395" s="2">
        <v>53328</v>
      </c>
      <c r="AI395" s="2">
        <v>53693</v>
      </c>
      <c r="AJ395" s="2">
        <v>54058</v>
      </c>
      <c r="AK395" s="2">
        <v>54424</v>
      </c>
      <c r="AL395" s="2">
        <v>54789</v>
      </c>
    </row>
    <row r="396" spans="1:38" x14ac:dyDescent="0.35">
      <c r="A396" t="s">
        <v>27</v>
      </c>
      <c r="B396" t="s">
        <v>39</v>
      </c>
      <c r="C396" s="6">
        <f>[1]Results!F104</f>
        <v>3.476542051</v>
      </c>
      <c r="D396" s="6">
        <f>[1]Results!G104</f>
        <v>9.3899330590000005</v>
      </c>
      <c r="E396" s="6">
        <f>[1]Results!H104</f>
        <v>16.23543982</v>
      </c>
      <c r="F396" s="6">
        <f>[1]Results!I104</f>
        <v>23.313428680000001</v>
      </c>
      <c r="G396" s="6">
        <f>[1]Results!J104</f>
        <v>30.494529629999999</v>
      </c>
      <c r="H396" s="6">
        <f>[1]Results!K104</f>
        <v>37.50565074</v>
      </c>
      <c r="I396" s="6">
        <f>[1]Results!L104</f>
        <v>44.311045010000001</v>
      </c>
      <c r="J396" s="6">
        <f>[1]Results!M104</f>
        <v>51.29072532</v>
      </c>
      <c r="K396" s="6">
        <f>[1]Results!N104</f>
        <v>61.035328120000003</v>
      </c>
      <c r="L396" s="6">
        <f>[1]Results!O104</f>
        <v>75.330700989999997</v>
      </c>
      <c r="M396" s="6">
        <f>[1]Results!P104</f>
        <v>95.288309380000001</v>
      </c>
      <c r="N396" s="6">
        <f>[1]Results!Q104</f>
        <v>119.8220163</v>
      </c>
      <c r="O396" s="6">
        <f>[1]Results!R104</f>
        <v>145.08665329999999</v>
      </c>
      <c r="P396" s="6">
        <f>[1]Results!S104</f>
        <v>169.36732960000001</v>
      </c>
      <c r="Q396" s="6">
        <f>[1]Results!T104</f>
        <v>192.0102235</v>
      </c>
      <c r="R396" s="6">
        <f>[1]Results!U104</f>
        <v>212.8555418</v>
      </c>
      <c r="S396" s="6">
        <f>[1]Results!V104</f>
        <v>232.18768800000001</v>
      </c>
      <c r="T396" s="6">
        <f>[1]Results!W104</f>
        <v>250.7882329</v>
      </c>
      <c r="U396" s="6">
        <f>[1]Results!X104</f>
        <v>268.85489860000001</v>
      </c>
      <c r="V396" s="6">
        <f>[1]Results!Y104</f>
        <v>286.38106440000001</v>
      </c>
      <c r="W396" s="6">
        <f>[1]Results!Z104</f>
        <v>303.30836820000002</v>
      </c>
      <c r="X396" s="6">
        <f>[1]Results!AA104</f>
        <v>319.58209740000001</v>
      </c>
      <c r="Y396" s="6">
        <f>[1]Results!AB104</f>
        <v>335.1724226</v>
      </c>
      <c r="Z396" s="6">
        <f>[1]Results!AC104</f>
        <v>350.07682949999997</v>
      </c>
      <c r="AA396" s="6">
        <f>[1]Results!AD104</f>
        <v>364.31303780000002</v>
      </c>
      <c r="AB396" s="6">
        <f>[1]Results!AE104</f>
        <v>377.91309539999997</v>
      </c>
      <c r="AC396" s="6">
        <f>[1]Results!AF104</f>
        <v>390.9199721</v>
      </c>
      <c r="AD396" s="6">
        <f>[1]Results!AG104</f>
        <v>403.38462090000002</v>
      </c>
      <c r="AE396" s="6">
        <f>[1]Results!AH104</f>
        <v>415.36548260000001</v>
      </c>
      <c r="AF396" s="6">
        <f>[1]Results!AI104</f>
        <v>426.922391</v>
      </c>
      <c r="AG396" s="6">
        <f>[1]Results!AJ104</f>
        <v>438.10693850000001</v>
      </c>
      <c r="AH396" s="6">
        <f>[1]Results!AK104</f>
        <v>448.95918330000001</v>
      </c>
      <c r="AI396" s="6">
        <f>[1]Results!AL104</f>
        <v>459.50923210000002</v>
      </c>
      <c r="AJ396" s="6">
        <f>[1]Results!AM104</f>
        <v>469.78157220000003</v>
      </c>
      <c r="AK396" s="6">
        <f>[1]Results!AN104</f>
        <v>479.79857909999998</v>
      </c>
      <c r="AL396" s="6">
        <f>[1]Results!AO104</f>
        <v>489.58348039999998</v>
      </c>
    </row>
    <row r="397" spans="1:38" x14ac:dyDescent="0.35">
      <c r="B397" t="s">
        <v>40</v>
      </c>
      <c r="C397" s="6">
        <f>[1]Results!F105</f>
        <v>68.80476281</v>
      </c>
      <c r="D397" s="6">
        <f>[1]Results!G105</f>
        <v>74.476780860000005</v>
      </c>
      <c r="E397" s="6">
        <f>[1]Results!H105</f>
        <v>79.246083400000003</v>
      </c>
      <c r="F397" s="6">
        <f>[1]Results!I105</f>
        <v>83.332463770000004</v>
      </c>
      <c r="G397" s="6">
        <f>[1]Results!J105</f>
        <v>87.063876710000002</v>
      </c>
      <c r="H397" s="6">
        <f>[1]Results!K105</f>
        <v>90.589004770000003</v>
      </c>
      <c r="I397" s="6">
        <f>[1]Results!L105</f>
        <v>93.988710940000004</v>
      </c>
      <c r="J397" s="6">
        <f>[1]Results!M105</f>
        <v>97.274288010000006</v>
      </c>
      <c r="K397" s="6">
        <f>[1]Results!N105</f>
        <v>100.6054065</v>
      </c>
      <c r="L397" s="6">
        <f>[1]Results!O105</f>
        <v>104.0493025</v>
      </c>
      <c r="M397" s="6">
        <f>[1]Results!P105</f>
        <v>107.7975093</v>
      </c>
      <c r="N397" s="6">
        <f>[1]Results!Q105</f>
        <v>111.46320559999999</v>
      </c>
      <c r="O397" s="6">
        <f>[1]Results!R105</f>
        <v>114.95344489999999</v>
      </c>
      <c r="P397" s="6">
        <f>[1]Results!S105</f>
        <v>118.29651699999999</v>
      </c>
      <c r="Q397" s="6">
        <f>[1]Results!T105</f>
        <v>121.518897</v>
      </c>
      <c r="R397" s="6">
        <f>[1]Results!U105</f>
        <v>124.6400099</v>
      </c>
      <c r="S397" s="6">
        <f>[1]Results!V105</f>
        <v>127.6791369</v>
      </c>
      <c r="T397" s="6">
        <f>[1]Results!W105</f>
        <v>130.6551269</v>
      </c>
      <c r="U397" s="6">
        <f>[1]Results!X105</f>
        <v>133.56840030000001</v>
      </c>
      <c r="V397" s="6">
        <f>[1]Results!Y105</f>
        <v>136.41330669999999</v>
      </c>
      <c r="W397" s="6">
        <f>[1]Results!Z105</f>
        <v>139.18447459999999</v>
      </c>
      <c r="X397" s="6">
        <f>[1]Results!AA105</f>
        <v>141.87890089999999</v>
      </c>
      <c r="Y397" s="6">
        <f>[1]Results!AB105</f>
        <v>144.4929961</v>
      </c>
      <c r="Z397" s="6">
        <f>[1]Results!AC105</f>
        <v>147.02207780000001</v>
      </c>
      <c r="AA397" s="6">
        <f>[1]Results!AD105</f>
        <v>149.46081670000001</v>
      </c>
      <c r="AB397" s="6">
        <f>[1]Results!AE105</f>
        <v>151.8059083</v>
      </c>
      <c r="AC397" s="6">
        <f>[1]Results!AF105</f>
        <v>154.05539469999999</v>
      </c>
      <c r="AD397" s="6">
        <f>[1]Results!AG105</f>
        <v>156.2051218</v>
      </c>
      <c r="AE397" s="6">
        <f>[1]Results!AH105</f>
        <v>158.25385220000001</v>
      </c>
      <c r="AF397" s="6">
        <f>[1]Results!AI105</f>
        <v>160.2025659</v>
      </c>
      <c r="AG397" s="6">
        <f>[1]Results!AJ105</f>
        <v>162.0554617</v>
      </c>
      <c r="AH397" s="6">
        <f>[1]Results!AK105</f>
        <v>163.8179714</v>
      </c>
      <c r="AI397" s="6">
        <f>[1]Results!AL105</f>
        <v>165.49357069999999</v>
      </c>
      <c r="AJ397" s="6">
        <f>[1]Results!AM105</f>
        <v>167.08464950000001</v>
      </c>
      <c r="AK397" s="6">
        <f>[1]Results!AN105</f>
        <v>168.5927944</v>
      </c>
      <c r="AL397" s="6">
        <f>[1]Results!AO105</f>
        <v>170.01923239999999</v>
      </c>
    </row>
    <row r="398" spans="1:38" x14ac:dyDescent="0.35">
      <c r="B398" t="s">
        <v>41</v>
      </c>
      <c r="C398" s="6">
        <f>[1]Results!F106</f>
        <v>408.28039699999999</v>
      </c>
      <c r="D398" s="6">
        <f>[1]Results!G106</f>
        <v>421.43436380000003</v>
      </c>
      <c r="E398" s="6">
        <f>[1]Results!H106</f>
        <v>433.51228980000002</v>
      </c>
      <c r="F398" s="6">
        <f>[1]Results!I106</f>
        <v>444.25276350000001</v>
      </c>
      <c r="G398" s="6">
        <f>[1]Results!J106</f>
        <v>454.246914</v>
      </c>
      <c r="H398" s="6">
        <f>[1]Results!K106</f>
        <v>463.78016129999997</v>
      </c>
      <c r="I398" s="6">
        <f>[1]Results!L106</f>
        <v>473.01897830000001</v>
      </c>
      <c r="J398" s="6">
        <f>[1]Results!M106</f>
        <v>481.97105390000002</v>
      </c>
      <c r="K398" s="6">
        <f>[1]Results!N106</f>
        <v>490.97341340000003</v>
      </c>
      <c r="L398" s="6">
        <f>[1]Results!O106</f>
        <v>500.02113170000001</v>
      </c>
      <c r="M398" s="6">
        <f>[1]Results!P106</f>
        <v>508.70072370000003</v>
      </c>
      <c r="N398" s="6">
        <f>[1]Results!Q106</f>
        <v>517.20426190000001</v>
      </c>
      <c r="O398" s="6">
        <f>[1]Results!R106</f>
        <v>525.58315730000004</v>
      </c>
      <c r="P398" s="6">
        <f>[1]Results!S106</f>
        <v>533.84306170000002</v>
      </c>
      <c r="Q398" s="6">
        <f>[1]Results!T106</f>
        <v>541.97914579999997</v>
      </c>
      <c r="R398" s="6">
        <f>[1]Results!U106</f>
        <v>549.98781699999995</v>
      </c>
      <c r="S398" s="6">
        <f>[1]Results!V106</f>
        <v>557.87386100000003</v>
      </c>
      <c r="T398" s="6">
        <f>[1]Results!W106</f>
        <v>565.64135710000005</v>
      </c>
      <c r="U398" s="6">
        <f>[1]Results!X106</f>
        <v>573.27427729999999</v>
      </c>
      <c r="V398" s="6">
        <f>[1]Results!Y106</f>
        <v>580.75121939999997</v>
      </c>
      <c r="W398" s="6">
        <f>[1]Results!Z106</f>
        <v>588.05550059999996</v>
      </c>
      <c r="X398" s="6">
        <f>[1]Results!AA106</f>
        <v>595.17823090000002</v>
      </c>
      <c r="Y398" s="6">
        <f>[1]Results!AB106</f>
        <v>602.10883209999997</v>
      </c>
      <c r="Z398" s="6">
        <f>[1]Results!AC106</f>
        <v>608.83376310000006</v>
      </c>
      <c r="AA398" s="6">
        <f>[1]Results!AD106</f>
        <v>615.33822559999999</v>
      </c>
      <c r="AB398" s="6">
        <f>[1]Results!AE106</f>
        <v>621.61345930000005</v>
      </c>
      <c r="AC398" s="6">
        <f>[1]Results!AF106</f>
        <v>627.6548828</v>
      </c>
      <c r="AD398" s="6">
        <f>[1]Results!AG106</f>
        <v>633.45231000000001</v>
      </c>
      <c r="AE398" s="6">
        <f>[1]Results!AH106</f>
        <v>639.00511240000003</v>
      </c>
      <c r="AF398" s="6">
        <f>[1]Results!AI106</f>
        <v>644.32127419999995</v>
      </c>
      <c r="AG398" s="6">
        <f>[1]Results!AJ106</f>
        <v>649.42014870000003</v>
      </c>
      <c r="AH398" s="6">
        <f>[1]Results!AK106</f>
        <v>654.32623569999998</v>
      </c>
      <c r="AI398" s="6">
        <f>[1]Results!AL106</f>
        <v>659.05943590000004</v>
      </c>
      <c r="AJ398" s="6">
        <f>[1]Results!AM106</f>
        <v>663.6372877</v>
      </c>
      <c r="AK398" s="6">
        <f>[1]Results!AN106</f>
        <v>668.07586189999995</v>
      </c>
      <c r="AL398" s="6">
        <f>[1]Results!AO106</f>
        <v>672.39046470000005</v>
      </c>
    </row>
    <row r="399" spans="1:38" x14ac:dyDescent="0.35">
      <c r="B399" t="s">
        <v>42</v>
      </c>
      <c r="C399" s="6">
        <f>[1]Results!F107</f>
        <v>954.38155940000001</v>
      </c>
      <c r="D399" s="6">
        <f>[1]Results!G107</f>
        <v>950.80634090000001</v>
      </c>
      <c r="E399" s="6">
        <f>[1]Results!H107</f>
        <v>948.69968449999999</v>
      </c>
      <c r="F399" s="6">
        <f>[1]Results!I107</f>
        <v>947.24029169999994</v>
      </c>
      <c r="G399" s="6">
        <f>[1]Results!J107</f>
        <v>946.12534040000003</v>
      </c>
      <c r="H399" s="6">
        <f>[1]Results!K107</f>
        <v>944.92026739999994</v>
      </c>
      <c r="I399" s="6">
        <f>[1]Results!L107</f>
        <v>943.53943819999995</v>
      </c>
      <c r="J399" s="6">
        <f>[1]Results!M107</f>
        <v>942.39058969999996</v>
      </c>
      <c r="K399" s="6">
        <f>[1]Results!N107</f>
        <v>944.90429979999999</v>
      </c>
      <c r="L399" s="6">
        <f>[1]Results!O107</f>
        <v>953.33197470000005</v>
      </c>
      <c r="M399" s="6">
        <f>[1]Results!P107</f>
        <v>968.41202950000002</v>
      </c>
      <c r="N399" s="6">
        <f>[1]Results!Q107</f>
        <v>988.0565388</v>
      </c>
      <c r="O399" s="6">
        <f>[1]Results!R107</f>
        <v>1007.869037</v>
      </c>
      <c r="P399" s="6">
        <f>[1]Results!S107</f>
        <v>1026.0091640000001</v>
      </c>
      <c r="Q399" s="6">
        <f>[1]Results!T107</f>
        <v>1041.9195669999999</v>
      </c>
      <c r="R399" s="6">
        <f>[1]Results!U107</f>
        <v>1055.597301</v>
      </c>
      <c r="S399" s="6">
        <f>[1]Results!V107</f>
        <v>1067.4792500000001</v>
      </c>
      <c r="T399" s="6">
        <f>[1]Results!W107</f>
        <v>1078.480125</v>
      </c>
      <c r="U399" s="6">
        <f>[1]Results!X107</f>
        <v>1088.8350419999999</v>
      </c>
      <c r="V399" s="6">
        <f>[1]Results!Y107</f>
        <v>1098.5540820000001</v>
      </c>
      <c r="W399" s="6">
        <f>[1]Results!Z107</f>
        <v>1107.59276</v>
      </c>
      <c r="X399" s="6">
        <f>[1]Results!AA107</f>
        <v>1115.909386</v>
      </c>
      <c r="Y399" s="6">
        <f>[1]Results!AB107</f>
        <v>1123.485709</v>
      </c>
      <c r="Z399" s="6">
        <f>[1]Results!AC107</f>
        <v>1130.330725</v>
      </c>
      <c r="AA399" s="6">
        <f>[1]Results!AD107</f>
        <v>1136.475721</v>
      </c>
      <c r="AB399" s="6">
        <f>[1]Results!AE107</f>
        <v>1141.963741</v>
      </c>
      <c r="AC399" s="6">
        <f>[1]Results!AF107</f>
        <v>1146.844259</v>
      </c>
      <c r="AD399" s="6">
        <f>[1]Results!AG107</f>
        <v>1151.16985</v>
      </c>
      <c r="AE399" s="6">
        <f>[1]Results!AH107</f>
        <v>1154.9960249999999</v>
      </c>
      <c r="AF399" s="6">
        <f>[1]Results!AI107</f>
        <v>1158.3767640000001</v>
      </c>
      <c r="AG399" s="6">
        <f>[1]Results!AJ107</f>
        <v>1161.3569319999999</v>
      </c>
      <c r="AH399" s="6">
        <f>[1]Results!AK107</f>
        <v>1163.970008</v>
      </c>
      <c r="AI399" s="6">
        <f>[1]Results!AL107</f>
        <v>1166.2393589999999</v>
      </c>
      <c r="AJ399" s="6">
        <f>[1]Results!AM107</f>
        <v>1168.180969</v>
      </c>
      <c r="AK399" s="6">
        <f>[1]Results!AN107</f>
        <v>1169.8039240000001</v>
      </c>
      <c r="AL399" s="6">
        <f>[1]Results!AO107</f>
        <v>1171.106657</v>
      </c>
    </row>
    <row r="400" spans="1:38" x14ac:dyDescent="0.35">
      <c r="B400" t="s">
        <v>43</v>
      </c>
      <c r="C400" s="6">
        <f>[1]Results!F108</f>
        <v>878.79999729999997</v>
      </c>
      <c r="D400" s="6">
        <f>[1]Results!G108</f>
        <v>868.47807850000004</v>
      </c>
      <c r="E400" s="6">
        <f>[1]Results!H108</f>
        <v>859.58726300000001</v>
      </c>
      <c r="F400" s="6">
        <f>[1]Results!I108</f>
        <v>851.5276159</v>
      </c>
      <c r="G400" s="6">
        <f>[1]Results!J108</f>
        <v>843.81873580000001</v>
      </c>
      <c r="H400" s="6">
        <f>[1]Results!K108</f>
        <v>836.76659519999998</v>
      </c>
      <c r="I400" s="6">
        <f>[1]Results!L108</f>
        <v>830.26558120000004</v>
      </c>
      <c r="J400" s="6">
        <f>[1]Results!M108</f>
        <v>823.51388510000004</v>
      </c>
      <c r="K400" s="6">
        <f>[1]Results!N108</f>
        <v>809.95380369999998</v>
      </c>
      <c r="L400" s="6">
        <f>[1]Results!O108</f>
        <v>785.53176589999998</v>
      </c>
      <c r="M400" s="6">
        <f>[1]Results!P108</f>
        <v>748.67557399999998</v>
      </c>
      <c r="N400" s="6">
        <f>[1]Results!Q108</f>
        <v>702.81464259999996</v>
      </c>
      <c r="O400" s="6">
        <f>[1]Results!R108</f>
        <v>656.29234870000005</v>
      </c>
      <c r="P400" s="6">
        <f>[1]Results!S108</f>
        <v>612.65151089999995</v>
      </c>
      <c r="Q400" s="6">
        <f>[1]Results!T108</f>
        <v>573.0801371</v>
      </c>
      <c r="R400" s="6">
        <f>[1]Results!U108</f>
        <v>537.71599230000004</v>
      </c>
      <c r="S400" s="6">
        <f>[1]Results!V108</f>
        <v>505.80465839999999</v>
      </c>
      <c r="T400" s="6">
        <f>[1]Results!W108</f>
        <v>475.60743939999998</v>
      </c>
      <c r="U400" s="6">
        <f>[1]Results!X108</f>
        <v>446.67914089999999</v>
      </c>
      <c r="V400" s="6">
        <f>[1]Results!Y108</f>
        <v>419.01184380000001</v>
      </c>
      <c r="W400" s="6">
        <f>[1]Results!Z108</f>
        <v>392.7047953</v>
      </c>
      <c r="X400" s="6">
        <f>[1]Results!AA108</f>
        <v>367.85025359999997</v>
      </c>
      <c r="Y400" s="6">
        <f>[1]Results!AB108</f>
        <v>344.4914564</v>
      </c>
      <c r="Z400" s="6">
        <f>[1]Results!AC108</f>
        <v>322.61725589999998</v>
      </c>
      <c r="AA400" s="6">
        <f>[1]Results!AD108</f>
        <v>302.17495259999998</v>
      </c>
      <c r="AB400" s="6">
        <f>[1]Results!AE108</f>
        <v>283.08674980000001</v>
      </c>
      <c r="AC400" s="6">
        <f>[1]Results!AF108</f>
        <v>265.25850059999999</v>
      </c>
      <c r="AD400" s="6">
        <f>[1]Results!AG108</f>
        <v>248.58583630000001</v>
      </c>
      <c r="AE400" s="6">
        <f>[1]Results!AH108</f>
        <v>232.95559689999999</v>
      </c>
      <c r="AF400" s="6">
        <f>[1]Results!AI108</f>
        <v>218.2569331</v>
      </c>
      <c r="AG400" s="6">
        <f>[1]Results!AJ108</f>
        <v>204.3979563</v>
      </c>
      <c r="AH400" s="6">
        <f>[1]Results!AK108</f>
        <v>191.31025679999999</v>
      </c>
      <c r="AI400" s="6">
        <f>[1]Results!AL108</f>
        <v>178.94513939999999</v>
      </c>
      <c r="AJ400" s="6">
        <f>[1]Results!AM108</f>
        <v>167.26649090000001</v>
      </c>
      <c r="AK400" s="6">
        <f>[1]Results!AN108</f>
        <v>156.24700279999999</v>
      </c>
      <c r="AL400" s="6">
        <f>[1]Results!AO108</f>
        <v>145.86872020000001</v>
      </c>
    </row>
    <row r="401" spans="1:38" x14ac:dyDescent="0.35">
      <c r="B401" t="s">
        <v>44</v>
      </c>
      <c r="C401" s="6">
        <f>[1]Results!F109</f>
        <v>139.85209269999999</v>
      </c>
      <c r="D401" s="6">
        <f>[1]Results!G109</f>
        <v>137.98132409999999</v>
      </c>
      <c r="E401" s="6">
        <f>[1]Results!H109</f>
        <v>136.1628628</v>
      </c>
      <c r="F401" s="6">
        <f>[1]Results!I109</f>
        <v>134.40074670000001</v>
      </c>
      <c r="G401" s="6">
        <f>[1]Results!J109</f>
        <v>132.69412220000001</v>
      </c>
      <c r="H401" s="6">
        <f>[1]Results!K109</f>
        <v>131.0222254</v>
      </c>
      <c r="I401" s="6">
        <f>[1]Results!L109</f>
        <v>129.37650239999999</v>
      </c>
      <c r="J401" s="6">
        <f>[1]Results!M109</f>
        <v>127.7655591</v>
      </c>
      <c r="K401" s="6">
        <f>[1]Results!N109</f>
        <v>126.2396219</v>
      </c>
      <c r="L401" s="6">
        <f>[1]Results!O109</f>
        <v>124.7701115</v>
      </c>
      <c r="M401" s="6">
        <f>[1]Results!P109</f>
        <v>123.32656129999999</v>
      </c>
      <c r="N401" s="6">
        <f>[1]Results!Q109</f>
        <v>121.88073079999999</v>
      </c>
      <c r="O401" s="6">
        <f>[1]Results!R109</f>
        <v>120.4016216</v>
      </c>
      <c r="P401" s="6">
        <f>[1]Results!S109</f>
        <v>118.8850954</v>
      </c>
      <c r="Q401" s="6">
        <f>[1]Results!T109</f>
        <v>117.3401271</v>
      </c>
      <c r="R401" s="6">
        <f>[1]Results!U109</f>
        <v>115.780794</v>
      </c>
      <c r="S401" s="6">
        <f>[1]Results!V109</f>
        <v>114.2210036</v>
      </c>
      <c r="T401" s="6">
        <f>[1]Results!W109</f>
        <v>112.6717477</v>
      </c>
      <c r="U401" s="6">
        <f>[1]Results!X109</f>
        <v>111.1404679</v>
      </c>
      <c r="V401" s="6">
        <f>[1]Results!Y109</f>
        <v>109.6317358</v>
      </c>
      <c r="W401" s="6">
        <f>[1]Results!Z109</f>
        <v>108.1479385</v>
      </c>
      <c r="X401" s="6">
        <f>[1]Results!AA109</f>
        <v>106.68969869999999</v>
      </c>
      <c r="Y401" s="6">
        <f>[1]Results!AB109</f>
        <v>105.2564485</v>
      </c>
      <c r="Z401" s="6">
        <f>[1]Results!AC109</f>
        <v>103.84635249999999</v>
      </c>
      <c r="AA401" s="6">
        <f>[1]Results!AD109</f>
        <v>102.4562147</v>
      </c>
      <c r="AB401" s="6">
        <f>[1]Results!AE109</f>
        <v>101.0820715</v>
      </c>
      <c r="AC401" s="6">
        <f>[1]Results!AF109</f>
        <v>99.719489359999997</v>
      </c>
      <c r="AD401" s="6">
        <f>[1]Results!AG109</f>
        <v>98.363814680000004</v>
      </c>
      <c r="AE401" s="6">
        <f>[1]Results!AH109</f>
        <v>97.009924510000005</v>
      </c>
      <c r="AF401" s="6">
        <f>[1]Results!AI109</f>
        <v>95.651964719999995</v>
      </c>
      <c r="AG401" s="6">
        <f>[1]Results!AJ109</f>
        <v>94.283942920000001</v>
      </c>
      <c r="AH401" s="6">
        <f>[1]Results!AK109</f>
        <v>92.900450079999999</v>
      </c>
      <c r="AI401" s="6">
        <f>[1]Results!AL109</f>
        <v>91.497147029999994</v>
      </c>
      <c r="AJ401" s="6">
        <f>[1]Results!AM109</f>
        <v>90.070769530000007</v>
      </c>
      <c r="AK401" s="6">
        <f>[1]Results!AN109</f>
        <v>88.619004410000002</v>
      </c>
      <c r="AL401" s="6">
        <f>[1]Results!AO109</f>
        <v>87.140915019999994</v>
      </c>
    </row>
    <row r="402" spans="1:38" x14ac:dyDescent="0.35">
      <c r="B402" t="s">
        <v>45</v>
      </c>
      <c r="C402" s="6">
        <f>[1]Results!F110</f>
        <v>3.874567114</v>
      </c>
      <c r="D402" s="6">
        <f>[1]Results!G110</f>
        <v>3.726195063</v>
      </c>
      <c r="E402" s="6">
        <f>[1]Results!H110</f>
        <v>3.5856474629999999</v>
      </c>
      <c r="F402" s="6">
        <f>[1]Results!I110</f>
        <v>3.4527571309999998</v>
      </c>
      <c r="G402" s="6">
        <f>[1]Results!J110</f>
        <v>3.3271010190000001</v>
      </c>
      <c r="H402" s="6">
        <f>[1]Results!K110</f>
        <v>3.2069332080000001</v>
      </c>
      <c r="I402" s="6">
        <f>[1]Results!L110</f>
        <v>3.0915593220000002</v>
      </c>
      <c r="J402" s="6">
        <f>[1]Results!M110</f>
        <v>2.9813546529999999</v>
      </c>
      <c r="K402" s="6">
        <f>[1]Results!N110</f>
        <v>2.8794196790000002</v>
      </c>
      <c r="L402" s="6">
        <f>[1]Results!O110</f>
        <v>2.7834632500000001</v>
      </c>
      <c r="M402" s="6">
        <f>[1]Results!P110</f>
        <v>2.6914803919999999</v>
      </c>
      <c r="N402" s="6">
        <f>[1]Results!Q110</f>
        <v>2.6017626659999999</v>
      </c>
      <c r="O402" s="6">
        <f>[1]Results!R110</f>
        <v>2.5123157740000002</v>
      </c>
      <c r="P402" s="6">
        <f>[1]Results!S110</f>
        <v>2.4231854309999998</v>
      </c>
      <c r="Q402" s="6">
        <f>[1]Results!T110</f>
        <v>2.3352024949999999</v>
      </c>
      <c r="R402" s="6">
        <f>[1]Results!U110</f>
        <v>2.2493451270000002</v>
      </c>
      <c r="S402" s="6">
        <f>[1]Results!V110</f>
        <v>2.1665013790000001</v>
      </c>
      <c r="T402" s="6">
        <f>[1]Results!W110</f>
        <v>2.087437676</v>
      </c>
      <c r="U402" s="6">
        <f>[1]Results!X110</f>
        <v>2.0124487449999999</v>
      </c>
      <c r="V402" s="6">
        <f>[1]Results!Y110</f>
        <v>1.941554201</v>
      </c>
      <c r="W402" s="6">
        <f>[1]Results!Z110</f>
        <v>1.8746165539999999</v>
      </c>
      <c r="X402" s="6">
        <f>[1]Results!AA110</f>
        <v>1.8114055579999999</v>
      </c>
      <c r="Y402" s="6">
        <f>[1]Results!AB110</f>
        <v>1.7516461459999999</v>
      </c>
      <c r="Z402" s="6">
        <f>[1]Results!AC110</f>
        <v>1.6950263379999999</v>
      </c>
      <c r="AA402" s="6">
        <f>[1]Results!AD110</f>
        <v>1.641201108</v>
      </c>
      <c r="AB402" s="6">
        <f>[1]Results!AE110</f>
        <v>1.5898220320000001</v>
      </c>
      <c r="AC402" s="6">
        <f>[1]Results!AF110</f>
        <v>1.540550283</v>
      </c>
      <c r="AD402" s="6">
        <f>[1]Results!AG110</f>
        <v>1.493065474</v>
      </c>
      <c r="AE402" s="6">
        <f>[1]Results!AH110</f>
        <v>1.4470572799999999</v>
      </c>
      <c r="AF402" s="6">
        <f>[1]Results!AI110</f>
        <v>1.4022201030000001</v>
      </c>
      <c r="AG402" s="6">
        <f>[1]Results!AJ110</f>
        <v>1.358279883</v>
      </c>
      <c r="AH402" s="6">
        <f>[1]Results!AK110</f>
        <v>1.3150194989999999</v>
      </c>
      <c r="AI402" s="6">
        <f>[1]Results!AL110</f>
        <v>1.2722889639999999</v>
      </c>
      <c r="AJ402" s="6">
        <f>[1]Results!AM110</f>
        <v>1.2299963620000001</v>
      </c>
      <c r="AK402" s="6">
        <f>[1]Results!AN110</f>
        <v>1.188094663</v>
      </c>
      <c r="AL402" s="6">
        <f>[1]Results!AO110</f>
        <v>1.146583761</v>
      </c>
    </row>
    <row r="404" spans="1:38" x14ac:dyDescent="0.35">
      <c r="A404" s="12" t="s">
        <v>65</v>
      </c>
      <c r="C404" s="2">
        <v>42005</v>
      </c>
      <c r="D404" s="2">
        <v>42370</v>
      </c>
      <c r="E404" s="2">
        <v>42736</v>
      </c>
      <c r="F404" s="2">
        <v>43101</v>
      </c>
      <c r="G404" s="2">
        <v>43466</v>
      </c>
      <c r="H404" s="2">
        <v>43831</v>
      </c>
      <c r="I404" s="2">
        <v>44197</v>
      </c>
      <c r="J404" s="2">
        <v>44562</v>
      </c>
      <c r="K404" s="2">
        <v>44927</v>
      </c>
      <c r="L404" s="2">
        <v>45292</v>
      </c>
      <c r="M404" s="2">
        <v>45658</v>
      </c>
      <c r="N404" s="2">
        <v>46023</v>
      </c>
      <c r="O404" s="2">
        <v>46388</v>
      </c>
      <c r="P404" s="2">
        <v>46753</v>
      </c>
      <c r="Q404" s="2">
        <v>47119</v>
      </c>
      <c r="R404" s="2">
        <v>47484</v>
      </c>
      <c r="S404" s="2">
        <v>47849</v>
      </c>
      <c r="T404" s="2">
        <v>48214</v>
      </c>
      <c r="U404" s="2">
        <v>48580</v>
      </c>
      <c r="V404" s="2">
        <v>48945</v>
      </c>
      <c r="W404" s="2">
        <v>49310</v>
      </c>
      <c r="X404" s="2">
        <v>49675</v>
      </c>
      <c r="Y404" s="2">
        <v>50041</v>
      </c>
      <c r="Z404" s="2">
        <v>50406</v>
      </c>
      <c r="AA404" s="2">
        <v>50771</v>
      </c>
      <c r="AB404" s="2">
        <v>51136</v>
      </c>
      <c r="AC404" s="2">
        <v>51502</v>
      </c>
      <c r="AD404" s="2">
        <v>51867</v>
      </c>
      <c r="AE404" s="2">
        <v>52232</v>
      </c>
      <c r="AF404" s="2">
        <v>52597</v>
      </c>
      <c r="AG404" s="2">
        <v>52963</v>
      </c>
      <c r="AH404" s="2">
        <v>53328</v>
      </c>
      <c r="AI404" s="2">
        <v>53693</v>
      </c>
      <c r="AJ404" s="2">
        <v>54058</v>
      </c>
      <c r="AK404" s="2">
        <v>54424</v>
      </c>
      <c r="AL404" s="2">
        <v>54789</v>
      </c>
    </row>
    <row r="405" spans="1:38" x14ac:dyDescent="0.35">
      <c r="A405" t="s">
        <v>26</v>
      </c>
      <c r="B405" t="s">
        <v>39</v>
      </c>
      <c r="C405" s="6">
        <f>[1]Results!F112</f>
        <v>3.476542051</v>
      </c>
      <c r="D405" s="6">
        <f>[1]Results!G112</f>
        <v>9.3899330590000005</v>
      </c>
      <c r="E405" s="6">
        <f>[1]Results!H112</f>
        <v>16.23543982</v>
      </c>
      <c r="F405" s="6">
        <f>[1]Results!I112</f>
        <v>23.313428680000001</v>
      </c>
      <c r="G405" s="6">
        <f>[1]Results!J112</f>
        <v>30.494529629999999</v>
      </c>
      <c r="H405" s="6">
        <f>[1]Results!K112</f>
        <v>37.50565074</v>
      </c>
      <c r="I405" s="6">
        <f>[1]Results!L112</f>
        <v>44.350448129999997</v>
      </c>
      <c r="J405" s="6">
        <f>[1]Results!M112</f>
        <v>51.19851053</v>
      </c>
      <c r="K405" s="6">
        <f>[1]Results!N112</f>
        <v>58.166535680000003</v>
      </c>
      <c r="L405" s="6">
        <f>[1]Results!O112</f>
        <v>65.325979180000004</v>
      </c>
      <c r="M405" s="6">
        <f>[1]Results!P112</f>
        <v>72.706542799999994</v>
      </c>
      <c r="N405" s="6">
        <f>[1]Results!Q112</f>
        <v>80.311922249999995</v>
      </c>
      <c r="O405" s="6">
        <f>[1]Results!R112</f>
        <v>88.128065019999994</v>
      </c>
      <c r="P405" s="6">
        <f>[1]Results!S112</f>
        <v>96.127732649999999</v>
      </c>
      <c r="Q405" s="6">
        <f>[1]Results!T112</f>
        <v>104.2747488</v>
      </c>
      <c r="R405" s="6">
        <f>[1]Results!U112</f>
        <v>112.5292716</v>
      </c>
      <c r="S405" s="6">
        <f>[1]Results!V112</f>
        <v>120.78844580000001</v>
      </c>
      <c r="T405" s="6">
        <f>[1]Results!W112</f>
        <v>128.83928589999999</v>
      </c>
      <c r="U405" s="6">
        <f>[1]Results!X112</f>
        <v>136.59126449999999</v>
      </c>
      <c r="V405" s="6">
        <f>[1]Results!Y112</f>
        <v>144.03450659999999</v>
      </c>
      <c r="W405" s="6">
        <f>[1]Results!Z112</f>
        <v>151.19899190000001</v>
      </c>
      <c r="X405" s="6">
        <f>[1]Results!AA112</f>
        <v>158.12869620000001</v>
      </c>
      <c r="Y405" s="6">
        <f>[1]Results!AB112</f>
        <v>164.86815319999999</v>
      </c>
      <c r="Z405" s="6">
        <f>[1]Results!AC112</f>
        <v>171.4572727</v>
      </c>
      <c r="AA405" s="6">
        <f>[1]Results!AD112</f>
        <v>177.93036000000001</v>
      </c>
      <c r="AB405" s="6">
        <f>[1]Results!AE112</f>
        <v>184.3167243</v>
      </c>
      <c r="AC405" s="6">
        <f>[1]Results!AF112</f>
        <v>190.64166589999999</v>
      </c>
      <c r="AD405" s="6">
        <f>[1]Results!AG112</f>
        <v>196.92694059999999</v>
      </c>
      <c r="AE405" s="6">
        <f>[1]Results!AH112</f>
        <v>203.19123920000001</v>
      </c>
      <c r="AF405" s="6">
        <f>[1]Results!AI112</f>
        <v>209.4500965</v>
      </c>
      <c r="AG405" s="6">
        <f>[1]Results!AJ112</f>
        <v>215.7157321</v>
      </c>
      <c r="AH405" s="6">
        <f>[1]Results!AK112</f>
        <v>221.99698179999999</v>
      </c>
      <c r="AI405" s="6">
        <f>[1]Results!AL112</f>
        <v>228.2994674</v>
      </c>
      <c r="AJ405" s="6">
        <f>[1]Results!AM112</f>
        <v>234.62602939999999</v>
      </c>
      <c r="AK405" s="6">
        <f>[1]Results!AN112</f>
        <v>240.9771298</v>
      </c>
      <c r="AL405" s="6">
        <f>[1]Results!AO112</f>
        <v>247.35116429999999</v>
      </c>
    </row>
    <row r="406" spans="1:38" x14ac:dyDescent="0.35">
      <c r="B406" t="s">
        <v>40</v>
      </c>
      <c r="C406" s="6">
        <f>[1]Results!F113</f>
        <v>68.80476281</v>
      </c>
      <c r="D406" s="6">
        <f>[1]Results!G113</f>
        <v>74.476780860000005</v>
      </c>
      <c r="E406" s="6">
        <f>[1]Results!H113</f>
        <v>79.246083400000003</v>
      </c>
      <c r="F406" s="6">
        <f>[1]Results!I113</f>
        <v>83.332463770000004</v>
      </c>
      <c r="G406" s="6">
        <f>[1]Results!J113</f>
        <v>87.063876710000002</v>
      </c>
      <c r="H406" s="6">
        <f>[1]Results!K113</f>
        <v>90.589004770000003</v>
      </c>
      <c r="I406" s="6">
        <f>[1]Results!L113</f>
        <v>93.986955679999994</v>
      </c>
      <c r="J406" s="6">
        <f>[1]Results!M113</f>
        <v>97.289523979999998</v>
      </c>
      <c r="K406" s="6">
        <f>[1]Results!N113</f>
        <v>100.51537690000001</v>
      </c>
      <c r="L406" s="6">
        <f>[1]Results!O113</f>
        <v>103.678275</v>
      </c>
      <c r="M406" s="6">
        <f>[1]Results!P113</f>
        <v>106.79114300000001</v>
      </c>
      <c r="N406" s="6">
        <f>[1]Results!Q113</f>
        <v>109.86632179999999</v>
      </c>
      <c r="O406" s="6">
        <f>[1]Results!R113</f>
        <v>112.91337110000001</v>
      </c>
      <c r="P406" s="6">
        <f>[1]Results!S113</f>
        <v>115.9381072</v>
      </c>
      <c r="Q406" s="6">
        <f>[1]Results!T113</f>
        <v>118.9426496</v>
      </c>
      <c r="R406" s="6">
        <f>[1]Results!U113</f>
        <v>121.92772410000001</v>
      </c>
      <c r="S406" s="6">
        <f>[1]Results!V113</f>
        <v>124.8910679</v>
      </c>
      <c r="T406" s="6">
        <f>[1]Results!W113</f>
        <v>127.8229671</v>
      </c>
      <c r="U406" s="6">
        <f>[1]Results!X113</f>
        <v>130.71626670000001</v>
      </c>
      <c r="V406" s="6">
        <f>[1]Results!Y113</f>
        <v>133.56564539999999</v>
      </c>
      <c r="W406" s="6">
        <f>[1]Results!Z113</f>
        <v>136.36820610000001</v>
      </c>
      <c r="X406" s="6">
        <f>[1]Results!AA113</f>
        <v>139.12327110000001</v>
      </c>
      <c r="Y406" s="6">
        <f>[1]Results!AB113</f>
        <v>141.8284869</v>
      </c>
      <c r="Z406" s="6">
        <f>[1]Results!AC113</f>
        <v>144.4792123</v>
      </c>
      <c r="AA406" s="6">
        <f>[1]Results!AD113</f>
        <v>147.06916939999999</v>
      </c>
      <c r="AB406" s="6">
        <f>[1]Results!AE113</f>
        <v>149.5932904</v>
      </c>
      <c r="AC406" s="6">
        <f>[1]Results!AF113</f>
        <v>152.04737449999999</v>
      </c>
      <c r="AD406" s="6">
        <f>[1]Results!AG113</f>
        <v>154.42496560000001</v>
      </c>
      <c r="AE406" s="6">
        <f>[1]Results!AH113</f>
        <v>156.72308140000001</v>
      </c>
      <c r="AF406" s="6">
        <f>[1]Results!AI113</f>
        <v>158.94214310000001</v>
      </c>
      <c r="AG406" s="6">
        <f>[1]Results!AJ113</f>
        <v>161.08715169999999</v>
      </c>
      <c r="AH406" s="6">
        <f>[1]Results!AK113</f>
        <v>163.1655092</v>
      </c>
      <c r="AI406" s="6">
        <f>[1]Results!AL113</f>
        <v>165.18347489999999</v>
      </c>
      <c r="AJ406" s="6">
        <f>[1]Results!AM113</f>
        <v>167.1468356</v>
      </c>
      <c r="AK406" s="6">
        <f>[1]Results!AN113</f>
        <v>169.06111089999999</v>
      </c>
      <c r="AL406" s="6">
        <f>[1]Results!AO113</f>
        <v>170.93179960000001</v>
      </c>
    </row>
    <row r="407" spans="1:38" x14ac:dyDescent="0.35">
      <c r="B407" t="s">
        <v>41</v>
      </c>
      <c r="C407" s="6">
        <f>[1]Results!F114</f>
        <v>408.28039699999999</v>
      </c>
      <c r="D407" s="6">
        <f>[1]Results!G114</f>
        <v>421.43436380000003</v>
      </c>
      <c r="E407" s="6">
        <f>[1]Results!H114</f>
        <v>433.51228980000002</v>
      </c>
      <c r="F407" s="6">
        <f>[1]Results!I114</f>
        <v>444.25276350000001</v>
      </c>
      <c r="G407" s="6">
        <f>[1]Results!J114</f>
        <v>454.246914</v>
      </c>
      <c r="H407" s="6">
        <f>[1]Results!K114</f>
        <v>463.78016129999997</v>
      </c>
      <c r="I407" s="6">
        <f>[1]Results!L114</f>
        <v>473.01436260000003</v>
      </c>
      <c r="J407" s="6">
        <f>[1]Results!M114</f>
        <v>482.01010330000003</v>
      </c>
      <c r="K407" s="6">
        <f>[1]Results!N114</f>
        <v>490.80340439999998</v>
      </c>
      <c r="L407" s="6">
        <f>[1]Results!O114</f>
        <v>499.42215099999999</v>
      </c>
      <c r="M407" s="6">
        <f>[1]Results!P114</f>
        <v>507.89649530000003</v>
      </c>
      <c r="N407" s="6">
        <f>[1]Results!Q114</f>
        <v>516.2584167</v>
      </c>
      <c r="O407" s="6">
        <f>[1]Results!R114</f>
        <v>524.53406270000005</v>
      </c>
      <c r="P407" s="6">
        <f>[1]Results!S114</f>
        <v>532.7391106</v>
      </c>
      <c r="Q407" s="6">
        <f>[1]Results!T114</f>
        <v>540.88017930000001</v>
      </c>
      <c r="R407" s="6">
        <f>[1]Results!U114</f>
        <v>548.96055369999999</v>
      </c>
      <c r="S407" s="6">
        <f>[1]Results!V114</f>
        <v>556.97884750000003</v>
      </c>
      <c r="T407" s="6">
        <f>[1]Results!W114</f>
        <v>564.91944409999996</v>
      </c>
      <c r="U407" s="6">
        <f>[1]Results!X114</f>
        <v>572.76654229999997</v>
      </c>
      <c r="V407" s="6">
        <f>[1]Results!Y114</f>
        <v>580.50446769999996</v>
      </c>
      <c r="W407" s="6">
        <f>[1]Results!Z114</f>
        <v>588.12219930000003</v>
      </c>
      <c r="X407" s="6">
        <f>[1]Results!AA114</f>
        <v>595.61438350000003</v>
      </c>
      <c r="Y407" s="6">
        <f>[1]Results!AB114</f>
        <v>602.97130760000005</v>
      </c>
      <c r="Z407" s="6">
        <f>[1]Results!AC114</f>
        <v>610.17760989999999</v>
      </c>
      <c r="AA407" s="6">
        <f>[1]Results!AD114</f>
        <v>617.21423010000001</v>
      </c>
      <c r="AB407" s="6">
        <f>[1]Results!AE114</f>
        <v>624.06634080000003</v>
      </c>
      <c r="AC407" s="6">
        <f>[1]Results!AF114</f>
        <v>630.72221869999998</v>
      </c>
      <c r="AD407" s="6">
        <f>[1]Results!AG114</f>
        <v>637.16423350000002</v>
      </c>
      <c r="AE407" s="6">
        <f>[1]Results!AH114</f>
        <v>643.3846757</v>
      </c>
      <c r="AF407" s="6">
        <f>[1]Results!AI114</f>
        <v>649.38533610000002</v>
      </c>
      <c r="AG407" s="6">
        <f>[1]Results!AJ114</f>
        <v>655.18066420000002</v>
      </c>
      <c r="AH407" s="6">
        <f>[1]Results!AK114</f>
        <v>660.79159079999999</v>
      </c>
      <c r="AI407" s="6">
        <f>[1]Results!AL114</f>
        <v>666.23560120000002</v>
      </c>
      <c r="AJ407" s="6">
        <f>[1]Results!AM114</f>
        <v>671.52868190000004</v>
      </c>
      <c r="AK407" s="6">
        <f>[1]Results!AN114</f>
        <v>676.68597360000001</v>
      </c>
      <c r="AL407" s="6">
        <f>[1]Results!AO114</f>
        <v>681.72252909999997</v>
      </c>
    </row>
    <row r="408" spans="1:38" x14ac:dyDescent="0.35">
      <c r="B408" t="s">
        <v>42</v>
      </c>
      <c r="C408" s="6">
        <f>[1]Results!F115</f>
        <v>954.38155940000001</v>
      </c>
      <c r="D408" s="6">
        <f>[1]Results!G115</f>
        <v>950.80634090000001</v>
      </c>
      <c r="E408" s="6">
        <f>[1]Results!H115</f>
        <v>948.69968449999999</v>
      </c>
      <c r="F408" s="6">
        <f>[1]Results!I115</f>
        <v>947.24029169999994</v>
      </c>
      <c r="G408" s="6">
        <f>[1]Results!J115</f>
        <v>946.12534040000003</v>
      </c>
      <c r="H408" s="6">
        <f>[1]Results!K115</f>
        <v>944.92026739999994</v>
      </c>
      <c r="I408" s="6">
        <f>[1]Results!L115</f>
        <v>943.54607199999998</v>
      </c>
      <c r="J408" s="6">
        <f>[1]Results!M115</f>
        <v>942.04961160000005</v>
      </c>
      <c r="K408" s="6">
        <f>[1]Results!N115</f>
        <v>940.4649359</v>
      </c>
      <c r="L408" s="6">
        <f>[1]Results!O115</f>
        <v>938.8278004</v>
      </c>
      <c r="M408" s="6">
        <f>[1]Results!P115</f>
        <v>937.16041429999996</v>
      </c>
      <c r="N408" s="6">
        <f>[1]Results!Q115</f>
        <v>935.47682910000003</v>
      </c>
      <c r="O408" s="6">
        <f>[1]Results!R115</f>
        <v>933.78471830000001</v>
      </c>
      <c r="P408" s="6">
        <f>[1]Results!S115</f>
        <v>932.08590630000003</v>
      </c>
      <c r="Q408" s="6">
        <f>[1]Results!T115</f>
        <v>930.37740010000005</v>
      </c>
      <c r="R408" s="6">
        <f>[1]Results!U115</f>
        <v>928.65354219999995</v>
      </c>
      <c r="S408" s="6">
        <f>[1]Results!V115</f>
        <v>926.8830868</v>
      </c>
      <c r="T408" s="6">
        <f>[1]Results!W115</f>
        <v>925.00234350000005</v>
      </c>
      <c r="U408" s="6">
        <f>[1]Results!X115</f>
        <v>923.01150050000001</v>
      </c>
      <c r="V408" s="6">
        <f>[1]Results!Y115</f>
        <v>920.93001400000003</v>
      </c>
      <c r="W408" s="6">
        <f>[1]Results!Z115</f>
        <v>918.77979989999994</v>
      </c>
      <c r="X408" s="6">
        <f>[1]Results!AA115</f>
        <v>916.57951290000005</v>
      </c>
      <c r="Y408" s="6">
        <f>[1]Results!AB115</f>
        <v>914.3435958</v>
      </c>
      <c r="Z408" s="6">
        <f>[1]Results!AC115</f>
        <v>912.08292300000005</v>
      </c>
      <c r="AA408" s="6">
        <f>[1]Results!AD115</f>
        <v>909.80590080000002</v>
      </c>
      <c r="AB408" s="6">
        <f>[1]Results!AE115</f>
        <v>907.51950099999999</v>
      </c>
      <c r="AC408" s="6">
        <f>[1]Results!AF115</f>
        <v>905.22966199999996</v>
      </c>
      <c r="AD408" s="6">
        <f>[1]Results!AG115</f>
        <v>902.94160699999998</v>
      </c>
      <c r="AE408" s="6">
        <f>[1]Results!AH115</f>
        <v>900.66005159999997</v>
      </c>
      <c r="AF408" s="6">
        <f>[1]Results!AI115</f>
        <v>898.38922830000001</v>
      </c>
      <c r="AG408" s="6">
        <f>[1]Results!AJ115</f>
        <v>896.13275490000001</v>
      </c>
      <c r="AH408" s="6">
        <f>[1]Results!AK115</f>
        <v>893.89354560000004</v>
      </c>
      <c r="AI408" s="6">
        <f>[1]Results!AL115</f>
        <v>891.67372780000005</v>
      </c>
      <c r="AJ408" s="6">
        <f>[1]Results!AM115</f>
        <v>889.47456769999997</v>
      </c>
      <c r="AK408" s="6">
        <f>[1]Results!AN115</f>
        <v>887.29641409999999</v>
      </c>
      <c r="AL408" s="6">
        <f>[1]Results!AO115</f>
        <v>885.13868860000002</v>
      </c>
    </row>
    <row r="409" spans="1:38" x14ac:dyDescent="0.35">
      <c r="B409" t="s">
        <v>43</v>
      </c>
      <c r="C409" s="6">
        <f>[1]Results!F116</f>
        <v>878.79999729999997</v>
      </c>
      <c r="D409" s="6">
        <f>[1]Results!G116</f>
        <v>868.47807850000004</v>
      </c>
      <c r="E409" s="6">
        <f>[1]Results!H116</f>
        <v>859.58726300000001</v>
      </c>
      <c r="F409" s="6">
        <f>[1]Results!I116</f>
        <v>851.5276159</v>
      </c>
      <c r="G409" s="6">
        <f>[1]Results!J116</f>
        <v>843.81873580000001</v>
      </c>
      <c r="H409" s="6">
        <f>[1]Results!K116</f>
        <v>836.76659519999998</v>
      </c>
      <c r="I409" s="6">
        <f>[1]Results!L116</f>
        <v>830.22184319999997</v>
      </c>
      <c r="J409" s="6">
        <f>[1]Results!M116</f>
        <v>823.87469429999999</v>
      </c>
      <c r="K409" s="6">
        <f>[1]Results!N116</f>
        <v>817.53054359999999</v>
      </c>
      <c r="L409" s="6">
        <f>[1]Results!O116</f>
        <v>811.05886290000001</v>
      </c>
      <c r="M409" s="6">
        <f>[1]Results!P116</f>
        <v>804.39380159999996</v>
      </c>
      <c r="N409" s="6">
        <f>[1]Results!Q116</f>
        <v>797.51013509999996</v>
      </c>
      <c r="O409" s="6">
        <f>[1]Results!R116</f>
        <v>790.41130080000005</v>
      </c>
      <c r="P409" s="6">
        <f>[1]Results!S116</f>
        <v>783.12273930000003</v>
      </c>
      <c r="Q409" s="6">
        <f>[1]Results!T116</f>
        <v>775.68525869999996</v>
      </c>
      <c r="R409" s="6">
        <f>[1]Results!U116</f>
        <v>768.14638790000004</v>
      </c>
      <c r="S409" s="6">
        <f>[1]Results!V116</f>
        <v>760.65198729999997</v>
      </c>
      <c r="T409" s="6">
        <f>[1]Results!W116</f>
        <v>753.5078317</v>
      </c>
      <c r="U409" s="6">
        <f>[1]Results!X116</f>
        <v>746.80898279999997</v>
      </c>
      <c r="V409" s="6">
        <f>[1]Results!Y116</f>
        <v>740.53747510000005</v>
      </c>
      <c r="W409" s="6">
        <f>[1]Results!Z116</f>
        <v>734.62850170000002</v>
      </c>
      <c r="X409" s="6">
        <f>[1]Results!AA116</f>
        <v>729.00709340000003</v>
      </c>
      <c r="Y409" s="6">
        <f>[1]Results!AB116</f>
        <v>723.60502670000005</v>
      </c>
      <c r="Z409" s="6">
        <f>[1]Results!AC116</f>
        <v>718.36629809999999</v>
      </c>
      <c r="AA409" s="6">
        <f>[1]Results!AD116</f>
        <v>713.24705080000001</v>
      </c>
      <c r="AB409" s="6">
        <f>[1]Results!AE116</f>
        <v>708.21350540000003</v>
      </c>
      <c r="AC409" s="6">
        <f>[1]Results!AF116</f>
        <v>703.23962010000002</v>
      </c>
      <c r="AD409" s="6">
        <f>[1]Results!AG116</f>
        <v>698.30504540000004</v>
      </c>
      <c r="AE409" s="6">
        <f>[1]Results!AH116</f>
        <v>693.39350390000004</v>
      </c>
      <c r="AF409" s="6">
        <f>[1]Results!AI116</f>
        <v>688.49179719999995</v>
      </c>
      <c r="AG409" s="6">
        <f>[1]Results!AJ116</f>
        <v>683.5893714</v>
      </c>
      <c r="AH409" s="6">
        <f>[1]Results!AK116</f>
        <v>678.67797759999996</v>
      </c>
      <c r="AI409" s="6">
        <f>[1]Results!AL116</f>
        <v>673.75145190000001</v>
      </c>
      <c r="AJ409" s="6">
        <f>[1]Results!AM116</f>
        <v>668.80565079999997</v>
      </c>
      <c r="AK409" s="6">
        <f>[1]Results!AN116</f>
        <v>663.83849429999998</v>
      </c>
      <c r="AL409" s="6">
        <f>[1]Results!AO116</f>
        <v>658.85006120000003</v>
      </c>
    </row>
    <row r="410" spans="1:38" x14ac:dyDescent="0.35">
      <c r="B410" t="s">
        <v>44</v>
      </c>
      <c r="C410" s="6">
        <f>[1]Results!F117</f>
        <v>139.85209269999999</v>
      </c>
      <c r="D410" s="6">
        <f>[1]Results!G117</f>
        <v>137.98132409999999</v>
      </c>
      <c r="E410" s="6">
        <f>[1]Results!H117</f>
        <v>136.1628628</v>
      </c>
      <c r="F410" s="6">
        <f>[1]Results!I117</f>
        <v>134.40074670000001</v>
      </c>
      <c r="G410" s="6">
        <f>[1]Results!J117</f>
        <v>132.69412220000001</v>
      </c>
      <c r="H410" s="6">
        <f>[1]Results!K117</f>
        <v>131.0222254</v>
      </c>
      <c r="I410" s="6">
        <f>[1]Results!L117</f>
        <v>129.3804452</v>
      </c>
      <c r="J410" s="6">
        <f>[1]Results!M117</f>
        <v>127.78325150000001</v>
      </c>
      <c r="K410" s="6">
        <f>[1]Results!N117</f>
        <v>126.23360409999999</v>
      </c>
      <c r="L410" s="6">
        <f>[1]Results!O117</f>
        <v>124.72876050000001</v>
      </c>
      <c r="M410" s="6">
        <f>[1]Results!P117</f>
        <v>123.2633345</v>
      </c>
      <c r="N410" s="6">
        <f>[1]Results!Q117</f>
        <v>121.83155069999999</v>
      </c>
      <c r="O410" s="6">
        <f>[1]Results!R117</f>
        <v>120.4281732</v>
      </c>
      <c r="P410" s="6">
        <f>[1]Results!S117</f>
        <v>119.0492938</v>
      </c>
      <c r="Q410" s="6">
        <f>[1]Results!T117</f>
        <v>117.6928884</v>
      </c>
      <c r="R410" s="6">
        <f>[1]Results!U117</f>
        <v>116.3588022</v>
      </c>
      <c r="S410" s="6">
        <f>[1]Results!V117</f>
        <v>115.04467889999999</v>
      </c>
      <c r="T410" s="6">
        <f>[1]Results!W117</f>
        <v>113.73935640000001</v>
      </c>
      <c r="U410" s="6">
        <f>[1]Results!X117</f>
        <v>112.44078039999999</v>
      </c>
      <c r="V410" s="6">
        <f>[1]Results!Y117</f>
        <v>111.1512731</v>
      </c>
      <c r="W410" s="6">
        <f>[1]Results!Z117</f>
        <v>109.8741955</v>
      </c>
      <c r="X410" s="6">
        <f>[1]Results!AA117</f>
        <v>108.6123243</v>
      </c>
      <c r="Y410" s="6">
        <f>[1]Results!AB117</f>
        <v>107.3672574</v>
      </c>
      <c r="Z410" s="6">
        <f>[1]Results!AC117</f>
        <v>106.13938659999999</v>
      </c>
      <c r="AA410" s="6">
        <f>[1]Results!AD117</f>
        <v>104.92806950000001</v>
      </c>
      <c r="AB410" s="6">
        <f>[1]Results!AE117</f>
        <v>103.731871</v>
      </c>
      <c r="AC410" s="6">
        <f>[1]Results!AF117</f>
        <v>102.5487538</v>
      </c>
      <c r="AD410" s="6">
        <f>[1]Results!AG117</f>
        <v>101.376265</v>
      </c>
      <c r="AE410" s="6">
        <f>[1]Results!AH117</f>
        <v>100.2116853</v>
      </c>
      <c r="AF410" s="6">
        <f>[1]Results!AI117</f>
        <v>99.052204230000001</v>
      </c>
      <c r="AG410" s="6">
        <f>[1]Results!AJ117</f>
        <v>97.895111029999995</v>
      </c>
      <c r="AH410" s="6">
        <f>[1]Results!AK117</f>
        <v>96.738132190000002</v>
      </c>
      <c r="AI410" s="6">
        <f>[1]Results!AL117</f>
        <v>95.579680350000004</v>
      </c>
      <c r="AJ410" s="6">
        <f>[1]Results!AM117</f>
        <v>94.418979070000006</v>
      </c>
      <c r="AK410" s="6">
        <f>[1]Results!AN117</f>
        <v>93.256078860000002</v>
      </c>
      <c r="AL410" s="6">
        <f>[1]Results!AO117</f>
        <v>92.091795550000001</v>
      </c>
    </row>
    <row r="411" spans="1:38" x14ac:dyDescent="0.35">
      <c r="B411" t="s">
        <v>45</v>
      </c>
      <c r="C411" s="6">
        <f>[1]Results!F118</f>
        <v>3.874567114</v>
      </c>
      <c r="D411" s="6">
        <f>[1]Results!G118</f>
        <v>3.726195063</v>
      </c>
      <c r="E411" s="6">
        <f>[1]Results!H118</f>
        <v>3.5856474629999999</v>
      </c>
      <c r="F411" s="6">
        <f>[1]Results!I118</f>
        <v>3.4527571309999998</v>
      </c>
      <c r="G411" s="6">
        <f>[1]Results!J118</f>
        <v>3.3271010190000001</v>
      </c>
      <c r="H411" s="6">
        <f>[1]Results!K118</f>
        <v>3.2069332080000001</v>
      </c>
      <c r="I411" s="6">
        <f>[1]Results!L118</f>
        <v>3.0916885860000001</v>
      </c>
      <c r="J411" s="6">
        <f>[1]Results!M118</f>
        <v>2.9817605359999999</v>
      </c>
      <c r="K411" s="6">
        <f>[1]Results!N118</f>
        <v>2.8768919689999999</v>
      </c>
      <c r="L411" s="6">
        <f>[1]Results!O118</f>
        <v>2.7766210880000002</v>
      </c>
      <c r="M411" s="6">
        <f>[1]Results!P118</f>
        <v>2.6804555479999999</v>
      </c>
      <c r="N411" s="6">
        <f>[1]Results!Q118</f>
        <v>2.5879823219999998</v>
      </c>
      <c r="O411" s="6">
        <f>[1]Results!R118</f>
        <v>2.4988875350000002</v>
      </c>
      <c r="P411" s="6">
        <f>[1]Results!S118</f>
        <v>2.4129753819999999</v>
      </c>
      <c r="Q411" s="6">
        <f>[1]Results!T118</f>
        <v>2.3301761619999999</v>
      </c>
      <c r="R411" s="6">
        <f>[1]Results!U118</f>
        <v>2.250520796</v>
      </c>
      <c r="S411" s="6">
        <f>[1]Results!V118</f>
        <v>2.1739867030000002</v>
      </c>
      <c r="T411" s="6">
        <f>[1]Results!W118</f>
        <v>2.1002394440000001</v>
      </c>
      <c r="U411" s="6">
        <f>[1]Results!X118</f>
        <v>2.029340103</v>
      </c>
      <c r="V411" s="6">
        <f>[1]Results!Y118</f>
        <v>1.961426653</v>
      </c>
      <c r="W411" s="6">
        <f>[1]Results!Z118</f>
        <v>1.8965608030000001</v>
      </c>
      <c r="X411" s="6">
        <f>[1]Results!AA118</f>
        <v>1.8346941699999999</v>
      </c>
      <c r="Y411" s="6">
        <f>[1]Results!AB118</f>
        <v>1.775685062</v>
      </c>
      <c r="Z411" s="6">
        <f>[1]Results!AC118</f>
        <v>1.7193299959999999</v>
      </c>
      <c r="AA411" s="6">
        <f>[1]Results!AD118</f>
        <v>1.665391034</v>
      </c>
      <c r="AB411" s="6">
        <f>[1]Results!AE118</f>
        <v>1.613616787</v>
      </c>
      <c r="AC411" s="6">
        <f>[1]Results!AF118</f>
        <v>1.5637551409999999</v>
      </c>
      <c r="AD411" s="6">
        <f>[1]Results!AG118</f>
        <v>1.515563427</v>
      </c>
      <c r="AE411" s="6">
        <f>[1]Results!AH118</f>
        <v>1.468815483</v>
      </c>
      <c r="AF411" s="6">
        <f>[1]Results!AI118</f>
        <v>1.4233095339999999</v>
      </c>
      <c r="AG411" s="6">
        <f>[1]Results!AJ118</f>
        <v>1.3788759370000001</v>
      </c>
      <c r="AH411" s="6">
        <f>[1]Results!AK118</f>
        <v>1.335388917</v>
      </c>
      <c r="AI411" s="6">
        <f>[1]Results!AL118</f>
        <v>1.2927713750000001</v>
      </c>
      <c r="AJ411" s="6">
        <f>[1]Results!AM118</f>
        <v>1.2509926499999999</v>
      </c>
      <c r="AK411" s="6">
        <f>[1]Results!AN118</f>
        <v>1.210061455</v>
      </c>
      <c r="AL411" s="6">
        <f>[1]Results!AO118</f>
        <v>1.170016513</v>
      </c>
    </row>
    <row r="413" spans="1:38" x14ac:dyDescent="0.35">
      <c r="A413" s="12" t="s">
        <v>66</v>
      </c>
      <c r="B413" s="6" t="str">
        <f>[1]Emissions!A830</f>
        <v>ems_ci_co2_sagr_2</v>
      </c>
      <c r="C413" s="6">
        <f>[1]Emissions!B830</f>
        <v>11.80637836</v>
      </c>
      <c r="D413" s="6">
        <f>[1]Emissions!C830</f>
        <v>11.575444640000001</v>
      </c>
      <c r="E413" s="6">
        <f>[1]Emissions!D830</f>
        <v>11.360748320000001</v>
      </c>
      <c r="F413" s="6">
        <f>[1]Emissions!E830</f>
        <v>11.194046999999999</v>
      </c>
      <c r="G413" s="6">
        <f>[1]Emissions!F830</f>
        <v>11.13013726</v>
      </c>
      <c r="H413" s="6">
        <f>[1]Emissions!G830</f>
        <v>11.143240990000001</v>
      </c>
      <c r="I413" s="6">
        <f>[1]Emissions!H830</f>
        <v>11.19787204</v>
      </c>
      <c r="J413" s="6">
        <f>[1]Emissions!I830</f>
        <v>10.6904193</v>
      </c>
      <c r="K413" s="6">
        <f>[1]Emissions!J830</f>
        <v>10.1204728</v>
      </c>
      <c r="L413" s="6">
        <f>[1]Emissions!K830</f>
        <v>9.5825125349999993</v>
      </c>
      <c r="M413" s="6">
        <f>[1]Emissions!L830</f>
        <v>9.0668659649999999</v>
      </c>
      <c r="N413" s="6">
        <f>[1]Emissions!M830</f>
        <v>8.6213268700000008</v>
      </c>
      <c r="O413" s="6">
        <f>[1]Emissions!N830</f>
        <v>8.2326135209999993</v>
      </c>
      <c r="P413" s="6">
        <f>[1]Emissions!O830</f>
        <v>7.8826523169999998</v>
      </c>
      <c r="Q413" s="6">
        <f>[1]Emissions!P830</f>
        <v>7.5646678459999999</v>
      </c>
      <c r="R413" s="6">
        <f>[1]Emissions!Q830</f>
        <v>7.272597932</v>
      </c>
      <c r="S413" s="6">
        <f>[1]Emissions!R830</f>
        <v>6.992953118</v>
      </c>
      <c r="T413" s="6">
        <f>[1]Emissions!S830</f>
        <v>6.7253405219999998</v>
      </c>
      <c r="U413" s="6">
        <f>[1]Emissions!T830</f>
        <v>6.4703488260000004</v>
      </c>
      <c r="V413" s="6">
        <f>[1]Emissions!U830</f>
        <v>6.2276609470000004</v>
      </c>
      <c r="W413" s="6">
        <f>[1]Emissions!V830</f>
        <v>5.9965498669999997</v>
      </c>
      <c r="X413" s="6">
        <f>[1]Emissions!W830</f>
        <v>5.7758743560000001</v>
      </c>
      <c r="Y413" s="6">
        <f>[1]Emissions!X830</f>
        <v>5.5645273480000004</v>
      </c>
      <c r="Z413" s="6">
        <f>[1]Emissions!Y830</f>
        <v>5.3606785849999996</v>
      </c>
      <c r="AA413" s="6">
        <f>[1]Emissions!Z830</f>
        <v>5.1619064699999999</v>
      </c>
      <c r="AB413" s="6">
        <f>[1]Emissions!AA830</f>
        <v>4.9657384330000003</v>
      </c>
      <c r="AC413" s="6">
        <f>[1]Emissions!AB830</f>
        <v>4.7692709090000003</v>
      </c>
      <c r="AD413" s="6">
        <f>[1]Emissions!AC830</f>
        <v>4.571358397</v>
      </c>
      <c r="AE413" s="6">
        <f>[1]Emissions!AD830</f>
        <v>4.3689000910000004</v>
      </c>
      <c r="AF413" s="6">
        <f>[1]Emissions!AE830</f>
        <v>4.157492661</v>
      </c>
      <c r="AG413" s="6">
        <f>[1]Emissions!AF830</f>
        <v>3.9324286339999999</v>
      </c>
      <c r="AH413" s="6">
        <f>[1]Emissions!AG830</f>
        <v>3.6894759220000002</v>
      </c>
      <c r="AI413" s="6">
        <f>[1]Emissions!AH830</f>
        <v>3.4247099849999998</v>
      </c>
      <c r="AJ413" s="6">
        <f>[1]Emissions!AI830</f>
        <v>3.1339953249999999</v>
      </c>
      <c r="AK413" s="6">
        <f>[1]Emissions!AJ830</f>
        <v>2.8129591110000001</v>
      </c>
      <c r="AL413" s="6">
        <f>[1]Emissions!AK830</f>
        <v>2.456809421</v>
      </c>
    </row>
    <row r="414" spans="1:38" x14ac:dyDescent="0.35">
      <c r="A414" t="s">
        <v>27</v>
      </c>
      <c r="B414" s="6" t="str">
        <f>[1]Emissions!A831</f>
        <v>ems_y_co2_sagr_2</v>
      </c>
      <c r="C414" s="6">
        <f>[1]Emissions!B831</f>
        <v>2.3457487299999999</v>
      </c>
      <c r="D414" s="6">
        <f>[1]Emissions!C831</f>
        <v>2.3251276540000001</v>
      </c>
      <c r="E414" s="6">
        <f>[1]Emissions!D831</f>
        <v>2.3192842819999999</v>
      </c>
      <c r="F414" s="6">
        <f>[1]Emissions!E831</f>
        <v>2.3317011170000002</v>
      </c>
      <c r="G414" s="6">
        <f>[1]Emissions!F831</f>
        <v>2.3546577609999999</v>
      </c>
      <c r="H414" s="6">
        <f>[1]Emissions!G831</f>
        <v>2.384310325</v>
      </c>
      <c r="I414" s="6">
        <f>[1]Emissions!H831</f>
        <v>2.418178814</v>
      </c>
      <c r="J414" s="6">
        <f>[1]Emissions!I831</f>
        <v>2.445333003</v>
      </c>
      <c r="K414" s="6">
        <f>[1]Emissions!J831</f>
        <v>2.4716592460000002</v>
      </c>
      <c r="L414" s="6">
        <f>[1]Emissions!K831</f>
        <v>2.5092846070000001</v>
      </c>
      <c r="M414" s="6">
        <f>[1]Emissions!L831</f>
        <v>2.5487459139999999</v>
      </c>
      <c r="N414" s="6">
        <f>[1]Emissions!M831</f>
        <v>2.589228979</v>
      </c>
      <c r="O414" s="6">
        <f>[1]Emissions!N831</f>
        <v>2.6313185589999999</v>
      </c>
      <c r="P414" s="6">
        <f>[1]Emissions!O831</f>
        <v>2.6734612260000001</v>
      </c>
      <c r="Q414" s="6">
        <f>[1]Emissions!P831</f>
        <v>2.7168234610000002</v>
      </c>
      <c r="R414" s="6">
        <f>[1]Emissions!Q831</f>
        <v>2.761749182</v>
      </c>
      <c r="S414" s="6">
        <f>[1]Emissions!R831</f>
        <v>2.8089723430000002</v>
      </c>
      <c r="T414" s="6">
        <f>[1]Emissions!S831</f>
        <v>2.858002081</v>
      </c>
      <c r="U414" s="6">
        <f>[1]Emissions!T831</f>
        <v>2.909305872</v>
      </c>
      <c r="V414" s="6">
        <f>[1]Emissions!U831</f>
        <v>2.9632957879999999</v>
      </c>
      <c r="W414" s="6">
        <f>[1]Emissions!V831</f>
        <v>3.0204405059999999</v>
      </c>
      <c r="X414" s="6">
        <f>[1]Emissions!W831</f>
        <v>3.081081202</v>
      </c>
      <c r="Y414" s="6">
        <f>[1]Emissions!X831</f>
        <v>3.145751953</v>
      </c>
      <c r="Z414" s="6">
        <f>[1]Emissions!Y831</f>
        <v>3.214813736</v>
      </c>
      <c r="AA414" s="6">
        <f>[1]Emissions!Z831</f>
        <v>3.288303456</v>
      </c>
      <c r="AB414" s="6">
        <f>[1]Emissions!AA831</f>
        <v>3.3663210819999998</v>
      </c>
      <c r="AC414" s="6">
        <f>[1]Emissions!AB831</f>
        <v>3.4483104550000001</v>
      </c>
      <c r="AD414" s="6">
        <f>[1]Emissions!AC831</f>
        <v>3.535312926</v>
      </c>
      <c r="AE414" s="6">
        <f>[1]Emissions!AD831</f>
        <v>3.6275733020000001</v>
      </c>
      <c r="AF414" s="6">
        <f>[1]Emissions!AE831</f>
        <v>3.7246194500000001</v>
      </c>
      <c r="AG414" s="6">
        <f>[1]Emissions!AF831</f>
        <v>3.8256274289999999</v>
      </c>
      <c r="AH414" s="6">
        <f>[1]Emissions!AG831</f>
        <v>3.9298793879999998</v>
      </c>
      <c r="AI414" s="6">
        <f>[1]Emissions!AH831</f>
        <v>4.0368596739999996</v>
      </c>
      <c r="AJ414" s="6">
        <f>[1]Emissions!AI831</f>
        <v>4.1461464570000004</v>
      </c>
      <c r="AK414" s="6">
        <f>[1]Emissions!AJ831</f>
        <v>4.2573444360000003</v>
      </c>
      <c r="AL414" s="6">
        <f>[1]Emissions!AK831</f>
        <v>4.3700181599999999</v>
      </c>
    </row>
    <row r="415" spans="1:38" x14ac:dyDescent="0.35">
      <c r="B415" s="6" t="str">
        <f>[1]Emissions!A832</f>
        <v>ems_mat_co2_sagr_2</v>
      </c>
      <c r="C415" s="6">
        <f>[1]Emissions!B832</f>
        <v>0</v>
      </c>
      <c r="D415" s="6">
        <f>[1]Emissions!C832</f>
        <v>0</v>
      </c>
      <c r="E415" s="6">
        <f>[1]Emissions!D832</f>
        <v>0</v>
      </c>
      <c r="F415" s="6">
        <f>[1]Emissions!E832</f>
        <v>0</v>
      </c>
      <c r="G415" s="6">
        <f>[1]Emissions!F832</f>
        <v>0</v>
      </c>
      <c r="H415" s="6">
        <f>[1]Emissions!G832</f>
        <v>0</v>
      </c>
      <c r="I415" s="6">
        <f>[1]Emissions!H832</f>
        <v>0</v>
      </c>
      <c r="J415" s="6">
        <f>[1]Emissions!I832</f>
        <v>0</v>
      </c>
      <c r="K415" s="6">
        <f>[1]Emissions!J832</f>
        <v>0</v>
      </c>
      <c r="L415" s="6">
        <f>[1]Emissions!K832</f>
        <v>0</v>
      </c>
      <c r="M415" s="6">
        <f>[1]Emissions!L832</f>
        <v>0</v>
      </c>
      <c r="N415" s="6">
        <f>[1]Emissions!M832</f>
        <v>0</v>
      </c>
      <c r="O415" s="6">
        <f>[1]Emissions!N832</f>
        <v>0</v>
      </c>
      <c r="P415" s="6">
        <f>[1]Emissions!O832</f>
        <v>0</v>
      </c>
      <c r="Q415" s="6">
        <f>[1]Emissions!P832</f>
        <v>0</v>
      </c>
      <c r="R415" s="6">
        <f>[1]Emissions!Q832</f>
        <v>0</v>
      </c>
      <c r="S415" s="6">
        <f>[1]Emissions!R832</f>
        <v>0</v>
      </c>
      <c r="T415" s="6">
        <f>[1]Emissions!S832</f>
        <v>0</v>
      </c>
      <c r="U415" s="6">
        <f>[1]Emissions!T832</f>
        <v>0</v>
      </c>
      <c r="V415" s="6">
        <f>[1]Emissions!U832</f>
        <v>0</v>
      </c>
      <c r="W415" s="6">
        <f>[1]Emissions!V832</f>
        <v>0</v>
      </c>
      <c r="X415" s="6">
        <f>[1]Emissions!W832</f>
        <v>0</v>
      </c>
      <c r="Y415" s="6">
        <f>[1]Emissions!X832</f>
        <v>0</v>
      </c>
      <c r="Z415" s="6">
        <f>[1]Emissions!Y832</f>
        <v>0</v>
      </c>
      <c r="AA415" s="6">
        <f>[1]Emissions!Z832</f>
        <v>0</v>
      </c>
      <c r="AB415" s="6">
        <f>[1]Emissions!AA832</f>
        <v>0</v>
      </c>
      <c r="AC415" s="6">
        <f>[1]Emissions!AB832</f>
        <v>0</v>
      </c>
      <c r="AD415" s="6">
        <f>[1]Emissions!AC832</f>
        <v>0</v>
      </c>
      <c r="AE415" s="6">
        <f>[1]Emissions!AD832</f>
        <v>0</v>
      </c>
      <c r="AF415" s="6">
        <f>[1]Emissions!AE832</f>
        <v>0</v>
      </c>
      <c r="AG415" s="6">
        <f>[1]Emissions!AF832</f>
        <v>0</v>
      </c>
      <c r="AH415" s="6">
        <f>[1]Emissions!AG832</f>
        <v>0</v>
      </c>
      <c r="AI415" s="6">
        <f>[1]Emissions!AH832</f>
        <v>0</v>
      </c>
      <c r="AJ415" s="6">
        <f>[1]Emissions!AI832</f>
        <v>0</v>
      </c>
      <c r="AK415" s="6">
        <f>[1]Emissions!AJ832</f>
        <v>0</v>
      </c>
      <c r="AL415" s="6">
        <f>[1]Emissions!AK832</f>
        <v>0</v>
      </c>
    </row>
    <row r="416" spans="1:38" x14ac:dyDescent="0.35">
      <c r="B416" s="6" t="str">
        <f>[1]Emissions!A833</f>
        <v>ems_ci_co2_sfor_2</v>
      </c>
      <c r="C416" s="6">
        <f>[1]Emissions!B833</f>
        <v>0.50982053059999999</v>
      </c>
      <c r="D416" s="6">
        <f>[1]Emissions!C833</f>
        <v>0.484554331</v>
      </c>
      <c r="E416" s="6">
        <f>[1]Emissions!D833</f>
        <v>0.4590019367</v>
      </c>
      <c r="F416" s="6">
        <f>[1]Emissions!E833</f>
        <v>0.43318517550000002</v>
      </c>
      <c r="G416" s="6">
        <f>[1]Emissions!F833</f>
        <v>0.41547702209999998</v>
      </c>
      <c r="H416" s="6">
        <f>[1]Emissions!G833</f>
        <v>0.40394792460000001</v>
      </c>
      <c r="I416" s="6">
        <f>[1]Emissions!H833</f>
        <v>0.39640509200000001</v>
      </c>
      <c r="J416" s="6">
        <f>[1]Emissions!I833</f>
        <v>0.360679694</v>
      </c>
      <c r="K416" s="6">
        <f>[1]Emissions!J833</f>
        <v>0.32519192460000002</v>
      </c>
      <c r="L416" s="6">
        <f>[1]Emissions!K833</f>
        <v>0.29407891470000003</v>
      </c>
      <c r="M416" s="6">
        <f>[1]Emissions!L833</f>
        <v>0.26672529909999998</v>
      </c>
      <c r="N416" s="6">
        <f>[1]Emissions!M833</f>
        <v>0.24524212749999999</v>
      </c>
      <c r="O416" s="6">
        <f>[1]Emissions!N833</f>
        <v>0.22768969189999999</v>
      </c>
      <c r="P416" s="6">
        <f>[1]Emissions!O833</f>
        <v>0.21277699759999999</v>
      </c>
      <c r="Q416" s="6">
        <f>[1]Emissions!P833</f>
        <v>0.19994971349999999</v>
      </c>
      <c r="R416" s="6">
        <f>[1]Emissions!Q833</f>
        <v>0.1888238558</v>
      </c>
      <c r="S416" s="6">
        <f>[1]Emissions!R833</f>
        <v>0.17824942569999999</v>
      </c>
      <c r="T416" s="6">
        <f>[1]Emissions!S833</f>
        <v>0.16844565180000001</v>
      </c>
      <c r="U416" s="6">
        <f>[1]Emissions!T833</f>
        <v>0.15948452460000001</v>
      </c>
      <c r="V416" s="6">
        <f>[1]Emissions!U833</f>
        <v>0.15133400289999999</v>
      </c>
      <c r="W416" s="6">
        <f>[1]Emissions!V833</f>
        <v>0.14392988609999999</v>
      </c>
      <c r="X416" s="6">
        <f>[1]Emissions!W833</f>
        <v>0.13720059949999999</v>
      </c>
      <c r="Y416" s="6">
        <f>[1]Emissions!X833</f>
        <v>0.13107531750000001</v>
      </c>
      <c r="Z416" s="6">
        <f>[1]Emissions!Y833</f>
        <v>0.12546019820000001</v>
      </c>
      <c r="AA416" s="6">
        <f>[1]Emissions!Z833</f>
        <v>0.1202514522</v>
      </c>
      <c r="AB416" s="6">
        <f>[1]Emissions!AA833</f>
        <v>0.1153519368</v>
      </c>
      <c r="AC416" s="6">
        <f>[1]Emissions!AB833</f>
        <v>0.1106971078</v>
      </c>
      <c r="AD416" s="6">
        <f>[1]Emissions!AC833</f>
        <v>0.1062327352</v>
      </c>
      <c r="AE416" s="6">
        <f>[1]Emissions!AD833</f>
        <v>0.1018540356</v>
      </c>
      <c r="AF416" s="6">
        <f>[1]Emissions!AE833</f>
        <v>9.7418744400000007E-2</v>
      </c>
      <c r="AG416" s="6">
        <f>[1]Emissions!AF833</f>
        <v>9.2779513899999999E-2</v>
      </c>
      <c r="AH416" s="6">
        <f>[1]Emissions!AG833</f>
        <v>8.7809412500000003E-2</v>
      </c>
      <c r="AI416" s="6">
        <f>[1]Emissions!AH833</f>
        <v>8.2389094199999999E-2</v>
      </c>
      <c r="AJ416" s="6">
        <f>[1]Emissions!AI833</f>
        <v>7.6378319099999994E-2</v>
      </c>
      <c r="AK416" s="6">
        <f>[1]Emissions!AJ833</f>
        <v>6.9610885299999994E-2</v>
      </c>
      <c r="AL416" s="6">
        <f>[1]Emissions!AK833</f>
        <v>6.18804934E-2</v>
      </c>
    </row>
    <row r="417" spans="2:38" x14ac:dyDescent="0.35">
      <c r="B417" s="6" t="str">
        <f>[1]Emissions!A834</f>
        <v>ems_y_co2_sfor_2</v>
      </c>
      <c r="C417" s="6">
        <f>[1]Emissions!B834</f>
        <v>0</v>
      </c>
      <c r="D417" s="6">
        <f>[1]Emissions!C834</f>
        <v>0</v>
      </c>
      <c r="E417" s="6">
        <f>[1]Emissions!D834</f>
        <v>0</v>
      </c>
      <c r="F417" s="6">
        <f>[1]Emissions!E834</f>
        <v>0</v>
      </c>
      <c r="G417" s="6">
        <f>[1]Emissions!F834</f>
        <v>0</v>
      </c>
      <c r="H417" s="6">
        <f>[1]Emissions!G834</f>
        <v>0</v>
      </c>
      <c r="I417" s="6">
        <f>[1]Emissions!H834</f>
        <v>0</v>
      </c>
      <c r="J417" s="6">
        <f>[1]Emissions!I834</f>
        <v>0</v>
      </c>
      <c r="K417" s="6">
        <f>[1]Emissions!J834</f>
        <v>0</v>
      </c>
      <c r="L417" s="6">
        <f>[1]Emissions!K834</f>
        <v>0</v>
      </c>
      <c r="M417" s="6">
        <f>[1]Emissions!L834</f>
        <v>0</v>
      </c>
      <c r="N417" s="6">
        <f>[1]Emissions!M834</f>
        <v>0</v>
      </c>
      <c r="O417" s="6">
        <f>[1]Emissions!N834</f>
        <v>0</v>
      </c>
      <c r="P417" s="6">
        <f>[1]Emissions!O834</f>
        <v>0</v>
      </c>
      <c r="Q417" s="6">
        <f>[1]Emissions!P834</f>
        <v>0</v>
      </c>
      <c r="R417" s="6">
        <f>[1]Emissions!Q834</f>
        <v>0</v>
      </c>
      <c r="S417" s="6">
        <f>[1]Emissions!R834</f>
        <v>0</v>
      </c>
      <c r="T417" s="6">
        <f>[1]Emissions!S834</f>
        <v>0</v>
      </c>
      <c r="U417" s="6">
        <f>[1]Emissions!T834</f>
        <v>0</v>
      </c>
      <c r="V417" s="6">
        <f>[1]Emissions!U834</f>
        <v>0</v>
      </c>
      <c r="W417" s="6">
        <f>[1]Emissions!V834</f>
        <v>0</v>
      </c>
      <c r="X417" s="6">
        <f>[1]Emissions!W834</f>
        <v>0</v>
      </c>
      <c r="Y417" s="6">
        <f>[1]Emissions!X834</f>
        <v>0</v>
      </c>
      <c r="Z417" s="6">
        <f>[1]Emissions!Y834</f>
        <v>0</v>
      </c>
      <c r="AA417" s="6">
        <f>[1]Emissions!Z834</f>
        <v>0</v>
      </c>
      <c r="AB417" s="6">
        <f>[1]Emissions!AA834</f>
        <v>0</v>
      </c>
      <c r="AC417" s="6">
        <f>[1]Emissions!AB834</f>
        <v>0</v>
      </c>
      <c r="AD417" s="6">
        <f>[1]Emissions!AC834</f>
        <v>0</v>
      </c>
      <c r="AE417" s="6">
        <f>[1]Emissions!AD834</f>
        <v>0</v>
      </c>
      <c r="AF417" s="6">
        <f>[1]Emissions!AE834</f>
        <v>0</v>
      </c>
      <c r="AG417" s="6">
        <f>[1]Emissions!AF834</f>
        <v>0</v>
      </c>
      <c r="AH417" s="6">
        <f>[1]Emissions!AG834</f>
        <v>0</v>
      </c>
      <c r="AI417" s="6">
        <f>[1]Emissions!AH834</f>
        <v>0</v>
      </c>
      <c r="AJ417" s="6">
        <f>[1]Emissions!AI834</f>
        <v>0</v>
      </c>
      <c r="AK417" s="6">
        <f>[1]Emissions!AJ834</f>
        <v>0</v>
      </c>
      <c r="AL417" s="6">
        <f>[1]Emissions!AK834</f>
        <v>0</v>
      </c>
    </row>
    <row r="418" spans="2:38" x14ac:dyDescent="0.35">
      <c r="B418" s="6" t="str">
        <f>[1]Emissions!A835</f>
        <v>ems_mat_co2_sfor_2</v>
      </c>
      <c r="C418" s="6">
        <f>[1]Emissions!B835</f>
        <v>0</v>
      </c>
      <c r="D418" s="6">
        <f>[1]Emissions!C835</f>
        <v>0</v>
      </c>
      <c r="E418" s="6">
        <f>[1]Emissions!D835</f>
        <v>0</v>
      </c>
      <c r="F418" s="6">
        <f>[1]Emissions!E835</f>
        <v>0</v>
      </c>
      <c r="G418" s="6">
        <f>[1]Emissions!F835</f>
        <v>0</v>
      </c>
      <c r="H418" s="6">
        <f>[1]Emissions!G835</f>
        <v>0</v>
      </c>
      <c r="I418" s="6">
        <f>[1]Emissions!H835</f>
        <v>0</v>
      </c>
      <c r="J418" s="6">
        <f>[1]Emissions!I835</f>
        <v>0</v>
      </c>
      <c r="K418" s="6">
        <f>[1]Emissions!J835</f>
        <v>0</v>
      </c>
      <c r="L418" s="6">
        <f>[1]Emissions!K835</f>
        <v>0</v>
      </c>
      <c r="M418" s="6">
        <f>[1]Emissions!L835</f>
        <v>0</v>
      </c>
      <c r="N418" s="6">
        <f>[1]Emissions!M835</f>
        <v>0</v>
      </c>
      <c r="O418" s="6">
        <f>[1]Emissions!N835</f>
        <v>0</v>
      </c>
      <c r="P418" s="6">
        <f>[1]Emissions!O835</f>
        <v>0</v>
      </c>
      <c r="Q418" s="6">
        <f>[1]Emissions!P835</f>
        <v>0</v>
      </c>
      <c r="R418" s="6">
        <f>[1]Emissions!Q835</f>
        <v>0</v>
      </c>
      <c r="S418" s="6">
        <f>[1]Emissions!R835</f>
        <v>0</v>
      </c>
      <c r="T418" s="6">
        <f>[1]Emissions!S835</f>
        <v>0</v>
      </c>
      <c r="U418" s="6">
        <f>[1]Emissions!T835</f>
        <v>0</v>
      </c>
      <c r="V418" s="6">
        <f>[1]Emissions!U835</f>
        <v>0</v>
      </c>
      <c r="W418" s="6">
        <f>[1]Emissions!V835</f>
        <v>0</v>
      </c>
      <c r="X418" s="6">
        <f>[1]Emissions!W835</f>
        <v>0</v>
      </c>
      <c r="Y418" s="6">
        <f>[1]Emissions!X835</f>
        <v>0</v>
      </c>
      <c r="Z418" s="6">
        <f>[1]Emissions!Y835</f>
        <v>0</v>
      </c>
      <c r="AA418" s="6">
        <f>[1]Emissions!Z835</f>
        <v>0</v>
      </c>
      <c r="AB418" s="6">
        <f>[1]Emissions!AA835</f>
        <v>0</v>
      </c>
      <c r="AC418" s="6">
        <f>[1]Emissions!AB835</f>
        <v>0</v>
      </c>
      <c r="AD418" s="6">
        <f>[1]Emissions!AC835</f>
        <v>0</v>
      </c>
      <c r="AE418" s="6">
        <f>[1]Emissions!AD835</f>
        <v>0</v>
      </c>
      <c r="AF418" s="6">
        <f>[1]Emissions!AE835</f>
        <v>0</v>
      </c>
      <c r="AG418" s="6">
        <f>[1]Emissions!AF835</f>
        <v>0</v>
      </c>
      <c r="AH418" s="6">
        <f>[1]Emissions!AG835</f>
        <v>0</v>
      </c>
      <c r="AI418" s="6">
        <f>[1]Emissions!AH835</f>
        <v>0</v>
      </c>
      <c r="AJ418" s="6">
        <f>[1]Emissions!AI835</f>
        <v>0</v>
      </c>
      <c r="AK418" s="6">
        <f>[1]Emissions!AJ835</f>
        <v>0</v>
      </c>
      <c r="AL418" s="6">
        <f>[1]Emissions!AK835</f>
        <v>0</v>
      </c>
    </row>
    <row r="419" spans="2:38" x14ac:dyDescent="0.35">
      <c r="B419" s="6" t="str">
        <f>[1]Emissions!A836</f>
        <v>ems_ci_co2_sfoo_2</v>
      </c>
      <c r="C419" s="6">
        <f>[1]Emissions!B836</f>
        <v>9.7930422020000005</v>
      </c>
      <c r="D419" s="6">
        <f>[1]Emissions!C836</f>
        <v>9.6616597629999994</v>
      </c>
      <c r="E419" s="6">
        <f>[1]Emissions!D836</f>
        <v>9.5539564309999996</v>
      </c>
      <c r="F419" s="6">
        <f>[1]Emissions!E836</f>
        <v>9.4818029429999999</v>
      </c>
      <c r="G419" s="6">
        <f>[1]Emissions!F836</f>
        <v>9.4907554330000004</v>
      </c>
      <c r="H419" s="6">
        <f>[1]Emissions!G836</f>
        <v>9.5550503080000002</v>
      </c>
      <c r="I419" s="6">
        <f>[1]Emissions!H836</f>
        <v>9.6578049999999998</v>
      </c>
      <c r="J419" s="6">
        <f>[1]Emissions!I836</f>
        <v>9.3180603679999994</v>
      </c>
      <c r="K419" s="6">
        <f>[1]Emissions!J836</f>
        <v>8.9276030429999995</v>
      </c>
      <c r="L419" s="6">
        <f>[1]Emissions!K836</f>
        <v>8.5552444970000003</v>
      </c>
      <c r="M419" s="6">
        <f>[1]Emissions!L836</f>
        <v>8.1973677850000009</v>
      </c>
      <c r="N419" s="6">
        <f>[1]Emissions!M836</f>
        <v>7.899783523</v>
      </c>
      <c r="O419" s="6">
        <f>[1]Emissions!N836</f>
        <v>7.6494678150000004</v>
      </c>
      <c r="P419" s="6">
        <f>[1]Emissions!O836</f>
        <v>7.4296201499999999</v>
      </c>
      <c r="Q419" s="6">
        <f>[1]Emissions!P836</f>
        <v>7.2323510779999998</v>
      </c>
      <c r="R419" s="6">
        <f>[1]Emissions!Q836</f>
        <v>7.051581273</v>
      </c>
      <c r="S419" s="6">
        <f>[1]Emissions!R836</f>
        <v>6.8656308270000004</v>
      </c>
      <c r="T419" s="6">
        <f>[1]Emissions!S836</f>
        <v>6.6773967179999998</v>
      </c>
      <c r="U419" s="6">
        <f>[1]Emissions!T836</f>
        <v>6.4908497980000002</v>
      </c>
      <c r="V419" s="6">
        <f>[1]Emissions!U836</f>
        <v>6.3085145489999999</v>
      </c>
      <c r="W419" s="6">
        <f>[1]Emissions!V836</f>
        <v>6.1317701180000004</v>
      </c>
      <c r="X419" s="6">
        <f>[1]Emissions!W836</f>
        <v>5.9609871950000004</v>
      </c>
      <c r="Y419" s="6">
        <f>[1]Emissions!X836</f>
        <v>5.7961770570000004</v>
      </c>
      <c r="Z419" s="6">
        <f>[1]Emissions!Y836</f>
        <v>5.6366287440000002</v>
      </c>
      <c r="AA419" s="6">
        <f>[1]Emissions!Z836</f>
        <v>5.4809574559999996</v>
      </c>
      <c r="AB419" s="6">
        <f>[1]Emissions!AA836</f>
        <v>5.3275819929999999</v>
      </c>
      <c r="AC419" s="6">
        <f>[1]Emissions!AB836</f>
        <v>5.173965065</v>
      </c>
      <c r="AD419" s="6">
        <f>[1]Emissions!AC836</f>
        <v>5.0196515420000001</v>
      </c>
      <c r="AE419" s="6">
        <f>[1]Emissions!AD836</f>
        <v>4.8625905810000001</v>
      </c>
      <c r="AF419" s="6">
        <f>[1]Emissions!AE836</f>
        <v>4.6997546049999999</v>
      </c>
      <c r="AG419" s="6">
        <f>[1]Emissions!AF836</f>
        <v>4.5277357050000004</v>
      </c>
      <c r="AH419" s="6">
        <f>[1]Emissions!AG836</f>
        <v>4.3432959279999999</v>
      </c>
      <c r="AI419" s="6">
        <f>[1]Emissions!AH836</f>
        <v>4.1433417410000004</v>
      </c>
      <c r="AJ419" s="6">
        <f>[1]Emissions!AI836</f>
        <v>3.9246297979999998</v>
      </c>
      <c r="AK419" s="6">
        <f>[1]Emissions!AJ836</f>
        <v>3.6837022770000001</v>
      </c>
      <c r="AL419" s="6">
        <f>[1]Emissions!AK836</f>
        <v>3.4166946079999998</v>
      </c>
    </row>
    <row r="420" spans="2:38" x14ac:dyDescent="0.35">
      <c r="B420" s="6" t="str">
        <f>[1]Emissions!A837</f>
        <v>ems_y_co2_sfoo_2</v>
      </c>
      <c r="C420" s="6">
        <f>[1]Emissions!B837</f>
        <v>0</v>
      </c>
      <c r="D420" s="6">
        <f>[1]Emissions!C837</f>
        <v>0</v>
      </c>
      <c r="E420" s="6">
        <f>[1]Emissions!D837</f>
        <v>0</v>
      </c>
      <c r="F420" s="6">
        <f>[1]Emissions!E837</f>
        <v>0</v>
      </c>
      <c r="G420" s="6">
        <f>[1]Emissions!F837</f>
        <v>0</v>
      </c>
      <c r="H420" s="6">
        <f>[1]Emissions!G837</f>
        <v>0</v>
      </c>
      <c r="I420" s="6">
        <f>[1]Emissions!H837</f>
        <v>0</v>
      </c>
      <c r="J420" s="6">
        <f>[1]Emissions!I837</f>
        <v>0</v>
      </c>
      <c r="K420" s="6">
        <f>[1]Emissions!J837</f>
        <v>0</v>
      </c>
      <c r="L420" s="6">
        <f>[1]Emissions!K837</f>
        <v>0</v>
      </c>
      <c r="M420" s="6">
        <f>[1]Emissions!L837</f>
        <v>0</v>
      </c>
      <c r="N420" s="6">
        <f>[1]Emissions!M837</f>
        <v>0</v>
      </c>
      <c r="O420" s="6">
        <f>[1]Emissions!N837</f>
        <v>0</v>
      </c>
      <c r="P420" s="6">
        <f>[1]Emissions!O837</f>
        <v>0</v>
      </c>
      <c r="Q420" s="6">
        <f>[1]Emissions!P837</f>
        <v>0</v>
      </c>
      <c r="R420" s="6">
        <f>[1]Emissions!Q837</f>
        <v>0</v>
      </c>
      <c r="S420" s="6">
        <f>[1]Emissions!R837</f>
        <v>0</v>
      </c>
      <c r="T420" s="6">
        <f>[1]Emissions!S837</f>
        <v>0</v>
      </c>
      <c r="U420" s="6">
        <f>[1]Emissions!T837</f>
        <v>0</v>
      </c>
      <c r="V420" s="6">
        <f>[1]Emissions!U837</f>
        <v>0</v>
      </c>
      <c r="W420" s="6">
        <f>[1]Emissions!V837</f>
        <v>0</v>
      </c>
      <c r="X420" s="6">
        <f>[1]Emissions!W837</f>
        <v>0</v>
      </c>
      <c r="Y420" s="6">
        <f>[1]Emissions!X837</f>
        <v>0</v>
      </c>
      <c r="Z420" s="6">
        <f>[1]Emissions!Y837</f>
        <v>0</v>
      </c>
      <c r="AA420" s="6">
        <f>[1]Emissions!Z837</f>
        <v>0</v>
      </c>
      <c r="AB420" s="6">
        <f>[1]Emissions!AA837</f>
        <v>0</v>
      </c>
      <c r="AC420" s="6">
        <f>[1]Emissions!AB837</f>
        <v>0</v>
      </c>
      <c r="AD420" s="6">
        <f>[1]Emissions!AC837</f>
        <v>0</v>
      </c>
      <c r="AE420" s="6">
        <f>[1]Emissions!AD837</f>
        <v>0</v>
      </c>
      <c r="AF420" s="6">
        <f>[1]Emissions!AE837</f>
        <v>0</v>
      </c>
      <c r="AG420" s="6">
        <f>[1]Emissions!AF837</f>
        <v>0</v>
      </c>
      <c r="AH420" s="6">
        <f>[1]Emissions!AG837</f>
        <v>0</v>
      </c>
      <c r="AI420" s="6">
        <f>[1]Emissions!AH837</f>
        <v>0</v>
      </c>
      <c r="AJ420" s="6">
        <f>[1]Emissions!AI837</f>
        <v>0</v>
      </c>
      <c r="AK420" s="6">
        <f>[1]Emissions!AJ837</f>
        <v>0</v>
      </c>
      <c r="AL420" s="6">
        <f>[1]Emissions!AK837</f>
        <v>0</v>
      </c>
    </row>
    <row r="421" spans="2:38" x14ac:dyDescent="0.35">
      <c r="B421" s="6" t="str">
        <f>[1]Emissions!A838</f>
        <v>ems_mat_co2_sfoo_2</v>
      </c>
      <c r="C421" s="6">
        <f>[1]Emissions!B838</f>
        <v>0</v>
      </c>
      <c r="D421" s="6">
        <f>[1]Emissions!C838</f>
        <v>0</v>
      </c>
      <c r="E421" s="6">
        <f>[1]Emissions!D838</f>
        <v>0</v>
      </c>
      <c r="F421" s="6">
        <f>[1]Emissions!E838</f>
        <v>0</v>
      </c>
      <c r="G421" s="6">
        <f>[1]Emissions!F838</f>
        <v>0</v>
      </c>
      <c r="H421" s="6">
        <f>[1]Emissions!G838</f>
        <v>0</v>
      </c>
      <c r="I421" s="6">
        <f>[1]Emissions!H838</f>
        <v>0</v>
      </c>
      <c r="J421" s="6">
        <f>[1]Emissions!I838</f>
        <v>0</v>
      </c>
      <c r="K421" s="6">
        <f>[1]Emissions!J838</f>
        <v>0</v>
      </c>
      <c r="L421" s="6">
        <f>[1]Emissions!K838</f>
        <v>0</v>
      </c>
      <c r="M421" s="6">
        <f>[1]Emissions!L838</f>
        <v>0</v>
      </c>
      <c r="N421" s="6">
        <f>[1]Emissions!M838</f>
        <v>0</v>
      </c>
      <c r="O421" s="6">
        <f>[1]Emissions!N838</f>
        <v>0</v>
      </c>
      <c r="P421" s="6">
        <f>[1]Emissions!O838</f>
        <v>0</v>
      </c>
      <c r="Q421" s="6">
        <f>[1]Emissions!P838</f>
        <v>0</v>
      </c>
      <c r="R421" s="6">
        <f>[1]Emissions!Q838</f>
        <v>0</v>
      </c>
      <c r="S421" s="6">
        <f>[1]Emissions!R838</f>
        <v>0</v>
      </c>
      <c r="T421" s="6">
        <f>[1]Emissions!S838</f>
        <v>0</v>
      </c>
      <c r="U421" s="6">
        <f>[1]Emissions!T838</f>
        <v>0</v>
      </c>
      <c r="V421" s="6">
        <f>[1]Emissions!U838</f>
        <v>0</v>
      </c>
      <c r="W421" s="6">
        <f>[1]Emissions!V838</f>
        <v>0</v>
      </c>
      <c r="X421" s="6">
        <f>[1]Emissions!W838</f>
        <v>0</v>
      </c>
      <c r="Y421" s="6">
        <f>[1]Emissions!X838</f>
        <v>0</v>
      </c>
      <c r="Z421" s="6">
        <f>[1]Emissions!Y838</f>
        <v>0</v>
      </c>
      <c r="AA421" s="6">
        <f>[1]Emissions!Z838</f>
        <v>0</v>
      </c>
      <c r="AB421" s="6">
        <f>[1]Emissions!AA838</f>
        <v>0</v>
      </c>
      <c r="AC421" s="6">
        <f>[1]Emissions!AB838</f>
        <v>0</v>
      </c>
      <c r="AD421" s="6">
        <f>[1]Emissions!AC838</f>
        <v>0</v>
      </c>
      <c r="AE421" s="6">
        <f>[1]Emissions!AD838</f>
        <v>0</v>
      </c>
      <c r="AF421" s="6">
        <f>[1]Emissions!AE838</f>
        <v>0</v>
      </c>
      <c r="AG421" s="6">
        <f>[1]Emissions!AF838</f>
        <v>0</v>
      </c>
      <c r="AH421" s="6">
        <f>[1]Emissions!AG838</f>
        <v>0</v>
      </c>
      <c r="AI421" s="6">
        <f>[1]Emissions!AH838</f>
        <v>0</v>
      </c>
      <c r="AJ421" s="6">
        <f>[1]Emissions!AI838</f>
        <v>0</v>
      </c>
      <c r="AK421" s="6">
        <f>[1]Emissions!AJ838</f>
        <v>0</v>
      </c>
      <c r="AL421" s="6">
        <f>[1]Emissions!AK838</f>
        <v>0</v>
      </c>
    </row>
    <row r="422" spans="2:38" x14ac:dyDescent="0.35">
      <c r="B422" s="6" t="str">
        <f>[1]Emissions!A839</f>
        <v>ems_ci_co2_sveh_2</v>
      </c>
      <c r="C422" s="6">
        <f>[1]Emissions!B839</f>
        <v>1.2212767819999999</v>
      </c>
      <c r="D422" s="6">
        <f>[1]Emissions!C839</f>
        <v>1.21202685</v>
      </c>
      <c r="E422" s="6">
        <f>[1]Emissions!D839</f>
        <v>1.20214193</v>
      </c>
      <c r="F422" s="6">
        <f>[1]Emissions!E839</f>
        <v>1.1869243840000001</v>
      </c>
      <c r="G422" s="6">
        <f>[1]Emissions!F839</f>
        <v>1.1804628690000001</v>
      </c>
      <c r="H422" s="6">
        <f>[1]Emissions!G839</f>
        <v>1.181363368</v>
      </c>
      <c r="I422" s="6">
        <f>[1]Emissions!H839</f>
        <v>1.1879889210000001</v>
      </c>
      <c r="J422" s="6">
        <f>[1]Emissions!I839</f>
        <v>1.1198229449999999</v>
      </c>
      <c r="K422" s="6">
        <f>[1]Emissions!J839</f>
        <v>1.044280061</v>
      </c>
      <c r="L422" s="6">
        <f>[1]Emissions!K839</f>
        <v>0.97877714579999997</v>
      </c>
      <c r="M422" s="6">
        <f>[1]Emissions!L839</f>
        <v>0.91550977339999995</v>
      </c>
      <c r="N422" s="6">
        <f>[1]Emissions!M839</f>
        <v>0.86289217439999999</v>
      </c>
      <c r="O422" s="6">
        <f>[1]Emissions!N839</f>
        <v>0.81693367630000002</v>
      </c>
      <c r="P422" s="6">
        <f>[1]Emissions!O839</f>
        <v>0.77486114770000003</v>
      </c>
      <c r="Q422" s="6">
        <f>[1]Emissions!P839</f>
        <v>0.73716282280000001</v>
      </c>
      <c r="R422" s="6">
        <f>[1]Emissions!Q839</f>
        <v>0.70392050770000003</v>
      </c>
      <c r="S422" s="6">
        <f>[1]Emissions!R839</f>
        <v>0.67076564059999999</v>
      </c>
      <c r="T422" s="6">
        <f>[1]Emissions!S839</f>
        <v>0.63950200800000001</v>
      </c>
      <c r="U422" s="6">
        <f>[1]Emissions!T839</f>
        <v>0.61088395979999999</v>
      </c>
      <c r="V422" s="6">
        <f>[1]Emissions!U839</f>
        <v>0.58511316660000001</v>
      </c>
      <c r="W422" s="6">
        <f>[1]Emissions!V839</f>
        <v>0.5621933845</v>
      </c>
      <c r="X422" s="6">
        <f>[1]Emissions!W839</f>
        <v>0.54199136189999997</v>
      </c>
      <c r="Y422" s="6">
        <f>[1]Emissions!X839</f>
        <v>0.52436248860000001</v>
      </c>
      <c r="Z422" s="6">
        <f>[1]Emissions!Y839</f>
        <v>0.50901822379999995</v>
      </c>
      <c r="AA422" s="6">
        <f>[1]Emissions!Z839</f>
        <v>0.49558571610000002</v>
      </c>
      <c r="AB422" s="6">
        <f>[1]Emissions!AA839</f>
        <v>0.48373650029999998</v>
      </c>
      <c r="AC422" s="6">
        <f>[1]Emissions!AB839</f>
        <v>0.47353074220000002</v>
      </c>
      <c r="AD422" s="6">
        <f>[1]Emissions!AC839</f>
        <v>0.46450271300000001</v>
      </c>
      <c r="AE422" s="6">
        <f>[1]Emissions!AD839</f>
        <v>0.45618953769999998</v>
      </c>
      <c r="AF422" s="6">
        <f>[1]Emissions!AE839</f>
        <v>0.44792602809999998</v>
      </c>
      <c r="AG422" s="6">
        <f>[1]Emissions!AF839</f>
        <v>0.43904202889999999</v>
      </c>
      <c r="AH422" s="6">
        <f>[1]Emissions!AG839</f>
        <v>0.42901570280000001</v>
      </c>
      <c r="AI422" s="6">
        <f>[1]Emissions!AH839</f>
        <v>0.41741135540000002</v>
      </c>
      <c r="AJ422" s="6">
        <f>[1]Emissions!AI839</f>
        <v>0.40375580709999997</v>
      </c>
      <c r="AK422" s="6">
        <f>[1]Emissions!AJ839</f>
        <v>0.38752350870000002</v>
      </c>
      <c r="AL422" s="6">
        <f>[1]Emissions!AK839</f>
        <v>0.3680686393</v>
      </c>
    </row>
    <row r="423" spans="2:38" x14ac:dyDescent="0.35">
      <c r="B423" s="6" t="str">
        <f>[1]Emissions!A840</f>
        <v>ems_y_co2_sveh_2</v>
      </c>
      <c r="C423" s="6">
        <f>[1]Emissions!B840</f>
        <v>0</v>
      </c>
      <c r="D423" s="6">
        <f>[1]Emissions!C840</f>
        <v>0</v>
      </c>
      <c r="E423" s="6">
        <f>[1]Emissions!D840</f>
        <v>0</v>
      </c>
      <c r="F423" s="6">
        <f>[1]Emissions!E840</f>
        <v>0</v>
      </c>
      <c r="G423" s="6">
        <f>[1]Emissions!F840</f>
        <v>0</v>
      </c>
      <c r="H423" s="6">
        <f>[1]Emissions!G840</f>
        <v>0</v>
      </c>
      <c r="I423" s="6">
        <f>[1]Emissions!H840</f>
        <v>0</v>
      </c>
      <c r="J423" s="6">
        <f>[1]Emissions!I840</f>
        <v>0</v>
      </c>
      <c r="K423" s="6">
        <f>[1]Emissions!J840</f>
        <v>0</v>
      </c>
      <c r="L423" s="6">
        <f>[1]Emissions!K840</f>
        <v>0</v>
      </c>
      <c r="M423" s="6">
        <f>[1]Emissions!L840</f>
        <v>0</v>
      </c>
      <c r="N423" s="6">
        <f>[1]Emissions!M840</f>
        <v>0</v>
      </c>
      <c r="O423" s="6">
        <f>[1]Emissions!N840</f>
        <v>0</v>
      </c>
      <c r="P423" s="6">
        <f>[1]Emissions!O840</f>
        <v>0</v>
      </c>
      <c r="Q423" s="6">
        <f>[1]Emissions!P840</f>
        <v>0</v>
      </c>
      <c r="R423" s="6">
        <f>[1]Emissions!Q840</f>
        <v>0</v>
      </c>
      <c r="S423" s="6">
        <f>[1]Emissions!R840</f>
        <v>0</v>
      </c>
      <c r="T423" s="6">
        <f>[1]Emissions!S840</f>
        <v>0</v>
      </c>
      <c r="U423" s="6">
        <f>[1]Emissions!T840</f>
        <v>0</v>
      </c>
      <c r="V423" s="6">
        <f>[1]Emissions!U840</f>
        <v>0</v>
      </c>
      <c r="W423" s="6">
        <f>[1]Emissions!V840</f>
        <v>0</v>
      </c>
      <c r="X423" s="6">
        <f>[1]Emissions!W840</f>
        <v>0</v>
      </c>
      <c r="Y423" s="6">
        <f>[1]Emissions!X840</f>
        <v>0</v>
      </c>
      <c r="Z423" s="6">
        <f>[1]Emissions!Y840</f>
        <v>0</v>
      </c>
      <c r="AA423" s="6">
        <f>[1]Emissions!Z840</f>
        <v>0</v>
      </c>
      <c r="AB423" s="6">
        <f>[1]Emissions!AA840</f>
        <v>0</v>
      </c>
      <c r="AC423" s="6">
        <f>[1]Emissions!AB840</f>
        <v>0</v>
      </c>
      <c r="AD423" s="6">
        <f>[1]Emissions!AC840</f>
        <v>0</v>
      </c>
      <c r="AE423" s="6">
        <f>[1]Emissions!AD840</f>
        <v>0</v>
      </c>
      <c r="AF423" s="6">
        <f>[1]Emissions!AE840</f>
        <v>0</v>
      </c>
      <c r="AG423" s="6">
        <f>[1]Emissions!AF840</f>
        <v>0</v>
      </c>
      <c r="AH423" s="6">
        <f>[1]Emissions!AG840</f>
        <v>0</v>
      </c>
      <c r="AI423" s="6">
        <f>[1]Emissions!AH840</f>
        <v>0</v>
      </c>
      <c r="AJ423" s="6">
        <f>[1]Emissions!AI840</f>
        <v>0</v>
      </c>
      <c r="AK423" s="6">
        <f>[1]Emissions!AJ840</f>
        <v>0</v>
      </c>
      <c r="AL423" s="6">
        <f>[1]Emissions!AK840</f>
        <v>0</v>
      </c>
    </row>
    <row r="424" spans="2:38" x14ac:dyDescent="0.35">
      <c r="B424" s="6" t="str">
        <f>[1]Emissions!A841</f>
        <v>ems_mat_co2_sveh_2</v>
      </c>
      <c r="C424" s="6">
        <f>[1]Emissions!B841</f>
        <v>0</v>
      </c>
      <c r="D424" s="6">
        <f>[1]Emissions!C841</f>
        <v>0</v>
      </c>
      <c r="E424" s="6">
        <f>[1]Emissions!D841</f>
        <v>0</v>
      </c>
      <c r="F424" s="6">
        <f>[1]Emissions!E841</f>
        <v>0</v>
      </c>
      <c r="G424" s="6">
        <f>[1]Emissions!F841</f>
        <v>0</v>
      </c>
      <c r="H424" s="6">
        <f>[1]Emissions!G841</f>
        <v>0</v>
      </c>
      <c r="I424" s="6">
        <f>[1]Emissions!H841</f>
        <v>0</v>
      </c>
      <c r="J424" s="6">
        <f>[1]Emissions!I841</f>
        <v>0</v>
      </c>
      <c r="K424" s="6">
        <f>[1]Emissions!J841</f>
        <v>0</v>
      </c>
      <c r="L424" s="6">
        <f>[1]Emissions!K841</f>
        <v>0</v>
      </c>
      <c r="M424" s="6">
        <f>[1]Emissions!L841</f>
        <v>0</v>
      </c>
      <c r="N424" s="6">
        <f>[1]Emissions!M841</f>
        <v>0</v>
      </c>
      <c r="O424" s="6">
        <f>[1]Emissions!N841</f>
        <v>0</v>
      </c>
      <c r="P424" s="6">
        <f>[1]Emissions!O841</f>
        <v>0</v>
      </c>
      <c r="Q424" s="6">
        <f>[1]Emissions!P841</f>
        <v>0</v>
      </c>
      <c r="R424" s="6">
        <f>[1]Emissions!Q841</f>
        <v>0</v>
      </c>
      <c r="S424" s="6">
        <f>[1]Emissions!R841</f>
        <v>0</v>
      </c>
      <c r="T424" s="6">
        <f>[1]Emissions!S841</f>
        <v>0</v>
      </c>
      <c r="U424" s="6">
        <f>[1]Emissions!T841</f>
        <v>0</v>
      </c>
      <c r="V424" s="6">
        <f>[1]Emissions!U841</f>
        <v>0</v>
      </c>
      <c r="W424" s="6">
        <f>[1]Emissions!V841</f>
        <v>0</v>
      </c>
      <c r="X424" s="6">
        <f>[1]Emissions!W841</f>
        <v>0</v>
      </c>
      <c r="Y424" s="6">
        <f>[1]Emissions!X841</f>
        <v>0</v>
      </c>
      <c r="Z424" s="6">
        <f>[1]Emissions!Y841</f>
        <v>0</v>
      </c>
      <c r="AA424" s="6">
        <f>[1]Emissions!Z841</f>
        <v>0</v>
      </c>
      <c r="AB424" s="6">
        <f>[1]Emissions!AA841</f>
        <v>0</v>
      </c>
      <c r="AC424" s="6">
        <f>[1]Emissions!AB841</f>
        <v>0</v>
      </c>
      <c r="AD424" s="6">
        <f>[1]Emissions!AC841</f>
        <v>0</v>
      </c>
      <c r="AE424" s="6">
        <f>[1]Emissions!AD841</f>
        <v>0</v>
      </c>
      <c r="AF424" s="6">
        <f>[1]Emissions!AE841</f>
        <v>0</v>
      </c>
      <c r="AG424" s="6">
        <f>[1]Emissions!AF841</f>
        <v>0</v>
      </c>
      <c r="AH424" s="6">
        <f>[1]Emissions!AG841</f>
        <v>0</v>
      </c>
      <c r="AI424" s="6">
        <f>[1]Emissions!AH841</f>
        <v>0</v>
      </c>
      <c r="AJ424" s="6">
        <f>[1]Emissions!AI841</f>
        <v>0</v>
      </c>
      <c r="AK424" s="6">
        <f>[1]Emissions!AJ841</f>
        <v>0</v>
      </c>
      <c r="AL424" s="6">
        <f>[1]Emissions!AK841</f>
        <v>0</v>
      </c>
    </row>
    <row r="425" spans="2:38" x14ac:dyDescent="0.35">
      <c r="B425" s="6" t="str">
        <f>[1]Emissions!A842</f>
        <v>ems_ci_co2_sgla_2</v>
      </c>
      <c r="C425" s="6">
        <f>[1]Emissions!B842</f>
        <v>5.7059507040000002</v>
      </c>
      <c r="D425" s="6">
        <f>[1]Emissions!C842</f>
        <v>5.86688922</v>
      </c>
      <c r="E425" s="6">
        <f>[1]Emissions!D842</f>
        <v>6.0421510769999998</v>
      </c>
      <c r="F425" s="6">
        <f>[1]Emissions!E842</f>
        <v>6.1445044409999996</v>
      </c>
      <c r="G425" s="6">
        <f>[1]Emissions!F842</f>
        <v>6.206422431</v>
      </c>
      <c r="H425" s="6">
        <f>[1]Emissions!G842</f>
        <v>6.2563155110000004</v>
      </c>
      <c r="I425" s="6">
        <f>[1]Emissions!H842</f>
        <v>6.3099334770000004</v>
      </c>
      <c r="J425" s="6">
        <f>[1]Emissions!I842</f>
        <v>6.1526697019999999</v>
      </c>
      <c r="K425" s="6">
        <f>[1]Emissions!J842</f>
        <v>5.9782700860000002</v>
      </c>
      <c r="L425" s="6">
        <f>[1]Emissions!K842</f>
        <v>5.8238869930000003</v>
      </c>
      <c r="M425" s="6">
        <f>[1]Emissions!L842</f>
        <v>5.679494407</v>
      </c>
      <c r="N425" s="6">
        <f>[1]Emissions!M842</f>
        <v>5.5545229320000002</v>
      </c>
      <c r="O425" s="6">
        <f>[1]Emissions!N842</f>
        <v>5.4370427299999999</v>
      </c>
      <c r="P425" s="6">
        <f>[1]Emissions!O842</f>
        <v>5.3212343390000001</v>
      </c>
      <c r="Q425" s="6">
        <f>[1]Emissions!P842</f>
        <v>5.2093060859999998</v>
      </c>
      <c r="R425" s="6">
        <f>[1]Emissions!Q842</f>
        <v>5.1030844740000001</v>
      </c>
      <c r="S425" s="6">
        <f>[1]Emissions!R842</f>
        <v>4.9987639560000003</v>
      </c>
      <c r="T425" s="6">
        <f>[1]Emissions!S842</f>
        <v>4.8964601679999999</v>
      </c>
      <c r="U425" s="6">
        <f>[1]Emissions!T842</f>
        <v>4.7967768719999997</v>
      </c>
      <c r="V425" s="6">
        <f>[1]Emissions!U842</f>
        <v>4.6997607050000001</v>
      </c>
      <c r="W425" s="6">
        <f>[1]Emissions!V842</f>
        <v>4.6056368379999997</v>
      </c>
      <c r="X425" s="6">
        <f>[1]Emissions!W842</f>
        <v>4.5147285930000001</v>
      </c>
      <c r="Y425" s="6">
        <f>[1]Emissions!X842</f>
        <v>4.4273746489999999</v>
      </c>
      <c r="Z425" s="6">
        <f>[1]Emissions!Y842</f>
        <v>4.3433638119999998</v>
      </c>
      <c r="AA425" s="6">
        <f>[1]Emissions!Z842</f>
        <v>4.262011566</v>
      </c>
      <c r="AB425" s="6">
        <f>[1]Emissions!AA842</f>
        <v>4.1826955220000004</v>
      </c>
      <c r="AC425" s="6">
        <f>[1]Emissions!AB842</f>
        <v>4.1043076169999999</v>
      </c>
      <c r="AD425" s="6">
        <f>[1]Emissions!AC842</f>
        <v>4.0275176400000001</v>
      </c>
      <c r="AE425" s="6">
        <f>[1]Emissions!AD842</f>
        <v>3.9516405410000002</v>
      </c>
      <c r="AF425" s="6">
        <f>[1]Emissions!AE842</f>
        <v>3.8751659959999998</v>
      </c>
      <c r="AG425" s="6">
        <f>[1]Emissions!AF842</f>
        <v>3.7963738039999999</v>
      </c>
      <c r="AH425" s="6">
        <f>[1]Emissions!AG842</f>
        <v>3.7138663109999999</v>
      </c>
      <c r="AI425" s="6">
        <f>[1]Emissions!AH842</f>
        <v>3.6264712810000002</v>
      </c>
      <c r="AJ425" s="6">
        <f>[1]Emissions!AI842</f>
        <v>3.5329874000000001</v>
      </c>
      <c r="AK425" s="6">
        <f>[1]Emissions!AJ842</f>
        <v>3.4322676209999998</v>
      </c>
      <c r="AL425" s="6">
        <f>[1]Emissions!AK842</f>
        <v>3.3231863289999999</v>
      </c>
    </row>
    <row r="426" spans="2:38" x14ac:dyDescent="0.35">
      <c r="B426" s="6" t="str">
        <f>[1]Emissions!A843</f>
        <v>ems_y_co2_sgla_2</v>
      </c>
      <c r="C426" s="6">
        <f>[1]Emissions!B843</f>
        <v>0</v>
      </c>
      <c r="D426" s="6">
        <f>[1]Emissions!C843</f>
        <v>0</v>
      </c>
      <c r="E426" s="6">
        <f>[1]Emissions!D843</f>
        <v>0</v>
      </c>
      <c r="F426" s="6">
        <f>[1]Emissions!E843</f>
        <v>0</v>
      </c>
      <c r="G426" s="6">
        <f>[1]Emissions!F843</f>
        <v>0</v>
      </c>
      <c r="H426" s="6">
        <f>[1]Emissions!G843</f>
        <v>0</v>
      </c>
      <c r="I426" s="6">
        <f>[1]Emissions!H843</f>
        <v>0</v>
      </c>
      <c r="J426" s="6">
        <f>[1]Emissions!I843</f>
        <v>0</v>
      </c>
      <c r="K426" s="6">
        <f>[1]Emissions!J843</f>
        <v>0</v>
      </c>
      <c r="L426" s="6">
        <f>[1]Emissions!K843</f>
        <v>0</v>
      </c>
      <c r="M426" s="6">
        <f>[1]Emissions!L843</f>
        <v>0</v>
      </c>
      <c r="N426" s="6">
        <f>[1]Emissions!M843</f>
        <v>0</v>
      </c>
      <c r="O426" s="6">
        <f>[1]Emissions!N843</f>
        <v>0</v>
      </c>
      <c r="P426" s="6">
        <f>[1]Emissions!O843</f>
        <v>0</v>
      </c>
      <c r="Q426" s="6">
        <f>[1]Emissions!P843</f>
        <v>0</v>
      </c>
      <c r="R426" s="6">
        <f>[1]Emissions!Q843</f>
        <v>0</v>
      </c>
      <c r="S426" s="6">
        <f>[1]Emissions!R843</f>
        <v>0</v>
      </c>
      <c r="T426" s="6">
        <f>[1]Emissions!S843</f>
        <v>0</v>
      </c>
      <c r="U426" s="6">
        <f>[1]Emissions!T843</f>
        <v>0</v>
      </c>
      <c r="V426" s="6">
        <f>[1]Emissions!U843</f>
        <v>0</v>
      </c>
      <c r="W426" s="6">
        <f>[1]Emissions!V843</f>
        <v>0</v>
      </c>
      <c r="X426" s="6">
        <f>[1]Emissions!W843</f>
        <v>0</v>
      </c>
      <c r="Y426" s="6">
        <f>[1]Emissions!X843</f>
        <v>0</v>
      </c>
      <c r="Z426" s="6">
        <f>[1]Emissions!Y843</f>
        <v>0</v>
      </c>
      <c r="AA426" s="6">
        <f>[1]Emissions!Z843</f>
        <v>0</v>
      </c>
      <c r="AB426" s="6">
        <f>[1]Emissions!AA843</f>
        <v>0</v>
      </c>
      <c r="AC426" s="6">
        <f>[1]Emissions!AB843</f>
        <v>0</v>
      </c>
      <c r="AD426" s="6">
        <f>[1]Emissions!AC843</f>
        <v>0</v>
      </c>
      <c r="AE426" s="6">
        <f>[1]Emissions!AD843</f>
        <v>0</v>
      </c>
      <c r="AF426" s="6">
        <f>[1]Emissions!AE843</f>
        <v>0</v>
      </c>
      <c r="AG426" s="6">
        <f>[1]Emissions!AF843</f>
        <v>0</v>
      </c>
      <c r="AH426" s="6">
        <f>[1]Emissions!AG843</f>
        <v>0</v>
      </c>
      <c r="AI426" s="6">
        <f>[1]Emissions!AH843</f>
        <v>0</v>
      </c>
      <c r="AJ426" s="6">
        <f>[1]Emissions!AI843</f>
        <v>0</v>
      </c>
      <c r="AK426" s="6">
        <f>[1]Emissions!AJ843</f>
        <v>0</v>
      </c>
      <c r="AL426" s="6">
        <f>[1]Emissions!AK843</f>
        <v>0</v>
      </c>
    </row>
    <row r="427" spans="2:38" x14ac:dyDescent="0.35">
      <c r="B427" s="6" t="str">
        <f>[1]Emissions!A844</f>
        <v>ems_mat_co2_sgla_2</v>
      </c>
      <c r="C427" s="6">
        <f>[1]Emissions!B844</f>
        <v>13.76792696</v>
      </c>
      <c r="D427" s="6">
        <f>[1]Emissions!C844</f>
        <v>14.228154760000001</v>
      </c>
      <c r="E427" s="6">
        <f>[1]Emissions!D844</f>
        <v>14.741321790000001</v>
      </c>
      <c r="F427" s="6">
        <f>[1]Emissions!E844</f>
        <v>15.10461282</v>
      </c>
      <c r="G427" s="6">
        <f>[1]Emissions!F844</f>
        <v>15.34318831</v>
      </c>
      <c r="H427" s="6">
        <f>[1]Emissions!G844</f>
        <v>15.52945697</v>
      </c>
      <c r="I427" s="6">
        <f>[1]Emissions!H844</f>
        <v>15.709605010000001</v>
      </c>
      <c r="J427" s="6">
        <f>[1]Emissions!I844</f>
        <v>15.8211149</v>
      </c>
      <c r="K427" s="6">
        <f>[1]Emissions!J844</f>
        <v>15.926852670000001</v>
      </c>
      <c r="L427" s="6">
        <f>[1]Emissions!K844</f>
        <v>16.099698</v>
      </c>
      <c r="M427" s="6">
        <f>[1]Emissions!L844</f>
        <v>16.302555380000001</v>
      </c>
      <c r="N427" s="6">
        <f>[1]Emissions!M844</f>
        <v>16.518769389999999</v>
      </c>
      <c r="O427" s="6">
        <f>[1]Emissions!N844</f>
        <v>16.72371274</v>
      </c>
      <c r="P427" s="6">
        <f>[1]Emissions!O844</f>
        <v>16.908444970000001</v>
      </c>
      <c r="Q427" s="6">
        <f>[1]Emissions!P844</f>
        <v>17.086453500000001</v>
      </c>
      <c r="R427" s="6">
        <f>[1]Emissions!Q844</f>
        <v>17.26955001</v>
      </c>
      <c r="S427" s="6">
        <f>[1]Emissions!R844</f>
        <v>17.468453579999998</v>
      </c>
      <c r="T427" s="6">
        <f>[1]Emissions!S844</f>
        <v>17.68140679</v>
      </c>
      <c r="U427" s="6">
        <f>[1]Emissions!T844</f>
        <v>17.908951210000001</v>
      </c>
      <c r="V427" s="6">
        <f>[1]Emissions!U844</f>
        <v>18.150842279999999</v>
      </c>
      <c r="W427" s="6">
        <f>[1]Emissions!V844</f>
        <v>18.408424230000001</v>
      </c>
      <c r="X427" s="6">
        <f>[1]Emissions!W844</f>
        <v>18.684167179999999</v>
      </c>
      <c r="Y427" s="6">
        <f>[1]Emissions!X844</f>
        <v>18.981413790000001</v>
      </c>
      <c r="Z427" s="6">
        <f>[1]Emissions!Y844</f>
        <v>19.301981349999998</v>
      </c>
      <c r="AA427" s="6">
        <f>[1]Emissions!Z844</f>
        <v>19.645867890000002</v>
      </c>
      <c r="AB427" s="6">
        <f>[1]Emissions!AA844</f>
        <v>20.013518980000001</v>
      </c>
      <c r="AC427" s="6">
        <f>[1]Emissions!AB844</f>
        <v>20.402711140000001</v>
      </c>
      <c r="AD427" s="6">
        <f>[1]Emissions!AC844</f>
        <v>20.820347829999999</v>
      </c>
      <c r="AE427" s="6">
        <f>[1]Emissions!AD844</f>
        <v>21.268051620000001</v>
      </c>
      <c r="AF427" s="6">
        <f>[1]Emissions!AE844</f>
        <v>21.74330166</v>
      </c>
      <c r="AG427" s="6">
        <f>[1]Emissions!AF844</f>
        <v>22.2417953</v>
      </c>
      <c r="AH427" s="6">
        <f>[1]Emissions!AG844</f>
        <v>22.760125510000002</v>
      </c>
      <c r="AI427" s="6">
        <f>[1]Emissions!AH844</f>
        <v>23.2957125</v>
      </c>
      <c r="AJ427" s="6">
        <f>[1]Emissions!AI844</f>
        <v>23.845769520000001</v>
      </c>
      <c r="AK427" s="6">
        <f>[1]Emissions!AJ844</f>
        <v>24.407598419999999</v>
      </c>
      <c r="AL427" s="6">
        <f>[1]Emissions!AK844</f>
        <v>24.978570770000001</v>
      </c>
    </row>
    <row r="428" spans="2:38" x14ac:dyDescent="0.35">
      <c r="B428" s="6" t="str">
        <f>[1]Emissions!A845</f>
        <v>ems_ci_co2_spap_2</v>
      </c>
      <c r="C428" s="6">
        <f>[1]Emissions!B845</f>
        <v>3.0049750990000001</v>
      </c>
      <c r="D428" s="6">
        <f>[1]Emissions!C845</f>
        <v>3.0142260009999999</v>
      </c>
      <c r="E428" s="6">
        <f>[1]Emissions!D845</f>
        <v>3.028446325</v>
      </c>
      <c r="F428" s="6">
        <f>[1]Emissions!E845</f>
        <v>3.0479054410000002</v>
      </c>
      <c r="G428" s="6">
        <f>[1]Emissions!F845</f>
        <v>3.0789252569999999</v>
      </c>
      <c r="H428" s="6">
        <f>[1]Emissions!G845</f>
        <v>3.1179581820000002</v>
      </c>
      <c r="I428" s="6">
        <f>[1]Emissions!H845</f>
        <v>3.1626487569999999</v>
      </c>
      <c r="J428" s="6">
        <f>[1]Emissions!I845</f>
        <v>3.1164391770000002</v>
      </c>
      <c r="K428" s="6">
        <f>[1]Emissions!J845</f>
        <v>3.0613816850000002</v>
      </c>
      <c r="L428" s="6">
        <f>[1]Emissions!K845</f>
        <v>3.018523665</v>
      </c>
      <c r="M428" s="6">
        <f>[1]Emissions!L845</f>
        <v>2.9773736999999998</v>
      </c>
      <c r="N428" s="6">
        <f>[1]Emissions!M845</f>
        <v>2.9430657500000001</v>
      </c>
      <c r="O428" s="6">
        <f>[1]Emissions!N845</f>
        <v>2.9119328210000002</v>
      </c>
      <c r="P428" s="6">
        <f>[1]Emissions!O845</f>
        <v>2.880557161</v>
      </c>
      <c r="Q428" s="6">
        <f>[1]Emissions!P845</f>
        <v>2.850019605</v>
      </c>
      <c r="R428" s="6">
        <f>[1]Emissions!Q845</f>
        <v>2.8209755900000002</v>
      </c>
      <c r="S428" s="6">
        <f>[1]Emissions!R845</f>
        <v>2.789187928</v>
      </c>
      <c r="T428" s="6">
        <f>[1]Emissions!S845</f>
        <v>2.7568026219999999</v>
      </c>
      <c r="U428" s="6">
        <f>[1]Emissions!T845</f>
        <v>2.7251277680000001</v>
      </c>
      <c r="V428" s="6">
        <f>[1]Emissions!U845</f>
        <v>2.6948545589999999</v>
      </c>
      <c r="W428" s="6">
        <f>[1]Emissions!V845</f>
        <v>2.6664603410000001</v>
      </c>
      <c r="X428" s="6">
        <f>[1]Emissions!W845</f>
        <v>2.6401943640000001</v>
      </c>
      <c r="Y428" s="6">
        <f>[1]Emissions!X845</f>
        <v>2.6163250439999999</v>
      </c>
      <c r="Z428" s="6">
        <f>[1]Emissions!Y845</f>
        <v>2.5948083959999999</v>
      </c>
      <c r="AA428" s="6">
        <f>[1]Emissions!Z845</f>
        <v>2.5752758550000001</v>
      </c>
      <c r="AB428" s="6">
        <f>[1]Emissions!AA845</f>
        <v>2.5573735420000001</v>
      </c>
      <c r="AC428" s="6">
        <f>[1]Emissions!AB845</f>
        <v>2.5409262030000002</v>
      </c>
      <c r="AD428" s="6">
        <f>[1]Emissions!AC845</f>
        <v>2.5259069699999999</v>
      </c>
      <c r="AE428" s="6">
        <f>[1]Emissions!AD845</f>
        <v>2.511878909</v>
      </c>
      <c r="AF428" s="6">
        <f>[1]Emissions!AE845</f>
        <v>2.4977984590000002</v>
      </c>
      <c r="AG428" s="6">
        <f>[1]Emissions!AF845</f>
        <v>2.4824345760000002</v>
      </c>
      <c r="AH428" s="6">
        <f>[1]Emissions!AG845</f>
        <v>2.4648161339999999</v>
      </c>
      <c r="AI428" s="6">
        <f>[1]Emissions!AH845</f>
        <v>2.4442366199999999</v>
      </c>
      <c r="AJ428" s="6">
        <f>[1]Emissions!AI845</f>
        <v>2.420049685</v>
      </c>
      <c r="AK428" s="6">
        <f>[1]Emissions!AJ845</f>
        <v>2.3916598929999999</v>
      </c>
      <c r="AL428" s="6">
        <f>[1]Emissions!AK845</f>
        <v>2.3585039640000001</v>
      </c>
    </row>
    <row r="429" spans="2:38" x14ac:dyDescent="0.35">
      <c r="B429" s="6" t="str">
        <f>[1]Emissions!A846</f>
        <v>ems_y_co2_spap_2</v>
      </c>
      <c r="C429" s="6">
        <f>[1]Emissions!B846</f>
        <v>0</v>
      </c>
      <c r="D429" s="6">
        <f>[1]Emissions!C846</f>
        <v>0</v>
      </c>
      <c r="E429" s="6">
        <f>[1]Emissions!D846</f>
        <v>0</v>
      </c>
      <c r="F429" s="6">
        <f>[1]Emissions!E846</f>
        <v>0</v>
      </c>
      <c r="G429" s="6">
        <f>[1]Emissions!F846</f>
        <v>0</v>
      </c>
      <c r="H429" s="6">
        <f>[1]Emissions!G846</f>
        <v>0</v>
      </c>
      <c r="I429" s="6">
        <f>[1]Emissions!H846</f>
        <v>0</v>
      </c>
      <c r="J429" s="6">
        <f>[1]Emissions!I846</f>
        <v>0</v>
      </c>
      <c r="K429" s="6">
        <f>[1]Emissions!J846</f>
        <v>0</v>
      </c>
      <c r="L429" s="6">
        <f>[1]Emissions!K846</f>
        <v>0</v>
      </c>
      <c r="M429" s="6">
        <f>[1]Emissions!L846</f>
        <v>0</v>
      </c>
      <c r="N429" s="6">
        <f>[1]Emissions!M846</f>
        <v>0</v>
      </c>
      <c r="O429" s="6">
        <f>[1]Emissions!N846</f>
        <v>0</v>
      </c>
      <c r="P429" s="6">
        <f>[1]Emissions!O846</f>
        <v>0</v>
      </c>
      <c r="Q429" s="6">
        <f>[1]Emissions!P846</f>
        <v>0</v>
      </c>
      <c r="R429" s="6">
        <f>[1]Emissions!Q846</f>
        <v>0</v>
      </c>
      <c r="S429" s="6">
        <f>[1]Emissions!R846</f>
        <v>0</v>
      </c>
      <c r="T429" s="6">
        <f>[1]Emissions!S846</f>
        <v>0</v>
      </c>
      <c r="U429" s="6">
        <f>[1]Emissions!T846</f>
        <v>0</v>
      </c>
      <c r="V429" s="6">
        <f>[1]Emissions!U846</f>
        <v>0</v>
      </c>
      <c r="W429" s="6">
        <f>[1]Emissions!V846</f>
        <v>0</v>
      </c>
      <c r="X429" s="6">
        <f>[1]Emissions!W846</f>
        <v>0</v>
      </c>
      <c r="Y429" s="6">
        <f>[1]Emissions!X846</f>
        <v>0</v>
      </c>
      <c r="Z429" s="6">
        <f>[1]Emissions!Y846</f>
        <v>0</v>
      </c>
      <c r="AA429" s="6">
        <f>[1]Emissions!Z846</f>
        <v>0</v>
      </c>
      <c r="AB429" s="6">
        <f>[1]Emissions!AA846</f>
        <v>0</v>
      </c>
      <c r="AC429" s="6">
        <f>[1]Emissions!AB846</f>
        <v>0</v>
      </c>
      <c r="AD429" s="6">
        <f>[1]Emissions!AC846</f>
        <v>0</v>
      </c>
      <c r="AE429" s="6">
        <f>[1]Emissions!AD846</f>
        <v>0</v>
      </c>
      <c r="AF429" s="6">
        <f>[1]Emissions!AE846</f>
        <v>0</v>
      </c>
      <c r="AG429" s="6">
        <f>[1]Emissions!AF846</f>
        <v>0</v>
      </c>
      <c r="AH429" s="6">
        <f>[1]Emissions!AG846</f>
        <v>0</v>
      </c>
      <c r="AI429" s="6">
        <f>[1]Emissions!AH846</f>
        <v>0</v>
      </c>
      <c r="AJ429" s="6">
        <f>[1]Emissions!AI846</f>
        <v>0</v>
      </c>
      <c r="AK429" s="6">
        <f>[1]Emissions!AJ846</f>
        <v>0</v>
      </c>
      <c r="AL429" s="6">
        <f>[1]Emissions!AK846</f>
        <v>0</v>
      </c>
    </row>
    <row r="430" spans="2:38" x14ac:dyDescent="0.35">
      <c r="B430" s="6" t="str">
        <f>[1]Emissions!A847</f>
        <v>ems_mat_co2_spap_2</v>
      </c>
      <c r="C430" s="6">
        <f>[1]Emissions!B847</f>
        <v>0</v>
      </c>
      <c r="D430" s="6">
        <f>[1]Emissions!C847</f>
        <v>0</v>
      </c>
      <c r="E430" s="6">
        <f>[1]Emissions!D847</f>
        <v>0</v>
      </c>
      <c r="F430" s="6">
        <f>[1]Emissions!E847</f>
        <v>0</v>
      </c>
      <c r="G430" s="6">
        <f>[1]Emissions!F847</f>
        <v>0</v>
      </c>
      <c r="H430" s="6">
        <f>[1]Emissions!G847</f>
        <v>0</v>
      </c>
      <c r="I430" s="6">
        <f>[1]Emissions!H847</f>
        <v>0</v>
      </c>
      <c r="J430" s="6">
        <f>[1]Emissions!I847</f>
        <v>0</v>
      </c>
      <c r="K430" s="6">
        <f>[1]Emissions!J847</f>
        <v>0</v>
      </c>
      <c r="L430" s="6">
        <f>[1]Emissions!K847</f>
        <v>0</v>
      </c>
      <c r="M430" s="6">
        <f>[1]Emissions!L847</f>
        <v>0</v>
      </c>
      <c r="N430" s="6">
        <f>[1]Emissions!M847</f>
        <v>0</v>
      </c>
      <c r="O430" s="6">
        <f>[1]Emissions!N847</f>
        <v>0</v>
      </c>
      <c r="P430" s="6">
        <f>[1]Emissions!O847</f>
        <v>0</v>
      </c>
      <c r="Q430" s="6">
        <f>[1]Emissions!P847</f>
        <v>0</v>
      </c>
      <c r="R430" s="6">
        <f>[1]Emissions!Q847</f>
        <v>0</v>
      </c>
      <c r="S430" s="6">
        <f>[1]Emissions!R847</f>
        <v>0</v>
      </c>
      <c r="T430" s="6">
        <f>[1]Emissions!S847</f>
        <v>0</v>
      </c>
      <c r="U430" s="6">
        <f>[1]Emissions!T847</f>
        <v>0</v>
      </c>
      <c r="V430" s="6">
        <f>[1]Emissions!U847</f>
        <v>0</v>
      </c>
      <c r="W430" s="6">
        <f>[1]Emissions!V847</f>
        <v>0</v>
      </c>
      <c r="X430" s="6">
        <f>[1]Emissions!W847</f>
        <v>0</v>
      </c>
      <c r="Y430" s="6">
        <f>[1]Emissions!X847</f>
        <v>0</v>
      </c>
      <c r="Z430" s="6">
        <f>[1]Emissions!Y847</f>
        <v>0</v>
      </c>
      <c r="AA430" s="6">
        <f>[1]Emissions!Z847</f>
        <v>0</v>
      </c>
      <c r="AB430" s="6">
        <f>[1]Emissions!AA847</f>
        <v>0</v>
      </c>
      <c r="AC430" s="6">
        <f>[1]Emissions!AB847</f>
        <v>0</v>
      </c>
      <c r="AD430" s="6">
        <f>[1]Emissions!AC847</f>
        <v>0</v>
      </c>
      <c r="AE430" s="6">
        <f>[1]Emissions!AD847</f>
        <v>0</v>
      </c>
      <c r="AF430" s="6">
        <f>[1]Emissions!AE847</f>
        <v>0</v>
      </c>
      <c r="AG430" s="6">
        <f>[1]Emissions!AF847</f>
        <v>0</v>
      </c>
      <c r="AH430" s="6">
        <f>[1]Emissions!AG847</f>
        <v>0</v>
      </c>
      <c r="AI430" s="6">
        <f>[1]Emissions!AH847</f>
        <v>0</v>
      </c>
      <c r="AJ430" s="6">
        <f>[1]Emissions!AI847</f>
        <v>0</v>
      </c>
      <c r="AK430" s="6">
        <f>[1]Emissions!AJ847</f>
        <v>0</v>
      </c>
      <c r="AL430" s="6">
        <f>[1]Emissions!AK847</f>
        <v>0</v>
      </c>
    </row>
    <row r="431" spans="2:38" x14ac:dyDescent="0.35">
      <c r="B431" s="6" t="str">
        <f>[1]Emissions!A848</f>
        <v>ems_ci_co2_sche_2</v>
      </c>
      <c r="C431" s="6">
        <f>[1]Emissions!B848</f>
        <v>3.8195038600000002</v>
      </c>
      <c r="D431" s="6">
        <f>[1]Emissions!C848</f>
        <v>3.8202637309999998</v>
      </c>
      <c r="E431" s="6">
        <f>[1]Emissions!D848</f>
        <v>3.8289986690000002</v>
      </c>
      <c r="F431" s="6">
        <f>[1]Emissions!E848</f>
        <v>3.8426798710000001</v>
      </c>
      <c r="G431" s="6">
        <f>[1]Emissions!F848</f>
        <v>3.8682781639999999</v>
      </c>
      <c r="H431" s="6">
        <f>[1]Emissions!G848</f>
        <v>3.9043482909999998</v>
      </c>
      <c r="I431" s="6">
        <f>[1]Emissions!H848</f>
        <v>3.9489923679999999</v>
      </c>
      <c r="J431" s="6">
        <f>[1]Emissions!I848</f>
        <v>3.8752633259999998</v>
      </c>
      <c r="K431" s="6">
        <f>[1]Emissions!J848</f>
        <v>3.8005204629999998</v>
      </c>
      <c r="L431" s="6">
        <f>[1]Emissions!K848</f>
        <v>3.7573587009999998</v>
      </c>
      <c r="M431" s="6">
        <f>[1]Emissions!L848</f>
        <v>3.7182499889999998</v>
      </c>
      <c r="N431" s="6">
        <f>[1]Emissions!M848</f>
        <v>3.6825021160000002</v>
      </c>
      <c r="O431" s="6">
        <f>[1]Emissions!N848</f>
        <v>3.6428104060000002</v>
      </c>
      <c r="P431" s="6">
        <f>[1]Emissions!O848</f>
        <v>3.5948705799999998</v>
      </c>
      <c r="Q431" s="6">
        <f>[1]Emissions!P848</f>
        <v>3.5437483090000002</v>
      </c>
      <c r="R431" s="6">
        <f>[1]Emissions!Q848</f>
        <v>3.4925429920000002</v>
      </c>
      <c r="S431" s="6">
        <f>[1]Emissions!R848</f>
        <v>3.440499983</v>
      </c>
      <c r="T431" s="6">
        <f>[1]Emissions!S848</f>
        <v>3.3900256190000002</v>
      </c>
      <c r="U431" s="6">
        <f>[1]Emissions!T848</f>
        <v>3.3424962709999999</v>
      </c>
      <c r="V431" s="6">
        <f>[1]Emissions!U848</f>
        <v>3.2981248509999999</v>
      </c>
      <c r="W431" s="6">
        <f>[1]Emissions!V848</f>
        <v>3.256991454</v>
      </c>
      <c r="X431" s="6">
        <f>[1]Emissions!W848</f>
        <v>3.2190992070000002</v>
      </c>
      <c r="Y431" s="6">
        <f>[1]Emissions!X848</f>
        <v>3.1846653960000002</v>
      </c>
      <c r="Z431" s="6">
        <f>[1]Emissions!Y848</f>
        <v>3.1531861459999999</v>
      </c>
      <c r="AA431" s="6">
        <f>[1]Emissions!Z848</f>
        <v>3.1235862390000002</v>
      </c>
      <c r="AB431" s="6">
        <f>[1]Emissions!AA848</f>
        <v>3.0950048620000001</v>
      </c>
      <c r="AC431" s="6">
        <f>[1]Emissions!AB848</f>
        <v>3.066803637</v>
      </c>
      <c r="AD431" s="6">
        <f>[1]Emissions!AC848</f>
        <v>3.0399248650000001</v>
      </c>
      <c r="AE431" s="6">
        <f>[1]Emissions!AD848</f>
        <v>3.0134751230000001</v>
      </c>
      <c r="AF431" s="6">
        <f>[1]Emissions!AE848</f>
        <v>2.985224734</v>
      </c>
      <c r="AG431" s="6">
        <f>[1]Emissions!AF848</f>
        <v>2.9527702969999998</v>
      </c>
      <c r="AH431" s="6">
        <f>[1]Emissions!AG848</f>
        <v>2.914561264</v>
      </c>
      <c r="AI431" s="6">
        <f>[1]Emissions!AH848</f>
        <v>2.8696901260000001</v>
      </c>
      <c r="AJ431" s="6">
        <f>[1]Emissions!AI848</f>
        <v>2.8171765450000001</v>
      </c>
      <c r="AK431" s="6">
        <f>[1]Emissions!AJ848</f>
        <v>2.7560631039999999</v>
      </c>
      <c r="AL431" s="6">
        <f>[1]Emissions!AK848</f>
        <v>2.6854911370000001</v>
      </c>
    </row>
    <row r="432" spans="2:38" x14ac:dyDescent="0.35">
      <c r="B432" s="6" t="str">
        <f>[1]Emissions!A849</f>
        <v>ems_y_co2_sche_2</v>
      </c>
      <c r="C432" s="6">
        <f>[1]Emissions!B849</f>
        <v>0</v>
      </c>
      <c r="D432" s="6">
        <f>[1]Emissions!C849</f>
        <v>0</v>
      </c>
      <c r="E432" s="6">
        <f>[1]Emissions!D849</f>
        <v>0</v>
      </c>
      <c r="F432" s="6">
        <f>[1]Emissions!E849</f>
        <v>0</v>
      </c>
      <c r="G432" s="6">
        <f>[1]Emissions!F849</f>
        <v>0</v>
      </c>
      <c r="H432" s="6">
        <f>[1]Emissions!G849</f>
        <v>0</v>
      </c>
      <c r="I432" s="6">
        <f>[1]Emissions!H849</f>
        <v>0</v>
      </c>
      <c r="J432" s="6">
        <f>[1]Emissions!I849</f>
        <v>0</v>
      </c>
      <c r="K432" s="6">
        <f>[1]Emissions!J849</f>
        <v>0</v>
      </c>
      <c r="L432" s="6">
        <f>[1]Emissions!K849</f>
        <v>0</v>
      </c>
      <c r="M432" s="6">
        <f>[1]Emissions!L849</f>
        <v>0</v>
      </c>
      <c r="N432" s="6">
        <f>[1]Emissions!M849</f>
        <v>0</v>
      </c>
      <c r="O432" s="6">
        <f>[1]Emissions!N849</f>
        <v>0</v>
      </c>
      <c r="P432" s="6">
        <f>[1]Emissions!O849</f>
        <v>0</v>
      </c>
      <c r="Q432" s="6">
        <f>[1]Emissions!P849</f>
        <v>0</v>
      </c>
      <c r="R432" s="6">
        <f>[1]Emissions!Q849</f>
        <v>0</v>
      </c>
      <c r="S432" s="6">
        <f>[1]Emissions!R849</f>
        <v>0</v>
      </c>
      <c r="T432" s="6">
        <f>[1]Emissions!S849</f>
        <v>0</v>
      </c>
      <c r="U432" s="6">
        <f>[1]Emissions!T849</f>
        <v>0</v>
      </c>
      <c r="V432" s="6">
        <f>[1]Emissions!U849</f>
        <v>0</v>
      </c>
      <c r="W432" s="6">
        <f>[1]Emissions!V849</f>
        <v>0</v>
      </c>
      <c r="X432" s="6">
        <f>[1]Emissions!W849</f>
        <v>0</v>
      </c>
      <c r="Y432" s="6">
        <f>[1]Emissions!X849</f>
        <v>0</v>
      </c>
      <c r="Z432" s="6">
        <f>[1]Emissions!Y849</f>
        <v>0</v>
      </c>
      <c r="AA432" s="6">
        <f>[1]Emissions!Z849</f>
        <v>0</v>
      </c>
      <c r="AB432" s="6">
        <f>[1]Emissions!AA849</f>
        <v>0</v>
      </c>
      <c r="AC432" s="6">
        <f>[1]Emissions!AB849</f>
        <v>0</v>
      </c>
      <c r="AD432" s="6">
        <f>[1]Emissions!AC849</f>
        <v>0</v>
      </c>
      <c r="AE432" s="6">
        <f>[1]Emissions!AD849</f>
        <v>0</v>
      </c>
      <c r="AF432" s="6">
        <f>[1]Emissions!AE849</f>
        <v>0</v>
      </c>
      <c r="AG432" s="6">
        <f>[1]Emissions!AF849</f>
        <v>0</v>
      </c>
      <c r="AH432" s="6">
        <f>[1]Emissions!AG849</f>
        <v>0</v>
      </c>
      <c r="AI432" s="6">
        <f>[1]Emissions!AH849</f>
        <v>0</v>
      </c>
      <c r="AJ432" s="6">
        <f>[1]Emissions!AI849</f>
        <v>0</v>
      </c>
      <c r="AK432" s="6">
        <f>[1]Emissions!AJ849</f>
        <v>0</v>
      </c>
      <c r="AL432" s="6">
        <f>[1]Emissions!AK849</f>
        <v>0</v>
      </c>
    </row>
    <row r="433" spans="2:38" x14ac:dyDescent="0.35">
      <c r="B433" s="6" t="str">
        <f>[1]Emissions!A850</f>
        <v>ems_mat_co2_sche_2</v>
      </c>
      <c r="C433" s="6">
        <f>[1]Emissions!B850</f>
        <v>2.5901569210000002</v>
      </c>
      <c r="D433" s="6">
        <f>[1]Emissions!C850</f>
        <v>2.5999729669999998</v>
      </c>
      <c r="E433" s="6">
        <f>[1]Emissions!D850</f>
        <v>2.6171290190000001</v>
      </c>
      <c r="F433" s="6">
        <f>[1]Emissions!E850</f>
        <v>2.6408157179999998</v>
      </c>
      <c r="G433" s="6">
        <f>[1]Emissions!F850</f>
        <v>2.6693831339999998</v>
      </c>
      <c r="H433" s="6">
        <f>[1]Emissions!G850</f>
        <v>2.7024348090000001</v>
      </c>
      <c r="I433" s="6">
        <f>[1]Emissions!H850</f>
        <v>2.7395325119999998</v>
      </c>
      <c r="J433" s="6">
        <f>[1]Emissions!I850</f>
        <v>2.7650041320000001</v>
      </c>
      <c r="K433" s="6">
        <f>[1]Emissions!J850</f>
        <v>2.7955200819999999</v>
      </c>
      <c r="L433" s="6">
        <f>[1]Emissions!K850</f>
        <v>2.852836538</v>
      </c>
      <c r="M433" s="6">
        <f>[1]Emissions!L850</f>
        <v>2.916006833</v>
      </c>
      <c r="N433" s="6">
        <f>[1]Emissions!M850</f>
        <v>2.9785680430000001</v>
      </c>
      <c r="O433" s="6">
        <f>[1]Emissions!N850</f>
        <v>3.0354471869999999</v>
      </c>
      <c r="P433" s="6">
        <f>[1]Emissions!O850</f>
        <v>3.0836317850000001</v>
      </c>
      <c r="Q433" s="6">
        <f>[1]Emissions!P850</f>
        <v>3.1278115120000001</v>
      </c>
      <c r="R433" s="6">
        <f>[1]Emissions!Q850</f>
        <v>3.1712485410000002</v>
      </c>
      <c r="S433" s="6">
        <f>[1]Emissions!R850</f>
        <v>3.2162670709999999</v>
      </c>
      <c r="T433" s="6">
        <f>[1]Emissions!S850</f>
        <v>3.2648888070000002</v>
      </c>
      <c r="U433" s="6">
        <f>[1]Emissions!T850</f>
        <v>3.3184526839999999</v>
      </c>
      <c r="V433" s="6">
        <f>[1]Emissions!U850</f>
        <v>3.3774305529999999</v>
      </c>
      <c r="W433" s="6">
        <f>[1]Emissions!V850</f>
        <v>3.4423166379999999</v>
      </c>
      <c r="X433" s="6">
        <f>[1]Emissions!W850</f>
        <v>3.513642768</v>
      </c>
      <c r="Y433" s="6">
        <f>[1]Emissions!X850</f>
        <v>3.5922974179999998</v>
      </c>
      <c r="Z433" s="6">
        <f>[1]Emissions!Y850</f>
        <v>3.678488948</v>
      </c>
      <c r="AA433" s="6">
        <f>[1]Emissions!Z850</f>
        <v>3.771776671</v>
      </c>
      <c r="AB433" s="6">
        <f>[1]Emissions!AA850</f>
        <v>3.8719481870000001</v>
      </c>
      <c r="AC433" s="6">
        <f>[1]Emissions!AB850</f>
        <v>3.9790313469999998</v>
      </c>
      <c r="AD433" s="6">
        <f>[1]Emissions!AC850</f>
        <v>4.0952378520000003</v>
      </c>
      <c r="AE433" s="6">
        <f>[1]Emissions!AD850</f>
        <v>4.2206654190000004</v>
      </c>
      <c r="AF433" s="6">
        <f>[1]Emissions!AE850</f>
        <v>4.3535204179999996</v>
      </c>
      <c r="AG433" s="6">
        <f>[1]Emissions!AF850</f>
        <v>4.4914599019999999</v>
      </c>
      <c r="AH433" s="6">
        <f>[1]Emissions!AG850</f>
        <v>4.6330884750000001</v>
      </c>
      <c r="AI433" s="6">
        <f>[1]Emissions!AH850</f>
        <v>4.7778704469999997</v>
      </c>
      <c r="AJ433" s="6">
        <f>[1]Emissions!AI850</f>
        <v>4.9251392459999996</v>
      </c>
      <c r="AK433" s="6">
        <f>[1]Emissions!AJ850</f>
        <v>5.0741860259999996</v>
      </c>
      <c r="AL433" s="6">
        <f>[1]Emissions!AK850</f>
        <v>5.2243496450000002</v>
      </c>
    </row>
    <row r="434" spans="2:38" x14ac:dyDescent="0.35">
      <c r="B434" s="6" t="str">
        <f>[1]Emissions!A851</f>
        <v>ems_ci_co2_spla_2</v>
      </c>
      <c r="C434" s="6">
        <f>[1]Emissions!B851</f>
        <v>1.250528673</v>
      </c>
      <c r="D434" s="6">
        <f>[1]Emissions!C851</f>
        <v>1.204278266</v>
      </c>
      <c r="E434" s="6">
        <f>[1]Emissions!D851</f>
        <v>1.1585112339999999</v>
      </c>
      <c r="F434" s="6">
        <f>[1]Emissions!E851</f>
        <v>1.1057844139999999</v>
      </c>
      <c r="G434" s="6">
        <f>[1]Emissions!F851</f>
        <v>1.0729763640000001</v>
      </c>
      <c r="H434" s="6">
        <f>[1]Emissions!G851</f>
        <v>1.056184357</v>
      </c>
      <c r="I434" s="6">
        <f>[1]Emissions!H851</f>
        <v>1.050877802</v>
      </c>
      <c r="J434" s="6">
        <f>[1]Emissions!I851</f>
        <v>0.9642336829</v>
      </c>
      <c r="K434" s="6">
        <f>[1]Emissions!J851</f>
        <v>0.87372773960000005</v>
      </c>
      <c r="L434" s="6">
        <f>[1]Emissions!K851</f>
        <v>0.79719432700000004</v>
      </c>
      <c r="M434" s="6">
        <f>[1]Emissions!L851</f>
        <v>0.73087664720000001</v>
      </c>
      <c r="N434" s="6">
        <f>[1]Emissions!M851</f>
        <v>0.68079722330000003</v>
      </c>
      <c r="O434" s="6">
        <f>[1]Emissions!N851</f>
        <v>0.64148779830000002</v>
      </c>
      <c r="P434" s="6">
        <f>[1]Emissions!O851</f>
        <v>0.60887658950000001</v>
      </c>
      <c r="Q434" s="6">
        <f>[1]Emissions!P851</f>
        <v>0.58156409460000003</v>
      </c>
      <c r="R434" s="6">
        <f>[1]Emissions!Q851</f>
        <v>0.55854545560000002</v>
      </c>
      <c r="S434" s="6">
        <f>[1]Emissions!R851</f>
        <v>0.53589790660000003</v>
      </c>
      <c r="T434" s="6">
        <f>[1]Emissions!S851</f>
        <v>0.5144247274</v>
      </c>
      <c r="U434" s="6">
        <f>[1]Emissions!T851</f>
        <v>0.49466685069999999</v>
      </c>
      <c r="V434" s="6">
        <f>[1]Emissions!U851</f>
        <v>0.4768027507</v>
      </c>
      <c r="W434" s="6">
        <f>[1]Emissions!V851</f>
        <v>0.46086223869999998</v>
      </c>
      <c r="X434" s="6">
        <f>[1]Emissions!W851</f>
        <v>0.44678473530000001</v>
      </c>
      <c r="Y434" s="6">
        <f>[1]Emissions!X851</f>
        <v>0.43449713020000003</v>
      </c>
      <c r="Z434" s="6">
        <f>[1]Emissions!Y851</f>
        <v>0.42383458480000002</v>
      </c>
      <c r="AA434" s="6">
        <f>[1]Emissions!Z851</f>
        <v>0.41457620099999998</v>
      </c>
      <c r="AB434" s="6">
        <f>[1]Emissions!AA851</f>
        <v>0.40653059949999998</v>
      </c>
      <c r="AC434" s="6">
        <f>[1]Emissions!AB851</f>
        <v>0.39958557160000002</v>
      </c>
      <c r="AD434" s="6">
        <f>[1]Emissions!AC851</f>
        <v>0.39366689510000002</v>
      </c>
      <c r="AE434" s="6">
        <f>[1]Emissions!AD851</f>
        <v>0.38856360540000001</v>
      </c>
      <c r="AF434" s="6">
        <f>[1]Emissions!AE851</f>
        <v>0.38392807490000003</v>
      </c>
      <c r="AG434" s="6">
        <f>[1]Emissions!AF851</f>
        <v>0.37940417040000002</v>
      </c>
      <c r="AH434" s="6">
        <f>[1]Emissions!AG851</f>
        <v>0.37473172780000003</v>
      </c>
      <c r="AI434" s="6">
        <f>[1]Emissions!AH851</f>
        <v>0.36971783359999999</v>
      </c>
      <c r="AJ434" s="6">
        <f>[1]Emissions!AI851</f>
        <v>0.3641628865</v>
      </c>
      <c r="AK434" s="6">
        <f>[1]Emissions!AJ851</f>
        <v>0.3578614228</v>
      </c>
      <c r="AL434" s="6">
        <f>[1]Emissions!AK851</f>
        <v>0.3505826333</v>
      </c>
    </row>
    <row r="435" spans="2:38" x14ac:dyDescent="0.35">
      <c r="B435" s="6" t="str">
        <f>[1]Emissions!A852</f>
        <v>ems_y_co2_spla_2</v>
      </c>
      <c r="C435" s="6">
        <f>[1]Emissions!B852</f>
        <v>0</v>
      </c>
      <c r="D435" s="6">
        <f>[1]Emissions!C852</f>
        <v>0</v>
      </c>
      <c r="E435" s="6">
        <f>[1]Emissions!D852</f>
        <v>0</v>
      </c>
      <c r="F435" s="6">
        <f>[1]Emissions!E852</f>
        <v>0</v>
      </c>
      <c r="G435" s="6">
        <f>[1]Emissions!F852</f>
        <v>0</v>
      </c>
      <c r="H435" s="6">
        <f>[1]Emissions!G852</f>
        <v>0</v>
      </c>
      <c r="I435" s="6">
        <f>[1]Emissions!H852</f>
        <v>0</v>
      </c>
      <c r="J435" s="6">
        <f>[1]Emissions!I852</f>
        <v>0</v>
      </c>
      <c r="K435" s="6">
        <f>[1]Emissions!J852</f>
        <v>0</v>
      </c>
      <c r="L435" s="6">
        <f>[1]Emissions!K852</f>
        <v>0</v>
      </c>
      <c r="M435" s="6">
        <f>[1]Emissions!L852</f>
        <v>0</v>
      </c>
      <c r="N435" s="6">
        <f>[1]Emissions!M852</f>
        <v>0</v>
      </c>
      <c r="O435" s="6">
        <f>[1]Emissions!N852</f>
        <v>0</v>
      </c>
      <c r="P435" s="6">
        <f>[1]Emissions!O852</f>
        <v>0</v>
      </c>
      <c r="Q435" s="6">
        <f>[1]Emissions!P852</f>
        <v>0</v>
      </c>
      <c r="R435" s="6">
        <f>[1]Emissions!Q852</f>
        <v>0</v>
      </c>
      <c r="S435" s="6">
        <f>[1]Emissions!R852</f>
        <v>0</v>
      </c>
      <c r="T435" s="6">
        <f>[1]Emissions!S852</f>
        <v>0</v>
      </c>
      <c r="U435" s="6">
        <f>[1]Emissions!T852</f>
        <v>0</v>
      </c>
      <c r="V435" s="6">
        <f>[1]Emissions!U852</f>
        <v>0</v>
      </c>
      <c r="W435" s="6">
        <f>[1]Emissions!V852</f>
        <v>0</v>
      </c>
      <c r="X435" s="6">
        <f>[1]Emissions!W852</f>
        <v>0</v>
      </c>
      <c r="Y435" s="6">
        <f>[1]Emissions!X852</f>
        <v>0</v>
      </c>
      <c r="Z435" s="6">
        <f>[1]Emissions!Y852</f>
        <v>0</v>
      </c>
      <c r="AA435" s="6">
        <f>[1]Emissions!Z852</f>
        <v>0</v>
      </c>
      <c r="AB435" s="6">
        <f>[1]Emissions!AA852</f>
        <v>0</v>
      </c>
      <c r="AC435" s="6">
        <f>[1]Emissions!AB852</f>
        <v>0</v>
      </c>
      <c r="AD435" s="6">
        <f>[1]Emissions!AC852</f>
        <v>0</v>
      </c>
      <c r="AE435" s="6">
        <f>[1]Emissions!AD852</f>
        <v>0</v>
      </c>
      <c r="AF435" s="6">
        <f>[1]Emissions!AE852</f>
        <v>0</v>
      </c>
      <c r="AG435" s="6">
        <f>[1]Emissions!AF852</f>
        <v>0</v>
      </c>
      <c r="AH435" s="6">
        <f>[1]Emissions!AG852</f>
        <v>0</v>
      </c>
      <c r="AI435" s="6">
        <f>[1]Emissions!AH852</f>
        <v>0</v>
      </c>
      <c r="AJ435" s="6">
        <f>[1]Emissions!AI852</f>
        <v>0</v>
      </c>
      <c r="AK435" s="6">
        <f>[1]Emissions!AJ852</f>
        <v>0</v>
      </c>
      <c r="AL435" s="6">
        <f>[1]Emissions!AK852</f>
        <v>0</v>
      </c>
    </row>
    <row r="436" spans="2:38" x14ac:dyDescent="0.35">
      <c r="B436" s="6" t="str">
        <f>[1]Emissions!A853</f>
        <v>ems_mat_co2_spla_2</v>
      </c>
      <c r="C436" s="6">
        <f>[1]Emissions!B853</f>
        <v>0</v>
      </c>
      <c r="D436" s="6">
        <f>[1]Emissions!C853</f>
        <v>0</v>
      </c>
      <c r="E436" s="6">
        <f>[1]Emissions!D853</f>
        <v>0</v>
      </c>
      <c r="F436" s="6">
        <f>[1]Emissions!E853</f>
        <v>0</v>
      </c>
      <c r="G436" s="6">
        <f>[1]Emissions!F853</f>
        <v>0</v>
      </c>
      <c r="H436" s="6">
        <f>[1]Emissions!G853</f>
        <v>0</v>
      </c>
      <c r="I436" s="6">
        <f>[1]Emissions!H853</f>
        <v>0</v>
      </c>
      <c r="J436" s="6">
        <f>[1]Emissions!I853</f>
        <v>0</v>
      </c>
      <c r="K436" s="6">
        <f>[1]Emissions!J853</f>
        <v>0</v>
      </c>
      <c r="L436" s="6">
        <f>[1]Emissions!K853</f>
        <v>0</v>
      </c>
      <c r="M436" s="6">
        <f>[1]Emissions!L853</f>
        <v>0</v>
      </c>
      <c r="N436" s="6">
        <f>[1]Emissions!M853</f>
        <v>0</v>
      </c>
      <c r="O436" s="6">
        <f>[1]Emissions!N853</f>
        <v>0</v>
      </c>
      <c r="P436" s="6">
        <f>[1]Emissions!O853</f>
        <v>0</v>
      </c>
      <c r="Q436" s="6">
        <f>[1]Emissions!P853</f>
        <v>0</v>
      </c>
      <c r="R436" s="6">
        <f>[1]Emissions!Q853</f>
        <v>0</v>
      </c>
      <c r="S436" s="6">
        <f>[1]Emissions!R853</f>
        <v>0</v>
      </c>
      <c r="T436" s="6">
        <f>[1]Emissions!S853</f>
        <v>0</v>
      </c>
      <c r="U436" s="6">
        <f>[1]Emissions!T853</f>
        <v>0</v>
      </c>
      <c r="V436" s="6">
        <f>[1]Emissions!U853</f>
        <v>0</v>
      </c>
      <c r="W436" s="6">
        <f>[1]Emissions!V853</f>
        <v>0</v>
      </c>
      <c r="X436" s="6">
        <f>[1]Emissions!W853</f>
        <v>0</v>
      </c>
      <c r="Y436" s="6">
        <f>[1]Emissions!X853</f>
        <v>0</v>
      </c>
      <c r="Z436" s="6">
        <f>[1]Emissions!Y853</f>
        <v>0</v>
      </c>
      <c r="AA436" s="6">
        <f>[1]Emissions!Z853</f>
        <v>0</v>
      </c>
      <c r="AB436" s="6">
        <f>[1]Emissions!AA853</f>
        <v>0</v>
      </c>
      <c r="AC436" s="6">
        <f>[1]Emissions!AB853</f>
        <v>0</v>
      </c>
      <c r="AD436" s="6">
        <f>[1]Emissions!AC853</f>
        <v>0</v>
      </c>
      <c r="AE436" s="6">
        <f>[1]Emissions!AD853</f>
        <v>0</v>
      </c>
      <c r="AF436" s="6">
        <f>[1]Emissions!AE853</f>
        <v>0</v>
      </c>
      <c r="AG436" s="6">
        <f>[1]Emissions!AF853</f>
        <v>0</v>
      </c>
      <c r="AH436" s="6">
        <f>[1]Emissions!AG853</f>
        <v>0</v>
      </c>
      <c r="AI436" s="6">
        <f>[1]Emissions!AH853</f>
        <v>0</v>
      </c>
      <c r="AJ436" s="6">
        <f>[1]Emissions!AI853</f>
        <v>0</v>
      </c>
      <c r="AK436" s="6">
        <f>[1]Emissions!AJ853</f>
        <v>0</v>
      </c>
      <c r="AL436" s="6">
        <f>[1]Emissions!AK853</f>
        <v>0</v>
      </c>
    </row>
    <row r="437" spans="2:38" x14ac:dyDescent="0.35">
      <c r="B437" s="6" t="str">
        <f>[1]Emissions!A854</f>
        <v>ems_ci_co2_smet_2</v>
      </c>
      <c r="C437" s="6">
        <f>[1]Emissions!B854</f>
        <v>7.5072151199999997</v>
      </c>
      <c r="D437" s="6">
        <f>[1]Emissions!C854</f>
        <v>7.5884832280000003</v>
      </c>
      <c r="E437" s="6">
        <f>[1]Emissions!D854</f>
        <v>7.6654377059999996</v>
      </c>
      <c r="F437" s="6">
        <f>[1]Emissions!E854</f>
        <v>7.7110583009999996</v>
      </c>
      <c r="G437" s="6">
        <f>[1]Emissions!F854</f>
        <v>7.7696541530000003</v>
      </c>
      <c r="H437" s="6">
        <f>[1]Emissions!G854</f>
        <v>7.8453717569999997</v>
      </c>
      <c r="I437" s="6">
        <f>[1]Emissions!H854</f>
        <v>7.9368338109999996</v>
      </c>
      <c r="J437" s="6">
        <f>[1]Emissions!I854</f>
        <v>7.7996238780000002</v>
      </c>
      <c r="K437" s="6">
        <f>[1]Emissions!J854</f>
        <v>7.6238376280000004</v>
      </c>
      <c r="L437" s="6">
        <f>[1]Emissions!K854</f>
        <v>7.5007086989999996</v>
      </c>
      <c r="M437" s="6">
        <f>[1]Emissions!L854</f>
        <v>7.372782409</v>
      </c>
      <c r="N437" s="6">
        <f>[1]Emissions!M854</f>
        <v>7.264875387</v>
      </c>
      <c r="O437" s="6">
        <f>[1]Emissions!N854</f>
        <v>7.164142419</v>
      </c>
      <c r="P437" s="6">
        <f>[1]Emissions!O854</f>
        <v>7.0607682010000001</v>
      </c>
      <c r="Q437" s="6">
        <f>[1]Emissions!P854</f>
        <v>6.964961121</v>
      </c>
      <c r="R437" s="6">
        <f>[1]Emissions!Q854</f>
        <v>6.8817950569999997</v>
      </c>
      <c r="S437" s="6">
        <f>[1]Emissions!R854</f>
        <v>6.8003911459999999</v>
      </c>
      <c r="T437" s="6">
        <f>[1]Emissions!S854</f>
        <v>6.7233550500000003</v>
      </c>
      <c r="U437" s="6">
        <f>[1]Emissions!T854</f>
        <v>6.6538664110000001</v>
      </c>
      <c r="V437" s="6">
        <f>[1]Emissions!U854</f>
        <v>6.5934698110000003</v>
      </c>
      <c r="W437" s="6">
        <f>[1]Emissions!V854</f>
        <v>6.543704999</v>
      </c>
      <c r="X437" s="6">
        <f>[1]Emissions!W854</f>
        <v>6.505766382</v>
      </c>
      <c r="Y437" s="6">
        <f>[1]Emissions!X854</f>
        <v>6.481286892</v>
      </c>
      <c r="Z437" s="6">
        <f>[1]Emissions!Y854</f>
        <v>6.4703035489999996</v>
      </c>
      <c r="AA437" s="6">
        <f>[1]Emissions!Z854</f>
        <v>6.4714426740000004</v>
      </c>
      <c r="AB437" s="6">
        <f>[1]Emissions!AA854</f>
        <v>6.4837751939999997</v>
      </c>
      <c r="AC437" s="6">
        <f>[1]Emissions!AB854</f>
        <v>6.5063955929999997</v>
      </c>
      <c r="AD437" s="6">
        <f>[1]Emissions!AC854</f>
        <v>6.5420361700000003</v>
      </c>
      <c r="AE437" s="6">
        <f>[1]Emissions!AD854</f>
        <v>6.5896307910000003</v>
      </c>
      <c r="AF437" s="6">
        <f>[1]Emissions!AE854</f>
        <v>6.6448133379999996</v>
      </c>
      <c r="AG437" s="6">
        <f>[1]Emissions!AF854</f>
        <v>6.7026409549999997</v>
      </c>
      <c r="AH437" s="6">
        <f>[1]Emissions!AG854</f>
        <v>6.7600420559999996</v>
      </c>
      <c r="AI437" s="6">
        <f>[1]Emissions!AH854</f>
        <v>6.815476909</v>
      </c>
      <c r="AJ437" s="6">
        <f>[1]Emissions!AI854</f>
        <v>6.8674193260000003</v>
      </c>
      <c r="AK437" s="6">
        <f>[1]Emissions!AJ854</f>
        <v>6.9144216949999997</v>
      </c>
      <c r="AL437" s="6">
        <f>[1]Emissions!AK854</f>
        <v>6.9551247810000003</v>
      </c>
    </row>
    <row r="438" spans="2:38" x14ac:dyDescent="0.35">
      <c r="B438" s="6" t="str">
        <f>[1]Emissions!A855</f>
        <v>ems_y_co2_smet_2</v>
      </c>
      <c r="C438" s="6">
        <f>[1]Emissions!B855</f>
        <v>0</v>
      </c>
      <c r="D438" s="6">
        <f>[1]Emissions!C855</f>
        <v>0</v>
      </c>
      <c r="E438" s="6">
        <f>[1]Emissions!D855</f>
        <v>0</v>
      </c>
      <c r="F438" s="6">
        <f>[1]Emissions!E855</f>
        <v>0</v>
      </c>
      <c r="G438" s="6">
        <f>[1]Emissions!F855</f>
        <v>0</v>
      </c>
      <c r="H438" s="6">
        <f>[1]Emissions!G855</f>
        <v>0</v>
      </c>
      <c r="I438" s="6">
        <f>[1]Emissions!H855</f>
        <v>0</v>
      </c>
      <c r="J438" s="6">
        <f>[1]Emissions!I855</f>
        <v>0</v>
      </c>
      <c r="K438" s="6">
        <f>[1]Emissions!J855</f>
        <v>0</v>
      </c>
      <c r="L438" s="6">
        <f>[1]Emissions!K855</f>
        <v>0</v>
      </c>
      <c r="M438" s="6">
        <f>[1]Emissions!L855</f>
        <v>0</v>
      </c>
      <c r="N438" s="6">
        <f>[1]Emissions!M855</f>
        <v>0</v>
      </c>
      <c r="O438" s="6">
        <f>[1]Emissions!N855</f>
        <v>0</v>
      </c>
      <c r="P438" s="6">
        <f>[1]Emissions!O855</f>
        <v>0</v>
      </c>
      <c r="Q438" s="6">
        <f>[1]Emissions!P855</f>
        <v>0</v>
      </c>
      <c r="R438" s="6">
        <f>[1]Emissions!Q855</f>
        <v>0</v>
      </c>
      <c r="S438" s="6">
        <f>[1]Emissions!R855</f>
        <v>0</v>
      </c>
      <c r="T438" s="6">
        <f>[1]Emissions!S855</f>
        <v>0</v>
      </c>
      <c r="U438" s="6">
        <f>[1]Emissions!T855</f>
        <v>0</v>
      </c>
      <c r="V438" s="6">
        <f>[1]Emissions!U855</f>
        <v>0</v>
      </c>
      <c r="W438" s="6">
        <f>[1]Emissions!V855</f>
        <v>0</v>
      </c>
      <c r="X438" s="6">
        <f>[1]Emissions!W855</f>
        <v>0</v>
      </c>
      <c r="Y438" s="6">
        <f>[1]Emissions!X855</f>
        <v>0</v>
      </c>
      <c r="Z438" s="6">
        <f>[1]Emissions!Y855</f>
        <v>0</v>
      </c>
      <c r="AA438" s="6">
        <f>[1]Emissions!Z855</f>
        <v>0</v>
      </c>
      <c r="AB438" s="6">
        <f>[1]Emissions!AA855</f>
        <v>0</v>
      </c>
      <c r="AC438" s="6">
        <f>[1]Emissions!AB855</f>
        <v>0</v>
      </c>
      <c r="AD438" s="6">
        <f>[1]Emissions!AC855</f>
        <v>0</v>
      </c>
      <c r="AE438" s="6">
        <f>[1]Emissions!AD855</f>
        <v>0</v>
      </c>
      <c r="AF438" s="6">
        <f>[1]Emissions!AE855</f>
        <v>0</v>
      </c>
      <c r="AG438" s="6">
        <f>[1]Emissions!AF855</f>
        <v>0</v>
      </c>
      <c r="AH438" s="6">
        <f>[1]Emissions!AG855</f>
        <v>0</v>
      </c>
      <c r="AI438" s="6">
        <f>[1]Emissions!AH855</f>
        <v>0</v>
      </c>
      <c r="AJ438" s="6">
        <f>[1]Emissions!AI855</f>
        <v>0</v>
      </c>
      <c r="AK438" s="6">
        <f>[1]Emissions!AJ855</f>
        <v>0</v>
      </c>
      <c r="AL438" s="6">
        <f>[1]Emissions!AK855</f>
        <v>0</v>
      </c>
    </row>
    <row r="439" spans="2:38" x14ac:dyDescent="0.35">
      <c r="B439" s="6" t="str">
        <f>[1]Emissions!A856</f>
        <v>ems_mat_co2_smet_2</v>
      </c>
      <c r="C439" s="6">
        <f>[1]Emissions!B856</f>
        <v>12.781652830000001</v>
      </c>
      <c r="D439" s="6">
        <f>[1]Emissions!C856</f>
        <v>13.001497029999999</v>
      </c>
      <c r="E439" s="6">
        <f>[1]Emissions!D856</f>
        <v>13.23190183</v>
      </c>
      <c r="F439" s="6">
        <f>[1]Emissions!E856</f>
        <v>13.439435769999999</v>
      </c>
      <c r="G439" s="6">
        <f>[1]Emissions!F856</f>
        <v>13.639395199999999</v>
      </c>
      <c r="H439" s="6">
        <f>[1]Emissions!G856</f>
        <v>13.84722739</v>
      </c>
      <c r="I439" s="6">
        <f>[1]Emissions!H856</f>
        <v>14.06951147</v>
      </c>
      <c r="J439" s="6">
        <f>[1]Emissions!I856</f>
        <v>14.1471611</v>
      </c>
      <c r="K439" s="6">
        <f>[1]Emissions!J856</f>
        <v>14.19464247</v>
      </c>
      <c r="L439" s="6">
        <f>[1]Emissions!K856</f>
        <v>14.354162929999999</v>
      </c>
      <c r="M439" s="6">
        <f>[1]Emissions!L856</f>
        <v>14.505888369999999</v>
      </c>
      <c r="N439" s="6">
        <f>[1]Emissions!M856</f>
        <v>14.64048712</v>
      </c>
      <c r="O439" s="6">
        <f>[1]Emissions!N856</f>
        <v>14.745348549999999</v>
      </c>
      <c r="P439" s="6">
        <f>[1]Emissions!O856</f>
        <v>14.8113616</v>
      </c>
      <c r="Q439" s="6">
        <f>[1]Emissions!P856</f>
        <v>14.868397440000001</v>
      </c>
      <c r="R439" s="6">
        <f>[1]Emissions!Q856</f>
        <v>14.93462443</v>
      </c>
      <c r="S439" s="6">
        <f>[1]Emissions!R856</f>
        <v>15.01076246</v>
      </c>
      <c r="T439" s="6">
        <f>[1]Emissions!S856</f>
        <v>15.100481350000001</v>
      </c>
      <c r="U439" s="6">
        <f>[1]Emissions!T856</f>
        <v>15.20926455</v>
      </c>
      <c r="V439" s="6">
        <f>[1]Emissions!U856</f>
        <v>15.339916730000001</v>
      </c>
      <c r="W439" s="6">
        <f>[1]Emissions!V856</f>
        <v>15.49600785</v>
      </c>
      <c r="X439" s="6">
        <f>[1]Emissions!W856</f>
        <v>15.680934260000001</v>
      </c>
      <c r="Y439" s="6">
        <f>[1]Emissions!X856</f>
        <v>15.899626120000001</v>
      </c>
      <c r="Z439" s="6">
        <f>[1]Emissions!Y856</f>
        <v>16.153451010000001</v>
      </c>
      <c r="AA439" s="6">
        <f>[1]Emissions!Z856</f>
        <v>16.440364689999999</v>
      </c>
      <c r="AB439" s="6">
        <f>[1]Emissions!AA856</f>
        <v>16.759406500000001</v>
      </c>
      <c r="AC439" s="6">
        <f>[1]Emissions!AB856</f>
        <v>17.109688500000001</v>
      </c>
      <c r="AD439" s="6">
        <f>[1]Emissions!AC856</f>
        <v>17.50010661</v>
      </c>
      <c r="AE439" s="6">
        <f>[1]Emissions!AD856</f>
        <v>17.92978201</v>
      </c>
      <c r="AF439" s="6">
        <f>[1]Emissions!AE856</f>
        <v>18.388504019999999</v>
      </c>
      <c r="AG439" s="6">
        <f>[1]Emissions!AF856</f>
        <v>18.863763370000001</v>
      </c>
      <c r="AH439" s="6">
        <f>[1]Emissions!AG856</f>
        <v>19.34767171</v>
      </c>
      <c r="AI439" s="6">
        <f>[1]Emissions!AH856</f>
        <v>19.83643206</v>
      </c>
      <c r="AJ439" s="6">
        <f>[1]Emissions!AI856</f>
        <v>20.326150049999999</v>
      </c>
      <c r="AK439" s="6">
        <f>[1]Emissions!AJ856</f>
        <v>20.812866710000002</v>
      </c>
      <c r="AL439" s="6">
        <f>[1]Emissions!AK856</f>
        <v>21.292547070000001</v>
      </c>
    </row>
    <row r="440" spans="2:38" x14ac:dyDescent="0.35">
      <c r="B440" s="6" t="str">
        <f>[1]Emissions!A857</f>
        <v>ems_ci_co2_sigo_2</v>
      </c>
      <c r="C440" s="6">
        <f>[1]Emissions!B857</f>
        <v>2.9902437110000002</v>
      </c>
      <c r="D440" s="6">
        <f>[1]Emissions!C857</f>
        <v>2.9844043980000001</v>
      </c>
      <c r="E440" s="6">
        <f>[1]Emissions!D857</f>
        <v>2.9813716060000002</v>
      </c>
      <c r="F440" s="6">
        <f>[1]Emissions!E857</f>
        <v>2.97595652</v>
      </c>
      <c r="G440" s="6">
        <f>[1]Emissions!F857</f>
        <v>2.9825035479999999</v>
      </c>
      <c r="H440" s="6">
        <f>[1]Emissions!G857</f>
        <v>2.9999374419999998</v>
      </c>
      <c r="I440" s="6">
        <f>[1]Emissions!H857</f>
        <v>3.0264948889999999</v>
      </c>
      <c r="J440" s="6">
        <f>[1]Emissions!I857</f>
        <v>2.932314222</v>
      </c>
      <c r="K440" s="6">
        <f>[1]Emissions!J857</f>
        <v>2.8323424180000001</v>
      </c>
      <c r="L440" s="6">
        <f>[1]Emissions!K857</f>
        <v>2.7531269960000002</v>
      </c>
      <c r="M440" s="6">
        <f>[1]Emissions!L857</f>
        <v>2.6777743300000001</v>
      </c>
      <c r="N440" s="6">
        <f>[1]Emissions!M857</f>
        <v>2.6130374019999998</v>
      </c>
      <c r="O440" s="6">
        <f>[1]Emissions!N857</f>
        <v>2.5516641230000001</v>
      </c>
      <c r="P440" s="6">
        <f>[1]Emissions!O857</f>
        <v>2.4893506269999999</v>
      </c>
      <c r="Q440" s="6">
        <f>[1]Emissions!P857</f>
        <v>2.4285304069999998</v>
      </c>
      <c r="R440" s="6">
        <f>[1]Emissions!Q857</f>
        <v>2.3706375940000002</v>
      </c>
      <c r="S440" s="6">
        <f>[1]Emissions!R857</f>
        <v>2.3113234820000002</v>
      </c>
      <c r="T440" s="6">
        <f>[1]Emissions!S857</f>
        <v>2.2535918939999999</v>
      </c>
      <c r="U440" s="6">
        <f>[1]Emissions!T857</f>
        <v>2.1988541499999998</v>
      </c>
      <c r="V440" s="6">
        <f>[1]Emissions!U857</f>
        <v>2.1474535779999999</v>
      </c>
      <c r="W440" s="6">
        <f>[1]Emissions!V857</f>
        <v>2.099479197</v>
      </c>
      <c r="X440" s="6">
        <f>[1]Emissions!W857</f>
        <v>2.0549110310000001</v>
      </c>
      <c r="Y440" s="6">
        <f>[1]Emissions!X857</f>
        <v>2.0137668099999999</v>
      </c>
      <c r="Z440" s="6">
        <f>[1]Emissions!Y857</f>
        <v>1.9755373089999999</v>
      </c>
      <c r="AA440" s="6">
        <f>[1]Emissions!Z857</f>
        <v>1.9393715410000001</v>
      </c>
      <c r="AB440" s="6">
        <f>[1]Emissions!AA857</f>
        <v>1.9045293139999999</v>
      </c>
      <c r="AC440" s="6">
        <f>[1]Emissions!AB857</f>
        <v>1.8705216469999999</v>
      </c>
      <c r="AD440" s="6">
        <f>[1]Emissions!AC857</f>
        <v>1.8377331830000001</v>
      </c>
      <c r="AE440" s="6">
        <f>[1]Emissions!AD857</f>
        <v>1.805294231</v>
      </c>
      <c r="AF440" s="6">
        <f>[1]Emissions!AE857</f>
        <v>1.771547918</v>
      </c>
      <c r="AG440" s="6">
        <f>[1]Emissions!AF857</f>
        <v>1.734772223</v>
      </c>
      <c r="AH440" s="6">
        <f>[1]Emissions!AG857</f>
        <v>1.6937898389999999</v>
      </c>
      <c r="AI440" s="6">
        <f>[1]Emissions!AH857</f>
        <v>1.6477814369999999</v>
      </c>
      <c r="AJ440" s="6">
        <f>[1]Emissions!AI857</f>
        <v>1.5957909530000001</v>
      </c>
      <c r="AK440" s="6">
        <f>[1]Emissions!AJ857</f>
        <v>1.536800835</v>
      </c>
      <c r="AL440" s="6">
        <f>[1]Emissions!AK857</f>
        <v>1.4697178399999999</v>
      </c>
    </row>
    <row r="441" spans="2:38" x14ac:dyDescent="0.35">
      <c r="B441" s="6" t="str">
        <f>[1]Emissions!A858</f>
        <v>ems_y_co2_sigo_2</v>
      </c>
      <c r="C441" s="6">
        <f>[1]Emissions!B858</f>
        <v>0</v>
      </c>
      <c r="D441" s="6">
        <f>[1]Emissions!C858</f>
        <v>0</v>
      </c>
      <c r="E441" s="6">
        <f>[1]Emissions!D858</f>
        <v>0</v>
      </c>
      <c r="F441" s="6">
        <f>[1]Emissions!E858</f>
        <v>0</v>
      </c>
      <c r="G441" s="6">
        <f>[1]Emissions!F858</f>
        <v>0</v>
      </c>
      <c r="H441" s="6">
        <f>[1]Emissions!G858</f>
        <v>0</v>
      </c>
      <c r="I441" s="6">
        <f>[1]Emissions!H858</f>
        <v>0</v>
      </c>
      <c r="J441" s="6">
        <f>[1]Emissions!I858</f>
        <v>0</v>
      </c>
      <c r="K441" s="6">
        <f>[1]Emissions!J858</f>
        <v>0</v>
      </c>
      <c r="L441" s="6">
        <f>[1]Emissions!K858</f>
        <v>0</v>
      </c>
      <c r="M441" s="6">
        <f>[1]Emissions!L858</f>
        <v>0</v>
      </c>
      <c r="N441" s="6">
        <f>[1]Emissions!M858</f>
        <v>0</v>
      </c>
      <c r="O441" s="6">
        <f>[1]Emissions!N858</f>
        <v>0</v>
      </c>
      <c r="P441" s="6">
        <f>[1]Emissions!O858</f>
        <v>0</v>
      </c>
      <c r="Q441" s="6">
        <f>[1]Emissions!P858</f>
        <v>0</v>
      </c>
      <c r="R441" s="6">
        <f>[1]Emissions!Q858</f>
        <v>0</v>
      </c>
      <c r="S441" s="6">
        <f>[1]Emissions!R858</f>
        <v>0</v>
      </c>
      <c r="T441" s="6">
        <f>[1]Emissions!S858</f>
        <v>0</v>
      </c>
      <c r="U441" s="6">
        <f>[1]Emissions!T858</f>
        <v>0</v>
      </c>
      <c r="V441" s="6">
        <f>[1]Emissions!U858</f>
        <v>0</v>
      </c>
      <c r="W441" s="6">
        <f>[1]Emissions!V858</f>
        <v>0</v>
      </c>
      <c r="X441" s="6">
        <f>[1]Emissions!W858</f>
        <v>0</v>
      </c>
      <c r="Y441" s="6">
        <f>[1]Emissions!X858</f>
        <v>0</v>
      </c>
      <c r="Z441" s="6">
        <f>[1]Emissions!Y858</f>
        <v>0</v>
      </c>
      <c r="AA441" s="6">
        <f>[1]Emissions!Z858</f>
        <v>0</v>
      </c>
      <c r="AB441" s="6">
        <f>[1]Emissions!AA858</f>
        <v>0</v>
      </c>
      <c r="AC441" s="6">
        <f>[1]Emissions!AB858</f>
        <v>0</v>
      </c>
      <c r="AD441" s="6">
        <f>[1]Emissions!AC858</f>
        <v>0</v>
      </c>
      <c r="AE441" s="6">
        <f>[1]Emissions!AD858</f>
        <v>0</v>
      </c>
      <c r="AF441" s="6">
        <f>[1]Emissions!AE858</f>
        <v>0</v>
      </c>
      <c r="AG441" s="6">
        <f>[1]Emissions!AF858</f>
        <v>0</v>
      </c>
      <c r="AH441" s="6">
        <f>[1]Emissions!AG858</f>
        <v>0</v>
      </c>
      <c r="AI441" s="6">
        <f>[1]Emissions!AH858</f>
        <v>0</v>
      </c>
      <c r="AJ441" s="6">
        <f>[1]Emissions!AI858</f>
        <v>0</v>
      </c>
      <c r="AK441" s="6">
        <f>[1]Emissions!AJ858</f>
        <v>0</v>
      </c>
      <c r="AL441" s="6">
        <f>[1]Emissions!AK858</f>
        <v>0</v>
      </c>
    </row>
    <row r="442" spans="2:38" x14ac:dyDescent="0.35">
      <c r="B442" s="6" t="str">
        <f>[1]Emissions!A859</f>
        <v>ems_mat_co2_sigo_2</v>
      </c>
      <c r="C442" s="6">
        <f>[1]Emissions!B859</f>
        <v>0.4724401258</v>
      </c>
      <c r="D442" s="6">
        <f>[1]Emissions!C859</f>
        <v>0.47518991729999999</v>
      </c>
      <c r="E442" s="6">
        <f>[1]Emissions!D859</f>
        <v>0.47924331860000002</v>
      </c>
      <c r="F442" s="6">
        <f>[1]Emissions!E859</f>
        <v>0.48417626850000001</v>
      </c>
      <c r="G442" s="6">
        <f>[1]Emissions!F859</f>
        <v>0.48972929069999999</v>
      </c>
      <c r="H442" s="6">
        <f>[1]Emissions!G859</f>
        <v>0.49592438890000001</v>
      </c>
      <c r="I442" s="6">
        <f>[1]Emissions!H859</f>
        <v>0.50275246429999998</v>
      </c>
      <c r="J442" s="6">
        <f>[1]Emissions!I859</f>
        <v>0.50787459670000001</v>
      </c>
      <c r="K442" s="6">
        <f>[1]Emissions!J859</f>
        <v>0.51400768370000005</v>
      </c>
      <c r="L442" s="6">
        <f>[1]Emissions!K859</f>
        <v>0.52493528369999998</v>
      </c>
      <c r="M442" s="6">
        <f>[1]Emissions!L859</f>
        <v>0.53713977869999996</v>
      </c>
      <c r="N442" s="6">
        <f>[1]Emissions!M859</f>
        <v>0.54937041529999997</v>
      </c>
      <c r="O442" s="6">
        <f>[1]Emissions!N859</f>
        <v>0.5606021659</v>
      </c>
      <c r="P442" s="6">
        <f>[1]Emissions!O859</f>
        <v>0.57024306069999997</v>
      </c>
      <c r="Q442" s="6">
        <f>[1]Emissions!P859</f>
        <v>0.57907727060000003</v>
      </c>
      <c r="R442" s="6">
        <f>[1]Emissions!Q859</f>
        <v>0.58768544300000003</v>
      </c>
      <c r="S442" s="6">
        <f>[1]Emissions!R859</f>
        <v>0.59636237410000004</v>
      </c>
      <c r="T442" s="6">
        <f>[1]Emissions!S859</f>
        <v>0.60564293790000001</v>
      </c>
      <c r="U442" s="6">
        <f>[1]Emissions!T859</f>
        <v>0.61578932610000003</v>
      </c>
      <c r="V442" s="6">
        <f>[1]Emissions!U859</f>
        <v>0.62688982299999996</v>
      </c>
      <c r="W442" s="6">
        <f>[1]Emissions!V859</f>
        <v>0.63903173390000001</v>
      </c>
      <c r="X442" s="6">
        <f>[1]Emissions!W859</f>
        <v>0.65231613879999994</v>
      </c>
      <c r="Y442" s="6">
        <f>[1]Emissions!X859</f>
        <v>0.66690405360000005</v>
      </c>
      <c r="Z442" s="6">
        <f>[1]Emissions!Y859</f>
        <v>0.68283180239999997</v>
      </c>
      <c r="AA442" s="6">
        <f>[1]Emissions!Z859</f>
        <v>0.70002056450000005</v>
      </c>
      <c r="AB442" s="6">
        <f>[1]Emissions!AA859</f>
        <v>0.71842739739999995</v>
      </c>
      <c r="AC442" s="6">
        <f>[1]Emissions!AB859</f>
        <v>0.73807464599999995</v>
      </c>
      <c r="AD442" s="6">
        <f>[1]Emissions!AC859</f>
        <v>0.75937717520000003</v>
      </c>
      <c r="AE442" s="6">
        <f>[1]Emissions!AD859</f>
        <v>0.78236183790000002</v>
      </c>
      <c r="AF442" s="6">
        <f>[1]Emissions!AE859</f>
        <v>0.80672168200000005</v>
      </c>
      <c r="AG442" s="6">
        <f>[1]Emissions!AF859</f>
        <v>0.83204777549999998</v>
      </c>
      <c r="AH442" s="6">
        <f>[1]Emissions!AG859</f>
        <v>0.85810092240000002</v>
      </c>
      <c r="AI442" s="6">
        <f>[1]Emissions!AH859</f>
        <v>0.88479750020000003</v>
      </c>
      <c r="AJ442" s="6">
        <f>[1]Emissions!AI859</f>
        <v>0.91202233249999998</v>
      </c>
      <c r="AK442" s="6">
        <f>[1]Emissions!AJ859</f>
        <v>0.93965225730000002</v>
      </c>
      <c r="AL442" s="6">
        <f>[1]Emissions!AK859</f>
        <v>0.96758068340000003</v>
      </c>
    </row>
    <row r="443" spans="2:38" x14ac:dyDescent="0.35">
      <c r="B443" s="6" t="str">
        <f>[1]Emissions!A860</f>
        <v>ems_ci_co2_scgo_2</v>
      </c>
      <c r="C443" s="6">
        <f>[1]Emissions!B860</f>
        <v>0.69085593759999997</v>
      </c>
      <c r="D443" s="6">
        <f>[1]Emissions!C860</f>
        <v>0.67197649380000002</v>
      </c>
      <c r="E443" s="6">
        <f>[1]Emissions!D860</f>
        <v>0.65574219830000002</v>
      </c>
      <c r="F443" s="6">
        <f>[1]Emissions!E860</f>
        <v>0.64309546250000005</v>
      </c>
      <c r="G443" s="6">
        <f>[1]Emissions!F860</f>
        <v>0.63712890440000003</v>
      </c>
      <c r="H443" s="6">
        <f>[1]Emissions!G860</f>
        <v>0.63593106170000002</v>
      </c>
      <c r="I443" s="6">
        <f>[1]Emissions!H860</f>
        <v>0.63814316800000004</v>
      </c>
      <c r="J443" s="6">
        <f>[1]Emissions!I860</f>
        <v>0.60895205429999999</v>
      </c>
      <c r="K443" s="6">
        <f>[1]Emissions!J860</f>
        <v>0.57871115559999997</v>
      </c>
      <c r="L443" s="6">
        <f>[1]Emissions!K860</f>
        <v>0.55283907740000005</v>
      </c>
      <c r="M443" s="6">
        <f>[1]Emissions!L860</f>
        <v>0.52873561099999999</v>
      </c>
      <c r="N443" s="6">
        <f>[1]Emissions!M860</f>
        <v>0.50860454460000004</v>
      </c>
      <c r="O443" s="6">
        <f>[1]Emissions!N860</f>
        <v>0.49110937360000001</v>
      </c>
      <c r="P443" s="6">
        <f>[1]Emissions!O860</f>
        <v>0.47502151409999999</v>
      </c>
      <c r="Q443" s="6">
        <f>[1]Emissions!P860</f>
        <v>0.46018114449999997</v>
      </c>
      <c r="R443" s="6">
        <f>[1]Emissions!Q860</f>
        <v>0.44638524950000003</v>
      </c>
      <c r="S443" s="6">
        <f>[1]Emissions!R860</f>
        <v>0.4320141461</v>
      </c>
      <c r="T443" s="6">
        <f>[1]Emissions!S860</f>
        <v>0.4176951941</v>
      </c>
      <c r="U443" s="6">
        <f>[1]Emissions!T860</f>
        <v>0.4037082145</v>
      </c>
      <c r="V443" s="6">
        <f>[1]Emissions!U860</f>
        <v>0.39016084309999999</v>
      </c>
      <c r="W443" s="6">
        <f>[1]Emissions!V860</f>
        <v>0.3770914045</v>
      </c>
      <c r="X443" s="6">
        <f>[1]Emissions!W860</f>
        <v>0.36447754830000001</v>
      </c>
      <c r="Y443" s="6">
        <f>[1]Emissions!X860</f>
        <v>0.35228968500000002</v>
      </c>
      <c r="Z443" s="6">
        <f>[1]Emissions!Y860</f>
        <v>0.34044149509999999</v>
      </c>
      <c r="AA443" s="6">
        <f>[1]Emissions!Z860</f>
        <v>0.32879196599999999</v>
      </c>
      <c r="AB443" s="6">
        <f>[1]Emissions!AA860</f>
        <v>0.31720103910000003</v>
      </c>
      <c r="AC443" s="6">
        <f>[1]Emissions!AB860</f>
        <v>0.30562497500000002</v>
      </c>
      <c r="AD443" s="6">
        <f>[1]Emissions!AC860</f>
        <v>0.29386644220000002</v>
      </c>
      <c r="AE443" s="6">
        <f>[1]Emissions!AD860</f>
        <v>0.28173507320000002</v>
      </c>
      <c r="AF443" s="6">
        <f>[1]Emissions!AE860</f>
        <v>0.2689633428</v>
      </c>
      <c r="AG443" s="6">
        <f>[1]Emissions!AF860</f>
        <v>0.25526048470000001</v>
      </c>
      <c r="AH443" s="6">
        <f>[1]Emissions!AG860</f>
        <v>0.24036201469999999</v>
      </c>
      <c r="AI443" s="6">
        <f>[1]Emissions!AH860</f>
        <v>0.2240196116</v>
      </c>
      <c r="AJ443" s="6">
        <f>[1]Emissions!AI860</f>
        <v>0.20596981919999999</v>
      </c>
      <c r="AK443" s="6">
        <f>[1]Emissions!AJ860</f>
        <v>0.18591990929999999</v>
      </c>
      <c r="AL443" s="6">
        <f>[1]Emissions!AK860</f>
        <v>0.16352923650000001</v>
      </c>
    </row>
    <row r="444" spans="2:38" x14ac:dyDescent="0.35">
      <c r="B444" s="6" t="str">
        <f>[1]Emissions!A861</f>
        <v>ems_y_co2_scgo_2</v>
      </c>
      <c r="C444" s="6">
        <f>[1]Emissions!B861</f>
        <v>0</v>
      </c>
      <c r="D444" s="6">
        <f>[1]Emissions!C861</f>
        <v>0</v>
      </c>
      <c r="E444" s="6">
        <f>[1]Emissions!D861</f>
        <v>0</v>
      </c>
      <c r="F444" s="6">
        <f>[1]Emissions!E861</f>
        <v>0</v>
      </c>
      <c r="G444" s="6">
        <f>[1]Emissions!F861</f>
        <v>0</v>
      </c>
      <c r="H444" s="6">
        <f>[1]Emissions!G861</f>
        <v>0</v>
      </c>
      <c r="I444" s="6">
        <f>[1]Emissions!H861</f>
        <v>0</v>
      </c>
      <c r="J444" s="6">
        <f>[1]Emissions!I861</f>
        <v>0</v>
      </c>
      <c r="K444" s="6">
        <f>[1]Emissions!J861</f>
        <v>0</v>
      </c>
      <c r="L444" s="6">
        <f>[1]Emissions!K861</f>
        <v>0</v>
      </c>
      <c r="M444" s="6">
        <f>[1]Emissions!L861</f>
        <v>0</v>
      </c>
      <c r="N444" s="6">
        <f>[1]Emissions!M861</f>
        <v>0</v>
      </c>
      <c r="O444" s="6">
        <f>[1]Emissions!N861</f>
        <v>0</v>
      </c>
      <c r="P444" s="6">
        <f>[1]Emissions!O861</f>
        <v>0</v>
      </c>
      <c r="Q444" s="6">
        <f>[1]Emissions!P861</f>
        <v>0</v>
      </c>
      <c r="R444" s="6">
        <f>[1]Emissions!Q861</f>
        <v>0</v>
      </c>
      <c r="S444" s="6">
        <f>[1]Emissions!R861</f>
        <v>0</v>
      </c>
      <c r="T444" s="6">
        <f>[1]Emissions!S861</f>
        <v>0</v>
      </c>
      <c r="U444" s="6">
        <f>[1]Emissions!T861</f>
        <v>0</v>
      </c>
      <c r="V444" s="6">
        <f>[1]Emissions!U861</f>
        <v>0</v>
      </c>
      <c r="W444" s="6">
        <f>[1]Emissions!V861</f>
        <v>0</v>
      </c>
      <c r="X444" s="6">
        <f>[1]Emissions!W861</f>
        <v>0</v>
      </c>
      <c r="Y444" s="6">
        <f>[1]Emissions!X861</f>
        <v>0</v>
      </c>
      <c r="Z444" s="6">
        <f>[1]Emissions!Y861</f>
        <v>0</v>
      </c>
      <c r="AA444" s="6">
        <f>[1]Emissions!Z861</f>
        <v>0</v>
      </c>
      <c r="AB444" s="6">
        <f>[1]Emissions!AA861</f>
        <v>0</v>
      </c>
      <c r="AC444" s="6">
        <f>[1]Emissions!AB861</f>
        <v>0</v>
      </c>
      <c r="AD444" s="6">
        <f>[1]Emissions!AC861</f>
        <v>0</v>
      </c>
      <c r="AE444" s="6">
        <f>[1]Emissions!AD861</f>
        <v>0</v>
      </c>
      <c r="AF444" s="6">
        <f>[1]Emissions!AE861</f>
        <v>0</v>
      </c>
      <c r="AG444" s="6">
        <f>[1]Emissions!AF861</f>
        <v>0</v>
      </c>
      <c r="AH444" s="6">
        <f>[1]Emissions!AG861</f>
        <v>0</v>
      </c>
      <c r="AI444" s="6">
        <f>[1]Emissions!AH861</f>
        <v>0</v>
      </c>
      <c r="AJ444" s="6">
        <f>[1]Emissions!AI861</f>
        <v>0</v>
      </c>
      <c r="AK444" s="6">
        <f>[1]Emissions!AJ861</f>
        <v>0</v>
      </c>
      <c r="AL444" s="6">
        <f>[1]Emissions!AK861</f>
        <v>0</v>
      </c>
    </row>
    <row r="445" spans="2:38" x14ac:dyDescent="0.35">
      <c r="B445" s="6" t="str">
        <f>[1]Emissions!A862</f>
        <v>ems_mat_co2_scgo_2</v>
      </c>
      <c r="C445" s="6">
        <f>[1]Emissions!B862</f>
        <v>0</v>
      </c>
      <c r="D445" s="6">
        <f>[1]Emissions!C862</f>
        <v>0</v>
      </c>
      <c r="E445" s="6">
        <f>[1]Emissions!D862</f>
        <v>0</v>
      </c>
      <c r="F445" s="6">
        <f>[1]Emissions!E862</f>
        <v>0</v>
      </c>
      <c r="G445" s="6">
        <f>[1]Emissions!F862</f>
        <v>0</v>
      </c>
      <c r="H445" s="6">
        <f>[1]Emissions!G862</f>
        <v>0</v>
      </c>
      <c r="I445" s="6">
        <f>[1]Emissions!H862</f>
        <v>0</v>
      </c>
      <c r="J445" s="6">
        <f>[1]Emissions!I862</f>
        <v>0</v>
      </c>
      <c r="K445" s="6">
        <f>[1]Emissions!J862</f>
        <v>0</v>
      </c>
      <c r="L445" s="6">
        <f>[1]Emissions!K862</f>
        <v>0</v>
      </c>
      <c r="M445" s="6">
        <f>[1]Emissions!L862</f>
        <v>0</v>
      </c>
      <c r="N445" s="6">
        <f>[1]Emissions!M862</f>
        <v>0</v>
      </c>
      <c r="O445" s="6">
        <f>[1]Emissions!N862</f>
        <v>0</v>
      </c>
      <c r="P445" s="6">
        <f>[1]Emissions!O862</f>
        <v>0</v>
      </c>
      <c r="Q445" s="6">
        <f>[1]Emissions!P862</f>
        <v>0</v>
      </c>
      <c r="R445" s="6">
        <f>[1]Emissions!Q862</f>
        <v>0</v>
      </c>
      <c r="S445" s="6">
        <f>[1]Emissions!R862</f>
        <v>0</v>
      </c>
      <c r="T445" s="6">
        <f>[1]Emissions!S862</f>
        <v>0</v>
      </c>
      <c r="U445" s="6">
        <f>[1]Emissions!T862</f>
        <v>0</v>
      </c>
      <c r="V445" s="6">
        <f>[1]Emissions!U862</f>
        <v>0</v>
      </c>
      <c r="W445" s="6">
        <f>[1]Emissions!V862</f>
        <v>0</v>
      </c>
      <c r="X445" s="6">
        <f>[1]Emissions!W862</f>
        <v>0</v>
      </c>
      <c r="Y445" s="6">
        <f>[1]Emissions!X862</f>
        <v>0</v>
      </c>
      <c r="Z445" s="6">
        <f>[1]Emissions!Y862</f>
        <v>0</v>
      </c>
      <c r="AA445" s="6">
        <f>[1]Emissions!Z862</f>
        <v>0</v>
      </c>
      <c r="AB445" s="6">
        <f>[1]Emissions!AA862</f>
        <v>0</v>
      </c>
      <c r="AC445" s="6">
        <f>[1]Emissions!AB862</f>
        <v>0</v>
      </c>
      <c r="AD445" s="6">
        <f>[1]Emissions!AC862</f>
        <v>0</v>
      </c>
      <c r="AE445" s="6">
        <f>[1]Emissions!AD862</f>
        <v>0</v>
      </c>
      <c r="AF445" s="6">
        <f>[1]Emissions!AE862</f>
        <v>0</v>
      </c>
      <c r="AG445" s="6">
        <f>[1]Emissions!AF862</f>
        <v>0</v>
      </c>
      <c r="AH445" s="6">
        <f>[1]Emissions!AG862</f>
        <v>0</v>
      </c>
      <c r="AI445" s="6">
        <f>[1]Emissions!AH862</f>
        <v>0</v>
      </c>
      <c r="AJ445" s="6">
        <f>[1]Emissions!AI862</f>
        <v>0</v>
      </c>
      <c r="AK445" s="6">
        <f>[1]Emissions!AJ862</f>
        <v>0</v>
      </c>
      <c r="AL445" s="6">
        <f>[1]Emissions!AK862</f>
        <v>0</v>
      </c>
    </row>
    <row r="446" spans="2:38" x14ac:dyDescent="0.35">
      <c r="B446" s="6" t="str">
        <f>[1]Emissions!A863</f>
        <v>ems_ci_co2_scon_2</v>
      </c>
      <c r="C446" s="6">
        <f>[1]Emissions!B863</f>
        <v>7.4702449880000001</v>
      </c>
      <c r="D446" s="6">
        <f>[1]Emissions!C863</f>
        <v>7.8628093510000001</v>
      </c>
      <c r="E446" s="6">
        <f>[1]Emissions!D863</f>
        <v>8.2414312190000008</v>
      </c>
      <c r="F446" s="6">
        <f>[1]Emissions!E863</f>
        <v>8.3947576870000002</v>
      </c>
      <c r="G446" s="6">
        <f>[1]Emissions!F863</f>
        <v>8.4461670980000001</v>
      </c>
      <c r="H446" s="6">
        <f>[1]Emissions!G863</f>
        <v>8.4691494550000002</v>
      </c>
      <c r="I446" s="6">
        <f>[1]Emissions!H863</f>
        <v>8.4950519520000007</v>
      </c>
      <c r="J446" s="6">
        <f>[1]Emissions!I863</f>
        <v>8.1314516050000005</v>
      </c>
      <c r="K446" s="6">
        <f>[1]Emissions!J863</f>
        <v>7.759942369</v>
      </c>
      <c r="L446" s="6">
        <f>[1]Emissions!K863</f>
        <v>7.4288989409999999</v>
      </c>
      <c r="M446" s="6">
        <f>[1]Emissions!L863</f>
        <v>7.1385929509999997</v>
      </c>
      <c r="N446" s="6">
        <f>[1]Emissions!M863</f>
        <v>6.9035577630000002</v>
      </c>
      <c r="O446" s="6">
        <f>[1]Emissions!N863</f>
        <v>6.6935849310000002</v>
      </c>
      <c r="P446" s="6">
        <f>[1]Emissions!O863</f>
        <v>6.4975508460000002</v>
      </c>
      <c r="Q446" s="6">
        <f>[1]Emissions!P863</f>
        <v>6.3141360029999998</v>
      </c>
      <c r="R446" s="6">
        <f>[1]Emissions!Q863</f>
        <v>6.1431202709999999</v>
      </c>
      <c r="S446" s="6">
        <f>[1]Emissions!R863</f>
        <v>5.9744919430000003</v>
      </c>
      <c r="T446" s="6">
        <f>[1]Emissions!S863</f>
        <v>5.8115299159999996</v>
      </c>
      <c r="U446" s="6">
        <f>[1]Emissions!T863</f>
        <v>5.6535143970000004</v>
      </c>
      <c r="V446" s="6">
        <f>[1]Emissions!U863</f>
        <v>5.4988505740000004</v>
      </c>
      <c r="W446" s="6">
        <f>[1]Emissions!V863</f>
        <v>5.346538829</v>
      </c>
      <c r="X446" s="6">
        <f>[1]Emissions!W863</f>
        <v>5.1960449229999996</v>
      </c>
      <c r="Y446" s="6">
        <f>[1]Emissions!X863</f>
        <v>5.0468454940000003</v>
      </c>
      <c r="Z446" s="6">
        <f>[1]Emissions!Y863</f>
        <v>4.8982428499999999</v>
      </c>
      <c r="AA446" s="6">
        <f>[1]Emissions!Z863</f>
        <v>4.7492560299999997</v>
      </c>
      <c r="AB446" s="6">
        <f>[1]Emissions!AA863</f>
        <v>4.5989795139999998</v>
      </c>
      <c r="AC446" s="6">
        <f>[1]Emissions!AB863</f>
        <v>4.4464241680000001</v>
      </c>
      <c r="AD446" s="6">
        <f>[1]Emissions!AC863</f>
        <v>4.2902809069999996</v>
      </c>
      <c r="AE446" s="6">
        <f>[1]Emissions!AD863</f>
        <v>4.1294338189999999</v>
      </c>
      <c r="AF446" s="6">
        <f>[1]Emissions!AE863</f>
        <v>3.962444037</v>
      </c>
      <c r="AG446" s="6">
        <f>[1]Emissions!AF863</f>
        <v>3.78747079</v>
      </c>
      <c r="AH446" s="6">
        <f>[1]Emissions!AG863</f>
        <v>3.6022407059999999</v>
      </c>
      <c r="AI446" s="6">
        <f>[1]Emissions!AH863</f>
        <v>3.404029602</v>
      </c>
      <c r="AJ446" s="6">
        <f>[1]Emissions!AI863</f>
        <v>3.1898566270000002</v>
      </c>
      <c r="AK446" s="6">
        <f>[1]Emissions!AJ863</f>
        <v>2.9564133410000002</v>
      </c>
      <c r="AL446" s="6">
        <f>[1]Emissions!AK863</f>
        <v>2.6998450790000001</v>
      </c>
    </row>
    <row r="447" spans="2:38" x14ac:dyDescent="0.35">
      <c r="B447" s="6" t="str">
        <f>[1]Emissions!A864</f>
        <v>ems_y_co2_scon_2</v>
      </c>
      <c r="C447" s="6">
        <f>[1]Emissions!B864</f>
        <v>0</v>
      </c>
      <c r="D447" s="6">
        <f>[1]Emissions!C864</f>
        <v>0</v>
      </c>
      <c r="E447" s="6">
        <f>[1]Emissions!D864</f>
        <v>0</v>
      </c>
      <c r="F447" s="6">
        <f>[1]Emissions!E864</f>
        <v>0</v>
      </c>
      <c r="G447" s="6">
        <f>[1]Emissions!F864</f>
        <v>0</v>
      </c>
      <c r="H447" s="6">
        <f>[1]Emissions!G864</f>
        <v>0</v>
      </c>
      <c r="I447" s="6">
        <f>[1]Emissions!H864</f>
        <v>0</v>
      </c>
      <c r="J447" s="6">
        <f>[1]Emissions!I864</f>
        <v>0</v>
      </c>
      <c r="K447" s="6">
        <f>[1]Emissions!J864</f>
        <v>0</v>
      </c>
      <c r="L447" s="6">
        <f>[1]Emissions!K864</f>
        <v>0</v>
      </c>
      <c r="M447" s="6">
        <f>[1]Emissions!L864</f>
        <v>0</v>
      </c>
      <c r="N447" s="6">
        <f>[1]Emissions!M864</f>
        <v>0</v>
      </c>
      <c r="O447" s="6">
        <f>[1]Emissions!N864</f>
        <v>0</v>
      </c>
      <c r="P447" s="6">
        <f>[1]Emissions!O864</f>
        <v>0</v>
      </c>
      <c r="Q447" s="6">
        <f>[1]Emissions!P864</f>
        <v>0</v>
      </c>
      <c r="R447" s="6">
        <f>[1]Emissions!Q864</f>
        <v>0</v>
      </c>
      <c r="S447" s="6">
        <f>[1]Emissions!R864</f>
        <v>0</v>
      </c>
      <c r="T447" s="6">
        <f>[1]Emissions!S864</f>
        <v>0</v>
      </c>
      <c r="U447" s="6">
        <f>[1]Emissions!T864</f>
        <v>0</v>
      </c>
      <c r="V447" s="6">
        <f>[1]Emissions!U864</f>
        <v>0</v>
      </c>
      <c r="W447" s="6">
        <f>[1]Emissions!V864</f>
        <v>0</v>
      </c>
      <c r="X447" s="6">
        <f>[1]Emissions!W864</f>
        <v>0</v>
      </c>
      <c r="Y447" s="6">
        <f>[1]Emissions!X864</f>
        <v>0</v>
      </c>
      <c r="Z447" s="6">
        <f>[1]Emissions!Y864</f>
        <v>0</v>
      </c>
      <c r="AA447" s="6">
        <f>[1]Emissions!Z864</f>
        <v>0</v>
      </c>
      <c r="AB447" s="6">
        <f>[1]Emissions!AA864</f>
        <v>0</v>
      </c>
      <c r="AC447" s="6">
        <f>[1]Emissions!AB864</f>
        <v>0</v>
      </c>
      <c r="AD447" s="6">
        <f>[1]Emissions!AC864</f>
        <v>0</v>
      </c>
      <c r="AE447" s="6">
        <f>[1]Emissions!AD864</f>
        <v>0</v>
      </c>
      <c r="AF447" s="6">
        <f>[1]Emissions!AE864</f>
        <v>0</v>
      </c>
      <c r="AG447" s="6">
        <f>[1]Emissions!AF864</f>
        <v>0</v>
      </c>
      <c r="AH447" s="6">
        <f>[1]Emissions!AG864</f>
        <v>0</v>
      </c>
      <c r="AI447" s="6">
        <f>[1]Emissions!AH864</f>
        <v>0</v>
      </c>
      <c r="AJ447" s="6">
        <f>[1]Emissions!AI864</f>
        <v>0</v>
      </c>
      <c r="AK447" s="6">
        <f>[1]Emissions!AJ864</f>
        <v>0</v>
      </c>
      <c r="AL447" s="6">
        <f>[1]Emissions!AK864</f>
        <v>0</v>
      </c>
    </row>
    <row r="448" spans="2:38" x14ac:dyDescent="0.35">
      <c r="B448" s="6" t="str">
        <f>[1]Emissions!A865</f>
        <v>ems_mat_co2_scon_2</v>
      </c>
      <c r="C448" s="6">
        <f>[1]Emissions!B865</f>
        <v>0</v>
      </c>
      <c r="D448" s="6">
        <f>[1]Emissions!C865</f>
        <v>0</v>
      </c>
      <c r="E448" s="6">
        <f>[1]Emissions!D865</f>
        <v>0</v>
      </c>
      <c r="F448" s="6">
        <f>[1]Emissions!E865</f>
        <v>0</v>
      </c>
      <c r="G448" s="6">
        <f>[1]Emissions!F865</f>
        <v>0</v>
      </c>
      <c r="H448" s="6">
        <f>[1]Emissions!G865</f>
        <v>0</v>
      </c>
      <c r="I448" s="6">
        <f>[1]Emissions!H865</f>
        <v>0</v>
      </c>
      <c r="J448" s="6">
        <f>[1]Emissions!I865</f>
        <v>0</v>
      </c>
      <c r="K448" s="6">
        <f>[1]Emissions!J865</f>
        <v>0</v>
      </c>
      <c r="L448" s="6">
        <f>[1]Emissions!K865</f>
        <v>0</v>
      </c>
      <c r="M448" s="6">
        <f>[1]Emissions!L865</f>
        <v>0</v>
      </c>
      <c r="N448" s="6">
        <f>[1]Emissions!M865</f>
        <v>0</v>
      </c>
      <c r="O448" s="6">
        <f>[1]Emissions!N865</f>
        <v>0</v>
      </c>
      <c r="P448" s="6">
        <f>[1]Emissions!O865</f>
        <v>0</v>
      </c>
      <c r="Q448" s="6">
        <f>[1]Emissions!P865</f>
        <v>0</v>
      </c>
      <c r="R448" s="6">
        <f>[1]Emissions!Q865</f>
        <v>0</v>
      </c>
      <c r="S448" s="6">
        <f>[1]Emissions!R865</f>
        <v>0</v>
      </c>
      <c r="T448" s="6">
        <f>[1]Emissions!S865</f>
        <v>0</v>
      </c>
      <c r="U448" s="6">
        <f>[1]Emissions!T865</f>
        <v>0</v>
      </c>
      <c r="V448" s="6">
        <f>[1]Emissions!U865</f>
        <v>0</v>
      </c>
      <c r="W448" s="6">
        <f>[1]Emissions!V865</f>
        <v>0</v>
      </c>
      <c r="X448" s="6">
        <f>[1]Emissions!W865</f>
        <v>0</v>
      </c>
      <c r="Y448" s="6">
        <f>[1]Emissions!X865</f>
        <v>0</v>
      </c>
      <c r="Z448" s="6">
        <f>[1]Emissions!Y865</f>
        <v>0</v>
      </c>
      <c r="AA448" s="6">
        <f>[1]Emissions!Z865</f>
        <v>0</v>
      </c>
      <c r="AB448" s="6">
        <f>[1]Emissions!AA865</f>
        <v>0</v>
      </c>
      <c r="AC448" s="6">
        <f>[1]Emissions!AB865</f>
        <v>0</v>
      </c>
      <c r="AD448" s="6">
        <f>[1]Emissions!AC865</f>
        <v>0</v>
      </c>
      <c r="AE448" s="6">
        <f>[1]Emissions!AD865</f>
        <v>0</v>
      </c>
      <c r="AF448" s="6">
        <f>[1]Emissions!AE865</f>
        <v>0</v>
      </c>
      <c r="AG448" s="6">
        <f>[1]Emissions!AF865</f>
        <v>0</v>
      </c>
      <c r="AH448" s="6">
        <f>[1]Emissions!AG865</f>
        <v>0</v>
      </c>
      <c r="AI448" s="6">
        <f>[1]Emissions!AH865</f>
        <v>0</v>
      </c>
      <c r="AJ448" s="6">
        <f>[1]Emissions!AI865</f>
        <v>0</v>
      </c>
      <c r="AK448" s="6">
        <f>[1]Emissions!AJ865</f>
        <v>0</v>
      </c>
      <c r="AL448" s="6">
        <f>[1]Emissions!AK865</f>
        <v>0</v>
      </c>
    </row>
    <row r="449" spans="2:38" x14ac:dyDescent="0.35">
      <c r="B449" s="6" t="str">
        <f>[1]Emissions!A866</f>
        <v>ems_ci_co2_srai_2</v>
      </c>
      <c r="C449" s="6">
        <f>[1]Emissions!B866</f>
        <v>5.5685759990000001</v>
      </c>
      <c r="D449" s="6">
        <f>[1]Emissions!C866</f>
        <v>5.5455901179999998</v>
      </c>
      <c r="E449" s="6">
        <f>[1]Emissions!D866</f>
        <v>5.5328933429999996</v>
      </c>
      <c r="F449" s="6">
        <f>[1]Emissions!E866</f>
        <v>5.5335798790000004</v>
      </c>
      <c r="G449" s="6">
        <f>[1]Emissions!F866</f>
        <v>5.5553354229999998</v>
      </c>
      <c r="H449" s="6">
        <f>[1]Emissions!G866</f>
        <v>5.592748866</v>
      </c>
      <c r="I449" s="6">
        <f>[1]Emissions!H866</f>
        <v>5.639617919</v>
      </c>
      <c r="J449" s="6">
        <f>[1]Emissions!I866</f>
        <v>5.4577934480000003</v>
      </c>
      <c r="K449" s="6">
        <f>[1]Emissions!J866</f>
        <v>5.2711175920000004</v>
      </c>
      <c r="L449" s="6">
        <f>[1]Emissions!K866</f>
        <v>5.1061533560000001</v>
      </c>
      <c r="M449" s="6">
        <f>[1]Emissions!L866</f>
        <v>4.9485504589999998</v>
      </c>
      <c r="N449" s="6">
        <f>[1]Emissions!M866</f>
        <v>4.8005126630000001</v>
      </c>
      <c r="O449" s="6">
        <f>[1]Emissions!N866</f>
        <v>4.6559817849999998</v>
      </c>
      <c r="P449" s="6">
        <f>[1]Emissions!O866</f>
        <v>4.5098793070000003</v>
      </c>
      <c r="Q449" s="6">
        <f>[1]Emissions!P866</f>
        <v>4.3629939350000004</v>
      </c>
      <c r="R449" s="6">
        <f>[1]Emissions!Q866</f>
        <v>4.2158848139999998</v>
      </c>
      <c r="S449" s="6">
        <f>[1]Emissions!R866</f>
        <v>4.0674036439999997</v>
      </c>
      <c r="T449" s="6">
        <f>[1]Emissions!S866</f>
        <v>3.9184608750000001</v>
      </c>
      <c r="U449" s="6">
        <f>[1]Emissions!T866</f>
        <v>3.7696220880000002</v>
      </c>
      <c r="V449" s="6">
        <f>[1]Emissions!U866</f>
        <v>3.6208693940000001</v>
      </c>
      <c r="W449" s="6">
        <f>[1]Emissions!V866</f>
        <v>3.4719983239999999</v>
      </c>
      <c r="X449" s="6">
        <f>[1]Emissions!W866</f>
        <v>3.3226075989999999</v>
      </c>
      <c r="Y449" s="6">
        <f>[1]Emissions!X866</f>
        <v>3.1723166800000002</v>
      </c>
      <c r="Z449" s="6">
        <f>[1]Emissions!Y866</f>
        <v>3.02039328</v>
      </c>
      <c r="AA449" s="6">
        <f>[1]Emissions!Z866</f>
        <v>2.8657689039999998</v>
      </c>
      <c r="AB449" s="6">
        <f>[1]Emissions!AA866</f>
        <v>2.707396659</v>
      </c>
      <c r="AC449" s="6">
        <f>[1]Emissions!AB866</f>
        <v>2.5444027359999999</v>
      </c>
      <c r="AD449" s="6">
        <f>[1]Emissions!AC866</f>
        <v>2.3760519389999999</v>
      </c>
      <c r="AE449" s="6">
        <f>[1]Emissions!AD866</f>
        <v>2.2011559599999999</v>
      </c>
      <c r="AF449" s="6">
        <f>[1]Emissions!AE866</f>
        <v>2.0180376</v>
      </c>
      <c r="AG449" s="6">
        <f>[1]Emissions!AF866</f>
        <v>1.8249493210000001</v>
      </c>
      <c r="AH449" s="6">
        <f>[1]Emissions!AG866</f>
        <v>1.620413155</v>
      </c>
      <c r="AI449" s="6">
        <f>[1]Emissions!AH866</f>
        <v>1.4031665449999999</v>
      </c>
      <c r="AJ449" s="6">
        <f>[1]Emissions!AI866</f>
        <v>1.171972062</v>
      </c>
      <c r="AK449" s="6">
        <f>[1]Emissions!AJ866</f>
        <v>0.92556731930000002</v>
      </c>
      <c r="AL449" s="6">
        <f>[1]Emissions!AK866</f>
        <v>0.66260392619999997</v>
      </c>
    </row>
    <row r="450" spans="2:38" x14ac:dyDescent="0.35">
      <c r="B450" s="6" t="str">
        <f>[1]Emissions!A867</f>
        <v>ems_y_co2_srai_2</v>
      </c>
      <c r="C450" s="6">
        <f>[1]Emissions!B867</f>
        <v>0</v>
      </c>
      <c r="D450" s="6">
        <f>[1]Emissions!C867</f>
        <v>0</v>
      </c>
      <c r="E450" s="6">
        <f>[1]Emissions!D867</f>
        <v>0</v>
      </c>
      <c r="F450" s="6">
        <f>[1]Emissions!E867</f>
        <v>0</v>
      </c>
      <c r="G450" s="6">
        <f>[1]Emissions!F867</f>
        <v>0</v>
      </c>
      <c r="H450" s="6">
        <f>[1]Emissions!G867</f>
        <v>0</v>
      </c>
      <c r="I450" s="6">
        <f>[1]Emissions!H867</f>
        <v>0</v>
      </c>
      <c r="J450" s="6">
        <f>[1]Emissions!I867</f>
        <v>0</v>
      </c>
      <c r="K450" s="6">
        <f>[1]Emissions!J867</f>
        <v>0</v>
      </c>
      <c r="L450" s="6">
        <f>[1]Emissions!K867</f>
        <v>0</v>
      </c>
      <c r="M450" s="6">
        <f>[1]Emissions!L867</f>
        <v>0</v>
      </c>
      <c r="N450" s="6">
        <f>[1]Emissions!M867</f>
        <v>0</v>
      </c>
      <c r="O450" s="6">
        <f>[1]Emissions!N867</f>
        <v>0</v>
      </c>
      <c r="P450" s="6">
        <f>[1]Emissions!O867</f>
        <v>0</v>
      </c>
      <c r="Q450" s="6">
        <f>[1]Emissions!P867</f>
        <v>0</v>
      </c>
      <c r="R450" s="6">
        <f>[1]Emissions!Q867</f>
        <v>0</v>
      </c>
      <c r="S450" s="6">
        <f>[1]Emissions!R867</f>
        <v>0</v>
      </c>
      <c r="T450" s="6">
        <f>[1]Emissions!S867</f>
        <v>0</v>
      </c>
      <c r="U450" s="6">
        <f>[1]Emissions!T867</f>
        <v>0</v>
      </c>
      <c r="V450" s="6">
        <f>[1]Emissions!U867</f>
        <v>0</v>
      </c>
      <c r="W450" s="6">
        <f>[1]Emissions!V867</f>
        <v>0</v>
      </c>
      <c r="X450" s="6">
        <f>[1]Emissions!W867</f>
        <v>0</v>
      </c>
      <c r="Y450" s="6">
        <f>[1]Emissions!X867</f>
        <v>0</v>
      </c>
      <c r="Z450" s="6">
        <f>[1]Emissions!Y867</f>
        <v>0</v>
      </c>
      <c r="AA450" s="6">
        <f>[1]Emissions!Z867</f>
        <v>0</v>
      </c>
      <c r="AB450" s="6">
        <f>[1]Emissions!AA867</f>
        <v>0</v>
      </c>
      <c r="AC450" s="6">
        <f>[1]Emissions!AB867</f>
        <v>0</v>
      </c>
      <c r="AD450" s="6">
        <f>[1]Emissions!AC867</f>
        <v>0</v>
      </c>
      <c r="AE450" s="6">
        <f>[1]Emissions!AD867</f>
        <v>0</v>
      </c>
      <c r="AF450" s="6">
        <f>[1]Emissions!AE867</f>
        <v>0</v>
      </c>
      <c r="AG450" s="6">
        <f>[1]Emissions!AF867</f>
        <v>0</v>
      </c>
      <c r="AH450" s="6">
        <f>[1]Emissions!AG867</f>
        <v>0</v>
      </c>
      <c r="AI450" s="6">
        <f>[1]Emissions!AH867</f>
        <v>0</v>
      </c>
      <c r="AJ450" s="6">
        <f>[1]Emissions!AI867</f>
        <v>0</v>
      </c>
      <c r="AK450" s="6">
        <f>[1]Emissions!AJ867</f>
        <v>0</v>
      </c>
      <c r="AL450" s="6">
        <f>[1]Emissions!AK867</f>
        <v>0</v>
      </c>
    </row>
    <row r="451" spans="2:38" x14ac:dyDescent="0.35">
      <c r="B451" s="6" t="str">
        <f>[1]Emissions!A868</f>
        <v>ems_mat_co2_srai_2</v>
      </c>
      <c r="C451" s="6">
        <f>[1]Emissions!B868</f>
        <v>0</v>
      </c>
      <c r="D451" s="6">
        <f>[1]Emissions!C868</f>
        <v>0</v>
      </c>
      <c r="E451" s="6">
        <f>[1]Emissions!D868</f>
        <v>0</v>
      </c>
      <c r="F451" s="6">
        <f>[1]Emissions!E868</f>
        <v>0</v>
      </c>
      <c r="G451" s="6">
        <f>[1]Emissions!F868</f>
        <v>0</v>
      </c>
      <c r="H451" s="6">
        <f>[1]Emissions!G868</f>
        <v>0</v>
      </c>
      <c r="I451" s="6">
        <f>[1]Emissions!H868</f>
        <v>0</v>
      </c>
      <c r="J451" s="6">
        <f>[1]Emissions!I868</f>
        <v>0</v>
      </c>
      <c r="K451" s="6">
        <f>[1]Emissions!J868</f>
        <v>0</v>
      </c>
      <c r="L451" s="6">
        <f>[1]Emissions!K868</f>
        <v>0</v>
      </c>
      <c r="M451" s="6">
        <f>[1]Emissions!L868</f>
        <v>0</v>
      </c>
      <c r="N451" s="6">
        <f>[1]Emissions!M868</f>
        <v>0</v>
      </c>
      <c r="O451" s="6">
        <f>[1]Emissions!N868</f>
        <v>0</v>
      </c>
      <c r="P451" s="6">
        <f>[1]Emissions!O868</f>
        <v>0</v>
      </c>
      <c r="Q451" s="6">
        <f>[1]Emissions!P868</f>
        <v>0</v>
      </c>
      <c r="R451" s="6">
        <f>[1]Emissions!Q868</f>
        <v>0</v>
      </c>
      <c r="S451" s="6">
        <f>[1]Emissions!R868</f>
        <v>0</v>
      </c>
      <c r="T451" s="6">
        <f>[1]Emissions!S868</f>
        <v>0</v>
      </c>
      <c r="U451" s="6">
        <f>[1]Emissions!T868</f>
        <v>0</v>
      </c>
      <c r="V451" s="6">
        <f>[1]Emissions!U868</f>
        <v>0</v>
      </c>
      <c r="W451" s="6">
        <f>[1]Emissions!V868</f>
        <v>0</v>
      </c>
      <c r="X451" s="6">
        <f>[1]Emissions!W868</f>
        <v>0</v>
      </c>
      <c r="Y451" s="6">
        <f>[1]Emissions!X868</f>
        <v>0</v>
      </c>
      <c r="Z451" s="6">
        <f>[1]Emissions!Y868</f>
        <v>0</v>
      </c>
      <c r="AA451" s="6">
        <f>[1]Emissions!Z868</f>
        <v>0</v>
      </c>
      <c r="AB451" s="6">
        <f>[1]Emissions!AA868</f>
        <v>0</v>
      </c>
      <c r="AC451" s="6">
        <f>[1]Emissions!AB868</f>
        <v>0</v>
      </c>
      <c r="AD451" s="6">
        <f>[1]Emissions!AC868</f>
        <v>0</v>
      </c>
      <c r="AE451" s="6">
        <f>[1]Emissions!AD868</f>
        <v>0</v>
      </c>
      <c r="AF451" s="6">
        <f>[1]Emissions!AE868</f>
        <v>0</v>
      </c>
      <c r="AG451" s="6">
        <f>[1]Emissions!AF868</f>
        <v>0</v>
      </c>
      <c r="AH451" s="6">
        <f>[1]Emissions!AG868</f>
        <v>0</v>
      </c>
      <c r="AI451" s="6">
        <f>[1]Emissions!AH868</f>
        <v>0</v>
      </c>
      <c r="AJ451" s="6">
        <f>[1]Emissions!AI868</f>
        <v>0</v>
      </c>
      <c r="AK451" s="6">
        <f>[1]Emissions!AJ868</f>
        <v>0</v>
      </c>
      <c r="AL451" s="6">
        <f>[1]Emissions!AK868</f>
        <v>0</v>
      </c>
    </row>
    <row r="452" spans="2:38" x14ac:dyDescent="0.35">
      <c r="B452" s="6" t="str">
        <f>[1]Emissions!A869</f>
        <v>ems_ci_co2_sroa_2</v>
      </c>
      <c r="C452" s="6">
        <f>[1]Emissions!B869</f>
        <v>15.963741819999999</v>
      </c>
      <c r="D452" s="6">
        <f>[1]Emissions!C869</f>
        <v>15.8515985</v>
      </c>
      <c r="E452" s="6">
        <f>[1]Emissions!D869</f>
        <v>15.75964551</v>
      </c>
      <c r="F452" s="6">
        <f>[1]Emissions!E869</f>
        <v>15.699473429999999</v>
      </c>
      <c r="G452" s="6">
        <f>[1]Emissions!F869</f>
        <v>15.71363586</v>
      </c>
      <c r="H452" s="6">
        <f>[1]Emissions!G869</f>
        <v>15.78505872</v>
      </c>
      <c r="I452" s="6">
        <f>[1]Emissions!H869</f>
        <v>15.88973846</v>
      </c>
      <c r="J452" s="6">
        <f>[1]Emissions!I869</f>
        <v>15.29738908</v>
      </c>
      <c r="K452" s="6">
        <f>[1]Emissions!J869</f>
        <v>14.67667683</v>
      </c>
      <c r="L452" s="6">
        <f>[1]Emissions!K869</f>
        <v>14.114714230000001</v>
      </c>
      <c r="M452" s="6">
        <f>[1]Emissions!L869</f>
        <v>13.57797618</v>
      </c>
      <c r="N452" s="6">
        <f>[1]Emissions!M869</f>
        <v>13.08820687</v>
      </c>
      <c r="O452" s="6">
        <f>[1]Emissions!N869</f>
        <v>12.627928799999999</v>
      </c>
      <c r="P452" s="6">
        <f>[1]Emissions!O869</f>
        <v>12.180420870000001</v>
      </c>
      <c r="Q452" s="6">
        <f>[1]Emissions!P869</f>
        <v>11.74470064</v>
      </c>
      <c r="R452" s="6">
        <f>[1]Emissions!Q869</f>
        <v>11.31937488</v>
      </c>
      <c r="S452" s="6">
        <f>[1]Emissions!R869</f>
        <v>10.89616996</v>
      </c>
      <c r="T452" s="6">
        <f>[1]Emissions!S869</f>
        <v>10.476304320000001</v>
      </c>
      <c r="U452" s="6">
        <f>[1]Emissions!T869</f>
        <v>10.060657880000001</v>
      </c>
      <c r="V452" s="6">
        <f>[1]Emissions!U869</f>
        <v>9.6487692969999994</v>
      </c>
      <c r="W452" s="6">
        <f>[1]Emissions!V869</f>
        <v>9.2397861040000002</v>
      </c>
      <c r="X452" s="6">
        <f>[1]Emissions!W869</f>
        <v>8.8323169959999994</v>
      </c>
      <c r="Y452" s="6">
        <f>[1]Emissions!X869</f>
        <v>8.4250594299999992</v>
      </c>
      <c r="Z452" s="6">
        <f>[1]Emissions!Y869</f>
        <v>8.0159116519999998</v>
      </c>
      <c r="AA452" s="6">
        <f>[1]Emissions!Z869</f>
        <v>7.601947161</v>
      </c>
      <c r="AB452" s="6">
        <f>[1]Emissions!AA869</f>
        <v>7.1802670989999999</v>
      </c>
      <c r="AC452" s="6">
        <f>[1]Emissions!AB869</f>
        <v>6.7481631450000004</v>
      </c>
      <c r="AD452" s="6">
        <f>[1]Emissions!AC869</f>
        <v>6.3031692909999997</v>
      </c>
      <c r="AE452" s="6">
        <f>[1]Emissions!AD869</f>
        <v>5.8418315300000003</v>
      </c>
      <c r="AF452" s="6">
        <f>[1]Emissions!AE869</f>
        <v>5.3594764819999998</v>
      </c>
      <c r="AG452" s="6">
        <f>[1]Emissions!AF869</f>
        <v>4.8512273859999997</v>
      </c>
      <c r="AH452" s="6">
        <f>[1]Emissions!AG869</f>
        <v>4.3127788479999998</v>
      </c>
      <c r="AI452" s="6">
        <f>[1]Emissions!AH869</f>
        <v>3.7402577799999999</v>
      </c>
      <c r="AJ452" s="6">
        <f>[1]Emissions!AI869</f>
        <v>3.129790469</v>
      </c>
      <c r="AK452" s="6">
        <f>[1]Emissions!AJ869</f>
        <v>2.477293537</v>
      </c>
      <c r="AL452" s="6">
        <f>[1]Emissions!AK869</f>
        <v>1.778226466</v>
      </c>
    </row>
    <row r="453" spans="2:38" x14ac:dyDescent="0.35">
      <c r="B453" s="6" t="str">
        <f>[1]Emissions!A870</f>
        <v>ems_y_co2_sroa_2</v>
      </c>
      <c r="C453" s="6">
        <f>[1]Emissions!B870</f>
        <v>0</v>
      </c>
      <c r="D453" s="6">
        <f>[1]Emissions!C870</f>
        <v>0</v>
      </c>
      <c r="E453" s="6">
        <f>[1]Emissions!D870</f>
        <v>0</v>
      </c>
      <c r="F453" s="6">
        <f>[1]Emissions!E870</f>
        <v>0</v>
      </c>
      <c r="G453" s="6">
        <f>[1]Emissions!F870</f>
        <v>0</v>
      </c>
      <c r="H453" s="6">
        <f>[1]Emissions!G870</f>
        <v>0</v>
      </c>
      <c r="I453" s="6">
        <f>[1]Emissions!H870</f>
        <v>0</v>
      </c>
      <c r="J453" s="6">
        <f>[1]Emissions!I870</f>
        <v>0</v>
      </c>
      <c r="K453" s="6">
        <f>[1]Emissions!J870</f>
        <v>0</v>
      </c>
      <c r="L453" s="6">
        <f>[1]Emissions!K870</f>
        <v>0</v>
      </c>
      <c r="M453" s="6">
        <f>[1]Emissions!L870</f>
        <v>0</v>
      </c>
      <c r="N453" s="6">
        <f>[1]Emissions!M870</f>
        <v>0</v>
      </c>
      <c r="O453" s="6">
        <f>[1]Emissions!N870</f>
        <v>0</v>
      </c>
      <c r="P453" s="6">
        <f>[1]Emissions!O870</f>
        <v>0</v>
      </c>
      <c r="Q453" s="6">
        <f>[1]Emissions!P870</f>
        <v>0</v>
      </c>
      <c r="R453" s="6">
        <f>[1]Emissions!Q870</f>
        <v>0</v>
      </c>
      <c r="S453" s="6">
        <f>[1]Emissions!R870</f>
        <v>0</v>
      </c>
      <c r="T453" s="6">
        <f>[1]Emissions!S870</f>
        <v>0</v>
      </c>
      <c r="U453" s="6">
        <f>[1]Emissions!T870</f>
        <v>0</v>
      </c>
      <c r="V453" s="6">
        <f>[1]Emissions!U870</f>
        <v>0</v>
      </c>
      <c r="W453" s="6">
        <f>[1]Emissions!V870</f>
        <v>0</v>
      </c>
      <c r="X453" s="6">
        <f>[1]Emissions!W870</f>
        <v>0</v>
      </c>
      <c r="Y453" s="6">
        <f>[1]Emissions!X870</f>
        <v>0</v>
      </c>
      <c r="Z453" s="6">
        <f>[1]Emissions!Y870</f>
        <v>0</v>
      </c>
      <c r="AA453" s="6">
        <f>[1]Emissions!Z870</f>
        <v>0</v>
      </c>
      <c r="AB453" s="6">
        <f>[1]Emissions!AA870</f>
        <v>0</v>
      </c>
      <c r="AC453" s="6">
        <f>[1]Emissions!AB870</f>
        <v>0</v>
      </c>
      <c r="AD453" s="6">
        <f>[1]Emissions!AC870</f>
        <v>0</v>
      </c>
      <c r="AE453" s="6">
        <f>[1]Emissions!AD870</f>
        <v>0</v>
      </c>
      <c r="AF453" s="6">
        <f>[1]Emissions!AE870</f>
        <v>0</v>
      </c>
      <c r="AG453" s="6">
        <f>[1]Emissions!AF870</f>
        <v>0</v>
      </c>
      <c r="AH453" s="6">
        <f>[1]Emissions!AG870</f>
        <v>0</v>
      </c>
      <c r="AI453" s="6">
        <f>[1]Emissions!AH870</f>
        <v>0</v>
      </c>
      <c r="AJ453" s="6">
        <f>[1]Emissions!AI870</f>
        <v>0</v>
      </c>
      <c r="AK453" s="6">
        <f>[1]Emissions!AJ870</f>
        <v>0</v>
      </c>
      <c r="AL453" s="6">
        <f>[1]Emissions!AK870</f>
        <v>0</v>
      </c>
    </row>
    <row r="454" spans="2:38" x14ac:dyDescent="0.35">
      <c r="B454" s="6" t="str">
        <f>[1]Emissions!A871</f>
        <v>ems_mat_co2_sroa_2</v>
      </c>
      <c r="C454" s="6">
        <f>[1]Emissions!B871</f>
        <v>0</v>
      </c>
      <c r="D454" s="6">
        <f>[1]Emissions!C871</f>
        <v>0</v>
      </c>
      <c r="E454" s="6">
        <f>[1]Emissions!D871</f>
        <v>0</v>
      </c>
      <c r="F454" s="6">
        <f>[1]Emissions!E871</f>
        <v>0</v>
      </c>
      <c r="G454" s="6">
        <f>[1]Emissions!F871</f>
        <v>0</v>
      </c>
      <c r="H454" s="6">
        <f>[1]Emissions!G871</f>
        <v>0</v>
      </c>
      <c r="I454" s="6">
        <f>[1]Emissions!H871</f>
        <v>0</v>
      </c>
      <c r="J454" s="6">
        <f>[1]Emissions!I871</f>
        <v>0</v>
      </c>
      <c r="K454" s="6">
        <f>[1]Emissions!J871</f>
        <v>0</v>
      </c>
      <c r="L454" s="6">
        <f>[1]Emissions!K871</f>
        <v>0</v>
      </c>
      <c r="M454" s="6">
        <f>[1]Emissions!L871</f>
        <v>0</v>
      </c>
      <c r="N454" s="6">
        <f>[1]Emissions!M871</f>
        <v>0</v>
      </c>
      <c r="O454" s="6">
        <f>[1]Emissions!N871</f>
        <v>0</v>
      </c>
      <c r="P454" s="6">
        <f>[1]Emissions!O871</f>
        <v>0</v>
      </c>
      <c r="Q454" s="6">
        <f>[1]Emissions!P871</f>
        <v>0</v>
      </c>
      <c r="R454" s="6">
        <f>[1]Emissions!Q871</f>
        <v>0</v>
      </c>
      <c r="S454" s="6">
        <f>[1]Emissions!R871</f>
        <v>0</v>
      </c>
      <c r="T454" s="6">
        <f>[1]Emissions!S871</f>
        <v>0</v>
      </c>
      <c r="U454" s="6">
        <f>[1]Emissions!T871</f>
        <v>0</v>
      </c>
      <c r="V454" s="6">
        <f>[1]Emissions!U871</f>
        <v>0</v>
      </c>
      <c r="W454" s="6">
        <f>[1]Emissions!V871</f>
        <v>0</v>
      </c>
      <c r="X454" s="6">
        <f>[1]Emissions!W871</f>
        <v>0</v>
      </c>
      <c r="Y454" s="6">
        <f>[1]Emissions!X871</f>
        <v>0</v>
      </c>
      <c r="Z454" s="6">
        <f>[1]Emissions!Y871</f>
        <v>0</v>
      </c>
      <c r="AA454" s="6">
        <f>[1]Emissions!Z871</f>
        <v>0</v>
      </c>
      <c r="AB454" s="6">
        <f>[1]Emissions!AA871</f>
        <v>0</v>
      </c>
      <c r="AC454" s="6">
        <f>[1]Emissions!AB871</f>
        <v>0</v>
      </c>
      <c r="AD454" s="6">
        <f>[1]Emissions!AC871</f>
        <v>0</v>
      </c>
      <c r="AE454" s="6">
        <f>[1]Emissions!AD871</f>
        <v>0</v>
      </c>
      <c r="AF454" s="6">
        <f>[1]Emissions!AE871</f>
        <v>0</v>
      </c>
      <c r="AG454" s="6">
        <f>[1]Emissions!AF871</f>
        <v>0</v>
      </c>
      <c r="AH454" s="6">
        <f>[1]Emissions!AG871</f>
        <v>0</v>
      </c>
      <c r="AI454" s="6">
        <f>[1]Emissions!AH871</f>
        <v>0</v>
      </c>
      <c r="AJ454" s="6">
        <f>[1]Emissions!AI871</f>
        <v>0</v>
      </c>
      <c r="AK454" s="6">
        <f>[1]Emissions!AJ871</f>
        <v>0</v>
      </c>
      <c r="AL454" s="6">
        <f>[1]Emissions!AK871</f>
        <v>0</v>
      </c>
    </row>
    <row r="455" spans="2:38" x14ac:dyDescent="0.35">
      <c r="B455" s="6" t="str">
        <f>[1]Emissions!A872</f>
        <v>ems_ci_co2_swat_2</v>
      </c>
      <c r="C455" s="6">
        <f>[1]Emissions!B872</f>
        <v>3.7606019540000002</v>
      </c>
      <c r="D455" s="6">
        <f>[1]Emissions!C872</f>
        <v>3.8202090649999998</v>
      </c>
      <c r="E455" s="6">
        <f>[1]Emissions!D872</f>
        <v>3.8784297510000001</v>
      </c>
      <c r="F455" s="6">
        <f>[1]Emissions!E872</f>
        <v>3.929035308</v>
      </c>
      <c r="G455" s="6">
        <f>[1]Emissions!F872</f>
        <v>3.9877354060000001</v>
      </c>
      <c r="H455" s="6">
        <f>[1]Emissions!G872</f>
        <v>4.0550773449999999</v>
      </c>
      <c r="I455" s="6">
        <f>[1]Emissions!H872</f>
        <v>4.1284634320000002</v>
      </c>
      <c r="J455" s="6">
        <f>[1]Emissions!I872</f>
        <v>4.027281007</v>
      </c>
      <c r="K455" s="6">
        <f>[1]Emissions!J872</f>
        <v>3.9365683730000001</v>
      </c>
      <c r="L455" s="6">
        <f>[1]Emissions!K872</f>
        <v>3.9011496939999999</v>
      </c>
      <c r="M455" s="6">
        <f>[1]Emissions!L872</f>
        <v>3.8757036079999998</v>
      </c>
      <c r="N455" s="6">
        <f>[1]Emissions!M872</f>
        <v>3.850977962</v>
      </c>
      <c r="O455" s="6">
        <f>[1]Emissions!N872</f>
        <v>3.8095302150000001</v>
      </c>
      <c r="P455" s="6">
        <f>[1]Emissions!O872</f>
        <v>3.7437028529999998</v>
      </c>
      <c r="Q455" s="6">
        <f>[1]Emissions!P872</f>
        <v>3.6620131140000001</v>
      </c>
      <c r="R455" s="6">
        <f>[1]Emissions!Q872</f>
        <v>3.570145916</v>
      </c>
      <c r="S455" s="6">
        <f>[1]Emissions!R872</f>
        <v>3.4737532689999999</v>
      </c>
      <c r="T455" s="6">
        <f>[1]Emissions!S872</f>
        <v>3.3769103829999998</v>
      </c>
      <c r="U455" s="6">
        <f>[1]Emissions!T872</f>
        <v>3.281770056</v>
      </c>
      <c r="V455" s="6">
        <f>[1]Emissions!U872</f>
        <v>3.1880960690000002</v>
      </c>
      <c r="W455" s="6">
        <f>[1]Emissions!V872</f>
        <v>3.0952942320000001</v>
      </c>
      <c r="X455" s="6">
        <f>[1]Emissions!W872</f>
        <v>3.0030507480000002</v>
      </c>
      <c r="Y455" s="6">
        <f>[1]Emissions!X872</f>
        <v>2.9112201340000001</v>
      </c>
      <c r="Z455" s="6">
        <f>[1]Emissions!Y872</f>
        <v>2.8179701480000001</v>
      </c>
      <c r="AA455" s="6">
        <f>[1]Emissions!Z872</f>
        <v>2.7207043959999999</v>
      </c>
      <c r="AB455" s="6">
        <f>[1]Emissions!AA872</f>
        <v>2.617384071</v>
      </c>
      <c r="AC455" s="6">
        <f>[1]Emissions!AB872</f>
        <v>2.508392379</v>
      </c>
      <c r="AD455" s="6">
        <f>[1]Emissions!AC872</f>
        <v>2.3948692930000002</v>
      </c>
      <c r="AE455" s="6">
        <f>[1]Emissions!AD872</f>
        <v>2.2744505350000002</v>
      </c>
      <c r="AF455" s="6">
        <f>[1]Emissions!AE872</f>
        <v>2.1430904200000001</v>
      </c>
      <c r="AG455" s="6">
        <f>[1]Emissions!AF872</f>
        <v>1.9969955859999999</v>
      </c>
      <c r="AH455" s="6">
        <f>[1]Emissions!AG872</f>
        <v>1.8340373670000001</v>
      </c>
      <c r="AI455" s="6">
        <f>[1]Emissions!AH872</f>
        <v>1.652829836</v>
      </c>
      <c r="AJ455" s="6">
        <f>[1]Emissions!AI872</f>
        <v>1.451235236</v>
      </c>
      <c r="AK455" s="6">
        <f>[1]Emissions!AJ872</f>
        <v>1.2267585940000001</v>
      </c>
      <c r="AL455" s="6">
        <f>[1]Emissions!AK872</f>
        <v>0.9766292285</v>
      </c>
    </row>
    <row r="456" spans="2:38" x14ac:dyDescent="0.35">
      <c r="B456" s="6" t="str">
        <f>[1]Emissions!A873</f>
        <v>ems_y_co2_swat_2</v>
      </c>
      <c r="C456" s="6">
        <f>[1]Emissions!B873</f>
        <v>0</v>
      </c>
      <c r="D456" s="6">
        <f>[1]Emissions!C873</f>
        <v>0</v>
      </c>
      <c r="E456" s="6">
        <f>[1]Emissions!D873</f>
        <v>0</v>
      </c>
      <c r="F456" s="6">
        <f>[1]Emissions!E873</f>
        <v>0</v>
      </c>
      <c r="G456" s="6">
        <f>[1]Emissions!F873</f>
        <v>0</v>
      </c>
      <c r="H456" s="6">
        <f>[1]Emissions!G873</f>
        <v>0</v>
      </c>
      <c r="I456" s="6">
        <f>[1]Emissions!H873</f>
        <v>0</v>
      </c>
      <c r="J456" s="6">
        <f>[1]Emissions!I873</f>
        <v>0</v>
      </c>
      <c r="K456" s="6">
        <f>[1]Emissions!J873</f>
        <v>0</v>
      </c>
      <c r="L456" s="6">
        <f>[1]Emissions!K873</f>
        <v>0</v>
      </c>
      <c r="M456" s="6">
        <f>[1]Emissions!L873</f>
        <v>0</v>
      </c>
      <c r="N456" s="6">
        <f>[1]Emissions!M873</f>
        <v>0</v>
      </c>
      <c r="O456" s="6">
        <f>[1]Emissions!N873</f>
        <v>0</v>
      </c>
      <c r="P456" s="6">
        <f>[1]Emissions!O873</f>
        <v>0</v>
      </c>
      <c r="Q456" s="6">
        <f>[1]Emissions!P873</f>
        <v>0</v>
      </c>
      <c r="R456" s="6">
        <f>[1]Emissions!Q873</f>
        <v>0</v>
      </c>
      <c r="S456" s="6">
        <f>[1]Emissions!R873</f>
        <v>0</v>
      </c>
      <c r="T456" s="6">
        <f>[1]Emissions!S873</f>
        <v>0</v>
      </c>
      <c r="U456" s="6">
        <f>[1]Emissions!T873</f>
        <v>0</v>
      </c>
      <c r="V456" s="6">
        <f>[1]Emissions!U873</f>
        <v>0</v>
      </c>
      <c r="W456" s="6">
        <f>[1]Emissions!V873</f>
        <v>0</v>
      </c>
      <c r="X456" s="6">
        <f>[1]Emissions!W873</f>
        <v>0</v>
      </c>
      <c r="Y456" s="6">
        <f>[1]Emissions!X873</f>
        <v>0</v>
      </c>
      <c r="Z456" s="6">
        <f>[1]Emissions!Y873</f>
        <v>0</v>
      </c>
      <c r="AA456" s="6">
        <f>[1]Emissions!Z873</f>
        <v>0</v>
      </c>
      <c r="AB456" s="6">
        <f>[1]Emissions!AA873</f>
        <v>0</v>
      </c>
      <c r="AC456" s="6">
        <f>[1]Emissions!AB873</f>
        <v>0</v>
      </c>
      <c r="AD456" s="6">
        <f>[1]Emissions!AC873</f>
        <v>0</v>
      </c>
      <c r="AE456" s="6">
        <f>[1]Emissions!AD873</f>
        <v>0</v>
      </c>
      <c r="AF456" s="6">
        <f>[1]Emissions!AE873</f>
        <v>0</v>
      </c>
      <c r="AG456" s="6">
        <f>[1]Emissions!AF873</f>
        <v>0</v>
      </c>
      <c r="AH456" s="6">
        <f>[1]Emissions!AG873</f>
        <v>0</v>
      </c>
      <c r="AI456" s="6">
        <f>[1]Emissions!AH873</f>
        <v>0</v>
      </c>
      <c r="AJ456" s="6">
        <f>[1]Emissions!AI873</f>
        <v>0</v>
      </c>
      <c r="AK456" s="6">
        <f>[1]Emissions!AJ873</f>
        <v>0</v>
      </c>
      <c r="AL456" s="6">
        <f>[1]Emissions!AK873</f>
        <v>0</v>
      </c>
    </row>
    <row r="457" spans="2:38" x14ac:dyDescent="0.35">
      <c r="B457" s="6" t="str">
        <f>[1]Emissions!A874</f>
        <v>ems_mat_co2_swat_2</v>
      </c>
      <c r="C457" s="6">
        <f>[1]Emissions!B874</f>
        <v>0</v>
      </c>
      <c r="D457" s="6">
        <f>[1]Emissions!C874</f>
        <v>0</v>
      </c>
      <c r="E457" s="6">
        <f>[1]Emissions!D874</f>
        <v>0</v>
      </c>
      <c r="F457" s="6">
        <f>[1]Emissions!E874</f>
        <v>0</v>
      </c>
      <c r="G457" s="6">
        <f>[1]Emissions!F874</f>
        <v>0</v>
      </c>
      <c r="H457" s="6">
        <f>[1]Emissions!G874</f>
        <v>0</v>
      </c>
      <c r="I457" s="6">
        <f>[1]Emissions!H874</f>
        <v>0</v>
      </c>
      <c r="J457" s="6">
        <f>[1]Emissions!I874</f>
        <v>0</v>
      </c>
      <c r="K457" s="6">
        <f>[1]Emissions!J874</f>
        <v>0</v>
      </c>
      <c r="L457" s="6">
        <f>[1]Emissions!K874</f>
        <v>0</v>
      </c>
      <c r="M457" s="6">
        <f>[1]Emissions!L874</f>
        <v>0</v>
      </c>
      <c r="N457" s="6">
        <f>[1]Emissions!M874</f>
        <v>0</v>
      </c>
      <c r="O457" s="6">
        <f>[1]Emissions!N874</f>
        <v>0</v>
      </c>
      <c r="P457" s="6">
        <f>[1]Emissions!O874</f>
        <v>0</v>
      </c>
      <c r="Q457" s="6">
        <f>[1]Emissions!P874</f>
        <v>0</v>
      </c>
      <c r="R457" s="6">
        <f>[1]Emissions!Q874</f>
        <v>0</v>
      </c>
      <c r="S457" s="6">
        <f>[1]Emissions!R874</f>
        <v>0</v>
      </c>
      <c r="T457" s="6">
        <f>[1]Emissions!S874</f>
        <v>0</v>
      </c>
      <c r="U457" s="6">
        <f>[1]Emissions!T874</f>
        <v>0</v>
      </c>
      <c r="V457" s="6">
        <f>[1]Emissions!U874</f>
        <v>0</v>
      </c>
      <c r="W457" s="6">
        <f>[1]Emissions!V874</f>
        <v>0</v>
      </c>
      <c r="X457" s="6">
        <f>[1]Emissions!W874</f>
        <v>0</v>
      </c>
      <c r="Y457" s="6">
        <f>[1]Emissions!X874</f>
        <v>0</v>
      </c>
      <c r="Z457" s="6">
        <f>[1]Emissions!Y874</f>
        <v>0</v>
      </c>
      <c r="AA457" s="6">
        <f>[1]Emissions!Z874</f>
        <v>0</v>
      </c>
      <c r="AB457" s="6">
        <f>[1]Emissions!AA874</f>
        <v>0</v>
      </c>
      <c r="AC457" s="6">
        <f>[1]Emissions!AB874</f>
        <v>0</v>
      </c>
      <c r="AD457" s="6">
        <f>[1]Emissions!AC874</f>
        <v>0</v>
      </c>
      <c r="AE457" s="6">
        <f>[1]Emissions!AD874</f>
        <v>0</v>
      </c>
      <c r="AF457" s="6">
        <f>[1]Emissions!AE874</f>
        <v>0</v>
      </c>
      <c r="AG457" s="6">
        <f>[1]Emissions!AF874</f>
        <v>0</v>
      </c>
      <c r="AH457" s="6">
        <f>[1]Emissions!AG874</f>
        <v>0</v>
      </c>
      <c r="AI457" s="6">
        <f>[1]Emissions!AH874</f>
        <v>0</v>
      </c>
      <c r="AJ457" s="6">
        <f>[1]Emissions!AI874</f>
        <v>0</v>
      </c>
      <c r="AK457" s="6">
        <f>[1]Emissions!AJ874</f>
        <v>0</v>
      </c>
      <c r="AL457" s="6">
        <f>[1]Emissions!AK874</f>
        <v>0</v>
      </c>
    </row>
    <row r="458" spans="2:38" x14ac:dyDescent="0.35">
      <c r="B458" s="6" t="str">
        <f>[1]Emissions!A875</f>
        <v>ems_ci_co2_sair_2</v>
      </c>
      <c r="C458" s="6">
        <f>[1]Emissions!B875</f>
        <v>19.721460579999999</v>
      </c>
      <c r="D458" s="6">
        <f>[1]Emissions!C875</f>
        <v>19.881738299999999</v>
      </c>
      <c r="E458" s="6">
        <f>[1]Emissions!D875</f>
        <v>20.047571820000002</v>
      </c>
      <c r="F458" s="6">
        <f>[1]Emissions!E875</f>
        <v>20.18646017</v>
      </c>
      <c r="G458" s="6">
        <f>[1]Emissions!F875</f>
        <v>20.38485592</v>
      </c>
      <c r="H458" s="6">
        <f>[1]Emissions!G875</f>
        <v>20.649143389999999</v>
      </c>
      <c r="I458" s="6">
        <f>[1]Emissions!H875</f>
        <v>20.963280340000001</v>
      </c>
      <c r="J458" s="6">
        <f>[1]Emissions!I875</f>
        <v>20.335913560000002</v>
      </c>
      <c r="K458" s="6">
        <f>[1]Emissions!J875</f>
        <v>19.651786049999998</v>
      </c>
      <c r="L458" s="6">
        <f>[1]Emissions!K875</f>
        <v>19.111740569999998</v>
      </c>
      <c r="M458" s="6">
        <f>[1]Emissions!L875</f>
        <v>18.615363890000001</v>
      </c>
      <c r="N458" s="6">
        <f>[1]Emissions!M875</f>
        <v>18.18284641</v>
      </c>
      <c r="O458" s="6">
        <f>[1]Emissions!N875</f>
        <v>17.774912199999999</v>
      </c>
      <c r="P458" s="6">
        <f>[1]Emissions!O875</f>
        <v>17.353642789999999</v>
      </c>
      <c r="Q458" s="6">
        <f>[1]Emissions!P875</f>
        <v>16.923478849999999</v>
      </c>
      <c r="R458" s="6">
        <f>[1]Emissions!Q875</f>
        <v>16.48543716</v>
      </c>
      <c r="S458" s="6">
        <f>[1]Emissions!R875</f>
        <v>16.021107829999998</v>
      </c>
      <c r="T458" s="6">
        <f>[1]Emissions!S875</f>
        <v>15.543321580000001</v>
      </c>
      <c r="U458" s="6">
        <f>[1]Emissions!T875</f>
        <v>15.06079984</v>
      </c>
      <c r="V458" s="6">
        <f>[1]Emissions!U875</f>
        <v>14.5771099</v>
      </c>
      <c r="W458" s="6">
        <f>[1]Emissions!V875</f>
        <v>14.09385165</v>
      </c>
      <c r="X458" s="6">
        <f>[1]Emissions!W875</f>
        <v>13.611430609999999</v>
      </c>
      <c r="Y458" s="6">
        <f>[1]Emissions!X875</f>
        <v>13.129790789999999</v>
      </c>
      <c r="Z458" s="6">
        <f>[1]Emissions!Y875</f>
        <v>12.644526859999999</v>
      </c>
      <c r="AA458" s="6">
        <f>[1]Emissions!Z875</f>
        <v>12.148264620000001</v>
      </c>
      <c r="AB458" s="6">
        <f>[1]Emissions!AA875</f>
        <v>11.63410577</v>
      </c>
      <c r="AC458" s="6">
        <f>[1]Emissions!AB875</f>
        <v>11.100201719999999</v>
      </c>
      <c r="AD458" s="6">
        <f>[1]Emissions!AC875</f>
        <v>10.544507250000001</v>
      </c>
      <c r="AE458" s="6">
        <f>[1]Emissions!AD875</f>
        <v>9.9592023919999999</v>
      </c>
      <c r="AF458" s="6">
        <f>[1]Emissions!AE875</f>
        <v>9.3317020409999998</v>
      </c>
      <c r="AG458" s="6">
        <f>[1]Emissions!AF875</f>
        <v>8.6485480359999993</v>
      </c>
      <c r="AH458" s="6">
        <f>[1]Emissions!AG875</f>
        <v>7.8987129559999998</v>
      </c>
      <c r="AI458" s="6">
        <f>[1]Emissions!AH875</f>
        <v>7.0722405540000004</v>
      </c>
      <c r="AJ458" s="6">
        <f>[1]Emissions!AI875</f>
        <v>6.1572468589999998</v>
      </c>
      <c r="AK458" s="6">
        <f>[1]Emissions!AJ875</f>
        <v>5.1398433790000002</v>
      </c>
      <c r="AL458" s="6">
        <f>[1]Emissions!AK875</f>
        <v>4.0034729450000004</v>
      </c>
    </row>
    <row r="459" spans="2:38" x14ac:dyDescent="0.35">
      <c r="B459" s="6" t="str">
        <f>[1]Emissions!A876</f>
        <v>ems_y_co2_sair_2</v>
      </c>
      <c r="C459" s="6">
        <f>[1]Emissions!B876</f>
        <v>0</v>
      </c>
      <c r="D459" s="6">
        <f>[1]Emissions!C876</f>
        <v>0</v>
      </c>
      <c r="E459" s="6">
        <f>[1]Emissions!D876</f>
        <v>0</v>
      </c>
      <c r="F459" s="6">
        <f>[1]Emissions!E876</f>
        <v>0</v>
      </c>
      <c r="G459" s="6">
        <f>[1]Emissions!F876</f>
        <v>0</v>
      </c>
      <c r="H459" s="6">
        <f>[1]Emissions!G876</f>
        <v>0</v>
      </c>
      <c r="I459" s="6">
        <f>[1]Emissions!H876</f>
        <v>0</v>
      </c>
      <c r="J459" s="6">
        <f>[1]Emissions!I876</f>
        <v>0</v>
      </c>
      <c r="K459" s="6">
        <f>[1]Emissions!J876</f>
        <v>0</v>
      </c>
      <c r="L459" s="6">
        <f>[1]Emissions!K876</f>
        <v>0</v>
      </c>
      <c r="M459" s="6">
        <f>[1]Emissions!L876</f>
        <v>0</v>
      </c>
      <c r="N459" s="6">
        <f>[1]Emissions!M876</f>
        <v>0</v>
      </c>
      <c r="O459" s="6">
        <f>[1]Emissions!N876</f>
        <v>0</v>
      </c>
      <c r="P459" s="6">
        <f>[1]Emissions!O876</f>
        <v>0</v>
      </c>
      <c r="Q459" s="6">
        <f>[1]Emissions!P876</f>
        <v>0</v>
      </c>
      <c r="R459" s="6">
        <f>[1]Emissions!Q876</f>
        <v>0</v>
      </c>
      <c r="S459" s="6">
        <f>[1]Emissions!R876</f>
        <v>0</v>
      </c>
      <c r="T459" s="6">
        <f>[1]Emissions!S876</f>
        <v>0</v>
      </c>
      <c r="U459" s="6">
        <f>[1]Emissions!T876</f>
        <v>0</v>
      </c>
      <c r="V459" s="6">
        <f>[1]Emissions!U876</f>
        <v>0</v>
      </c>
      <c r="W459" s="6">
        <f>[1]Emissions!V876</f>
        <v>0</v>
      </c>
      <c r="X459" s="6">
        <f>[1]Emissions!W876</f>
        <v>0</v>
      </c>
      <c r="Y459" s="6">
        <f>[1]Emissions!X876</f>
        <v>0</v>
      </c>
      <c r="Z459" s="6">
        <f>[1]Emissions!Y876</f>
        <v>0</v>
      </c>
      <c r="AA459" s="6">
        <f>[1]Emissions!Z876</f>
        <v>0</v>
      </c>
      <c r="AB459" s="6">
        <f>[1]Emissions!AA876</f>
        <v>0</v>
      </c>
      <c r="AC459" s="6">
        <f>[1]Emissions!AB876</f>
        <v>0</v>
      </c>
      <c r="AD459" s="6">
        <f>[1]Emissions!AC876</f>
        <v>0</v>
      </c>
      <c r="AE459" s="6">
        <f>[1]Emissions!AD876</f>
        <v>0</v>
      </c>
      <c r="AF459" s="6">
        <f>[1]Emissions!AE876</f>
        <v>0</v>
      </c>
      <c r="AG459" s="6">
        <f>[1]Emissions!AF876</f>
        <v>0</v>
      </c>
      <c r="AH459" s="6">
        <f>[1]Emissions!AG876</f>
        <v>0</v>
      </c>
      <c r="AI459" s="6">
        <f>[1]Emissions!AH876</f>
        <v>0</v>
      </c>
      <c r="AJ459" s="6">
        <f>[1]Emissions!AI876</f>
        <v>0</v>
      </c>
      <c r="AK459" s="6">
        <f>[1]Emissions!AJ876</f>
        <v>0</v>
      </c>
      <c r="AL459" s="6">
        <f>[1]Emissions!AK876</f>
        <v>0</v>
      </c>
    </row>
    <row r="460" spans="2:38" x14ac:dyDescent="0.35">
      <c r="B460" s="6" t="str">
        <f>[1]Emissions!A877</f>
        <v>ems_mat_co2_sair_2</v>
      </c>
      <c r="C460" s="6">
        <f>[1]Emissions!B877</f>
        <v>0</v>
      </c>
      <c r="D460" s="6">
        <f>[1]Emissions!C877</f>
        <v>0</v>
      </c>
      <c r="E460" s="6">
        <f>[1]Emissions!D877</f>
        <v>0</v>
      </c>
      <c r="F460" s="6">
        <f>[1]Emissions!E877</f>
        <v>0</v>
      </c>
      <c r="G460" s="6">
        <f>[1]Emissions!F877</f>
        <v>0</v>
      </c>
      <c r="H460" s="6">
        <f>[1]Emissions!G877</f>
        <v>0</v>
      </c>
      <c r="I460" s="6">
        <f>[1]Emissions!H877</f>
        <v>0</v>
      </c>
      <c r="J460" s="6">
        <f>[1]Emissions!I877</f>
        <v>0</v>
      </c>
      <c r="K460" s="6">
        <f>[1]Emissions!J877</f>
        <v>0</v>
      </c>
      <c r="L460" s="6">
        <f>[1]Emissions!K877</f>
        <v>0</v>
      </c>
      <c r="M460" s="6">
        <f>[1]Emissions!L877</f>
        <v>0</v>
      </c>
      <c r="N460" s="6">
        <f>[1]Emissions!M877</f>
        <v>0</v>
      </c>
      <c r="O460" s="6">
        <f>[1]Emissions!N877</f>
        <v>0</v>
      </c>
      <c r="P460" s="6">
        <f>[1]Emissions!O877</f>
        <v>0</v>
      </c>
      <c r="Q460" s="6">
        <f>[1]Emissions!P877</f>
        <v>0</v>
      </c>
      <c r="R460" s="6">
        <f>[1]Emissions!Q877</f>
        <v>0</v>
      </c>
      <c r="S460" s="6">
        <f>[1]Emissions!R877</f>
        <v>0</v>
      </c>
      <c r="T460" s="6">
        <f>[1]Emissions!S877</f>
        <v>0</v>
      </c>
      <c r="U460" s="6">
        <f>[1]Emissions!T877</f>
        <v>0</v>
      </c>
      <c r="V460" s="6">
        <f>[1]Emissions!U877</f>
        <v>0</v>
      </c>
      <c r="W460" s="6">
        <f>[1]Emissions!V877</f>
        <v>0</v>
      </c>
      <c r="X460" s="6">
        <f>[1]Emissions!W877</f>
        <v>0</v>
      </c>
      <c r="Y460" s="6">
        <f>[1]Emissions!X877</f>
        <v>0</v>
      </c>
      <c r="Z460" s="6">
        <f>[1]Emissions!Y877</f>
        <v>0</v>
      </c>
      <c r="AA460" s="6">
        <f>[1]Emissions!Z877</f>
        <v>0</v>
      </c>
      <c r="AB460" s="6">
        <f>[1]Emissions!AA877</f>
        <v>0</v>
      </c>
      <c r="AC460" s="6">
        <f>[1]Emissions!AB877</f>
        <v>0</v>
      </c>
      <c r="AD460" s="6">
        <f>[1]Emissions!AC877</f>
        <v>0</v>
      </c>
      <c r="AE460" s="6">
        <f>[1]Emissions!AD877</f>
        <v>0</v>
      </c>
      <c r="AF460" s="6">
        <f>[1]Emissions!AE877</f>
        <v>0</v>
      </c>
      <c r="AG460" s="6">
        <f>[1]Emissions!AF877</f>
        <v>0</v>
      </c>
      <c r="AH460" s="6">
        <f>[1]Emissions!AG877</f>
        <v>0</v>
      </c>
      <c r="AI460" s="6">
        <f>[1]Emissions!AH877</f>
        <v>0</v>
      </c>
      <c r="AJ460" s="6">
        <f>[1]Emissions!AI877</f>
        <v>0</v>
      </c>
      <c r="AK460" s="6">
        <f>[1]Emissions!AJ877</f>
        <v>0</v>
      </c>
      <c r="AL460" s="6">
        <f>[1]Emissions!AK877</f>
        <v>0</v>
      </c>
    </row>
    <row r="461" spans="2:38" x14ac:dyDescent="0.35">
      <c r="B461" s="6" t="str">
        <f>[1]Emissions!A878</f>
        <v>ems_ci_co2_spri_2</v>
      </c>
      <c r="C461" s="6">
        <f>[1]Emissions!B878</f>
        <v>30.743293649999998</v>
      </c>
      <c r="D461" s="6">
        <f>[1]Emissions!C878</f>
        <v>30.47361321</v>
      </c>
      <c r="E461" s="6">
        <f>[1]Emissions!D878</f>
        <v>30.192816019999999</v>
      </c>
      <c r="F461" s="6">
        <f>[1]Emissions!E878</f>
        <v>29.90769654</v>
      </c>
      <c r="G461" s="6">
        <f>[1]Emissions!F878</f>
        <v>29.82737084</v>
      </c>
      <c r="H461" s="6">
        <f>[1]Emissions!G878</f>
        <v>29.918764060000001</v>
      </c>
      <c r="I461" s="6">
        <f>[1]Emissions!H878</f>
        <v>30.13979745</v>
      </c>
      <c r="J461" s="6">
        <f>[1]Emissions!I878</f>
        <v>29.191077199999999</v>
      </c>
      <c r="K461" s="6">
        <f>[1]Emissions!J878</f>
        <v>28.024300910000001</v>
      </c>
      <c r="L461" s="6">
        <f>[1]Emissions!K878</f>
        <v>26.872706869999998</v>
      </c>
      <c r="M461" s="6">
        <f>[1]Emissions!L878</f>
        <v>25.735924690000001</v>
      </c>
      <c r="N461" s="6">
        <f>[1]Emissions!M878</f>
        <v>24.776080220000001</v>
      </c>
      <c r="O461" s="6">
        <f>[1]Emissions!N878</f>
        <v>23.947831959999998</v>
      </c>
      <c r="P461" s="6">
        <f>[1]Emissions!O878</f>
        <v>23.20560502</v>
      </c>
      <c r="Q461" s="6">
        <f>[1]Emissions!P878</f>
        <v>22.53772708</v>
      </c>
      <c r="R461" s="6">
        <f>[1]Emissions!Q878</f>
        <v>21.936992889999999</v>
      </c>
      <c r="S461" s="6">
        <f>[1]Emissions!R878</f>
        <v>21.331023389999999</v>
      </c>
      <c r="T461" s="6">
        <f>[1]Emissions!S878</f>
        <v>20.744028440000001</v>
      </c>
      <c r="U461" s="6">
        <f>[1]Emissions!T878</f>
        <v>20.192269060000001</v>
      </c>
      <c r="V461" s="6">
        <f>[1]Emissions!U878</f>
        <v>19.684207130000001</v>
      </c>
      <c r="W461" s="6">
        <f>[1]Emissions!V878</f>
        <v>19.224286419999999</v>
      </c>
      <c r="X461" s="6">
        <f>[1]Emissions!W878</f>
        <v>18.814746450000001</v>
      </c>
      <c r="Y461" s="6">
        <f>[1]Emissions!X878</f>
        <v>18.456657209999999</v>
      </c>
      <c r="Z461" s="6">
        <f>[1]Emissions!Y878</f>
        <v>18.14766066</v>
      </c>
      <c r="AA461" s="6">
        <f>[1]Emissions!Z878</f>
        <v>17.883750110000001</v>
      </c>
      <c r="AB461" s="6">
        <f>[1]Emissions!AA878</f>
        <v>17.66045433</v>
      </c>
      <c r="AC461" s="6">
        <f>[1]Emissions!AB878</f>
        <v>17.47731967</v>
      </c>
      <c r="AD461" s="6">
        <f>[1]Emissions!AC878</f>
        <v>17.33360952</v>
      </c>
      <c r="AE461" s="6">
        <f>[1]Emissions!AD878</f>
        <v>17.222017690000001</v>
      </c>
      <c r="AF461" s="6">
        <f>[1]Emissions!AE878</f>
        <v>17.130218450000001</v>
      </c>
      <c r="AG461" s="6">
        <f>[1]Emissions!AF878</f>
        <v>17.044829849999999</v>
      </c>
      <c r="AH461" s="6">
        <f>[1]Emissions!AG878</f>
        <v>16.95536354</v>
      </c>
      <c r="AI461" s="6">
        <f>[1]Emissions!AH878</f>
        <v>16.853518099999999</v>
      </c>
      <c r="AJ461" s="6">
        <f>[1]Emissions!AI878</f>
        <v>16.730084269999999</v>
      </c>
      <c r="AK461" s="6">
        <f>[1]Emissions!AJ878</f>
        <v>16.576005540000001</v>
      </c>
      <c r="AL461" s="6">
        <f>[1]Emissions!AK878</f>
        <v>16.3821938</v>
      </c>
    </row>
    <row r="462" spans="2:38" x14ac:dyDescent="0.35">
      <c r="B462" s="6" t="str">
        <f>[1]Emissions!A879</f>
        <v>ems_y_co2_spri_2</v>
      </c>
      <c r="C462" s="6">
        <f>[1]Emissions!B879</f>
        <v>0.40336426619999999</v>
      </c>
      <c r="D462" s="6">
        <f>[1]Emissions!C879</f>
        <v>0.40592170109999998</v>
      </c>
      <c r="E462" s="6">
        <f>[1]Emissions!D879</f>
        <v>0.4102161601</v>
      </c>
      <c r="F462" s="6">
        <f>[1]Emissions!E879</f>
        <v>0.41618761970000001</v>
      </c>
      <c r="G462" s="6">
        <f>[1]Emissions!F879</f>
        <v>0.42286489890000001</v>
      </c>
      <c r="H462" s="6">
        <f>[1]Emissions!G879</f>
        <v>0.42995045640000001</v>
      </c>
      <c r="I462" s="6">
        <f>[1]Emissions!H879</f>
        <v>0.43727278409999998</v>
      </c>
      <c r="J462" s="6">
        <f>[1]Emissions!I879</f>
        <v>0.44360625479999999</v>
      </c>
      <c r="K462" s="6">
        <f>[1]Emissions!J879</f>
        <v>0.4498478185</v>
      </c>
      <c r="L462" s="6">
        <f>[1]Emissions!K879</f>
        <v>0.45794434210000001</v>
      </c>
      <c r="M462" s="6">
        <f>[1]Emissions!L879</f>
        <v>0.46656110890000002</v>
      </c>
      <c r="N462" s="6">
        <f>[1]Emissions!M879</f>
        <v>0.47540411059999998</v>
      </c>
      <c r="O462" s="6">
        <f>[1]Emissions!N879</f>
        <v>0.4844049943</v>
      </c>
      <c r="P462" s="6">
        <f>[1]Emissions!O879</f>
        <v>0.49326102570000002</v>
      </c>
      <c r="Q462" s="6">
        <f>[1]Emissions!P879</f>
        <v>0.50214437820000002</v>
      </c>
      <c r="R462" s="6">
        <f>[1]Emissions!Q879</f>
        <v>0.51115429980000004</v>
      </c>
      <c r="S462" s="6">
        <f>[1]Emissions!R879</f>
        <v>0.52031582340000004</v>
      </c>
      <c r="T462" s="6">
        <f>[1]Emissions!S879</f>
        <v>0.52973772050000001</v>
      </c>
      <c r="U462" s="6">
        <f>[1]Emissions!T879</f>
        <v>0.53951366730000005</v>
      </c>
      <c r="V462" s="6">
        <f>[1]Emissions!U879</f>
        <v>0.54971553070000001</v>
      </c>
      <c r="W462" s="6">
        <f>[1]Emissions!V879</f>
        <v>0.56041922249999998</v>
      </c>
      <c r="X462" s="6">
        <f>[1]Emissions!W879</f>
        <v>0.57168180889999998</v>
      </c>
      <c r="Y462" s="6">
        <f>[1]Emissions!X879</f>
        <v>0.58358746309999998</v>
      </c>
      <c r="Z462" s="6">
        <f>[1]Emissions!Y879</f>
        <v>0.59619762369999996</v>
      </c>
      <c r="AA462" s="6">
        <f>[1]Emissions!Z879</f>
        <v>0.60952349110000004</v>
      </c>
      <c r="AB462" s="6">
        <f>[1]Emissions!AA879</f>
        <v>0.62358125129999997</v>
      </c>
      <c r="AC462" s="6">
        <f>[1]Emissions!AB879</f>
        <v>0.63840222150000003</v>
      </c>
      <c r="AD462" s="6">
        <f>[1]Emissions!AC879</f>
        <v>0.65403684309999999</v>
      </c>
      <c r="AE462" s="6">
        <f>[1]Emissions!AD879</f>
        <v>0.67052761319999998</v>
      </c>
      <c r="AF462" s="6">
        <f>[1]Emissions!AE879</f>
        <v>0.68781503519999998</v>
      </c>
      <c r="AG462" s="6">
        <f>[1]Emissions!AF879</f>
        <v>0.7057781514</v>
      </c>
      <c r="AH462" s="6">
        <f>[1]Emissions!AG879</f>
        <v>0.72430096610000005</v>
      </c>
      <c r="AI462" s="6">
        <f>[1]Emissions!AH879</f>
        <v>0.74329451449999995</v>
      </c>
      <c r="AJ462" s="6">
        <f>[1]Emissions!AI879</f>
        <v>0.76268838019999996</v>
      </c>
      <c r="AK462" s="6">
        <f>[1]Emissions!AJ879</f>
        <v>0.78241759600000005</v>
      </c>
      <c r="AL462" s="6">
        <f>[1]Emissions!AK879</f>
        <v>0.80241316429999998</v>
      </c>
    </row>
    <row r="463" spans="2:38" x14ac:dyDescent="0.35">
      <c r="B463" s="6" t="str">
        <f>[1]Emissions!A880</f>
        <v>ems_mat_co2_spri_2</v>
      </c>
      <c r="C463" s="6">
        <f>[1]Emissions!B880</f>
        <v>0.59151289789999995</v>
      </c>
      <c r="D463" s="6">
        <f>[1]Emissions!C880</f>
        <v>0.5955298618</v>
      </c>
      <c r="E463" s="6">
        <f>[1]Emissions!D880</f>
        <v>0.60158177540000002</v>
      </c>
      <c r="F463" s="6">
        <f>[1]Emissions!E880</f>
        <v>0.61012637240000001</v>
      </c>
      <c r="G463" s="6">
        <f>[1]Emissions!F880</f>
        <v>0.6198829428</v>
      </c>
      <c r="H463" s="6">
        <f>[1]Emissions!G880</f>
        <v>0.63029927750000003</v>
      </c>
      <c r="I463" s="6">
        <f>[1]Emissions!H880</f>
        <v>0.64108275299999995</v>
      </c>
      <c r="J463" s="6">
        <f>[1]Emissions!I880</f>
        <v>0.6505506244</v>
      </c>
      <c r="K463" s="6">
        <f>[1]Emissions!J880</f>
        <v>0.65973894499999997</v>
      </c>
      <c r="L463" s="6">
        <f>[1]Emissions!K880</f>
        <v>0.67139736189999999</v>
      </c>
      <c r="M463" s="6">
        <f>[1]Emissions!L880</f>
        <v>0.68401716359999998</v>
      </c>
      <c r="N463" s="6">
        <f>[1]Emissions!M880</f>
        <v>0.69702590600000003</v>
      </c>
      <c r="O463" s="6">
        <f>[1]Emissions!N880</f>
        <v>0.71026915030000004</v>
      </c>
      <c r="P463" s="6">
        <f>[1]Emissions!O880</f>
        <v>0.72332488610000001</v>
      </c>
      <c r="Q463" s="6">
        <f>[1]Emissions!P880</f>
        <v>0.73638390779999996</v>
      </c>
      <c r="R463" s="6">
        <f>[1]Emissions!Q880</f>
        <v>0.74960545030000003</v>
      </c>
      <c r="S463" s="6">
        <f>[1]Emissions!R880</f>
        <v>0.76304245370000001</v>
      </c>
      <c r="T463" s="6">
        <f>[1]Emissions!S880</f>
        <v>0.77684782529999996</v>
      </c>
      <c r="U463" s="6">
        <f>[1]Emissions!T880</f>
        <v>0.79116409170000002</v>
      </c>
      <c r="V463" s="6">
        <f>[1]Emissions!U880</f>
        <v>0.80610216400000001</v>
      </c>
      <c r="W463" s="6">
        <f>[1]Emissions!V880</f>
        <v>0.82177436979999996</v>
      </c>
      <c r="X463" s="6">
        <f>[1]Emissions!W880</f>
        <v>0.83826748470000001</v>
      </c>
      <c r="Y463" s="6">
        <f>[1]Emissions!X880</f>
        <v>0.85570194749999995</v>
      </c>
      <c r="Z463" s="6">
        <f>[1]Emissions!Y880</f>
        <v>0.87417111780000001</v>
      </c>
      <c r="AA463" s="6">
        <f>[1]Emissions!Z880</f>
        <v>0.89369751750000004</v>
      </c>
      <c r="AB463" s="6">
        <f>[1]Emissions!AA880</f>
        <v>0.91430293640000004</v>
      </c>
      <c r="AC463" s="6">
        <f>[1]Emissions!AB880</f>
        <v>0.93603001519999995</v>
      </c>
      <c r="AD463" s="6">
        <f>[1]Emissions!AC880</f>
        <v>0.95894977619999999</v>
      </c>
      <c r="AE463" s="6">
        <f>[1]Emissions!AD880</f>
        <v>0.98312566010000002</v>
      </c>
      <c r="AF463" s="6">
        <f>[1]Emissions!AE880</f>
        <v>1.0084826119999999</v>
      </c>
      <c r="AG463" s="6">
        <f>[1]Emissions!AF880</f>
        <v>1.034847928</v>
      </c>
      <c r="AH463" s="6">
        <f>[1]Emissions!AG880</f>
        <v>1.0620461590000001</v>
      </c>
      <c r="AI463" s="6">
        <f>[1]Emissions!AH880</f>
        <v>1.0899394120000001</v>
      </c>
      <c r="AJ463" s="6">
        <f>[1]Emissions!AI880</f>
        <v>1.1184198439999999</v>
      </c>
      <c r="AK463" s="6">
        <f>[1]Emissions!AJ880</f>
        <v>1.1473906519999999</v>
      </c>
      <c r="AL463" s="6">
        <f>[1]Emissions!AK880</f>
        <v>1.1767509169999999</v>
      </c>
    </row>
    <row r="464" spans="2:38" x14ac:dyDescent="0.35">
      <c r="B464" s="6" t="str">
        <f>[1]Emissions!A881</f>
        <v>ems_ci_co2_spub_2</v>
      </c>
      <c r="C464" s="6">
        <f>[1]Emissions!B881</f>
        <v>14.96650101</v>
      </c>
      <c r="D464" s="6">
        <f>[1]Emissions!C881</f>
        <v>14.88687522</v>
      </c>
      <c r="E464" s="6">
        <f>[1]Emissions!D881</f>
        <v>14.78920492</v>
      </c>
      <c r="F464" s="6">
        <f>[1]Emissions!E881</f>
        <v>14.6527899</v>
      </c>
      <c r="G464" s="6">
        <f>[1]Emissions!F881</f>
        <v>14.613783939999999</v>
      </c>
      <c r="H464" s="6">
        <f>[1]Emissions!G881</f>
        <v>14.651320309999999</v>
      </c>
      <c r="I464" s="6">
        <f>[1]Emissions!H881</f>
        <v>14.74247534</v>
      </c>
      <c r="J464" s="6">
        <f>[1]Emissions!I881</f>
        <v>14.04263868</v>
      </c>
      <c r="K464" s="6">
        <f>[1]Emissions!J881</f>
        <v>13.28390061</v>
      </c>
      <c r="L464" s="6">
        <f>[1]Emissions!K881</f>
        <v>12.53885891</v>
      </c>
      <c r="M464" s="6">
        <f>[1]Emissions!L881</f>
        <v>11.830419300000001</v>
      </c>
      <c r="N464" s="6">
        <f>[1]Emissions!M881</f>
        <v>11.236441170000001</v>
      </c>
      <c r="O464" s="6">
        <f>[1]Emissions!N881</f>
        <v>10.72425885</v>
      </c>
      <c r="P464" s="6">
        <f>[1]Emissions!O881</f>
        <v>10.26873958</v>
      </c>
      <c r="Q464" s="6">
        <f>[1]Emissions!P881</f>
        <v>9.8548411950000006</v>
      </c>
      <c r="R464" s="6">
        <f>[1]Emissions!Q881</f>
        <v>9.4724344279999997</v>
      </c>
      <c r="S464" s="6">
        <f>[1]Emissions!R881</f>
        <v>9.0898926069999995</v>
      </c>
      <c r="T464" s="6">
        <f>[1]Emissions!S881</f>
        <v>8.7142954479999997</v>
      </c>
      <c r="U464" s="6">
        <f>[1]Emissions!T881</f>
        <v>8.3496772359999998</v>
      </c>
      <c r="V464" s="6">
        <f>[1]Emissions!U881</f>
        <v>7.9976163079999996</v>
      </c>
      <c r="W464" s="6">
        <f>[1]Emissions!V881</f>
        <v>7.6582033049999998</v>
      </c>
      <c r="X464" s="6">
        <f>[1]Emissions!W881</f>
        <v>7.3306955919999996</v>
      </c>
      <c r="Y464" s="6">
        <f>[1]Emissions!X881</f>
        <v>7.013684595</v>
      </c>
      <c r="Z464" s="6">
        <f>[1]Emissions!Y881</f>
        <v>6.7048876809999998</v>
      </c>
      <c r="AA464" s="6">
        <f>[1]Emissions!Z881</f>
        <v>6.4016816509999996</v>
      </c>
      <c r="AB464" s="6">
        <f>[1]Emissions!AA881</f>
        <v>6.101157852</v>
      </c>
      <c r="AC464" s="6">
        <f>[1]Emissions!AB881</f>
        <v>5.8009263300000002</v>
      </c>
      <c r="AD464" s="6">
        <f>[1]Emissions!AC881</f>
        <v>5.4981980899999998</v>
      </c>
      <c r="AE464" s="6">
        <f>[1]Emissions!AD881</f>
        <v>5.1887814700000003</v>
      </c>
      <c r="AF464" s="6">
        <f>[1]Emissions!AE881</f>
        <v>4.8677373719999997</v>
      </c>
      <c r="AG464" s="6">
        <f>[1]Emissions!AF881</f>
        <v>4.5299347990000003</v>
      </c>
      <c r="AH464" s="6">
        <f>[1]Emissions!AG881</f>
        <v>4.1703730170000002</v>
      </c>
      <c r="AI464" s="6">
        <f>[1]Emissions!AH881</f>
        <v>3.7838052850000001</v>
      </c>
      <c r="AJ464" s="6">
        <f>[1]Emissions!AI881</f>
        <v>3.3641688510000001</v>
      </c>
      <c r="AK464" s="6">
        <f>[1]Emissions!AJ881</f>
        <v>2.9045130029999999</v>
      </c>
      <c r="AL464" s="6">
        <f>[1]Emissions!AK881</f>
        <v>2.396608273</v>
      </c>
    </row>
    <row r="465" spans="2:38" x14ac:dyDescent="0.35">
      <c r="B465" s="6" t="str">
        <f>[1]Emissions!A882</f>
        <v>ems_y_co2_spub_2</v>
      </c>
      <c r="C465" s="6">
        <f>[1]Emissions!B882</f>
        <v>0</v>
      </c>
      <c r="D465" s="6">
        <f>[1]Emissions!C882</f>
        <v>0</v>
      </c>
      <c r="E465" s="6">
        <f>[1]Emissions!D882</f>
        <v>0</v>
      </c>
      <c r="F465" s="6">
        <f>[1]Emissions!E882</f>
        <v>0</v>
      </c>
      <c r="G465" s="6">
        <f>[1]Emissions!F882</f>
        <v>0</v>
      </c>
      <c r="H465" s="6">
        <f>[1]Emissions!G882</f>
        <v>0</v>
      </c>
      <c r="I465" s="6">
        <f>[1]Emissions!H882</f>
        <v>0</v>
      </c>
      <c r="J465" s="6">
        <f>[1]Emissions!I882</f>
        <v>0</v>
      </c>
      <c r="K465" s="6">
        <f>[1]Emissions!J882</f>
        <v>0</v>
      </c>
      <c r="L465" s="6">
        <f>[1]Emissions!K882</f>
        <v>0</v>
      </c>
      <c r="M465" s="6">
        <f>[1]Emissions!L882</f>
        <v>0</v>
      </c>
      <c r="N465" s="6">
        <f>[1]Emissions!M882</f>
        <v>0</v>
      </c>
      <c r="O465" s="6">
        <f>[1]Emissions!N882</f>
        <v>0</v>
      </c>
      <c r="P465" s="6">
        <f>[1]Emissions!O882</f>
        <v>0</v>
      </c>
      <c r="Q465" s="6">
        <f>[1]Emissions!P882</f>
        <v>0</v>
      </c>
      <c r="R465" s="6">
        <f>[1]Emissions!Q882</f>
        <v>0</v>
      </c>
      <c r="S465" s="6">
        <f>[1]Emissions!R882</f>
        <v>0</v>
      </c>
      <c r="T465" s="6">
        <f>[1]Emissions!S882</f>
        <v>0</v>
      </c>
      <c r="U465" s="6">
        <f>[1]Emissions!T882</f>
        <v>0</v>
      </c>
      <c r="V465" s="6">
        <f>[1]Emissions!U882</f>
        <v>0</v>
      </c>
      <c r="W465" s="6">
        <f>[1]Emissions!V882</f>
        <v>0</v>
      </c>
      <c r="X465" s="6">
        <f>[1]Emissions!W882</f>
        <v>0</v>
      </c>
      <c r="Y465" s="6">
        <f>[1]Emissions!X882</f>
        <v>0</v>
      </c>
      <c r="Z465" s="6">
        <f>[1]Emissions!Y882</f>
        <v>0</v>
      </c>
      <c r="AA465" s="6">
        <f>[1]Emissions!Z882</f>
        <v>0</v>
      </c>
      <c r="AB465" s="6">
        <f>[1]Emissions!AA882</f>
        <v>0</v>
      </c>
      <c r="AC465" s="6">
        <f>[1]Emissions!AB882</f>
        <v>0</v>
      </c>
      <c r="AD465" s="6">
        <f>[1]Emissions!AC882</f>
        <v>0</v>
      </c>
      <c r="AE465" s="6">
        <f>[1]Emissions!AD882</f>
        <v>0</v>
      </c>
      <c r="AF465" s="6">
        <f>[1]Emissions!AE882</f>
        <v>0</v>
      </c>
      <c r="AG465" s="6">
        <f>[1]Emissions!AF882</f>
        <v>0</v>
      </c>
      <c r="AH465" s="6">
        <f>[1]Emissions!AG882</f>
        <v>0</v>
      </c>
      <c r="AI465" s="6">
        <f>[1]Emissions!AH882</f>
        <v>0</v>
      </c>
      <c r="AJ465" s="6">
        <f>[1]Emissions!AI882</f>
        <v>0</v>
      </c>
      <c r="AK465" s="6">
        <f>[1]Emissions!AJ882</f>
        <v>0</v>
      </c>
      <c r="AL465" s="6">
        <f>[1]Emissions!AK882</f>
        <v>0</v>
      </c>
    </row>
    <row r="466" spans="2:38" x14ac:dyDescent="0.35">
      <c r="B466" s="6" t="str">
        <f>[1]Emissions!A883</f>
        <v>ems_mat_co2_spub_2</v>
      </c>
      <c r="C466" s="6">
        <f>[1]Emissions!B883</f>
        <v>9.7250820460000007</v>
      </c>
      <c r="D466" s="6">
        <f>[1]Emissions!C883</f>
        <v>9.8260946550000003</v>
      </c>
      <c r="E466" s="6">
        <f>[1]Emissions!D883</f>
        <v>9.9475888529999992</v>
      </c>
      <c r="F466" s="6">
        <f>[1]Emissions!E883</f>
        <v>10.08961133</v>
      </c>
      <c r="G466" s="6">
        <f>[1]Emissions!F883</f>
        <v>10.24219501</v>
      </c>
      <c r="H466" s="6">
        <f>[1]Emissions!G883</f>
        <v>10.40102778</v>
      </c>
      <c r="I466" s="6">
        <f>[1]Emissions!H883</f>
        <v>10.56443672</v>
      </c>
      <c r="J466" s="6">
        <f>[1]Emissions!I883</f>
        <v>10.727507510000001</v>
      </c>
      <c r="K466" s="6">
        <f>[1]Emissions!J883</f>
        <v>10.890838799999999</v>
      </c>
      <c r="L466" s="6">
        <f>[1]Emissions!K883</f>
        <v>11.06519992</v>
      </c>
      <c r="M466" s="6">
        <f>[1]Emissions!L883</f>
        <v>11.24628229</v>
      </c>
      <c r="N466" s="6">
        <f>[1]Emissions!M883</f>
        <v>11.43196676</v>
      </c>
      <c r="O466" s="6">
        <f>[1]Emissions!N883</f>
        <v>11.623054979999999</v>
      </c>
      <c r="P466" s="6">
        <f>[1]Emissions!O883</f>
        <v>11.817754770000001</v>
      </c>
      <c r="Q466" s="6">
        <f>[1]Emissions!P883</f>
        <v>12.01604043</v>
      </c>
      <c r="R466" s="6">
        <f>[1]Emissions!Q883</f>
        <v>12.21802022</v>
      </c>
      <c r="S466" s="6">
        <f>[1]Emissions!R883</f>
        <v>12.42427915</v>
      </c>
      <c r="T466" s="6">
        <f>[1]Emissions!S883</f>
        <v>12.63495736</v>
      </c>
      <c r="U466" s="6">
        <f>[1]Emissions!T883</f>
        <v>12.85067973</v>
      </c>
      <c r="V466" s="6">
        <f>[1]Emissions!U883</f>
        <v>13.07208449</v>
      </c>
      <c r="W466" s="6">
        <f>[1]Emissions!V883</f>
        <v>13.29981476</v>
      </c>
      <c r="X466" s="6">
        <f>[1]Emissions!W883</f>
        <v>13.53435816</v>
      </c>
      <c r="Y466" s="6">
        <f>[1]Emissions!X883</f>
        <v>13.77630873</v>
      </c>
      <c r="Z466" s="6">
        <f>[1]Emissions!Y883</f>
        <v>14.026171700000001</v>
      </c>
      <c r="AA466" s="6">
        <f>[1]Emissions!Z883</f>
        <v>14.284141079999999</v>
      </c>
      <c r="AB466" s="6">
        <f>[1]Emissions!AA883</f>
        <v>14.550356130000001</v>
      </c>
      <c r="AC466" s="6">
        <f>[1]Emissions!AB883</f>
        <v>14.824922219999999</v>
      </c>
      <c r="AD466" s="6">
        <f>[1]Emissions!AC883</f>
        <v>15.108148480000001</v>
      </c>
      <c r="AE466" s="6">
        <f>[1]Emissions!AD883</f>
        <v>15.40048532</v>
      </c>
      <c r="AF466" s="6">
        <f>[1]Emissions!AE883</f>
        <v>15.701928880000001</v>
      </c>
      <c r="AG466" s="6">
        <f>[1]Emissions!AF883</f>
        <v>16.012047800000001</v>
      </c>
      <c r="AH466" s="6">
        <f>[1]Emissions!AG883</f>
        <v>16.33026753</v>
      </c>
      <c r="AI466" s="6">
        <f>[1]Emissions!AH883</f>
        <v>16.656068779999998</v>
      </c>
      <c r="AJ466" s="6">
        <f>[1]Emissions!AI883</f>
        <v>16.989090650000001</v>
      </c>
      <c r="AK466" s="6">
        <f>[1]Emissions!AJ883</f>
        <v>17.329038799999999</v>
      </c>
      <c r="AL466" s="6">
        <f>[1]Emissions!AK883</f>
        <v>17.67557721</v>
      </c>
    </row>
    <row r="467" spans="2:38" x14ac:dyDescent="0.35">
      <c r="B467" s="6" t="str">
        <f>[1]Emissions!A884</f>
        <v>ems_ci_co2_smin_2</v>
      </c>
      <c r="C467" s="6">
        <f>[1]Emissions!B884</f>
        <v>1.7619968939999999</v>
      </c>
      <c r="D467" s="6">
        <f>[1]Emissions!C884</f>
        <v>1.9613436420000001</v>
      </c>
      <c r="E467" s="6">
        <f>[1]Emissions!D884</f>
        <v>2.151302067</v>
      </c>
      <c r="F467" s="6">
        <f>[1]Emissions!E884</f>
        <v>2.3049257619999999</v>
      </c>
      <c r="G467" s="6">
        <f>[1]Emissions!F884</f>
        <v>2.4295518230000002</v>
      </c>
      <c r="H467" s="6">
        <f>[1]Emissions!G884</f>
        <v>2.5350642680000002</v>
      </c>
      <c r="I467" s="6">
        <f>[1]Emissions!H884</f>
        <v>2.6282392020000001</v>
      </c>
      <c r="J467" s="6">
        <f>[1]Emissions!I884</f>
        <v>2.6360992360000002</v>
      </c>
      <c r="K467" s="6">
        <f>[1]Emissions!J884</f>
        <v>2.631443306</v>
      </c>
      <c r="L467" s="6">
        <f>[1]Emissions!K884</f>
        <v>2.6296120900000002</v>
      </c>
      <c r="M467" s="6">
        <f>[1]Emissions!L884</f>
        <v>2.6240907830000002</v>
      </c>
      <c r="N467" s="6">
        <f>[1]Emissions!M884</f>
        <v>2.6137372499999998</v>
      </c>
      <c r="O467" s="6">
        <f>[1]Emissions!N884</f>
        <v>2.5964937369999999</v>
      </c>
      <c r="P467" s="6">
        <f>[1]Emissions!O884</f>
        <v>2.571878984</v>
      </c>
      <c r="Q467" s="6">
        <f>[1]Emissions!P884</f>
        <v>2.5427435319999998</v>
      </c>
      <c r="R467" s="6">
        <f>[1]Emissions!Q884</f>
        <v>2.511288344</v>
      </c>
      <c r="S467" s="6">
        <f>[1]Emissions!R884</f>
        <v>2.4908448929999998</v>
      </c>
      <c r="T467" s="6">
        <f>[1]Emissions!S884</f>
        <v>2.47183799</v>
      </c>
      <c r="U467" s="6">
        <f>[1]Emissions!T884</f>
        <v>2.4537940549999999</v>
      </c>
      <c r="V467" s="6">
        <f>[1]Emissions!U884</f>
        <v>2.436729669</v>
      </c>
      <c r="W467" s="6">
        <f>[1]Emissions!V884</f>
        <v>2.4208022960000002</v>
      </c>
      <c r="X467" s="6">
        <f>[1]Emissions!W884</f>
        <v>2.4061790859999999</v>
      </c>
      <c r="Y467" s="6">
        <f>[1]Emissions!X884</f>
        <v>2.3931849569999999</v>
      </c>
      <c r="Z467" s="6">
        <f>[1]Emissions!Y884</f>
        <v>2.3817134759999998</v>
      </c>
      <c r="AA467" s="6">
        <f>[1]Emissions!Z884</f>
        <v>2.3712667440000001</v>
      </c>
      <c r="AB467" s="6">
        <f>[1]Emissions!AA884</f>
        <v>2.3614715980000001</v>
      </c>
      <c r="AC467" s="6">
        <f>[1]Emissions!AB884</f>
        <v>2.3498370259999999</v>
      </c>
      <c r="AD467" s="6">
        <f>[1]Emissions!AC884</f>
        <v>2.3390037490000002</v>
      </c>
      <c r="AE467" s="6">
        <f>[1]Emissions!AD884</f>
        <v>2.328847229</v>
      </c>
      <c r="AF467" s="6">
        <f>[1]Emissions!AE884</f>
        <v>2.3181876610000001</v>
      </c>
      <c r="AG467" s="6">
        <f>[1]Emissions!AF884</f>
        <v>2.305650317</v>
      </c>
      <c r="AH467" s="6">
        <f>[1]Emissions!AG884</f>
        <v>2.2903214840000001</v>
      </c>
      <c r="AI467" s="6">
        <f>[1]Emissions!AH884</f>
        <v>2.2716646410000001</v>
      </c>
      <c r="AJ467" s="6">
        <f>[1]Emissions!AI884</f>
        <v>2.2491198269999999</v>
      </c>
      <c r="AK467" s="6">
        <f>[1]Emissions!AJ884</f>
        <v>2.2221001440000001</v>
      </c>
      <c r="AL467" s="6">
        <f>[1]Emissions!AK884</f>
        <v>2.1899224340000001</v>
      </c>
    </row>
    <row r="468" spans="2:38" x14ac:dyDescent="0.35">
      <c r="B468" s="6" t="str">
        <f>[1]Emissions!A885</f>
        <v>ems_y_co2_smin_2</v>
      </c>
      <c r="C468" s="6">
        <f>[1]Emissions!B885</f>
        <v>0</v>
      </c>
      <c r="D468" s="6">
        <f>[1]Emissions!C885</f>
        <v>0</v>
      </c>
      <c r="E468" s="6">
        <f>[1]Emissions!D885</f>
        <v>0</v>
      </c>
      <c r="F468" s="6">
        <f>[1]Emissions!E885</f>
        <v>0</v>
      </c>
      <c r="G468" s="6">
        <f>[1]Emissions!F885</f>
        <v>0</v>
      </c>
      <c r="H468" s="6">
        <f>[1]Emissions!G885</f>
        <v>0</v>
      </c>
      <c r="I468" s="6">
        <f>[1]Emissions!H885</f>
        <v>0</v>
      </c>
      <c r="J468" s="6">
        <f>[1]Emissions!I885</f>
        <v>0</v>
      </c>
      <c r="K468" s="6">
        <f>[1]Emissions!J885</f>
        <v>0</v>
      </c>
      <c r="L468" s="6">
        <f>[1]Emissions!K885</f>
        <v>0</v>
      </c>
      <c r="M468" s="6">
        <f>[1]Emissions!L885</f>
        <v>0</v>
      </c>
      <c r="N468" s="6">
        <f>[1]Emissions!M885</f>
        <v>0</v>
      </c>
      <c r="O468" s="6">
        <f>[1]Emissions!N885</f>
        <v>0</v>
      </c>
      <c r="P468" s="6">
        <f>[1]Emissions!O885</f>
        <v>0</v>
      </c>
      <c r="Q468" s="6">
        <f>[1]Emissions!P885</f>
        <v>0</v>
      </c>
      <c r="R468" s="6">
        <f>[1]Emissions!Q885</f>
        <v>0</v>
      </c>
      <c r="S468" s="6">
        <f>[1]Emissions!R885</f>
        <v>0</v>
      </c>
      <c r="T468" s="6">
        <f>[1]Emissions!S885</f>
        <v>0</v>
      </c>
      <c r="U468" s="6">
        <f>[1]Emissions!T885</f>
        <v>0</v>
      </c>
      <c r="V468" s="6">
        <f>[1]Emissions!U885</f>
        <v>0</v>
      </c>
      <c r="W468" s="6">
        <f>[1]Emissions!V885</f>
        <v>0</v>
      </c>
      <c r="X468" s="6">
        <f>[1]Emissions!W885</f>
        <v>0</v>
      </c>
      <c r="Y468" s="6">
        <f>[1]Emissions!X885</f>
        <v>0</v>
      </c>
      <c r="Z468" s="6">
        <f>[1]Emissions!Y885</f>
        <v>0</v>
      </c>
      <c r="AA468" s="6">
        <f>[1]Emissions!Z885</f>
        <v>0</v>
      </c>
      <c r="AB468" s="6">
        <f>[1]Emissions!AA885</f>
        <v>0</v>
      </c>
      <c r="AC468" s="6">
        <f>[1]Emissions!AB885</f>
        <v>0</v>
      </c>
      <c r="AD468" s="6">
        <f>[1]Emissions!AC885</f>
        <v>0</v>
      </c>
      <c r="AE468" s="6">
        <f>[1]Emissions!AD885</f>
        <v>0</v>
      </c>
      <c r="AF468" s="6">
        <f>[1]Emissions!AE885</f>
        <v>0</v>
      </c>
      <c r="AG468" s="6">
        <f>[1]Emissions!AF885</f>
        <v>0</v>
      </c>
      <c r="AH468" s="6">
        <f>[1]Emissions!AG885</f>
        <v>0</v>
      </c>
      <c r="AI468" s="6">
        <f>[1]Emissions!AH885</f>
        <v>0</v>
      </c>
      <c r="AJ468" s="6">
        <f>[1]Emissions!AI885</f>
        <v>0</v>
      </c>
      <c r="AK468" s="6">
        <f>[1]Emissions!AJ885</f>
        <v>0</v>
      </c>
      <c r="AL468" s="6">
        <f>[1]Emissions!AK885</f>
        <v>0</v>
      </c>
    </row>
    <row r="469" spans="2:38" x14ac:dyDescent="0.35">
      <c r="B469" s="6" t="str">
        <f>[1]Emissions!A886</f>
        <v>ems_mat_co2_smin_2</v>
      </c>
      <c r="C469" s="6">
        <f>[1]Emissions!B886</f>
        <v>9.7029069400000001E-2</v>
      </c>
      <c r="D469" s="6">
        <f>[1]Emissions!C886</f>
        <v>0.1080709177</v>
      </c>
      <c r="E469" s="6">
        <f>[1]Emissions!D886</f>
        <v>0.1186334309</v>
      </c>
      <c r="F469" s="6">
        <f>[1]Emissions!E886</f>
        <v>0.12722121149999999</v>
      </c>
      <c r="G469" s="6">
        <f>[1]Emissions!F886</f>
        <v>0.13420182380000001</v>
      </c>
      <c r="H469" s="6">
        <f>[1]Emissions!G886</f>
        <v>0.14010829850000001</v>
      </c>
      <c r="I469" s="6">
        <f>[1]Emissions!H886</f>
        <v>0.14530978259999999</v>
      </c>
      <c r="J469" s="6">
        <f>[1]Emissions!I886</f>
        <v>0.14865397259999999</v>
      </c>
      <c r="K469" s="6">
        <f>[1]Emissions!J886</f>
        <v>0.15144583910000001</v>
      </c>
      <c r="L469" s="6">
        <f>[1]Emissions!K886</f>
        <v>0.15454900299999999</v>
      </c>
      <c r="M469" s="6">
        <f>[1]Emissions!L886</f>
        <v>0.1575845052</v>
      </c>
      <c r="N469" s="6">
        <f>[1]Emissions!M886</f>
        <v>0.16045138149999999</v>
      </c>
      <c r="O469" s="6">
        <f>[1]Emissions!N886</f>
        <v>0.16301126220000001</v>
      </c>
      <c r="P469" s="6">
        <f>[1]Emissions!O886</f>
        <v>0.16521073889999999</v>
      </c>
      <c r="Q469" s="6">
        <f>[1]Emissions!P886</f>
        <v>0.16720851819999999</v>
      </c>
      <c r="R469" s="6">
        <f>[1]Emissions!Q886</f>
        <v>0.16913482739999999</v>
      </c>
      <c r="S469" s="6">
        <f>[1]Emissions!R886</f>
        <v>0.1719087973</v>
      </c>
      <c r="T469" s="6">
        <f>[1]Emissions!S886</f>
        <v>0.17490931600000001</v>
      </c>
      <c r="U469" s="6">
        <f>[1]Emissions!T886</f>
        <v>0.17811639500000001</v>
      </c>
      <c r="V469" s="6">
        <f>[1]Emissions!U886</f>
        <v>0.18154547800000001</v>
      </c>
      <c r="W469" s="6">
        <f>[1]Emissions!V886</f>
        <v>0.18522460669999999</v>
      </c>
      <c r="X469" s="6">
        <f>[1]Emissions!W886</f>
        <v>0.18918506090000001</v>
      </c>
      <c r="Y469" s="6">
        <f>[1]Emissions!X886</f>
        <v>0.19347475110000001</v>
      </c>
      <c r="Z469" s="6">
        <f>[1]Emissions!Y886</f>
        <v>0.198112974</v>
      </c>
      <c r="AA469" s="6">
        <f>[1]Emissions!Z886</f>
        <v>0.20308782980000001</v>
      </c>
      <c r="AB469" s="6">
        <f>[1]Emissions!AA886</f>
        <v>0.20839754050000001</v>
      </c>
      <c r="AC469" s="6">
        <f>[1]Emissions!AB886</f>
        <v>0.2138440717</v>
      </c>
      <c r="AD469" s="6">
        <f>[1]Emissions!AC886</f>
        <v>0.2196866066</v>
      </c>
      <c r="AE469" s="6">
        <f>[1]Emissions!AD886</f>
        <v>0.22595718270000001</v>
      </c>
      <c r="AF469" s="6">
        <f>[1]Emissions!AE886</f>
        <v>0.2325898408</v>
      </c>
      <c r="AG469" s="6">
        <f>[1]Emissions!AF886</f>
        <v>0.23948940069999999</v>
      </c>
      <c r="AH469" s="6">
        <f>[1]Emissions!AG886</f>
        <v>0.24659385819999999</v>
      </c>
      <c r="AI469" s="6">
        <f>[1]Emissions!AH886</f>
        <v>0.25387240150000001</v>
      </c>
      <c r="AJ469" s="6">
        <f>[1]Emissions!AI886</f>
        <v>0.26128827469999999</v>
      </c>
      <c r="AK469" s="6">
        <f>[1]Emissions!AJ886</f>
        <v>0.26879499019999997</v>
      </c>
      <c r="AL469" s="6">
        <f>[1]Emissions!AK886</f>
        <v>0.27632432239999999</v>
      </c>
    </row>
    <row r="470" spans="2:38" x14ac:dyDescent="0.35">
      <c r="B470" s="6" t="str">
        <f>[1]Emissions!A887</f>
        <v>ems_ci_co2_soil_2</v>
      </c>
      <c r="C470" s="6">
        <f>[1]Emissions!B887</f>
        <v>16.602035879999999</v>
      </c>
      <c r="D470" s="6">
        <f>[1]Emissions!C887</f>
        <v>16.862559409999999</v>
      </c>
      <c r="E470" s="6">
        <f>[1]Emissions!D887</f>
        <v>17.095154019999999</v>
      </c>
      <c r="F470" s="6">
        <f>[1]Emissions!E887</f>
        <v>17.30592536</v>
      </c>
      <c r="G470" s="6">
        <f>[1]Emissions!F887</f>
        <v>17.522870690000001</v>
      </c>
      <c r="H470" s="6">
        <f>[1]Emissions!G887</f>
        <v>17.748227140000001</v>
      </c>
      <c r="I470" s="6">
        <f>[1]Emissions!H887</f>
        <v>17.972759239999998</v>
      </c>
      <c r="J470" s="6">
        <f>[1]Emissions!I887</f>
        <v>17.264002080000001</v>
      </c>
      <c r="K470" s="6">
        <f>[1]Emissions!J887</f>
        <v>16.443559270000002</v>
      </c>
      <c r="L470" s="6">
        <f>[1]Emissions!K887</f>
        <v>15.61997066</v>
      </c>
      <c r="M470" s="6">
        <f>[1]Emissions!L887</f>
        <v>14.77270785</v>
      </c>
      <c r="N470" s="6">
        <f>[1]Emissions!M887</f>
        <v>13.92374599</v>
      </c>
      <c r="O470" s="6">
        <f>[1]Emissions!N887</f>
        <v>13.088734219999999</v>
      </c>
      <c r="P470" s="6">
        <f>[1]Emissions!O887</f>
        <v>12.279065149999999</v>
      </c>
      <c r="Q470" s="6">
        <f>[1]Emissions!P887</f>
        <v>11.510447299999999</v>
      </c>
      <c r="R470" s="6">
        <f>[1]Emissions!Q887</f>
        <v>10.790604310000001</v>
      </c>
      <c r="S470" s="6">
        <f>[1]Emissions!R887</f>
        <v>10.15007093</v>
      </c>
      <c r="T470" s="6">
        <f>[1]Emissions!S887</f>
        <v>9.5564629669999999</v>
      </c>
      <c r="U470" s="6">
        <f>[1]Emissions!T887</f>
        <v>9.0046067310000009</v>
      </c>
      <c r="V470" s="6">
        <f>[1]Emissions!U887</f>
        <v>8.4919912709999998</v>
      </c>
      <c r="W470" s="6">
        <f>[1]Emissions!V887</f>
        <v>8.016466651</v>
      </c>
      <c r="X470" s="6">
        <f>[1]Emissions!W887</f>
        <v>7.5759855900000002</v>
      </c>
      <c r="Y470" s="6">
        <f>[1]Emissions!X887</f>
        <v>7.1689622049999997</v>
      </c>
      <c r="Z470" s="6">
        <f>[1]Emissions!Y887</f>
        <v>6.7934546559999998</v>
      </c>
      <c r="AA470" s="6">
        <f>[1]Emissions!Z887</f>
        <v>6.4470598629999998</v>
      </c>
      <c r="AB470" s="6">
        <f>[1]Emissions!AA887</f>
        <v>6.1276736930000002</v>
      </c>
      <c r="AC470" s="6">
        <f>[1]Emissions!AB887</f>
        <v>5.838550476</v>
      </c>
      <c r="AD470" s="6">
        <f>[1]Emissions!AC887</f>
        <v>5.5746097350000001</v>
      </c>
      <c r="AE470" s="6">
        <f>[1]Emissions!AD887</f>
        <v>5.3336545759999998</v>
      </c>
      <c r="AF470" s="6">
        <f>[1]Emissions!AE887</f>
        <v>5.112596795</v>
      </c>
      <c r="AG470" s="6">
        <f>[1]Emissions!AF887</f>
        <v>4.9080720810000003</v>
      </c>
      <c r="AH470" s="6">
        <f>[1]Emissions!AG887</f>
        <v>4.7173869069999999</v>
      </c>
      <c r="AI470" s="6">
        <f>[1]Emissions!AH887</f>
        <v>4.5384835719999996</v>
      </c>
      <c r="AJ470" s="6">
        <f>[1]Emissions!AI887</f>
        <v>4.3694712420000004</v>
      </c>
      <c r="AK470" s="6">
        <f>[1]Emissions!AJ887</f>
        <v>4.2085081539999996</v>
      </c>
      <c r="AL470" s="6">
        <f>[1]Emissions!AK887</f>
        <v>4.053730141</v>
      </c>
    </row>
    <row r="471" spans="2:38" x14ac:dyDescent="0.35">
      <c r="B471" s="6" t="str">
        <f>[1]Emissions!A888</f>
        <v>ems_y_co2_soil_2</v>
      </c>
      <c r="C471" s="6">
        <f>[1]Emissions!B888</f>
        <v>0</v>
      </c>
      <c r="D471" s="6">
        <f>[1]Emissions!C888</f>
        <v>0</v>
      </c>
      <c r="E471" s="6">
        <f>[1]Emissions!D888</f>
        <v>0</v>
      </c>
      <c r="F471" s="6">
        <f>[1]Emissions!E888</f>
        <v>0</v>
      </c>
      <c r="G471" s="6">
        <f>[1]Emissions!F888</f>
        <v>0</v>
      </c>
      <c r="H471" s="6">
        <f>[1]Emissions!G888</f>
        <v>0</v>
      </c>
      <c r="I471" s="6">
        <f>[1]Emissions!H888</f>
        <v>0</v>
      </c>
      <c r="J471" s="6">
        <f>[1]Emissions!I888</f>
        <v>0</v>
      </c>
      <c r="K471" s="6">
        <f>[1]Emissions!J888</f>
        <v>0</v>
      </c>
      <c r="L471" s="6">
        <f>[1]Emissions!K888</f>
        <v>0</v>
      </c>
      <c r="M471" s="6">
        <f>[1]Emissions!L888</f>
        <v>0</v>
      </c>
      <c r="N471" s="6">
        <f>[1]Emissions!M888</f>
        <v>0</v>
      </c>
      <c r="O471" s="6">
        <f>[1]Emissions!N888</f>
        <v>0</v>
      </c>
      <c r="P471" s="6">
        <f>[1]Emissions!O888</f>
        <v>0</v>
      </c>
      <c r="Q471" s="6">
        <f>[1]Emissions!P888</f>
        <v>0</v>
      </c>
      <c r="R471" s="6">
        <f>[1]Emissions!Q888</f>
        <v>0</v>
      </c>
      <c r="S471" s="6">
        <f>[1]Emissions!R888</f>
        <v>0</v>
      </c>
      <c r="T471" s="6">
        <f>[1]Emissions!S888</f>
        <v>0</v>
      </c>
      <c r="U471" s="6">
        <f>[1]Emissions!T888</f>
        <v>0</v>
      </c>
      <c r="V471" s="6">
        <f>[1]Emissions!U888</f>
        <v>0</v>
      </c>
      <c r="W471" s="6">
        <f>[1]Emissions!V888</f>
        <v>0</v>
      </c>
      <c r="X471" s="6">
        <f>[1]Emissions!W888</f>
        <v>0</v>
      </c>
      <c r="Y471" s="6">
        <f>[1]Emissions!X888</f>
        <v>0</v>
      </c>
      <c r="Z471" s="6">
        <f>[1]Emissions!Y888</f>
        <v>0</v>
      </c>
      <c r="AA471" s="6">
        <f>[1]Emissions!Z888</f>
        <v>0</v>
      </c>
      <c r="AB471" s="6">
        <f>[1]Emissions!AA888</f>
        <v>0</v>
      </c>
      <c r="AC471" s="6">
        <f>[1]Emissions!AB888</f>
        <v>0</v>
      </c>
      <c r="AD471" s="6">
        <f>[1]Emissions!AC888</f>
        <v>0</v>
      </c>
      <c r="AE471" s="6">
        <f>[1]Emissions!AD888</f>
        <v>0</v>
      </c>
      <c r="AF471" s="6">
        <f>[1]Emissions!AE888</f>
        <v>0</v>
      </c>
      <c r="AG471" s="6">
        <f>[1]Emissions!AF888</f>
        <v>0</v>
      </c>
      <c r="AH471" s="6">
        <f>[1]Emissions!AG888</f>
        <v>0</v>
      </c>
      <c r="AI471" s="6">
        <f>[1]Emissions!AH888</f>
        <v>0</v>
      </c>
      <c r="AJ471" s="6">
        <f>[1]Emissions!AI888</f>
        <v>0</v>
      </c>
      <c r="AK471" s="6">
        <f>[1]Emissions!AJ888</f>
        <v>0</v>
      </c>
      <c r="AL471" s="6">
        <f>[1]Emissions!AK888</f>
        <v>0</v>
      </c>
    </row>
    <row r="472" spans="2:38" x14ac:dyDescent="0.35">
      <c r="B472" s="6" t="str">
        <f>[1]Emissions!A889</f>
        <v>ems_mat_co2_soil_2</v>
      </c>
      <c r="C472" s="6">
        <f>[1]Emissions!B889</f>
        <v>4.7795047750000004</v>
      </c>
      <c r="D472" s="6">
        <f>[1]Emissions!C889</f>
        <v>4.8552813959999996</v>
      </c>
      <c r="E472" s="6">
        <f>[1]Emissions!D889</f>
        <v>4.9231202009999997</v>
      </c>
      <c r="F472" s="6">
        <f>[1]Emissions!E889</f>
        <v>4.9849607200000001</v>
      </c>
      <c r="G472" s="6">
        <f>[1]Emissions!F889</f>
        <v>5.0481997490000001</v>
      </c>
      <c r="H472" s="6">
        <f>[1]Emissions!G889</f>
        <v>5.1135544050000004</v>
      </c>
      <c r="I472" s="6">
        <f>[1]Emissions!H889</f>
        <v>5.1783956209999999</v>
      </c>
      <c r="J472" s="6">
        <f>[1]Emissions!I889</f>
        <v>5.0161937480000001</v>
      </c>
      <c r="K472" s="6">
        <f>[1]Emissions!J889</f>
        <v>4.8188365380000002</v>
      </c>
      <c r="L472" s="6">
        <f>[1]Emissions!K889</f>
        <v>4.6171857550000004</v>
      </c>
      <c r="M472" s="6">
        <f>[1]Emissions!L889</f>
        <v>4.4048359210000001</v>
      </c>
      <c r="N472" s="6">
        <f>[1]Emissions!M889</f>
        <v>4.1877280839999997</v>
      </c>
      <c r="O472" s="6">
        <f>[1]Emissions!N889</f>
        <v>3.9706903539999998</v>
      </c>
      <c r="P472" s="6">
        <f>[1]Emissions!O889</f>
        <v>3.7573570150000002</v>
      </c>
      <c r="Q472" s="6">
        <f>[1]Emissions!P889</f>
        <v>3.5527815120000001</v>
      </c>
      <c r="R472" s="6">
        <f>[1]Emissions!Q889</f>
        <v>3.3596794700000001</v>
      </c>
      <c r="S472" s="6">
        <f>[1]Emissions!R889</f>
        <v>3.1881824280000002</v>
      </c>
      <c r="T472" s="6">
        <f>[1]Emissions!S889</f>
        <v>3.0284860560000002</v>
      </c>
      <c r="U472" s="6">
        <f>[1]Emissions!T889</f>
        <v>2.8792136959999999</v>
      </c>
      <c r="V472" s="6">
        <f>[1]Emissions!U889</f>
        <v>2.7398312439999999</v>
      </c>
      <c r="W472" s="6">
        <f>[1]Emissions!V889</f>
        <v>2.609917356</v>
      </c>
      <c r="X472" s="6">
        <f>[1]Emissions!W889</f>
        <v>2.4890742989999999</v>
      </c>
      <c r="Y472" s="6">
        <f>[1]Emissions!X889</f>
        <v>2.377045002</v>
      </c>
      <c r="Z472" s="6">
        <f>[1]Emissions!Y889</f>
        <v>2.273444172</v>
      </c>
      <c r="AA472" s="6">
        <f>[1]Emissions!Z889</f>
        <v>2.17771391</v>
      </c>
      <c r="AB472" s="6">
        <f>[1]Emissions!AA889</f>
        <v>2.0893751809999999</v>
      </c>
      <c r="AC472" s="6">
        <f>[1]Emissions!AB889</f>
        <v>2.009772044</v>
      </c>
      <c r="AD472" s="6">
        <f>[1]Emissions!AC889</f>
        <v>1.937403159</v>
      </c>
      <c r="AE472" s="6">
        <f>[1]Emissions!AD889</f>
        <v>1.8717208919999999</v>
      </c>
      <c r="AF472" s="6">
        <f>[1]Emissions!AE889</f>
        <v>1.811838386</v>
      </c>
      <c r="AG472" s="6">
        <f>[1]Emissions!AF889</f>
        <v>1.7567330000000001</v>
      </c>
      <c r="AH472" s="6">
        <f>[1]Emissions!AG889</f>
        <v>1.705582446</v>
      </c>
      <c r="AI472" s="6">
        <f>[1]Emissions!AH889</f>
        <v>1.657763111</v>
      </c>
      <c r="AJ472" s="6">
        <f>[1]Emissions!AI889</f>
        <v>1.612687464</v>
      </c>
      <c r="AK472" s="6">
        <f>[1]Emissions!AJ889</f>
        <v>1.569761663</v>
      </c>
      <c r="AL472" s="6">
        <f>[1]Emissions!AK889</f>
        <v>1.52835823</v>
      </c>
    </row>
    <row r="473" spans="2:38" x14ac:dyDescent="0.35">
      <c r="B473" s="6" t="str">
        <f>[1]Emissions!A890</f>
        <v>ems_ci_co2_sbfu_2</v>
      </c>
      <c r="C473" s="6">
        <f>[1]Emissions!B890</f>
        <v>3.9471017019999999</v>
      </c>
      <c r="D473" s="6">
        <f>[1]Emissions!C890</f>
        <v>4.0484337909999999</v>
      </c>
      <c r="E473" s="6">
        <f>[1]Emissions!D890</f>
        <v>4.1396878639999999</v>
      </c>
      <c r="F473" s="6">
        <f>[1]Emissions!E890</f>
        <v>4.2200013849999998</v>
      </c>
      <c r="G473" s="6">
        <f>[1]Emissions!F890</f>
        <v>4.295861929</v>
      </c>
      <c r="H473" s="6">
        <f>[1]Emissions!G890</f>
        <v>4.3687747630000002</v>
      </c>
      <c r="I473" s="6">
        <f>[1]Emissions!H890</f>
        <v>4.4375497079999997</v>
      </c>
      <c r="J473" s="6">
        <f>[1]Emissions!I890</f>
        <v>5.3110777650000003</v>
      </c>
      <c r="K473" s="6">
        <f>[1]Emissions!J890</f>
        <v>6.1863439580000001</v>
      </c>
      <c r="L473" s="6">
        <f>[1]Emissions!K890</f>
        <v>6.936825443</v>
      </c>
      <c r="M473" s="6">
        <f>[1]Emissions!L890</f>
        <v>7.5375377840000004</v>
      </c>
      <c r="N473" s="6">
        <f>[1]Emissions!M890</f>
        <v>7.9939293999999999</v>
      </c>
      <c r="O473" s="6">
        <f>[1]Emissions!N890</f>
        <v>8.3184808439999998</v>
      </c>
      <c r="P473" s="6">
        <f>[1]Emissions!O890</f>
        <v>8.526240928</v>
      </c>
      <c r="Q473" s="6">
        <f>[1]Emissions!P890</f>
        <v>8.6335064349999993</v>
      </c>
      <c r="R473" s="6">
        <f>[1]Emissions!Q890</f>
        <v>8.6544623549999997</v>
      </c>
      <c r="S473" s="6">
        <f>[1]Emissions!R890</f>
        <v>8.6578862870000002</v>
      </c>
      <c r="T473" s="6">
        <f>[1]Emissions!S890</f>
        <v>8.6054564419999995</v>
      </c>
      <c r="U473" s="6">
        <f>[1]Emissions!T890</f>
        <v>8.4984303249999993</v>
      </c>
      <c r="V473" s="6">
        <f>[1]Emissions!U890</f>
        <v>8.3418737899999993</v>
      </c>
      <c r="W473" s="6">
        <f>[1]Emissions!V890</f>
        <v>8.140575535</v>
      </c>
      <c r="X473" s="6">
        <f>[1]Emissions!W890</f>
        <v>7.8987088659999998</v>
      </c>
      <c r="Y473" s="6">
        <f>[1]Emissions!X890</f>
        <v>7.6199732879999997</v>
      </c>
      <c r="Z473" s="6">
        <f>[1]Emissions!Y890</f>
        <v>7.3073154479999998</v>
      </c>
      <c r="AA473" s="6">
        <f>[1]Emissions!Z890</f>
        <v>6.9629589559999996</v>
      </c>
      <c r="AB473" s="6">
        <f>[1]Emissions!AA890</f>
        <v>6.5887009599999997</v>
      </c>
      <c r="AC473" s="6">
        <f>[1]Emissions!AB890</f>
        <v>6.1863054430000002</v>
      </c>
      <c r="AD473" s="6">
        <f>[1]Emissions!AC890</f>
        <v>5.7572732819999999</v>
      </c>
      <c r="AE473" s="6">
        <f>[1]Emissions!AD890</f>
        <v>5.3021024499999996</v>
      </c>
      <c r="AF473" s="6">
        <f>[1]Emissions!AE890</f>
        <v>4.8201993170000001</v>
      </c>
      <c r="AG473" s="6">
        <f>[1]Emissions!AF890</f>
        <v>4.310328427</v>
      </c>
      <c r="AH473" s="6">
        <f>[1]Emissions!AG890</f>
        <v>3.7710934200000001</v>
      </c>
      <c r="AI473" s="6">
        <f>[1]Emissions!AH890</f>
        <v>3.2008738970000001</v>
      </c>
      <c r="AJ473" s="6">
        <f>[1]Emissions!AI890</f>
        <v>2.5974806749999999</v>
      </c>
      <c r="AK473" s="6">
        <f>[1]Emissions!AJ890</f>
        <v>1.9580590950000001</v>
      </c>
      <c r="AL473" s="6">
        <f>[1]Emissions!AK890</f>
        <v>1.278914879</v>
      </c>
    </row>
    <row r="474" spans="2:38" x14ac:dyDescent="0.35">
      <c r="B474" s="6" t="str">
        <f>[1]Emissions!A891</f>
        <v>ems_y_co2_sbfu_2</v>
      </c>
      <c r="C474" s="6">
        <f>[1]Emissions!B891</f>
        <v>0</v>
      </c>
      <c r="D474" s="6">
        <f>[1]Emissions!C891</f>
        <v>0</v>
      </c>
      <c r="E474" s="6">
        <f>[1]Emissions!D891</f>
        <v>0</v>
      </c>
      <c r="F474" s="6">
        <f>[1]Emissions!E891</f>
        <v>0</v>
      </c>
      <c r="G474" s="6">
        <f>[1]Emissions!F891</f>
        <v>0</v>
      </c>
      <c r="H474" s="6">
        <f>[1]Emissions!G891</f>
        <v>0</v>
      </c>
      <c r="I474" s="6">
        <f>[1]Emissions!H891</f>
        <v>0</v>
      </c>
      <c r="J474" s="6">
        <f>[1]Emissions!I891</f>
        <v>0</v>
      </c>
      <c r="K474" s="6">
        <f>[1]Emissions!J891</f>
        <v>0</v>
      </c>
      <c r="L474" s="6">
        <f>[1]Emissions!K891</f>
        <v>0</v>
      </c>
      <c r="M474" s="6">
        <f>[1]Emissions!L891</f>
        <v>0</v>
      </c>
      <c r="N474" s="6">
        <f>[1]Emissions!M891</f>
        <v>0</v>
      </c>
      <c r="O474" s="6">
        <f>[1]Emissions!N891</f>
        <v>0</v>
      </c>
      <c r="P474" s="6">
        <f>[1]Emissions!O891</f>
        <v>0</v>
      </c>
      <c r="Q474" s="6">
        <f>[1]Emissions!P891</f>
        <v>0</v>
      </c>
      <c r="R474" s="6">
        <f>[1]Emissions!Q891</f>
        <v>0</v>
      </c>
      <c r="S474" s="6">
        <f>[1]Emissions!R891</f>
        <v>0</v>
      </c>
      <c r="T474" s="6">
        <f>[1]Emissions!S891</f>
        <v>0</v>
      </c>
      <c r="U474" s="6">
        <f>[1]Emissions!T891</f>
        <v>0</v>
      </c>
      <c r="V474" s="6">
        <f>[1]Emissions!U891</f>
        <v>0</v>
      </c>
      <c r="W474" s="6">
        <f>[1]Emissions!V891</f>
        <v>0</v>
      </c>
      <c r="X474" s="6">
        <f>[1]Emissions!W891</f>
        <v>0</v>
      </c>
      <c r="Y474" s="6">
        <f>[1]Emissions!X891</f>
        <v>0</v>
      </c>
      <c r="Z474" s="6">
        <f>[1]Emissions!Y891</f>
        <v>0</v>
      </c>
      <c r="AA474" s="6">
        <f>[1]Emissions!Z891</f>
        <v>0</v>
      </c>
      <c r="AB474" s="6">
        <f>[1]Emissions!AA891</f>
        <v>0</v>
      </c>
      <c r="AC474" s="6">
        <f>[1]Emissions!AB891</f>
        <v>0</v>
      </c>
      <c r="AD474" s="6">
        <f>[1]Emissions!AC891</f>
        <v>0</v>
      </c>
      <c r="AE474" s="6">
        <f>[1]Emissions!AD891</f>
        <v>0</v>
      </c>
      <c r="AF474" s="6">
        <f>[1]Emissions!AE891</f>
        <v>0</v>
      </c>
      <c r="AG474" s="6">
        <f>[1]Emissions!AF891</f>
        <v>0</v>
      </c>
      <c r="AH474" s="6">
        <f>[1]Emissions!AG891</f>
        <v>0</v>
      </c>
      <c r="AI474" s="6">
        <f>[1]Emissions!AH891</f>
        <v>0</v>
      </c>
      <c r="AJ474" s="6">
        <f>[1]Emissions!AI891</f>
        <v>0</v>
      </c>
      <c r="AK474" s="6">
        <f>[1]Emissions!AJ891</f>
        <v>0</v>
      </c>
      <c r="AL474" s="6">
        <f>[1]Emissions!AK891</f>
        <v>0</v>
      </c>
    </row>
    <row r="475" spans="2:38" x14ac:dyDescent="0.35">
      <c r="B475" s="6" t="str">
        <f>[1]Emissions!A892</f>
        <v>ems_mat_co2_sbfu_2</v>
      </c>
      <c r="C475" s="6">
        <f>[1]Emissions!B892</f>
        <v>3.2921661719999999</v>
      </c>
      <c r="D475" s="6">
        <f>[1]Emissions!C892</f>
        <v>3.3766844620000001</v>
      </c>
      <c r="E475" s="6">
        <f>[1]Emissions!D892</f>
        <v>3.4527969700000001</v>
      </c>
      <c r="F475" s="6">
        <f>[1]Emissions!E892</f>
        <v>3.51978429</v>
      </c>
      <c r="G475" s="6">
        <f>[1]Emissions!F892</f>
        <v>3.5830574830000002</v>
      </c>
      <c r="H475" s="6">
        <f>[1]Emissions!G892</f>
        <v>3.6438720550000001</v>
      </c>
      <c r="I475" s="6">
        <f>[1]Emissions!H892</f>
        <v>3.7012353139999998</v>
      </c>
      <c r="J475" s="6">
        <f>[1]Emissions!I892</f>
        <v>4.5788532039999996</v>
      </c>
      <c r="K475" s="6">
        <f>[1]Emissions!J892</f>
        <v>5.5191290029999998</v>
      </c>
      <c r="L475" s="6">
        <f>[1]Emissions!K892</f>
        <v>6.4118943960000001</v>
      </c>
      <c r="M475" s="6">
        <f>[1]Emissions!L892</f>
        <v>7.22785849</v>
      </c>
      <c r="N475" s="6">
        <f>[1]Emissions!M892</f>
        <v>7.9634916909999998</v>
      </c>
      <c r="O475" s="6">
        <f>[1]Emissions!N892</f>
        <v>8.6219828780000007</v>
      </c>
      <c r="P475" s="6">
        <f>[1]Emissions!O892</f>
        <v>9.2098319330000002</v>
      </c>
      <c r="Q475" s="6">
        <f>[1]Emissions!P892</f>
        <v>9.7360908479999999</v>
      </c>
      <c r="R475" s="6">
        <f>[1]Emissions!Q892</f>
        <v>10.208987179999999</v>
      </c>
      <c r="S475" s="6">
        <f>[1]Emissions!R892</f>
        <v>10.70584287</v>
      </c>
      <c r="T475" s="6">
        <f>[1]Emissions!S892</f>
        <v>11.180513149999999</v>
      </c>
      <c r="U475" s="6">
        <f>[1]Emissions!T892</f>
        <v>11.631164460000001</v>
      </c>
      <c r="V475" s="6">
        <f>[1]Emissions!U892</f>
        <v>12.06105573</v>
      </c>
      <c r="W475" s="6">
        <f>[1]Emissions!V892</f>
        <v>12.473800649999999</v>
      </c>
      <c r="X475" s="6">
        <f>[1]Emissions!W892</f>
        <v>12.872929340000001</v>
      </c>
      <c r="Y475" s="6">
        <f>[1]Emissions!X892</f>
        <v>13.262106259999999</v>
      </c>
      <c r="Z475" s="6">
        <f>[1]Emissions!Y892</f>
        <v>13.644658229999999</v>
      </c>
      <c r="AA475" s="6">
        <f>[1]Emissions!Z892</f>
        <v>14.023501700000001</v>
      </c>
      <c r="AB475" s="6">
        <f>[1]Emissions!AA892</f>
        <v>14.40161606</v>
      </c>
      <c r="AC475" s="6">
        <f>[1]Emissions!AB892</f>
        <v>14.78301278</v>
      </c>
      <c r="AD475" s="6">
        <f>[1]Emissions!AC892</f>
        <v>15.17266016</v>
      </c>
      <c r="AE475" s="6">
        <f>[1]Emissions!AD892</f>
        <v>15.57485861</v>
      </c>
      <c r="AF475" s="6">
        <f>[1]Emissions!AE892</f>
        <v>15.992514</v>
      </c>
      <c r="AG475" s="6">
        <f>[1]Emissions!AF892</f>
        <v>16.427814829999999</v>
      </c>
      <c r="AH475" s="6">
        <f>[1]Emissions!AG892</f>
        <v>16.88375877</v>
      </c>
      <c r="AI475" s="6">
        <f>[1]Emissions!AH892</f>
        <v>17.36466669</v>
      </c>
      <c r="AJ475" s="6">
        <f>[1]Emissions!AI892</f>
        <v>17.875586980000001</v>
      </c>
      <c r="AK475" s="6">
        <f>[1]Emissions!AJ892</f>
        <v>18.422721540000001</v>
      </c>
      <c r="AL475" s="6">
        <f>[1]Emissions!AK892</f>
        <v>19.01418305</v>
      </c>
    </row>
    <row r="476" spans="2:38" x14ac:dyDescent="0.35">
      <c r="B476" s="6" t="str">
        <f>[1]Emissions!A893</f>
        <v>ems_ci_co2_seoi_2</v>
      </c>
      <c r="C476" s="6">
        <f>[1]Emissions!B893</f>
        <v>1.7975471110000001</v>
      </c>
      <c r="D476" s="6">
        <f>[1]Emissions!C893</f>
        <v>1.817676772</v>
      </c>
      <c r="E476" s="6">
        <f>[1]Emissions!D893</f>
        <v>1.835673702</v>
      </c>
      <c r="F476" s="6">
        <f>[1]Emissions!E893</f>
        <v>1.85580334</v>
      </c>
      <c r="G476" s="6">
        <f>[1]Emissions!F893</f>
        <v>1.8758359979999999</v>
      </c>
      <c r="H476" s="6">
        <f>[1]Emissions!G893</f>
        <v>1.897773771</v>
      </c>
      <c r="I476" s="6">
        <f>[1]Emissions!H893</f>
        <v>1.9227821979999999</v>
      </c>
      <c r="J476" s="6">
        <f>[1]Emissions!I893</f>
        <v>1.848225075</v>
      </c>
      <c r="K476" s="6">
        <f>[1]Emissions!J893</f>
        <v>1.773696229</v>
      </c>
      <c r="L476" s="6">
        <f>[1]Emissions!K893</f>
        <v>1.7093183670000001</v>
      </c>
      <c r="M476" s="6">
        <f>[1]Emissions!L893</f>
        <v>1.6475839210000001</v>
      </c>
      <c r="N476" s="6">
        <f>[1]Emissions!M893</f>
        <v>1.58324866</v>
      </c>
      <c r="O476" s="6">
        <f>[1]Emissions!N893</f>
        <v>1.515626548</v>
      </c>
      <c r="P476" s="6">
        <f>[1]Emissions!O893</f>
        <v>1.444108181</v>
      </c>
      <c r="Q476" s="6">
        <f>[1]Emissions!P893</f>
        <v>1.3698498349999999</v>
      </c>
      <c r="R476" s="6">
        <f>[1]Emissions!Q893</f>
        <v>1.2935825679999999</v>
      </c>
      <c r="S476" s="6">
        <f>[1]Emissions!R893</f>
        <v>1.214368723</v>
      </c>
      <c r="T476" s="6">
        <f>[1]Emissions!S893</f>
        <v>1.1343969789999999</v>
      </c>
      <c r="U476" s="6">
        <f>[1]Emissions!T893</f>
        <v>1.054129941</v>
      </c>
      <c r="V476" s="6">
        <f>[1]Emissions!U893</f>
        <v>0.9739302205</v>
      </c>
      <c r="W476" s="6">
        <f>[1]Emissions!V893</f>
        <v>0.89423664940000003</v>
      </c>
      <c r="X476" s="6">
        <f>[1]Emissions!W893</f>
        <v>0.81551371070000001</v>
      </c>
      <c r="Y476" s="6">
        <f>[1]Emissions!X893</f>
        <v>0.73821878249999995</v>
      </c>
      <c r="Z476" s="6">
        <f>[1]Emissions!Y893</f>
        <v>0.66268935579999999</v>
      </c>
      <c r="AA476" s="6">
        <f>[1]Emissions!Z893</f>
        <v>0.58920723760000004</v>
      </c>
      <c r="AB476" s="6">
        <f>[1]Emissions!AA893</f>
        <v>0.51808342009999997</v>
      </c>
      <c r="AC476" s="6">
        <f>[1]Emissions!AB893</f>
        <v>0.44991324490000001</v>
      </c>
      <c r="AD476" s="6">
        <f>[1]Emissions!AC893</f>
        <v>0.38491703109999997</v>
      </c>
      <c r="AE476" s="6">
        <f>[1]Emissions!AD893</f>
        <v>0.3233835323</v>
      </c>
      <c r="AF476" s="6">
        <f>[1]Emissions!AE893</f>
        <v>0.26560092810000002</v>
      </c>
      <c r="AG476" s="6">
        <f>[1]Emissions!AF893</f>
        <v>0.21193940859999999</v>
      </c>
      <c r="AH476" s="6">
        <f>[1]Emissions!AG893</f>
        <v>0.16288644520000001</v>
      </c>
      <c r="AI476" s="6">
        <f>[1]Emissions!AH893</f>
        <v>0.1189989345</v>
      </c>
      <c r="AJ476" s="6">
        <f>[1]Emissions!AI893</f>
        <v>8.0859194100000004E-2</v>
      </c>
      <c r="AK476" s="6">
        <f>[1]Emissions!AJ893</f>
        <v>4.9078956E-2</v>
      </c>
      <c r="AL476" s="6">
        <f>[1]Emissions!AK893</f>
        <v>2.4293655800000001E-2</v>
      </c>
    </row>
    <row r="477" spans="2:38" x14ac:dyDescent="0.35">
      <c r="B477" s="6" t="str">
        <f>[1]Emissions!A894</f>
        <v>ems_y_co2_seoi_2</v>
      </c>
      <c r="C477" s="6">
        <f>[1]Emissions!B894</f>
        <v>0</v>
      </c>
      <c r="D477" s="6">
        <f>[1]Emissions!C894</f>
        <v>0</v>
      </c>
      <c r="E477" s="6">
        <f>[1]Emissions!D894</f>
        <v>0</v>
      </c>
      <c r="F477" s="6">
        <f>[1]Emissions!E894</f>
        <v>0</v>
      </c>
      <c r="G477" s="6">
        <f>[1]Emissions!F894</f>
        <v>0</v>
      </c>
      <c r="H477" s="6">
        <f>[1]Emissions!G894</f>
        <v>0</v>
      </c>
      <c r="I477" s="6">
        <f>[1]Emissions!H894</f>
        <v>0</v>
      </c>
      <c r="J477" s="6">
        <f>[1]Emissions!I894</f>
        <v>0</v>
      </c>
      <c r="K477" s="6">
        <f>[1]Emissions!J894</f>
        <v>0</v>
      </c>
      <c r="L477" s="6">
        <f>[1]Emissions!K894</f>
        <v>0</v>
      </c>
      <c r="M477" s="6">
        <f>[1]Emissions!L894</f>
        <v>0</v>
      </c>
      <c r="N477" s="6">
        <f>[1]Emissions!M894</f>
        <v>0</v>
      </c>
      <c r="O477" s="6">
        <f>[1]Emissions!N894</f>
        <v>0</v>
      </c>
      <c r="P477" s="6">
        <f>[1]Emissions!O894</f>
        <v>0</v>
      </c>
      <c r="Q477" s="6">
        <f>[1]Emissions!P894</f>
        <v>0</v>
      </c>
      <c r="R477" s="6">
        <f>[1]Emissions!Q894</f>
        <v>0</v>
      </c>
      <c r="S477" s="6">
        <f>[1]Emissions!R894</f>
        <v>0</v>
      </c>
      <c r="T477" s="6">
        <f>[1]Emissions!S894</f>
        <v>0</v>
      </c>
      <c r="U477" s="6">
        <f>[1]Emissions!T894</f>
        <v>0</v>
      </c>
      <c r="V477" s="6">
        <f>[1]Emissions!U894</f>
        <v>0</v>
      </c>
      <c r="W477" s="6">
        <f>[1]Emissions!V894</f>
        <v>0</v>
      </c>
      <c r="X477" s="6">
        <f>[1]Emissions!W894</f>
        <v>0</v>
      </c>
      <c r="Y477" s="6">
        <f>[1]Emissions!X894</f>
        <v>0</v>
      </c>
      <c r="Z477" s="6">
        <f>[1]Emissions!Y894</f>
        <v>0</v>
      </c>
      <c r="AA477" s="6">
        <f>[1]Emissions!Z894</f>
        <v>0</v>
      </c>
      <c r="AB477" s="6">
        <f>[1]Emissions!AA894</f>
        <v>0</v>
      </c>
      <c r="AC477" s="6">
        <f>[1]Emissions!AB894</f>
        <v>0</v>
      </c>
      <c r="AD477" s="6">
        <f>[1]Emissions!AC894</f>
        <v>0</v>
      </c>
      <c r="AE477" s="6">
        <f>[1]Emissions!AD894</f>
        <v>0</v>
      </c>
      <c r="AF477" s="6">
        <f>[1]Emissions!AE894</f>
        <v>0</v>
      </c>
      <c r="AG477" s="6">
        <f>[1]Emissions!AF894</f>
        <v>0</v>
      </c>
      <c r="AH477" s="6">
        <f>[1]Emissions!AG894</f>
        <v>0</v>
      </c>
      <c r="AI477" s="6">
        <f>[1]Emissions!AH894</f>
        <v>0</v>
      </c>
      <c r="AJ477" s="6">
        <f>[1]Emissions!AI894</f>
        <v>0</v>
      </c>
      <c r="AK477" s="6">
        <f>[1]Emissions!AJ894</f>
        <v>0</v>
      </c>
      <c r="AL477" s="6">
        <f>[1]Emissions!AK894</f>
        <v>0</v>
      </c>
    </row>
    <row r="478" spans="2:38" x14ac:dyDescent="0.35">
      <c r="B478" s="6" t="str">
        <f>[1]Emissions!A895</f>
        <v>ems_mat_co2_seoi_2</v>
      </c>
      <c r="C478" s="6">
        <f>[1]Emissions!B895</f>
        <v>0.1231988455</v>
      </c>
      <c r="D478" s="6">
        <f>[1]Emissions!C895</f>
        <v>0.1245784761</v>
      </c>
      <c r="E478" s="6">
        <f>[1]Emissions!D895</f>
        <v>0.12581193530000001</v>
      </c>
      <c r="F478" s="6">
        <f>[1]Emissions!E895</f>
        <v>0.1271915643</v>
      </c>
      <c r="G478" s="6">
        <f>[1]Emissions!F895</f>
        <v>0.12856454649999999</v>
      </c>
      <c r="H478" s="6">
        <f>[1]Emissions!G895</f>
        <v>0.1300681001</v>
      </c>
      <c r="I478" s="6">
        <f>[1]Emissions!H895</f>
        <v>0.13178210770000001</v>
      </c>
      <c r="J478" s="6">
        <f>[1]Emissions!I895</f>
        <v>0.13093621</v>
      </c>
      <c r="K478" s="6">
        <f>[1]Emissions!J895</f>
        <v>0.13003345180000001</v>
      </c>
      <c r="L478" s="6">
        <f>[1]Emissions!K895</f>
        <v>0.12983657870000001</v>
      </c>
      <c r="M478" s="6">
        <f>[1]Emissions!L895</f>
        <v>0.1298332697</v>
      </c>
      <c r="N478" s="6">
        <f>[1]Emissions!M895</f>
        <v>0.1296167808</v>
      </c>
      <c r="O478" s="6">
        <f>[1]Emissions!N895</f>
        <v>0.12910278850000001</v>
      </c>
      <c r="P478" s="6">
        <f>[1]Emissions!O895</f>
        <v>0.12819954759999999</v>
      </c>
      <c r="Q478" s="6">
        <f>[1]Emissions!P895</f>
        <v>0.1269627998</v>
      </c>
      <c r="R478" s="6">
        <f>[1]Emissions!Q895</f>
        <v>0.12541733159999999</v>
      </c>
      <c r="S478" s="6">
        <f>[1]Emissions!R895</f>
        <v>0.123423117</v>
      </c>
      <c r="T478" s="6">
        <f>[1]Emissions!S895</f>
        <v>0.1211455788</v>
      </c>
      <c r="U478" s="6">
        <f>[1]Emissions!T895</f>
        <v>0.1185913252</v>
      </c>
      <c r="V478" s="6">
        <f>[1]Emissions!U895</f>
        <v>0.1157565722</v>
      </c>
      <c r="W478" s="6">
        <f>[1]Emissions!V895</f>
        <v>0.1126462312</v>
      </c>
      <c r="X478" s="6">
        <f>[1]Emissions!W895</f>
        <v>0.1092699015</v>
      </c>
      <c r="Y478" s="6">
        <f>[1]Emissions!X895</f>
        <v>0.1056387764</v>
      </c>
      <c r="Z478" s="6">
        <f>[1]Emissions!Y895</f>
        <v>0.1017489083</v>
      </c>
      <c r="AA478" s="6">
        <f>[1]Emissions!Z895</f>
        <v>9.7585884400000003E-2</v>
      </c>
      <c r="AB478" s="6">
        <f>[1]Emissions!AA895</f>
        <v>9.3135614199999994E-2</v>
      </c>
      <c r="AC478" s="6">
        <f>[1]Emissions!AB895</f>
        <v>8.8434634299999995E-2</v>
      </c>
      <c r="AD478" s="6">
        <f>[1]Emissions!AC895</f>
        <v>8.3453229399999995E-2</v>
      </c>
      <c r="AE478" s="6">
        <f>[1]Emissions!AD895</f>
        <v>7.8164574099999995E-2</v>
      </c>
      <c r="AF478" s="6">
        <f>[1]Emissions!AE895</f>
        <v>7.2527763800000006E-2</v>
      </c>
      <c r="AG478" s="6">
        <f>[1]Emissions!AF895</f>
        <v>6.6503232800000006E-2</v>
      </c>
      <c r="AH478" s="6">
        <f>[1]Emissions!AG895</f>
        <v>6.0066933500000003E-2</v>
      </c>
      <c r="AI478" s="6">
        <f>[1]Emissions!AH895</f>
        <v>5.3205423299999999E-2</v>
      </c>
      <c r="AJ478" s="6">
        <f>[1]Emissions!AI895</f>
        <v>4.5905185899999999E-2</v>
      </c>
      <c r="AK478" s="6">
        <f>[1]Emissions!AJ895</f>
        <v>3.8155598800000003E-2</v>
      </c>
      <c r="AL478" s="6">
        <f>[1]Emissions!AK895</f>
        <v>2.99503983E-2</v>
      </c>
    </row>
    <row r="479" spans="2:38" x14ac:dyDescent="0.35">
      <c r="B479" s="6" t="str">
        <f>[1]Emissions!A896</f>
        <v>ems_ci_co2_sega_2</v>
      </c>
      <c r="C479" s="6">
        <f>[1]Emissions!B896</f>
        <v>4.5543633970000004</v>
      </c>
      <c r="D479" s="6">
        <f>[1]Emissions!C896</f>
        <v>4.6053649979999998</v>
      </c>
      <c r="E479" s="6">
        <f>[1]Emissions!D896</f>
        <v>4.6509629930000003</v>
      </c>
      <c r="F479" s="6">
        <f>[1]Emissions!E896</f>
        <v>4.7019645319999999</v>
      </c>
      <c r="G479" s="6">
        <f>[1]Emissions!F896</f>
        <v>4.7527203570000003</v>
      </c>
      <c r="H479" s="6">
        <f>[1]Emissions!G896</f>
        <v>4.808303091</v>
      </c>
      <c r="I479" s="6">
        <f>[1]Emissions!H896</f>
        <v>4.8716658009999998</v>
      </c>
      <c r="J479" s="6">
        <f>[1]Emissions!I896</f>
        <v>4.6752711370000002</v>
      </c>
      <c r="K479" s="6">
        <f>[1]Emissions!J896</f>
        <v>4.4779518779999998</v>
      </c>
      <c r="L479" s="6">
        <f>[1]Emissions!K896</f>
        <v>4.3063226319999997</v>
      </c>
      <c r="M479" s="6">
        <f>[1]Emissions!L896</f>
        <v>4.1414473349999996</v>
      </c>
      <c r="N479" s="6">
        <f>[1]Emissions!M896</f>
        <v>3.9701245300000001</v>
      </c>
      <c r="O479" s="6">
        <f>[1]Emissions!N896</f>
        <v>3.7906786970000002</v>
      </c>
      <c r="P479" s="6">
        <f>[1]Emissions!O896</f>
        <v>3.6016568840000001</v>
      </c>
      <c r="Q479" s="6">
        <f>[1]Emissions!P896</f>
        <v>3.4060309530000001</v>
      </c>
      <c r="R479" s="6">
        <f>[1]Emissions!Q896</f>
        <v>3.205701178</v>
      </c>
      <c r="S479" s="6">
        <f>[1]Emissions!R896</f>
        <v>2.9984400529999999</v>
      </c>
      <c r="T479" s="6">
        <f>[1]Emissions!S896</f>
        <v>2.7897637280000001</v>
      </c>
      <c r="U479" s="6">
        <f>[1]Emissions!T896</f>
        <v>2.5808953109999999</v>
      </c>
      <c r="V479" s="6">
        <f>[1]Emissions!U896</f>
        <v>2.3728120640000001</v>
      </c>
      <c r="W479" s="6">
        <f>[1]Emissions!V896</f>
        <v>2.1666780989999999</v>
      </c>
      <c r="X479" s="6">
        <f>[1]Emissions!W896</f>
        <v>1.963717334</v>
      </c>
      <c r="Y479" s="6">
        <f>[1]Emissions!X896</f>
        <v>1.7651322460000001</v>
      </c>
      <c r="Z479" s="6">
        <f>[1]Emissions!Y896</f>
        <v>1.57183545</v>
      </c>
      <c r="AA479" s="6">
        <f>[1]Emissions!Z896</f>
        <v>1.3846116500000001</v>
      </c>
      <c r="AB479" s="6">
        <f>[1]Emissions!AA896</f>
        <v>1.2043230700000001</v>
      </c>
      <c r="AC479" s="6">
        <f>[1]Emissions!AB896</f>
        <v>1.032494598</v>
      </c>
      <c r="AD479" s="6">
        <f>[1]Emissions!AC896</f>
        <v>0.86977878060000002</v>
      </c>
      <c r="AE479" s="6">
        <f>[1]Emissions!AD896</f>
        <v>0.71700548580000001</v>
      </c>
      <c r="AF479" s="6">
        <f>[1]Emissions!AE896</f>
        <v>0.57502924119999999</v>
      </c>
      <c r="AG479" s="6">
        <f>[1]Emissions!AF896</f>
        <v>0.44491935529999999</v>
      </c>
      <c r="AH479" s="6">
        <f>[1]Emissions!AG896</f>
        <v>0.32802745570000003</v>
      </c>
      <c r="AI479" s="6">
        <f>[1]Emissions!AH896</f>
        <v>0.22586948200000001</v>
      </c>
      <c r="AJ479" s="6">
        <f>[1]Emissions!AI896</f>
        <v>0.1400223364</v>
      </c>
      <c r="AK479" s="6">
        <f>[1]Emissions!AJ896</f>
        <v>7.2126113300000003E-2</v>
      </c>
      <c r="AL479" s="6">
        <f>[1]Emissions!AK896</f>
        <v>2.3821417300000002E-2</v>
      </c>
    </row>
    <row r="480" spans="2:38" x14ac:dyDescent="0.35">
      <c r="B480" s="6" t="str">
        <f>[1]Emissions!A897</f>
        <v>ems_y_co2_sega_2</v>
      </c>
      <c r="C480" s="6">
        <f>[1]Emissions!B897</f>
        <v>0</v>
      </c>
      <c r="D480" s="6">
        <f>[1]Emissions!C897</f>
        <v>0</v>
      </c>
      <c r="E480" s="6">
        <f>[1]Emissions!D897</f>
        <v>0</v>
      </c>
      <c r="F480" s="6">
        <f>[1]Emissions!E897</f>
        <v>0</v>
      </c>
      <c r="G480" s="6">
        <f>[1]Emissions!F897</f>
        <v>0</v>
      </c>
      <c r="H480" s="6">
        <f>[1]Emissions!G897</f>
        <v>0</v>
      </c>
      <c r="I480" s="6">
        <f>[1]Emissions!H897</f>
        <v>0</v>
      </c>
      <c r="J480" s="6">
        <f>[1]Emissions!I897</f>
        <v>0</v>
      </c>
      <c r="K480" s="6">
        <f>[1]Emissions!J897</f>
        <v>0</v>
      </c>
      <c r="L480" s="6">
        <f>[1]Emissions!K897</f>
        <v>0</v>
      </c>
      <c r="M480" s="6">
        <f>[1]Emissions!L897</f>
        <v>0</v>
      </c>
      <c r="N480" s="6">
        <f>[1]Emissions!M897</f>
        <v>0</v>
      </c>
      <c r="O480" s="6">
        <f>[1]Emissions!N897</f>
        <v>0</v>
      </c>
      <c r="P480" s="6">
        <f>[1]Emissions!O897</f>
        <v>0</v>
      </c>
      <c r="Q480" s="6">
        <f>[1]Emissions!P897</f>
        <v>0</v>
      </c>
      <c r="R480" s="6">
        <f>[1]Emissions!Q897</f>
        <v>0</v>
      </c>
      <c r="S480" s="6">
        <f>[1]Emissions!R897</f>
        <v>0</v>
      </c>
      <c r="T480" s="6">
        <f>[1]Emissions!S897</f>
        <v>0</v>
      </c>
      <c r="U480" s="6">
        <f>[1]Emissions!T897</f>
        <v>0</v>
      </c>
      <c r="V480" s="6">
        <f>[1]Emissions!U897</f>
        <v>0</v>
      </c>
      <c r="W480" s="6">
        <f>[1]Emissions!V897</f>
        <v>0</v>
      </c>
      <c r="X480" s="6">
        <f>[1]Emissions!W897</f>
        <v>0</v>
      </c>
      <c r="Y480" s="6">
        <f>[1]Emissions!X897</f>
        <v>0</v>
      </c>
      <c r="Z480" s="6">
        <f>[1]Emissions!Y897</f>
        <v>0</v>
      </c>
      <c r="AA480" s="6">
        <f>[1]Emissions!Z897</f>
        <v>0</v>
      </c>
      <c r="AB480" s="6">
        <f>[1]Emissions!AA897</f>
        <v>0</v>
      </c>
      <c r="AC480" s="6">
        <f>[1]Emissions!AB897</f>
        <v>0</v>
      </c>
      <c r="AD480" s="6">
        <f>[1]Emissions!AC897</f>
        <v>0</v>
      </c>
      <c r="AE480" s="6">
        <f>[1]Emissions!AD897</f>
        <v>0</v>
      </c>
      <c r="AF480" s="6">
        <f>[1]Emissions!AE897</f>
        <v>0</v>
      </c>
      <c r="AG480" s="6">
        <f>[1]Emissions!AF897</f>
        <v>0</v>
      </c>
      <c r="AH480" s="6">
        <f>[1]Emissions!AG897</f>
        <v>0</v>
      </c>
      <c r="AI480" s="6">
        <f>[1]Emissions!AH897</f>
        <v>0</v>
      </c>
      <c r="AJ480" s="6">
        <f>[1]Emissions!AI897</f>
        <v>0</v>
      </c>
      <c r="AK480" s="6">
        <f>[1]Emissions!AJ897</f>
        <v>0</v>
      </c>
      <c r="AL480" s="6">
        <f>[1]Emissions!AK897</f>
        <v>0</v>
      </c>
    </row>
    <row r="481" spans="2:38" x14ac:dyDescent="0.35">
      <c r="B481" s="6" t="str">
        <f>[1]Emissions!A898</f>
        <v>ems_mat_co2_sega_2</v>
      </c>
      <c r="C481" s="6">
        <f>[1]Emissions!B898</f>
        <v>0.31214331439999998</v>
      </c>
      <c r="D481" s="6">
        <f>[1]Emissions!C898</f>
        <v>0.31563882170000002</v>
      </c>
      <c r="E481" s="6">
        <f>[1]Emissions!D898</f>
        <v>0.31876398109999998</v>
      </c>
      <c r="F481" s="6">
        <f>[1]Emissions!E898</f>
        <v>0.32225948450000003</v>
      </c>
      <c r="G481" s="6">
        <f>[1]Emissions!F898</f>
        <v>0.32573814719999999</v>
      </c>
      <c r="H481" s="6">
        <f>[1]Emissions!G898</f>
        <v>0.32954763250000002</v>
      </c>
      <c r="I481" s="6">
        <f>[1]Emissions!H898</f>
        <v>0.33389033550000002</v>
      </c>
      <c r="J481" s="6">
        <f>[1]Emissions!I898</f>
        <v>0.33094961509999998</v>
      </c>
      <c r="K481" s="6">
        <f>[1]Emissions!J898</f>
        <v>0.32774158180000001</v>
      </c>
      <c r="L481" s="6">
        <f>[1]Emissions!K898</f>
        <v>0.32625442840000002</v>
      </c>
      <c r="M481" s="6">
        <f>[1]Emissions!L898</f>
        <v>0.32518928629999999</v>
      </c>
      <c r="N481" s="6">
        <f>[1]Emissions!M898</f>
        <v>0.3235182399</v>
      </c>
      <c r="O481" s="6">
        <f>[1]Emissions!N898</f>
        <v>0.3210279935</v>
      </c>
      <c r="P481" s="6">
        <f>[1]Emissions!O898</f>
        <v>0.31748999880000001</v>
      </c>
      <c r="Q481" s="6">
        <f>[1]Emissions!P898</f>
        <v>0.3130434137</v>
      </c>
      <c r="R481" s="6">
        <f>[1]Emissions!Q898</f>
        <v>0.30774930560000002</v>
      </c>
      <c r="S481" s="6">
        <f>[1]Emissions!R898</f>
        <v>0.30126539000000002</v>
      </c>
      <c r="T481" s="6">
        <f>[1]Emissions!S898</f>
        <v>0.2939985276</v>
      </c>
      <c r="U481" s="6">
        <f>[1]Emissions!T898</f>
        <v>0.28596353949999997</v>
      </c>
      <c r="V481" s="6">
        <f>[1]Emissions!U898</f>
        <v>0.2771497429</v>
      </c>
      <c r="W481" s="6">
        <f>[1]Emissions!V898</f>
        <v>0.26756708159999998</v>
      </c>
      <c r="X481" s="6">
        <f>[1]Emissions!W898</f>
        <v>0.25723575069999999</v>
      </c>
      <c r="Y481" s="6">
        <f>[1]Emissions!X898</f>
        <v>0.2461781797</v>
      </c>
      <c r="Z481" s="6">
        <f>[1]Emissions!Y898</f>
        <v>0.2343797809</v>
      </c>
      <c r="AA481" s="6">
        <f>[1]Emissions!Z898</f>
        <v>0.22180114109999999</v>
      </c>
      <c r="AB481" s="6">
        <f>[1]Emissions!AA898</f>
        <v>0.20840360920000001</v>
      </c>
      <c r="AC481" s="6">
        <f>[1]Emissions!AB898</f>
        <v>0.19425972150000001</v>
      </c>
      <c r="AD481" s="6">
        <f>[1]Emissions!AC898</f>
        <v>0.1792899339</v>
      </c>
      <c r="AE481" s="6">
        <f>[1]Emissions!AD898</f>
        <v>0.16342148440000001</v>
      </c>
      <c r="AF481" s="6">
        <f>[1]Emissions!AE898</f>
        <v>0.1465534942</v>
      </c>
      <c r="AG481" s="6">
        <f>[1]Emissions!AF898</f>
        <v>0.1285930703</v>
      </c>
      <c r="AH481" s="6">
        <f>[1]Emissions!AG898</f>
        <v>0.1094840091</v>
      </c>
      <c r="AI481" s="6">
        <f>[1]Emissions!AH898</f>
        <v>8.9193594900000006E-2</v>
      </c>
      <c r="AJ481" s="6">
        <f>[1]Emissions!AI898</f>
        <v>6.7690452499999998E-2</v>
      </c>
      <c r="AK481" s="6">
        <f>[1]Emissions!AJ898</f>
        <v>4.4944580300000002E-2</v>
      </c>
      <c r="AL481" s="6">
        <f>[1]Emissions!AK898</f>
        <v>2.08776686E-2</v>
      </c>
    </row>
    <row r="482" spans="2:38" x14ac:dyDescent="0.35">
      <c r="B482" s="6" t="str">
        <f>[1]Emissions!A899</f>
        <v>ems_ci_co2_seco_2</v>
      </c>
      <c r="C482" s="6">
        <f>[1]Emissions!B899</f>
        <v>4.5430306859999998</v>
      </c>
      <c r="D482" s="6">
        <f>[1]Emissions!C899</f>
        <v>4.5939053220000003</v>
      </c>
      <c r="E482" s="6">
        <f>[1]Emissions!D899</f>
        <v>4.6393897910000002</v>
      </c>
      <c r="F482" s="6">
        <f>[1]Emissions!E899</f>
        <v>4.690264344</v>
      </c>
      <c r="G482" s="6">
        <f>[1]Emissions!F899</f>
        <v>4.7408938159999998</v>
      </c>
      <c r="H482" s="6">
        <f>[1]Emissions!G899</f>
        <v>4.796338199</v>
      </c>
      <c r="I482" s="6">
        <f>[1]Emissions!H899</f>
        <v>4.8595432059999997</v>
      </c>
      <c r="J482" s="6">
        <f>[1]Emissions!I899</f>
        <v>4.8212802310000002</v>
      </c>
      <c r="K482" s="6">
        <f>[1]Emissions!J899</f>
        <v>4.7798275779999999</v>
      </c>
      <c r="L482" s="6">
        <f>[1]Emissions!K899</f>
        <v>4.7638055030000004</v>
      </c>
      <c r="M482" s="6">
        <f>[1]Emissions!L899</f>
        <v>4.7543147030000004</v>
      </c>
      <c r="N482" s="6">
        <f>[1]Emissions!M899</f>
        <v>4.7363796589999998</v>
      </c>
      <c r="O482" s="6">
        <f>[1]Emissions!N899</f>
        <v>4.7068940699999997</v>
      </c>
      <c r="P482" s="6">
        <f>[1]Emissions!O899</f>
        <v>4.6625093209999999</v>
      </c>
      <c r="Q482" s="6">
        <f>[1]Emissions!P899</f>
        <v>4.6052625420000002</v>
      </c>
      <c r="R482" s="6">
        <f>[1]Emissions!Q899</f>
        <v>4.5360523800000001</v>
      </c>
      <c r="S482" s="6">
        <f>[1]Emissions!R899</f>
        <v>4.4498260280000004</v>
      </c>
      <c r="T482" s="6">
        <f>[1]Emissions!S899</f>
        <v>4.3525748220000002</v>
      </c>
      <c r="U482" s="6">
        <f>[1]Emissions!T899</f>
        <v>4.244525383</v>
      </c>
      <c r="V482" s="6">
        <f>[1]Emissions!U899</f>
        <v>4.1255284369999998</v>
      </c>
      <c r="W482" s="6">
        <f>[1]Emissions!V899</f>
        <v>3.995742898</v>
      </c>
      <c r="X482" s="6">
        <f>[1]Emissions!W899</f>
        <v>3.8554861219999998</v>
      </c>
      <c r="Y482" s="6">
        <f>[1]Emissions!X899</f>
        <v>3.7051182310000002</v>
      </c>
      <c r="Z482" s="6">
        <f>[1]Emissions!Y899</f>
        <v>3.5444529189999998</v>
      </c>
      <c r="AA482" s="6">
        <f>[1]Emissions!Z899</f>
        <v>3.3729329199999998</v>
      </c>
      <c r="AB482" s="6">
        <f>[1]Emissions!AA899</f>
        <v>3.1900123250000001</v>
      </c>
      <c r="AC482" s="6">
        <f>[1]Emissions!AB899</f>
        <v>2.9968606169999998</v>
      </c>
      <c r="AD482" s="6">
        <f>[1]Emissions!AC899</f>
        <v>2.792344001</v>
      </c>
      <c r="AE482" s="6">
        <f>[1]Emissions!AD899</f>
        <v>2.5754303529999998</v>
      </c>
      <c r="AF482" s="6">
        <f>[1]Emissions!AE899</f>
        <v>2.344635223</v>
      </c>
      <c r="AG482" s="6">
        <f>[1]Emissions!AF899</f>
        <v>2.0985641730000002</v>
      </c>
      <c r="AH482" s="6">
        <f>[1]Emissions!AG899</f>
        <v>1.8363719999999999</v>
      </c>
      <c r="AI482" s="6">
        <f>[1]Emissions!AH899</f>
        <v>1.557576818</v>
      </c>
      <c r="AJ482" s="6">
        <f>[1]Emissions!AI899</f>
        <v>1.261715208</v>
      </c>
      <c r="AK482" s="6">
        <f>[1]Emissions!AJ899</f>
        <v>0.94843537369999997</v>
      </c>
      <c r="AL482" s="6">
        <f>[1]Emissions!AK899</f>
        <v>0.6174037027</v>
      </c>
    </row>
    <row r="483" spans="2:38" x14ac:dyDescent="0.35">
      <c r="B483" s="6" t="str">
        <f>[1]Emissions!A900</f>
        <v>ems_y_co2_seco_2</v>
      </c>
      <c r="C483" s="6">
        <f>[1]Emissions!B900</f>
        <v>0</v>
      </c>
      <c r="D483" s="6">
        <f>[1]Emissions!C900</f>
        <v>0</v>
      </c>
      <c r="E483" s="6">
        <f>[1]Emissions!D900</f>
        <v>0</v>
      </c>
      <c r="F483" s="6">
        <f>[1]Emissions!E900</f>
        <v>0</v>
      </c>
      <c r="G483" s="6">
        <f>[1]Emissions!F900</f>
        <v>0</v>
      </c>
      <c r="H483" s="6">
        <f>[1]Emissions!G900</f>
        <v>0</v>
      </c>
      <c r="I483" s="6">
        <f>[1]Emissions!H900</f>
        <v>0</v>
      </c>
      <c r="J483" s="6">
        <f>[1]Emissions!I900</f>
        <v>0</v>
      </c>
      <c r="K483" s="6">
        <f>[1]Emissions!J900</f>
        <v>0</v>
      </c>
      <c r="L483" s="6">
        <f>[1]Emissions!K900</f>
        <v>0</v>
      </c>
      <c r="M483" s="6">
        <f>[1]Emissions!L900</f>
        <v>0</v>
      </c>
      <c r="N483" s="6">
        <f>[1]Emissions!M900</f>
        <v>0</v>
      </c>
      <c r="O483" s="6">
        <f>[1]Emissions!N900</f>
        <v>0</v>
      </c>
      <c r="P483" s="6">
        <f>[1]Emissions!O900</f>
        <v>0</v>
      </c>
      <c r="Q483" s="6">
        <f>[1]Emissions!P900</f>
        <v>0</v>
      </c>
      <c r="R483" s="6">
        <f>[1]Emissions!Q900</f>
        <v>0</v>
      </c>
      <c r="S483" s="6">
        <f>[1]Emissions!R900</f>
        <v>0</v>
      </c>
      <c r="T483" s="6">
        <f>[1]Emissions!S900</f>
        <v>0</v>
      </c>
      <c r="U483" s="6">
        <f>[1]Emissions!T900</f>
        <v>0</v>
      </c>
      <c r="V483" s="6">
        <f>[1]Emissions!U900</f>
        <v>0</v>
      </c>
      <c r="W483" s="6">
        <f>[1]Emissions!V900</f>
        <v>0</v>
      </c>
      <c r="X483" s="6">
        <f>[1]Emissions!W900</f>
        <v>0</v>
      </c>
      <c r="Y483" s="6">
        <f>[1]Emissions!X900</f>
        <v>0</v>
      </c>
      <c r="Z483" s="6">
        <f>[1]Emissions!Y900</f>
        <v>0</v>
      </c>
      <c r="AA483" s="6">
        <f>[1]Emissions!Z900</f>
        <v>0</v>
      </c>
      <c r="AB483" s="6">
        <f>[1]Emissions!AA900</f>
        <v>0</v>
      </c>
      <c r="AC483" s="6">
        <f>[1]Emissions!AB900</f>
        <v>0</v>
      </c>
      <c r="AD483" s="6">
        <f>[1]Emissions!AC900</f>
        <v>0</v>
      </c>
      <c r="AE483" s="6">
        <f>[1]Emissions!AD900</f>
        <v>0</v>
      </c>
      <c r="AF483" s="6">
        <f>[1]Emissions!AE900</f>
        <v>0</v>
      </c>
      <c r="AG483" s="6">
        <f>[1]Emissions!AF900</f>
        <v>0</v>
      </c>
      <c r="AH483" s="6">
        <f>[1]Emissions!AG900</f>
        <v>0</v>
      </c>
      <c r="AI483" s="6">
        <f>[1]Emissions!AH900</f>
        <v>0</v>
      </c>
      <c r="AJ483" s="6">
        <f>[1]Emissions!AI900</f>
        <v>0</v>
      </c>
      <c r="AK483" s="6">
        <f>[1]Emissions!AJ900</f>
        <v>0</v>
      </c>
      <c r="AL483" s="6">
        <f>[1]Emissions!AK900</f>
        <v>0</v>
      </c>
    </row>
    <row r="484" spans="2:38" x14ac:dyDescent="0.35">
      <c r="B484" s="6" t="str">
        <f>[1]Emissions!A901</f>
        <v>ems_mat_co2_seco_2</v>
      </c>
      <c r="C484" s="6">
        <f>[1]Emissions!B901</f>
        <v>0.31136660529999999</v>
      </c>
      <c r="D484" s="6">
        <f>[1]Emissions!C901</f>
        <v>0.31485341480000001</v>
      </c>
      <c r="E484" s="6">
        <f>[1]Emissions!D901</f>
        <v>0.31797079779999998</v>
      </c>
      <c r="F484" s="6">
        <f>[1]Emissions!E901</f>
        <v>0.32145760330000001</v>
      </c>
      <c r="G484" s="6">
        <f>[1]Emissions!F901</f>
        <v>0.32492760999999998</v>
      </c>
      <c r="H484" s="6">
        <f>[1]Emissions!G901</f>
        <v>0.32872761620000002</v>
      </c>
      <c r="I484" s="6">
        <f>[1]Emissions!H901</f>
        <v>0.33305951319999999</v>
      </c>
      <c r="J484" s="6">
        <f>[1]Emissions!I901</f>
        <v>0.33043713590000001</v>
      </c>
      <c r="K484" s="6">
        <f>[1]Emissions!J901</f>
        <v>0.32759614469999998</v>
      </c>
      <c r="L484" s="6">
        <f>[1]Emissions!K901</f>
        <v>0.32649809390000001</v>
      </c>
      <c r="M484" s="6">
        <f>[1]Emissions!L901</f>
        <v>0.3258476776</v>
      </c>
      <c r="N484" s="6">
        <f>[1]Emissions!M901</f>
        <v>0.32461851429999999</v>
      </c>
      <c r="O484" s="6">
        <f>[1]Emissions!N901</f>
        <v>0.32259770329999998</v>
      </c>
      <c r="P484" s="6">
        <f>[1]Emissions!O901</f>
        <v>0.31955574320000002</v>
      </c>
      <c r="Q484" s="6">
        <f>[1]Emissions!P901</f>
        <v>0.31563225340000001</v>
      </c>
      <c r="R484" s="6">
        <f>[1]Emissions!Q901</f>
        <v>0.31088882410000002</v>
      </c>
      <c r="S484" s="6">
        <f>[1]Emissions!R901</f>
        <v>0.30497914980000002</v>
      </c>
      <c r="T484" s="6">
        <f>[1]Emissions!S901</f>
        <v>0.2983138595</v>
      </c>
      <c r="U484" s="6">
        <f>[1]Emissions!T901</f>
        <v>0.2909084851</v>
      </c>
      <c r="V484" s="6">
        <f>[1]Emissions!U901</f>
        <v>0.28275279510000001</v>
      </c>
      <c r="W484" s="6">
        <f>[1]Emissions!V901</f>
        <v>0.27385768090000001</v>
      </c>
      <c r="X484" s="6">
        <f>[1]Emissions!W901</f>
        <v>0.26424489249999999</v>
      </c>
      <c r="Y484" s="6">
        <f>[1]Emissions!X901</f>
        <v>0.25393911180000001</v>
      </c>
      <c r="Z484" s="6">
        <f>[1]Emissions!Y901</f>
        <v>0.24292756930000001</v>
      </c>
      <c r="AA484" s="6">
        <f>[1]Emissions!Z901</f>
        <v>0.2311720713</v>
      </c>
      <c r="AB484" s="6">
        <f>[1]Emissions!AA901</f>
        <v>0.21863520219999999</v>
      </c>
      <c r="AC484" s="6">
        <f>[1]Emissions!AB901</f>
        <v>0.2053971151</v>
      </c>
      <c r="AD484" s="6">
        <f>[1]Emissions!AC901</f>
        <v>0.19138010229999999</v>
      </c>
      <c r="AE484" s="6">
        <f>[1]Emissions!AD901</f>
        <v>0.17651342449999999</v>
      </c>
      <c r="AF484" s="6">
        <f>[1]Emissions!AE901</f>
        <v>0.1606953411</v>
      </c>
      <c r="AG484" s="6">
        <f>[1]Emissions!AF901</f>
        <v>0.14383028110000001</v>
      </c>
      <c r="AH484" s="6">
        <f>[1]Emissions!AG901</f>
        <v>0.12586031340000001</v>
      </c>
      <c r="AI484" s="6">
        <f>[1]Emissions!AH901</f>
        <v>0.1067523757</v>
      </c>
      <c r="AJ484" s="6">
        <f>[1]Emissions!AI901</f>
        <v>8.6474761100000005E-2</v>
      </c>
      <c r="AK484" s="6">
        <f>[1]Emissions!AJ901</f>
        <v>6.5002857400000003E-2</v>
      </c>
      <c r="AL484" s="6">
        <f>[1]Emissions!AK901</f>
        <v>4.2314910400000003E-2</v>
      </c>
    </row>
    <row r="485" spans="2:38" x14ac:dyDescent="0.35">
      <c r="B485" s="6" t="str">
        <f>[1]Emissions!A902</f>
        <v>ems_ci_co2_sech_2</v>
      </c>
      <c r="C485" s="6">
        <f>[1]Emissions!B902</f>
        <v>2.5433200010000001</v>
      </c>
      <c r="D485" s="6">
        <f>[1]Emissions!C902</f>
        <v>2.5377520910000002</v>
      </c>
      <c r="E485" s="6">
        <f>[1]Emissions!D902</f>
        <v>2.5430616189999999</v>
      </c>
      <c r="F485" s="6">
        <f>[1]Emissions!E902</f>
        <v>2.5554738700000001</v>
      </c>
      <c r="G485" s="6">
        <f>[1]Emissions!F902</f>
        <v>2.5732524840000002</v>
      </c>
      <c r="H485" s="6">
        <f>[1]Emissions!G902</f>
        <v>2.5961263130000001</v>
      </c>
      <c r="I485" s="6">
        <f>[1]Emissions!H902</f>
        <v>2.6237686770000002</v>
      </c>
      <c r="J485" s="6">
        <f>[1]Emissions!I902</f>
        <v>2.7130079450000002</v>
      </c>
      <c r="K485" s="6">
        <f>[1]Emissions!J902</f>
        <v>2.8146925669999998</v>
      </c>
      <c r="L485" s="6">
        <f>[1]Emissions!K902</f>
        <v>2.931733114</v>
      </c>
      <c r="M485" s="6">
        <f>[1]Emissions!L902</f>
        <v>3.0587397439999999</v>
      </c>
      <c r="N485" s="6">
        <f>[1]Emissions!M902</f>
        <v>3.1923474180000002</v>
      </c>
      <c r="O485" s="6">
        <f>[1]Emissions!N902</f>
        <v>3.3304577499999999</v>
      </c>
      <c r="P485" s="6">
        <f>[1]Emissions!O902</f>
        <v>3.4701196799999998</v>
      </c>
      <c r="Q485" s="6">
        <f>[1]Emissions!P902</f>
        <v>3.6114650949999998</v>
      </c>
      <c r="R485" s="6">
        <f>[1]Emissions!Q902</f>
        <v>3.7545806939999999</v>
      </c>
      <c r="S485" s="6">
        <f>[1]Emissions!R902</f>
        <v>3.8957666209999999</v>
      </c>
      <c r="T485" s="6">
        <f>[1]Emissions!S902</f>
        <v>4.0377639070000004</v>
      </c>
      <c r="U485" s="6">
        <f>[1]Emissions!T902</f>
        <v>4.1808944769999998</v>
      </c>
      <c r="V485" s="6">
        <f>[1]Emissions!U902</f>
        <v>4.3252859920000004</v>
      </c>
      <c r="W485" s="6">
        <f>[1]Emissions!V902</f>
        <v>4.4712513229999997</v>
      </c>
      <c r="X485" s="6">
        <f>[1]Emissions!W902</f>
        <v>4.6192724949999997</v>
      </c>
      <c r="Y485" s="6">
        <f>[1]Emissions!X902</f>
        <v>4.7700130649999997</v>
      </c>
      <c r="Z485" s="6">
        <f>[1]Emissions!Y902</f>
        <v>4.9237125529999997</v>
      </c>
      <c r="AA485" s="6">
        <f>[1]Emissions!Z902</f>
        <v>5.0802346910000002</v>
      </c>
      <c r="AB485" s="6">
        <f>[1]Emissions!AA902</f>
        <v>5.2394411539999997</v>
      </c>
      <c r="AC485" s="6">
        <f>[1]Emissions!AB902</f>
        <v>5.4035996080000004</v>
      </c>
      <c r="AD485" s="6">
        <f>[1]Emissions!AC902</f>
        <v>5.5726870579999996</v>
      </c>
      <c r="AE485" s="6">
        <f>[1]Emissions!AD902</f>
        <v>5.7465372710000002</v>
      </c>
      <c r="AF485" s="6">
        <f>[1]Emissions!AE902</f>
        <v>5.9238530620000001</v>
      </c>
      <c r="AG485" s="6">
        <f>[1]Emissions!AF902</f>
        <v>6.1028552009999997</v>
      </c>
      <c r="AH485" s="6">
        <f>[1]Emissions!AG902</f>
        <v>6.2823430660000001</v>
      </c>
      <c r="AI485" s="6">
        <f>[1]Emissions!AH902</f>
        <v>6.4616779510000004</v>
      </c>
      <c r="AJ485" s="6">
        <f>[1]Emissions!AI902</f>
        <v>6.6399548949999998</v>
      </c>
      <c r="AK485" s="6">
        <f>[1]Emissions!AJ902</f>
        <v>6.8162014329999998</v>
      </c>
      <c r="AL485" s="6">
        <f>[1]Emissions!AK902</f>
        <v>6.9896526540000004</v>
      </c>
    </row>
    <row r="486" spans="2:38" x14ac:dyDescent="0.35">
      <c r="B486" s="6" t="str">
        <f>[1]Emissions!A903</f>
        <v>ems_y_co2_sech_2</v>
      </c>
      <c r="C486" s="6">
        <f>[1]Emissions!B903</f>
        <v>0</v>
      </c>
      <c r="D486" s="6">
        <f>[1]Emissions!C903</f>
        <v>0</v>
      </c>
      <c r="E486" s="6">
        <f>[1]Emissions!D903</f>
        <v>0</v>
      </c>
      <c r="F486" s="6">
        <f>[1]Emissions!E903</f>
        <v>0</v>
      </c>
      <c r="G486" s="6">
        <f>[1]Emissions!F903</f>
        <v>0</v>
      </c>
      <c r="H486" s="6">
        <f>[1]Emissions!G903</f>
        <v>0</v>
      </c>
      <c r="I486" s="6">
        <f>[1]Emissions!H903</f>
        <v>0</v>
      </c>
      <c r="J486" s="6">
        <f>[1]Emissions!I903</f>
        <v>0</v>
      </c>
      <c r="K486" s="6">
        <f>[1]Emissions!J903</f>
        <v>0</v>
      </c>
      <c r="L486" s="6">
        <f>[1]Emissions!K903</f>
        <v>0</v>
      </c>
      <c r="M486" s="6">
        <f>[1]Emissions!L903</f>
        <v>0</v>
      </c>
      <c r="N486" s="6">
        <f>[1]Emissions!M903</f>
        <v>0</v>
      </c>
      <c r="O486" s="6">
        <f>[1]Emissions!N903</f>
        <v>0</v>
      </c>
      <c r="P486" s="6">
        <f>[1]Emissions!O903</f>
        <v>0</v>
      </c>
      <c r="Q486" s="6">
        <f>[1]Emissions!P903</f>
        <v>0</v>
      </c>
      <c r="R486" s="6">
        <f>[1]Emissions!Q903</f>
        <v>0</v>
      </c>
      <c r="S486" s="6">
        <f>[1]Emissions!R903</f>
        <v>0</v>
      </c>
      <c r="T486" s="6">
        <f>[1]Emissions!S903</f>
        <v>0</v>
      </c>
      <c r="U486" s="6">
        <f>[1]Emissions!T903</f>
        <v>0</v>
      </c>
      <c r="V486" s="6">
        <f>[1]Emissions!U903</f>
        <v>0</v>
      </c>
      <c r="W486" s="6">
        <f>[1]Emissions!V903</f>
        <v>0</v>
      </c>
      <c r="X486" s="6">
        <f>[1]Emissions!W903</f>
        <v>0</v>
      </c>
      <c r="Y486" s="6">
        <f>[1]Emissions!X903</f>
        <v>0</v>
      </c>
      <c r="Z486" s="6">
        <f>[1]Emissions!Y903</f>
        <v>0</v>
      </c>
      <c r="AA486" s="6">
        <f>[1]Emissions!Z903</f>
        <v>0</v>
      </c>
      <c r="AB486" s="6">
        <f>[1]Emissions!AA903</f>
        <v>0</v>
      </c>
      <c r="AC486" s="6">
        <f>[1]Emissions!AB903</f>
        <v>0</v>
      </c>
      <c r="AD486" s="6">
        <f>[1]Emissions!AC903</f>
        <v>0</v>
      </c>
      <c r="AE486" s="6">
        <f>[1]Emissions!AD903</f>
        <v>0</v>
      </c>
      <c r="AF486" s="6">
        <f>[1]Emissions!AE903</f>
        <v>0</v>
      </c>
      <c r="AG486" s="6">
        <f>[1]Emissions!AF903</f>
        <v>0</v>
      </c>
      <c r="AH486" s="6">
        <f>[1]Emissions!AG903</f>
        <v>0</v>
      </c>
      <c r="AI486" s="6">
        <f>[1]Emissions!AH903</f>
        <v>0</v>
      </c>
      <c r="AJ486" s="6">
        <f>[1]Emissions!AI903</f>
        <v>0</v>
      </c>
      <c r="AK486" s="6">
        <f>[1]Emissions!AJ903</f>
        <v>0</v>
      </c>
      <c r="AL486" s="6">
        <f>[1]Emissions!AK903</f>
        <v>0</v>
      </c>
    </row>
    <row r="487" spans="2:38" x14ac:dyDescent="0.35">
      <c r="B487" s="6" t="str">
        <f>[1]Emissions!A904</f>
        <v>ems_mat_co2_sech_2</v>
      </c>
      <c r="C487" s="6">
        <f>[1]Emissions!B904</f>
        <v>0.17845922289999999</v>
      </c>
      <c r="D487" s="6">
        <f>[1]Emissions!C904</f>
        <v>0.1806151872</v>
      </c>
      <c r="E487" s="6">
        <f>[1]Emissions!D904</f>
        <v>0.18265118399999999</v>
      </c>
      <c r="F487" s="6">
        <f>[1]Emissions!E904</f>
        <v>0.18474975199999999</v>
      </c>
      <c r="G487" s="6">
        <f>[1]Emissions!F904</f>
        <v>0.18677283110000001</v>
      </c>
      <c r="H487" s="6">
        <f>[1]Emissions!G904</f>
        <v>0.1888877155</v>
      </c>
      <c r="I487" s="6">
        <f>[1]Emissions!H904</f>
        <v>0.19118303119999999</v>
      </c>
      <c r="J487" s="6">
        <f>[1]Emissions!I904</f>
        <v>0.2005291655</v>
      </c>
      <c r="K487" s="6">
        <f>[1]Emissions!J904</f>
        <v>0.21110537469999999</v>
      </c>
      <c r="L487" s="6">
        <f>[1]Emissions!K904</f>
        <v>0.22314980949999999</v>
      </c>
      <c r="M487" s="6">
        <f>[1]Emissions!L904</f>
        <v>0.23629241209999999</v>
      </c>
      <c r="N487" s="6">
        <f>[1]Emissions!M904</f>
        <v>0.25015554639999998</v>
      </c>
      <c r="O487" s="6">
        <f>[1]Emissions!N904</f>
        <v>0.26464030179999998</v>
      </c>
      <c r="P487" s="6">
        <f>[1]Emissions!O904</f>
        <v>0.27956081929999999</v>
      </c>
      <c r="Q487" s="6">
        <f>[1]Emissions!P904</f>
        <v>0.29496329630000001</v>
      </c>
      <c r="R487" s="6">
        <f>[1]Emissions!Q904</f>
        <v>0.3108866656</v>
      </c>
      <c r="S487" s="6">
        <f>[1]Emissions!R904</f>
        <v>0.32717322059999998</v>
      </c>
      <c r="T487" s="6">
        <f>[1]Emissions!S904</f>
        <v>0.34404458290000001</v>
      </c>
      <c r="U487" s="6">
        <f>[1]Emissions!T904</f>
        <v>0.36153424350000002</v>
      </c>
      <c r="V487" s="6">
        <f>[1]Emissions!U904</f>
        <v>0.37966548890000001</v>
      </c>
      <c r="W487" s="6">
        <f>[1]Emissions!V904</f>
        <v>0.39848303390000001</v>
      </c>
      <c r="X487" s="6">
        <f>[1]Emissions!W904</f>
        <v>0.41805174490000002</v>
      </c>
      <c r="Y487" s="6">
        <f>[1]Emissions!X904</f>
        <v>0.4384594047</v>
      </c>
      <c r="Z487" s="6">
        <f>[1]Emissions!Y904</f>
        <v>0.45976229819999997</v>
      </c>
      <c r="AA487" s="6">
        <f>[1]Emissions!Z904</f>
        <v>0.48198537870000002</v>
      </c>
      <c r="AB487" s="6">
        <f>[1]Emissions!AA904</f>
        <v>0.50515592720000002</v>
      </c>
      <c r="AC487" s="6">
        <f>[1]Emissions!AB904</f>
        <v>0.52953599579999999</v>
      </c>
      <c r="AD487" s="6">
        <f>[1]Emissions!AC904</f>
        <v>0.5551772828</v>
      </c>
      <c r="AE487" s="6">
        <f>[1]Emissions!AD904</f>
        <v>0.58212491420000001</v>
      </c>
      <c r="AF487" s="6">
        <f>[1]Emissions!AE904</f>
        <v>0.61031163870000005</v>
      </c>
      <c r="AG487" s="6">
        <f>[1]Emissions!AF904</f>
        <v>0.63961410220000003</v>
      </c>
      <c r="AH487" s="6">
        <f>[1]Emissions!AG904</f>
        <v>0.66995832330000005</v>
      </c>
      <c r="AI487" s="6">
        <f>[1]Emissions!AH904</f>
        <v>0.70132194739999998</v>
      </c>
      <c r="AJ487" s="6">
        <f>[1]Emissions!AI904</f>
        <v>0.73364674789999995</v>
      </c>
      <c r="AK487" s="6">
        <f>[1]Emissions!AJ904</f>
        <v>0.76684677840000004</v>
      </c>
      <c r="AL487" s="6">
        <f>[1]Emissions!AK904</f>
        <v>0.80081099239999998</v>
      </c>
    </row>
    <row r="488" spans="2:38" x14ac:dyDescent="0.35">
      <c r="B488" s="6" t="str">
        <f>[1]Emissions!A905</f>
        <v>ems_ci_co2_seot_2</v>
      </c>
      <c r="C488" s="6">
        <f>[1]Emissions!B905</f>
        <v>1.37899843</v>
      </c>
      <c r="D488" s="6">
        <f>[1]Emissions!C905</f>
        <v>1.1678327909999999</v>
      </c>
      <c r="E488" s="6">
        <f>[1]Emissions!D905</f>
        <v>1.0371870599999999</v>
      </c>
      <c r="F488" s="6">
        <f>[1]Emissions!E905</f>
        <v>0.94744879449999997</v>
      </c>
      <c r="G488" s="6">
        <f>[1]Emissions!F905</f>
        <v>0.89471198220000003</v>
      </c>
      <c r="H488" s="6">
        <f>[1]Emissions!G905</f>
        <v>0.86467226529999996</v>
      </c>
      <c r="I488" s="6">
        <f>[1]Emissions!H905</f>
        <v>0.84947267879999999</v>
      </c>
      <c r="J488" s="6">
        <f>[1]Emissions!I905</f>
        <v>0.81437497619999999</v>
      </c>
      <c r="K488" s="6">
        <f>[1]Emissions!J905</f>
        <v>0.78728530100000005</v>
      </c>
      <c r="L488" s="6">
        <f>[1]Emissions!K905</f>
        <v>0.77183059740000004</v>
      </c>
      <c r="M488" s="6">
        <f>[1]Emissions!L905</f>
        <v>0.76410005869999997</v>
      </c>
      <c r="N488" s="6">
        <f>[1]Emissions!M905</f>
        <v>0.76308277250000001</v>
      </c>
      <c r="O488" s="6">
        <f>[1]Emissions!N905</f>
        <v>0.76633763040000002</v>
      </c>
      <c r="P488" s="6">
        <f>[1]Emissions!O905</f>
        <v>0.77199717430000003</v>
      </c>
      <c r="Q488" s="6">
        <f>[1]Emissions!P905</f>
        <v>0.77947982920000003</v>
      </c>
      <c r="R488" s="6">
        <f>[1]Emissions!Q905</f>
        <v>0.78830785989999996</v>
      </c>
      <c r="S488" s="6">
        <f>[1]Emissions!R905</f>
        <v>0.79617566390000005</v>
      </c>
      <c r="T488" s="6">
        <f>[1]Emissions!S905</f>
        <v>0.80424926640000005</v>
      </c>
      <c r="U488" s="6">
        <f>[1]Emissions!T905</f>
        <v>0.81264682529999999</v>
      </c>
      <c r="V488" s="6">
        <f>[1]Emissions!U905</f>
        <v>0.8213785898</v>
      </c>
      <c r="W488" s="6">
        <f>[1]Emissions!V905</f>
        <v>0.83049535839999999</v>
      </c>
      <c r="X488" s="6">
        <f>[1]Emissions!W905</f>
        <v>0.8400846985</v>
      </c>
      <c r="Y488" s="6">
        <f>[1]Emissions!X905</f>
        <v>0.85026413639999998</v>
      </c>
      <c r="Z488" s="6">
        <f>[1]Emissions!Y905</f>
        <v>0.86105406470000001</v>
      </c>
      <c r="AA488" s="6">
        <f>[1]Emissions!Z905</f>
        <v>0.87240122799999997</v>
      </c>
      <c r="AB488" s="6">
        <f>[1]Emissions!AA905</f>
        <v>0.88425838599999995</v>
      </c>
      <c r="AC488" s="6">
        <f>[1]Emissions!AB905</f>
        <v>0.89710160679999995</v>
      </c>
      <c r="AD488" s="6">
        <f>[1]Emissions!AC905</f>
        <v>0.91084293370000002</v>
      </c>
      <c r="AE488" s="6">
        <f>[1]Emissions!AD905</f>
        <v>0.92541739700000003</v>
      </c>
      <c r="AF488" s="6">
        <f>[1]Emissions!AE905</f>
        <v>0.94057806340000005</v>
      </c>
      <c r="AG488" s="6">
        <f>[1]Emissions!AF905</f>
        <v>0.95601736189999997</v>
      </c>
      <c r="AH488" s="6">
        <f>[1]Emissions!AG905</f>
        <v>0.97155131179999998</v>
      </c>
      <c r="AI488" s="6">
        <f>[1]Emissions!AH905</f>
        <v>0.98710435019999998</v>
      </c>
      <c r="AJ488" s="6">
        <f>[1]Emissions!AI905</f>
        <v>1.0025607379999999</v>
      </c>
      <c r="AK488" s="6">
        <f>[1]Emissions!AJ905</f>
        <v>1.0177998539999999</v>
      </c>
      <c r="AL488" s="6">
        <f>[1]Emissions!AK905</f>
        <v>1.03273865</v>
      </c>
    </row>
    <row r="489" spans="2:38" x14ac:dyDescent="0.35">
      <c r="B489" s="6" t="str">
        <f>[1]Emissions!A906</f>
        <v>ems_y_co2_seot_2</v>
      </c>
      <c r="C489" s="6">
        <f>[1]Emissions!B906</f>
        <v>0</v>
      </c>
      <c r="D489" s="6">
        <f>[1]Emissions!C906</f>
        <v>0</v>
      </c>
      <c r="E489" s="6">
        <f>[1]Emissions!D906</f>
        <v>0</v>
      </c>
      <c r="F489" s="6">
        <f>[1]Emissions!E906</f>
        <v>0</v>
      </c>
      <c r="G489" s="6">
        <f>[1]Emissions!F906</f>
        <v>0</v>
      </c>
      <c r="H489" s="6">
        <f>[1]Emissions!G906</f>
        <v>0</v>
      </c>
      <c r="I489" s="6">
        <f>[1]Emissions!H906</f>
        <v>0</v>
      </c>
      <c r="J489" s="6">
        <f>[1]Emissions!I906</f>
        <v>0</v>
      </c>
      <c r="K489" s="6">
        <f>[1]Emissions!J906</f>
        <v>0</v>
      </c>
      <c r="L489" s="6">
        <f>[1]Emissions!K906</f>
        <v>0</v>
      </c>
      <c r="M489" s="6">
        <f>[1]Emissions!L906</f>
        <v>0</v>
      </c>
      <c r="N489" s="6">
        <f>[1]Emissions!M906</f>
        <v>0</v>
      </c>
      <c r="O489" s="6">
        <f>[1]Emissions!N906</f>
        <v>0</v>
      </c>
      <c r="P489" s="6">
        <f>[1]Emissions!O906</f>
        <v>0</v>
      </c>
      <c r="Q489" s="6">
        <f>[1]Emissions!P906</f>
        <v>0</v>
      </c>
      <c r="R489" s="6">
        <f>[1]Emissions!Q906</f>
        <v>0</v>
      </c>
      <c r="S489" s="6">
        <f>[1]Emissions!R906</f>
        <v>0</v>
      </c>
      <c r="T489" s="6">
        <f>[1]Emissions!S906</f>
        <v>0</v>
      </c>
      <c r="U489" s="6">
        <f>[1]Emissions!T906</f>
        <v>0</v>
      </c>
      <c r="V489" s="6">
        <f>[1]Emissions!U906</f>
        <v>0</v>
      </c>
      <c r="W489" s="6">
        <f>[1]Emissions!V906</f>
        <v>0</v>
      </c>
      <c r="X489" s="6">
        <f>[1]Emissions!W906</f>
        <v>0</v>
      </c>
      <c r="Y489" s="6">
        <f>[1]Emissions!X906</f>
        <v>0</v>
      </c>
      <c r="Z489" s="6">
        <f>[1]Emissions!Y906</f>
        <v>0</v>
      </c>
      <c r="AA489" s="6">
        <f>[1]Emissions!Z906</f>
        <v>0</v>
      </c>
      <c r="AB489" s="6">
        <f>[1]Emissions!AA906</f>
        <v>0</v>
      </c>
      <c r="AC489" s="6">
        <f>[1]Emissions!AB906</f>
        <v>0</v>
      </c>
      <c r="AD489" s="6">
        <f>[1]Emissions!AC906</f>
        <v>0</v>
      </c>
      <c r="AE489" s="6">
        <f>[1]Emissions!AD906</f>
        <v>0</v>
      </c>
      <c r="AF489" s="6">
        <f>[1]Emissions!AE906</f>
        <v>0</v>
      </c>
      <c r="AG489" s="6">
        <f>[1]Emissions!AF906</f>
        <v>0</v>
      </c>
      <c r="AH489" s="6">
        <f>[1]Emissions!AG906</f>
        <v>0</v>
      </c>
      <c r="AI489" s="6">
        <f>[1]Emissions!AH906</f>
        <v>0</v>
      </c>
      <c r="AJ489" s="6">
        <f>[1]Emissions!AI906</f>
        <v>0</v>
      </c>
      <c r="AK489" s="6">
        <f>[1]Emissions!AJ906</f>
        <v>0</v>
      </c>
      <c r="AL489" s="6">
        <f>[1]Emissions!AK906</f>
        <v>0</v>
      </c>
    </row>
    <row r="490" spans="2:38" x14ac:dyDescent="0.35">
      <c r="B490" s="6" t="str">
        <f>[1]Emissions!A907</f>
        <v>ems_mat_co2_seot_2</v>
      </c>
      <c r="C490" s="6">
        <f>[1]Emissions!B907</f>
        <v>0.122788782</v>
      </c>
      <c r="D490" s="6">
        <f>[1]Emissions!C907</f>
        <v>0.12416382049999999</v>
      </c>
      <c r="E490" s="6">
        <f>[1]Emissions!D907</f>
        <v>0.1253931741</v>
      </c>
      <c r="F490" s="6">
        <f>[1]Emissions!E907</f>
        <v>0.1267682111</v>
      </c>
      <c r="G490" s="6">
        <f>[1]Emissions!F907</f>
        <v>0.12813662340000001</v>
      </c>
      <c r="H490" s="6">
        <f>[1]Emissions!G907</f>
        <v>0.12963517250000001</v>
      </c>
      <c r="I490" s="6">
        <f>[1]Emissions!H907</f>
        <v>0.13134347499999999</v>
      </c>
      <c r="J490" s="6">
        <f>[1]Emissions!I907</f>
        <v>0.13345389160000001</v>
      </c>
      <c r="K490" s="6">
        <f>[1]Emissions!J907</f>
        <v>0.1359693776</v>
      </c>
      <c r="L490" s="6">
        <f>[1]Emissions!K907</f>
        <v>0.13944142509999999</v>
      </c>
      <c r="M490" s="6">
        <f>[1]Emissions!L907</f>
        <v>0.14336087680000001</v>
      </c>
      <c r="N490" s="6">
        <f>[1]Emissions!M907</f>
        <v>0.14731202039999999</v>
      </c>
      <c r="O490" s="6">
        <f>[1]Emissions!N907</f>
        <v>0.15120931230000001</v>
      </c>
      <c r="P490" s="6">
        <f>[1]Emissions!O907</f>
        <v>0.1549467823</v>
      </c>
      <c r="Q490" s="6">
        <f>[1]Emissions!P907</f>
        <v>0.1585877054</v>
      </c>
      <c r="R490" s="6">
        <f>[1]Emissions!Q907</f>
        <v>0.16216329439999999</v>
      </c>
      <c r="S490" s="6">
        <f>[1]Emissions!R907</f>
        <v>0.16548773820000001</v>
      </c>
      <c r="T490" s="6">
        <f>[1]Emissions!S907</f>
        <v>0.16877154690000001</v>
      </c>
      <c r="U490" s="6">
        <f>[1]Emissions!T907</f>
        <v>0.1720285886</v>
      </c>
      <c r="V490" s="6">
        <f>[1]Emissions!U907</f>
        <v>0.17525933090000001</v>
      </c>
      <c r="W490" s="6">
        <f>[1]Emissions!V907</f>
        <v>0.17847814719999999</v>
      </c>
      <c r="X490" s="6">
        <f>[1]Emissions!W907</f>
        <v>0.18171015679999999</v>
      </c>
      <c r="Y490" s="6">
        <f>[1]Emissions!X907</f>
        <v>0.18498881649999999</v>
      </c>
      <c r="Z490" s="6">
        <f>[1]Emissions!Y907</f>
        <v>0.18832757489999999</v>
      </c>
      <c r="AA490" s="6">
        <f>[1]Emissions!Z907</f>
        <v>0.19172327519999999</v>
      </c>
      <c r="AB490" s="6">
        <f>[1]Emissions!AA907</f>
        <v>0.19517341590000001</v>
      </c>
      <c r="AC490" s="6">
        <f>[1]Emissions!AB907</f>
        <v>0.1987895656</v>
      </c>
      <c r="AD490" s="6">
        <f>[1]Emissions!AC907</f>
        <v>0.20255894860000001</v>
      </c>
      <c r="AE490" s="6">
        <f>[1]Emissions!AD907</f>
        <v>0.20647402419999999</v>
      </c>
      <c r="AF490" s="6">
        <f>[1]Emissions!AE907</f>
        <v>0.21048562840000001</v>
      </c>
      <c r="AG490" s="6">
        <f>[1]Emissions!AF907</f>
        <v>0.21452942159999999</v>
      </c>
      <c r="AH490" s="6">
        <f>[1]Emissions!AG907</f>
        <v>0.2185667862</v>
      </c>
      <c r="AI490" s="6">
        <f>[1]Emissions!AH907</f>
        <v>0.2225818859</v>
      </c>
      <c r="AJ490" s="6">
        <f>[1]Emissions!AI907</f>
        <v>0.2265481691</v>
      </c>
      <c r="AK490" s="6">
        <f>[1]Emissions!AJ907</f>
        <v>0.23043386839999999</v>
      </c>
      <c r="AL490" s="6">
        <f>[1]Emissions!AK907</f>
        <v>0.23420620289999999</v>
      </c>
    </row>
    <row r="491" spans="2:38" x14ac:dyDescent="0.35"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</row>
    <row r="492" spans="2:38" hidden="1" x14ac:dyDescent="0.35">
      <c r="B492" s="17" t="str">
        <f>[1]Emissions!A908</f>
        <v>ems_ci_co2_sagr_0</v>
      </c>
      <c r="C492" s="6">
        <f>[1]Emissions!B908</f>
        <v>11.80637836</v>
      </c>
      <c r="D492" s="6">
        <f>[1]Emissions!C908</f>
        <v>11.575444640000001</v>
      </c>
      <c r="E492" s="6">
        <f>[1]Emissions!D908</f>
        <v>11.360748320000001</v>
      </c>
      <c r="F492" s="6">
        <f>[1]Emissions!E908</f>
        <v>11.194046999999999</v>
      </c>
      <c r="G492" s="6">
        <f>[1]Emissions!F908</f>
        <v>11.13013726</v>
      </c>
      <c r="H492" s="6">
        <f>[1]Emissions!G908</f>
        <v>11.143240990000001</v>
      </c>
      <c r="I492" s="6">
        <f>[1]Emissions!H908</f>
        <v>11.16328934</v>
      </c>
      <c r="J492" s="6">
        <f>[1]Emissions!I908</f>
        <v>11.1723426</v>
      </c>
      <c r="K492" s="6">
        <f>[1]Emissions!J908</f>
        <v>11.16561619</v>
      </c>
      <c r="L492" s="6">
        <f>[1]Emissions!K908</f>
        <v>11.147452019999999</v>
      </c>
      <c r="M492" s="6">
        <f>[1]Emissions!L908</f>
        <v>11.123965480000001</v>
      </c>
      <c r="N492" s="6">
        <f>[1]Emissions!M908</f>
        <v>11.100202299999999</v>
      </c>
      <c r="O492" s="6">
        <f>[1]Emissions!N908</f>
        <v>11.07602683</v>
      </c>
      <c r="P492" s="6">
        <f>[1]Emissions!O908</f>
        <v>11.044808809999999</v>
      </c>
      <c r="Q492" s="6">
        <f>[1]Emissions!P908</f>
        <v>11.01149839</v>
      </c>
      <c r="R492" s="6">
        <f>[1]Emissions!Q908</f>
        <v>10.981768539999999</v>
      </c>
      <c r="S492" s="6">
        <f>[1]Emissions!R908</f>
        <v>10.992870610000001</v>
      </c>
      <c r="T492" s="6">
        <f>[1]Emissions!S908</f>
        <v>11.0509477</v>
      </c>
      <c r="U492" s="6">
        <f>[1]Emissions!T908</f>
        <v>11.1546614</v>
      </c>
      <c r="V492" s="6">
        <f>[1]Emissions!U908</f>
        <v>11.29940352</v>
      </c>
      <c r="W492" s="6">
        <f>[1]Emissions!V908</f>
        <v>11.48048183</v>
      </c>
      <c r="X492" s="6">
        <f>[1]Emissions!W908</f>
        <v>11.693705230000001</v>
      </c>
      <c r="Y492" s="6">
        <f>[1]Emissions!X908</f>
        <v>11.93687124</v>
      </c>
      <c r="Z492" s="6">
        <f>[1]Emissions!Y908</f>
        <v>12.20834498</v>
      </c>
      <c r="AA492" s="6">
        <f>[1]Emissions!Z908</f>
        <v>12.50622504</v>
      </c>
      <c r="AB492" s="6">
        <f>[1]Emissions!AA908</f>
        <v>12.82921696</v>
      </c>
      <c r="AC492" s="6">
        <f>[1]Emissions!AB908</f>
        <v>13.176673299999999</v>
      </c>
      <c r="AD492" s="6">
        <f>[1]Emissions!AC908</f>
        <v>13.54942076</v>
      </c>
      <c r="AE492" s="6">
        <f>[1]Emissions!AD908</f>
        <v>13.94724364</v>
      </c>
      <c r="AF492" s="6">
        <f>[1]Emissions!AE908</f>
        <v>14.366560460000001</v>
      </c>
      <c r="AG492" s="6">
        <f>[1]Emissions!AF908</f>
        <v>14.801940610000001</v>
      </c>
      <c r="AH492" s="6">
        <f>[1]Emissions!AG908</f>
        <v>15.24830014</v>
      </c>
      <c r="AI492" s="6">
        <f>[1]Emissions!AH908</f>
        <v>15.70158818</v>
      </c>
      <c r="AJ492" s="6">
        <f>[1]Emissions!AI908</f>
        <v>16.158313750000001</v>
      </c>
      <c r="AK492" s="6">
        <f>[1]Emissions!AJ908</f>
        <v>16.615282839999999</v>
      </c>
      <c r="AL492" s="6">
        <f>[1]Emissions!AK908</f>
        <v>17.069452040000002</v>
      </c>
    </row>
    <row r="493" spans="2:38" hidden="1" x14ac:dyDescent="0.35">
      <c r="B493" s="17" t="str">
        <f>[1]Emissions!A909</f>
        <v>ems_y_co2_sagr_0</v>
      </c>
      <c r="C493" s="6">
        <f>[1]Emissions!B909</f>
        <v>2.3457487299999999</v>
      </c>
      <c r="D493" s="6">
        <f>[1]Emissions!C909</f>
        <v>2.3251276540000001</v>
      </c>
      <c r="E493" s="6">
        <f>[1]Emissions!D909</f>
        <v>2.3192842819999999</v>
      </c>
      <c r="F493" s="6">
        <f>[1]Emissions!E909</f>
        <v>2.3317011170000002</v>
      </c>
      <c r="G493" s="6">
        <f>[1]Emissions!F909</f>
        <v>2.3546577609999999</v>
      </c>
      <c r="H493" s="6">
        <f>[1]Emissions!G909</f>
        <v>2.384310325</v>
      </c>
      <c r="I493" s="6">
        <f>[1]Emissions!H909</f>
        <v>2.417158213</v>
      </c>
      <c r="J493" s="6">
        <f>[1]Emissions!I909</f>
        <v>2.451566417</v>
      </c>
      <c r="K493" s="6">
        <f>[1]Emissions!J909</f>
        <v>2.4872802649999999</v>
      </c>
      <c r="L493" s="6">
        <f>[1]Emissions!K909</f>
        <v>2.5245216309999998</v>
      </c>
      <c r="M493" s="6">
        <f>[1]Emissions!L909</f>
        <v>2.5635714439999999</v>
      </c>
      <c r="N493" s="6">
        <f>[1]Emissions!M909</f>
        <v>2.604602157</v>
      </c>
      <c r="O493" s="6">
        <f>[1]Emissions!N909</f>
        <v>2.6467022729999998</v>
      </c>
      <c r="P493" s="6">
        <f>[1]Emissions!O909</f>
        <v>2.6875978819999999</v>
      </c>
      <c r="Q493" s="6">
        <f>[1]Emissions!P909</f>
        <v>2.728222503</v>
      </c>
      <c r="R493" s="6">
        <f>[1]Emissions!Q909</f>
        <v>2.7694897749999998</v>
      </c>
      <c r="S493" s="6">
        <f>[1]Emissions!R909</f>
        <v>2.8132490680000002</v>
      </c>
      <c r="T493" s="6">
        <f>[1]Emissions!S909</f>
        <v>2.860758696</v>
      </c>
      <c r="U493" s="6">
        <f>[1]Emissions!T909</f>
        <v>2.9124135670000002</v>
      </c>
      <c r="V493" s="6">
        <f>[1]Emissions!U909</f>
        <v>2.9680809450000001</v>
      </c>
      <c r="W493" s="6">
        <f>[1]Emissions!V909</f>
        <v>3.0277021369999999</v>
      </c>
      <c r="X493" s="6">
        <f>[1]Emissions!W909</f>
        <v>3.0912645240000001</v>
      </c>
      <c r="Y493" s="6">
        <f>[1]Emissions!X909</f>
        <v>3.159114094</v>
      </c>
      <c r="Z493" s="6">
        <f>[1]Emissions!Y909</f>
        <v>3.2314825219999999</v>
      </c>
      <c r="AA493" s="6">
        <f>[1]Emissions!Z909</f>
        <v>3.3083035930000002</v>
      </c>
      <c r="AB493" s="6">
        <f>[1]Emissions!AA909</f>
        <v>3.3896161450000002</v>
      </c>
      <c r="AC493" s="6">
        <f>[1]Emissions!AB909</f>
        <v>3.4755747509999999</v>
      </c>
      <c r="AD493" s="6">
        <f>[1]Emissions!AC909</f>
        <v>3.5667018819999998</v>
      </c>
      <c r="AE493" s="6">
        <f>[1]Emissions!AD909</f>
        <v>3.6631543190000002</v>
      </c>
      <c r="AF493" s="6">
        <f>[1]Emissions!AE909</f>
        <v>3.764283313</v>
      </c>
      <c r="AG493" s="6">
        <f>[1]Emissions!AF909</f>
        <v>3.8690780450000002</v>
      </c>
      <c r="AH493" s="6">
        <f>[1]Emissions!AG909</f>
        <v>3.9767125889999999</v>
      </c>
      <c r="AI493" s="6">
        <f>[1]Emissions!AH909</f>
        <v>4.0866232880000002</v>
      </c>
      <c r="AJ493" s="6">
        <f>[1]Emissions!AI909</f>
        <v>4.1983217130000003</v>
      </c>
      <c r="AK493" s="6">
        <f>[1]Emissions!AJ909</f>
        <v>4.3113277610000003</v>
      </c>
      <c r="AL493" s="6">
        <f>[1]Emissions!AK909</f>
        <v>4.4251389129999996</v>
      </c>
    </row>
    <row r="494" spans="2:38" hidden="1" x14ac:dyDescent="0.35">
      <c r="B494" s="17" t="str">
        <f>[1]Emissions!A910</f>
        <v>ems_mat_co2_sagr_0</v>
      </c>
      <c r="C494" s="6">
        <f>[1]Emissions!B910</f>
        <v>0</v>
      </c>
      <c r="D494" s="6">
        <f>[1]Emissions!C910</f>
        <v>0</v>
      </c>
      <c r="E494" s="6">
        <f>[1]Emissions!D910</f>
        <v>0</v>
      </c>
      <c r="F494" s="6">
        <f>[1]Emissions!E910</f>
        <v>0</v>
      </c>
      <c r="G494" s="6">
        <f>[1]Emissions!F910</f>
        <v>0</v>
      </c>
      <c r="H494" s="6">
        <f>[1]Emissions!G910</f>
        <v>0</v>
      </c>
      <c r="I494" s="6">
        <f>[1]Emissions!H910</f>
        <v>0</v>
      </c>
      <c r="J494" s="6">
        <f>[1]Emissions!I910</f>
        <v>0</v>
      </c>
      <c r="K494" s="6">
        <f>[1]Emissions!J910</f>
        <v>0</v>
      </c>
      <c r="L494" s="6">
        <f>[1]Emissions!K910</f>
        <v>0</v>
      </c>
      <c r="M494" s="6">
        <f>[1]Emissions!L910</f>
        <v>0</v>
      </c>
      <c r="N494" s="6">
        <f>[1]Emissions!M910</f>
        <v>0</v>
      </c>
      <c r="O494" s="6">
        <f>[1]Emissions!N910</f>
        <v>0</v>
      </c>
      <c r="P494" s="6">
        <f>[1]Emissions!O910</f>
        <v>0</v>
      </c>
      <c r="Q494" s="6">
        <f>[1]Emissions!P910</f>
        <v>0</v>
      </c>
      <c r="R494" s="6">
        <f>[1]Emissions!Q910</f>
        <v>0</v>
      </c>
      <c r="S494" s="6">
        <f>[1]Emissions!R910</f>
        <v>0</v>
      </c>
      <c r="T494" s="6">
        <f>[1]Emissions!S910</f>
        <v>0</v>
      </c>
      <c r="U494" s="6">
        <f>[1]Emissions!T910</f>
        <v>0</v>
      </c>
      <c r="V494" s="6">
        <f>[1]Emissions!U910</f>
        <v>0</v>
      </c>
      <c r="W494" s="6">
        <f>[1]Emissions!V910</f>
        <v>0</v>
      </c>
      <c r="X494" s="6">
        <f>[1]Emissions!W910</f>
        <v>0</v>
      </c>
      <c r="Y494" s="6">
        <f>[1]Emissions!X910</f>
        <v>0</v>
      </c>
      <c r="Z494" s="6">
        <f>[1]Emissions!Y910</f>
        <v>0</v>
      </c>
      <c r="AA494" s="6">
        <f>[1]Emissions!Z910</f>
        <v>0</v>
      </c>
      <c r="AB494" s="6">
        <f>[1]Emissions!AA910</f>
        <v>0</v>
      </c>
      <c r="AC494" s="6">
        <f>[1]Emissions!AB910</f>
        <v>0</v>
      </c>
      <c r="AD494" s="6">
        <f>[1]Emissions!AC910</f>
        <v>0</v>
      </c>
      <c r="AE494" s="6">
        <f>[1]Emissions!AD910</f>
        <v>0</v>
      </c>
      <c r="AF494" s="6">
        <f>[1]Emissions!AE910</f>
        <v>0</v>
      </c>
      <c r="AG494" s="6">
        <f>[1]Emissions!AF910</f>
        <v>0</v>
      </c>
      <c r="AH494" s="6">
        <f>[1]Emissions!AG910</f>
        <v>0</v>
      </c>
      <c r="AI494" s="6">
        <f>[1]Emissions!AH910</f>
        <v>0</v>
      </c>
      <c r="AJ494" s="6">
        <f>[1]Emissions!AI910</f>
        <v>0</v>
      </c>
      <c r="AK494" s="6">
        <f>[1]Emissions!AJ910</f>
        <v>0</v>
      </c>
      <c r="AL494" s="6">
        <f>[1]Emissions!AK910</f>
        <v>0</v>
      </c>
    </row>
    <row r="495" spans="2:38" hidden="1" x14ac:dyDescent="0.35">
      <c r="B495" s="17" t="str">
        <f>[1]Emissions!A911</f>
        <v>ems_ci_co2_sfor_0</v>
      </c>
      <c r="C495" s="6">
        <f>[1]Emissions!B911</f>
        <v>0.50982053059999999</v>
      </c>
      <c r="D495" s="6">
        <f>[1]Emissions!C911</f>
        <v>0.484554331</v>
      </c>
      <c r="E495" s="6">
        <f>[1]Emissions!D911</f>
        <v>0.4590019367</v>
      </c>
      <c r="F495" s="6">
        <f>[1]Emissions!E911</f>
        <v>0.43318517550000002</v>
      </c>
      <c r="G495" s="6">
        <f>[1]Emissions!F911</f>
        <v>0.41547702209999998</v>
      </c>
      <c r="H495" s="6">
        <f>[1]Emissions!G911</f>
        <v>0.40394792460000001</v>
      </c>
      <c r="I495" s="6">
        <f>[1]Emissions!H911</f>
        <v>0.3953491354</v>
      </c>
      <c r="J495" s="6">
        <f>[1]Emissions!I911</f>
        <v>0.38839390829999998</v>
      </c>
      <c r="K495" s="6">
        <f>[1]Emissions!J911</f>
        <v>0.3822339072</v>
      </c>
      <c r="L495" s="6">
        <f>[1]Emissions!K911</f>
        <v>0.37661167649999999</v>
      </c>
      <c r="M495" s="6">
        <f>[1]Emissions!L911</f>
        <v>0.37144580529999999</v>
      </c>
      <c r="N495" s="6">
        <f>[1]Emissions!M911</f>
        <v>0.36669574630000001</v>
      </c>
      <c r="O495" s="6">
        <f>[1]Emissions!N911</f>
        <v>0.3622206188</v>
      </c>
      <c r="P495" s="6">
        <f>[1]Emissions!O911</f>
        <v>0.35773175270000002</v>
      </c>
      <c r="Q495" s="6">
        <f>[1]Emissions!P911</f>
        <v>0.35333768119999998</v>
      </c>
      <c r="R495" s="6">
        <f>[1]Emissions!Q911</f>
        <v>0.34921462060000003</v>
      </c>
      <c r="S495" s="6">
        <f>[1]Emissions!R911</f>
        <v>0.34639930730000001</v>
      </c>
      <c r="T495" s="6">
        <f>[1]Emissions!S911</f>
        <v>0.34503862349999997</v>
      </c>
      <c r="U495" s="6">
        <f>[1]Emissions!T911</f>
        <v>0.34510357450000001</v>
      </c>
      <c r="V495" s="6">
        <f>[1]Emissions!U911</f>
        <v>0.34646919970000001</v>
      </c>
      <c r="W495" s="6">
        <f>[1]Emissions!V911</f>
        <v>0.34899701430000002</v>
      </c>
      <c r="X495" s="6">
        <f>[1]Emissions!W911</f>
        <v>0.35255337219999999</v>
      </c>
      <c r="Y495" s="6">
        <f>[1]Emissions!X911</f>
        <v>0.3570529959</v>
      </c>
      <c r="Z495" s="6">
        <f>[1]Emissions!Y911</f>
        <v>0.3624231597</v>
      </c>
      <c r="AA495" s="6">
        <f>[1]Emissions!Z911</f>
        <v>0.36858641120000002</v>
      </c>
      <c r="AB495" s="6">
        <f>[1]Emissions!AA911</f>
        <v>0.37548593470000002</v>
      </c>
      <c r="AC495" s="6">
        <f>[1]Emissions!AB911</f>
        <v>0.38308577579999997</v>
      </c>
      <c r="AD495" s="6">
        <f>[1]Emissions!AC911</f>
        <v>0.39138670050000002</v>
      </c>
      <c r="AE495" s="6">
        <f>[1]Emissions!AD911</f>
        <v>0.40036113420000002</v>
      </c>
      <c r="AF495" s="6">
        <f>[1]Emissions!AE911</f>
        <v>0.40987553409999999</v>
      </c>
      <c r="AG495" s="6">
        <f>[1]Emissions!AF911</f>
        <v>0.41974704909999999</v>
      </c>
      <c r="AH495" s="6">
        <f>[1]Emissions!AG911</f>
        <v>0.42981404239999998</v>
      </c>
      <c r="AI495" s="6">
        <f>[1]Emissions!AH911</f>
        <v>0.43995504390000001</v>
      </c>
      <c r="AJ495" s="6">
        <f>[1]Emissions!AI911</f>
        <v>0.45007496000000002</v>
      </c>
      <c r="AK495" s="6">
        <f>[1]Emissions!AJ911</f>
        <v>0.46009433840000002</v>
      </c>
      <c r="AL495" s="6">
        <f>[1]Emissions!AK911</f>
        <v>0.46994282310000002</v>
      </c>
    </row>
    <row r="496" spans="2:38" hidden="1" x14ac:dyDescent="0.35">
      <c r="B496" s="17" t="str">
        <f>[1]Emissions!A912</f>
        <v>ems_y_co2_sfor_0</v>
      </c>
      <c r="C496" s="6">
        <f>[1]Emissions!B912</f>
        <v>0</v>
      </c>
      <c r="D496" s="6">
        <f>[1]Emissions!C912</f>
        <v>0</v>
      </c>
      <c r="E496" s="6">
        <f>[1]Emissions!D912</f>
        <v>0</v>
      </c>
      <c r="F496" s="6">
        <f>[1]Emissions!E912</f>
        <v>0</v>
      </c>
      <c r="G496" s="6">
        <f>[1]Emissions!F912</f>
        <v>0</v>
      </c>
      <c r="H496" s="6">
        <f>[1]Emissions!G912</f>
        <v>0</v>
      </c>
      <c r="I496" s="6">
        <f>[1]Emissions!H912</f>
        <v>0</v>
      </c>
      <c r="J496" s="6">
        <f>[1]Emissions!I912</f>
        <v>0</v>
      </c>
      <c r="K496" s="6">
        <f>[1]Emissions!J912</f>
        <v>0</v>
      </c>
      <c r="L496" s="6">
        <f>[1]Emissions!K912</f>
        <v>0</v>
      </c>
      <c r="M496" s="6">
        <f>[1]Emissions!L912</f>
        <v>0</v>
      </c>
      <c r="N496" s="6">
        <f>[1]Emissions!M912</f>
        <v>0</v>
      </c>
      <c r="O496" s="6">
        <f>[1]Emissions!N912</f>
        <v>0</v>
      </c>
      <c r="P496" s="6">
        <f>[1]Emissions!O912</f>
        <v>0</v>
      </c>
      <c r="Q496" s="6">
        <f>[1]Emissions!P912</f>
        <v>0</v>
      </c>
      <c r="R496" s="6">
        <f>[1]Emissions!Q912</f>
        <v>0</v>
      </c>
      <c r="S496" s="6">
        <f>[1]Emissions!R912</f>
        <v>0</v>
      </c>
      <c r="T496" s="6">
        <f>[1]Emissions!S912</f>
        <v>0</v>
      </c>
      <c r="U496" s="6">
        <f>[1]Emissions!T912</f>
        <v>0</v>
      </c>
      <c r="V496" s="6">
        <f>[1]Emissions!U912</f>
        <v>0</v>
      </c>
      <c r="W496" s="6">
        <f>[1]Emissions!V912</f>
        <v>0</v>
      </c>
      <c r="X496" s="6">
        <f>[1]Emissions!W912</f>
        <v>0</v>
      </c>
      <c r="Y496" s="6">
        <f>[1]Emissions!X912</f>
        <v>0</v>
      </c>
      <c r="Z496" s="6">
        <f>[1]Emissions!Y912</f>
        <v>0</v>
      </c>
      <c r="AA496" s="6">
        <f>[1]Emissions!Z912</f>
        <v>0</v>
      </c>
      <c r="AB496" s="6">
        <f>[1]Emissions!AA912</f>
        <v>0</v>
      </c>
      <c r="AC496" s="6">
        <f>[1]Emissions!AB912</f>
        <v>0</v>
      </c>
      <c r="AD496" s="6">
        <f>[1]Emissions!AC912</f>
        <v>0</v>
      </c>
      <c r="AE496" s="6">
        <f>[1]Emissions!AD912</f>
        <v>0</v>
      </c>
      <c r="AF496" s="6">
        <f>[1]Emissions!AE912</f>
        <v>0</v>
      </c>
      <c r="AG496" s="6">
        <f>[1]Emissions!AF912</f>
        <v>0</v>
      </c>
      <c r="AH496" s="6">
        <f>[1]Emissions!AG912</f>
        <v>0</v>
      </c>
      <c r="AI496" s="6">
        <f>[1]Emissions!AH912</f>
        <v>0</v>
      </c>
      <c r="AJ496" s="6">
        <f>[1]Emissions!AI912</f>
        <v>0</v>
      </c>
      <c r="AK496" s="6">
        <f>[1]Emissions!AJ912</f>
        <v>0</v>
      </c>
      <c r="AL496" s="6">
        <f>[1]Emissions!AK912</f>
        <v>0</v>
      </c>
    </row>
    <row r="497" spans="2:38" hidden="1" x14ac:dyDescent="0.35">
      <c r="B497" s="17" t="str">
        <f>[1]Emissions!A913</f>
        <v>ems_mat_co2_sfor_0</v>
      </c>
      <c r="C497" s="6">
        <f>[1]Emissions!B913</f>
        <v>0</v>
      </c>
      <c r="D497" s="6">
        <f>[1]Emissions!C913</f>
        <v>0</v>
      </c>
      <c r="E497" s="6">
        <f>[1]Emissions!D913</f>
        <v>0</v>
      </c>
      <c r="F497" s="6">
        <f>[1]Emissions!E913</f>
        <v>0</v>
      </c>
      <c r="G497" s="6">
        <f>[1]Emissions!F913</f>
        <v>0</v>
      </c>
      <c r="H497" s="6">
        <f>[1]Emissions!G913</f>
        <v>0</v>
      </c>
      <c r="I497" s="6">
        <f>[1]Emissions!H913</f>
        <v>0</v>
      </c>
      <c r="J497" s="6">
        <f>[1]Emissions!I913</f>
        <v>0</v>
      </c>
      <c r="K497" s="6">
        <f>[1]Emissions!J913</f>
        <v>0</v>
      </c>
      <c r="L497" s="6">
        <f>[1]Emissions!K913</f>
        <v>0</v>
      </c>
      <c r="M497" s="6">
        <f>[1]Emissions!L913</f>
        <v>0</v>
      </c>
      <c r="N497" s="6">
        <f>[1]Emissions!M913</f>
        <v>0</v>
      </c>
      <c r="O497" s="6">
        <f>[1]Emissions!N913</f>
        <v>0</v>
      </c>
      <c r="P497" s="6">
        <f>[1]Emissions!O913</f>
        <v>0</v>
      </c>
      <c r="Q497" s="6">
        <f>[1]Emissions!P913</f>
        <v>0</v>
      </c>
      <c r="R497" s="6">
        <f>[1]Emissions!Q913</f>
        <v>0</v>
      </c>
      <c r="S497" s="6">
        <f>[1]Emissions!R913</f>
        <v>0</v>
      </c>
      <c r="T497" s="6">
        <f>[1]Emissions!S913</f>
        <v>0</v>
      </c>
      <c r="U497" s="6">
        <f>[1]Emissions!T913</f>
        <v>0</v>
      </c>
      <c r="V497" s="6">
        <f>[1]Emissions!U913</f>
        <v>0</v>
      </c>
      <c r="W497" s="6">
        <f>[1]Emissions!V913</f>
        <v>0</v>
      </c>
      <c r="X497" s="6">
        <f>[1]Emissions!W913</f>
        <v>0</v>
      </c>
      <c r="Y497" s="6">
        <f>[1]Emissions!X913</f>
        <v>0</v>
      </c>
      <c r="Z497" s="6">
        <f>[1]Emissions!Y913</f>
        <v>0</v>
      </c>
      <c r="AA497" s="6">
        <f>[1]Emissions!Z913</f>
        <v>0</v>
      </c>
      <c r="AB497" s="6">
        <f>[1]Emissions!AA913</f>
        <v>0</v>
      </c>
      <c r="AC497" s="6">
        <f>[1]Emissions!AB913</f>
        <v>0</v>
      </c>
      <c r="AD497" s="6">
        <f>[1]Emissions!AC913</f>
        <v>0</v>
      </c>
      <c r="AE497" s="6">
        <f>[1]Emissions!AD913</f>
        <v>0</v>
      </c>
      <c r="AF497" s="6">
        <f>[1]Emissions!AE913</f>
        <v>0</v>
      </c>
      <c r="AG497" s="6">
        <f>[1]Emissions!AF913</f>
        <v>0</v>
      </c>
      <c r="AH497" s="6">
        <f>[1]Emissions!AG913</f>
        <v>0</v>
      </c>
      <c r="AI497" s="6">
        <f>[1]Emissions!AH913</f>
        <v>0</v>
      </c>
      <c r="AJ497" s="6">
        <f>[1]Emissions!AI913</f>
        <v>0</v>
      </c>
      <c r="AK497" s="6">
        <f>[1]Emissions!AJ913</f>
        <v>0</v>
      </c>
      <c r="AL497" s="6">
        <f>[1]Emissions!AK913</f>
        <v>0</v>
      </c>
    </row>
    <row r="498" spans="2:38" hidden="1" x14ac:dyDescent="0.35">
      <c r="B498" s="17" t="str">
        <f>[1]Emissions!A914</f>
        <v>ems_ci_co2_sfoo_0</v>
      </c>
      <c r="C498" s="6">
        <f>[1]Emissions!B914</f>
        <v>9.7930422020000005</v>
      </c>
      <c r="D498" s="6">
        <f>[1]Emissions!C914</f>
        <v>9.6616597629999994</v>
      </c>
      <c r="E498" s="6">
        <f>[1]Emissions!D914</f>
        <v>9.5539564309999996</v>
      </c>
      <c r="F498" s="6">
        <f>[1]Emissions!E914</f>
        <v>9.4818029429999999</v>
      </c>
      <c r="G498" s="6">
        <f>[1]Emissions!F914</f>
        <v>9.4907554330000004</v>
      </c>
      <c r="H498" s="6">
        <f>[1]Emissions!G914</f>
        <v>9.5550503080000002</v>
      </c>
      <c r="I498" s="6">
        <f>[1]Emissions!H914</f>
        <v>9.6331305819999997</v>
      </c>
      <c r="J498" s="6">
        <f>[1]Emissions!I914</f>
        <v>9.709047258</v>
      </c>
      <c r="K498" s="6">
        <f>[1]Emissions!J914</f>
        <v>9.7769791529999992</v>
      </c>
      <c r="L498" s="6">
        <f>[1]Emissions!K914</f>
        <v>9.8392335529999997</v>
      </c>
      <c r="M498" s="6">
        <f>[1]Emissions!L914</f>
        <v>9.89953781</v>
      </c>
      <c r="N498" s="6">
        <f>[1]Emissions!M914</f>
        <v>9.961141671</v>
      </c>
      <c r="O498" s="6">
        <f>[1]Emissions!N914</f>
        <v>10.023690330000001</v>
      </c>
      <c r="P498" s="6">
        <f>[1]Emissions!O914</f>
        <v>10.08196257</v>
      </c>
      <c r="Q498" s="6">
        <f>[1]Emissions!P914</f>
        <v>10.13877763</v>
      </c>
      <c r="R498" s="6">
        <f>[1]Emissions!Q914</f>
        <v>10.19749418</v>
      </c>
      <c r="S498" s="6">
        <f>[1]Emissions!R914</f>
        <v>10.28181223</v>
      </c>
      <c r="T498" s="6">
        <f>[1]Emissions!S914</f>
        <v>10.39814737</v>
      </c>
      <c r="U498" s="6">
        <f>[1]Emissions!T914</f>
        <v>10.546375510000001</v>
      </c>
      <c r="V498" s="6">
        <f>[1]Emissions!U914</f>
        <v>10.72328154</v>
      </c>
      <c r="W498" s="6">
        <f>[1]Emissions!V914</f>
        <v>10.925426529999999</v>
      </c>
      <c r="X498" s="6">
        <f>[1]Emissions!W914</f>
        <v>11.14980624</v>
      </c>
      <c r="Y498" s="6">
        <f>[1]Emissions!X914</f>
        <v>11.39501415</v>
      </c>
      <c r="Z498" s="6">
        <f>[1]Emissions!Y914</f>
        <v>11.66010253</v>
      </c>
      <c r="AA498" s="6">
        <f>[1]Emissions!Z914</f>
        <v>11.9438271</v>
      </c>
      <c r="AB498" s="6">
        <f>[1]Emissions!AA914</f>
        <v>12.245381699999999</v>
      </c>
      <c r="AC498" s="6">
        <f>[1]Emissions!AB914</f>
        <v>12.56449164</v>
      </c>
      <c r="AD498" s="6">
        <f>[1]Emissions!AC914</f>
        <v>12.902142100000001</v>
      </c>
      <c r="AE498" s="6">
        <f>[1]Emissions!AD914</f>
        <v>13.25858828</v>
      </c>
      <c r="AF498" s="6">
        <f>[1]Emissions!AE914</f>
        <v>13.631763680000001</v>
      </c>
      <c r="AG498" s="6">
        <f>[1]Emissions!AF914</f>
        <v>14.01822924</v>
      </c>
      <c r="AH498" s="6">
        <f>[1]Emissions!AG914</f>
        <v>14.414758089999999</v>
      </c>
      <c r="AI498" s="6">
        <f>[1]Emissions!AH914</f>
        <v>14.81884157</v>
      </c>
      <c r="AJ498" s="6">
        <f>[1]Emissions!AI914</f>
        <v>15.22829286</v>
      </c>
      <c r="AK498" s="6">
        <f>[1]Emissions!AJ914</f>
        <v>15.641051879999999</v>
      </c>
      <c r="AL498" s="6">
        <f>[1]Emissions!AK914</f>
        <v>16.055078559999998</v>
      </c>
    </row>
    <row r="499" spans="2:38" hidden="1" x14ac:dyDescent="0.35">
      <c r="B499" s="17" t="str">
        <f>[1]Emissions!A915</f>
        <v>ems_y_co2_sfoo_0</v>
      </c>
      <c r="C499" s="6">
        <f>[1]Emissions!B915</f>
        <v>0</v>
      </c>
      <c r="D499" s="6">
        <f>[1]Emissions!C915</f>
        <v>0</v>
      </c>
      <c r="E499" s="6">
        <f>[1]Emissions!D915</f>
        <v>0</v>
      </c>
      <c r="F499" s="6">
        <f>[1]Emissions!E915</f>
        <v>0</v>
      </c>
      <c r="G499" s="6">
        <f>[1]Emissions!F915</f>
        <v>0</v>
      </c>
      <c r="H499" s="6">
        <f>[1]Emissions!G915</f>
        <v>0</v>
      </c>
      <c r="I499" s="6">
        <f>[1]Emissions!H915</f>
        <v>0</v>
      </c>
      <c r="J499" s="6">
        <f>[1]Emissions!I915</f>
        <v>0</v>
      </c>
      <c r="K499" s="6">
        <f>[1]Emissions!J915</f>
        <v>0</v>
      </c>
      <c r="L499" s="6">
        <f>[1]Emissions!K915</f>
        <v>0</v>
      </c>
      <c r="M499" s="6">
        <f>[1]Emissions!L915</f>
        <v>0</v>
      </c>
      <c r="N499" s="6">
        <f>[1]Emissions!M915</f>
        <v>0</v>
      </c>
      <c r="O499" s="6">
        <f>[1]Emissions!N915</f>
        <v>0</v>
      </c>
      <c r="P499" s="6">
        <f>[1]Emissions!O915</f>
        <v>0</v>
      </c>
      <c r="Q499" s="6">
        <f>[1]Emissions!P915</f>
        <v>0</v>
      </c>
      <c r="R499" s="6">
        <f>[1]Emissions!Q915</f>
        <v>0</v>
      </c>
      <c r="S499" s="6">
        <f>[1]Emissions!R915</f>
        <v>0</v>
      </c>
      <c r="T499" s="6">
        <f>[1]Emissions!S915</f>
        <v>0</v>
      </c>
      <c r="U499" s="6">
        <f>[1]Emissions!T915</f>
        <v>0</v>
      </c>
      <c r="V499" s="6">
        <f>[1]Emissions!U915</f>
        <v>0</v>
      </c>
      <c r="W499" s="6">
        <f>[1]Emissions!V915</f>
        <v>0</v>
      </c>
      <c r="X499" s="6">
        <f>[1]Emissions!W915</f>
        <v>0</v>
      </c>
      <c r="Y499" s="6">
        <f>[1]Emissions!X915</f>
        <v>0</v>
      </c>
      <c r="Z499" s="6">
        <f>[1]Emissions!Y915</f>
        <v>0</v>
      </c>
      <c r="AA499" s="6">
        <f>[1]Emissions!Z915</f>
        <v>0</v>
      </c>
      <c r="AB499" s="6">
        <f>[1]Emissions!AA915</f>
        <v>0</v>
      </c>
      <c r="AC499" s="6">
        <f>[1]Emissions!AB915</f>
        <v>0</v>
      </c>
      <c r="AD499" s="6">
        <f>[1]Emissions!AC915</f>
        <v>0</v>
      </c>
      <c r="AE499" s="6">
        <f>[1]Emissions!AD915</f>
        <v>0</v>
      </c>
      <c r="AF499" s="6">
        <f>[1]Emissions!AE915</f>
        <v>0</v>
      </c>
      <c r="AG499" s="6">
        <f>[1]Emissions!AF915</f>
        <v>0</v>
      </c>
      <c r="AH499" s="6">
        <f>[1]Emissions!AG915</f>
        <v>0</v>
      </c>
      <c r="AI499" s="6">
        <f>[1]Emissions!AH915</f>
        <v>0</v>
      </c>
      <c r="AJ499" s="6">
        <f>[1]Emissions!AI915</f>
        <v>0</v>
      </c>
      <c r="AK499" s="6">
        <f>[1]Emissions!AJ915</f>
        <v>0</v>
      </c>
      <c r="AL499" s="6">
        <f>[1]Emissions!AK915</f>
        <v>0</v>
      </c>
    </row>
    <row r="500" spans="2:38" hidden="1" x14ac:dyDescent="0.35">
      <c r="B500" s="17" t="str">
        <f>[1]Emissions!A916</f>
        <v>ems_mat_co2_sfoo_0</v>
      </c>
      <c r="C500" s="6">
        <f>[1]Emissions!B916</f>
        <v>0</v>
      </c>
      <c r="D500" s="6">
        <f>[1]Emissions!C916</f>
        <v>0</v>
      </c>
      <c r="E500" s="6">
        <f>[1]Emissions!D916</f>
        <v>0</v>
      </c>
      <c r="F500" s="6">
        <f>[1]Emissions!E916</f>
        <v>0</v>
      </c>
      <c r="G500" s="6">
        <f>[1]Emissions!F916</f>
        <v>0</v>
      </c>
      <c r="H500" s="6">
        <f>[1]Emissions!G916</f>
        <v>0</v>
      </c>
      <c r="I500" s="6">
        <f>[1]Emissions!H916</f>
        <v>0</v>
      </c>
      <c r="J500" s="6">
        <f>[1]Emissions!I916</f>
        <v>0</v>
      </c>
      <c r="K500" s="6">
        <f>[1]Emissions!J916</f>
        <v>0</v>
      </c>
      <c r="L500" s="6">
        <f>[1]Emissions!K916</f>
        <v>0</v>
      </c>
      <c r="M500" s="6">
        <f>[1]Emissions!L916</f>
        <v>0</v>
      </c>
      <c r="N500" s="6">
        <f>[1]Emissions!M916</f>
        <v>0</v>
      </c>
      <c r="O500" s="6">
        <f>[1]Emissions!N916</f>
        <v>0</v>
      </c>
      <c r="P500" s="6">
        <f>[1]Emissions!O916</f>
        <v>0</v>
      </c>
      <c r="Q500" s="6">
        <f>[1]Emissions!P916</f>
        <v>0</v>
      </c>
      <c r="R500" s="6">
        <f>[1]Emissions!Q916</f>
        <v>0</v>
      </c>
      <c r="S500" s="6">
        <f>[1]Emissions!R916</f>
        <v>0</v>
      </c>
      <c r="T500" s="6">
        <f>[1]Emissions!S916</f>
        <v>0</v>
      </c>
      <c r="U500" s="6">
        <f>[1]Emissions!T916</f>
        <v>0</v>
      </c>
      <c r="V500" s="6">
        <f>[1]Emissions!U916</f>
        <v>0</v>
      </c>
      <c r="W500" s="6">
        <f>[1]Emissions!V916</f>
        <v>0</v>
      </c>
      <c r="X500" s="6">
        <f>[1]Emissions!W916</f>
        <v>0</v>
      </c>
      <c r="Y500" s="6">
        <f>[1]Emissions!X916</f>
        <v>0</v>
      </c>
      <c r="Z500" s="6">
        <f>[1]Emissions!Y916</f>
        <v>0</v>
      </c>
      <c r="AA500" s="6">
        <f>[1]Emissions!Z916</f>
        <v>0</v>
      </c>
      <c r="AB500" s="6">
        <f>[1]Emissions!AA916</f>
        <v>0</v>
      </c>
      <c r="AC500" s="6">
        <f>[1]Emissions!AB916</f>
        <v>0</v>
      </c>
      <c r="AD500" s="6">
        <f>[1]Emissions!AC916</f>
        <v>0</v>
      </c>
      <c r="AE500" s="6">
        <f>[1]Emissions!AD916</f>
        <v>0</v>
      </c>
      <c r="AF500" s="6">
        <f>[1]Emissions!AE916</f>
        <v>0</v>
      </c>
      <c r="AG500" s="6">
        <f>[1]Emissions!AF916</f>
        <v>0</v>
      </c>
      <c r="AH500" s="6">
        <f>[1]Emissions!AG916</f>
        <v>0</v>
      </c>
      <c r="AI500" s="6">
        <f>[1]Emissions!AH916</f>
        <v>0</v>
      </c>
      <c r="AJ500" s="6">
        <f>[1]Emissions!AI916</f>
        <v>0</v>
      </c>
      <c r="AK500" s="6">
        <f>[1]Emissions!AJ916</f>
        <v>0</v>
      </c>
      <c r="AL500" s="6">
        <f>[1]Emissions!AK916</f>
        <v>0</v>
      </c>
    </row>
    <row r="501" spans="2:38" hidden="1" x14ac:dyDescent="0.35">
      <c r="B501" s="17" t="str">
        <f>[1]Emissions!A917</f>
        <v>ems_ci_co2_sveh_0</v>
      </c>
      <c r="C501" s="6">
        <f>[1]Emissions!B917</f>
        <v>1.2212767819999999</v>
      </c>
      <c r="D501" s="6">
        <f>[1]Emissions!C917</f>
        <v>1.21202685</v>
      </c>
      <c r="E501" s="6">
        <f>[1]Emissions!D917</f>
        <v>1.20214193</v>
      </c>
      <c r="F501" s="6">
        <f>[1]Emissions!E917</f>
        <v>1.1869243840000001</v>
      </c>
      <c r="G501" s="6">
        <f>[1]Emissions!F917</f>
        <v>1.1804628690000001</v>
      </c>
      <c r="H501" s="6">
        <f>[1]Emissions!G917</f>
        <v>1.181363368</v>
      </c>
      <c r="I501" s="6">
        <f>[1]Emissions!H917</f>
        <v>1.182915307</v>
      </c>
      <c r="J501" s="6">
        <f>[1]Emissions!I917</f>
        <v>1.1832516500000001</v>
      </c>
      <c r="K501" s="6">
        <f>[1]Emissions!J917</f>
        <v>1.181551142</v>
      </c>
      <c r="L501" s="6">
        <f>[1]Emissions!K917</f>
        <v>1.1780977459999999</v>
      </c>
      <c r="M501" s="6">
        <f>[1]Emissions!L917</f>
        <v>1.173384456</v>
      </c>
      <c r="N501" s="6">
        <f>[1]Emissions!M917</f>
        <v>1.167752992</v>
      </c>
      <c r="O501" s="6">
        <f>[1]Emissions!N917</f>
        <v>1.1606357410000001</v>
      </c>
      <c r="P501" s="6">
        <f>[1]Emissions!O917</f>
        <v>1.150482335</v>
      </c>
      <c r="Q501" s="6">
        <f>[1]Emissions!P917</f>
        <v>1.138743249</v>
      </c>
      <c r="R501" s="6">
        <f>[1]Emissions!Q917</f>
        <v>1.126906164</v>
      </c>
      <c r="S501" s="6">
        <f>[1]Emissions!R917</f>
        <v>1.119911973</v>
      </c>
      <c r="T501" s="6">
        <f>[1]Emissions!S917</f>
        <v>1.11908396</v>
      </c>
      <c r="U501" s="6">
        <f>[1]Emissions!T917</f>
        <v>1.124650089</v>
      </c>
      <c r="V501" s="6">
        <f>[1]Emissions!U917</f>
        <v>1.136258046</v>
      </c>
      <c r="W501" s="6">
        <f>[1]Emissions!V917</f>
        <v>1.153473475</v>
      </c>
      <c r="X501" s="6">
        <f>[1]Emissions!W917</f>
        <v>1.1758029809999999</v>
      </c>
      <c r="Y501" s="6">
        <f>[1]Emissions!X917</f>
        <v>1.2029955379999999</v>
      </c>
      <c r="Z501" s="6">
        <f>[1]Emissions!Y917</f>
        <v>1.234757331</v>
      </c>
      <c r="AA501" s="6">
        <f>[1]Emissions!Z917</f>
        <v>1.270679771</v>
      </c>
      <c r="AB501" s="6">
        <f>[1]Emissions!AA917</f>
        <v>1.3104898009999999</v>
      </c>
      <c r="AC501" s="6">
        <f>[1]Emissions!AB917</f>
        <v>1.3540337250000001</v>
      </c>
      <c r="AD501" s="6">
        <f>[1]Emissions!AC917</f>
        <v>1.4014120219999999</v>
      </c>
      <c r="AE501" s="6">
        <f>[1]Emissions!AD917</f>
        <v>1.4524632209999999</v>
      </c>
      <c r="AF501" s="6">
        <f>[1]Emissions!AE917</f>
        <v>1.506294872</v>
      </c>
      <c r="AG501" s="6">
        <f>[1]Emissions!AF917</f>
        <v>1.561768995</v>
      </c>
      <c r="AH501" s="6">
        <f>[1]Emissions!AG917</f>
        <v>1.6179829299999999</v>
      </c>
      <c r="AI501" s="6">
        <f>[1]Emissions!AH917</f>
        <v>1.674332299</v>
      </c>
      <c r="AJ501" s="6">
        <f>[1]Emissions!AI917</f>
        <v>1.7303658019999999</v>
      </c>
      <c r="AK501" s="6">
        <f>[1]Emissions!AJ917</f>
        <v>1.785707776</v>
      </c>
      <c r="AL501" s="6">
        <f>[1]Emissions!AK917</f>
        <v>1.8400146980000001</v>
      </c>
    </row>
    <row r="502" spans="2:38" hidden="1" x14ac:dyDescent="0.35">
      <c r="B502" s="17" t="str">
        <f>[1]Emissions!A918</f>
        <v>ems_y_co2_sveh_0</v>
      </c>
      <c r="C502" s="6">
        <f>[1]Emissions!B918</f>
        <v>0</v>
      </c>
      <c r="D502" s="6">
        <f>[1]Emissions!C918</f>
        <v>0</v>
      </c>
      <c r="E502" s="6">
        <f>[1]Emissions!D918</f>
        <v>0</v>
      </c>
      <c r="F502" s="6">
        <f>[1]Emissions!E918</f>
        <v>0</v>
      </c>
      <c r="G502" s="6">
        <f>[1]Emissions!F918</f>
        <v>0</v>
      </c>
      <c r="H502" s="6">
        <f>[1]Emissions!G918</f>
        <v>0</v>
      </c>
      <c r="I502" s="6">
        <f>[1]Emissions!H918</f>
        <v>0</v>
      </c>
      <c r="J502" s="6">
        <f>[1]Emissions!I918</f>
        <v>0</v>
      </c>
      <c r="K502" s="6">
        <f>[1]Emissions!J918</f>
        <v>0</v>
      </c>
      <c r="L502" s="6">
        <f>[1]Emissions!K918</f>
        <v>0</v>
      </c>
      <c r="M502" s="6">
        <f>[1]Emissions!L918</f>
        <v>0</v>
      </c>
      <c r="N502" s="6">
        <f>[1]Emissions!M918</f>
        <v>0</v>
      </c>
      <c r="O502" s="6">
        <f>[1]Emissions!N918</f>
        <v>0</v>
      </c>
      <c r="P502" s="6">
        <f>[1]Emissions!O918</f>
        <v>0</v>
      </c>
      <c r="Q502" s="6">
        <f>[1]Emissions!P918</f>
        <v>0</v>
      </c>
      <c r="R502" s="6">
        <f>[1]Emissions!Q918</f>
        <v>0</v>
      </c>
      <c r="S502" s="6">
        <f>[1]Emissions!R918</f>
        <v>0</v>
      </c>
      <c r="T502" s="6">
        <f>[1]Emissions!S918</f>
        <v>0</v>
      </c>
      <c r="U502" s="6">
        <f>[1]Emissions!T918</f>
        <v>0</v>
      </c>
      <c r="V502" s="6">
        <f>[1]Emissions!U918</f>
        <v>0</v>
      </c>
      <c r="W502" s="6">
        <f>[1]Emissions!V918</f>
        <v>0</v>
      </c>
      <c r="X502" s="6">
        <f>[1]Emissions!W918</f>
        <v>0</v>
      </c>
      <c r="Y502" s="6">
        <f>[1]Emissions!X918</f>
        <v>0</v>
      </c>
      <c r="Z502" s="6">
        <f>[1]Emissions!Y918</f>
        <v>0</v>
      </c>
      <c r="AA502" s="6">
        <f>[1]Emissions!Z918</f>
        <v>0</v>
      </c>
      <c r="AB502" s="6">
        <f>[1]Emissions!AA918</f>
        <v>0</v>
      </c>
      <c r="AC502" s="6">
        <f>[1]Emissions!AB918</f>
        <v>0</v>
      </c>
      <c r="AD502" s="6">
        <f>[1]Emissions!AC918</f>
        <v>0</v>
      </c>
      <c r="AE502" s="6">
        <f>[1]Emissions!AD918</f>
        <v>0</v>
      </c>
      <c r="AF502" s="6">
        <f>[1]Emissions!AE918</f>
        <v>0</v>
      </c>
      <c r="AG502" s="6">
        <f>[1]Emissions!AF918</f>
        <v>0</v>
      </c>
      <c r="AH502" s="6">
        <f>[1]Emissions!AG918</f>
        <v>0</v>
      </c>
      <c r="AI502" s="6">
        <f>[1]Emissions!AH918</f>
        <v>0</v>
      </c>
      <c r="AJ502" s="6">
        <f>[1]Emissions!AI918</f>
        <v>0</v>
      </c>
      <c r="AK502" s="6">
        <f>[1]Emissions!AJ918</f>
        <v>0</v>
      </c>
      <c r="AL502" s="6">
        <f>[1]Emissions!AK918</f>
        <v>0</v>
      </c>
    </row>
    <row r="503" spans="2:38" hidden="1" x14ac:dyDescent="0.35">
      <c r="B503" s="17" t="str">
        <f>[1]Emissions!A919</f>
        <v>ems_mat_co2_sveh_0</v>
      </c>
      <c r="C503" s="6">
        <f>[1]Emissions!B919</f>
        <v>0</v>
      </c>
      <c r="D503" s="6">
        <f>[1]Emissions!C919</f>
        <v>0</v>
      </c>
      <c r="E503" s="6">
        <f>[1]Emissions!D919</f>
        <v>0</v>
      </c>
      <c r="F503" s="6">
        <f>[1]Emissions!E919</f>
        <v>0</v>
      </c>
      <c r="G503" s="6">
        <f>[1]Emissions!F919</f>
        <v>0</v>
      </c>
      <c r="H503" s="6">
        <f>[1]Emissions!G919</f>
        <v>0</v>
      </c>
      <c r="I503" s="6">
        <f>[1]Emissions!H919</f>
        <v>0</v>
      </c>
      <c r="J503" s="6">
        <f>[1]Emissions!I919</f>
        <v>0</v>
      </c>
      <c r="K503" s="6">
        <f>[1]Emissions!J919</f>
        <v>0</v>
      </c>
      <c r="L503" s="6">
        <f>[1]Emissions!K919</f>
        <v>0</v>
      </c>
      <c r="M503" s="6">
        <f>[1]Emissions!L919</f>
        <v>0</v>
      </c>
      <c r="N503" s="6">
        <f>[1]Emissions!M919</f>
        <v>0</v>
      </c>
      <c r="O503" s="6">
        <f>[1]Emissions!N919</f>
        <v>0</v>
      </c>
      <c r="P503" s="6">
        <f>[1]Emissions!O919</f>
        <v>0</v>
      </c>
      <c r="Q503" s="6">
        <f>[1]Emissions!P919</f>
        <v>0</v>
      </c>
      <c r="R503" s="6">
        <f>[1]Emissions!Q919</f>
        <v>0</v>
      </c>
      <c r="S503" s="6">
        <f>[1]Emissions!R919</f>
        <v>0</v>
      </c>
      <c r="T503" s="6">
        <f>[1]Emissions!S919</f>
        <v>0</v>
      </c>
      <c r="U503" s="6">
        <f>[1]Emissions!T919</f>
        <v>0</v>
      </c>
      <c r="V503" s="6">
        <f>[1]Emissions!U919</f>
        <v>0</v>
      </c>
      <c r="W503" s="6">
        <f>[1]Emissions!V919</f>
        <v>0</v>
      </c>
      <c r="X503" s="6">
        <f>[1]Emissions!W919</f>
        <v>0</v>
      </c>
      <c r="Y503" s="6">
        <f>[1]Emissions!X919</f>
        <v>0</v>
      </c>
      <c r="Z503" s="6">
        <f>[1]Emissions!Y919</f>
        <v>0</v>
      </c>
      <c r="AA503" s="6">
        <f>[1]Emissions!Z919</f>
        <v>0</v>
      </c>
      <c r="AB503" s="6">
        <f>[1]Emissions!AA919</f>
        <v>0</v>
      </c>
      <c r="AC503" s="6">
        <f>[1]Emissions!AB919</f>
        <v>0</v>
      </c>
      <c r="AD503" s="6">
        <f>[1]Emissions!AC919</f>
        <v>0</v>
      </c>
      <c r="AE503" s="6">
        <f>[1]Emissions!AD919</f>
        <v>0</v>
      </c>
      <c r="AF503" s="6">
        <f>[1]Emissions!AE919</f>
        <v>0</v>
      </c>
      <c r="AG503" s="6">
        <f>[1]Emissions!AF919</f>
        <v>0</v>
      </c>
      <c r="AH503" s="6">
        <f>[1]Emissions!AG919</f>
        <v>0</v>
      </c>
      <c r="AI503" s="6">
        <f>[1]Emissions!AH919</f>
        <v>0</v>
      </c>
      <c r="AJ503" s="6">
        <f>[1]Emissions!AI919</f>
        <v>0</v>
      </c>
      <c r="AK503" s="6">
        <f>[1]Emissions!AJ919</f>
        <v>0</v>
      </c>
      <c r="AL503" s="6">
        <f>[1]Emissions!AK919</f>
        <v>0</v>
      </c>
    </row>
    <row r="504" spans="2:38" hidden="1" x14ac:dyDescent="0.35">
      <c r="B504" s="17" t="str">
        <f>[1]Emissions!A920</f>
        <v>ems_ci_co2_sgla_0</v>
      </c>
      <c r="C504" s="6">
        <f>[1]Emissions!B920</f>
        <v>5.7059507040000002</v>
      </c>
      <c r="D504" s="6">
        <f>[1]Emissions!C920</f>
        <v>5.86688922</v>
      </c>
      <c r="E504" s="6">
        <f>[1]Emissions!D920</f>
        <v>6.0421510769999998</v>
      </c>
      <c r="F504" s="6">
        <f>[1]Emissions!E920</f>
        <v>6.1445044409999996</v>
      </c>
      <c r="G504" s="6">
        <f>[1]Emissions!F920</f>
        <v>6.206422431</v>
      </c>
      <c r="H504" s="6">
        <f>[1]Emissions!G920</f>
        <v>6.2563155110000004</v>
      </c>
      <c r="I504" s="6">
        <f>[1]Emissions!H920</f>
        <v>6.2974996169999997</v>
      </c>
      <c r="J504" s="6">
        <f>[1]Emissions!I920</f>
        <v>6.335464269</v>
      </c>
      <c r="K504" s="6">
        <f>[1]Emissions!J920</f>
        <v>6.3725961770000001</v>
      </c>
      <c r="L504" s="6">
        <f>[1]Emissions!K920</f>
        <v>6.4110283929999996</v>
      </c>
      <c r="M504" s="6">
        <f>[1]Emissions!L920</f>
        <v>6.4524561150000004</v>
      </c>
      <c r="N504" s="6">
        <f>[1]Emissions!M920</f>
        <v>6.4980230929999996</v>
      </c>
      <c r="O504" s="6">
        <f>[1]Emissions!N920</f>
        <v>6.5462862489999996</v>
      </c>
      <c r="P504" s="6">
        <f>[1]Emissions!O920</f>
        <v>6.5924570930000002</v>
      </c>
      <c r="Q504" s="6">
        <f>[1]Emissions!P920</f>
        <v>6.6379371479999998</v>
      </c>
      <c r="R504" s="6">
        <f>[1]Emissions!Q920</f>
        <v>6.6851541479999996</v>
      </c>
      <c r="S504" s="6">
        <f>[1]Emissions!R920</f>
        <v>6.7465271510000004</v>
      </c>
      <c r="T504" s="6">
        <f>[1]Emissions!S920</f>
        <v>6.8248343279999997</v>
      </c>
      <c r="U504" s="6">
        <f>[1]Emissions!T920</f>
        <v>6.919985735</v>
      </c>
      <c r="V504" s="6">
        <f>[1]Emissions!U920</f>
        <v>7.0304830750000002</v>
      </c>
      <c r="W504" s="6">
        <f>[1]Emissions!V920</f>
        <v>7.1549808739999996</v>
      </c>
      <c r="X504" s="6">
        <f>[1]Emissions!W920</f>
        <v>7.2924792780000001</v>
      </c>
      <c r="Y504" s="6">
        <f>[1]Emissions!X920</f>
        <v>7.4427039669999999</v>
      </c>
      <c r="Z504" s="6">
        <f>[1]Emissions!Y920</f>
        <v>7.605324564</v>
      </c>
      <c r="AA504" s="6">
        <f>[1]Emissions!Z920</f>
        <v>7.7796196200000001</v>
      </c>
      <c r="AB504" s="6">
        <f>[1]Emissions!AA920</f>
        <v>7.9653188049999999</v>
      </c>
      <c r="AC504" s="6">
        <f>[1]Emissions!AB920</f>
        <v>8.162586074</v>
      </c>
      <c r="AD504" s="6">
        <f>[1]Emissions!AC920</f>
        <v>8.3721772219999995</v>
      </c>
      <c r="AE504" s="6">
        <f>[1]Emissions!AD920</f>
        <v>8.5945645600000002</v>
      </c>
      <c r="AF504" s="6">
        <f>[1]Emissions!AE920</f>
        <v>8.8286352089999998</v>
      </c>
      <c r="AG504" s="6">
        <f>[1]Emissions!AF920</f>
        <v>9.0724822029999999</v>
      </c>
      <c r="AH504" s="6">
        <f>[1]Emissions!AG920</f>
        <v>9.3243945589999999</v>
      </c>
      <c r="AI504" s="6">
        <f>[1]Emissions!AH920</f>
        <v>9.5829656720000003</v>
      </c>
      <c r="AJ504" s="6">
        <f>[1]Emissions!AI920</f>
        <v>9.8469693800000009</v>
      </c>
      <c r="AK504" s="6">
        <f>[1]Emissions!AJ920</f>
        <v>10.11526729</v>
      </c>
      <c r="AL504" s="6">
        <f>[1]Emissions!AK920</f>
        <v>10.386738490000001</v>
      </c>
    </row>
    <row r="505" spans="2:38" hidden="1" x14ac:dyDescent="0.35">
      <c r="B505" s="17" t="str">
        <f>[1]Emissions!A921</f>
        <v>ems_y_co2_sgla_0</v>
      </c>
      <c r="C505" s="6">
        <f>[1]Emissions!B921</f>
        <v>0</v>
      </c>
      <c r="D505" s="6">
        <f>[1]Emissions!C921</f>
        <v>0</v>
      </c>
      <c r="E505" s="6">
        <f>[1]Emissions!D921</f>
        <v>0</v>
      </c>
      <c r="F505" s="6">
        <f>[1]Emissions!E921</f>
        <v>0</v>
      </c>
      <c r="G505" s="6">
        <f>[1]Emissions!F921</f>
        <v>0</v>
      </c>
      <c r="H505" s="6">
        <f>[1]Emissions!G921</f>
        <v>0</v>
      </c>
      <c r="I505" s="6">
        <f>[1]Emissions!H921</f>
        <v>0</v>
      </c>
      <c r="J505" s="6">
        <f>[1]Emissions!I921</f>
        <v>0</v>
      </c>
      <c r="K505" s="6">
        <f>[1]Emissions!J921</f>
        <v>0</v>
      </c>
      <c r="L505" s="6">
        <f>[1]Emissions!K921</f>
        <v>0</v>
      </c>
      <c r="M505" s="6">
        <f>[1]Emissions!L921</f>
        <v>0</v>
      </c>
      <c r="N505" s="6">
        <f>[1]Emissions!M921</f>
        <v>0</v>
      </c>
      <c r="O505" s="6">
        <f>[1]Emissions!N921</f>
        <v>0</v>
      </c>
      <c r="P505" s="6">
        <f>[1]Emissions!O921</f>
        <v>0</v>
      </c>
      <c r="Q505" s="6">
        <f>[1]Emissions!P921</f>
        <v>0</v>
      </c>
      <c r="R505" s="6">
        <f>[1]Emissions!Q921</f>
        <v>0</v>
      </c>
      <c r="S505" s="6">
        <f>[1]Emissions!R921</f>
        <v>0</v>
      </c>
      <c r="T505" s="6">
        <f>[1]Emissions!S921</f>
        <v>0</v>
      </c>
      <c r="U505" s="6">
        <f>[1]Emissions!T921</f>
        <v>0</v>
      </c>
      <c r="V505" s="6">
        <f>[1]Emissions!U921</f>
        <v>0</v>
      </c>
      <c r="W505" s="6">
        <f>[1]Emissions!V921</f>
        <v>0</v>
      </c>
      <c r="X505" s="6">
        <f>[1]Emissions!W921</f>
        <v>0</v>
      </c>
      <c r="Y505" s="6">
        <f>[1]Emissions!X921</f>
        <v>0</v>
      </c>
      <c r="Z505" s="6">
        <f>[1]Emissions!Y921</f>
        <v>0</v>
      </c>
      <c r="AA505" s="6">
        <f>[1]Emissions!Z921</f>
        <v>0</v>
      </c>
      <c r="AB505" s="6">
        <f>[1]Emissions!AA921</f>
        <v>0</v>
      </c>
      <c r="AC505" s="6">
        <f>[1]Emissions!AB921</f>
        <v>0</v>
      </c>
      <c r="AD505" s="6">
        <f>[1]Emissions!AC921</f>
        <v>0</v>
      </c>
      <c r="AE505" s="6">
        <f>[1]Emissions!AD921</f>
        <v>0</v>
      </c>
      <c r="AF505" s="6">
        <f>[1]Emissions!AE921</f>
        <v>0</v>
      </c>
      <c r="AG505" s="6">
        <f>[1]Emissions!AF921</f>
        <v>0</v>
      </c>
      <c r="AH505" s="6">
        <f>[1]Emissions!AG921</f>
        <v>0</v>
      </c>
      <c r="AI505" s="6">
        <f>[1]Emissions!AH921</f>
        <v>0</v>
      </c>
      <c r="AJ505" s="6">
        <f>[1]Emissions!AI921</f>
        <v>0</v>
      </c>
      <c r="AK505" s="6">
        <f>[1]Emissions!AJ921</f>
        <v>0</v>
      </c>
      <c r="AL505" s="6">
        <f>[1]Emissions!AK921</f>
        <v>0</v>
      </c>
    </row>
    <row r="506" spans="2:38" hidden="1" x14ac:dyDescent="0.35">
      <c r="B506" s="17" t="str">
        <f>[1]Emissions!A922</f>
        <v>ems_mat_co2_sgla_0</v>
      </c>
      <c r="C506" s="6">
        <f>[1]Emissions!B922</f>
        <v>13.76792696</v>
      </c>
      <c r="D506" s="6">
        <f>[1]Emissions!C922</f>
        <v>14.228154760000001</v>
      </c>
      <c r="E506" s="6">
        <f>[1]Emissions!D922</f>
        <v>14.741321790000001</v>
      </c>
      <c r="F506" s="6">
        <f>[1]Emissions!E922</f>
        <v>15.10461282</v>
      </c>
      <c r="G506" s="6">
        <f>[1]Emissions!F922</f>
        <v>15.34318831</v>
      </c>
      <c r="H506" s="6">
        <f>[1]Emissions!G922</f>
        <v>15.52945697</v>
      </c>
      <c r="I506" s="6">
        <f>[1]Emissions!H922</f>
        <v>15.70288959</v>
      </c>
      <c r="J506" s="6">
        <f>[1]Emissions!I922</f>
        <v>15.88126164</v>
      </c>
      <c r="K506" s="6">
        <f>[1]Emissions!J922</f>
        <v>16.070996319999999</v>
      </c>
      <c r="L506" s="6">
        <f>[1]Emissions!K922</f>
        <v>16.27435784</v>
      </c>
      <c r="M506" s="6">
        <f>[1]Emissions!L922</f>
        <v>16.49238815</v>
      </c>
      <c r="N506" s="6">
        <f>[1]Emissions!M922</f>
        <v>16.725284859999999</v>
      </c>
      <c r="O506" s="6">
        <f>[1]Emissions!N922</f>
        <v>16.967241219999998</v>
      </c>
      <c r="P506" s="6">
        <f>[1]Emissions!O922</f>
        <v>17.204367359999999</v>
      </c>
      <c r="Q506" s="6">
        <f>[1]Emissions!P922</f>
        <v>17.43920984</v>
      </c>
      <c r="R506" s="6">
        <f>[1]Emissions!Q922</f>
        <v>17.677478650000001</v>
      </c>
      <c r="S506" s="6">
        <f>[1]Emissions!R922</f>
        <v>17.930760859999999</v>
      </c>
      <c r="T506" s="6">
        <f>[1]Emissions!S922</f>
        <v>18.206547199999999</v>
      </c>
      <c r="U506" s="6">
        <f>[1]Emissions!T922</f>
        <v>18.507939879999999</v>
      </c>
      <c r="V506" s="6">
        <f>[1]Emissions!U922</f>
        <v>18.834881110000001</v>
      </c>
      <c r="W506" s="6">
        <f>[1]Emissions!V922</f>
        <v>19.187489800000002</v>
      </c>
      <c r="X506" s="6">
        <f>[1]Emissions!W922</f>
        <v>19.56625532</v>
      </c>
      <c r="Y506" s="6">
        <f>[1]Emissions!X922</f>
        <v>19.972919149999999</v>
      </c>
      <c r="Z506" s="6">
        <f>[1]Emissions!Y922</f>
        <v>20.40840549</v>
      </c>
      <c r="AA506" s="6">
        <f>[1]Emissions!Z922</f>
        <v>20.872054089999999</v>
      </c>
      <c r="AB506" s="6">
        <f>[1]Emissions!AA922</f>
        <v>21.36406611</v>
      </c>
      <c r="AC506" s="6">
        <f>[1]Emissions!AB922</f>
        <v>21.885550949999999</v>
      </c>
      <c r="AD506" s="6">
        <f>[1]Emissions!AC922</f>
        <v>22.43898647</v>
      </c>
      <c r="AE506" s="6">
        <f>[1]Emissions!AD922</f>
        <v>23.02591644</v>
      </c>
      <c r="AF506" s="6">
        <f>[1]Emissions!AE922</f>
        <v>23.64360065</v>
      </c>
      <c r="AG506" s="6">
        <f>[1]Emissions!AF922</f>
        <v>24.287172739999999</v>
      </c>
      <c r="AH506" s="6">
        <f>[1]Emissions!AG922</f>
        <v>24.952318290000001</v>
      </c>
      <c r="AI506" s="6">
        <f>[1]Emissions!AH922</f>
        <v>25.635543699999999</v>
      </c>
      <c r="AJ506" s="6">
        <f>[1]Emissions!AI922</f>
        <v>26.333823509999998</v>
      </c>
      <c r="AK506" s="6">
        <f>[1]Emissions!AJ922</f>
        <v>27.044349369999999</v>
      </c>
      <c r="AL506" s="6">
        <f>[1]Emissions!AK922</f>
        <v>27.764349249999999</v>
      </c>
    </row>
    <row r="507" spans="2:38" hidden="1" x14ac:dyDescent="0.35">
      <c r="B507" s="17" t="str">
        <f>[1]Emissions!A923</f>
        <v>ems_ci_co2_spap_0</v>
      </c>
      <c r="C507" s="6">
        <f>[1]Emissions!B923</f>
        <v>3.0049750990000001</v>
      </c>
      <c r="D507" s="6">
        <f>[1]Emissions!C923</f>
        <v>3.0142260009999999</v>
      </c>
      <c r="E507" s="6">
        <f>[1]Emissions!D923</f>
        <v>3.028446325</v>
      </c>
      <c r="F507" s="6">
        <f>[1]Emissions!E923</f>
        <v>3.0479054410000002</v>
      </c>
      <c r="G507" s="6">
        <f>[1]Emissions!F923</f>
        <v>3.0789252569999999</v>
      </c>
      <c r="H507" s="6">
        <f>[1]Emissions!G923</f>
        <v>3.1179581820000002</v>
      </c>
      <c r="I507" s="6">
        <f>[1]Emissions!H923</f>
        <v>3.1592740880000001</v>
      </c>
      <c r="J507" s="6">
        <f>[1]Emissions!I923</f>
        <v>3.2006137130000001</v>
      </c>
      <c r="K507" s="6">
        <f>[1]Emissions!J923</f>
        <v>3.2413444010000001</v>
      </c>
      <c r="L507" s="6">
        <f>[1]Emissions!K923</f>
        <v>3.2820377490000001</v>
      </c>
      <c r="M507" s="6">
        <f>[1]Emissions!L923</f>
        <v>3.3233889589999999</v>
      </c>
      <c r="N507" s="6">
        <f>[1]Emissions!M923</f>
        <v>3.365837843</v>
      </c>
      <c r="O507" s="6">
        <f>[1]Emissions!N923</f>
        <v>3.4083473409999998</v>
      </c>
      <c r="P507" s="6">
        <f>[1]Emissions!O923</f>
        <v>3.4480264420000002</v>
      </c>
      <c r="Q507" s="6">
        <f>[1]Emissions!P923</f>
        <v>3.4861412829999998</v>
      </c>
      <c r="R507" s="6">
        <f>[1]Emissions!Q923</f>
        <v>3.5243958009999998</v>
      </c>
      <c r="S507" s="6">
        <f>[1]Emissions!R923</f>
        <v>3.5669501210000001</v>
      </c>
      <c r="T507" s="6">
        <f>[1]Emissions!S923</f>
        <v>3.615967736</v>
      </c>
      <c r="U507" s="6">
        <f>[1]Emissions!T923</f>
        <v>3.6721354000000002</v>
      </c>
      <c r="V507" s="6">
        <f>[1]Emissions!U923</f>
        <v>3.7352304709999999</v>
      </c>
      <c r="W507" s="6">
        <f>[1]Emissions!V923</f>
        <v>3.8049881929999998</v>
      </c>
      <c r="X507" s="6">
        <f>[1]Emissions!W923</f>
        <v>3.8811683779999999</v>
      </c>
      <c r="Y507" s="6">
        <f>[1]Emissions!X923</f>
        <v>3.9639668530000001</v>
      </c>
      <c r="Z507" s="6">
        <f>[1]Emissions!Y923</f>
        <v>4.0534844010000004</v>
      </c>
      <c r="AA507" s="6">
        <f>[1]Emissions!Z923</f>
        <v>4.1494907430000003</v>
      </c>
      <c r="AB507" s="6">
        <f>[1]Emissions!AA923</f>
        <v>4.2518810599999997</v>
      </c>
      <c r="AC507" s="6">
        <f>[1]Emissions!AB923</f>
        <v>4.3607205819999999</v>
      </c>
      <c r="AD507" s="6">
        <f>[1]Emissions!AC923</f>
        <v>4.4765152849999996</v>
      </c>
      <c r="AE507" s="6">
        <f>[1]Emissions!AD923</f>
        <v>4.5993589830000001</v>
      </c>
      <c r="AF507" s="6">
        <f>[1]Emissions!AE923</f>
        <v>4.7282066179999998</v>
      </c>
      <c r="AG507" s="6">
        <f>[1]Emissions!AF923</f>
        <v>4.8614896749999996</v>
      </c>
      <c r="AH507" s="6">
        <f>[1]Emissions!AG923</f>
        <v>4.997897429</v>
      </c>
      <c r="AI507" s="6">
        <f>[1]Emissions!AH923</f>
        <v>5.1365336519999998</v>
      </c>
      <c r="AJ507" s="6">
        <f>[1]Emissions!AI923</f>
        <v>5.2766937609999998</v>
      </c>
      <c r="AK507" s="6">
        <f>[1]Emissions!AJ923</f>
        <v>5.4177406670000003</v>
      </c>
      <c r="AL507" s="6">
        <f>[1]Emissions!AK923</f>
        <v>5.5590431889999996</v>
      </c>
    </row>
    <row r="508" spans="2:38" hidden="1" x14ac:dyDescent="0.35">
      <c r="B508" s="17" t="str">
        <f>[1]Emissions!A924</f>
        <v>ems_y_co2_spap_0</v>
      </c>
      <c r="C508" s="6">
        <f>[1]Emissions!B924</f>
        <v>0</v>
      </c>
      <c r="D508" s="6">
        <f>[1]Emissions!C924</f>
        <v>0</v>
      </c>
      <c r="E508" s="6">
        <f>[1]Emissions!D924</f>
        <v>0</v>
      </c>
      <c r="F508" s="6">
        <f>[1]Emissions!E924</f>
        <v>0</v>
      </c>
      <c r="G508" s="6">
        <f>[1]Emissions!F924</f>
        <v>0</v>
      </c>
      <c r="H508" s="6">
        <f>[1]Emissions!G924</f>
        <v>0</v>
      </c>
      <c r="I508" s="6">
        <f>[1]Emissions!H924</f>
        <v>0</v>
      </c>
      <c r="J508" s="6">
        <f>[1]Emissions!I924</f>
        <v>0</v>
      </c>
      <c r="K508" s="6">
        <f>[1]Emissions!J924</f>
        <v>0</v>
      </c>
      <c r="L508" s="6">
        <f>[1]Emissions!K924</f>
        <v>0</v>
      </c>
      <c r="M508" s="6">
        <f>[1]Emissions!L924</f>
        <v>0</v>
      </c>
      <c r="N508" s="6">
        <f>[1]Emissions!M924</f>
        <v>0</v>
      </c>
      <c r="O508" s="6">
        <f>[1]Emissions!N924</f>
        <v>0</v>
      </c>
      <c r="P508" s="6">
        <f>[1]Emissions!O924</f>
        <v>0</v>
      </c>
      <c r="Q508" s="6">
        <f>[1]Emissions!P924</f>
        <v>0</v>
      </c>
      <c r="R508" s="6">
        <f>[1]Emissions!Q924</f>
        <v>0</v>
      </c>
      <c r="S508" s="6">
        <f>[1]Emissions!R924</f>
        <v>0</v>
      </c>
      <c r="T508" s="6">
        <f>[1]Emissions!S924</f>
        <v>0</v>
      </c>
      <c r="U508" s="6">
        <f>[1]Emissions!T924</f>
        <v>0</v>
      </c>
      <c r="V508" s="6">
        <f>[1]Emissions!U924</f>
        <v>0</v>
      </c>
      <c r="W508" s="6">
        <f>[1]Emissions!V924</f>
        <v>0</v>
      </c>
      <c r="X508" s="6">
        <f>[1]Emissions!W924</f>
        <v>0</v>
      </c>
      <c r="Y508" s="6">
        <f>[1]Emissions!X924</f>
        <v>0</v>
      </c>
      <c r="Z508" s="6">
        <f>[1]Emissions!Y924</f>
        <v>0</v>
      </c>
      <c r="AA508" s="6">
        <f>[1]Emissions!Z924</f>
        <v>0</v>
      </c>
      <c r="AB508" s="6">
        <f>[1]Emissions!AA924</f>
        <v>0</v>
      </c>
      <c r="AC508" s="6">
        <f>[1]Emissions!AB924</f>
        <v>0</v>
      </c>
      <c r="AD508" s="6">
        <f>[1]Emissions!AC924</f>
        <v>0</v>
      </c>
      <c r="AE508" s="6">
        <f>[1]Emissions!AD924</f>
        <v>0</v>
      </c>
      <c r="AF508" s="6">
        <f>[1]Emissions!AE924</f>
        <v>0</v>
      </c>
      <c r="AG508" s="6">
        <f>[1]Emissions!AF924</f>
        <v>0</v>
      </c>
      <c r="AH508" s="6">
        <f>[1]Emissions!AG924</f>
        <v>0</v>
      </c>
      <c r="AI508" s="6">
        <f>[1]Emissions!AH924</f>
        <v>0</v>
      </c>
      <c r="AJ508" s="6">
        <f>[1]Emissions!AI924</f>
        <v>0</v>
      </c>
      <c r="AK508" s="6">
        <f>[1]Emissions!AJ924</f>
        <v>0</v>
      </c>
      <c r="AL508" s="6">
        <f>[1]Emissions!AK924</f>
        <v>0</v>
      </c>
    </row>
    <row r="509" spans="2:38" hidden="1" x14ac:dyDescent="0.35">
      <c r="B509" s="17" t="str">
        <f>[1]Emissions!A925</f>
        <v>ems_mat_co2_spap_0</v>
      </c>
      <c r="C509" s="6">
        <f>[1]Emissions!B925</f>
        <v>0</v>
      </c>
      <c r="D509" s="6">
        <f>[1]Emissions!C925</f>
        <v>0</v>
      </c>
      <c r="E509" s="6">
        <f>[1]Emissions!D925</f>
        <v>0</v>
      </c>
      <c r="F509" s="6">
        <f>[1]Emissions!E925</f>
        <v>0</v>
      </c>
      <c r="G509" s="6">
        <f>[1]Emissions!F925</f>
        <v>0</v>
      </c>
      <c r="H509" s="6">
        <f>[1]Emissions!G925</f>
        <v>0</v>
      </c>
      <c r="I509" s="6">
        <f>[1]Emissions!H925</f>
        <v>0</v>
      </c>
      <c r="J509" s="6">
        <f>[1]Emissions!I925</f>
        <v>0</v>
      </c>
      <c r="K509" s="6">
        <f>[1]Emissions!J925</f>
        <v>0</v>
      </c>
      <c r="L509" s="6">
        <f>[1]Emissions!K925</f>
        <v>0</v>
      </c>
      <c r="M509" s="6">
        <f>[1]Emissions!L925</f>
        <v>0</v>
      </c>
      <c r="N509" s="6">
        <f>[1]Emissions!M925</f>
        <v>0</v>
      </c>
      <c r="O509" s="6">
        <f>[1]Emissions!N925</f>
        <v>0</v>
      </c>
      <c r="P509" s="6">
        <f>[1]Emissions!O925</f>
        <v>0</v>
      </c>
      <c r="Q509" s="6">
        <f>[1]Emissions!P925</f>
        <v>0</v>
      </c>
      <c r="R509" s="6">
        <f>[1]Emissions!Q925</f>
        <v>0</v>
      </c>
      <c r="S509" s="6">
        <f>[1]Emissions!R925</f>
        <v>0</v>
      </c>
      <c r="T509" s="6">
        <f>[1]Emissions!S925</f>
        <v>0</v>
      </c>
      <c r="U509" s="6">
        <f>[1]Emissions!T925</f>
        <v>0</v>
      </c>
      <c r="V509" s="6">
        <f>[1]Emissions!U925</f>
        <v>0</v>
      </c>
      <c r="W509" s="6">
        <f>[1]Emissions!V925</f>
        <v>0</v>
      </c>
      <c r="X509" s="6">
        <f>[1]Emissions!W925</f>
        <v>0</v>
      </c>
      <c r="Y509" s="6">
        <f>[1]Emissions!X925</f>
        <v>0</v>
      </c>
      <c r="Z509" s="6">
        <f>[1]Emissions!Y925</f>
        <v>0</v>
      </c>
      <c r="AA509" s="6">
        <f>[1]Emissions!Z925</f>
        <v>0</v>
      </c>
      <c r="AB509" s="6">
        <f>[1]Emissions!AA925</f>
        <v>0</v>
      </c>
      <c r="AC509" s="6">
        <f>[1]Emissions!AB925</f>
        <v>0</v>
      </c>
      <c r="AD509" s="6">
        <f>[1]Emissions!AC925</f>
        <v>0</v>
      </c>
      <c r="AE509" s="6">
        <f>[1]Emissions!AD925</f>
        <v>0</v>
      </c>
      <c r="AF509" s="6">
        <f>[1]Emissions!AE925</f>
        <v>0</v>
      </c>
      <c r="AG509" s="6">
        <f>[1]Emissions!AF925</f>
        <v>0</v>
      </c>
      <c r="AH509" s="6">
        <f>[1]Emissions!AG925</f>
        <v>0</v>
      </c>
      <c r="AI509" s="6">
        <f>[1]Emissions!AH925</f>
        <v>0</v>
      </c>
      <c r="AJ509" s="6">
        <f>[1]Emissions!AI925</f>
        <v>0</v>
      </c>
      <c r="AK509" s="6">
        <f>[1]Emissions!AJ925</f>
        <v>0</v>
      </c>
      <c r="AL509" s="6">
        <f>[1]Emissions!AK925</f>
        <v>0</v>
      </c>
    </row>
    <row r="510" spans="2:38" hidden="1" x14ac:dyDescent="0.35">
      <c r="B510" s="17" t="str">
        <f>[1]Emissions!A926</f>
        <v>ems_ci_co2_sche_0</v>
      </c>
      <c r="C510" s="6">
        <f>[1]Emissions!B926</f>
        <v>3.8195038600000002</v>
      </c>
      <c r="D510" s="6">
        <f>[1]Emissions!C926</f>
        <v>3.8202637309999998</v>
      </c>
      <c r="E510" s="6">
        <f>[1]Emissions!D926</f>
        <v>3.8289986690000002</v>
      </c>
      <c r="F510" s="6">
        <f>[1]Emissions!E926</f>
        <v>3.8426798710000001</v>
      </c>
      <c r="G510" s="6">
        <f>[1]Emissions!F926</f>
        <v>3.8682781639999999</v>
      </c>
      <c r="H510" s="6">
        <f>[1]Emissions!G926</f>
        <v>3.9043482909999998</v>
      </c>
      <c r="I510" s="6">
        <f>[1]Emissions!H926</f>
        <v>3.9427623249999999</v>
      </c>
      <c r="J510" s="6">
        <f>[1]Emissions!I926</f>
        <v>3.982107391</v>
      </c>
      <c r="K510" s="6">
        <f>[1]Emissions!J926</f>
        <v>4.0220598719999998</v>
      </c>
      <c r="L510" s="6">
        <f>[1]Emissions!K926</f>
        <v>4.0630968899999997</v>
      </c>
      <c r="M510" s="6">
        <f>[1]Emissions!L926</f>
        <v>4.1057634199999997</v>
      </c>
      <c r="N510" s="6">
        <f>[1]Emissions!M926</f>
        <v>4.1502514709999998</v>
      </c>
      <c r="O510" s="6">
        <f>[1]Emissions!N926</f>
        <v>4.1940223659999996</v>
      </c>
      <c r="P510" s="6">
        <f>[1]Emissions!O926</f>
        <v>4.2313505869999997</v>
      </c>
      <c r="Q510" s="6">
        <f>[1]Emissions!P926</f>
        <v>4.2654915600000001</v>
      </c>
      <c r="R510" s="6">
        <f>[1]Emissions!Q926</f>
        <v>4.299984834</v>
      </c>
      <c r="S510" s="6">
        <f>[1]Emissions!R926</f>
        <v>4.3426993209999996</v>
      </c>
      <c r="T510" s="6">
        <f>[1]Emissions!S926</f>
        <v>4.3960908830000003</v>
      </c>
      <c r="U510" s="6">
        <f>[1]Emissions!T926</f>
        <v>4.4609848249999997</v>
      </c>
      <c r="V510" s="6">
        <f>[1]Emissions!U926</f>
        <v>4.537063474</v>
      </c>
      <c r="W510" s="6">
        <f>[1]Emissions!V926</f>
        <v>4.6241325929999997</v>
      </c>
      <c r="X510" s="6">
        <f>[1]Emissions!W926</f>
        <v>4.721960621</v>
      </c>
      <c r="Y510" s="6">
        <f>[1]Emissions!X926</f>
        <v>4.8310289839999996</v>
      </c>
      <c r="Z510" s="6">
        <f>[1]Emissions!Y926</f>
        <v>4.9514444219999998</v>
      </c>
      <c r="AA510" s="6">
        <f>[1]Emissions!Z926</f>
        <v>5.0826251339999997</v>
      </c>
      <c r="AB510" s="6">
        <f>[1]Emissions!AA926</f>
        <v>5.224342225</v>
      </c>
      <c r="AC510" s="6">
        <f>[1]Emissions!AB926</f>
        <v>5.376703365</v>
      </c>
      <c r="AD510" s="6">
        <f>[1]Emissions!AC926</f>
        <v>5.5406189120000002</v>
      </c>
      <c r="AE510" s="6">
        <f>[1]Emissions!AD926</f>
        <v>5.7160940279999997</v>
      </c>
      <c r="AF510" s="6">
        <f>[1]Emissions!AE926</f>
        <v>5.9009028629999998</v>
      </c>
      <c r="AG510" s="6">
        <f>[1]Emissions!AF926</f>
        <v>6.092029117</v>
      </c>
      <c r="AH510" s="6">
        <f>[1]Emissions!AG926</f>
        <v>6.2871870760000004</v>
      </c>
      <c r="AI510" s="6">
        <f>[1]Emissions!AH926</f>
        <v>6.4849532759999997</v>
      </c>
      <c r="AJ510" s="6">
        <f>[1]Emissions!AI926</f>
        <v>6.6842536639999999</v>
      </c>
      <c r="AK510" s="6">
        <f>[1]Emissions!AJ926</f>
        <v>6.8841178669999996</v>
      </c>
      <c r="AL510" s="6">
        <f>[1]Emissions!AK926</f>
        <v>7.0835640719999997</v>
      </c>
    </row>
    <row r="511" spans="2:38" hidden="1" x14ac:dyDescent="0.35">
      <c r="B511" s="17" t="str">
        <f>[1]Emissions!A927</f>
        <v>ems_y_co2_sche_0</v>
      </c>
      <c r="C511" s="6">
        <f>[1]Emissions!B927</f>
        <v>0</v>
      </c>
      <c r="D511" s="6">
        <f>[1]Emissions!C927</f>
        <v>0</v>
      </c>
      <c r="E511" s="6">
        <f>[1]Emissions!D927</f>
        <v>0</v>
      </c>
      <c r="F511" s="6">
        <f>[1]Emissions!E927</f>
        <v>0</v>
      </c>
      <c r="G511" s="6">
        <f>[1]Emissions!F927</f>
        <v>0</v>
      </c>
      <c r="H511" s="6">
        <f>[1]Emissions!G927</f>
        <v>0</v>
      </c>
      <c r="I511" s="6">
        <f>[1]Emissions!H927</f>
        <v>0</v>
      </c>
      <c r="J511" s="6">
        <f>[1]Emissions!I927</f>
        <v>0</v>
      </c>
      <c r="K511" s="6">
        <f>[1]Emissions!J927</f>
        <v>0</v>
      </c>
      <c r="L511" s="6">
        <f>[1]Emissions!K927</f>
        <v>0</v>
      </c>
      <c r="M511" s="6">
        <f>[1]Emissions!L927</f>
        <v>0</v>
      </c>
      <c r="N511" s="6">
        <f>[1]Emissions!M927</f>
        <v>0</v>
      </c>
      <c r="O511" s="6">
        <f>[1]Emissions!N927</f>
        <v>0</v>
      </c>
      <c r="P511" s="6">
        <f>[1]Emissions!O927</f>
        <v>0</v>
      </c>
      <c r="Q511" s="6">
        <f>[1]Emissions!P927</f>
        <v>0</v>
      </c>
      <c r="R511" s="6">
        <f>[1]Emissions!Q927</f>
        <v>0</v>
      </c>
      <c r="S511" s="6">
        <f>[1]Emissions!R927</f>
        <v>0</v>
      </c>
      <c r="T511" s="6">
        <f>[1]Emissions!S927</f>
        <v>0</v>
      </c>
      <c r="U511" s="6">
        <f>[1]Emissions!T927</f>
        <v>0</v>
      </c>
      <c r="V511" s="6">
        <f>[1]Emissions!U927</f>
        <v>0</v>
      </c>
      <c r="W511" s="6">
        <f>[1]Emissions!V927</f>
        <v>0</v>
      </c>
      <c r="X511" s="6">
        <f>[1]Emissions!W927</f>
        <v>0</v>
      </c>
      <c r="Y511" s="6">
        <f>[1]Emissions!X927</f>
        <v>0</v>
      </c>
      <c r="Z511" s="6">
        <f>[1]Emissions!Y927</f>
        <v>0</v>
      </c>
      <c r="AA511" s="6">
        <f>[1]Emissions!Z927</f>
        <v>0</v>
      </c>
      <c r="AB511" s="6">
        <f>[1]Emissions!AA927</f>
        <v>0</v>
      </c>
      <c r="AC511" s="6">
        <f>[1]Emissions!AB927</f>
        <v>0</v>
      </c>
      <c r="AD511" s="6">
        <f>[1]Emissions!AC927</f>
        <v>0</v>
      </c>
      <c r="AE511" s="6">
        <f>[1]Emissions!AD927</f>
        <v>0</v>
      </c>
      <c r="AF511" s="6">
        <f>[1]Emissions!AE927</f>
        <v>0</v>
      </c>
      <c r="AG511" s="6">
        <f>[1]Emissions!AF927</f>
        <v>0</v>
      </c>
      <c r="AH511" s="6">
        <f>[1]Emissions!AG927</f>
        <v>0</v>
      </c>
      <c r="AI511" s="6">
        <f>[1]Emissions!AH927</f>
        <v>0</v>
      </c>
      <c r="AJ511" s="6">
        <f>[1]Emissions!AI927</f>
        <v>0</v>
      </c>
      <c r="AK511" s="6">
        <f>[1]Emissions!AJ927</f>
        <v>0</v>
      </c>
      <c r="AL511" s="6">
        <f>[1]Emissions!AK927</f>
        <v>0</v>
      </c>
    </row>
    <row r="512" spans="2:38" hidden="1" x14ac:dyDescent="0.35">
      <c r="B512" s="17" t="str">
        <f>[1]Emissions!A928</f>
        <v>ems_mat_co2_sche_0</v>
      </c>
      <c r="C512" s="6">
        <f>[1]Emissions!B928</f>
        <v>2.5901569210000002</v>
      </c>
      <c r="D512" s="6">
        <f>[1]Emissions!C928</f>
        <v>2.5999729669999998</v>
      </c>
      <c r="E512" s="6">
        <f>[1]Emissions!D928</f>
        <v>2.6171290190000001</v>
      </c>
      <c r="F512" s="6">
        <f>[1]Emissions!E928</f>
        <v>2.6408157179999998</v>
      </c>
      <c r="G512" s="6">
        <f>[1]Emissions!F928</f>
        <v>2.6693831339999998</v>
      </c>
      <c r="H512" s="6">
        <f>[1]Emissions!G928</f>
        <v>2.7024348090000001</v>
      </c>
      <c r="I512" s="6">
        <f>[1]Emissions!H928</f>
        <v>2.7388432840000001</v>
      </c>
      <c r="J512" s="6">
        <f>[1]Emissions!I928</f>
        <v>2.7779475009999999</v>
      </c>
      <c r="K512" s="6">
        <f>[1]Emissions!J928</f>
        <v>2.819423483</v>
      </c>
      <c r="L512" s="6">
        <f>[1]Emissions!K928</f>
        <v>2.8631166989999999</v>
      </c>
      <c r="M512" s="6">
        <f>[1]Emissions!L928</f>
        <v>2.9089380450000002</v>
      </c>
      <c r="N512" s="6">
        <f>[1]Emissions!M928</f>
        <v>2.956622619</v>
      </c>
      <c r="O512" s="6">
        <f>[1]Emissions!N928</f>
        <v>3.0040430950000001</v>
      </c>
      <c r="P512" s="6">
        <f>[1]Emissions!O928</f>
        <v>3.0468521599999998</v>
      </c>
      <c r="Q512" s="6">
        <f>[1]Emissions!P928</f>
        <v>3.087206836</v>
      </c>
      <c r="R512" s="6">
        <f>[1]Emissions!Q928</f>
        <v>3.1275805839999999</v>
      </c>
      <c r="S512" s="6">
        <f>[1]Emissions!R928</f>
        <v>3.170536979</v>
      </c>
      <c r="T512" s="6">
        <f>[1]Emissions!S928</f>
        <v>3.2180595350000001</v>
      </c>
      <c r="U512" s="6">
        <f>[1]Emissions!T928</f>
        <v>3.2713204359999999</v>
      </c>
      <c r="V512" s="6">
        <f>[1]Emissions!U928</f>
        <v>3.33068857</v>
      </c>
      <c r="W512" s="6">
        <f>[1]Emissions!V928</f>
        <v>3.396558615</v>
      </c>
      <c r="X512" s="6">
        <f>[1]Emissions!W928</f>
        <v>3.4691999330000001</v>
      </c>
      <c r="Y512" s="6">
        <f>[1]Emissions!X928</f>
        <v>3.5492999169999999</v>
      </c>
      <c r="Z512" s="6">
        <f>[1]Emissions!Y928</f>
        <v>3.637175005</v>
      </c>
      <c r="AA512" s="6">
        <f>[1]Emissions!Z928</f>
        <v>3.7325650380000002</v>
      </c>
      <c r="AB512" s="6">
        <f>[1]Emissions!AA928</f>
        <v>3.8354171049999999</v>
      </c>
      <c r="AC512" s="6">
        <f>[1]Emissions!AB928</f>
        <v>3.9458863690000001</v>
      </c>
      <c r="AD512" s="6">
        <f>[1]Emissions!AC928</f>
        <v>4.0646814249999998</v>
      </c>
      <c r="AE512" s="6">
        <f>[1]Emissions!AD928</f>
        <v>4.1918176579999997</v>
      </c>
      <c r="AF512" s="6">
        <f>[1]Emissions!AE928</f>
        <v>4.3256565370000004</v>
      </c>
      <c r="AG512" s="6">
        <f>[1]Emissions!AF928</f>
        <v>4.4639815690000004</v>
      </c>
      <c r="AH512" s="6">
        <f>[1]Emissions!AG928</f>
        <v>4.6051227140000002</v>
      </c>
      <c r="AI512" s="6">
        <f>[1]Emissions!AH928</f>
        <v>4.7480522130000002</v>
      </c>
      <c r="AJ512" s="6">
        <f>[1]Emissions!AI928</f>
        <v>4.8920064180000002</v>
      </c>
      <c r="AK512" s="6">
        <f>[1]Emissions!AJ928</f>
        <v>5.036304608</v>
      </c>
      <c r="AL512" s="6">
        <f>[1]Emissions!AK928</f>
        <v>5.1802646790000004</v>
      </c>
    </row>
    <row r="513" spans="2:38" hidden="1" x14ac:dyDescent="0.35">
      <c r="B513" s="17" t="str">
        <f>[1]Emissions!A929</f>
        <v>ems_ci_co2_spla_0</v>
      </c>
      <c r="C513" s="6">
        <f>[1]Emissions!B929</f>
        <v>1.250528673</v>
      </c>
      <c r="D513" s="6">
        <f>[1]Emissions!C929</f>
        <v>1.204278266</v>
      </c>
      <c r="E513" s="6">
        <f>[1]Emissions!D929</f>
        <v>1.1585112339999999</v>
      </c>
      <c r="F513" s="6">
        <f>[1]Emissions!E929</f>
        <v>1.1057844139999999</v>
      </c>
      <c r="G513" s="6">
        <f>[1]Emissions!F929</f>
        <v>1.0729763640000001</v>
      </c>
      <c r="H513" s="6">
        <f>[1]Emissions!G929</f>
        <v>1.056184357</v>
      </c>
      <c r="I513" s="6">
        <f>[1]Emissions!H929</f>
        <v>1.0496988110000001</v>
      </c>
      <c r="J513" s="6">
        <f>[1]Emissions!I929</f>
        <v>1.04937459</v>
      </c>
      <c r="K513" s="6">
        <f>[1]Emissions!J929</f>
        <v>1.052059584</v>
      </c>
      <c r="L513" s="6">
        <f>[1]Emissions!K929</f>
        <v>1.0566040290000001</v>
      </c>
      <c r="M513" s="6">
        <f>[1]Emissions!L929</f>
        <v>1.06245919</v>
      </c>
      <c r="N513" s="6">
        <f>[1]Emissions!M929</f>
        <v>1.0692476019999999</v>
      </c>
      <c r="O513" s="6">
        <f>[1]Emissions!N929</f>
        <v>1.076120969</v>
      </c>
      <c r="P513" s="6">
        <f>[1]Emissions!O929</f>
        <v>1.081579498</v>
      </c>
      <c r="Q513" s="6">
        <f>[1]Emissions!P929</f>
        <v>1.086279663</v>
      </c>
      <c r="R513" s="6">
        <f>[1]Emissions!Q929</f>
        <v>1.0910679860000001</v>
      </c>
      <c r="S513" s="6">
        <f>[1]Emissions!R929</f>
        <v>1.097705945</v>
      </c>
      <c r="T513" s="6">
        <f>[1]Emissions!S929</f>
        <v>1.1073825420000001</v>
      </c>
      <c r="U513" s="6">
        <f>[1]Emissions!T929</f>
        <v>1.120543168</v>
      </c>
      <c r="V513" s="6">
        <f>[1]Emissions!U929</f>
        <v>1.137167168</v>
      </c>
      <c r="W513" s="6">
        <f>[1]Emissions!V929</f>
        <v>1.1571585339999999</v>
      </c>
      <c r="X513" s="6">
        <f>[1]Emissions!W929</f>
        <v>1.180374166</v>
      </c>
      <c r="Y513" s="6">
        <f>[1]Emissions!X929</f>
        <v>1.2068297240000001</v>
      </c>
      <c r="Z513" s="6">
        <f>[1]Emissions!Y929</f>
        <v>1.2364780799999999</v>
      </c>
      <c r="AA513" s="6">
        <f>[1]Emissions!Z929</f>
        <v>1.26914328</v>
      </c>
      <c r="AB513" s="6">
        <f>[1]Emissions!AA929</f>
        <v>1.3047226590000001</v>
      </c>
      <c r="AC513" s="6">
        <f>[1]Emissions!AB929</f>
        <v>1.343188922</v>
      </c>
      <c r="AD513" s="6">
        <f>[1]Emissions!AC929</f>
        <v>1.3846901119999999</v>
      </c>
      <c r="AE513" s="6">
        <f>[1]Emissions!AD929</f>
        <v>1.429177653</v>
      </c>
      <c r="AF513" s="6">
        <f>[1]Emissions!AE929</f>
        <v>1.4760543989999999</v>
      </c>
      <c r="AG513" s="6">
        <f>[1]Emissions!AF929</f>
        <v>1.524515429</v>
      </c>
      <c r="AH513" s="6">
        <f>[1]Emissions!AG929</f>
        <v>1.5739061809999999</v>
      </c>
      <c r="AI513" s="6">
        <f>[1]Emissions!AH929</f>
        <v>1.623774485</v>
      </c>
      <c r="AJ513" s="6">
        <f>[1]Emissions!AI929</f>
        <v>1.673769292</v>
      </c>
      <c r="AK513" s="6">
        <f>[1]Emissions!AJ929</f>
        <v>1.723585849</v>
      </c>
      <c r="AL513" s="6">
        <f>[1]Emissions!AK929</f>
        <v>1.772937797</v>
      </c>
    </row>
    <row r="514" spans="2:38" hidden="1" x14ac:dyDescent="0.35">
      <c r="B514" s="17" t="str">
        <f>[1]Emissions!A930</f>
        <v>ems_y_co2_spla_0</v>
      </c>
      <c r="C514" s="6">
        <f>[1]Emissions!B930</f>
        <v>0</v>
      </c>
      <c r="D514" s="6">
        <f>[1]Emissions!C930</f>
        <v>0</v>
      </c>
      <c r="E514" s="6">
        <f>[1]Emissions!D930</f>
        <v>0</v>
      </c>
      <c r="F514" s="6">
        <f>[1]Emissions!E930</f>
        <v>0</v>
      </c>
      <c r="G514" s="6">
        <f>[1]Emissions!F930</f>
        <v>0</v>
      </c>
      <c r="H514" s="6">
        <f>[1]Emissions!G930</f>
        <v>0</v>
      </c>
      <c r="I514" s="6">
        <f>[1]Emissions!H930</f>
        <v>0</v>
      </c>
      <c r="J514" s="6">
        <f>[1]Emissions!I930</f>
        <v>0</v>
      </c>
      <c r="K514" s="6">
        <f>[1]Emissions!J930</f>
        <v>0</v>
      </c>
      <c r="L514" s="6">
        <f>[1]Emissions!K930</f>
        <v>0</v>
      </c>
      <c r="M514" s="6">
        <f>[1]Emissions!L930</f>
        <v>0</v>
      </c>
      <c r="N514" s="6">
        <f>[1]Emissions!M930</f>
        <v>0</v>
      </c>
      <c r="O514" s="6">
        <f>[1]Emissions!N930</f>
        <v>0</v>
      </c>
      <c r="P514" s="6">
        <f>[1]Emissions!O930</f>
        <v>0</v>
      </c>
      <c r="Q514" s="6">
        <f>[1]Emissions!P930</f>
        <v>0</v>
      </c>
      <c r="R514" s="6">
        <f>[1]Emissions!Q930</f>
        <v>0</v>
      </c>
      <c r="S514" s="6">
        <f>[1]Emissions!R930</f>
        <v>0</v>
      </c>
      <c r="T514" s="6">
        <f>[1]Emissions!S930</f>
        <v>0</v>
      </c>
      <c r="U514" s="6">
        <f>[1]Emissions!T930</f>
        <v>0</v>
      </c>
      <c r="V514" s="6">
        <f>[1]Emissions!U930</f>
        <v>0</v>
      </c>
      <c r="W514" s="6">
        <f>[1]Emissions!V930</f>
        <v>0</v>
      </c>
      <c r="X514" s="6">
        <f>[1]Emissions!W930</f>
        <v>0</v>
      </c>
      <c r="Y514" s="6">
        <f>[1]Emissions!X930</f>
        <v>0</v>
      </c>
      <c r="Z514" s="6">
        <f>[1]Emissions!Y930</f>
        <v>0</v>
      </c>
      <c r="AA514" s="6">
        <f>[1]Emissions!Z930</f>
        <v>0</v>
      </c>
      <c r="AB514" s="6">
        <f>[1]Emissions!AA930</f>
        <v>0</v>
      </c>
      <c r="AC514" s="6">
        <f>[1]Emissions!AB930</f>
        <v>0</v>
      </c>
      <c r="AD514" s="6">
        <f>[1]Emissions!AC930</f>
        <v>0</v>
      </c>
      <c r="AE514" s="6">
        <f>[1]Emissions!AD930</f>
        <v>0</v>
      </c>
      <c r="AF514" s="6">
        <f>[1]Emissions!AE930</f>
        <v>0</v>
      </c>
      <c r="AG514" s="6">
        <f>[1]Emissions!AF930</f>
        <v>0</v>
      </c>
      <c r="AH514" s="6">
        <f>[1]Emissions!AG930</f>
        <v>0</v>
      </c>
      <c r="AI514" s="6">
        <f>[1]Emissions!AH930</f>
        <v>0</v>
      </c>
      <c r="AJ514" s="6">
        <f>[1]Emissions!AI930</f>
        <v>0</v>
      </c>
      <c r="AK514" s="6">
        <f>[1]Emissions!AJ930</f>
        <v>0</v>
      </c>
      <c r="AL514" s="6">
        <f>[1]Emissions!AK930</f>
        <v>0</v>
      </c>
    </row>
    <row r="515" spans="2:38" hidden="1" x14ac:dyDescent="0.35">
      <c r="B515" s="17" t="str">
        <f>[1]Emissions!A931</f>
        <v>ems_mat_co2_spla_0</v>
      </c>
      <c r="C515" s="6">
        <f>[1]Emissions!B931</f>
        <v>0</v>
      </c>
      <c r="D515" s="6">
        <f>[1]Emissions!C931</f>
        <v>0</v>
      </c>
      <c r="E515" s="6">
        <f>[1]Emissions!D931</f>
        <v>0</v>
      </c>
      <c r="F515" s="6">
        <f>[1]Emissions!E931</f>
        <v>0</v>
      </c>
      <c r="G515" s="6">
        <f>[1]Emissions!F931</f>
        <v>0</v>
      </c>
      <c r="H515" s="6">
        <f>[1]Emissions!G931</f>
        <v>0</v>
      </c>
      <c r="I515" s="6">
        <f>[1]Emissions!H931</f>
        <v>0</v>
      </c>
      <c r="J515" s="6">
        <f>[1]Emissions!I931</f>
        <v>0</v>
      </c>
      <c r="K515" s="6">
        <f>[1]Emissions!J931</f>
        <v>0</v>
      </c>
      <c r="L515" s="6">
        <f>[1]Emissions!K931</f>
        <v>0</v>
      </c>
      <c r="M515" s="6">
        <f>[1]Emissions!L931</f>
        <v>0</v>
      </c>
      <c r="N515" s="6">
        <f>[1]Emissions!M931</f>
        <v>0</v>
      </c>
      <c r="O515" s="6">
        <f>[1]Emissions!N931</f>
        <v>0</v>
      </c>
      <c r="P515" s="6">
        <f>[1]Emissions!O931</f>
        <v>0</v>
      </c>
      <c r="Q515" s="6">
        <f>[1]Emissions!P931</f>
        <v>0</v>
      </c>
      <c r="R515" s="6">
        <f>[1]Emissions!Q931</f>
        <v>0</v>
      </c>
      <c r="S515" s="6">
        <f>[1]Emissions!R931</f>
        <v>0</v>
      </c>
      <c r="T515" s="6">
        <f>[1]Emissions!S931</f>
        <v>0</v>
      </c>
      <c r="U515" s="6">
        <f>[1]Emissions!T931</f>
        <v>0</v>
      </c>
      <c r="V515" s="6">
        <f>[1]Emissions!U931</f>
        <v>0</v>
      </c>
      <c r="W515" s="6">
        <f>[1]Emissions!V931</f>
        <v>0</v>
      </c>
      <c r="X515" s="6">
        <f>[1]Emissions!W931</f>
        <v>0</v>
      </c>
      <c r="Y515" s="6">
        <f>[1]Emissions!X931</f>
        <v>0</v>
      </c>
      <c r="Z515" s="6">
        <f>[1]Emissions!Y931</f>
        <v>0</v>
      </c>
      <c r="AA515" s="6">
        <f>[1]Emissions!Z931</f>
        <v>0</v>
      </c>
      <c r="AB515" s="6">
        <f>[1]Emissions!AA931</f>
        <v>0</v>
      </c>
      <c r="AC515" s="6">
        <f>[1]Emissions!AB931</f>
        <v>0</v>
      </c>
      <c r="AD515" s="6">
        <f>[1]Emissions!AC931</f>
        <v>0</v>
      </c>
      <c r="AE515" s="6">
        <f>[1]Emissions!AD931</f>
        <v>0</v>
      </c>
      <c r="AF515" s="6">
        <f>[1]Emissions!AE931</f>
        <v>0</v>
      </c>
      <c r="AG515" s="6">
        <f>[1]Emissions!AF931</f>
        <v>0</v>
      </c>
      <c r="AH515" s="6">
        <f>[1]Emissions!AG931</f>
        <v>0</v>
      </c>
      <c r="AI515" s="6">
        <f>[1]Emissions!AH931</f>
        <v>0</v>
      </c>
      <c r="AJ515" s="6">
        <f>[1]Emissions!AI931</f>
        <v>0</v>
      </c>
      <c r="AK515" s="6">
        <f>[1]Emissions!AJ931</f>
        <v>0</v>
      </c>
      <c r="AL515" s="6">
        <f>[1]Emissions!AK931</f>
        <v>0</v>
      </c>
    </row>
    <row r="516" spans="2:38" hidden="1" x14ac:dyDescent="0.35">
      <c r="B516" s="17" t="str">
        <f>[1]Emissions!A932</f>
        <v>ems_ci_co2_smet_0</v>
      </c>
      <c r="C516" s="6">
        <f>[1]Emissions!B932</f>
        <v>7.5072151199999997</v>
      </c>
      <c r="D516" s="6">
        <f>[1]Emissions!C932</f>
        <v>7.5884832280000003</v>
      </c>
      <c r="E516" s="6">
        <f>[1]Emissions!D932</f>
        <v>7.6654377059999996</v>
      </c>
      <c r="F516" s="6">
        <f>[1]Emissions!E932</f>
        <v>7.7110583009999996</v>
      </c>
      <c r="G516" s="6">
        <f>[1]Emissions!F932</f>
        <v>7.7696541530000003</v>
      </c>
      <c r="H516" s="6">
        <f>[1]Emissions!G932</f>
        <v>7.8453717569999997</v>
      </c>
      <c r="I516" s="6">
        <f>[1]Emissions!H932</f>
        <v>7.918248449</v>
      </c>
      <c r="J516" s="6">
        <f>[1]Emissions!I932</f>
        <v>7.9891084819999998</v>
      </c>
      <c r="K516" s="6">
        <f>[1]Emissions!J932</f>
        <v>8.0580039879999994</v>
      </c>
      <c r="L516" s="6">
        <f>[1]Emissions!K932</f>
        <v>8.1263970479999994</v>
      </c>
      <c r="M516" s="6">
        <f>[1]Emissions!L932</f>
        <v>8.1955825739999995</v>
      </c>
      <c r="N516" s="6">
        <f>[1]Emissions!M932</f>
        <v>8.2661076619999996</v>
      </c>
      <c r="O516" s="6">
        <f>[1]Emissions!N932</f>
        <v>8.3321265489999998</v>
      </c>
      <c r="P516" s="6">
        <f>[1]Emissions!O932</f>
        <v>8.3804001269999997</v>
      </c>
      <c r="Q516" s="6">
        <f>[1]Emissions!P932</f>
        <v>8.4190874600000001</v>
      </c>
      <c r="R516" s="6">
        <f>[1]Emissions!Q932</f>
        <v>8.4568575119999991</v>
      </c>
      <c r="S516" s="6">
        <f>[1]Emissions!R932</f>
        <v>8.5235366569999993</v>
      </c>
      <c r="T516" s="6">
        <f>[1]Emissions!S932</f>
        <v>8.6209524169999998</v>
      </c>
      <c r="U516" s="6">
        <f>[1]Emissions!T932</f>
        <v>8.7486498560000001</v>
      </c>
      <c r="V516" s="6">
        <f>[1]Emissions!U932</f>
        <v>8.9044697270000004</v>
      </c>
      <c r="W516" s="6">
        <f>[1]Emissions!V932</f>
        <v>9.0871006049999998</v>
      </c>
      <c r="X516" s="6">
        <f>[1]Emissions!W932</f>
        <v>9.2954631699999997</v>
      </c>
      <c r="Y516" s="6">
        <f>[1]Emissions!X932</f>
        <v>9.5303212609999992</v>
      </c>
      <c r="Z516" s="6">
        <f>[1]Emissions!Y932</f>
        <v>9.7916635509999992</v>
      </c>
      <c r="AA516" s="6">
        <f>[1]Emissions!Z932</f>
        <v>10.07791787</v>
      </c>
      <c r="AB516" s="6">
        <f>[1]Emissions!AA932</f>
        <v>10.388472480000001</v>
      </c>
      <c r="AC516" s="6">
        <f>[1]Emissions!AB932</f>
        <v>10.723604529999999</v>
      </c>
      <c r="AD516" s="6">
        <f>[1]Emissions!AC932</f>
        <v>11.08555335</v>
      </c>
      <c r="AE516" s="6">
        <f>[1]Emissions!AD932</f>
        <v>11.474479179999999</v>
      </c>
      <c r="AF516" s="6">
        <f>[1]Emissions!AE932</f>
        <v>11.88533305</v>
      </c>
      <c r="AG516" s="6">
        <f>[1]Emissions!AF932</f>
        <v>12.31121896</v>
      </c>
      <c r="AH516" s="6">
        <f>[1]Emissions!AG932</f>
        <v>12.746997410000001</v>
      </c>
      <c r="AI516" s="6">
        <f>[1]Emissions!AH932</f>
        <v>13.18955089</v>
      </c>
      <c r="AJ516" s="6">
        <f>[1]Emissions!AI932</f>
        <v>13.636533930000001</v>
      </c>
      <c r="AK516" s="6">
        <f>[1]Emissions!AJ932</f>
        <v>14.085774860000001</v>
      </c>
      <c r="AL516" s="6">
        <f>[1]Emissions!AK932</f>
        <v>14.535003850000001</v>
      </c>
    </row>
    <row r="517" spans="2:38" hidden="1" x14ac:dyDescent="0.35">
      <c r="B517" s="17" t="str">
        <f>[1]Emissions!A933</f>
        <v>ems_y_co2_smet_0</v>
      </c>
      <c r="C517" s="6">
        <f>[1]Emissions!B933</f>
        <v>0</v>
      </c>
      <c r="D517" s="6">
        <f>[1]Emissions!C933</f>
        <v>0</v>
      </c>
      <c r="E517" s="6">
        <f>[1]Emissions!D933</f>
        <v>0</v>
      </c>
      <c r="F517" s="6">
        <f>[1]Emissions!E933</f>
        <v>0</v>
      </c>
      <c r="G517" s="6">
        <f>[1]Emissions!F933</f>
        <v>0</v>
      </c>
      <c r="H517" s="6">
        <f>[1]Emissions!G933</f>
        <v>0</v>
      </c>
      <c r="I517" s="6">
        <f>[1]Emissions!H933</f>
        <v>0</v>
      </c>
      <c r="J517" s="6">
        <f>[1]Emissions!I933</f>
        <v>0</v>
      </c>
      <c r="K517" s="6">
        <f>[1]Emissions!J933</f>
        <v>0</v>
      </c>
      <c r="L517" s="6">
        <f>[1]Emissions!K933</f>
        <v>0</v>
      </c>
      <c r="M517" s="6">
        <f>[1]Emissions!L933</f>
        <v>0</v>
      </c>
      <c r="N517" s="6">
        <f>[1]Emissions!M933</f>
        <v>0</v>
      </c>
      <c r="O517" s="6">
        <f>[1]Emissions!N933</f>
        <v>0</v>
      </c>
      <c r="P517" s="6">
        <f>[1]Emissions!O933</f>
        <v>0</v>
      </c>
      <c r="Q517" s="6">
        <f>[1]Emissions!P933</f>
        <v>0</v>
      </c>
      <c r="R517" s="6">
        <f>[1]Emissions!Q933</f>
        <v>0</v>
      </c>
      <c r="S517" s="6">
        <f>[1]Emissions!R933</f>
        <v>0</v>
      </c>
      <c r="T517" s="6">
        <f>[1]Emissions!S933</f>
        <v>0</v>
      </c>
      <c r="U517" s="6">
        <f>[1]Emissions!T933</f>
        <v>0</v>
      </c>
      <c r="V517" s="6">
        <f>[1]Emissions!U933</f>
        <v>0</v>
      </c>
      <c r="W517" s="6">
        <f>[1]Emissions!V933</f>
        <v>0</v>
      </c>
      <c r="X517" s="6">
        <f>[1]Emissions!W933</f>
        <v>0</v>
      </c>
      <c r="Y517" s="6">
        <f>[1]Emissions!X933</f>
        <v>0</v>
      </c>
      <c r="Z517" s="6">
        <f>[1]Emissions!Y933</f>
        <v>0</v>
      </c>
      <c r="AA517" s="6">
        <f>[1]Emissions!Z933</f>
        <v>0</v>
      </c>
      <c r="AB517" s="6">
        <f>[1]Emissions!AA933</f>
        <v>0</v>
      </c>
      <c r="AC517" s="6">
        <f>[1]Emissions!AB933</f>
        <v>0</v>
      </c>
      <c r="AD517" s="6">
        <f>[1]Emissions!AC933</f>
        <v>0</v>
      </c>
      <c r="AE517" s="6">
        <f>[1]Emissions!AD933</f>
        <v>0</v>
      </c>
      <c r="AF517" s="6">
        <f>[1]Emissions!AE933</f>
        <v>0</v>
      </c>
      <c r="AG517" s="6">
        <f>[1]Emissions!AF933</f>
        <v>0</v>
      </c>
      <c r="AH517" s="6">
        <f>[1]Emissions!AG933</f>
        <v>0</v>
      </c>
      <c r="AI517" s="6">
        <f>[1]Emissions!AH933</f>
        <v>0</v>
      </c>
      <c r="AJ517" s="6">
        <f>[1]Emissions!AI933</f>
        <v>0</v>
      </c>
      <c r="AK517" s="6">
        <f>[1]Emissions!AJ933</f>
        <v>0</v>
      </c>
      <c r="AL517" s="6">
        <f>[1]Emissions!AK933</f>
        <v>0</v>
      </c>
    </row>
    <row r="518" spans="2:38" hidden="1" x14ac:dyDescent="0.35">
      <c r="B518" s="17" t="str">
        <f>[1]Emissions!A934</f>
        <v>ems_mat_co2_smet_0</v>
      </c>
      <c r="C518" s="6">
        <f>[1]Emissions!B934</f>
        <v>12.781652830000001</v>
      </c>
      <c r="D518" s="6">
        <f>[1]Emissions!C934</f>
        <v>13.001497029999999</v>
      </c>
      <c r="E518" s="6">
        <f>[1]Emissions!D934</f>
        <v>13.23190183</v>
      </c>
      <c r="F518" s="6">
        <f>[1]Emissions!E934</f>
        <v>13.439435769999999</v>
      </c>
      <c r="G518" s="6">
        <f>[1]Emissions!F934</f>
        <v>13.639395199999999</v>
      </c>
      <c r="H518" s="6">
        <f>[1]Emissions!G934</f>
        <v>13.84722739</v>
      </c>
      <c r="I518" s="6">
        <f>[1]Emissions!H934</f>
        <v>14.06240393</v>
      </c>
      <c r="J518" s="6">
        <f>[1]Emissions!I934</f>
        <v>14.283608729999999</v>
      </c>
      <c r="K518" s="6">
        <f>[1]Emissions!J934</f>
        <v>14.50931199</v>
      </c>
      <c r="L518" s="6">
        <f>[1]Emissions!K934</f>
        <v>14.738838060000001</v>
      </c>
      <c r="M518" s="6">
        <f>[1]Emissions!L934</f>
        <v>14.97216712</v>
      </c>
      <c r="N518" s="6">
        <f>[1]Emissions!M934</f>
        <v>15.20828322</v>
      </c>
      <c r="O518" s="6">
        <f>[1]Emissions!N934</f>
        <v>15.43489241</v>
      </c>
      <c r="P518" s="6">
        <f>[1]Emissions!O934</f>
        <v>15.626454900000001</v>
      </c>
      <c r="Q518" s="6">
        <f>[1]Emissions!P934</f>
        <v>15.79775645</v>
      </c>
      <c r="R518" s="6">
        <f>[1]Emissions!Q934</f>
        <v>15.96535392</v>
      </c>
      <c r="S518" s="6">
        <f>[1]Emissions!R934</f>
        <v>16.150073809999999</v>
      </c>
      <c r="T518" s="6">
        <f>[1]Emissions!S934</f>
        <v>16.365705729999998</v>
      </c>
      <c r="U518" s="6">
        <f>[1]Emissions!T934</f>
        <v>16.619693739999999</v>
      </c>
      <c r="V518" s="6">
        <f>[1]Emissions!U934</f>
        <v>16.913849419999998</v>
      </c>
      <c r="W518" s="6">
        <f>[1]Emissions!V934</f>
        <v>17.249760250000001</v>
      </c>
      <c r="X518" s="6">
        <f>[1]Emissions!W934</f>
        <v>17.628092689999999</v>
      </c>
      <c r="Y518" s="6">
        <f>[1]Emissions!X934</f>
        <v>18.052045410000002</v>
      </c>
      <c r="Z518" s="6">
        <f>[1]Emissions!Y934</f>
        <v>18.522659699999998</v>
      </c>
      <c r="AA518" s="6">
        <f>[1]Emissions!Z934</f>
        <v>19.037680890000001</v>
      </c>
      <c r="AB518" s="6">
        <f>[1]Emissions!AA934</f>
        <v>19.596279549999998</v>
      </c>
      <c r="AC518" s="6">
        <f>[1]Emissions!AB934</f>
        <v>20.199003090000001</v>
      </c>
      <c r="AD518" s="6">
        <f>[1]Emissions!AC934</f>
        <v>20.849762569999999</v>
      </c>
      <c r="AE518" s="6">
        <f>[1]Emissions!AD934</f>
        <v>21.54828418</v>
      </c>
      <c r="AF518" s="6">
        <f>[1]Emissions!AE934</f>
        <v>22.284138630000001</v>
      </c>
      <c r="AG518" s="6">
        <f>[1]Emissions!AF934</f>
        <v>23.043549479999999</v>
      </c>
      <c r="AH518" s="6">
        <f>[1]Emissions!AG934</f>
        <v>23.816306839999999</v>
      </c>
      <c r="AI518" s="6">
        <f>[1]Emissions!AH934</f>
        <v>24.59627352</v>
      </c>
      <c r="AJ518" s="6">
        <f>[1]Emissions!AI934</f>
        <v>25.37901497</v>
      </c>
      <c r="AK518" s="6">
        <f>[1]Emissions!AJ934</f>
        <v>26.1606439</v>
      </c>
      <c r="AL518" s="6">
        <f>[1]Emissions!AK934</f>
        <v>26.937289740000001</v>
      </c>
    </row>
    <row r="519" spans="2:38" hidden="1" x14ac:dyDescent="0.35">
      <c r="B519" s="17" t="str">
        <f>[1]Emissions!A935</f>
        <v>ems_ci_co2_sigo_0</v>
      </c>
      <c r="C519" s="6">
        <f>[1]Emissions!B935</f>
        <v>2.9902437110000002</v>
      </c>
      <c r="D519" s="6">
        <f>[1]Emissions!C935</f>
        <v>2.9844043980000001</v>
      </c>
      <c r="E519" s="6">
        <f>[1]Emissions!D935</f>
        <v>2.9813716060000002</v>
      </c>
      <c r="F519" s="6">
        <f>[1]Emissions!E935</f>
        <v>2.97595652</v>
      </c>
      <c r="G519" s="6">
        <f>[1]Emissions!F935</f>
        <v>2.9825035479999999</v>
      </c>
      <c r="H519" s="6">
        <f>[1]Emissions!G935</f>
        <v>2.9999374419999998</v>
      </c>
      <c r="I519" s="6">
        <f>[1]Emissions!H935</f>
        <v>3.0185955729999998</v>
      </c>
      <c r="J519" s="6">
        <f>[1]Emissions!I935</f>
        <v>3.0355445140000001</v>
      </c>
      <c r="K519" s="6">
        <f>[1]Emissions!J935</f>
        <v>3.0498534789999998</v>
      </c>
      <c r="L519" s="6">
        <f>[1]Emissions!K935</f>
        <v>3.0622904750000002</v>
      </c>
      <c r="M519" s="6">
        <f>[1]Emissions!L935</f>
        <v>3.0739551399999998</v>
      </c>
      <c r="N519" s="6">
        <f>[1]Emissions!M935</f>
        <v>3.0856328180000001</v>
      </c>
      <c r="O519" s="6">
        <f>[1]Emissions!N935</f>
        <v>3.0961179030000001</v>
      </c>
      <c r="P519" s="6">
        <f>[1]Emissions!O935</f>
        <v>3.101906064</v>
      </c>
      <c r="Q519" s="6">
        <f>[1]Emissions!P935</f>
        <v>3.1054983950000001</v>
      </c>
      <c r="R519" s="6">
        <f>[1]Emissions!Q935</f>
        <v>3.109579058</v>
      </c>
      <c r="S519" s="6">
        <f>[1]Emissions!R935</f>
        <v>3.1223664009999998</v>
      </c>
      <c r="T519" s="6">
        <f>[1]Emissions!S935</f>
        <v>3.1466136229999999</v>
      </c>
      <c r="U519" s="6">
        <f>[1]Emissions!T935</f>
        <v>3.1828307630000001</v>
      </c>
      <c r="V519" s="6">
        <f>[1]Emissions!U935</f>
        <v>3.2302398559999999</v>
      </c>
      <c r="W519" s="6">
        <f>[1]Emissions!V935</f>
        <v>3.2879850730000002</v>
      </c>
      <c r="X519" s="6">
        <f>[1]Emissions!W935</f>
        <v>3.3552228180000001</v>
      </c>
      <c r="Y519" s="6">
        <f>[1]Emissions!X935</f>
        <v>3.43169909</v>
      </c>
      <c r="Z519" s="6">
        <f>[1]Emissions!Y935</f>
        <v>3.5170668119999999</v>
      </c>
      <c r="AA519" s="6">
        <f>[1]Emissions!Z935</f>
        <v>3.6106584220000002</v>
      </c>
      <c r="AB519" s="6">
        <f>[1]Emissions!AA935</f>
        <v>3.7120931179999999</v>
      </c>
      <c r="AC519" s="6">
        <f>[1]Emissions!AB935</f>
        <v>3.8212603449999998</v>
      </c>
      <c r="AD519" s="6">
        <f>[1]Emissions!AC935</f>
        <v>3.9386131130000002</v>
      </c>
      <c r="AE519" s="6">
        <f>[1]Emissions!AD935</f>
        <v>4.0640597420000004</v>
      </c>
      <c r="AF519" s="6">
        <f>[1]Emissions!AE935</f>
        <v>4.1960079879999999</v>
      </c>
      <c r="AG519" s="6">
        <f>[1]Emissions!AF935</f>
        <v>4.3323186529999997</v>
      </c>
      <c r="AH519" s="6">
        <f>[1]Emissions!AG935</f>
        <v>4.4713207930000003</v>
      </c>
      <c r="AI519" s="6">
        <f>[1]Emissions!AH935</f>
        <v>4.6119299299999996</v>
      </c>
      <c r="AJ519" s="6">
        <f>[1]Emissions!AI935</f>
        <v>4.7533273530000004</v>
      </c>
      <c r="AK519" s="6">
        <f>[1]Emissions!AJ935</f>
        <v>4.8947926239999999</v>
      </c>
      <c r="AL519" s="6">
        <f>[1]Emissions!AK935</f>
        <v>5.0356193549999997</v>
      </c>
    </row>
    <row r="520" spans="2:38" hidden="1" x14ac:dyDescent="0.35">
      <c r="B520" s="17" t="str">
        <f>[1]Emissions!A936</f>
        <v>ems_y_co2_sigo_0</v>
      </c>
      <c r="C520" s="6">
        <f>[1]Emissions!B936</f>
        <v>0</v>
      </c>
      <c r="D520" s="6">
        <f>[1]Emissions!C936</f>
        <v>0</v>
      </c>
      <c r="E520" s="6">
        <f>[1]Emissions!D936</f>
        <v>0</v>
      </c>
      <c r="F520" s="6">
        <f>[1]Emissions!E936</f>
        <v>0</v>
      </c>
      <c r="G520" s="6">
        <f>[1]Emissions!F936</f>
        <v>0</v>
      </c>
      <c r="H520" s="6">
        <f>[1]Emissions!G936</f>
        <v>0</v>
      </c>
      <c r="I520" s="6">
        <f>[1]Emissions!H936</f>
        <v>0</v>
      </c>
      <c r="J520" s="6">
        <f>[1]Emissions!I936</f>
        <v>0</v>
      </c>
      <c r="K520" s="6">
        <f>[1]Emissions!J936</f>
        <v>0</v>
      </c>
      <c r="L520" s="6">
        <f>[1]Emissions!K936</f>
        <v>0</v>
      </c>
      <c r="M520" s="6">
        <f>[1]Emissions!L936</f>
        <v>0</v>
      </c>
      <c r="N520" s="6">
        <f>[1]Emissions!M936</f>
        <v>0</v>
      </c>
      <c r="O520" s="6">
        <f>[1]Emissions!N936</f>
        <v>0</v>
      </c>
      <c r="P520" s="6">
        <f>[1]Emissions!O936</f>
        <v>0</v>
      </c>
      <c r="Q520" s="6">
        <f>[1]Emissions!P936</f>
        <v>0</v>
      </c>
      <c r="R520" s="6">
        <f>[1]Emissions!Q936</f>
        <v>0</v>
      </c>
      <c r="S520" s="6">
        <f>[1]Emissions!R936</f>
        <v>0</v>
      </c>
      <c r="T520" s="6">
        <f>[1]Emissions!S936</f>
        <v>0</v>
      </c>
      <c r="U520" s="6">
        <f>[1]Emissions!T936</f>
        <v>0</v>
      </c>
      <c r="V520" s="6">
        <f>[1]Emissions!U936</f>
        <v>0</v>
      </c>
      <c r="W520" s="6">
        <f>[1]Emissions!V936</f>
        <v>0</v>
      </c>
      <c r="X520" s="6">
        <f>[1]Emissions!W936</f>
        <v>0</v>
      </c>
      <c r="Y520" s="6">
        <f>[1]Emissions!X936</f>
        <v>0</v>
      </c>
      <c r="Z520" s="6">
        <f>[1]Emissions!Y936</f>
        <v>0</v>
      </c>
      <c r="AA520" s="6">
        <f>[1]Emissions!Z936</f>
        <v>0</v>
      </c>
      <c r="AB520" s="6">
        <f>[1]Emissions!AA936</f>
        <v>0</v>
      </c>
      <c r="AC520" s="6">
        <f>[1]Emissions!AB936</f>
        <v>0</v>
      </c>
      <c r="AD520" s="6">
        <f>[1]Emissions!AC936</f>
        <v>0</v>
      </c>
      <c r="AE520" s="6">
        <f>[1]Emissions!AD936</f>
        <v>0</v>
      </c>
      <c r="AF520" s="6">
        <f>[1]Emissions!AE936</f>
        <v>0</v>
      </c>
      <c r="AG520" s="6">
        <f>[1]Emissions!AF936</f>
        <v>0</v>
      </c>
      <c r="AH520" s="6">
        <f>[1]Emissions!AG936</f>
        <v>0</v>
      </c>
      <c r="AI520" s="6">
        <f>[1]Emissions!AH936</f>
        <v>0</v>
      </c>
      <c r="AJ520" s="6">
        <f>[1]Emissions!AI936</f>
        <v>0</v>
      </c>
      <c r="AK520" s="6">
        <f>[1]Emissions!AJ936</f>
        <v>0</v>
      </c>
      <c r="AL520" s="6">
        <f>[1]Emissions!AK936</f>
        <v>0</v>
      </c>
    </row>
    <row r="521" spans="2:38" hidden="1" x14ac:dyDescent="0.35">
      <c r="B521" s="17" t="str">
        <f>[1]Emissions!A937</f>
        <v>ems_mat_co2_sigo_0</v>
      </c>
      <c r="C521" s="6">
        <f>[1]Emissions!B937</f>
        <v>0.4724401258</v>
      </c>
      <c r="D521" s="6">
        <f>[1]Emissions!C937</f>
        <v>0.47518991729999999</v>
      </c>
      <c r="E521" s="6">
        <f>[1]Emissions!D937</f>
        <v>0.47924331860000002</v>
      </c>
      <c r="F521" s="6">
        <f>[1]Emissions!E937</f>
        <v>0.48417626850000001</v>
      </c>
      <c r="G521" s="6">
        <f>[1]Emissions!F937</f>
        <v>0.48972929069999999</v>
      </c>
      <c r="H521" s="6">
        <f>[1]Emissions!G937</f>
        <v>0.49592438890000001</v>
      </c>
      <c r="I521" s="6">
        <f>[1]Emissions!H937</f>
        <v>0.502615692</v>
      </c>
      <c r="J521" s="6">
        <f>[1]Emissions!I937</f>
        <v>0.50973220470000002</v>
      </c>
      <c r="K521" s="6">
        <f>[1]Emissions!J937</f>
        <v>0.51724905070000005</v>
      </c>
      <c r="L521" s="6">
        <f>[1]Emissions!K937</f>
        <v>0.52515948619999997</v>
      </c>
      <c r="M521" s="6">
        <f>[1]Emissions!L937</f>
        <v>0.53346019079999996</v>
      </c>
      <c r="N521" s="6">
        <f>[1]Emissions!M937</f>
        <v>0.54211176849999998</v>
      </c>
      <c r="O521" s="6">
        <f>[1]Emissions!N937</f>
        <v>0.55075430030000005</v>
      </c>
      <c r="P521" s="6">
        <f>[1]Emissions!O937</f>
        <v>0.55864087279999997</v>
      </c>
      <c r="Q521" s="6">
        <f>[1]Emissions!P937</f>
        <v>0.56611182309999997</v>
      </c>
      <c r="R521" s="6">
        <f>[1]Emissions!Q937</f>
        <v>0.57358347730000003</v>
      </c>
      <c r="S521" s="6">
        <f>[1]Emissions!R937</f>
        <v>0.58150367979999995</v>
      </c>
      <c r="T521" s="6">
        <f>[1]Emissions!S937</f>
        <v>0.59022221470000003</v>
      </c>
      <c r="U521" s="6">
        <f>[1]Emissions!T937</f>
        <v>0.59994332419999996</v>
      </c>
      <c r="V521" s="6">
        <f>[1]Emissions!U937</f>
        <v>0.61073344610000002</v>
      </c>
      <c r="W521" s="6">
        <f>[1]Emissions!V937</f>
        <v>0.62266293009999996</v>
      </c>
      <c r="X521" s="6">
        <f>[1]Emissions!W937</f>
        <v>0.63578289870000004</v>
      </c>
      <c r="Y521" s="6">
        <f>[1]Emissions!X937</f>
        <v>0.65021509209999995</v>
      </c>
      <c r="Z521" s="6">
        <f>[1]Emissions!Y937</f>
        <v>0.66602000309999998</v>
      </c>
      <c r="AA521" s="6">
        <f>[1]Emissions!Z937</f>
        <v>0.68315963989999995</v>
      </c>
      <c r="AB521" s="6">
        <f>[1]Emissions!AA937</f>
        <v>0.70162813680000002</v>
      </c>
      <c r="AC521" s="6">
        <f>[1]Emissions!AB937</f>
        <v>0.72145438080000002</v>
      </c>
      <c r="AD521" s="6">
        <f>[1]Emissions!AC937</f>
        <v>0.74276025180000005</v>
      </c>
      <c r="AE521" s="6">
        <f>[1]Emissions!AD937</f>
        <v>0.76555353530000003</v>
      </c>
      <c r="AF521" s="6">
        <f>[1]Emissions!AE937</f>
        <v>0.78956041700000001</v>
      </c>
      <c r="AG521" s="6">
        <f>[1]Emissions!AF937</f>
        <v>0.81440205349999994</v>
      </c>
      <c r="AH521" s="6">
        <f>[1]Emissions!AG937</f>
        <v>0.83978572969999998</v>
      </c>
      <c r="AI521" s="6">
        <f>[1]Emissions!AH937</f>
        <v>0.86552539230000003</v>
      </c>
      <c r="AJ521" s="6">
        <f>[1]Emissions!AI937</f>
        <v>0.89148064839999996</v>
      </c>
      <c r="AK521" s="6">
        <f>[1]Emissions!AJ937</f>
        <v>0.91752628209999998</v>
      </c>
      <c r="AL521" s="6">
        <f>[1]Emissions!AK937</f>
        <v>0.94353785779999999</v>
      </c>
    </row>
    <row r="522" spans="2:38" hidden="1" x14ac:dyDescent="0.35">
      <c r="B522" s="17" t="str">
        <f>[1]Emissions!A938</f>
        <v>ems_ci_co2_scgo_0</v>
      </c>
      <c r="C522" s="6">
        <f>[1]Emissions!B938</f>
        <v>0.69085593759999997</v>
      </c>
      <c r="D522" s="6">
        <f>[1]Emissions!C938</f>
        <v>0.67197649380000002</v>
      </c>
      <c r="E522" s="6">
        <f>[1]Emissions!D938</f>
        <v>0.65574219830000002</v>
      </c>
      <c r="F522" s="6">
        <f>[1]Emissions!E938</f>
        <v>0.64309546250000005</v>
      </c>
      <c r="G522" s="6">
        <f>[1]Emissions!F938</f>
        <v>0.63712890440000003</v>
      </c>
      <c r="H522" s="6">
        <f>[1]Emissions!G938</f>
        <v>0.63593106170000002</v>
      </c>
      <c r="I522" s="6">
        <f>[1]Emissions!H938</f>
        <v>0.6367354543</v>
      </c>
      <c r="J522" s="6">
        <f>[1]Emissions!I938</f>
        <v>0.63844318460000005</v>
      </c>
      <c r="K522" s="6">
        <f>[1]Emissions!J938</f>
        <v>0.64056057440000003</v>
      </c>
      <c r="L522" s="6">
        <f>[1]Emissions!K938</f>
        <v>0.64308678289999999</v>
      </c>
      <c r="M522" s="6">
        <f>[1]Emissions!L938</f>
        <v>0.64610436199999999</v>
      </c>
      <c r="N522" s="6">
        <f>[1]Emissions!M938</f>
        <v>0.64967130819999996</v>
      </c>
      <c r="O522" s="6">
        <f>[1]Emissions!N938</f>
        <v>0.65352612259999998</v>
      </c>
      <c r="P522" s="6">
        <f>[1]Emissions!O938</f>
        <v>0.65700845109999995</v>
      </c>
      <c r="Q522" s="6">
        <f>[1]Emissions!P938</f>
        <v>0.66040156940000005</v>
      </c>
      <c r="R522" s="6">
        <f>[1]Emissions!Q938</f>
        <v>0.66402328759999996</v>
      </c>
      <c r="S522" s="6">
        <f>[1]Emissions!R938</f>
        <v>0.66925720440000003</v>
      </c>
      <c r="T522" s="6">
        <f>[1]Emissions!S938</f>
        <v>0.67652898939999995</v>
      </c>
      <c r="U522" s="6">
        <f>[1]Emissions!T938</f>
        <v>0.68586543040000003</v>
      </c>
      <c r="V522" s="6">
        <f>[1]Emissions!U938</f>
        <v>0.69709123200000001</v>
      </c>
      <c r="W522" s="6">
        <f>[1]Emissions!V938</f>
        <v>0.71004061370000005</v>
      </c>
      <c r="X522" s="6">
        <f>[1]Emissions!W938</f>
        <v>0.72457211590000004</v>
      </c>
      <c r="Y522" s="6">
        <f>[1]Emissions!X938</f>
        <v>0.74066209289999996</v>
      </c>
      <c r="Z522" s="6">
        <f>[1]Emissions!Y938</f>
        <v>0.75828135149999998</v>
      </c>
      <c r="AA522" s="6">
        <f>[1]Emissions!Z938</f>
        <v>0.77734148250000001</v>
      </c>
      <c r="AB522" s="6">
        <f>[1]Emissions!AA938</f>
        <v>0.7977980925</v>
      </c>
      <c r="AC522" s="6">
        <f>[1]Emissions!AB938</f>
        <v>0.81965145049999999</v>
      </c>
      <c r="AD522" s="6">
        <f>[1]Emissions!AC938</f>
        <v>0.84300736440000001</v>
      </c>
      <c r="AE522" s="6">
        <f>[1]Emissions!AD938</f>
        <v>0.86787890879999996</v>
      </c>
      <c r="AF522" s="6">
        <f>[1]Emissions!AE938</f>
        <v>0.89403897919999997</v>
      </c>
      <c r="AG522" s="6">
        <f>[1]Emissions!AF938</f>
        <v>0.92115091179999997</v>
      </c>
      <c r="AH522" s="6">
        <f>[1]Emissions!AG938</f>
        <v>0.94893269000000002</v>
      </c>
      <c r="AI522" s="6">
        <f>[1]Emissions!AH938</f>
        <v>0.97718502640000005</v>
      </c>
      <c r="AJ522" s="6">
        <f>[1]Emissions!AI938</f>
        <v>1.00574092</v>
      </c>
      <c r="AK522" s="6">
        <f>[1]Emissions!AJ938</f>
        <v>1.0344433049999999</v>
      </c>
      <c r="AL522" s="6">
        <f>[1]Emissions!AK938</f>
        <v>1.0631347840000001</v>
      </c>
    </row>
    <row r="523" spans="2:38" hidden="1" x14ac:dyDescent="0.35">
      <c r="B523" s="17" t="str">
        <f>[1]Emissions!A939</f>
        <v>ems_y_co2_scgo_0</v>
      </c>
      <c r="C523" s="6">
        <f>[1]Emissions!B939</f>
        <v>0</v>
      </c>
      <c r="D523" s="6">
        <f>[1]Emissions!C939</f>
        <v>0</v>
      </c>
      <c r="E523" s="6">
        <f>[1]Emissions!D939</f>
        <v>0</v>
      </c>
      <c r="F523" s="6">
        <f>[1]Emissions!E939</f>
        <v>0</v>
      </c>
      <c r="G523" s="6">
        <f>[1]Emissions!F939</f>
        <v>0</v>
      </c>
      <c r="H523" s="6">
        <f>[1]Emissions!G939</f>
        <v>0</v>
      </c>
      <c r="I523" s="6">
        <f>[1]Emissions!H939</f>
        <v>0</v>
      </c>
      <c r="J523" s="6">
        <f>[1]Emissions!I939</f>
        <v>0</v>
      </c>
      <c r="K523" s="6">
        <f>[1]Emissions!J939</f>
        <v>0</v>
      </c>
      <c r="L523" s="6">
        <f>[1]Emissions!K939</f>
        <v>0</v>
      </c>
      <c r="M523" s="6">
        <f>[1]Emissions!L939</f>
        <v>0</v>
      </c>
      <c r="N523" s="6">
        <f>[1]Emissions!M939</f>
        <v>0</v>
      </c>
      <c r="O523" s="6">
        <f>[1]Emissions!N939</f>
        <v>0</v>
      </c>
      <c r="P523" s="6">
        <f>[1]Emissions!O939</f>
        <v>0</v>
      </c>
      <c r="Q523" s="6">
        <f>[1]Emissions!P939</f>
        <v>0</v>
      </c>
      <c r="R523" s="6">
        <f>[1]Emissions!Q939</f>
        <v>0</v>
      </c>
      <c r="S523" s="6">
        <f>[1]Emissions!R939</f>
        <v>0</v>
      </c>
      <c r="T523" s="6">
        <f>[1]Emissions!S939</f>
        <v>0</v>
      </c>
      <c r="U523" s="6">
        <f>[1]Emissions!T939</f>
        <v>0</v>
      </c>
      <c r="V523" s="6">
        <f>[1]Emissions!U939</f>
        <v>0</v>
      </c>
      <c r="W523" s="6">
        <f>[1]Emissions!V939</f>
        <v>0</v>
      </c>
      <c r="X523" s="6">
        <f>[1]Emissions!W939</f>
        <v>0</v>
      </c>
      <c r="Y523" s="6">
        <f>[1]Emissions!X939</f>
        <v>0</v>
      </c>
      <c r="Z523" s="6">
        <f>[1]Emissions!Y939</f>
        <v>0</v>
      </c>
      <c r="AA523" s="6">
        <f>[1]Emissions!Z939</f>
        <v>0</v>
      </c>
      <c r="AB523" s="6">
        <f>[1]Emissions!AA939</f>
        <v>0</v>
      </c>
      <c r="AC523" s="6">
        <f>[1]Emissions!AB939</f>
        <v>0</v>
      </c>
      <c r="AD523" s="6">
        <f>[1]Emissions!AC939</f>
        <v>0</v>
      </c>
      <c r="AE523" s="6">
        <f>[1]Emissions!AD939</f>
        <v>0</v>
      </c>
      <c r="AF523" s="6">
        <f>[1]Emissions!AE939</f>
        <v>0</v>
      </c>
      <c r="AG523" s="6">
        <f>[1]Emissions!AF939</f>
        <v>0</v>
      </c>
      <c r="AH523" s="6">
        <f>[1]Emissions!AG939</f>
        <v>0</v>
      </c>
      <c r="AI523" s="6">
        <f>[1]Emissions!AH939</f>
        <v>0</v>
      </c>
      <c r="AJ523" s="6">
        <f>[1]Emissions!AI939</f>
        <v>0</v>
      </c>
      <c r="AK523" s="6">
        <f>[1]Emissions!AJ939</f>
        <v>0</v>
      </c>
      <c r="AL523" s="6">
        <f>[1]Emissions!AK939</f>
        <v>0</v>
      </c>
    </row>
    <row r="524" spans="2:38" hidden="1" x14ac:dyDescent="0.35">
      <c r="B524" s="17" t="str">
        <f>[1]Emissions!A940</f>
        <v>ems_mat_co2_scgo_0</v>
      </c>
      <c r="C524" s="6">
        <f>[1]Emissions!B940</f>
        <v>0</v>
      </c>
      <c r="D524" s="6">
        <f>[1]Emissions!C940</f>
        <v>0</v>
      </c>
      <c r="E524" s="6">
        <f>[1]Emissions!D940</f>
        <v>0</v>
      </c>
      <c r="F524" s="6">
        <f>[1]Emissions!E940</f>
        <v>0</v>
      </c>
      <c r="G524" s="6">
        <f>[1]Emissions!F940</f>
        <v>0</v>
      </c>
      <c r="H524" s="6">
        <f>[1]Emissions!G940</f>
        <v>0</v>
      </c>
      <c r="I524" s="6">
        <f>[1]Emissions!H940</f>
        <v>0</v>
      </c>
      <c r="J524" s="6">
        <f>[1]Emissions!I940</f>
        <v>0</v>
      </c>
      <c r="K524" s="6">
        <f>[1]Emissions!J940</f>
        <v>0</v>
      </c>
      <c r="L524" s="6">
        <f>[1]Emissions!K940</f>
        <v>0</v>
      </c>
      <c r="M524" s="6">
        <f>[1]Emissions!L940</f>
        <v>0</v>
      </c>
      <c r="N524" s="6">
        <f>[1]Emissions!M940</f>
        <v>0</v>
      </c>
      <c r="O524" s="6">
        <f>[1]Emissions!N940</f>
        <v>0</v>
      </c>
      <c r="P524" s="6">
        <f>[1]Emissions!O940</f>
        <v>0</v>
      </c>
      <c r="Q524" s="6">
        <f>[1]Emissions!P940</f>
        <v>0</v>
      </c>
      <c r="R524" s="6">
        <f>[1]Emissions!Q940</f>
        <v>0</v>
      </c>
      <c r="S524" s="6">
        <f>[1]Emissions!R940</f>
        <v>0</v>
      </c>
      <c r="T524" s="6">
        <f>[1]Emissions!S940</f>
        <v>0</v>
      </c>
      <c r="U524" s="6">
        <f>[1]Emissions!T940</f>
        <v>0</v>
      </c>
      <c r="V524" s="6">
        <f>[1]Emissions!U940</f>
        <v>0</v>
      </c>
      <c r="W524" s="6">
        <f>[1]Emissions!V940</f>
        <v>0</v>
      </c>
      <c r="X524" s="6">
        <f>[1]Emissions!W940</f>
        <v>0</v>
      </c>
      <c r="Y524" s="6">
        <f>[1]Emissions!X940</f>
        <v>0</v>
      </c>
      <c r="Z524" s="6">
        <f>[1]Emissions!Y940</f>
        <v>0</v>
      </c>
      <c r="AA524" s="6">
        <f>[1]Emissions!Z940</f>
        <v>0</v>
      </c>
      <c r="AB524" s="6">
        <f>[1]Emissions!AA940</f>
        <v>0</v>
      </c>
      <c r="AC524" s="6">
        <f>[1]Emissions!AB940</f>
        <v>0</v>
      </c>
      <c r="AD524" s="6">
        <f>[1]Emissions!AC940</f>
        <v>0</v>
      </c>
      <c r="AE524" s="6">
        <f>[1]Emissions!AD940</f>
        <v>0</v>
      </c>
      <c r="AF524" s="6">
        <f>[1]Emissions!AE940</f>
        <v>0</v>
      </c>
      <c r="AG524" s="6">
        <f>[1]Emissions!AF940</f>
        <v>0</v>
      </c>
      <c r="AH524" s="6">
        <f>[1]Emissions!AG940</f>
        <v>0</v>
      </c>
      <c r="AI524" s="6">
        <f>[1]Emissions!AH940</f>
        <v>0</v>
      </c>
      <c r="AJ524" s="6">
        <f>[1]Emissions!AI940</f>
        <v>0</v>
      </c>
      <c r="AK524" s="6">
        <f>[1]Emissions!AJ940</f>
        <v>0</v>
      </c>
      <c r="AL524" s="6">
        <f>[1]Emissions!AK940</f>
        <v>0</v>
      </c>
    </row>
    <row r="525" spans="2:38" hidden="1" x14ac:dyDescent="0.35">
      <c r="B525" s="17" t="str">
        <f>[1]Emissions!A941</f>
        <v>ems_ci_co2_scon_0</v>
      </c>
      <c r="C525" s="6">
        <f>[1]Emissions!B941</f>
        <v>7.4702449880000001</v>
      </c>
      <c r="D525" s="6">
        <f>[1]Emissions!C941</f>
        <v>7.8628093510000001</v>
      </c>
      <c r="E525" s="6">
        <f>[1]Emissions!D941</f>
        <v>8.2414312190000008</v>
      </c>
      <c r="F525" s="6">
        <f>[1]Emissions!E941</f>
        <v>8.3947576870000002</v>
      </c>
      <c r="G525" s="6">
        <f>[1]Emissions!F941</f>
        <v>8.4461670980000001</v>
      </c>
      <c r="H525" s="6">
        <f>[1]Emissions!G941</f>
        <v>8.4691494550000002</v>
      </c>
      <c r="I525" s="6">
        <f>[1]Emissions!H941</f>
        <v>8.4762220960000008</v>
      </c>
      <c r="J525" s="6">
        <f>[1]Emissions!I941</f>
        <v>8.4811827149999992</v>
      </c>
      <c r="K525" s="6">
        <f>[1]Emissions!J941</f>
        <v>8.4888953909999998</v>
      </c>
      <c r="L525" s="6">
        <f>[1]Emissions!K941</f>
        <v>8.5033432619999996</v>
      </c>
      <c r="M525" s="6">
        <f>[1]Emissions!L941</f>
        <v>8.5272299060000005</v>
      </c>
      <c r="N525" s="6">
        <f>[1]Emissions!M941</f>
        <v>8.5625528719999995</v>
      </c>
      <c r="O525" s="6">
        <f>[1]Emissions!N941</f>
        <v>8.6089650219999996</v>
      </c>
      <c r="P525" s="6">
        <f>[1]Emissions!O941</f>
        <v>8.6627368740000001</v>
      </c>
      <c r="Q525" s="6">
        <f>[1]Emissions!P941</f>
        <v>8.7223473820000006</v>
      </c>
      <c r="R525" s="6">
        <f>[1]Emissions!Q941</f>
        <v>8.7878017980000003</v>
      </c>
      <c r="S525" s="6">
        <f>[1]Emissions!R941</f>
        <v>8.8766314939999997</v>
      </c>
      <c r="T525" s="6">
        <f>[1]Emissions!S941</f>
        <v>8.988549656</v>
      </c>
      <c r="U525" s="6">
        <f>[1]Emissions!T941</f>
        <v>9.1206349089999996</v>
      </c>
      <c r="V525" s="6">
        <f>[1]Emissions!U941</f>
        <v>9.2693707659999998</v>
      </c>
      <c r="W525" s="6">
        <f>[1]Emissions!V941</f>
        <v>9.4320997510000009</v>
      </c>
      <c r="X525" s="6">
        <f>[1]Emissions!W941</f>
        <v>9.6072857020000004</v>
      </c>
      <c r="Y525" s="6">
        <f>[1]Emissions!X941</f>
        <v>9.7940359949999998</v>
      </c>
      <c r="Z525" s="6">
        <f>[1]Emissions!Y941</f>
        <v>9.9917097029999997</v>
      </c>
      <c r="AA525" s="6">
        <f>[1]Emissions!Z941</f>
        <v>10.199601100000001</v>
      </c>
      <c r="AB525" s="6">
        <f>[1]Emissions!AA941</f>
        <v>10.417769</v>
      </c>
      <c r="AC525" s="6">
        <f>[1]Emissions!AB941</f>
        <v>10.64684121</v>
      </c>
      <c r="AD525" s="6">
        <f>[1]Emissions!AC941</f>
        <v>10.887643219999999</v>
      </c>
      <c r="AE525" s="6">
        <f>[1]Emissions!AD941</f>
        <v>11.141726269999999</v>
      </c>
      <c r="AF525" s="6">
        <f>[1]Emissions!AE941</f>
        <v>11.41018294</v>
      </c>
      <c r="AG525" s="6">
        <f>[1]Emissions!AF941</f>
        <v>11.693519569999999</v>
      </c>
      <c r="AH525" s="6">
        <f>[1]Emissions!AG941</f>
        <v>11.991690200000001</v>
      </c>
      <c r="AI525" s="6">
        <f>[1]Emissions!AH941</f>
        <v>12.303951339999999</v>
      </c>
      <c r="AJ525" s="6">
        <f>[1]Emissions!AI941</f>
        <v>12.62934813</v>
      </c>
      <c r="AK525" s="6">
        <f>[1]Emissions!AJ941</f>
        <v>12.966844030000001</v>
      </c>
      <c r="AL525" s="6">
        <f>[1]Emissions!AK941</f>
        <v>13.315330790000001</v>
      </c>
    </row>
    <row r="526" spans="2:38" hidden="1" x14ac:dyDescent="0.35">
      <c r="B526" s="17" t="str">
        <f>[1]Emissions!A942</f>
        <v>ems_y_co2_scon_0</v>
      </c>
      <c r="C526" s="6">
        <f>[1]Emissions!B942</f>
        <v>0</v>
      </c>
      <c r="D526" s="6">
        <f>[1]Emissions!C942</f>
        <v>0</v>
      </c>
      <c r="E526" s="6">
        <f>[1]Emissions!D942</f>
        <v>0</v>
      </c>
      <c r="F526" s="6">
        <f>[1]Emissions!E942</f>
        <v>0</v>
      </c>
      <c r="G526" s="6">
        <f>[1]Emissions!F942</f>
        <v>0</v>
      </c>
      <c r="H526" s="6">
        <f>[1]Emissions!G942</f>
        <v>0</v>
      </c>
      <c r="I526" s="6">
        <f>[1]Emissions!H942</f>
        <v>0</v>
      </c>
      <c r="J526" s="6">
        <f>[1]Emissions!I942</f>
        <v>0</v>
      </c>
      <c r="K526" s="6">
        <f>[1]Emissions!J942</f>
        <v>0</v>
      </c>
      <c r="L526" s="6">
        <f>[1]Emissions!K942</f>
        <v>0</v>
      </c>
      <c r="M526" s="6">
        <f>[1]Emissions!L942</f>
        <v>0</v>
      </c>
      <c r="N526" s="6">
        <f>[1]Emissions!M942</f>
        <v>0</v>
      </c>
      <c r="O526" s="6">
        <f>[1]Emissions!N942</f>
        <v>0</v>
      </c>
      <c r="P526" s="6">
        <f>[1]Emissions!O942</f>
        <v>0</v>
      </c>
      <c r="Q526" s="6">
        <f>[1]Emissions!P942</f>
        <v>0</v>
      </c>
      <c r="R526" s="6">
        <f>[1]Emissions!Q942</f>
        <v>0</v>
      </c>
      <c r="S526" s="6">
        <f>[1]Emissions!R942</f>
        <v>0</v>
      </c>
      <c r="T526" s="6">
        <f>[1]Emissions!S942</f>
        <v>0</v>
      </c>
      <c r="U526" s="6">
        <f>[1]Emissions!T942</f>
        <v>0</v>
      </c>
      <c r="V526" s="6">
        <f>[1]Emissions!U942</f>
        <v>0</v>
      </c>
      <c r="W526" s="6">
        <f>[1]Emissions!V942</f>
        <v>0</v>
      </c>
      <c r="X526" s="6">
        <f>[1]Emissions!W942</f>
        <v>0</v>
      </c>
      <c r="Y526" s="6">
        <f>[1]Emissions!X942</f>
        <v>0</v>
      </c>
      <c r="Z526" s="6">
        <f>[1]Emissions!Y942</f>
        <v>0</v>
      </c>
      <c r="AA526" s="6">
        <f>[1]Emissions!Z942</f>
        <v>0</v>
      </c>
      <c r="AB526" s="6">
        <f>[1]Emissions!AA942</f>
        <v>0</v>
      </c>
      <c r="AC526" s="6">
        <f>[1]Emissions!AB942</f>
        <v>0</v>
      </c>
      <c r="AD526" s="6">
        <f>[1]Emissions!AC942</f>
        <v>0</v>
      </c>
      <c r="AE526" s="6">
        <f>[1]Emissions!AD942</f>
        <v>0</v>
      </c>
      <c r="AF526" s="6">
        <f>[1]Emissions!AE942</f>
        <v>0</v>
      </c>
      <c r="AG526" s="6">
        <f>[1]Emissions!AF942</f>
        <v>0</v>
      </c>
      <c r="AH526" s="6">
        <f>[1]Emissions!AG942</f>
        <v>0</v>
      </c>
      <c r="AI526" s="6">
        <f>[1]Emissions!AH942</f>
        <v>0</v>
      </c>
      <c r="AJ526" s="6">
        <f>[1]Emissions!AI942</f>
        <v>0</v>
      </c>
      <c r="AK526" s="6">
        <f>[1]Emissions!AJ942</f>
        <v>0</v>
      </c>
      <c r="AL526" s="6">
        <f>[1]Emissions!AK942</f>
        <v>0</v>
      </c>
    </row>
    <row r="527" spans="2:38" hidden="1" x14ac:dyDescent="0.35">
      <c r="B527" s="17" t="str">
        <f>[1]Emissions!A943</f>
        <v>ems_mat_co2_scon_0</v>
      </c>
      <c r="C527" s="6">
        <f>[1]Emissions!B943</f>
        <v>0</v>
      </c>
      <c r="D527" s="6">
        <f>[1]Emissions!C943</f>
        <v>0</v>
      </c>
      <c r="E527" s="6">
        <f>[1]Emissions!D943</f>
        <v>0</v>
      </c>
      <c r="F527" s="6">
        <f>[1]Emissions!E943</f>
        <v>0</v>
      </c>
      <c r="G527" s="6">
        <f>[1]Emissions!F943</f>
        <v>0</v>
      </c>
      <c r="H527" s="6">
        <f>[1]Emissions!G943</f>
        <v>0</v>
      </c>
      <c r="I527" s="6">
        <f>[1]Emissions!H943</f>
        <v>0</v>
      </c>
      <c r="J527" s="6">
        <f>[1]Emissions!I943</f>
        <v>0</v>
      </c>
      <c r="K527" s="6">
        <f>[1]Emissions!J943</f>
        <v>0</v>
      </c>
      <c r="L527" s="6">
        <f>[1]Emissions!K943</f>
        <v>0</v>
      </c>
      <c r="M527" s="6">
        <f>[1]Emissions!L943</f>
        <v>0</v>
      </c>
      <c r="N527" s="6">
        <f>[1]Emissions!M943</f>
        <v>0</v>
      </c>
      <c r="O527" s="6">
        <f>[1]Emissions!N943</f>
        <v>0</v>
      </c>
      <c r="P527" s="6">
        <f>[1]Emissions!O943</f>
        <v>0</v>
      </c>
      <c r="Q527" s="6">
        <f>[1]Emissions!P943</f>
        <v>0</v>
      </c>
      <c r="R527" s="6">
        <f>[1]Emissions!Q943</f>
        <v>0</v>
      </c>
      <c r="S527" s="6">
        <f>[1]Emissions!R943</f>
        <v>0</v>
      </c>
      <c r="T527" s="6">
        <f>[1]Emissions!S943</f>
        <v>0</v>
      </c>
      <c r="U527" s="6">
        <f>[1]Emissions!T943</f>
        <v>0</v>
      </c>
      <c r="V527" s="6">
        <f>[1]Emissions!U943</f>
        <v>0</v>
      </c>
      <c r="W527" s="6">
        <f>[1]Emissions!V943</f>
        <v>0</v>
      </c>
      <c r="X527" s="6">
        <f>[1]Emissions!W943</f>
        <v>0</v>
      </c>
      <c r="Y527" s="6">
        <f>[1]Emissions!X943</f>
        <v>0</v>
      </c>
      <c r="Z527" s="6">
        <f>[1]Emissions!Y943</f>
        <v>0</v>
      </c>
      <c r="AA527" s="6">
        <f>[1]Emissions!Z943</f>
        <v>0</v>
      </c>
      <c r="AB527" s="6">
        <f>[1]Emissions!AA943</f>
        <v>0</v>
      </c>
      <c r="AC527" s="6">
        <f>[1]Emissions!AB943</f>
        <v>0</v>
      </c>
      <c r="AD527" s="6">
        <f>[1]Emissions!AC943</f>
        <v>0</v>
      </c>
      <c r="AE527" s="6">
        <f>[1]Emissions!AD943</f>
        <v>0</v>
      </c>
      <c r="AF527" s="6">
        <f>[1]Emissions!AE943</f>
        <v>0</v>
      </c>
      <c r="AG527" s="6">
        <f>[1]Emissions!AF943</f>
        <v>0</v>
      </c>
      <c r="AH527" s="6">
        <f>[1]Emissions!AG943</f>
        <v>0</v>
      </c>
      <c r="AI527" s="6">
        <f>[1]Emissions!AH943</f>
        <v>0</v>
      </c>
      <c r="AJ527" s="6">
        <f>[1]Emissions!AI943</f>
        <v>0</v>
      </c>
      <c r="AK527" s="6">
        <f>[1]Emissions!AJ943</f>
        <v>0</v>
      </c>
      <c r="AL527" s="6">
        <f>[1]Emissions!AK943</f>
        <v>0</v>
      </c>
    </row>
    <row r="528" spans="2:38" hidden="1" x14ac:dyDescent="0.35">
      <c r="B528" s="17" t="str">
        <f>[1]Emissions!A944</f>
        <v>ems_ci_co2_srai_0</v>
      </c>
      <c r="C528" s="6">
        <f>[1]Emissions!B944</f>
        <v>5.5685759990000001</v>
      </c>
      <c r="D528" s="6">
        <f>[1]Emissions!C944</f>
        <v>5.5455901179999998</v>
      </c>
      <c r="E528" s="6">
        <f>[1]Emissions!D944</f>
        <v>5.5328933429999996</v>
      </c>
      <c r="F528" s="6">
        <f>[1]Emissions!E944</f>
        <v>5.5335798790000004</v>
      </c>
      <c r="G528" s="6">
        <f>[1]Emissions!F944</f>
        <v>5.5553354229999998</v>
      </c>
      <c r="H528" s="6">
        <f>[1]Emissions!G944</f>
        <v>5.592748866</v>
      </c>
      <c r="I528" s="6">
        <f>[1]Emissions!H944</f>
        <v>5.6326748650000003</v>
      </c>
      <c r="J528" s="6">
        <f>[1]Emissions!I944</f>
        <v>5.6735393289999996</v>
      </c>
      <c r="K528" s="6">
        <f>[1]Emissions!J944</f>
        <v>5.7154201179999999</v>
      </c>
      <c r="L528" s="6">
        <f>[1]Emissions!K944</f>
        <v>5.7593196239999997</v>
      </c>
      <c r="M528" s="6">
        <f>[1]Emissions!L944</f>
        <v>5.8060470970000004</v>
      </c>
      <c r="N528" s="6">
        <f>[1]Emissions!M944</f>
        <v>5.8559797480000002</v>
      </c>
      <c r="O528" s="6">
        <f>[1]Emissions!N944</f>
        <v>5.907437206</v>
      </c>
      <c r="P528" s="6">
        <f>[1]Emissions!O944</f>
        <v>5.9561590740000003</v>
      </c>
      <c r="Q528" s="6">
        <f>[1]Emissions!P944</f>
        <v>6.0035042929999998</v>
      </c>
      <c r="R528" s="6">
        <f>[1]Emissions!Q944</f>
        <v>6.0515683349999998</v>
      </c>
      <c r="S528" s="6">
        <f>[1]Emissions!R944</f>
        <v>6.1085985279999999</v>
      </c>
      <c r="T528" s="6">
        <f>[1]Emissions!S944</f>
        <v>6.1763821339999998</v>
      </c>
      <c r="U528" s="6">
        <f>[1]Emissions!T944</f>
        <v>6.2550854219999996</v>
      </c>
      <c r="V528" s="6">
        <f>[1]Emissions!U944</f>
        <v>6.3440725809999998</v>
      </c>
      <c r="W528" s="6">
        <f>[1]Emissions!V944</f>
        <v>6.4428739190000002</v>
      </c>
      <c r="X528" s="6">
        <f>[1]Emissions!W944</f>
        <v>6.5511430910000001</v>
      </c>
      <c r="Y528" s="6">
        <f>[1]Emissions!X944</f>
        <v>6.6691237049999996</v>
      </c>
      <c r="Z528" s="6">
        <f>[1]Emissions!Y944</f>
        <v>6.7969244360000003</v>
      </c>
      <c r="AA528" s="6">
        <f>[1]Emissions!Z944</f>
        <v>6.9341889490000002</v>
      </c>
      <c r="AB528" s="6">
        <f>[1]Emissions!AA944</f>
        <v>7.0807335790000003</v>
      </c>
      <c r="AC528" s="6">
        <f>[1]Emissions!AB944</f>
        <v>7.236604474</v>
      </c>
      <c r="AD528" s="6">
        <f>[1]Emissions!AC944</f>
        <v>7.4024381860000004</v>
      </c>
      <c r="AE528" s="6">
        <f>[1]Emissions!AD944</f>
        <v>7.578340399</v>
      </c>
      <c r="AF528" s="6">
        <f>[1]Emissions!AE944</f>
        <v>7.7629162870000004</v>
      </c>
      <c r="AG528" s="6">
        <f>[1]Emissions!AF944</f>
        <v>7.9540087689999996</v>
      </c>
      <c r="AH528" s="6">
        <f>[1]Emissions!AG944</f>
        <v>8.1497289819999992</v>
      </c>
      <c r="AI528" s="6">
        <f>[1]Emissions!AH944</f>
        <v>8.3486912400000008</v>
      </c>
      <c r="AJ528" s="6">
        <f>[1]Emissions!AI944</f>
        <v>8.5497597390000006</v>
      </c>
      <c r="AK528" s="6">
        <f>[1]Emissions!AJ944</f>
        <v>8.7519096360000006</v>
      </c>
      <c r="AL528" s="6">
        <f>[1]Emissions!AK944</f>
        <v>8.9541539869999998</v>
      </c>
    </row>
    <row r="529" spans="2:38" hidden="1" x14ac:dyDescent="0.35">
      <c r="B529" s="17" t="str">
        <f>[1]Emissions!A945</f>
        <v>ems_y_co2_srai_0</v>
      </c>
      <c r="C529" s="6">
        <f>[1]Emissions!B945</f>
        <v>0</v>
      </c>
      <c r="D529" s="6">
        <f>[1]Emissions!C945</f>
        <v>0</v>
      </c>
      <c r="E529" s="6">
        <f>[1]Emissions!D945</f>
        <v>0</v>
      </c>
      <c r="F529" s="6">
        <f>[1]Emissions!E945</f>
        <v>0</v>
      </c>
      <c r="G529" s="6">
        <f>[1]Emissions!F945</f>
        <v>0</v>
      </c>
      <c r="H529" s="6">
        <f>[1]Emissions!G945</f>
        <v>0</v>
      </c>
      <c r="I529" s="6">
        <f>[1]Emissions!H945</f>
        <v>0</v>
      </c>
      <c r="J529" s="6">
        <f>[1]Emissions!I945</f>
        <v>0</v>
      </c>
      <c r="K529" s="6">
        <f>[1]Emissions!J945</f>
        <v>0</v>
      </c>
      <c r="L529" s="6">
        <f>[1]Emissions!K945</f>
        <v>0</v>
      </c>
      <c r="M529" s="6">
        <f>[1]Emissions!L945</f>
        <v>0</v>
      </c>
      <c r="N529" s="6">
        <f>[1]Emissions!M945</f>
        <v>0</v>
      </c>
      <c r="O529" s="6">
        <f>[1]Emissions!N945</f>
        <v>0</v>
      </c>
      <c r="P529" s="6">
        <f>[1]Emissions!O945</f>
        <v>0</v>
      </c>
      <c r="Q529" s="6">
        <f>[1]Emissions!P945</f>
        <v>0</v>
      </c>
      <c r="R529" s="6">
        <f>[1]Emissions!Q945</f>
        <v>0</v>
      </c>
      <c r="S529" s="6">
        <f>[1]Emissions!R945</f>
        <v>0</v>
      </c>
      <c r="T529" s="6">
        <f>[1]Emissions!S945</f>
        <v>0</v>
      </c>
      <c r="U529" s="6">
        <f>[1]Emissions!T945</f>
        <v>0</v>
      </c>
      <c r="V529" s="6">
        <f>[1]Emissions!U945</f>
        <v>0</v>
      </c>
      <c r="W529" s="6">
        <f>[1]Emissions!V945</f>
        <v>0</v>
      </c>
      <c r="X529" s="6">
        <f>[1]Emissions!W945</f>
        <v>0</v>
      </c>
      <c r="Y529" s="6">
        <f>[1]Emissions!X945</f>
        <v>0</v>
      </c>
      <c r="Z529" s="6">
        <f>[1]Emissions!Y945</f>
        <v>0</v>
      </c>
      <c r="AA529" s="6">
        <f>[1]Emissions!Z945</f>
        <v>0</v>
      </c>
      <c r="AB529" s="6">
        <f>[1]Emissions!AA945</f>
        <v>0</v>
      </c>
      <c r="AC529" s="6">
        <f>[1]Emissions!AB945</f>
        <v>0</v>
      </c>
      <c r="AD529" s="6">
        <f>[1]Emissions!AC945</f>
        <v>0</v>
      </c>
      <c r="AE529" s="6">
        <f>[1]Emissions!AD945</f>
        <v>0</v>
      </c>
      <c r="AF529" s="6">
        <f>[1]Emissions!AE945</f>
        <v>0</v>
      </c>
      <c r="AG529" s="6">
        <f>[1]Emissions!AF945</f>
        <v>0</v>
      </c>
      <c r="AH529" s="6">
        <f>[1]Emissions!AG945</f>
        <v>0</v>
      </c>
      <c r="AI529" s="6">
        <f>[1]Emissions!AH945</f>
        <v>0</v>
      </c>
      <c r="AJ529" s="6">
        <f>[1]Emissions!AI945</f>
        <v>0</v>
      </c>
      <c r="AK529" s="6">
        <f>[1]Emissions!AJ945</f>
        <v>0</v>
      </c>
      <c r="AL529" s="6">
        <f>[1]Emissions!AK945</f>
        <v>0</v>
      </c>
    </row>
    <row r="530" spans="2:38" hidden="1" x14ac:dyDescent="0.35">
      <c r="B530" s="17" t="str">
        <f>[1]Emissions!A946</f>
        <v>ems_mat_co2_srai_0</v>
      </c>
      <c r="C530" s="6">
        <f>[1]Emissions!B946</f>
        <v>0</v>
      </c>
      <c r="D530" s="6">
        <f>[1]Emissions!C946</f>
        <v>0</v>
      </c>
      <c r="E530" s="6">
        <f>[1]Emissions!D946</f>
        <v>0</v>
      </c>
      <c r="F530" s="6">
        <f>[1]Emissions!E946</f>
        <v>0</v>
      </c>
      <c r="G530" s="6">
        <f>[1]Emissions!F946</f>
        <v>0</v>
      </c>
      <c r="H530" s="6">
        <f>[1]Emissions!G946</f>
        <v>0</v>
      </c>
      <c r="I530" s="6">
        <f>[1]Emissions!H946</f>
        <v>0</v>
      </c>
      <c r="J530" s="6">
        <f>[1]Emissions!I946</f>
        <v>0</v>
      </c>
      <c r="K530" s="6">
        <f>[1]Emissions!J946</f>
        <v>0</v>
      </c>
      <c r="L530" s="6">
        <f>[1]Emissions!K946</f>
        <v>0</v>
      </c>
      <c r="M530" s="6">
        <f>[1]Emissions!L946</f>
        <v>0</v>
      </c>
      <c r="N530" s="6">
        <f>[1]Emissions!M946</f>
        <v>0</v>
      </c>
      <c r="O530" s="6">
        <f>[1]Emissions!N946</f>
        <v>0</v>
      </c>
      <c r="P530" s="6">
        <f>[1]Emissions!O946</f>
        <v>0</v>
      </c>
      <c r="Q530" s="6">
        <f>[1]Emissions!P946</f>
        <v>0</v>
      </c>
      <c r="R530" s="6">
        <f>[1]Emissions!Q946</f>
        <v>0</v>
      </c>
      <c r="S530" s="6">
        <f>[1]Emissions!R946</f>
        <v>0</v>
      </c>
      <c r="T530" s="6">
        <f>[1]Emissions!S946</f>
        <v>0</v>
      </c>
      <c r="U530" s="6">
        <f>[1]Emissions!T946</f>
        <v>0</v>
      </c>
      <c r="V530" s="6">
        <f>[1]Emissions!U946</f>
        <v>0</v>
      </c>
      <c r="W530" s="6">
        <f>[1]Emissions!V946</f>
        <v>0</v>
      </c>
      <c r="X530" s="6">
        <f>[1]Emissions!W946</f>
        <v>0</v>
      </c>
      <c r="Y530" s="6">
        <f>[1]Emissions!X946</f>
        <v>0</v>
      </c>
      <c r="Z530" s="6">
        <f>[1]Emissions!Y946</f>
        <v>0</v>
      </c>
      <c r="AA530" s="6">
        <f>[1]Emissions!Z946</f>
        <v>0</v>
      </c>
      <c r="AB530" s="6">
        <f>[1]Emissions!AA946</f>
        <v>0</v>
      </c>
      <c r="AC530" s="6">
        <f>[1]Emissions!AB946</f>
        <v>0</v>
      </c>
      <c r="AD530" s="6">
        <f>[1]Emissions!AC946</f>
        <v>0</v>
      </c>
      <c r="AE530" s="6">
        <f>[1]Emissions!AD946</f>
        <v>0</v>
      </c>
      <c r="AF530" s="6">
        <f>[1]Emissions!AE946</f>
        <v>0</v>
      </c>
      <c r="AG530" s="6">
        <f>[1]Emissions!AF946</f>
        <v>0</v>
      </c>
      <c r="AH530" s="6">
        <f>[1]Emissions!AG946</f>
        <v>0</v>
      </c>
      <c r="AI530" s="6">
        <f>[1]Emissions!AH946</f>
        <v>0</v>
      </c>
      <c r="AJ530" s="6">
        <f>[1]Emissions!AI946</f>
        <v>0</v>
      </c>
      <c r="AK530" s="6">
        <f>[1]Emissions!AJ946</f>
        <v>0</v>
      </c>
      <c r="AL530" s="6">
        <f>[1]Emissions!AK946</f>
        <v>0</v>
      </c>
    </row>
    <row r="531" spans="2:38" hidden="1" x14ac:dyDescent="0.35">
      <c r="B531" s="17" t="str">
        <f>[1]Emissions!A947</f>
        <v>ems_ci_co2_sroa_0</v>
      </c>
      <c r="C531" s="6">
        <f>[1]Emissions!B947</f>
        <v>15.963741819999999</v>
      </c>
      <c r="D531" s="6">
        <f>[1]Emissions!C947</f>
        <v>15.8515985</v>
      </c>
      <c r="E531" s="6">
        <f>[1]Emissions!D947</f>
        <v>15.75964551</v>
      </c>
      <c r="F531" s="6">
        <f>[1]Emissions!E947</f>
        <v>15.699473429999999</v>
      </c>
      <c r="G531" s="6">
        <f>[1]Emissions!F947</f>
        <v>15.71363586</v>
      </c>
      <c r="H531" s="6">
        <f>[1]Emissions!G947</f>
        <v>15.78505872</v>
      </c>
      <c r="I531" s="6">
        <f>[1]Emissions!H947</f>
        <v>15.86387539</v>
      </c>
      <c r="J531" s="6">
        <f>[1]Emissions!I947</f>
        <v>15.94209013</v>
      </c>
      <c r="K531" s="6">
        <f>[1]Emissions!J947</f>
        <v>16.01895923</v>
      </c>
      <c r="L531" s="6">
        <f>[1]Emissions!K947</f>
        <v>16.09835975</v>
      </c>
      <c r="M531" s="6">
        <f>[1]Emissions!L947</f>
        <v>16.184056129999998</v>
      </c>
      <c r="N531" s="6">
        <f>[1]Emissions!M947</f>
        <v>16.278430589999999</v>
      </c>
      <c r="O531" s="6">
        <f>[1]Emissions!N947</f>
        <v>16.377842810000001</v>
      </c>
      <c r="P531" s="6">
        <f>[1]Emissions!O947</f>
        <v>16.471237680000002</v>
      </c>
      <c r="Q531" s="6">
        <f>[1]Emissions!P947</f>
        <v>16.562880150000002</v>
      </c>
      <c r="R531" s="6">
        <f>[1]Emissions!Q947</f>
        <v>16.658628950000001</v>
      </c>
      <c r="S531" s="6">
        <f>[1]Emissions!R947</f>
        <v>16.787067759999999</v>
      </c>
      <c r="T531" s="6">
        <f>[1]Emissions!S947</f>
        <v>16.952731530000001</v>
      </c>
      <c r="U531" s="6">
        <f>[1]Emissions!T947</f>
        <v>17.154409909999998</v>
      </c>
      <c r="V531" s="6">
        <f>[1]Emissions!U947</f>
        <v>17.388518789999999</v>
      </c>
      <c r="W531" s="6">
        <f>[1]Emissions!V947</f>
        <v>17.652151100000001</v>
      </c>
      <c r="X531" s="6">
        <f>[1]Emissions!W947</f>
        <v>17.943087670000001</v>
      </c>
      <c r="Y531" s="6">
        <f>[1]Emissions!X947</f>
        <v>18.261092779999998</v>
      </c>
      <c r="Z531" s="6">
        <f>[1]Emissions!Y947</f>
        <v>18.60586606</v>
      </c>
      <c r="AA531" s="6">
        <f>[1]Emissions!Z947</f>
        <v>18.976072599999998</v>
      </c>
      <c r="AB531" s="6">
        <f>[1]Emissions!AA947</f>
        <v>19.37099405</v>
      </c>
      <c r="AC531" s="6">
        <f>[1]Emissions!AB947</f>
        <v>19.790635569999999</v>
      </c>
      <c r="AD531" s="6">
        <f>[1]Emissions!AC947</f>
        <v>20.2366782</v>
      </c>
      <c r="AE531" s="6">
        <f>[1]Emissions!AD947</f>
        <v>20.709389479999999</v>
      </c>
      <c r="AF531" s="6">
        <f>[1]Emissions!AE947</f>
        <v>21.204959469999999</v>
      </c>
      <c r="AG531" s="6">
        <f>[1]Emissions!AF947</f>
        <v>21.717585809999999</v>
      </c>
      <c r="AH531" s="6">
        <f>[1]Emissions!AG947</f>
        <v>22.242282039999999</v>
      </c>
      <c r="AI531" s="6">
        <f>[1]Emissions!AH947</f>
        <v>22.77547921</v>
      </c>
      <c r="AJ531" s="6">
        <f>[1]Emissions!AI947</f>
        <v>23.314290360000001</v>
      </c>
      <c r="AK531" s="6">
        <f>[1]Emissions!AJ947</f>
        <v>23.85610191</v>
      </c>
      <c r="AL531" s="6">
        <f>[1]Emissions!AK947</f>
        <v>24.398360669999999</v>
      </c>
    </row>
    <row r="532" spans="2:38" hidden="1" x14ac:dyDescent="0.35">
      <c r="B532" s="17" t="str">
        <f>[1]Emissions!A948</f>
        <v>ems_y_co2_sroa_0</v>
      </c>
      <c r="C532" s="6">
        <f>[1]Emissions!B948</f>
        <v>0</v>
      </c>
      <c r="D532" s="6">
        <f>[1]Emissions!C948</f>
        <v>0</v>
      </c>
      <c r="E532" s="6">
        <f>[1]Emissions!D948</f>
        <v>0</v>
      </c>
      <c r="F532" s="6">
        <f>[1]Emissions!E948</f>
        <v>0</v>
      </c>
      <c r="G532" s="6">
        <f>[1]Emissions!F948</f>
        <v>0</v>
      </c>
      <c r="H532" s="6">
        <f>[1]Emissions!G948</f>
        <v>0</v>
      </c>
      <c r="I532" s="6">
        <f>[1]Emissions!H948</f>
        <v>0</v>
      </c>
      <c r="J532" s="6">
        <f>[1]Emissions!I948</f>
        <v>0</v>
      </c>
      <c r="K532" s="6">
        <f>[1]Emissions!J948</f>
        <v>0</v>
      </c>
      <c r="L532" s="6">
        <f>[1]Emissions!K948</f>
        <v>0</v>
      </c>
      <c r="M532" s="6">
        <f>[1]Emissions!L948</f>
        <v>0</v>
      </c>
      <c r="N532" s="6">
        <f>[1]Emissions!M948</f>
        <v>0</v>
      </c>
      <c r="O532" s="6">
        <f>[1]Emissions!N948</f>
        <v>0</v>
      </c>
      <c r="P532" s="6">
        <f>[1]Emissions!O948</f>
        <v>0</v>
      </c>
      <c r="Q532" s="6">
        <f>[1]Emissions!P948</f>
        <v>0</v>
      </c>
      <c r="R532" s="6">
        <f>[1]Emissions!Q948</f>
        <v>0</v>
      </c>
      <c r="S532" s="6">
        <f>[1]Emissions!R948</f>
        <v>0</v>
      </c>
      <c r="T532" s="6">
        <f>[1]Emissions!S948</f>
        <v>0</v>
      </c>
      <c r="U532" s="6">
        <f>[1]Emissions!T948</f>
        <v>0</v>
      </c>
      <c r="V532" s="6">
        <f>[1]Emissions!U948</f>
        <v>0</v>
      </c>
      <c r="W532" s="6">
        <f>[1]Emissions!V948</f>
        <v>0</v>
      </c>
      <c r="X532" s="6">
        <f>[1]Emissions!W948</f>
        <v>0</v>
      </c>
      <c r="Y532" s="6">
        <f>[1]Emissions!X948</f>
        <v>0</v>
      </c>
      <c r="Z532" s="6">
        <f>[1]Emissions!Y948</f>
        <v>0</v>
      </c>
      <c r="AA532" s="6">
        <f>[1]Emissions!Z948</f>
        <v>0</v>
      </c>
      <c r="AB532" s="6">
        <f>[1]Emissions!AA948</f>
        <v>0</v>
      </c>
      <c r="AC532" s="6">
        <f>[1]Emissions!AB948</f>
        <v>0</v>
      </c>
      <c r="AD532" s="6">
        <f>[1]Emissions!AC948</f>
        <v>0</v>
      </c>
      <c r="AE532" s="6">
        <f>[1]Emissions!AD948</f>
        <v>0</v>
      </c>
      <c r="AF532" s="6">
        <f>[1]Emissions!AE948</f>
        <v>0</v>
      </c>
      <c r="AG532" s="6">
        <f>[1]Emissions!AF948</f>
        <v>0</v>
      </c>
      <c r="AH532" s="6">
        <f>[1]Emissions!AG948</f>
        <v>0</v>
      </c>
      <c r="AI532" s="6">
        <f>[1]Emissions!AH948</f>
        <v>0</v>
      </c>
      <c r="AJ532" s="6">
        <f>[1]Emissions!AI948</f>
        <v>0</v>
      </c>
      <c r="AK532" s="6">
        <f>[1]Emissions!AJ948</f>
        <v>0</v>
      </c>
      <c r="AL532" s="6">
        <f>[1]Emissions!AK948</f>
        <v>0</v>
      </c>
    </row>
    <row r="533" spans="2:38" hidden="1" x14ac:dyDescent="0.35">
      <c r="B533" s="17" t="str">
        <f>[1]Emissions!A949</f>
        <v>ems_mat_co2_sroa_0</v>
      </c>
      <c r="C533" s="6">
        <f>[1]Emissions!B949</f>
        <v>0</v>
      </c>
      <c r="D533" s="6">
        <f>[1]Emissions!C949</f>
        <v>0</v>
      </c>
      <c r="E533" s="6">
        <f>[1]Emissions!D949</f>
        <v>0</v>
      </c>
      <c r="F533" s="6">
        <f>[1]Emissions!E949</f>
        <v>0</v>
      </c>
      <c r="G533" s="6">
        <f>[1]Emissions!F949</f>
        <v>0</v>
      </c>
      <c r="H533" s="6">
        <f>[1]Emissions!G949</f>
        <v>0</v>
      </c>
      <c r="I533" s="6">
        <f>[1]Emissions!H949</f>
        <v>0</v>
      </c>
      <c r="J533" s="6">
        <f>[1]Emissions!I949</f>
        <v>0</v>
      </c>
      <c r="K533" s="6">
        <f>[1]Emissions!J949</f>
        <v>0</v>
      </c>
      <c r="L533" s="6">
        <f>[1]Emissions!K949</f>
        <v>0</v>
      </c>
      <c r="M533" s="6">
        <f>[1]Emissions!L949</f>
        <v>0</v>
      </c>
      <c r="N533" s="6">
        <f>[1]Emissions!M949</f>
        <v>0</v>
      </c>
      <c r="O533" s="6">
        <f>[1]Emissions!N949</f>
        <v>0</v>
      </c>
      <c r="P533" s="6">
        <f>[1]Emissions!O949</f>
        <v>0</v>
      </c>
      <c r="Q533" s="6">
        <f>[1]Emissions!P949</f>
        <v>0</v>
      </c>
      <c r="R533" s="6">
        <f>[1]Emissions!Q949</f>
        <v>0</v>
      </c>
      <c r="S533" s="6">
        <f>[1]Emissions!R949</f>
        <v>0</v>
      </c>
      <c r="T533" s="6">
        <f>[1]Emissions!S949</f>
        <v>0</v>
      </c>
      <c r="U533" s="6">
        <f>[1]Emissions!T949</f>
        <v>0</v>
      </c>
      <c r="V533" s="6">
        <f>[1]Emissions!U949</f>
        <v>0</v>
      </c>
      <c r="W533" s="6">
        <f>[1]Emissions!V949</f>
        <v>0</v>
      </c>
      <c r="X533" s="6">
        <f>[1]Emissions!W949</f>
        <v>0</v>
      </c>
      <c r="Y533" s="6">
        <f>[1]Emissions!X949</f>
        <v>0</v>
      </c>
      <c r="Z533" s="6">
        <f>[1]Emissions!Y949</f>
        <v>0</v>
      </c>
      <c r="AA533" s="6">
        <f>[1]Emissions!Z949</f>
        <v>0</v>
      </c>
      <c r="AB533" s="6">
        <f>[1]Emissions!AA949</f>
        <v>0</v>
      </c>
      <c r="AC533" s="6">
        <f>[1]Emissions!AB949</f>
        <v>0</v>
      </c>
      <c r="AD533" s="6">
        <f>[1]Emissions!AC949</f>
        <v>0</v>
      </c>
      <c r="AE533" s="6">
        <f>[1]Emissions!AD949</f>
        <v>0</v>
      </c>
      <c r="AF533" s="6">
        <f>[1]Emissions!AE949</f>
        <v>0</v>
      </c>
      <c r="AG533" s="6">
        <f>[1]Emissions!AF949</f>
        <v>0</v>
      </c>
      <c r="AH533" s="6">
        <f>[1]Emissions!AG949</f>
        <v>0</v>
      </c>
      <c r="AI533" s="6">
        <f>[1]Emissions!AH949</f>
        <v>0</v>
      </c>
      <c r="AJ533" s="6">
        <f>[1]Emissions!AI949</f>
        <v>0</v>
      </c>
      <c r="AK533" s="6">
        <f>[1]Emissions!AJ949</f>
        <v>0</v>
      </c>
      <c r="AL533" s="6">
        <f>[1]Emissions!AK949</f>
        <v>0</v>
      </c>
    </row>
    <row r="534" spans="2:38" hidden="1" x14ac:dyDescent="0.35">
      <c r="B534" s="17" t="str">
        <f>[1]Emissions!A950</f>
        <v>ems_ci_co2_swat_0</v>
      </c>
      <c r="C534" s="6">
        <f>[1]Emissions!B950</f>
        <v>3.7606019540000002</v>
      </c>
      <c r="D534" s="6">
        <f>[1]Emissions!C950</f>
        <v>3.8202090649999998</v>
      </c>
      <c r="E534" s="6">
        <f>[1]Emissions!D950</f>
        <v>3.8784297510000001</v>
      </c>
      <c r="F534" s="6">
        <f>[1]Emissions!E950</f>
        <v>3.929035308</v>
      </c>
      <c r="G534" s="6">
        <f>[1]Emissions!F950</f>
        <v>3.9877354060000001</v>
      </c>
      <c r="H534" s="6">
        <f>[1]Emissions!G950</f>
        <v>4.0550773449999999</v>
      </c>
      <c r="I534" s="6">
        <f>[1]Emissions!H950</f>
        <v>4.1253634449999996</v>
      </c>
      <c r="J534" s="6">
        <f>[1]Emissions!I950</f>
        <v>4.1961056110000001</v>
      </c>
      <c r="K534" s="6">
        <f>[1]Emissions!J950</f>
        <v>4.2658860110000001</v>
      </c>
      <c r="L534" s="6">
        <f>[1]Emissions!K950</f>
        <v>4.3347095820000003</v>
      </c>
      <c r="M534" s="6">
        <f>[1]Emissions!L950</f>
        <v>4.4030433819999999</v>
      </c>
      <c r="N534" s="6">
        <f>[1]Emissions!M950</f>
        <v>4.4710593579999998</v>
      </c>
      <c r="O534" s="6">
        <f>[1]Emissions!N950</f>
        <v>4.5349252660000001</v>
      </c>
      <c r="P534" s="6">
        <f>[1]Emissions!O950</f>
        <v>4.5862502589999998</v>
      </c>
      <c r="Q534" s="6">
        <f>[1]Emissions!P950</f>
        <v>4.6309535960000003</v>
      </c>
      <c r="R534" s="6">
        <f>[1]Emissions!Q950</f>
        <v>4.6748385429999999</v>
      </c>
      <c r="S534" s="6">
        <f>[1]Emissions!R950</f>
        <v>4.7258048940000004</v>
      </c>
      <c r="T534" s="6">
        <f>[1]Emissions!S950</f>
        <v>4.788017033</v>
      </c>
      <c r="U534" s="6">
        <f>[1]Emissions!T950</f>
        <v>4.8635627640000001</v>
      </c>
      <c r="V534" s="6">
        <f>[1]Emissions!U950</f>
        <v>4.9526819770000001</v>
      </c>
      <c r="W534" s="6">
        <f>[1]Emissions!V950</f>
        <v>5.0556238660000004</v>
      </c>
      <c r="X534" s="6">
        <f>[1]Emissions!W950</f>
        <v>5.172348543</v>
      </c>
      <c r="Y534" s="6">
        <f>[1]Emissions!X950</f>
        <v>5.3037826890000002</v>
      </c>
      <c r="Z534" s="6">
        <f>[1]Emissions!Y950</f>
        <v>5.450129038</v>
      </c>
      <c r="AA534" s="6">
        <f>[1]Emissions!Z950</f>
        <v>5.6104912489999998</v>
      </c>
      <c r="AB534" s="6">
        <f>[1]Emissions!AA950</f>
        <v>5.7845516449999996</v>
      </c>
      <c r="AC534" s="6">
        <f>[1]Emissions!AB950</f>
        <v>5.972487976</v>
      </c>
      <c r="AD534" s="6">
        <f>[1]Emissions!AC950</f>
        <v>6.1756919229999996</v>
      </c>
      <c r="AE534" s="6">
        <f>[1]Emissions!AD950</f>
        <v>6.3940379790000001</v>
      </c>
      <c r="AF534" s="6">
        <f>[1]Emissions!AE950</f>
        <v>6.6239424260000002</v>
      </c>
      <c r="AG534" s="6">
        <f>[1]Emissions!AF950</f>
        <v>6.8608042559999998</v>
      </c>
      <c r="AH534" s="6">
        <f>[1]Emissions!AG950</f>
        <v>7.1013636379999996</v>
      </c>
      <c r="AI534" s="6">
        <f>[1]Emissions!AH950</f>
        <v>7.3437897039999998</v>
      </c>
      <c r="AJ534" s="6">
        <f>[1]Emissions!AI950</f>
        <v>7.586796766</v>
      </c>
      <c r="AK534" s="6">
        <f>[1]Emissions!AJ950</f>
        <v>7.8292445270000002</v>
      </c>
      <c r="AL534" s="6">
        <f>[1]Emissions!AK950</f>
        <v>8.0699550539999994</v>
      </c>
    </row>
    <row r="535" spans="2:38" hidden="1" x14ac:dyDescent="0.35">
      <c r="B535" s="17" t="str">
        <f>[1]Emissions!A951</f>
        <v>ems_y_co2_swat_0</v>
      </c>
      <c r="C535" s="6">
        <f>[1]Emissions!B951</f>
        <v>0</v>
      </c>
      <c r="D535" s="6">
        <f>[1]Emissions!C951</f>
        <v>0</v>
      </c>
      <c r="E535" s="6">
        <f>[1]Emissions!D951</f>
        <v>0</v>
      </c>
      <c r="F535" s="6">
        <f>[1]Emissions!E951</f>
        <v>0</v>
      </c>
      <c r="G535" s="6">
        <f>[1]Emissions!F951</f>
        <v>0</v>
      </c>
      <c r="H535" s="6">
        <f>[1]Emissions!G951</f>
        <v>0</v>
      </c>
      <c r="I535" s="6">
        <f>[1]Emissions!H951</f>
        <v>0</v>
      </c>
      <c r="J535" s="6">
        <f>[1]Emissions!I951</f>
        <v>0</v>
      </c>
      <c r="K535" s="6">
        <f>[1]Emissions!J951</f>
        <v>0</v>
      </c>
      <c r="L535" s="6">
        <f>[1]Emissions!K951</f>
        <v>0</v>
      </c>
      <c r="M535" s="6">
        <f>[1]Emissions!L951</f>
        <v>0</v>
      </c>
      <c r="N535" s="6">
        <f>[1]Emissions!M951</f>
        <v>0</v>
      </c>
      <c r="O535" s="6">
        <f>[1]Emissions!N951</f>
        <v>0</v>
      </c>
      <c r="P535" s="6">
        <f>[1]Emissions!O951</f>
        <v>0</v>
      </c>
      <c r="Q535" s="6">
        <f>[1]Emissions!P951</f>
        <v>0</v>
      </c>
      <c r="R535" s="6">
        <f>[1]Emissions!Q951</f>
        <v>0</v>
      </c>
      <c r="S535" s="6">
        <f>[1]Emissions!R951</f>
        <v>0</v>
      </c>
      <c r="T535" s="6">
        <f>[1]Emissions!S951</f>
        <v>0</v>
      </c>
      <c r="U535" s="6">
        <f>[1]Emissions!T951</f>
        <v>0</v>
      </c>
      <c r="V535" s="6">
        <f>[1]Emissions!U951</f>
        <v>0</v>
      </c>
      <c r="W535" s="6">
        <f>[1]Emissions!V951</f>
        <v>0</v>
      </c>
      <c r="X535" s="6">
        <f>[1]Emissions!W951</f>
        <v>0</v>
      </c>
      <c r="Y535" s="6">
        <f>[1]Emissions!X951</f>
        <v>0</v>
      </c>
      <c r="Z535" s="6">
        <f>[1]Emissions!Y951</f>
        <v>0</v>
      </c>
      <c r="AA535" s="6">
        <f>[1]Emissions!Z951</f>
        <v>0</v>
      </c>
      <c r="AB535" s="6">
        <f>[1]Emissions!AA951</f>
        <v>0</v>
      </c>
      <c r="AC535" s="6">
        <f>[1]Emissions!AB951</f>
        <v>0</v>
      </c>
      <c r="AD535" s="6">
        <f>[1]Emissions!AC951</f>
        <v>0</v>
      </c>
      <c r="AE535" s="6">
        <f>[1]Emissions!AD951</f>
        <v>0</v>
      </c>
      <c r="AF535" s="6">
        <f>[1]Emissions!AE951</f>
        <v>0</v>
      </c>
      <c r="AG535" s="6">
        <f>[1]Emissions!AF951</f>
        <v>0</v>
      </c>
      <c r="AH535" s="6">
        <f>[1]Emissions!AG951</f>
        <v>0</v>
      </c>
      <c r="AI535" s="6">
        <f>[1]Emissions!AH951</f>
        <v>0</v>
      </c>
      <c r="AJ535" s="6">
        <f>[1]Emissions!AI951</f>
        <v>0</v>
      </c>
      <c r="AK535" s="6">
        <f>[1]Emissions!AJ951</f>
        <v>0</v>
      </c>
      <c r="AL535" s="6">
        <f>[1]Emissions!AK951</f>
        <v>0</v>
      </c>
    </row>
    <row r="536" spans="2:38" hidden="1" x14ac:dyDescent="0.35">
      <c r="B536" s="17" t="str">
        <f>[1]Emissions!A952</f>
        <v>ems_mat_co2_swat_0</v>
      </c>
      <c r="C536" s="6">
        <f>[1]Emissions!B952</f>
        <v>0</v>
      </c>
      <c r="D536" s="6">
        <f>[1]Emissions!C952</f>
        <v>0</v>
      </c>
      <c r="E536" s="6">
        <f>[1]Emissions!D952</f>
        <v>0</v>
      </c>
      <c r="F536" s="6">
        <f>[1]Emissions!E952</f>
        <v>0</v>
      </c>
      <c r="G536" s="6">
        <f>[1]Emissions!F952</f>
        <v>0</v>
      </c>
      <c r="H536" s="6">
        <f>[1]Emissions!G952</f>
        <v>0</v>
      </c>
      <c r="I536" s="6">
        <f>[1]Emissions!H952</f>
        <v>0</v>
      </c>
      <c r="J536" s="6">
        <f>[1]Emissions!I952</f>
        <v>0</v>
      </c>
      <c r="K536" s="6">
        <f>[1]Emissions!J952</f>
        <v>0</v>
      </c>
      <c r="L536" s="6">
        <f>[1]Emissions!K952</f>
        <v>0</v>
      </c>
      <c r="M536" s="6">
        <f>[1]Emissions!L952</f>
        <v>0</v>
      </c>
      <c r="N536" s="6">
        <f>[1]Emissions!M952</f>
        <v>0</v>
      </c>
      <c r="O536" s="6">
        <f>[1]Emissions!N952</f>
        <v>0</v>
      </c>
      <c r="P536" s="6">
        <f>[1]Emissions!O952</f>
        <v>0</v>
      </c>
      <c r="Q536" s="6">
        <f>[1]Emissions!P952</f>
        <v>0</v>
      </c>
      <c r="R536" s="6">
        <f>[1]Emissions!Q952</f>
        <v>0</v>
      </c>
      <c r="S536" s="6">
        <f>[1]Emissions!R952</f>
        <v>0</v>
      </c>
      <c r="T536" s="6">
        <f>[1]Emissions!S952</f>
        <v>0</v>
      </c>
      <c r="U536" s="6">
        <f>[1]Emissions!T952</f>
        <v>0</v>
      </c>
      <c r="V536" s="6">
        <f>[1]Emissions!U952</f>
        <v>0</v>
      </c>
      <c r="W536" s="6">
        <f>[1]Emissions!V952</f>
        <v>0</v>
      </c>
      <c r="X536" s="6">
        <f>[1]Emissions!W952</f>
        <v>0</v>
      </c>
      <c r="Y536" s="6">
        <f>[1]Emissions!X952</f>
        <v>0</v>
      </c>
      <c r="Z536" s="6">
        <f>[1]Emissions!Y952</f>
        <v>0</v>
      </c>
      <c r="AA536" s="6">
        <f>[1]Emissions!Z952</f>
        <v>0</v>
      </c>
      <c r="AB536" s="6">
        <f>[1]Emissions!AA952</f>
        <v>0</v>
      </c>
      <c r="AC536" s="6">
        <f>[1]Emissions!AB952</f>
        <v>0</v>
      </c>
      <c r="AD536" s="6">
        <f>[1]Emissions!AC952</f>
        <v>0</v>
      </c>
      <c r="AE536" s="6">
        <f>[1]Emissions!AD952</f>
        <v>0</v>
      </c>
      <c r="AF536" s="6">
        <f>[1]Emissions!AE952</f>
        <v>0</v>
      </c>
      <c r="AG536" s="6">
        <f>[1]Emissions!AF952</f>
        <v>0</v>
      </c>
      <c r="AH536" s="6">
        <f>[1]Emissions!AG952</f>
        <v>0</v>
      </c>
      <c r="AI536" s="6">
        <f>[1]Emissions!AH952</f>
        <v>0</v>
      </c>
      <c r="AJ536" s="6">
        <f>[1]Emissions!AI952</f>
        <v>0</v>
      </c>
      <c r="AK536" s="6">
        <f>[1]Emissions!AJ952</f>
        <v>0</v>
      </c>
      <c r="AL536" s="6">
        <f>[1]Emissions!AK952</f>
        <v>0</v>
      </c>
    </row>
    <row r="537" spans="2:38" hidden="1" x14ac:dyDescent="0.35">
      <c r="B537" s="17" t="str">
        <f>[1]Emissions!A953</f>
        <v>ems_ci_co2_sair_0</v>
      </c>
      <c r="C537" s="6">
        <f>[1]Emissions!B953</f>
        <v>19.721460579999999</v>
      </c>
      <c r="D537" s="6">
        <f>[1]Emissions!C953</f>
        <v>19.881738299999999</v>
      </c>
      <c r="E537" s="6">
        <f>[1]Emissions!D953</f>
        <v>20.047571820000002</v>
      </c>
      <c r="F537" s="6">
        <f>[1]Emissions!E953</f>
        <v>20.18646017</v>
      </c>
      <c r="G537" s="6">
        <f>[1]Emissions!F953</f>
        <v>20.38485592</v>
      </c>
      <c r="H537" s="6">
        <f>[1]Emissions!G953</f>
        <v>20.649143389999999</v>
      </c>
      <c r="I537" s="6">
        <f>[1]Emissions!H953</f>
        <v>20.943888600000001</v>
      </c>
      <c r="J537" s="6">
        <f>[1]Emissions!I953</f>
        <v>21.254125999999999</v>
      </c>
      <c r="K537" s="6">
        <f>[1]Emissions!J953</f>
        <v>21.57190524</v>
      </c>
      <c r="L537" s="6">
        <f>[1]Emissions!K953</f>
        <v>21.896715610000001</v>
      </c>
      <c r="M537" s="6">
        <f>[1]Emissions!L953</f>
        <v>22.22998419</v>
      </c>
      <c r="N537" s="6">
        <f>[1]Emissions!M953</f>
        <v>22.572710090000001</v>
      </c>
      <c r="O537" s="6">
        <f>[1]Emissions!N953</f>
        <v>22.913647090000001</v>
      </c>
      <c r="P537" s="6">
        <f>[1]Emissions!O953</f>
        <v>23.226055120000002</v>
      </c>
      <c r="Q537" s="6">
        <f>[1]Emissions!P953</f>
        <v>23.522743999999999</v>
      </c>
      <c r="R537" s="6">
        <f>[1]Emissions!Q953</f>
        <v>23.818363949999998</v>
      </c>
      <c r="S537" s="6">
        <f>[1]Emissions!R953</f>
        <v>24.147880149999999</v>
      </c>
      <c r="T537" s="6">
        <f>[1]Emissions!S953</f>
        <v>24.52636232</v>
      </c>
      <c r="U537" s="6">
        <f>[1]Emissions!T953</f>
        <v>24.958861930000001</v>
      </c>
      <c r="V537" s="6">
        <f>[1]Emissions!U953</f>
        <v>25.444461960000002</v>
      </c>
      <c r="W537" s="6">
        <f>[1]Emissions!V953</f>
        <v>25.98285199</v>
      </c>
      <c r="X537" s="6">
        <f>[1]Emissions!W953</f>
        <v>26.573892839999999</v>
      </c>
      <c r="Y537" s="6">
        <f>[1]Emissions!X953</f>
        <v>27.22095479</v>
      </c>
      <c r="Z537" s="6">
        <f>[1]Emissions!Y953</f>
        <v>27.92585738</v>
      </c>
      <c r="AA537" s="6">
        <f>[1]Emissions!Z953</f>
        <v>28.687030530000001</v>
      </c>
      <c r="AB537" s="6">
        <f>[1]Emissions!AA953</f>
        <v>29.50443778</v>
      </c>
      <c r="AC537" s="6">
        <f>[1]Emissions!AB953</f>
        <v>30.379614790000002</v>
      </c>
      <c r="AD537" s="6">
        <f>[1]Emissions!AC953</f>
        <v>31.31803425</v>
      </c>
      <c r="AE537" s="6">
        <f>[1]Emissions!AD953</f>
        <v>32.321293099999998</v>
      </c>
      <c r="AF537" s="6">
        <f>[1]Emissions!AE953</f>
        <v>33.381105030000001</v>
      </c>
      <c r="AG537" s="6">
        <f>[1]Emissions!AF953</f>
        <v>34.484790429999997</v>
      </c>
      <c r="AH537" s="6">
        <f>[1]Emissions!AG953</f>
        <v>35.621910530000001</v>
      </c>
      <c r="AI537" s="6">
        <f>[1]Emissions!AH953</f>
        <v>36.785140720000001</v>
      </c>
      <c r="AJ537" s="6">
        <f>[1]Emissions!AI953</f>
        <v>37.968283370000002</v>
      </c>
      <c r="AK537" s="6">
        <f>[1]Emissions!AJ953</f>
        <v>39.16540715</v>
      </c>
      <c r="AL537" s="6">
        <f>[1]Emissions!AK953</f>
        <v>40.37045655</v>
      </c>
    </row>
    <row r="538" spans="2:38" hidden="1" x14ac:dyDescent="0.35">
      <c r="B538" s="17" t="str">
        <f>[1]Emissions!A954</f>
        <v>ems_y_co2_sair_0</v>
      </c>
      <c r="C538" s="6">
        <f>[1]Emissions!B954</f>
        <v>0</v>
      </c>
      <c r="D538" s="6">
        <f>[1]Emissions!C954</f>
        <v>0</v>
      </c>
      <c r="E538" s="6">
        <f>[1]Emissions!D954</f>
        <v>0</v>
      </c>
      <c r="F538" s="6">
        <f>[1]Emissions!E954</f>
        <v>0</v>
      </c>
      <c r="G538" s="6">
        <f>[1]Emissions!F954</f>
        <v>0</v>
      </c>
      <c r="H538" s="6">
        <f>[1]Emissions!G954</f>
        <v>0</v>
      </c>
      <c r="I538" s="6">
        <f>[1]Emissions!H954</f>
        <v>0</v>
      </c>
      <c r="J538" s="6">
        <f>[1]Emissions!I954</f>
        <v>0</v>
      </c>
      <c r="K538" s="6">
        <f>[1]Emissions!J954</f>
        <v>0</v>
      </c>
      <c r="L538" s="6">
        <f>[1]Emissions!K954</f>
        <v>0</v>
      </c>
      <c r="M538" s="6">
        <f>[1]Emissions!L954</f>
        <v>0</v>
      </c>
      <c r="N538" s="6">
        <f>[1]Emissions!M954</f>
        <v>0</v>
      </c>
      <c r="O538" s="6">
        <f>[1]Emissions!N954</f>
        <v>0</v>
      </c>
      <c r="P538" s="6">
        <f>[1]Emissions!O954</f>
        <v>0</v>
      </c>
      <c r="Q538" s="6">
        <f>[1]Emissions!P954</f>
        <v>0</v>
      </c>
      <c r="R538" s="6">
        <f>[1]Emissions!Q954</f>
        <v>0</v>
      </c>
      <c r="S538" s="6">
        <f>[1]Emissions!R954</f>
        <v>0</v>
      </c>
      <c r="T538" s="6">
        <f>[1]Emissions!S954</f>
        <v>0</v>
      </c>
      <c r="U538" s="6">
        <f>[1]Emissions!T954</f>
        <v>0</v>
      </c>
      <c r="V538" s="6">
        <f>[1]Emissions!U954</f>
        <v>0</v>
      </c>
      <c r="W538" s="6">
        <f>[1]Emissions!V954</f>
        <v>0</v>
      </c>
      <c r="X538" s="6">
        <f>[1]Emissions!W954</f>
        <v>0</v>
      </c>
      <c r="Y538" s="6">
        <f>[1]Emissions!X954</f>
        <v>0</v>
      </c>
      <c r="Z538" s="6">
        <f>[1]Emissions!Y954</f>
        <v>0</v>
      </c>
      <c r="AA538" s="6">
        <f>[1]Emissions!Z954</f>
        <v>0</v>
      </c>
      <c r="AB538" s="6">
        <f>[1]Emissions!AA954</f>
        <v>0</v>
      </c>
      <c r="AC538" s="6">
        <f>[1]Emissions!AB954</f>
        <v>0</v>
      </c>
      <c r="AD538" s="6">
        <f>[1]Emissions!AC954</f>
        <v>0</v>
      </c>
      <c r="AE538" s="6">
        <f>[1]Emissions!AD954</f>
        <v>0</v>
      </c>
      <c r="AF538" s="6">
        <f>[1]Emissions!AE954</f>
        <v>0</v>
      </c>
      <c r="AG538" s="6">
        <f>[1]Emissions!AF954</f>
        <v>0</v>
      </c>
      <c r="AH538" s="6">
        <f>[1]Emissions!AG954</f>
        <v>0</v>
      </c>
      <c r="AI538" s="6">
        <f>[1]Emissions!AH954</f>
        <v>0</v>
      </c>
      <c r="AJ538" s="6">
        <f>[1]Emissions!AI954</f>
        <v>0</v>
      </c>
      <c r="AK538" s="6">
        <f>[1]Emissions!AJ954</f>
        <v>0</v>
      </c>
      <c r="AL538" s="6">
        <f>[1]Emissions!AK954</f>
        <v>0</v>
      </c>
    </row>
    <row r="539" spans="2:38" hidden="1" x14ac:dyDescent="0.35">
      <c r="B539" s="17" t="str">
        <f>[1]Emissions!A955</f>
        <v>ems_mat_co2_sair_0</v>
      </c>
      <c r="C539" s="6">
        <f>[1]Emissions!B955</f>
        <v>0</v>
      </c>
      <c r="D539" s="6">
        <f>[1]Emissions!C955</f>
        <v>0</v>
      </c>
      <c r="E539" s="6">
        <f>[1]Emissions!D955</f>
        <v>0</v>
      </c>
      <c r="F539" s="6">
        <f>[1]Emissions!E955</f>
        <v>0</v>
      </c>
      <c r="G539" s="6">
        <f>[1]Emissions!F955</f>
        <v>0</v>
      </c>
      <c r="H539" s="6">
        <f>[1]Emissions!G955</f>
        <v>0</v>
      </c>
      <c r="I539" s="6">
        <f>[1]Emissions!H955</f>
        <v>0</v>
      </c>
      <c r="J539" s="6">
        <f>[1]Emissions!I955</f>
        <v>0</v>
      </c>
      <c r="K539" s="6">
        <f>[1]Emissions!J955</f>
        <v>0</v>
      </c>
      <c r="L539" s="6">
        <f>[1]Emissions!K955</f>
        <v>0</v>
      </c>
      <c r="M539" s="6">
        <f>[1]Emissions!L955</f>
        <v>0</v>
      </c>
      <c r="N539" s="6">
        <f>[1]Emissions!M955</f>
        <v>0</v>
      </c>
      <c r="O539" s="6">
        <f>[1]Emissions!N955</f>
        <v>0</v>
      </c>
      <c r="P539" s="6">
        <f>[1]Emissions!O955</f>
        <v>0</v>
      </c>
      <c r="Q539" s="6">
        <f>[1]Emissions!P955</f>
        <v>0</v>
      </c>
      <c r="R539" s="6">
        <f>[1]Emissions!Q955</f>
        <v>0</v>
      </c>
      <c r="S539" s="6">
        <f>[1]Emissions!R955</f>
        <v>0</v>
      </c>
      <c r="T539" s="6">
        <f>[1]Emissions!S955</f>
        <v>0</v>
      </c>
      <c r="U539" s="6">
        <f>[1]Emissions!T955</f>
        <v>0</v>
      </c>
      <c r="V539" s="6">
        <f>[1]Emissions!U955</f>
        <v>0</v>
      </c>
      <c r="W539" s="6">
        <f>[1]Emissions!V955</f>
        <v>0</v>
      </c>
      <c r="X539" s="6">
        <f>[1]Emissions!W955</f>
        <v>0</v>
      </c>
      <c r="Y539" s="6">
        <f>[1]Emissions!X955</f>
        <v>0</v>
      </c>
      <c r="Z539" s="6">
        <f>[1]Emissions!Y955</f>
        <v>0</v>
      </c>
      <c r="AA539" s="6">
        <f>[1]Emissions!Z955</f>
        <v>0</v>
      </c>
      <c r="AB539" s="6">
        <f>[1]Emissions!AA955</f>
        <v>0</v>
      </c>
      <c r="AC539" s="6">
        <f>[1]Emissions!AB955</f>
        <v>0</v>
      </c>
      <c r="AD539" s="6">
        <f>[1]Emissions!AC955</f>
        <v>0</v>
      </c>
      <c r="AE539" s="6">
        <f>[1]Emissions!AD955</f>
        <v>0</v>
      </c>
      <c r="AF539" s="6">
        <f>[1]Emissions!AE955</f>
        <v>0</v>
      </c>
      <c r="AG539" s="6">
        <f>[1]Emissions!AF955</f>
        <v>0</v>
      </c>
      <c r="AH539" s="6">
        <f>[1]Emissions!AG955</f>
        <v>0</v>
      </c>
      <c r="AI539" s="6">
        <f>[1]Emissions!AH955</f>
        <v>0</v>
      </c>
      <c r="AJ539" s="6">
        <f>[1]Emissions!AI955</f>
        <v>0</v>
      </c>
      <c r="AK539" s="6">
        <f>[1]Emissions!AJ955</f>
        <v>0</v>
      </c>
      <c r="AL539" s="6">
        <f>[1]Emissions!AK955</f>
        <v>0</v>
      </c>
    </row>
    <row r="540" spans="2:38" hidden="1" x14ac:dyDescent="0.35">
      <c r="B540" s="17" t="str">
        <f>[1]Emissions!A956</f>
        <v>ems_ci_co2_spri_0</v>
      </c>
      <c r="C540" s="6">
        <f>[1]Emissions!B956</f>
        <v>30.743293649999998</v>
      </c>
      <c r="D540" s="6">
        <f>[1]Emissions!C956</f>
        <v>30.47361321</v>
      </c>
      <c r="E540" s="6">
        <f>[1]Emissions!D956</f>
        <v>30.192816019999999</v>
      </c>
      <c r="F540" s="6">
        <f>[1]Emissions!E956</f>
        <v>29.90769654</v>
      </c>
      <c r="G540" s="6">
        <f>[1]Emissions!F956</f>
        <v>29.82737084</v>
      </c>
      <c r="H540" s="6">
        <f>[1]Emissions!G956</f>
        <v>29.918764060000001</v>
      </c>
      <c r="I540" s="6">
        <f>[1]Emissions!H956</f>
        <v>30.079500339999999</v>
      </c>
      <c r="J540" s="6">
        <f>[1]Emissions!I956</f>
        <v>30.246719949999999</v>
      </c>
      <c r="K540" s="6">
        <f>[1]Emissions!J956</f>
        <v>30.384653310000001</v>
      </c>
      <c r="L540" s="6">
        <f>[1]Emissions!K956</f>
        <v>30.488713870000002</v>
      </c>
      <c r="M540" s="6">
        <f>[1]Emissions!L956</f>
        <v>30.566194540000001</v>
      </c>
      <c r="N540" s="6">
        <f>[1]Emissions!M956</f>
        <v>30.624802509999999</v>
      </c>
      <c r="O540" s="6">
        <f>[1]Emissions!N956</f>
        <v>30.662964150000001</v>
      </c>
      <c r="P540" s="6">
        <f>[1]Emissions!O956</f>
        <v>30.665425209999999</v>
      </c>
      <c r="Q540" s="6">
        <f>[1]Emissions!P956</f>
        <v>30.64419595</v>
      </c>
      <c r="R540" s="6">
        <f>[1]Emissions!Q956</f>
        <v>30.616966980000001</v>
      </c>
      <c r="S540" s="6">
        <f>[1]Emissions!R956</f>
        <v>30.652963450000001</v>
      </c>
      <c r="T540" s="6">
        <f>[1]Emissions!S956</f>
        <v>30.790321240000001</v>
      </c>
      <c r="U540" s="6">
        <f>[1]Emissions!T956</f>
        <v>31.043764339999999</v>
      </c>
      <c r="V540" s="6">
        <f>[1]Emissions!U956</f>
        <v>31.41327454</v>
      </c>
      <c r="W540" s="6">
        <f>[1]Emissions!V956</f>
        <v>31.89327428</v>
      </c>
      <c r="X540" s="6">
        <f>[1]Emissions!W956</f>
        <v>32.476034820000002</v>
      </c>
      <c r="Y540" s="6">
        <f>[1]Emissions!X956</f>
        <v>33.156847229999997</v>
      </c>
      <c r="Z540" s="6">
        <f>[1]Emissions!Y956</f>
        <v>33.932212800000002</v>
      </c>
      <c r="AA540" s="6">
        <f>[1]Emissions!Z956</f>
        <v>34.79876453</v>
      </c>
      <c r="AB540" s="6">
        <f>[1]Emissions!AA956</f>
        <v>35.753765739999999</v>
      </c>
      <c r="AC540" s="6">
        <f>[1]Emissions!AB956</f>
        <v>36.795268040000003</v>
      </c>
      <c r="AD540" s="6">
        <f>[1]Emissions!AC956</f>
        <v>37.923755370000002</v>
      </c>
      <c r="AE540" s="6">
        <f>[1]Emissions!AD956</f>
        <v>39.136992220000003</v>
      </c>
      <c r="AF540" s="6">
        <f>[1]Emissions!AE956</f>
        <v>40.422626579999999</v>
      </c>
      <c r="AG540" s="6">
        <f>[1]Emissions!AF956</f>
        <v>41.762438039999999</v>
      </c>
      <c r="AH540" s="6">
        <f>[1]Emissions!AG956</f>
        <v>43.137959479999999</v>
      </c>
      <c r="AI540" s="6">
        <f>[1]Emissions!AH956</f>
        <v>44.533046089999999</v>
      </c>
      <c r="AJ540" s="6">
        <f>[1]Emissions!AI956</f>
        <v>45.933606660000002</v>
      </c>
      <c r="AK540" s="6">
        <f>[1]Emissions!AJ956</f>
        <v>47.327235190000003</v>
      </c>
      <c r="AL540" s="6">
        <f>[1]Emissions!AK956</f>
        <v>48.702880950000001</v>
      </c>
    </row>
    <row r="541" spans="2:38" hidden="1" x14ac:dyDescent="0.35">
      <c r="B541" s="17" t="str">
        <f>[1]Emissions!A957</f>
        <v>ems_y_co2_spri_0</v>
      </c>
      <c r="C541" s="6">
        <f>[1]Emissions!B957</f>
        <v>0.40336426619999999</v>
      </c>
      <c r="D541" s="6">
        <f>[1]Emissions!C957</f>
        <v>0.40592170109999998</v>
      </c>
      <c r="E541" s="6">
        <f>[1]Emissions!D957</f>
        <v>0.4102161601</v>
      </c>
      <c r="F541" s="6">
        <f>[1]Emissions!E957</f>
        <v>0.41618761970000001</v>
      </c>
      <c r="G541" s="6">
        <f>[1]Emissions!F957</f>
        <v>0.42286489890000001</v>
      </c>
      <c r="H541" s="6">
        <f>[1]Emissions!G957</f>
        <v>0.42995045640000001</v>
      </c>
      <c r="I541" s="6">
        <f>[1]Emissions!H957</f>
        <v>0.43708185970000002</v>
      </c>
      <c r="J541" s="6">
        <f>[1]Emissions!I957</f>
        <v>0.44420962559999999</v>
      </c>
      <c r="K541" s="6">
        <f>[1]Emissions!J957</f>
        <v>0.45142265069999998</v>
      </c>
      <c r="L541" s="6">
        <f>[1]Emissions!K957</f>
        <v>0.45882630790000001</v>
      </c>
      <c r="M541" s="6">
        <f>[1]Emissions!L957</f>
        <v>0.46649974570000002</v>
      </c>
      <c r="N541" s="6">
        <f>[1]Emissions!M957</f>
        <v>0.47448715180000001</v>
      </c>
      <c r="O541" s="6">
        <f>[1]Emissions!N957</f>
        <v>0.48266536040000002</v>
      </c>
      <c r="P541" s="6">
        <f>[1]Emissions!O957</f>
        <v>0.49069814090000002</v>
      </c>
      <c r="Q541" s="6">
        <f>[1]Emissions!P957</f>
        <v>0.49868822439999999</v>
      </c>
      <c r="R541" s="6">
        <f>[1]Emissions!Q957</f>
        <v>0.50676563549999998</v>
      </c>
      <c r="S541" s="6">
        <f>[1]Emissions!R957</f>
        <v>0.51520320819999998</v>
      </c>
      <c r="T541" s="6">
        <f>[1]Emissions!S957</f>
        <v>0.52417801919999996</v>
      </c>
      <c r="U541" s="6">
        <f>[1]Emissions!T957</f>
        <v>0.53373538679999999</v>
      </c>
      <c r="V541" s="6">
        <f>[1]Emissions!U957</f>
        <v>0.54385994069999999</v>
      </c>
      <c r="W541" s="6">
        <f>[1]Emissions!V957</f>
        <v>0.55455650069999995</v>
      </c>
      <c r="X541" s="6">
        <f>[1]Emissions!W957</f>
        <v>0.56584314999999996</v>
      </c>
      <c r="Y541" s="6">
        <f>[1]Emissions!X957</f>
        <v>0.57778830699999995</v>
      </c>
      <c r="Z541" s="6">
        <f>[1]Emissions!Y957</f>
        <v>0.59044364699999996</v>
      </c>
      <c r="AA541" s="6">
        <f>[1]Emissions!Z957</f>
        <v>0.60381407799999998</v>
      </c>
      <c r="AB541" s="6">
        <f>[1]Emissions!AA957</f>
        <v>0.6179144406</v>
      </c>
      <c r="AC541" s="6">
        <f>[1]Emissions!AB957</f>
        <v>0.63277516889999996</v>
      </c>
      <c r="AD541" s="6">
        <f>[1]Emissions!AC957</f>
        <v>0.64847791109999997</v>
      </c>
      <c r="AE541" s="6">
        <f>[1]Emissions!AD957</f>
        <v>0.66505697559999999</v>
      </c>
      <c r="AF541" s="6">
        <f>[1]Emissions!AE957</f>
        <v>0.68243131769999998</v>
      </c>
      <c r="AG541" s="6">
        <f>[1]Emissions!AF957</f>
        <v>0.70045994869999995</v>
      </c>
      <c r="AH541" s="6">
        <f>[1]Emissions!AG957</f>
        <v>0.71902030019999996</v>
      </c>
      <c r="AI541" s="6">
        <f>[1]Emissions!AH957</f>
        <v>0.73802365609999998</v>
      </c>
      <c r="AJ541" s="6">
        <f>[1]Emissions!AI957</f>
        <v>0.75739218750000004</v>
      </c>
      <c r="AK541" s="6">
        <f>[1]Emissions!AJ957</f>
        <v>0.77704957070000003</v>
      </c>
      <c r="AL541" s="6">
        <f>[1]Emissions!AK957</f>
        <v>0.79691626339999999</v>
      </c>
    </row>
    <row r="542" spans="2:38" hidden="1" x14ac:dyDescent="0.35">
      <c r="B542" s="17" t="str">
        <f>[1]Emissions!A958</f>
        <v>ems_mat_co2_spri_0</v>
      </c>
      <c r="C542" s="6">
        <f>[1]Emissions!B958</f>
        <v>0.59151289789999995</v>
      </c>
      <c r="D542" s="6">
        <f>[1]Emissions!C958</f>
        <v>0.5955298618</v>
      </c>
      <c r="E542" s="6">
        <f>[1]Emissions!D958</f>
        <v>0.60158177540000002</v>
      </c>
      <c r="F542" s="6">
        <f>[1]Emissions!E958</f>
        <v>0.61012637240000001</v>
      </c>
      <c r="G542" s="6">
        <f>[1]Emissions!F958</f>
        <v>0.6198829428</v>
      </c>
      <c r="H542" s="6">
        <f>[1]Emissions!G958</f>
        <v>0.63029927750000003</v>
      </c>
      <c r="I542" s="6">
        <f>[1]Emissions!H958</f>
        <v>0.64082522860000002</v>
      </c>
      <c r="J542" s="6">
        <f>[1]Emissions!I958</f>
        <v>0.65133755810000005</v>
      </c>
      <c r="K542" s="6">
        <f>[1]Emissions!J958</f>
        <v>0.66194813370000005</v>
      </c>
      <c r="L542" s="6">
        <f>[1]Emissions!K958</f>
        <v>0.67281530280000001</v>
      </c>
      <c r="M542" s="6">
        <f>[1]Emissions!L958</f>
        <v>0.68406488340000005</v>
      </c>
      <c r="N542" s="6">
        <f>[1]Emissions!M958</f>
        <v>0.69577031310000004</v>
      </c>
      <c r="O542" s="6">
        <f>[1]Emissions!N958</f>
        <v>0.70777269659999997</v>
      </c>
      <c r="P542" s="6">
        <f>[1]Emissions!O958</f>
        <v>0.71960082820000004</v>
      </c>
      <c r="Q542" s="6">
        <f>[1]Emissions!P958</f>
        <v>0.73134420060000005</v>
      </c>
      <c r="R542" s="6">
        <f>[1]Emissions!Q958</f>
        <v>0.743191398</v>
      </c>
      <c r="S542" s="6">
        <f>[1]Emissions!R958</f>
        <v>0.7555323987</v>
      </c>
      <c r="T542" s="6">
        <f>[1]Emissions!S958</f>
        <v>0.76864721660000002</v>
      </c>
      <c r="U542" s="6">
        <f>[1]Emissions!T958</f>
        <v>0.7826237707</v>
      </c>
      <c r="V542" s="6">
        <f>[1]Emissions!U958</f>
        <v>0.79744670949999996</v>
      </c>
      <c r="W542" s="6">
        <f>[1]Emissions!V958</f>
        <v>0.8131175236</v>
      </c>
      <c r="X542" s="6">
        <f>[1]Emissions!W958</f>
        <v>0.82965843620000002</v>
      </c>
      <c r="Y542" s="6">
        <f>[1]Emissions!X958</f>
        <v>0.84716240089999995</v>
      </c>
      <c r="Z542" s="6">
        <f>[1]Emissions!Y958</f>
        <v>0.8657075783</v>
      </c>
      <c r="AA542" s="6">
        <f>[1]Emissions!Z958</f>
        <v>0.88530721670000001</v>
      </c>
      <c r="AB542" s="6">
        <f>[1]Emissions!AA958</f>
        <v>0.9059810023</v>
      </c>
      <c r="AC542" s="6">
        <f>[1]Emissions!AB958</f>
        <v>0.92777072260000004</v>
      </c>
      <c r="AD542" s="6">
        <f>[1]Emissions!AC958</f>
        <v>0.95078982229999998</v>
      </c>
      <c r="AE542" s="6">
        <f>[1]Emissions!AD958</f>
        <v>0.9750955053</v>
      </c>
      <c r="AF542" s="6">
        <f>[1]Emissions!AE958</f>
        <v>1.0005829129999999</v>
      </c>
      <c r="AG542" s="6">
        <f>[1]Emissions!AF958</f>
        <v>1.0270491340000001</v>
      </c>
      <c r="AH542" s="6">
        <f>[1]Emissions!AG958</f>
        <v>1.054306835</v>
      </c>
      <c r="AI542" s="6">
        <f>[1]Emissions!AH958</f>
        <v>1.0822175469999999</v>
      </c>
      <c r="AJ542" s="6">
        <f>[1]Emissions!AI958</f>
        <v>1.110663712</v>
      </c>
      <c r="AK542" s="6">
        <f>[1]Emissions!AJ958</f>
        <v>1.1395324309999999</v>
      </c>
      <c r="AL542" s="6">
        <f>[1]Emissions!AK958</f>
        <v>1.1687071090000001</v>
      </c>
    </row>
    <row r="543" spans="2:38" hidden="1" x14ac:dyDescent="0.35">
      <c r="B543" s="17" t="str">
        <f>[1]Emissions!A959</f>
        <v>ems_ci_co2_spub_0</v>
      </c>
      <c r="C543" s="6">
        <f>[1]Emissions!B959</f>
        <v>14.96650101</v>
      </c>
      <c r="D543" s="6">
        <f>[1]Emissions!C959</f>
        <v>14.88687522</v>
      </c>
      <c r="E543" s="6">
        <f>[1]Emissions!D959</f>
        <v>14.78920492</v>
      </c>
      <c r="F543" s="6">
        <f>[1]Emissions!E959</f>
        <v>14.6527899</v>
      </c>
      <c r="G543" s="6">
        <f>[1]Emissions!F959</f>
        <v>14.613783939999999</v>
      </c>
      <c r="H543" s="6">
        <f>[1]Emissions!G959</f>
        <v>14.651320309999999</v>
      </c>
      <c r="I543" s="6">
        <f>[1]Emissions!H959</f>
        <v>14.705098899999999</v>
      </c>
      <c r="J543" s="6">
        <f>[1]Emissions!I959</f>
        <v>14.75492438</v>
      </c>
      <c r="K543" s="6">
        <f>[1]Emissions!J959</f>
        <v>14.78953353</v>
      </c>
      <c r="L543" s="6">
        <f>[1]Emissions!K959</f>
        <v>14.81030928</v>
      </c>
      <c r="M543" s="6">
        <f>[1]Emissions!L959</f>
        <v>14.821840910000001</v>
      </c>
      <c r="N543" s="6">
        <f>[1]Emissions!M959</f>
        <v>14.828567659999999</v>
      </c>
      <c r="O543" s="6">
        <f>[1]Emissions!N959</f>
        <v>14.83322384</v>
      </c>
      <c r="P543" s="6">
        <f>[1]Emissions!O959</f>
        <v>14.83587968</v>
      </c>
      <c r="Q543" s="6">
        <f>[1]Emissions!P959</f>
        <v>14.839218779999999</v>
      </c>
      <c r="R543" s="6">
        <f>[1]Emissions!Q959</f>
        <v>14.84655995</v>
      </c>
      <c r="S543" s="6">
        <f>[1]Emissions!R959</f>
        <v>14.891410580000001</v>
      </c>
      <c r="T543" s="6">
        <f>[1]Emissions!S959</f>
        <v>14.981022400000001</v>
      </c>
      <c r="U543" s="6">
        <f>[1]Emissions!T959</f>
        <v>15.11554134</v>
      </c>
      <c r="V543" s="6">
        <f>[1]Emissions!U959</f>
        <v>15.29145033</v>
      </c>
      <c r="W543" s="6">
        <f>[1]Emissions!V959</f>
        <v>15.504057339999999</v>
      </c>
      <c r="X543" s="6">
        <f>[1]Emissions!W959</f>
        <v>15.74861624</v>
      </c>
      <c r="Y543" s="6">
        <f>[1]Emissions!X959</f>
        <v>16.021411000000001</v>
      </c>
      <c r="Z543" s="6">
        <f>[1]Emissions!Y959</f>
        <v>16.319666689999998</v>
      </c>
      <c r="AA543" s="6">
        <f>[1]Emissions!Z959</f>
        <v>16.641376090000001</v>
      </c>
      <c r="AB543" s="6">
        <f>[1]Emissions!AA959</f>
        <v>16.98489305</v>
      </c>
      <c r="AC543" s="6">
        <f>[1]Emissions!AB959</f>
        <v>17.34886101</v>
      </c>
      <c r="AD543" s="6">
        <f>[1]Emissions!AC959</f>
        <v>17.732341460000001</v>
      </c>
      <c r="AE543" s="6">
        <f>[1]Emissions!AD959</f>
        <v>18.1341869</v>
      </c>
      <c r="AF543" s="6">
        <f>[1]Emissions!AE959</f>
        <v>18.551767359999999</v>
      </c>
      <c r="AG543" s="6">
        <f>[1]Emissions!AF959</f>
        <v>18.981629479999999</v>
      </c>
      <c r="AH543" s="6">
        <f>[1]Emissions!AG959</f>
        <v>19.42023446</v>
      </c>
      <c r="AI543" s="6">
        <f>[1]Emissions!AH959</f>
        <v>19.864395420000001</v>
      </c>
      <c r="AJ543" s="6">
        <f>[1]Emissions!AI959</f>
        <v>20.311396070000001</v>
      </c>
      <c r="AK543" s="6">
        <f>[1]Emissions!AJ959</f>
        <v>20.75899282</v>
      </c>
      <c r="AL543" s="6">
        <f>[1]Emissions!AK959</f>
        <v>21.20533266</v>
      </c>
    </row>
    <row r="544" spans="2:38" hidden="1" x14ac:dyDescent="0.35">
      <c r="B544" s="17" t="str">
        <f>[1]Emissions!A960</f>
        <v>ems_y_co2_spub_0</v>
      </c>
      <c r="C544" s="6">
        <f>[1]Emissions!B960</f>
        <v>0</v>
      </c>
      <c r="D544" s="6">
        <f>[1]Emissions!C960</f>
        <v>0</v>
      </c>
      <c r="E544" s="6">
        <f>[1]Emissions!D960</f>
        <v>0</v>
      </c>
      <c r="F544" s="6">
        <f>[1]Emissions!E960</f>
        <v>0</v>
      </c>
      <c r="G544" s="6">
        <f>[1]Emissions!F960</f>
        <v>0</v>
      </c>
      <c r="H544" s="6">
        <f>[1]Emissions!G960</f>
        <v>0</v>
      </c>
      <c r="I544" s="6">
        <f>[1]Emissions!H960</f>
        <v>0</v>
      </c>
      <c r="J544" s="6">
        <f>[1]Emissions!I960</f>
        <v>0</v>
      </c>
      <c r="K544" s="6">
        <f>[1]Emissions!J960</f>
        <v>0</v>
      </c>
      <c r="L544" s="6">
        <f>[1]Emissions!K960</f>
        <v>0</v>
      </c>
      <c r="M544" s="6">
        <f>[1]Emissions!L960</f>
        <v>0</v>
      </c>
      <c r="N544" s="6">
        <f>[1]Emissions!M960</f>
        <v>0</v>
      </c>
      <c r="O544" s="6">
        <f>[1]Emissions!N960</f>
        <v>0</v>
      </c>
      <c r="P544" s="6">
        <f>[1]Emissions!O960</f>
        <v>0</v>
      </c>
      <c r="Q544" s="6">
        <f>[1]Emissions!P960</f>
        <v>0</v>
      </c>
      <c r="R544" s="6">
        <f>[1]Emissions!Q960</f>
        <v>0</v>
      </c>
      <c r="S544" s="6">
        <f>[1]Emissions!R960</f>
        <v>0</v>
      </c>
      <c r="T544" s="6">
        <f>[1]Emissions!S960</f>
        <v>0</v>
      </c>
      <c r="U544" s="6">
        <f>[1]Emissions!T960</f>
        <v>0</v>
      </c>
      <c r="V544" s="6">
        <f>[1]Emissions!U960</f>
        <v>0</v>
      </c>
      <c r="W544" s="6">
        <f>[1]Emissions!V960</f>
        <v>0</v>
      </c>
      <c r="X544" s="6">
        <f>[1]Emissions!W960</f>
        <v>0</v>
      </c>
      <c r="Y544" s="6">
        <f>[1]Emissions!X960</f>
        <v>0</v>
      </c>
      <c r="Z544" s="6">
        <f>[1]Emissions!Y960</f>
        <v>0</v>
      </c>
      <c r="AA544" s="6">
        <f>[1]Emissions!Z960</f>
        <v>0</v>
      </c>
      <c r="AB544" s="6">
        <f>[1]Emissions!AA960</f>
        <v>0</v>
      </c>
      <c r="AC544" s="6">
        <f>[1]Emissions!AB960</f>
        <v>0</v>
      </c>
      <c r="AD544" s="6">
        <f>[1]Emissions!AC960</f>
        <v>0</v>
      </c>
      <c r="AE544" s="6">
        <f>[1]Emissions!AD960</f>
        <v>0</v>
      </c>
      <c r="AF544" s="6">
        <f>[1]Emissions!AE960</f>
        <v>0</v>
      </c>
      <c r="AG544" s="6">
        <f>[1]Emissions!AF960</f>
        <v>0</v>
      </c>
      <c r="AH544" s="6">
        <f>[1]Emissions!AG960</f>
        <v>0</v>
      </c>
      <c r="AI544" s="6">
        <f>[1]Emissions!AH960</f>
        <v>0</v>
      </c>
      <c r="AJ544" s="6">
        <f>[1]Emissions!AI960</f>
        <v>0</v>
      </c>
      <c r="AK544" s="6">
        <f>[1]Emissions!AJ960</f>
        <v>0</v>
      </c>
      <c r="AL544" s="6">
        <f>[1]Emissions!AK960</f>
        <v>0</v>
      </c>
    </row>
    <row r="545" spans="2:38" hidden="1" x14ac:dyDescent="0.35">
      <c r="B545" s="17" t="str">
        <f>[1]Emissions!A961</f>
        <v>ems_mat_co2_spub_0</v>
      </c>
      <c r="C545" s="6">
        <f>[1]Emissions!B961</f>
        <v>9.7250820460000007</v>
      </c>
      <c r="D545" s="6">
        <f>[1]Emissions!C961</f>
        <v>9.8260946550000003</v>
      </c>
      <c r="E545" s="6">
        <f>[1]Emissions!D961</f>
        <v>9.9475888529999992</v>
      </c>
      <c r="F545" s="6">
        <f>[1]Emissions!E961</f>
        <v>10.08961133</v>
      </c>
      <c r="G545" s="6">
        <f>[1]Emissions!F961</f>
        <v>10.24219501</v>
      </c>
      <c r="H545" s="6">
        <f>[1]Emissions!G961</f>
        <v>10.40102778</v>
      </c>
      <c r="I545" s="6">
        <f>[1]Emissions!H961</f>
        <v>10.5631994</v>
      </c>
      <c r="J545" s="6">
        <f>[1]Emissions!I961</f>
        <v>10.727740219999999</v>
      </c>
      <c r="K545" s="6">
        <f>[1]Emissions!J961</f>
        <v>10.89500999</v>
      </c>
      <c r="L545" s="6">
        <f>[1]Emissions!K961</f>
        <v>11.06571886</v>
      </c>
      <c r="M545" s="6">
        <f>[1]Emissions!L961</f>
        <v>11.24052107</v>
      </c>
      <c r="N545" s="6">
        <f>[1]Emissions!M961</f>
        <v>11.41995376</v>
      </c>
      <c r="O545" s="6">
        <f>[1]Emissions!N961</f>
        <v>11.603674440000001</v>
      </c>
      <c r="P545" s="6">
        <f>[1]Emissions!O961</f>
        <v>11.789985959999999</v>
      </c>
      <c r="Q545" s="6">
        <f>[1]Emissions!P961</f>
        <v>11.979132570000001</v>
      </c>
      <c r="R545" s="6">
        <f>[1]Emissions!Q961</f>
        <v>12.171803840000001</v>
      </c>
      <c r="S545" s="6">
        <f>[1]Emissions!R961</f>
        <v>12.36984513</v>
      </c>
      <c r="T545" s="6">
        <f>[1]Emissions!S961</f>
        <v>12.5746942</v>
      </c>
      <c r="U545" s="6">
        <f>[1]Emissions!T961</f>
        <v>12.78677375</v>
      </c>
      <c r="V545" s="6">
        <f>[1]Emissions!U961</f>
        <v>13.005999790000001</v>
      </c>
      <c r="W545" s="6">
        <f>[1]Emissions!V961</f>
        <v>13.232376670000001</v>
      </c>
      <c r="X545" s="6">
        <f>[1]Emissions!W961</f>
        <v>13.466032820000001</v>
      </c>
      <c r="Y545" s="6">
        <f>[1]Emissions!X961</f>
        <v>13.707400959999999</v>
      </c>
      <c r="Z545" s="6">
        <f>[1]Emissions!Y961</f>
        <v>13.956869319999999</v>
      </c>
      <c r="AA545" s="6">
        <f>[1]Emissions!Z961</f>
        <v>14.214557129999999</v>
      </c>
      <c r="AB545" s="6">
        <f>[1]Emissions!AA961</f>
        <v>14.48058249</v>
      </c>
      <c r="AC545" s="6">
        <f>[1]Emissions!AB961</f>
        <v>14.75516505</v>
      </c>
      <c r="AD545" s="6">
        <f>[1]Emissions!AC961</f>
        <v>15.0388404</v>
      </c>
      <c r="AE545" s="6">
        <f>[1]Emissions!AD961</f>
        <v>15.33197491</v>
      </c>
      <c r="AF545" s="6">
        <f>[1]Emissions!AE961</f>
        <v>15.634367109999999</v>
      </c>
      <c r="AG545" s="6">
        <f>[1]Emissions!AF961</f>
        <v>15.94541401</v>
      </c>
      <c r="AH545" s="6">
        <f>[1]Emissions!AG961</f>
        <v>16.264509409999999</v>
      </c>
      <c r="AI545" s="6">
        <f>[1]Emissions!AH961</f>
        <v>16.591167070000001</v>
      </c>
      <c r="AJ545" s="6">
        <f>[1]Emissions!AI961</f>
        <v>16.924961320000001</v>
      </c>
      <c r="AK545" s="6">
        <f>[1]Emissions!AJ961</f>
        <v>17.2654915</v>
      </c>
      <c r="AL545" s="6">
        <f>[1]Emissions!AK961</f>
        <v>17.612333459999999</v>
      </c>
    </row>
    <row r="546" spans="2:38" hidden="1" x14ac:dyDescent="0.35">
      <c r="B546" s="17" t="str">
        <f>[1]Emissions!A962</f>
        <v>ems_ci_co2_smin_0</v>
      </c>
      <c r="C546" s="6">
        <f>[1]Emissions!B962</f>
        <v>1.7619968939999999</v>
      </c>
      <c r="D546" s="6">
        <f>[1]Emissions!C962</f>
        <v>1.9613436420000001</v>
      </c>
      <c r="E546" s="6">
        <f>[1]Emissions!D962</f>
        <v>2.151302067</v>
      </c>
      <c r="F546" s="6">
        <f>[1]Emissions!E962</f>
        <v>2.3049257619999999</v>
      </c>
      <c r="G546" s="6">
        <f>[1]Emissions!F962</f>
        <v>2.4295518230000002</v>
      </c>
      <c r="H546" s="6">
        <f>[1]Emissions!G962</f>
        <v>2.5350642680000002</v>
      </c>
      <c r="I546" s="6">
        <f>[1]Emissions!H962</f>
        <v>2.6265220440000001</v>
      </c>
      <c r="J546" s="6">
        <f>[1]Emissions!I962</f>
        <v>2.7072068800000002</v>
      </c>
      <c r="K546" s="6">
        <f>[1]Emissions!J962</f>
        <v>2.7795889260000002</v>
      </c>
      <c r="L546" s="6">
        <f>[1]Emissions!K962</f>
        <v>2.8457970380000002</v>
      </c>
      <c r="M546" s="6">
        <f>[1]Emissions!L962</f>
        <v>2.9076465439999999</v>
      </c>
      <c r="N546" s="6">
        <f>[1]Emissions!M962</f>
        <v>2.9664551079999999</v>
      </c>
      <c r="O546" s="6">
        <f>[1]Emissions!N962</f>
        <v>3.0215419369999998</v>
      </c>
      <c r="P546" s="6">
        <f>[1]Emissions!O962</f>
        <v>3.0698655260000001</v>
      </c>
      <c r="Q546" s="6">
        <f>[1]Emissions!P962</f>
        <v>3.1137481180000002</v>
      </c>
      <c r="R546" s="6">
        <f>[1]Emissions!Q962</f>
        <v>3.1558481650000001</v>
      </c>
      <c r="S546" s="6">
        <f>[1]Emissions!R962</f>
        <v>3.1999964310000002</v>
      </c>
      <c r="T546" s="6">
        <f>[1]Emissions!S962</f>
        <v>3.2492291849999999</v>
      </c>
      <c r="U546" s="6">
        <f>[1]Emissions!T962</f>
        <v>3.3048107409999998</v>
      </c>
      <c r="V546" s="6">
        <f>[1]Emissions!U962</f>
        <v>3.3668881599999998</v>
      </c>
      <c r="W546" s="6">
        <f>[1]Emissions!V962</f>
        <v>3.4355114590000002</v>
      </c>
      <c r="X546" s="6">
        <f>[1]Emissions!W962</f>
        <v>3.5106668230000002</v>
      </c>
      <c r="Y546" s="6">
        <f>[1]Emissions!X962</f>
        <v>3.5927521900000001</v>
      </c>
      <c r="Z546" s="6">
        <f>[1]Emissions!Y962</f>
        <v>3.6819414739999998</v>
      </c>
      <c r="AA546" s="6">
        <f>[1]Emissions!Z962</f>
        <v>3.7779704970000001</v>
      </c>
      <c r="AB546" s="6">
        <f>[1]Emissions!AA962</f>
        <v>3.8807884719999999</v>
      </c>
      <c r="AC546" s="6">
        <f>[1]Emissions!AB962</f>
        <v>3.9905653569999999</v>
      </c>
      <c r="AD546" s="6">
        <f>[1]Emissions!AC962</f>
        <v>4.1079551580000002</v>
      </c>
      <c r="AE546" s="6">
        <f>[1]Emissions!AD962</f>
        <v>4.2331019679999997</v>
      </c>
      <c r="AF546" s="6">
        <f>[1]Emissions!AE962</f>
        <v>4.3647336340000003</v>
      </c>
      <c r="AG546" s="6">
        <f>[1]Emissions!AF962</f>
        <v>4.5010087480000003</v>
      </c>
      <c r="AH546" s="6">
        <f>[1]Emissions!AG962</f>
        <v>4.6404735329999998</v>
      </c>
      <c r="AI546" s="6">
        <f>[1]Emissions!AH962</f>
        <v>4.7821745360000003</v>
      </c>
      <c r="AJ546" s="6">
        <f>[1]Emissions!AI962</f>
        <v>4.9253797119999998</v>
      </c>
      <c r="AK546" s="6">
        <f>[1]Emissions!AJ962</f>
        <v>5.0694271320000004</v>
      </c>
      <c r="AL546" s="6">
        <f>[1]Emissions!AK962</f>
        <v>5.2136481950000002</v>
      </c>
    </row>
    <row r="547" spans="2:38" hidden="1" x14ac:dyDescent="0.35">
      <c r="B547" s="17" t="str">
        <f>[1]Emissions!A963</f>
        <v>ems_y_co2_smin_0</v>
      </c>
      <c r="C547" s="6">
        <f>[1]Emissions!B963</f>
        <v>0</v>
      </c>
      <c r="D547" s="6">
        <f>[1]Emissions!C963</f>
        <v>0</v>
      </c>
      <c r="E547" s="6">
        <f>[1]Emissions!D963</f>
        <v>0</v>
      </c>
      <c r="F547" s="6">
        <f>[1]Emissions!E963</f>
        <v>0</v>
      </c>
      <c r="G547" s="6">
        <f>[1]Emissions!F963</f>
        <v>0</v>
      </c>
      <c r="H547" s="6">
        <f>[1]Emissions!G963</f>
        <v>0</v>
      </c>
      <c r="I547" s="6">
        <f>[1]Emissions!H963</f>
        <v>0</v>
      </c>
      <c r="J547" s="6">
        <f>[1]Emissions!I963</f>
        <v>0</v>
      </c>
      <c r="K547" s="6">
        <f>[1]Emissions!J963</f>
        <v>0</v>
      </c>
      <c r="L547" s="6">
        <f>[1]Emissions!K963</f>
        <v>0</v>
      </c>
      <c r="M547" s="6">
        <f>[1]Emissions!L963</f>
        <v>0</v>
      </c>
      <c r="N547" s="6">
        <f>[1]Emissions!M963</f>
        <v>0</v>
      </c>
      <c r="O547" s="6">
        <f>[1]Emissions!N963</f>
        <v>0</v>
      </c>
      <c r="P547" s="6">
        <f>[1]Emissions!O963</f>
        <v>0</v>
      </c>
      <c r="Q547" s="6">
        <f>[1]Emissions!P963</f>
        <v>0</v>
      </c>
      <c r="R547" s="6">
        <f>[1]Emissions!Q963</f>
        <v>0</v>
      </c>
      <c r="S547" s="6">
        <f>[1]Emissions!R963</f>
        <v>0</v>
      </c>
      <c r="T547" s="6">
        <f>[1]Emissions!S963</f>
        <v>0</v>
      </c>
      <c r="U547" s="6">
        <f>[1]Emissions!T963</f>
        <v>0</v>
      </c>
      <c r="V547" s="6">
        <f>[1]Emissions!U963</f>
        <v>0</v>
      </c>
      <c r="W547" s="6">
        <f>[1]Emissions!V963</f>
        <v>0</v>
      </c>
      <c r="X547" s="6">
        <f>[1]Emissions!W963</f>
        <v>0</v>
      </c>
      <c r="Y547" s="6">
        <f>[1]Emissions!X963</f>
        <v>0</v>
      </c>
      <c r="Z547" s="6">
        <f>[1]Emissions!Y963</f>
        <v>0</v>
      </c>
      <c r="AA547" s="6">
        <f>[1]Emissions!Z963</f>
        <v>0</v>
      </c>
      <c r="AB547" s="6">
        <f>[1]Emissions!AA963</f>
        <v>0</v>
      </c>
      <c r="AC547" s="6">
        <f>[1]Emissions!AB963</f>
        <v>0</v>
      </c>
      <c r="AD547" s="6">
        <f>[1]Emissions!AC963</f>
        <v>0</v>
      </c>
      <c r="AE547" s="6">
        <f>[1]Emissions!AD963</f>
        <v>0</v>
      </c>
      <c r="AF547" s="6">
        <f>[1]Emissions!AE963</f>
        <v>0</v>
      </c>
      <c r="AG547" s="6">
        <f>[1]Emissions!AF963</f>
        <v>0</v>
      </c>
      <c r="AH547" s="6">
        <f>[1]Emissions!AG963</f>
        <v>0</v>
      </c>
      <c r="AI547" s="6">
        <f>[1]Emissions!AH963</f>
        <v>0</v>
      </c>
      <c r="AJ547" s="6">
        <f>[1]Emissions!AI963</f>
        <v>0</v>
      </c>
      <c r="AK547" s="6">
        <f>[1]Emissions!AJ963</f>
        <v>0</v>
      </c>
      <c r="AL547" s="6">
        <f>[1]Emissions!AK963</f>
        <v>0</v>
      </c>
    </row>
    <row r="548" spans="2:38" hidden="1" x14ac:dyDescent="0.35">
      <c r="B548" s="17" t="str">
        <f>[1]Emissions!A964</f>
        <v>ems_mat_co2_smin_0</v>
      </c>
      <c r="C548" s="6">
        <f>[1]Emissions!B964</f>
        <v>9.7029069400000001E-2</v>
      </c>
      <c r="D548" s="6">
        <f>[1]Emissions!C964</f>
        <v>0.1080709177</v>
      </c>
      <c r="E548" s="6">
        <f>[1]Emissions!D964</f>
        <v>0.1186334309</v>
      </c>
      <c r="F548" s="6">
        <f>[1]Emissions!E964</f>
        <v>0.12722121149999999</v>
      </c>
      <c r="G548" s="6">
        <f>[1]Emissions!F964</f>
        <v>0.13420182380000001</v>
      </c>
      <c r="H548" s="6">
        <f>[1]Emissions!G964</f>
        <v>0.14010829850000001</v>
      </c>
      <c r="I548" s="6">
        <f>[1]Emissions!H964</f>
        <v>0.1452220471</v>
      </c>
      <c r="J548" s="6">
        <f>[1]Emissions!I964</f>
        <v>0.1497336923</v>
      </c>
      <c r="K548" s="6">
        <f>[1]Emissions!J964</f>
        <v>0.153790289</v>
      </c>
      <c r="L548" s="6">
        <f>[1]Emissions!K964</f>
        <v>0.1575165617</v>
      </c>
      <c r="M548" s="6">
        <f>[1]Emissions!L964</f>
        <v>0.16101614959999999</v>
      </c>
      <c r="N548" s="6">
        <f>[1]Emissions!M964</f>
        <v>0.16436387790000001</v>
      </c>
      <c r="O548" s="6">
        <f>[1]Emissions!N964</f>
        <v>0.1675228839</v>
      </c>
      <c r="P548" s="6">
        <f>[1]Emissions!O964</f>
        <v>0.1703249379</v>
      </c>
      <c r="Q548" s="6">
        <f>[1]Emissions!P964</f>
        <v>0.1728970994</v>
      </c>
      <c r="R548" s="6">
        <f>[1]Emissions!Q964</f>
        <v>0.1753835027</v>
      </c>
      <c r="S548" s="6">
        <f>[1]Emissions!R964</f>
        <v>0.17797265109999999</v>
      </c>
      <c r="T548" s="6">
        <f>[1]Emissions!S964</f>
        <v>0.18082577289999999</v>
      </c>
      <c r="U548" s="6">
        <f>[1]Emissions!T964</f>
        <v>0.1840085487</v>
      </c>
      <c r="V548" s="6">
        <f>[1]Emissions!U964</f>
        <v>0.18752591090000001</v>
      </c>
      <c r="W548" s="6">
        <f>[1]Emissions!V964</f>
        <v>0.19137923000000001</v>
      </c>
      <c r="X548" s="6">
        <f>[1]Emissions!W964</f>
        <v>0.19556793389999999</v>
      </c>
      <c r="Y548" s="6">
        <f>[1]Emissions!X964</f>
        <v>0.2001148697</v>
      </c>
      <c r="Z548" s="6">
        <f>[1]Emissions!Y964</f>
        <v>0.2050301434</v>
      </c>
      <c r="AA548" s="6">
        <f>[1]Emissions!Z964</f>
        <v>0.21029862699999999</v>
      </c>
      <c r="AB548" s="6">
        <f>[1]Emissions!AA964</f>
        <v>0.21591731950000001</v>
      </c>
      <c r="AC548" s="6">
        <f>[1]Emissions!AB964</f>
        <v>0.2218959194</v>
      </c>
      <c r="AD548" s="6">
        <f>[1]Emissions!AC964</f>
        <v>0.2282715451</v>
      </c>
      <c r="AE548" s="6">
        <f>[1]Emissions!AD964</f>
        <v>0.23505347360000001</v>
      </c>
      <c r="AF548" s="6">
        <f>[1]Emissions!AE964</f>
        <v>0.24217461509999999</v>
      </c>
      <c r="AG548" s="6">
        <f>[1]Emissions!AF964</f>
        <v>0.2495379204</v>
      </c>
      <c r="AH548" s="6">
        <f>[1]Emissions!AG964</f>
        <v>0.25706891129999998</v>
      </c>
      <c r="AI548" s="6">
        <f>[1]Emissions!AH964</f>
        <v>0.26472112060000003</v>
      </c>
      <c r="AJ548" s="6">
        <f>[1]Emissions!AI964</f>
        <v>0.27246001580000001</v>
      </c>
      <c r="AK548" s="6">
        <f>[1]Emissions!AJ964</f>
        <v>0.28025435399999998</v>
      </c>
      <c r="AL548" s="6">
        <f>[1]Emissions!AK964</f>
        <v>0.28807185730000001</v>
      </c>
    </row>
    <row r="549" spans="2:38" hidden="1" x14ac:dyDescent="0.35">
      <c r="B549" s="17" t="str">
        <f>[1]Emissions!A965</f>
        <v>ems_ci_co2_soil_0</v>
      </c>
      <c r="C549" s="6">
        <f>[1]Emissions!B965</f>
        <v>16.602035879999999</v>
      </c>
      <c r="D549" s="6">
        <f>[1]Emissions!C965</f>
        <v>16.862559409999999</v>
      </c>
      <c r="E549" s="6">
        <f>[1]Emissions!D965</f>
        <v>17.095154019999999</v>
      </c>
      <c r="F549" s="6">
        <f>[1]Emissions!E965</f>
        <v>17.30592536</v>
      </c>
      <c r="G549" s="6">
        <f>[1]Emissions!F965</f>
        <v>17.522870690000001</v>
      </c>
      <c r="H549" s="6">
        <f>[1]Emissions!G965</f>
        <v>17.748227140000001</v>
      </c>
      <c r="I549" s="6">
        <f>[1]Emissions!H965</f>
        <v>17.961167190000001</v>
      </c>
      <c r="J549" s="6">
        <f>[1]Emissions!I965</f>
        <v>18.150617359999998</v>
      </c>
      <c r="K549" s="6">
        <f>[1]Emissions!J965</f>
        <v>18.309174840000001</v>
      </c>
      <c r="L549" s="6">
        <f>[1]Emissions!K965</f>
        <v>18.432557899999999</v>
      </c>
      <c r="M549" s="6">
        <f>[1]Emissions!L965</f>
        <v>18.519693029999999</v>
      </c>
      <c r="N549" s="6">
        <f>[1]Emissions!M965</f>
        <v>18.573510769999999</v>
      </c>
      <c r="O549" s="6">
        <f>[1]Emissions!N965</f>
        <v>18.591427790000001</v>
      </c>
      <c r="P549" s="6">
        <f>[1]Emissions!O965</f>
        <v>18.561258729999999</v>
      </c>
      <c r="Q549" s="6">
        <f>[1]Emissions!P965</f>
        <v>18.50531398</v>
      </c>
      <c r="R549" s="6">
        <f>[1]Emissions!Q965</f>
        <v>18.446075919999998</v>
      </c>
      <c r="S549" s="6">
        <f>[1]Emissions!R965</f>
        <v>18.288418440000001</v>
      </c>
      <c r="T549" s="6">
        <f>[1]Emissions!S965</f>
        <v>18.143078039999999</v>
      </c>
      <c r="U549" s="6">
        <f>[1]Emissions!T965</f>
        <v>18.026037479999999</v>
      </c>
      <c r="V549" s="6">
        <f>[1]Emissions!U965</f>
        <v>17.938857710000001</v>
      </c>
      <c r="W549" s="6">
        <f>[1]Emissions!V965</f>
        <v>17.88066968</v>
      </c>
      <c r="X549" s="6">
        <f>[1]Emissions!W965</f>
        <v>17.84999539</v>
      </c>
      <c r="Y549" s="6">
        <f>[1]Emissions!X965</f>
        <v>17.845976230000002</v>
      </c>
      <c r="Z549" s="6">
        <f>[1]Emissions!Y965</f>
        <v>17.867578009999999</v>
      </c>
      <c r="AA549" s="6">
        <f>[1]Emissions!Z965</f>
        <v>17.913241710000001</v>
      </c>
      <c r="AB549" s="6">
        <f>[1]Emissions!AA965</f>
        <v>17.981839959999999</v>
      </c>
      <c r="AC549" s="6">
        <f>[1]Emissions!AB965</f>
        <v>18.072692190000001</v>
      </c>
      <c r="AD549" s="6">
        <f>[1]Emissions!AC965</f>
        <v>18.186028589999999</v>
      </c>
      <c r="AE549" s="6">
        <f>[1]Emissions!AD965</f>
        <v>18.321390869999998</v>
      </c>
      <c r="AF549" s="6">
        <f>[1]Emissions!AE965</f>
        <v>18.476261239999999</v>
      </c>
      <c r="AG549" s="6">
        <f>[1]Emissions!AF965</f>
        <v>18.647174960000001</v>
      </c>
      <c r="AH549" s="6">
        <f>[1]Emissions!AG965</f>
        <v>18.831166410000002</v>
      </c>
      <c r="AI549" s="6">
        <f>[1]Emissions!AH965</f>
        <v>19.026018310000001</v>
      </c>
      <c r="AJ549" s="6">
        <f>[1]Emissions!AI965</f>
        <v>19.229855369999999</v>
      </c>
      <c r="AK549" s="6">
        <f>[1]Emissions!AJ965</f>
        <v>19.440928360000001</v>
      </c>
      <c r="AL549" s="6">
        <f>[1]Emissions!AK965</f>
        <v>19.65750281</v>
      </c>
    </row>
    <row r="550" spans="2:38" hidden="1" x14ac:dyDescent="0.35">
      <c r="B550" s="17" t="str">
        <f>[1]Emissions!A966</f>
        <v>ems_y_co2_soil_0</v>
      </c>
      <c r="C550" s="6">
        <f>[1]Emissions!B966</f>
        <v>0</v>
      </c>
      <c r="D550" s="6">
        <f>[1]Emissions!C966</f>
        <v>0</v>
      </c>
      <c r="E550" s="6">
        <f>[1]Emissions!D966</f>
        <v>0</v>
      </c>
      <c r="F550" s="6">
        <f>[1]Emissions!E966</f>
        <v>0</v>
      </c>
      <c r="G550" s="6">
        <f>[1]Emissions!F966</f>
        <v>0</v>
      </c>
      <c r="H550" s="6">
        <f>[1]Emissions!G966</f>
        <v>0</v>
      </c>
      <c r="I550" s="6">
        <f>[1]Emissions!H966</f>
        <v>0</v>
      </c>
      <c r="J550" s="6">
        <f>[1]Emissions!I966</f>
        <v>0</v>
      </c>
      <c r="K550" s="6">
        <f>[1]Emissions!J966</f>
        <v>0</v>
      </c>
      <c r="L550" s="6">
        <f>[1]Emissions!K966</f>
        <v>0</v>
      </c>
      <c r="M550" s="6">
        <f>[1]Emissions!L966</f>
        <v>0</v>
      </c>
      <c r="N550" s="6">
        <f>[1]Emissions!M966</f>
        <v>0</v>
      </c>
      <c r="O550" s="6">
        <f>[1]Emissions!N966</f>
        <v>0</v>
      </c>
      <c r="P550" s="6">
        <f>[1]Emissions!O966</f>
        <v>0</v>
      </c>
      <c r="Q550" s="6">
        <f>[1]Emissions!P966</f>
        <v>0</v>
      </c>
      <c r="R550" s="6">
        <f>[1]Emissions!Q966</f>
        <v>0</v>
      </c>
      <c r="S550" s="6">
        <f>[1]Emissions!R966</f>
        <v>0</v>
      </c>
      <c r="T550" s="6">
        <f>[1]Emissions!S966</f>
        <v>0</v>
      </c>
      <c r="U550" s="6">
        <f>[1]Emissions!T966</f>
        <v>0</v>
      </c>
      <c r="V550" s="6">
        <f>[1]Emissions!U966</f>
        <v>0</v>
      </c>
      <c r="W550" s="6">
        <f>[1]Emissions!V966</f>
        <v>0</v>
      </c>
      <c r="X550" s="6">
        <f>[1]Emissions!W966</f>
        <v>0</v>
      </c>
      <c r="Y550" s="6">
        <f>[1]Emissions!X966</f>
        <v>0</v>
      </c>
      <c r="Z550" s="6">
        <f>[1]Emissions!Y966</f>
        <v>0</v>
      </c>
      <c r="AA550" s="6">
        <f>[1]Emissions!Z966</f>
        <v>0</v>
      </c>
      <c r="AB550" s="6">
        <f>[1]Emissions!AA966</f>
        <v>0</v>
      </c>
      <c r="AC550" s="6">
        <f>[1]Emissions!AB966</f>
        <v>0</v>
      </c>
      <c r="AD550" s="6">
        <f>[1]Emissions!AC966</f>
        <v>0</v>
      </c>
      <c r="AE550" s="6">
        <f>[1]Emissions!AD966</f>
        <v>0</v>
      </c>
      <c r="AF550" s="6">
        <f>[1]Emissions!AE966</f>
        <v>0</v>
      </c>
      <c r="AG550" s="6">
        <f>[1]Emissions!AF966</f>
        <v>0</v>
      </c>
      <c r="AH550" s="6">
        <f>[1]Emissions!AG966</f>
        <v>0</v>
      </c>
      <c r="AI550" s="6">
        <f>[1]Emissions!AH966</f>
        <v>0</v>
      </c>
      <c r="AJ550" s="6">
        <f>[1]Emissions!AI966</f>
        <v>0</v>
      </c>
      <c r="AK550" s="6">
        <f>[1]Emissions!AJ966</f>
        <v>0</v>
      </c>
      <c r="AL550" s="6">
        <f>[1]Emissions!AK966</f>
        <v>0</v>
      </c>
    </row>
    <row r="551" spans="2:38" hidden="1" x14ac:dyDescent="0.35">
      <c r="B551" s="17" t="str">
        <f>[1]Emissions!A967</f>
        <v>ems_mat_co2_soil_0</v>
      </c>
      <c r="C551" s="6">
        <f>[1]Emissions!B967</f>
        <v>4.7795047750000004</v>
      </c>
      <c r="D551" s="6">
        <f>[1]Emissions!C967</f>
        <v>4.8552813959999996</v>
      </c>
      <c r="E551" s="6">
        <f>[1]Emissions!D967</f>
        <v>4.9231202009999997</v>
      </c>
      <c r="F551" s="6">
        <f>[1]Emissions!E967</f>
        <v>4.9849607200000001</v>
      </c>
      <c r="G551" s="6">
        <f>[1]Emissions!F967</f>
        <v>5.0481997490000001</v>
      </c>
      <c r="H551" s="6">
        <f>[1]Emissions!G967</f>
        <v>5.1135544050000004</v>
      </c>
      <c r="I551" s="6">
        <f>[1]Emissions!H967</f>
        <v>5.1740427599999999</v>
      </c>
      <c r="J551" s="6">
        <f>[1]Emissions!I967</f>
        <v>5.2270769890000004</v>
      </c>
      <c r="K551" s="6">
        <f>[1]Emissions!J967</f>
        <v>5.2708747889999996</v>
      </c>
      <c r="L551" s="6">
        <f>[1]Emissions!K967</f>
        <v>5.3043757789999999</v>
      </c>
      <c r="M551" s="6">
        <f>[1]Emissions!L967</f>
        <v>5.3273633379999996</v>
      </c>
      <c r="N551" s="6">
        <f>[1]Emissions!M967</f>
        <v>5.3407401439999997</v>
      </c>
      <c r="O551" s="6">
        <f>[1]Emissions!N967</f>
        <v>5.3438024000000004</v>
      </c>
      <c r="P551" s="6">
        <f>[1]Emissions!O967</f>
        <v>5.3330737810000004</v>
      </c>
      <c r="Q551" s="6">
        <f>[1]Emissions!P967</f>
        <v>5.3149804100000004</v>
      </c>
      <c r="R551" s="6">
        <f>[1]Emissions!Q967</f>
        <v>5.2959852859999996</v>
      </c>
      <c r="S551" s="6">
        <f>[1]Emissions!R967</f>
        <v>5.2496043859999997</v>
      </c>
      <c r="T551" s="6">
        <f>[1]Emissions!S967</f>
        <v>5.2071582440000004</v>
      </c>
      <c r="U551" s="6">
        <f>[1]Emissions!T967</f>
        <v>5.1730086960000001</v>
      </c>
      <c r="V551" s="6">
        <f>[1]Emissions!U967</f>
        <v>5.1475063719999996</v>
      </c>
      <c r="W551" s="6">
        <f>[1]Emissions!V967</f>
        <v>5.1303649089999999</v>
      </c>
      <c r="X551" s="6">
        <f>[1]Emissions!W967</f>
        <v>5.1211493089999998</v>
      </c>
      <c r="Y551" s="6">
        <f>[1]Emissions!X967</f>
        <v>5.1196108310000001</v>
      </c>
      <c r="Z551" s="6">
        <f>[1]Emissions!Y967</f>
        <v>5.1254518129999997</v>
      </c>
      <c r="AA551" s="6">
        <f>[1]Emissions!Z967</f>
        <v>5.1382214599999996</v>
      </c>
      <c r="AB551" s="6">
        <f>[1]Emissions!AA967</f>
        <v>5.1575939870000003</v>
      </c>
      <c r="AC551" s="6">
        <f>[1]Emissions!AB967</f>
        <v>5.1833722619999998</v>
      </c>
      <c r="AD551" s="6">
        <f>[1]Emissions!AC967</f>
        <v>5.2156217839999996</v>
      </c>
      <c r="AE551" s="6">
        <f>[1]Emissions!AD967</f>
        <v>5.2542114230000001</v>
      </c>
      <c r="AF551" s="6">
        <f>[1]Emissions!AE967</f>
        <v>5.2984233319999996</v>
      </c>
      <c r="AG551" s="6">
        <f>[1]Emissions!AF967</f>
        <v>5.3472658859999997</v>
      </c>
      <c r="AH551" s="6">
        <f>[1]Emissions!AG967</f>
        <v>5.3998883590000002</v>
      </c>
      <c r="AI551" s="6">
        <f>[1]Emissions!AH967</f>
        <v>5.4556529979999997</v>
      </c>
      <c r="AJ551" s="6">
        <f>[1]Emissions!AI967</f>
        <v>5.5140191280000002</v>
      </c>
      <c r="AK551" s="6">
        <f>[1]Emissions!AJ967</f>
        <v>5.5744817519999996</v>
      </c>
      <c r="AL551" s="6">
        <f>[1]Emissions!AK967</f>
        <v>5.6365398280000001</v>
      </c>
    </row>
    <row r="552" spans="2:38" hidden="1" x14ac:dyDescent="0.35">
      <c r="B552" s="17" t="str">
        <f>[1]Emissions!A968</f>
        <v>ems_ci_co2_sbfu_0</v>
      </c>
      <c r="C552" s="6">
        <f>[1]Emissions!B968</f>
        <v>3.9471017019999999</v>
      </c>
      <c r="D552" s="6">
        <f>[1]Emissions!C968</f>
        <v>4.0484337909999999</v>
      </c>
      <c r="E552" s="6">
        <f>[1]Emissions!D968</f>
        <v>4.1396878639999999</v>
      </c>
      <c r="F552" s="6">
        <f>[1]Emissions!E968</f>
        <v>4.2200013849999998</v>
      </c>
      <c r="G552" s="6">
        <f>[1]Emissions!F968</f>
        <v>4.295861929</v>
      </c>
      <c r="H552" s="6">
        <f>[1]Emissions!G968</f>
        <v>4.3687747630000002</v>
      </c>
      <c r="I552" s="6">
        <f>[1]Emissions!H968</f>
        <v>4.4345397990000004</v>
      </c>
      <c r="J552" s="6">
        <f>[1]Emissions!I968</f>
        <v>4.490681747</v>
      </c>
      <c r="K552" s="6">
        <f>[1]Emissions!J968</f>
        <v>4.5354324760000004</v>
      </c>
      <c r="L552" s="6">
        <f>[1]Emissions!K968</f>
        <v>4.5677876910000004</v>
      </c>
      <c r="M552" s="6">
        <f>[1]Emissions!L968</f>
        <v>4.5876584989999998</v>
      </c>
      <c r="N552" s="6">
        <f>[1]Emissions!M968</f>
        <v>4.5961442300000002</v>
      </c>
      <c r="O552" s="6">
        <f>[1]Emissions!N968</f>
        <v>4.5931266549999998</v>
      </c>
      <c r="P552" s="6">
        <f>[1]Emissions!O968</f>
        <v>4.5761947940000001</v>
      </c>
      <c r="Q552" s="6">
        <f>[1]Emissions!P968</f>
        <v>4.5516757959999996</v>
      </c>
      <c r="R552" s="6">
        <f>[1]Emissions!Q968</f>
        <v>4.5258082440000003</v>
      </c>
      <c r="S552" s="6">
        <f>[1]Emissions!R968</f>
        <v>4.4693017599999996</v>
      </c>
      <c r="T552" s="6">
        <f>[1]Emissions!S968</f>
        <v>4.414757378</v>
      </c>
      <c r="U552" s="6">
        <f>[1]Emissions!T968</f>
        <v>4.3666561860000002</v>
      </c>
      <c r="V552" s="6">
        <f>[1]Emissions!U968</f>
        <v>4.3254792929999999</v>
      </c>
      <c r="W552" s="6">
        <f>[1]Emissions!V968</f>
        <v>4.2909885699999997</v>
      </c>
      <c r="X552" s="6">
        <f>[1]Emissions!W968</f>
        <v>4.2627724320000002</v>
      </c>
      <c r="Y552" s="6">
        <f>[1]Emissions!X968</f>
        <v>4.2404612730000002</v>
      </c>
      <c r="Z552" s="6">
        <f>[1]Emissions!Y968</f>
        <v>4.2236951339999997</v>
      </c>
      <c r="AA552" s="6">
        <f>[1]Emissions!Z968</f>
        <v>4.2120925009999999</v>
      </c>
      <c r="AB552" s="6">
        <f>[1]Emissions!AA968</f>
        <v>4.2053271929999996</v>
      </c>
      <c r="AC552" s="6">
        <f>[1]Emissions!AB968</f>
        <v>4.2031370529999998</v>
      </c>
      <c r="AD552" s="6">
        <f>[1]Emissions!AC968</f>
        <v>4.2053656149999998</v>
      </c>
      <c r="AE552" s="6">
        <f>[1]Emissions!AD968</f>
        <v>4.2118179400000004</v>
      </c>
      <c r="AF552" s="6">
        <f>[1]Emissions!AE968</f>
        <v>4.2221007039999998</v>
      </c>
      <c r="AG552" s="6">
        <f>[1]Emissions!AF968</f>
        <v>4.2357102519999996</v>
      </c>
      <c r="AH552" s="6">
        <f>[1]Emissions!AG968</f>
        <v>4.2521777590000003</v>
      </c>
      <c r="AI552" s="6">
        <f>[1]Emissions!AH968</f>
        <v>4.2711132210000002</v>
      </c>
      <c r="AJ552" s="6">
        <f>[1]Emissions!AI968</f>
        <v>4.2921779740000003</v>
      </c>
      <c r="AK552" s="6">
        <f>[1]Emissions!AJ968</f>
        <v>4.3150633200000001</v>
      </c>
      <c r="AL552" s="6">
        <f>[1]Emissions!AK968</f>
        <v>4.3394777539999998</v>
      </c>
    </row>
    <row r="553" spans="2:38" hidden="1" x14ac:dyDescent="0.35">
      <c r="B553" s="17" t="str">
        <f>[1]Emissions!A969</f>
        <v>ems_y_co2_sbfu_0</v>
      </c>
      <c r="C553" s="6">
        <f>[1]Emissions!B969</f>
        <v>0</v>
      </c>
      <c r="D553" s="6">
        <f>[1]Emissions!C969</f>
        <v>0</v>
      </c>
      <c r="E553" s="6">
        <f>[1]Emissions!D969</f>
        <v>0</v>
      </c>
      <c r="F553" s="6">
        <f>[1]Emissions!E969</f>
        <v>0</v>
      </c>
      <c r="G553" s="6">
        <f>[1]Emissions!F969</f>
        <v>0</v>
      </c>
      <c r="H553" s="6">
        <f>[1]Emissions!G969</f>
        <v>0</v>
      </c>
      <c r="I553" s="6">
        <f>[1]Emissions!H969</f>
        <v>0</v>
      </c>
      <c r="J553" s="6">
        <f>[1]Emissions!I969</f>
        <v>0</v>
      </c>
      <c r="K553" s="6">
        <f>[1]Emissions!J969</f>
        <v>0</v>
      </c>
      <c r="L553" s="6">
        <f>[1]Emissions!K969</f>
        <v>0</v>
      </c>
      <c r="M553" s="6">
        <f>[1]Emissions!L969</f>
        <v>0</v>
      </c>
      <c r="N553" s="6">
        <f>[1]Emissions!M969</f>
        <v>0</v>
      </c>
      <c r="O553" s="6">
        <f>[1]Emissions!N969</f>
        <v>0</v>
      </c>
      <c r="P553" s="6">
        <f>[1]Emissions!O969</f>
        <v>0</v>
      </c>
      <c r="Q553" s="6">
        <f>[1]Emissions!P969</f>
        <v>0</v>
      </c>
      <c r="R553" s="6">
        <f>[1]Emissions!Q969</f>
        <v>0</v>
      </c>
      <c r="S553" s="6">
        <f>[1]Emissions!R969</f>
        <v>0</v>
      </c>
      <c r="T553" s="6">
        <f>[1]Emissions!S969</f>
        <v>0</v>
      </c>
      <c r="U553" s="6">
        <f>[1]Emissions!T969</f>
        <v>0</v>
      </c>
      <c r="V553" s="6">
        <f>[1]Emissions!U969</f>
        <v>0</v>
      </c>
      <c r="W553" s="6">
        <f>[1]Emissions!V969</f>
        <v>0</v>
      </c>
      <c r="X553" s="6">
        <f>[1]Emissions!W969</f>
        <v>0</v>
      </c>
      <c r="Y553" s="6">
        <f>[1]Emissions!X969</f>
        <v>0</v>
      </c>
      <c r="Z553" s="6">
        <f>[1]Emissions!Y969</f>
        <v>0</v>
      </c>
      <c r="AA553" s="6">
        <f>[1]Emissions!Z969</f>
        <v>0</v>
      </c>
      <c r="AB553" s="6">
        <f>[1]Emissions!AA969</f>
        <v>0</v>
      </c>
      <c r="AC553" s="6">
        <f>[1]Emissions!AB969</f>
        <v>0</v>
      </c>
      <c r="AD553" s="6">
        <f>[1]Emissions!AC969</f>
        <v>0</v>
      </c>
      <c r="AE553" s="6">
        <f>[1]Emissions!AD969</f>
        <v>0</v>
      </c>
      <c r="AF553" s="6">
        <f>[1]Emissions!AE969</f>
        <v>0</v>
      </c>
      <c r="AG553" s="6">
        <f>[1]Emissions!AF969</f>
        <v>0</v>
      </c>
      <c r="AH553" s="6">
        <f>[1]Emissions!AG969</f>
        <v>0</v>
      </c>
      <c r="AI553" s="6">
        <f>[1]Emissions!AH969</f>
        <v>0</v>
      </c>
      <c r="AJ553" s="6">
        <f>[1]Emissions!AI969</f>
        <v>0</v>
      </c>
      <c r="AK553" s="6">
        <f>[1]Emissions!AJ969</f>
        <v>0</v>
      </c>
      <c r="AL553" s="6">
        <f>[1]Emissions!AK969</f>
        <v>0</v>
      </c>
    </row>
    <row r="554" spans="2:38" hidden="1" x14ac:dyDescent="0.35">
      <c r="B554" s="17" t="str">
        <f>[1]Emissions!A970</f>
        <v>ems_mat_co2_sbfu_0</v>
      </c>
      <c r="C554" s="6">
        <f>[1]Emissions!B970</f>
        <v>3.2921661719999999</v>
      </c>
      <c r="D554" s="6">
        <f>[1]Emissions!C970</f>
        <v>3.3766844620000001</v>
      </c>
      <c r="E554" s="6">
        <f>[1]Emissions!D970</f>
        <v>3.4527969700000001</v>
      </c>
      <c r="F554" s="6">
        <f>[1]Emissions!E970</f>
        <v>3.51978429</v>
      </c>
      <c r="G554" s="6">
        <f>[1]Emissions!F970</f>
        <v>3.5830574830000002</v>
      </c>
      <c r="H554" s="6">
        <f>[1]Emissions!G970</f>
        <v>3.6438720550000001</v>
      </c>
      <c r="I554" s="6">
        <f>[1]Emissions!H970</f>
        <v>3.6987248259999999</v>
      </c>
      <c r="J554" s="6">
        <f>[1]Emissions!I970</f>
        <v>3.7455512209999999</v>
      </c>
      <c r="K554" s="6">
        <f>[1]Emissions!J970</f>
        <v>3.782876489</v>
      </c>
      <c r="L554" s="6">
        <f>[1]Emissions!K970</f>
        <v>3.8098629769999999</v>
      </c>
      <c r="M554" s="6">
        <f>[1]Emissions!L970</f>
        <v>3.8264365429999998</v>
      </c>
      <c r="N554" s="6">
        <f>[1]Emissions!M970</f>
        <v>3.8335141109999999</v>
      </c>
      <c r="O554" s="6">
        <f>[1]Emissions!N970</f>
        <v>3.8309970760000001</v>
      </c>
      <c r="P554" s="6">
        <f>[1]Emissions!O970</f>
        <v>3.8168745120000001</v>
      </c>
      <c r="Q554" s="6">
        <f>[1]Emissions!P970</f>
        <v>3.796423721</v>
      </c>
      <c r="R554" s="6">
        <f>[1]Emissions!Q970</f>
        <v>3.7748481329999999</v>
      </c>
      <c r="S554" s="6">
        <f>[1]Emissions!R970</f>
        <v>3.727717524</v>
      </c>
      <c r="T554" s="6">
        <f>[1]Emissions!S970</f>
        <v>3.6822234890000001</v>
      </c>
      <c r="U554" s="6">
        <f>[1]Emissions!T970</f>
        <v>3.6421035650000002</v>
      </c>
      <c r="V554" s="6">
        <f>[1]Emissions!U970</f>
        <v>3.607759025</v>
      </c>
      <c r="W554" s="6">
        <f>[1]Emissions!V970</f>
        <v>3.5789912429999999</v>
      </c>
      <c r="X554" s="6">
        <f>[1]Emissions!W970</f>
        <v>3.5554569260000002</v>
      </c>
      <c r="Y554" s="6">
        <f>[1]Emissions!X970</f>
        <v>3.536847791</v>
      </c>
      <c r="Z554" s="6">
        <f>[1]Emissions!Y970</f>
        <v>3.5228636020000001</v>
      </c>
      <c r="AA554" s="6">
        <f>[1]Emissions!Z970</f>
        <v>3.513186149</v>
      </c>
      <c r="AB554" s="6">
        <f>[1]Emissions!AA970</f>
        <v>3.5075433729999999</v>
      </c>
      <c r="AC554" s="6">
        <f>[1]Emissions!AB970</f>
        <v>3.5057166130000001</v>
      </c>
      <c r="AD554" s="6">
        <f>[1]Emissions!AC970</f>
        <v>3.5075753679999999</v>
      </c>
      <c r="AE554" s="6">
        <f>[1]Emissions!AD970</f>
        <v>3.5129570440000002</v>
      </c>
      <c r="AF554" s="6">
        <f>[1]Emissions!AE970</f>
        <v>3.5215335790000002</v>
      </c>
      <c r="AG554" s="6">
        <f>[1]Emissions!AF970</f>
        <v>3.5328848910000001</v>
      </c>
      <c r="AH554" s="6">
        <f>[1]Emissions!AG970</f>
        <v>3.5466199440000001</v>
      </c>
      <c r="AI554" s="6">
        <f>[1]Emissions!AH970</f>
        <v>3.5624134490000001</v>
      </c>
      <c r="AJ554" s="6">
        <f>[1]Emissions!AI970</f>
        <v>3.5799829349999999</v>
      </c>
      <c r="AK554" s="6">
        <f>[1]Emissions!AJ970</f>
        <v>3.599070926</v>
      </c>
      <c r="AL554" s="6">
        <f>[1]Emissions!AK970</f>
        <v>3.6194342860000002</v>
      </c>
    </row>
    <row r="555" spans="2:38" hidden="1" x14ac:dyDescent="0.35">
      <c r="B555" s="17" t="str">
        <f>[1]Emissions!A971</f>
        <v>ems_ci_co2_seoi_0</v>
      </c>
      <c r="C555" s="6">
        <f>[1]Emissions!B971</f>
        <v>1.7975471110000001</v>
      </c>
      <c r="D555" s="6">
        <f>[1]Emissions!C971</f>
        <v>1.817676772</v>
      </c>
      <c r="E555" s="6">
        <f>[1]Emissions!D971</f>
        <v>1.835673702</v>
      </c>
      <c r="F555" s="6">
        <f>[1]Emissions!E971</f>
        <v>1.85580334</v>
      </c>
      <c r="G555" s="6">
        <f>[1]Emissions!F971</f>
        <v>1.8758359979999999</v>
      </c>
      <c r="H555" s="6">
        <f>[1]Emissions!G971</f>
        <v>1.897773771</v>
      </c>
      <c r="I555" s="6">
        <f>[1]Emissions!H971</f>
        <v>1.9237062549999999</v>
      </c>
      <c r="J555" s="6">
        <f>[1]Emissions!I971</f>
        <v>1.953748619</v>
      </c>
      <c r="K555" s="6">
        <f>[1]Emissions!J971</f>
        <v>1.988315748</v>
      </c>
      <c r="L555" s="6">
        <f>[1]Emissions!K971</f>
        <v>2.0279551630000001</v>
      </c>
      <c r="M555" s="6">
        <f>[1]Emissions!L971</f>
        <v>2.0731799299999998</v>
      </c>
      <c r="N555" s="6">
        <f>[1]Emissions!M971</f>
        <v>2.1239985649999999</v>
      </c>
      <c r="O555" s="6">
        <f>[1]Emissions!N971</f>
        <v>2.1792630599999998</v>
      </c>
      <c r="P555" s="6">
        <f>[1]Emissions!O971</f>
        <v>2.236568176</v>
      </c>
      <c r="Q555" s="6">
        <f>[1]Emissions!P971</f>
        <v>2.2951626809999999</v>
      </c>
      <c r="R555" s="6">
        <f>[1]Emissions!Q971</f>
        <v>2.3545692470000001</v>
      </c>
      <c r="S555" s="6">
        <f>[1]Emissions!R971</f>
        <v>2.4136189099999998</v>
      </c>
      <c r="T555" s="6">
        <f>[1]Emissions!S971</f>
        <v>2.4731021050000002</v>
      </c>
      <c r="U555" s="6">
        <f>[1]Emissions!T971</f>
        <v>2.533414595</v>
      </c>
      <c r="V555" s="6">
        <f>[1]Emissions!U971</f>
        <v>2.5946211030000002</v>
      </c>
      <c r="W555" s="6">
        <f>[1]Emissions!V971</f>
        <v>2.6567911149999999</v>
      </c>
      <c r="X555" s="6">
        <f>[1]Emissions!W971</f>
        <v>2.7200068279999998</v>
      </c>
      <c r="Y555" s="6">
        <f>[1]Emissions!X971</f>
        <v>2.7845380199999998</v>
      </c>
      <c r="Z555" s="6">
        <f>[1]Emissions!Y971</f>
        <v>2.8506154430000001</v>
      </c>
      <c r="AA555" s="6">
        <f>[1]Emissions!Z971</f>
        <v>2.9183385350000002</v>
      </c>
      <c r="AB555" s="6">
        <f>[1]Emissions!AA971</f>
        <v>2.9878375789999998</v>
      </c>
      <c r="AC555" s="6">
        <f>[1]Emissions!AB971</f>
        <v>3.0592807390000001</v>
      </c>
      <c r="AD555" s="6">
        <f>[1]Emissions!AC971</f>
        <v>3.1329784389999999</v>
      </c>
      <c r="AE555" s="6">
        <f>[1]Emissions!AD971</f>
        <v>3.2090304540000001</v>
      </c>
      <c r="AF555" s="6">
        <f>[1]Emissions!AE971</f>
        <v>3.2869662609999999</v>
      </c>
      <c r="AG555" s="6">
        <f>[1]Emissions!AF971</f>
        <v>3.3660503949999998</v>
      </c>
      <c r="AH555" s="6">
        <f>[1]Emissions!AG971</f>
        <v>3.4456446249999999</v>
      </c>
      <c r="AI555" s="6">
        <f>[1]Emissions!AH971</f>
        <v>3.525289753</v>
      </c>
      <c r="AJ555" s="6">
        <f>[1]Emissions!AI971</f>
        <v>3.604623658</v>
      </c>
      <c r="AK555" s="6">
        <f>[1]Emissions!AJ971</f>
        <v>3.6833316059999999</v>
      </c>
      <c r="AL555" s="6">
        <f>[1]Emissions!AK971</f>
        <v>3.7611191960000001</v>
      </c>
    </row>
    <row r="556" spans="2:38" hidden="1" x14ac:dyDescent="0.35">
      <c r="B556" s="17" t="str">
        <f>[1]Emissions!A972</f>
        <v>ems_y_co2_seoi_0</v>
      </c>
      <c r="C556" s="6">
        <f>[1]Emissions!B972</f>
        <v>0</v>
      </c>
      <c r="D556" s="6">
        <f>[1]Emissions!C972</f>
        <v>0</v>
      </c>
      <c r="E556" s="6">
        <f>[1]Emissions!D972</f>
        <v>0</v>
      </c>
      <c r="F556" s="6">
        <f>[1]Emissions!E972</f>
        <v>0</v>
      </c>
      <c r="G556" s="6">
        <f>[1]Emissions!F972</f>
        <v>0</v>
      </c>
      <c r="H556" s="6">
        <f>[1]Emissions!G972</f>
        <v>0</v>
      </c>
      <c r="I556" s="6">
        <f>[1]Emissions!H972</f>
        <v>0</v>
      </c>
      <c r="J556" s="6">
        <f>[1]Emissions!I972</f>
        <v>0</v>
      </c>
      <c r="K556" s="6">
        <f>[1]Emissions!J972</f>
        <v>0</v>
      </c>
      <c r="L556" s="6">
        <f>[1]Emissions!K972</f>
        <v>0</v>
      </c>
      <c r="M556" s="6">
        <f>[1]Emissions!L972</f>
        <v>0</v>
      </c>
      <c r="N556" s="6">
        <f>[1]Emissions!M972</f>
        <v>0</v>
      </c>
      <c r="O556" s="6">
        <f>[1]Emissions!N972</f>
        <v>0</v>
      </c>
      <c r="P556" s="6">
        <f>[1]Emissions!O972</f>
        <v>0</v>
      </c>
      <c r="Q556" s="6">
        <f>[1]Emissions!P972</f>
        <v>0</v>
      </c>
      <c r="R556" s="6">
        <f>[1]Emissions!Q972</f>
        <v>0</v>
      </c>
      <c r="S556" s="6">
        <f>[1]Emissions!R972</f>
        <v>0</v>
      </c>
      <c r="T556" s="6">
        <f>[1]Emissions!S972</f>
        <v>0</v>
      </c>
      <c r="U556" s="6">
        <f>[1]Emissions!T972</f>
        <v>0</v>
      </c>
      <c r="V556" s="6">
        <f>[1]Emissions!U972</f>
        <v>0</v>
      </c>
      <c r="W556" s="6">
        <f>[1]Emissions!V972</f>
        <v>0</v>
      </c>
      <c r="X556" s="6">
        <f>[1]Emissions!W972</f>
        <v>0</v>
      </c>
      <c r="Y556" s="6">
        <f>[1]Emissions!X972</f>
        <v>0</v>
      </c>
      <c r="Z556" s="6">
        <f>[1]Emissions!Y972</f>
        <v>0</v>
      </c>
      <c r="AA556" s="6">
        <f>[1]Emissions!Z972</f>
        <v>0</v>
      </c>
      <c r="AB556" s="6">
        <f>[1]Emissions!AA972</f>
        <v>0</v>
      </c>
      <c r="AC556" s="6">
        <f>[1]Emissions!AB972</f>
        <v>0</v>
      </c>
      <c r="AD556" s="6">
        <f>[1]Emissions!AC972</f>
        <v>0</v>
      </c>
      <c r="AE556" s="6">
        <f>[1]Emissions!AD972</f>
        <v>0</v>
      </c>
      <c r="AF556" s="6">
        <f>[1]Emissions!AE972</f>
        <v>0</v>
      </c>
      <c r="AG556" s="6">
        <f>[1]Emissions!AF972</f>
        <v>0</v>
      </c>
      <c r="AH556" s="6">
        <f>[1]Emissions!AG972</f>
        <v>0</v>
      </c>
      <c r="AI556" s="6">
        <f>[1]Emissions!AH972</f>
        <v>0</v>
      </c>
      <c r="AJ556" s="6">
        <f>[1]Emissions!AI972</f>
        <v>0</v>
      </c>
      <c r="AK556" s="6">
        <f>[1]Emissions!AJ972</f>
        <v>0</v>
      </c>
      <c r="AL556" s="6">
        <f>[1]Emissions!AK972</f>
        <v>0</v>
      </c>
    </row>
    <row r="557" spans="2:38" hidden="1" x14ac:dyDescent="0.35">
      <c r="B557" s="17" t="str">
        <f>[1]Emissions!A973</f>
        <v>ems_mat_co2_seoi_0</v>
      </c>
      <c r="C557" s="6">
        <f>[1]Emissions!B973</f>
        <v>0.1231988455</v>
      </c>
      <c r="D557" s="6">
        <f>[1]Emissions!C973</f>
        <v>0.1245784761</v>
      </c>
      <c r="E557" s="6">
        <f>[1]Emissions!D973</f>
        <v>0.12581193530000001</v>
      </c>
      <c r="F557" s="6">
        <f>[1]Emissions!E973</f>
        <v>0.1271915643</v>
      </c>
      <c r="G557" s="6">
        <f>[1]Emissions!F973</f>
        <v>0.12856454649999999</v>
      </c>
      <c r="H557" s="6">
        <f>[1]Emissions!G973</f>
        <v>0.1300681001</v>
      </c>
      <c r="I557" s="6">
        <f>[1]Emissions!H973</f>
        <v>0.1318454399</v>
      </c>
      <c r="J557" s="6">
        <f>[1]Emissions!I973</f>
        <v>0.13390445940000001</v>
      </c>
      <c r="K557" s="6">
        <f>[1]Emissions!J973</f>
        <v>0.13627359359999999</v>
      </c>
      <c r="L557" s="6">
        <f>[1]Emissions!K973</f>
        <v>0.138990368</v>
      </c>
      <c r="M557" s="6">
        <f>[1]Emissions!L973</f>
        <v>0.1420899467</v>
      </c>
      <c r="N557" s="6">
        <f>[1]Emissions!M973</f>
        <v>0.14557291350000001</v>
      </c>
      <c r="O557" s="6">
        <f>[1]Emissions!N973</f>
        <v>0.1493605871</v>
      </c>
      <c r="P557" s="6">
        <f>[1]Emissions!O973</f>
        <v>0.153288119</v>
      </c>
      <c r="Q557" s="6">
        <f>[1]Emissions!P973</f>
        <v>0.1573040221</v>
      </c>
      <c r="R557" s="6">
        <f>[1]Emissions!Q973</f>
        <v>0.1613755815</v>
      </c>
      <c r="S557" s="6">
        <f>[1]Emissions!R973</f>
        <v>0.1654226798</v>
      </c>
      <c r="T557" s="6">
        <f>[1]Emissions!S973</f>
        <v>0.1694994913</v>
      </c>
      <c r="U557" s="6">
        <f>[1]Emissions!T973</f>
        <v>0.17363314029999999</v>
      </c>
      <c r="V557" s="6">
        <f>[1]Emissions!U973</f>
        <v>0.17782806279999999</v>
      </c>
      <c r="W557" s="6">
        <f>[1]Emissions!V973</f>
        <v>0.18208902120000001</v>
      </c>
      <c r="X557" s="6">
        <f>[1]Emissions!W973</f>
        <v>0.18642164899999999</v>
      </c>
      <c r="Y557" s="6">
        <f>[1]Emissions!X973</f>
        <v>0.19084443619999999</v>
      </c>
      <c r="Z557" s="6">
        <f>[1]Emissions!Y973</f>
        <v>0.19537319759999999</v>
      </c>
      <c r="AA557" s="6">
        <f>[1]Emissions!Z973</f>
        <v>0.20001474850000001</v>
      </c>
      <c r="AB557" s="6">
        <f>[1]Emissions!AA973</f>
        <v>0.2047780183</v>
      </c>
      <c r="AC557" s="6">
        <f>[1]Emissions!AB973</f>
        <v>0.20967453229999999</v>
      </c>
      <c r="AD557" s="6">
        <f>[1]Emissions!AC973</f>
        <v>0.2147255662</v>
      </c>
      <c r="AE557" s="6">
        <f>[1]Emissions!AD973</f>
        <v>0.21993795820000001</v>
      </c>
      <c r="AF557" s="6">
        <f>[1]Emissions!AE973</f>
        <v>0.22527945999999999</v>
      </c>
      <c r="AG557" s="6">
        <f>[1]Emissions!AF973</f>
        <v>0.230699665</v>
      </c>
      <c r="AH557" s="6">
        <f>[1]Emissions!AG973</f>
        <v>0.2361548305</v>
      </c>
      <c r="AI557" s="6">
        <f>[1]Emissions!AH973</f>
        <v>0.24161348439999999</v>
      </c>
      <c r="AJ557" s="6">
        <f>[1]Emissions!AI973</f>
        <v>0.24705080800000001</v>
      </c>
      <c r="AK557" s="6">
        <f>[1]Emissions!AJ973</f>
        <v>0.25244523019999998</v>
      </c>
      <c r="AL557" s="6">
        <f>[1]Emissions!AK973</f>
        <v>0.25777657370000001</v>
      </c>
    </row>
    <row r="558" spans="2:38" hidden="1" x14ac:dyDescent="0.35">
      <c r="B558" s="17" t="str">
        <f>[1]Emissions!A974</f>
        <v>ems_ci_co2_sega_0</v>
      </c>
      <c r="C558" s="6">
        <f>[1]Emissions!B974</f>
        <v>4.5543633970000004</v>
      </c>
      <c r="D558" s="6">
        <f>[1]Emissions!C974</f>
        <v>4.6053649979999998</v>
      </c>
      <c r="E558" s="6">
        <f>[1]Emissions!D974</f>
        <v>4.6509629930000003</v>
      </c>
      <c r="F558" s="6">
        <f>[1]Emissions!E974</f>
        <v>4.7019645319999999</v>
      </c>
      <c r="G558" s="6">
        <f>[1]Emissions!F974</f>
        <v>4.7527203570000003</v>
      </c>
      <c r="H558" s="6">
        <f>[1]Emissions!G974</f>
        <v>4.808303091</v>
      </c>
      <c r="I558" s="6">
        <f>[1]Emissions!H974</f>
        <v>4.8740070370000002</v>
      </c>
      <c r="J558" s="6">
        <f>[1]Emissions!I974</f>
        <v>4.9501239970000004</v>
      </c>
      <c r="K558" s="6">
        <f>[1]Emissions!J974</f>
        <v>5.0377051479999997</v>
      </c>
      <c r="L558" s="6">
        <f>[1]Emissions!K974</f>
        <v>5.1381377129999999</v>
      </c>
      <c r="M558" s="6">
        <f>[1]Emissions!L974</f>
        <v>5.2527216320000001</v>
      </c>
      <c r="N558" s="6">
        <f>[1]Emissions!M974</f>
        <v>5.3814784790000001</v>
      </c>
      <c r="O558" s="6">
        <f>[1]Emissions!N974</f>
        <v>5.5214995990000002</v>
      </c>
      <c r="P558" s="6">
        <f>[1]Emissions!O974</f>
        <v>5.6666909429999999</v>
      </c>
      <c r="Q558" s="6">
        <f>[1]Emissions!P974</f>
        <v>5.8151491540000002</v>
      </c>
      <c r="R558" s="6">
        <f>[1]Emissions!Q974</f>
        <v>5.9656648480000003</v>
      </c>
      <c r="S558" s="6">
        <f>[1]Emissions!R974</f>
        <v>6.1152762740000002</v>
      </c>
      <c r="T558" s="6">
        <f>[1]Emissions!S974</f>
        <v>6.2659861259999996</v>
      </c>
      <c r="U558" s="6">
        <f>[1]Emissions!T974</f>
        <v>6.4187971250000002</v>
      </c>
      <c r="V558" s="6">
        <f>[1]Emissions!U974</f>
        <v>6.573873259</v>
      </c>
      <c r="W558" s="6">
        <f>[1]Emissions!V974</f>
        <v>6.7313905810000003</v>
      </c>
      <c r="X558" s="6">
        <f>[1]Emissions!W974</f>
        <v>6.891557347</v>
      </c>
      <c r="Y558" s="6">
        <f>[1]Emissions!X974</f>
        <v>7.0550570859999997</v>
      </c>
      <c r="Z558" s="6">
        <f>[1]Emissions!Y974</f>
        <v>7.2224744379999999</v>
      </c>
      <c r="AA558" s="6">
        <f>[1]Emissions!Z974</f>
        <v>7.394061346</v>
      </c>
      <c r="AB558" s="6">
        <f>[1]Emissions!AA974</f>
        <v>7.5701479049999998</v>
      </c>
      <c r="AC558" s="6">
        <f>[1]Emissions!AB974</f>
        <v>7.7511601790000002</v>
      </c>
      <c r="AD558" s="6">
        <f>[1]Emissions!AC974</f>
        <v>7.9378846809999999</v>
      </c>
      <c r="AE558" s="6">
        <f>[1]Emissions!AD974</f>
        <v>8.1305742030000001</v>
      </c>
      <c r="AF558" s="6">
        <f>[1]Emissions!AE974</f>
        <v>8.3280366019999992</v>
      </c>
      <c r="AG558" s="6">
        <f>[1]Emissions!AF974</f>
        <v>8.528408465</v>
      </c>
      <c r="AH558" s="6">
        <f>[1]Emissions!AG974</f>
        <v>8.7300727350000003</v>
      </c>
      <c r="AI558" s="6">
        <f>[1]Emissions!AH974</f>
        <v>8.931865964</v>
      </c>
      <c r="AJ558" s="6">
        <f>[1]Emissions!AI974</f>
        <v>9.1328706589999999</v>
      </c>
      <c r="AK558" s="6">
        <f>[1]Emissions!AJ974</f>
        <v>9.3322893960000002</v>
      </c>
      <c r="AL558" s="6">
        <f>[1]Emissions!AK974</f>
        <v>9.5293762649999998</v>
      </c>
    </row>
    <row r="559" spans="2:38" hidden="1" x14ac:dyDescent="0.35">
      <c r="B559" s="17" t="str">
        <f>[1]Emissions!A975</f>
        <v>ems_y_co2_sega_0</v>
      </c>
      <c r="C559" s="6">
        <f>[1]Emissions!B975</f>
        <v>0</v>
      </c>
      <c r="D559" s="6">
        <f>[1]Emissions!C975</f>
        <v>0</v>
      </c>
      <c r="E559" s="6">
        <f>[1]Emissions!D975</f>
        <v>0</v>
      </c>
      <c r="F559" s="6">
        <f>[1]Emissions!E975</f>
        <v>0</v>
      </c>
      <c r="G559" s="6">
        <f>[1]Emissions!F975</f>
        <v>0</v>
      </c>
      <c r="H559" s="6">
        <f>[1]Emissions!G975</f>
        <v>0</v>
      </c>
      <c r="I559" s="6">
        <f>[1]Emissions!H975</f>
        <v>0</v>
      </c>
      <c r="J559" s="6">
        <f>[1]Emissions!I975</f>
        <v>0</v>
      </c>
      <c r="K559" s="6">
        <f>[1]Emissions!J975</f>
        <v>0</v>
      </c>
      <c r="L559" s="6">
        <f>[1]Emissions!K975</f>
        <v>0</v>
      </c>
      <c r="M559" s="6">
        <f>[1]Emissions!L975</f>
        <v>0</v>
      </c>
      <c r="N559" s="6">
        <f>[1]Emissions!M975</f>
        <v>0</v>
      </c>
      <c r="O559" s="6">
        <f>[1]Emissions!N975</f>
        <v>0</v>
      </c>
      <c r="P559" s="6">
        <f>[1]Emissions!O975</f>
        <v>0</v>
      </c>
      <c r="Q559" s="6">
        <f>[1]Emissions!P975</f>
        <v>0</v>
      </c>
      <c r="R559" s="6">
        <f>[1]Emissions!Q975</f>
        <v>0</v>
      </c>
      <c r="S559" s="6">
        <f>[1]Emissions!R975</f>
        <v>0</v>
      </c>
      <c r="T559" s="6">
        <f>[1]Emissions!S975</f>
        <v>0</v>
      </c>
      <c r="U559" s="6">
        <f>[1]Emissions!T975</f>
        <v>0</v>
      </c>
      <c r="V559" s="6">
        <f>[1]Emissions!U975</f>
        <v>0</v>
      </c>
      <c r="W559" s="6">
        <f>[1]Emissions!V975</f>
        <v>0</v>
      </c>
      <c r="X559" s="6">
        <f>[1]Emissions!W975</f>
        <v>0</v>
      </c>
      <c r="Y559" s="6">
        <f>[1]Emissions!X975</f>
        <v>0</v>
      </c>
      <c r="Z559" s="6">
        <f>[1]Emissions!Y975</f>
        <v>0</v>
      </c>
      <c r="AA559" s="6">
        <f>[1]Emissions!Z975</f>
        <v>0</v>
      </c>
      <c r="AB559" s="6">
        <f>[1]Emissions!AA975</f>
        <v>0</v>
      </c>
      <c r="AC559" s="6">
        <f>[1]Emissions!AB975</f>
        <v>0</v>
      </c>
      <c r="AD559" s="6">
        <f>[1]Emissions!AC975</f>
        <v>0</v>
      </c>
      <c r="AE559" s="6">
        <f>[1]Emissions!AD975</f>
        <v>0</v>
      </c>
      <c r="AF559" s="6">
        <f>[1]Emissions!AE975</f>
        <v>0</v>
      </c>
      <c r="AG559" s="6">
        <f>[1]Emissions!AF975</f>
        <v>0</v>
      </c>
      <c r="AH559" s="6">
        <f>[1]Emissions!AG975</f>
        <v>0</v>
      </c>
      <c r="AI559" s="6">
        <f>[1]Emissions!AH975</f>
        <v>0</v>
      </c>
      <c r="AJ559" s="6">
        <f>[1]Emissions!AI975</f>
        <v>0</v>
      </c>
      <c r="AK559" s="6">
        <f>[1]Emissions!AJ975</f>
        <v>0</v>
      </c>
      <c r="AL559" s="6">
        <f>[1]Emissions!AK975</f>
        <v>0</v>
      </c>
    </row>
    <row r="560" spans="2:38" hidden="1" x14ac:dyDescent="0.35">
      <c r="B560" s="17" t="str">
        <f>[1]Emissions!A976</f>
        <v>ems_mat_co2_sega_0</v>
      </c>
      <c r="C560" s="6">
        <f>[1]Emissions!B976</f>
        <v>0.31214331439999998</v>
      </c>
      <c r="D560" s="6">
        <f>[1]Emissions!C976</f>
        <v>0.31563882170000002</v>
      </c>
      <c r="E560" s="6">
        <f>[1]Emissions!D976</f>
        <v>0.31876398109999998</v>
      </c>
      <c r="F560" s="6">
        <f>[1]Emissions!E976</f>
        <v>0.32225948450000003</v>
      </c>
      <c r="G560" s="6">
        <f>[1]Emissions!F976</f>
        <v>0.32573814719999999</v>
      </c>
      <c r="H560" s="6">
        <f>[1]Emissions!G976</f>
        <v>0.32954763250000002</v>
      </c>
      <c r="I560" s="6">
        <f>[1]Emissions!H976</f>
        <v>0.3340507976</v>
      </c>
      <c r="J560" s="6">
        <f>[1]Emissions!I976</f>
        <v>0.3392676416</v>
      </c>
      <c r="K560" s="6">
        <f>[1]Emissions!J976</f>
        <v>0.34527020930000002</v>
      </c>
      <c r="L560" s="6">
        <f>[1]Emissions!K976</f>
        <v>0.35215357689999999</v>
      </c>
      <c r="M560" s="6">
        <f>[1]Emissions!L976</f>
        <v>0.36000683880000001</v>
      </c>
      <c r="N560" s="6">
        <f>[1]Emissions!M976</f>
        <v>0.3688314734</v>
      </c>
      <c r="O560" s="6">
        <f>[1]Emissions!N976</f>
        <v>0.37842812980000001</v>
      </c>
      <c r="P560" s="6">
        <f>[1]Emissions!O976</f>
        <v>0.38837913889999998</v>
      </c>
      <c r="Q560" s="6">
        <f>[1]Emissions!P976</f>
        <v>0.39855404989999998</v>
      </c>
      <c r="R560" s="6">
        <f>[1]Emissions!Q976</f>
        <v>0.408869975</v>
      </c>
      <c r="S560" s="6">
        <f>[1]Emissions!R976</f>
        <v>0.41912392389999997</v>
      </c>
      <c r="T560" s="6">
        <f>[1]Emissions!S976</f>
        <v>0.42945315579999999</v>
      </c>
      <c r="U560" s="6">
        <f>[1]Emissions!T976</f>
        <v>0.43992639439999998</v>
      </c>
      <c r="V560" s="6">
        <f>[1]Emissions!U976</f>
        <v>0.4505548788</v>
      </c>
      <c r="W560" s="6">
        <f>[1]Emissions!V976</f>
        <v>0.46135067549999997</v>
      </c>
      <c r="X560" s="6">
        <f>[1]Emissions!W976</f>
        <v>0.47232805760000002</v>
      </c>
      <c r="Y560" s="6">
        <f>[1]Emissions!X976</f>
        <v>0.4835338723</v>
      </c>
      <c r="Z560" s="6">
        <f>[1]Emissions!Y976</f>
        <v>0.4950081892</v>
      </c>
      <c r="AA560" s="6">
        <f>[1]Emissions!Z976</f>
        <v>0.50676827579999995</v>
      </c>
      <c r="AB560" s="6">
        <f>[1]Emissions!AA976</f>
        <v>0.5188367559</v>
      </c>
      <c r="AC560" s="6">
        <f>[1]Emissions!AB976</f>
        <v>0.53124283080000001</v>
      </c>
      <c r="AD560" s="6">
        <f>[1]Emissions!AC976</f>
        <v>0.54404040570000001</v>
      </c>
      <c r="AE560" s="6">
        <f>[1]Emissions!AD976</f>
        <v>0.55724680640000002</v>
      </c>
      <c r="AF560" s="6">
        <f>[1]Emissions!AE976</f>
        <v>0.57078032680000002</v>
      </c>
      <c r="AG560" s="6">
        <f>[1]Emissions!AF976</f>
        <v>0.58451325379999997</v>
      </c>
      <c r="AH560" s="6">
        <f>[1]Emissions!AG976</f>
        <v>0.59833475859999996</v>
      </c>
      <c r="AI560" s="6">
        <f>[1]Emissions!AH976</f>
        <v>0.61216510199999996</v>
      </c>
      <c r="AJ560" s="6">
        <f>[1]Emissions!AI976</f>
        <v>0.62594140139999999</v>
      </c>
      <c r="AK560" s="6">
        <f>[1]Emissions!AJ976</f>
        <v>0.63960900379999996</v>
      </c>
      <c r="AL560" s="6">
        <f>[1]Emissions!AK976</f>
        <v>0.65311678650000005</v>
      </c>
    </row>
    <row r="561" spans="1:38" hidden="1" x14ac:dyDescent="0.35">
      <c r="B561" s="17" t="str">
        <f>[1]Emissions!A977</f>
        <v>ems_ci_co2_seco_0</v>
      </c>
      <c r="C561" s="6">
        <f>[1]Emissions!B977</f>
        <v>4.5430306859999998</v>
      </c>
      <c r="D561" s="6">
        <f>[1]Emissions!C977</f>
        <v>4.5939053220000003</v>
      </c>
      <c r="E561" s="6">
        <f>[1]Emissions!D977</f>
        <v>4.6393897910000002</v>
      </c>
      <c r="F561" s="6">
        <f>[1]Emissions!E977</f>
        <v>4.690264344</v>
      </c>
      <c r="G561" s="6">
        <f>[1]Emissions!F977</f>
        <v>4.7408938159999998</v>
      </c>
      <c r="H561" s="6">
        <f>[1]Emissions!G977</f>
        <v>4.796338199</v>
      </c>
      <c r="I561" s="6">
        <f>[1]Emissions!H977</f>
        <v>4.8618786160000003</v>
      </c>
      <c r="J561" s="6">
        <f>[1]Emissions!I977</f>
        <v>4.9378061430000004</v>
      </c>
      <c r="K561" s="6">
        <f>[1]Emissions!J977</f>
        <v>5.0251693409999998</v>
      </c>
      <c r="L561" s="6">
        <f>[1]Emissions!K977</f>
        <v>5.1253519780000003</v>
      </c>
      <c r="M561" s="6">
        <f>[1]Emissions!L977</f>
        <v>5.2396507579999998</v>
      </c>
      <c r="N561" s="6">
        <f>[1]Emissions!M977</f>
        <v>5.3680871999999997</v>
      </c>
      <c r="O561" s="6">
        <f>[1]Emissions!N977</f>
        <v>5.5077598859999997</v>
      </c>
      <c r="P561" s="6">
        <f>[1]Emissions!O977</f>
        <v>5.6525899319999997</v>
      </c>
      <c r="Q561" s="6">
        <f>[1]Emissions!P977</f>
        <v>5.8006787160000002</v>
      </c>
      <c r="R561" s="6">
        <f>[1]Emissions!Q977</f>
        <v>5.9508198630000004</v>
      </c>
      <c r="S561" s="6">
        <f>[1]Emissions!R977</f>
        <v>6.1000590020000001</v>
      </c>
      <c r="T561" s="6">
        <f>[1]Emissions!S977</f>
        <v>6.2503938379999999</v>
      </c>
      <c r="U561" s="6">
        <f>[1]Emissions!T977</f>
        <v>6.4028245940000001</v>
      </c>
      <c r="V561" s="6">
        <f>[1]Emissions!U977</f>
        <v>6.5575148490000004</v>
      </c>
      <c r="W561" s="6">
        <f>[1]Emissions!V977</f>
        <v>6.7146402180000004</v>
      </c>
      <c r="X561" s="6">
        <f>[1]Emissions!W977</f>
        <v>6.8744084389999998</v>
      </c>
      <c r="Y561" s="6">
        <f>[1]Emissions!X977</f>
        <v>7.0375013400000004</v>
      </c>
      <c r="Z561" s="6">
        <f>[1]Emissions!Y977</f>
        <v>7.2045021059999996</v>
      </c>
      <c r="AA561" s="6">
        <f>[1]Emissions!Z977</f>
        <v>7.3756620530000001</v>
      </c>
      <c r="AB561" s="6">
        <f>[1]Emissions!AA977</f>
        <v>7.5513104569999996</v>
      </c>
      <c r="AC561" s="6">
        <f>[1]Emissions!AB977</f>
        <v>7.7318723199999999</v>
      </c>
      <c r="AD561" s="6">
        <f>[1]Emissions!AC977</f>
        <v>7.9181321980000003</v>
      </c>
      <c r="AE561" s="6">
        <f>[1]Emissions!AD977</f>
        <v>8.1103422540000008</v>
      </c>
      <c r="AF561" s="6">
        <f>[1]Emissions!AE977</f>
        <v>8.3073133119999998</v>
      </c>
      <c r="AG561" s="6">
        <f>[1]Emissions!AF977</f>
        <v>8.5071865970000005</v>
      </c>
      <c r="AH561" s="6">
        <f>[1]Emissions!AG977</f>
        <v>8.7083490739999991</v>
      </c>
      <c r="AI561" s="6">
        <f>[1]Emissions!AH977</f>
        <v>8.9096401909999994</v>
      </c>
      <c r="AJ561" s="6">
        <f>[1]Emissions!AI977</f>
        <v>9.1101447380000007</v>
      </c>
      <c r="AK561" s="6">
        <f>[1]Emissions!AJ977</f>
        <v>9.3090672750000003</v>
      </c>
      <c r="AL561" s="6">
        <f>[1]Emissions!AK977</f>
        <v>9.505663749</v>
      </c>
    </row>
    <row r="562" spans="1:38" hidden="1" x14ac:dyDescent="0.35">
      <c r="B562" s="17" t="str">
        <f>[1]Emissions!A978</f>
        <v>ems_y_co2_seco_0</v>
      </c>
      <c r="C562" s="6">
        <f>[1]Emissions!B978</f>
        <v>0</v>
      </c>
      <c r="D562" s="6">
        <f>[1]Emissions!C978</f>
        <v>0</v>
      </c>
      <c r="E562" s="6">
        <f>[1]Emissions!D978</f>
        <v>0</v>
      </c>
      <c r="F562" s="6">
        <f>[1]Emissions!E978</f>
        <v>0</v>
      </c>
      <c r="G562" s="6">
        <f>[1]Emissions!F978</f>
        <v>0</v>
      </c>
      <c r="H562" s="6">
        <f>[1]Emissions!G978</f>
        <v>0</v>
      </c>
      <c r="I562" s="6">
        <f>[1]Emissions!H978</f>
        <v>0</v>
      </c>
      <c r="J562" s="6">
        <f>[1]Emissions!I978</f>
        <v>0</v>
      </c>
      <c r="K562" s="6">
        <f>[1]Emissions!J978</f>
        <v>0</v>
      </c>
      <c r="L562" s="6">
        <f>[1]Emissions!K978</f>
        <v>0</v>
      </c>
      <c r="M562" s="6">
        <f>[1]Emissions!L978</f>
        <v>0</v>
      </c>
      <c r="N562" s="6">
        <f>[1]Emissions!M978</f>
        <v>0</v>
      </c>
      <c r="O562" s="6">
        <f>[1]Emissions!N978</f>
        <v>0</v>
      </c>
      <c r="P562" s="6">
        <f>[1]Emissions!O978</f>
        <v>0</v>
      </c>
      <c r="Q562" s="6">
        <f>[1]Emissions!P978</f>
        <v>0</v>
      </c>
      <c r="R562" s="6">
        <f>[1]Emissions!Q978</f>
        <v>0</v>
      </c>
      <c r="S562" s="6">
        <f>[1]Emissions!R978</f>
        <v>0</v>
      </c>
      <c r="T562" s="6">
        <f>[1]Emissions!S978</f>
        <v>0</v>
      </c>
      <c r="U562" s="6">
        <f>[1]Emissions!T978</f>
        <v>0</v>
      </c>
      <c r="V562" s="6">
        <f>[1]Emissions!U978</f>
        <v>0</v>
      </c>
      <c r="W562" s="6">
        <f>[1]Emissions!V978</f>
        <v>0</v>
      </c>
      <c r="X562" s="6">
        <f>[1]Emissions!W978</f>
        <v>0</v>
      </c>
      <c r="Y562" s="6">
        <f>[1]Emissions!X978</f>
        <v>0</v>
      </c>
      <c r="Z562" s="6">
        <f>[1]Emissions!Y978</f>
        <v>0</v>
      </c>
      <c r="AA562" s="6">
        <f>[1]Emissions!Z978</f>
        <v>0</v>
      </c>
      <c r="AB562" s="6">
        <f>[1]Emissions!AA978</f>
        <v>0</v>
      </c>
      <c r="AC562" s="6">
        <f>[1]Emissions!AB978</f>
        <v>0</v>
      </c>
      <c r="AD562" s="6">
        <f>[1]Emissions!AC978</f>
        <v>0</v>
      </c>
      <c r="AE562" s="6">
        <f>[1]Emissions!AD978</f>
        <v>0</v>
      </c>
      <c r="AF562" s="6">
        <f>[1]Emissions!AE978</f>
        <v>0</v>
      </c>
      <c r="AG562" s="6">
        <f>[1]Emissions!AF978</f>
        <v>0</v>
      </c>
      <c r="AH562" s="6">
        <f>[1]Emissions!AG978</f>
        <v>0</v>
      </c>
      <c r="AI562" s="6">
        <f>[1]Emissions!AH978</f>
        <v>0</v>
      </c>
      <c r="AJ562" s="6">
        <f>[1]Emissions!AI978</f>
        <v>0</v>
      </c>
      <c r="AK562" s="6">
        <f>[1]Emissions!AJ978</f>
        <v>0</v>
      </c>
      <c r="AL562" s="6">
        <f>[1]Emissions!AK978</f>
        <v>0</v>
      </c>
    </row>
    <row r="563" spans="1:38" hidden="1" x14ac:dyDescent="0.35">
      <c r="B563" s="17" t="str">
        <f>[1]Emissions!A979</f>
        <v>ems_mat_co2_seco_0</v>
      </c>
      <c r="C563" s="6">
        <f>[1]Emissions!B979</f>
        <v>0.31136660529999999</v>
      </c>
      <c r="D563" s="6">
        <f>[1]Emissions!C979</f>
        <v>0.31485341480000001</v>
      </c>
      <c r="E563" s="6">
        <f>[1]Emissions!D979</f>
        <v>0.31797079779999998</v>
      </c>
      <c r="F563" s="6">
        <f>[1]Emissions!E979</f>
        <v>0.32145760330000001</v>
      </c>
      <c r="G563" s="6">
        <f>[1]Emissions!F979</f>
        <v>0.32492760999999998</v>
      </c>
      <c r="H563" s="6">
        <f>[1]Emissions!G979</f>
        <v>0.32872761620000002</v>
      </c>
      <c r="I563" s="6">
        <f>[1]Emissions!H979</f>
        <v>0.33321957600000002</v>
      </c>
      <c r="J563" s="6">
        <f>[1]Emissions!I979</f>
        <v>0.33842343889999998</v>
      </c>
      <c r="K563" s="6">
        <f>[1]Emissions!J979</f>
        <v>0.34441107030000001</v>
      </c>
      <c r="L563" s="6">
        <f>[1]Emissions!K979</f>
        <v>0.35127731000000001</v>
      </c>
      <c r="M563" s="6">
        <f>[1]Emissions!L979</f>
        <v>0.35911103049999998</v>
      </c>
      <c r="N563" s="6">
        <f>[1]Emissions!M979</f>
        <v>0.36791370670000001</v>
      </c>
      <c r="O563" s="6">
        <f>[1]Emissions!N979</f>
        <v>0.37748648369999999</v>
      </c>
      <c r="P563" s="6">
        <f>[1]Emissions!O979</f>
        <v>0.3874127316</v>
      </c>
      <c r="Q563" s="6">
        <f>[1]Emissions!P979</f>
        <v>0.39756232419999998</v>
      </c>
      <c r="R563" s="6">
        <f>[1]Emissions!Q979</f>
        <v>0.40785258009999997</v>
      </c>
      <c r="S563" s="6">
        <f>[1]Emissions!R979</f>
        <v>0.41808101409999998</v>
      </c>
      <c r="T563" s="6">
        <f>[1]Emissions!S979</f>
        <v>0.4283845436</v>
      </c>
      <c r="U563" s="6">
        <f>[1]Emissions!T979</f>
        <v>0.4388317216</v>
      </c>
      <c r="V563" s="6">
        <f>[1]Emissions!U979</f>
        <v>0.44943375899999999</v>
      </c>
      <c r="W563" s="6">
        <f>[1]Emissions!V979</f>
        <v>0.46020269250000001</v>
      </c>
      <c r="X563" s="6">
        <f>[1]Emissions!W979</f>
        <v>0.47115275940000001</v>
      </c>
      <c r="Y563" s="6">
        <f>[1]Emissions!X979</f>
        <v>0.4823306906</v>
      </c>
      <c r="Z563" s="6">
        <f>[1]Emissions!Y979</f>
        <v>0.49377645590000002</v>
      </c>
      <c r="AA563" s="6">
        <f>[1]Emissions!Z979</f>
        <v>0.50550727979999999</v>
      </c>
      <c r="AB563" s="6">
        <f>[1]Emissions!AA979</f>
        <v>0.51754572970000001</v>
      </c>
      <c r="AC563" s="6">
        <f>[1]Emissions!AB979</f>
        <v>0.5299209345</v>
      </c>
      <c r="AD563" s="6">
        <f>[1]Emissions!AC979</f>
        <v>0.54268666509999997</v>
      </c>
      <c r="AE563" s="6">
        <f>[1]Emissions!AD979</f>
        <v>0.55586020420000004</v>
      </c>
      <c r="AF563" s="6">
        <f>[1]Emissions!AE979</f>
        <v>0.56936004900000003</v>
      </c>
      <c r="AG563" s="6">
        <f>[1]Emissions!AF979</f>
        <v>0.5830588042</v>
      </c>
      <c r="AH563" s="6">
        <f>[1]Emissions!AG979</f>
        <v>0.59684591679999999</v>
      </c>
      <c r="AI563" s="6">
        <f>[1]Emissions!AH979</f>
        <v>0.61064184600000004</v>
      </c>
      <c r="AJ563" s="6">
        <f>[1]Emissions!AI979</f>
        <v>0.62438386580000005</v>
      </c>
      <c r="AK563" s="6">
        <f>[1]Emissions!AJ979</f>
        <v>0.63801745889999995</v>
      </c>
      <c r="AL563" s="6">
        <f>[1]Emissions!AK979</f>
        <v>0.6514916301</v>
      </c>
    </row>
    <row r="564" spans="1:38" hidden="1" x14ac:dyDescent="0.35">
      <c r="B564" s="17" t="str">
        <f>[1]Emissions!A980</f>
        <v>ems_ci_co2_sech_0</v>
      </c>
      <c r="C564" s="6">
        <f>[1]Emissions!B980</f>
        <v>2.5433200010000001</v>
      </c>
      <c r="D564" s="6">
        <f>[1]Emissions!C980</f>
        <v>2.5377520910000002</v>
      </c>
      <c r="E564" s="6">
        <f>[1]Emissions!D980</f>
        <v>2.5430616189999999</v>
      </c>
      <c r="F564" s="6">
        <f>[1]Emissions!E980</f>
        <v>2.5554738700000001</v>
      </c>
      <c r="G564" s="6">
        <f>[1]Emissions!F980</f>
        <v>2.5732524840000002</v>
      </c>
      <c r="H564" s="6">
        <f>[1]Emissions!G980</f>
        <v>2.5961263130000001</v>
      </c>
      <c r="I564" s="6">
        <f>[1]Emissions!H980</f>
        <v>2.624515004</v>
      </c>
      <c r="J564" s="6">
        <f>[1]Emissions!I980</f>
        <v>2.6570078380000002</v>
      </c>
      <c r="K564" s="6">
        <f>[1]Emissions!J980</f>
        <v>2.6929869360000001</v>
      </c>
      <c r="L564" s="6">
        <f>[1]Emissions!K980</f>
        <v>2.732464738</v>
      </c>
      <c r="M564" s="6">
        <f>[1]Emissions!L980</f>
        <v>2.7756996439999999</v>
      </c>
      <c r="N564" s="6">
        <f>[1]Emissions!M980</f>
        <v>2.8226948489999999</v>
      </c>
      <c r="O564" s="6">
        <f>[1]Emissions!N980</f>
        <v>2.8724754199999998</v>
      </c>
      <c r="P564" s="6">
        <f>[1]Emissions!O980</f>
        <v>2.92289142</v>
      </c>
      <c r="Q564" s="6">
        <f>[1]Emissions!P980</f>
        <v>2.9737350509999998</v>
      </c>
      <c r="R564" s="6">
        <f>[1]Emissions!Q980</f>
        <v>3.025152367</v>
      </c>
      <c r="S564" s="6">
        <f>[1]Emissions!R980</f>
        <v>3.0757913719999999</v>
      </c>
      <c r="T564" s="6">
        <f>[1]Emissions!S980</f>
        <v>3.127553485</v>
      </c>
      <c r="U564" s="6">
        <f>[1]Emissions!T980</f>
        <v>3.181179008</v>
      </c>
      <c r="V564" s="6">
        <f>[1]Emissions!U980</f>
        <v>3.236724422</v>
      </c>
      <c r="W564" s="6">
        <f>[1]Emissions!V980</f>
        <v>3.2941589019999999</v>
      </c>
      <c r="X564" s="6">
        <f>[1]Emissions!W980</f>
        <v>3.3535089330000001</v>
      </c>
      <c r="Y564" s="6">
        <f>[1]Emissions!X980</f>
        <v>3.4150134489999999</v>
      </c>
      <c r="Z564" s="6">
        <f>[1]Emissions!Y980</f>
        <v>3.4788748649999999</v>
      </c>
      <c r="AA564" s="6">
        <f>[1]Emissions!Z980</f>
        <v>3.545152324</v>
      </c>
      <c r="AB564" s="6">
        <f>[1]Emissions!AA980</f>
        <v>3.6139142689999999</v>
      </c>
      <c r="AC564" s="6">
        <f>[1]Emissions!AB980</f>
        <v>3.6852667929999998</v>
      </c>
      <c r="AD564" s="6">
        <f>[1]Emissions!AC980</f>
        <v>3.759475525</v>
      </c>
      <c r="AE564" s="6">
        <f>[1]Emissions!AD980</f>
        <v>3.8366008360000001</v>
      </c>
      <c r="AF564" s="6">
        <f>[1]Emissions!AE980</f>
        <v>3.9161052999999999</v>
      </c>
      <c r="AG564" s="6">
        <f>[1]Emissions!AF980</f>
        <v>3.9971680420000002</v>
      </c>
      <c r="AH564" s="6">
        <f>[1]Emissions!AG980</f>
        <v>4.0790698919999997</v>
      </c>
      <c r="AI564" s="6">
        <f>[1]Emissions!AH980</f>
        <v>4.1612878310000001</v>
      </c>
      <c r="AJ564" s="6">
        <f>[1]Emissions!AI980</f>
        <v>4.2434113079999998</v>
      </c>
      <c r="AK564" s="6">
        <f>[1]Emissions!AJ980</f>
        <v>4.3250867489999996</v>
      </c>
      <c r="AL564" s="6">
        <f>[1]Emissions!AK980</f>
        <v>4.4059869210000002</v>
      </c>
    </row>
    <row r="565" spans="1:38" hidden="1" x14ac:dyDescent="0.35">
      <c r="B565" s="17" t="str">
        <f>[1]Emissions!A981</f>
        <v>ems_y_co2_sech_0</v>
      </c>
      <c r="C565" s="6">
        <f>[1]Emissions!B981</f>
        <v>0</v>
      </c>
      <c r="D565" s="6">
        <f>[1]Emissions!C981</f>
        <v>0</v>
      </c>
      <c r="E565" s="6">
        <f>[1]Emissions!D981</f>
        <v>0</v>
      </c>
      <c r="F565" s="6">
        <f>[1]Emissions!E981</f>
        <v>0</v>
      </c>
      <c r="G565" s="6">
        <f>[1]Emissions!F981</f>
        <v>0</v>
      </c>
      <c r="H565" s="6">
        <f>[1]Emissions!G981</f>
        <v>0</v>
      </c>
      <c r="I565" s="6">
        <f>[1]Emissions!H981</f>
        <v>0</v>
      </c>
      <c r="J565" s="6">
        <f>[1]Emissions!I981</f>
        <v>0</v>
      </c>
      <c r="K565" s="6">
        <f>[1]Emissions!J981</f>
        <v>0</v>
      </c>
      <c r="L565" s="6">
        <f>[1]Emissions!K981</f>
        <v>0</v>
      </c>
      <c r="M565" s="6">
        <f>[1]Emissions!L981</f>
        <v>0</v>
      </c>
      <c r="N565" s="6">
        <f>[1]Emissions!M981</f>
        <v>0</v>
      </c>
      <c r="O565" s="6">
        <f>[1]Emissions!N981</f>
        <v>0</v>
      </c>
      <c r="P565" s="6">
        <f>[1]Emissions!O981</f>
        <v>0</v>
      </c>
      <c r="Q565" s="6">
        <f>[1]Emissions!P981</f>
        <v>0</v>
      </c>
      <c r="R565" s="6">
        <f>[1]Emissions!Q981</f>
        <v>0</v>
      </c>
      <c r="S565" s="6">
        <f>[1]Emissions!R981</f>
        <v>0</v>
      </c>
      <c r="T565" s="6">
        <f>[1]Emissions!S981</f>
        <v>0</v>
      </c>
      <c r="U565" s="6">
        <f>[1]Emissions!T981</f>
        <v>0</v>
      </c>
      <c r="V565" s="6">
        <f>[1]Emissions!U981</f>
        <v>0</v>
      </c>
      <c r="W565" s="6">
        <f>[1]Emissions!V981</f>
        <v>0</v>
      </c>
      <c r="X565" s="6">
        <f>[1]Emissions!W981</f>
        <v>0</v>
      </c>
      <c r="Y565" s="6">
        <f>[1]Emissions!X981</f>
        <v>0</v>
      </c>
      <c r="Z565" s="6">
        <f>[1]Emissions!Y981</f>
        <v>0</v>
      </c>
      <c r="AA565" s="6">
        <f>[1]Emissions!Z981</f>
        <v>0</v>
      </c>
      <c r="AB565" s="6">
        <f>[1]Emissions!AA981</f>
        <v>0</v>
      </c>
      <c r="AC565" s="6">
        <f>[1]Emissions!AB981</f>
        <v>0</v>
      </c>
      <c r="AD565" s="6">
        <f>[1]Emissions!AC981</f>
        <v>0</v>
      </c>
      <c r="AE565" s="6">
        <f>[1]Emissions!AD981</f>
        <v>0</v>
      </c>
      <c r="AF565" s="6">
        <f>[1]Emissions!AE981</f>
        <v>0</v>
      </c>
      <c r="AG565" s="6">
        <f>[1]Emissions!AF981</f>
        <v>0</v>
      </c>
      <c r="AH565" s="6">
        <f>[1]Emissions!AG981</f>
        <v>0</v>
      </c>
      <c r="AI565" s="6">
        <f>[1]Emissions!AH981</f>
        <v>0</v>
      </c>
      <c r="AJ565" s="6">
        <f>[1]Emissions!AI981</f>
        <v>0</v>
      </c>
      <c r="AK565" s="6">
        <f>[1]Emissions!AJ981</f>
        <v>0</v>
      </c>
      <c r="AL565" s="6">
        <f>[1]Emissions!AK981</f>
        <v>0</v>
      </c>
    </row>
    <row r="566" spans="1:38" hidden="1" x14ac:dyDescent="0.35">
      <c r="B566" s="17" t="str">
        <f>[1]Emissions!A982</f>
        <v>ems_mat_co2_sech_0</v>
      </c>
      <c r="C566" s="6">
        <f>[1]Emissions!B982</f>
        <v>0.17845922289999999</v>
      </c>
      <c r="D566" s="6">
        <f>[1]Emissions!C982</f>
        <v>0.1806151872</v>
      </c>
      <c r="E566" s="6">
        <f>[1]Emissions!D982</f>
        <v>0.18265118399999999</v>
      </c>
      <c r="F566" s="6">
        <f>[1]Emissions!E982</f>
        <v>0.18474975199999999</v>
      </c>
      <c r="G566" s="6">
        <f>[1]Emissions!F982</f>
        <v>0.18677283110000001</v>
      </c>
      <c r="H566" s="6">
        <f>[1]Emissions!G982</f>
        <v>0.1888877155</v>
      </c>
      <c r="I566" s="6">
        <f>[1]Emissions!H982</f>
        <v>0.19114181199999999</v>
      </c>
      <c r="J566" s="6">
        <f>[1]Emissions!I982</f>
        <v>0.1935021894</v>
      </c>
      <c r="K566" s="6">
        <f>[1]Emissions!J982</f>
        <v>0.1959841185</v>
      </c>
      <c r="L566" s="6">
        <f>[1]Emissions!K982</f>
        <v>0.19862705620000001</v>
      </c>
      <c r="M566" s="6">
        <f>[1]Emissions!L982</f>
        <v>0.201478243</v>
      </c>
      <c r="N566" s="6">
        <f>[1]Emissions!M982</f>
        <v>0.2045587911</v>
      </c>
      <c r="O566" s="6">
        <f>[1]Emissions!N982</f>
        <v>0.20781282670000001</v>
      </c>
      <c r="P566" s="6">
        <f>[1]Emissions!O982</f>
        <v>0.21109485419999999</v>
      </c>
      <c r="Q566" s="6">
        <f>[1]Emissions!P982</f>
        <v>0.21439631349999999</v>
      </c>
      <c r="R566" s="6">
        <f>[1]Emissions!Q982</f>
        <v>0.2177314209</v>
      </c>
      <c r="S566" s="6">
        <f>[1]Emissions!R982</f>
        <v>0.2210923823</v>
      </c>
      <c r="T566" s="6">
        <f>[1]Emissions!S982</f>
        <v>0.22461289300000001</v>
      </c>
      <c r="U566" s="6">
        <f>[1]Emissions!T982</f>
        <v>0.2283322736</v>
      </c>
      <c r="V566" s="6">
        <f>[1]Emissions!U982</f>
        <v>0.2322382754</v>
      </c>
      <c r="W566" s="6">
        <f>[1]Emissions!V982</f>
        <v>0.2363139329</v>
      </c>
      <c r="X566" s="6">
        <f>[1]Emissions!W982</f>
        <v>0.240549387</v>
      </c>
      <c r="Y566" s="6">
        <f>[1]Emissions!X982</f>
        <v>0.24495310040000001</v>
      </c>
      <c r="Z566" s="6">
        <f>[1]Emissions!Y982</f>
        <v>0.2495335716</v>
      </c>
      <c r="AA566" s="6">
        <f>[1]Emissions!Z982</f>
        <v>0.25429085610000002</v>
      </c>
      <c r="AB566" s="6">
        <f>[1]Emissions!AA982</f>
        <v>0.25922733640000001</v>
      </c>
      <c r="AC566" s="6">
        <f>[1]Emissions!AB982</f>
        <v>0.26434933259999999</v>
      </c>
      <c r="AD566" s="6">
        <f>[1]Emissions!AC982</f>
        <v>0.2696756797</v>
      </c>
      <c r="AE566" s="6">
        <f>[1]Emissions!AD982</f>
        <v>0.2752112565</v>
      </c>
      <c r="AF566" s="6">
        <f>[1]Emissions!AE982</f>
        <v>0.28091891959999998</v>
      </c>
      <c r="AG566" s="6">
        <f>[1]Emissions!AF982</f>
        <v>0.28674121800000002</v>
      </c>
      <c r="AH566" s="6">
        <f>[1]Emissions!AG982</f>
        <v>0.29262772300000001</v>
      </c>
      <c r="AI566" s="6">
        <f>[1]Emissions!AH982</f>
        <v>0.29854169600000002</v>
      </c>
      <c r="AJ566" s="6">
        <f>[1]Emissions!AI982</f>
        <v>0.30445407120000001</v>
      </c>
      <c r="AK566" s="6">
        <f>[1]Emissions!AJ982</f>
        <v>0.31033950430000001</v>
      </c>
      <c r="AL566" s="6">
        <f>[1]Emissions!AK982</f>
        <v>0.31617419899999999</v>
      </c>
    </row>
    <row r="567" spans="1:38" hidden="1" x14ac:dyDescent="0.35">
      <c r="B567" s="17" t="str">
        <f>[1]Emissions!A983</f>
        <v>ems_ci_co2_seot_0</v>
      </c>
      <c r="C567" s="6">
        <f>[1]Emissions!B983</f>
        <v>1.37899843</v>
      </c>
      <c r="D567" s="6">
        <f>[1]Emissions!C983</f>
        <v>1.1678327909999999</v>
      </c>
      <c r="E567" s="6">
        <f>[1]Emissions!D983</f>
        <v>1.0371870599999999</v>
      </c>
      <c r="F567" s="6">
        <f>[1]Emissions!E983</f>
        <v>0.94744879439999996</v>
      </c>
      <c r="G567" s="6">
        <f>[1]Emissions!F983</f>
        <v>0.89471198210000003</v>
      </c>
      <c r="H567" s="6">
        <f>[1]Emissions!G983</f>
        <v>0.86467226519999996</v>
      </c>
      <c r="I567" s="6">
        <f>[1]Emissions!H983</f>
        <v>0.85044050910000002</v>
      </c>
      <c r="J567" s="6">
        <f>[1]Emissions!I983</f>
        <v>0.84710848949999995</v>
      </c>
      <c r="K567" s="6">
        <f>[1]Emissions!J983</f>
        <v>0.85137147410000003</v>
      </c>
      <c r="L567" s="6">
        <f>[1]Emissions!K983</f>
        <v>0.86164867339999995</v>
      </c>
      <c r="M567" s="6">
        <f>[1]Emissions!L983</f>
        <v>0.87695130109999997</v>
      </c>
      <c r="N567" s="6">
        <f>[1]Emissions!M983</f>
        <v>0.89646525710000002</v>
      </c>
      <c r="O567" s="6">
        <f>[1]Emissions!N983</f>
        <v>0.9191515536</v>
      </c>
      <c r="P567" s="6">
        <f>[1]Emissions!O983</f>
        <v>0.94361635700000002</v>
      </c>
      <c r="Q567" s="6">
        <f>[1]Emissions!P983</f>
        <v>0.96928641469999999</v>
      </c>
      <c r="R567" s="6">
        <f>[1]Emissions!Q983</f>
        <v>0.99578653549999996</v>
      </c>
      <c r="S567" s="6">
        <f>[1]Emissions!R983</f>
        <v>1.021992435</v>
      </c>
      <c r="T567" s="6">
        <f>[1]Emissions!S983</f>
        <v>1.0480867359999999</v>
      </c>
      <c r="U567" s="6">
        <f>[1]Emissions!T983</f>
        <v>1.074229586</v>
      </c>
      <c r="V567" s="6">
        <f>[1]Emissions!U983</f>
        <v>1.1005120740000001</v>
      </c>
      <c r="W567" s="6">
        <f>[1]Emissions!V983</f>
        <v>1.127044044</v>
      </c>
      <c r="X567" s="6">
        <f>[1]Emissions!W983</f>
        <v>1.153932862</v>
      </c>
      <c r="Y567" s="6">
        <f>[1]Emissions!X983</f>
        <v>1.181350863</v>
      </c>
      <c r="Z567" s="6">
        <f>[1]Emissions!Y983</f>
        <v>1.209438078</v>
      </c>
      <c r="AA567" s="6">
        <f>[1]Emissions!Z983</f>
        <v>1.238267089</v>
      </c>
      <c r="AB567" s="6">
        <f>[1]Emissions!AA983</f>
        <v>1.2679100459999999</v>
      </c>
      <c r="AC567" s="6">
        <f>[1]Emissions!AB983</f>
        <v>1.2984460289999999</v>
      </c>
      <c r="AD567" s="6">
        <f>[1]Emissions!AC983</f>
        <v>1.3300066829999999</v>
      </c>
      <c r="AE567" s="6">
        <f>[1]Emissions!AD983</f>
        <v>1.3626282359999999</v>
      </c>
      <c r="AF567" s="6">
        <f>[1]Emissions!AE983</f>
        <v>1.3960935329999999</v>
      </c>
      <c r="AG567" s="6">
        <f>[1]Emissions!AF983</f>
        <v>1.4300702249999999</v>
      </c>
      <c r="AH567" s="6">
        <f>[1]Emissions!AG983</f>
        <v>1.464266501</v>
      </c>
      <c r="AI567" s="6">
        <f>[1]Emissions!AH983</f>
        <v>1.4984685440000001</v>
      </c>
      <c r="AJ567" s="6">
        <f>[1]Emissions!AI983</f>
        <v>1.5325070519999999</v>
      </c>
      <c r="AK567" s="6">
        <f>[1]Emissions!AJ983</f>
        <v>1.5662364</v>
      </c>
      <c r="AL567" s="6">
        <f>[1]Emissions!AK983</f>
        <v>1.5995231350000001</v>
      </c>
    </row>
    <row r="568" spans="1:38" hidden="1" x14ac:dyDescent="0.35">
      <c r="B568" s="17" t="str">
        <f>[1]Emissions!A984</f>
        <v>ems_y_co2_seot_0</v>
      </c>
      <c r="C568" s="6">
        <f>[1]Emissions!B984</f>
        <v>0</v>
      </c>
      <c r="D568" s="6">
        <f>[1]Emissions!C984</f>
        <v>0</v>
      </c>
      <c r="E568" s="6">
        <f>[1]Emissions!D984</f>
        <v>0</v>
      </c>
      <c r="F568" s="6">
        <f>[1]Emissions!E984</f>
        <v>0</v>
      </c>
      <c r="G568" s="6">
        <f>[1]Emissions!F984</f>
        <v>0</v>
      </c>
      <c r="H568" s="6">
        <f>[1]Emissions!G984</f>
        <v>0</v>
      </c>
      <c r="I568" s="6">
        <f>[1]Emissions!H984</f>
        <v>0</v>
      </c>
      <c r="J568" s="6">
        <f>[1]Emissions!I984</f>
        <v>0</v>
      </c>
      <c r="K568" s="6">
        <f>[1]Emissions!J984</f>
        <v>0</v>
      </c>
      <c r="L568" s="6">
        <f>[1]Emissions!K984</f>
        <v>0</v>
      </c>
      <c r="M568" s="6">
        <f>[1]Emissions!L984</f>
        <v>0</v>
      </c>
      <c r="N568" s="6">
        <f>[1]Emissions!M984</f>
        <v>0</v>
      </c>
      <c r="O568" s="6">
        <f>[1]Emissions!N984</f>
        <v>0</v>
      </c>
      <c r="P568" s="6">
        <f>[1]Emissions!O984</f>
        <v>0</v>
      </c>
      <c r="Q568" s="6">
        <f>[1]Emissions!P984</f>
        <v>0</v>
      </c>
      <c r="R568" s="6">
        <f>[1]Emissions!Q984</f>
        <v>0</v>
      </c>
      <c r="S568" s="6">
        <f>[1]Emissions!R984</f>
        <v>0</v>
      </c>
      <c r="T568" s="6">
        <f>[1]Emissions!S984</f>
        <v>0</v>
      </c>
      <c r="U568" s="6">
        <f>[1]Emissions!T984</f>
        <v>0</v>
      </c>
      <c r="V568" s="6">
        <f>[1]Emissions!U984</f>
        <v>0</v>
      </c>
      <c r="W568" s="6">
        <f>[1]Emissions!V984</f>
        <v>0</v>
      </c>
      <c r="X568" s="6">
        <f>[1]Emissions!W984</f>
        <v>0</v>
      </c>
      <c r="Y568" s="6">
        <f>[1]Emissions!X984</f>
        <v>0</v>
      </c>
      <c r="Z568" s="6">
        <f>[1]Emissions!Y984</f>
        <v>0</v>
      </c>
      <c r="AA568" s="6">
        <f>[1]Emissions!Z984</f>
        <v>0</v>
      </c>
      <c r="AB568" s="6">
        <f>[1]Emissions!AA984</f>
        <v>0</v>
      </c>
      <c r="AC568" s="6">
        <f>[1]Emissions!AB984</f>
        <v>0</v>
      </c>
      <c r="AD568" s="6">
        <f>[1]Emissions!AC984</f>
        <v>0</v>
      </c>
      <c r="AE568" s="6">
        <f>[1]Emissions!AD984</f>
        <v>0</v>
      </c>
      <c r="AF568" s="6">
        <f>[1]Emissions!AE984</f>
        <v>0</v>
      </c>
      <c r="AG568" s="6">
        <f>[1]Emissions!AF984</f>
        <v>0</v>
      </c>
      <c r="AH568" s="6">
        <f>[1]Emissions!AG984</f>
        <v>0</v>
      </c>
      <c r="AI568" s="6">
        <f>[1]Emissions!AH984</f>
        <v>0</v>
      </c>
      <c r="AJ568" s="6">
        <f>[1]Emissions!AI984</f>
        <v>0</v>
      </c>
      <c r="AK568" s="6">
        <f>[1]Emissions!AJ984</f>
        <v>0</v>
      </c>
      <c r="AL568" s="6">
        <f>[1]Emissions!AK984</f>
        <v>0</v>
      </c>
    </row>
    <row r="569" spans="1:38" hidden="1" x14ac:dyDescent="0.35">
      <c r="B569" s="17" t="str">
        <f>[1]Emissions!A985</f>
        <v>ems_mat_co2_seot_0</v>
      </c>
      <c r="C569" s="6">
        <f>[1]Emissions!B985</f>
        <v>0.122788782</v>
      </c>
      <c r="D569" s="6">
        <f>[1]Emissions!C985</f>
        <v>0.12416382049999999</v>
      </c>
      <c r="E569" s="6">
        <f>[1]Emissions!D985</f>
        <v>0.1253931741</v>
      </c>
      <c r="F569" s="6">
        <f>[1]Emissions!E985</f>
        <v>0.1267682111</v>
      </c>
      <c r="G569" s="6">
        <f>[1]Emissions!F985</f>
        <v>0.12813662340000001</v>
      </c>
      <c r="H569" s="6">
        <f>[1]Emissions!G985</f>
        <v>0.12963517250000001</v>
      </c>
      <c r="I569" s="6">
        <f>[1]Emissions!H985</f>
        <v>0.1314065965</v>
      </c>
      <c r="J569" s="6">
        <f>[1]Emissions!I985</f>
        <v>0.13345876249999999</v>
      </c>
      <c r="K569" s="6">
        <f>[1]Emissions!J985</f>
        <v>0.13582001120000001</v>
      </c>
      <c r="L569" s="6">
        <f>[1]Emissions!K985</f>
        <v>0.13852774279999999</v>
      </c>
      <c r="M569" s="6">
        <f>[1]Emissions!L985</f>
        <v>0.14161700469999999</v>
      </c>
      <c r="N569" s="6">
        <f>[1]Emissions!M985</f>
        <v>0.14508837860000001</v>
      </c>
      <c r="O569" s="6">
        <f>[1]Emissions!N985</f>
        <v>0.14886344500000001</v>
      </c>
      <c r="P569" s="6">
        <f>[1]Emissions!O985</f>
        <v>0.15277790429999999</v>
      </c>
      <c r="Q569" s="6">
        <f>[1]Emissions!P985</f>
        <v>0.15678044050000001</v>
      </c>
      <c r="R569" s="6">
        <f>[1]Emissions!Q985</f>
        <v>0.16083844789999999</v>
      </c>
      <c r="S569" s="6">
        <f>[1]Emissions!R985</f>
        <v>0.1648720756</v>
      </c>
      <c r="T569" s="6">
        <f>[1]Emissions!S985</f>
        <v>0.16893531749999999</v>
      </c>
      <c r="U569" s="6">
        <f>[1]Emissions!T985</f>
        <v>0.1730552078</v>
      </c>
      <c r="V569" s="6">
        <f>[1]Emissions!U985</f>
        <v>0.17723616759999999</v>
      </c>
      <c r="W569" s="6">
        <f>[1]Emissions!V985</f>
        <v>0.1814829436</v>
      </c>
      <c r="X569" s="6">
        <f>[1]Emissions!W985</f>
        <v>0.1858011503</v>
      </c>
      <c r="Y569" s="6">
        <f>[1]Emissions!X985</f>
        <v>0.19020921639999999</v>
      </c>
      <c r="Z569" s="6">
        <f>[1]Emissions!Y985</f>
        <v>0.19472290389999999</v>
      </c>
      <c r="AA569" s="6">
        <f>[1]Emissions!Z985</f>
        <v>0.19934900559999999</v>
      </c>
      <c r="AB569" s="6">
        <f>[1]Emissions!AA985</f>
        <v>0.204096421</v>
      </c>
      <c r="AC569" s="6">
        <f>[1]Emissions!AB985</f>
        <v>0.2089766371</v>
      </c>
      <c r="AD569" s="6">
        <f>[1]Emissions!AC985</f>
        <v>0.2140108587</v>
      </c>
      <c r="AE569" s="6">
        <f>[1]Emissions!AD985</f>
        <v>0.21920590149999999</v>
      </c>
      <c r="AF569" s="6">
        <f>[1]Emissions!AE985</f>
        <v>0.22452962430000001</v>
      </c>
      <c r="AG569" s="6">
        <f>[1]Emissions!AF985</f>
        <v>0.2299317883</v>
      </c>
      <c r="AH569" s="6">
        <f>[1]Emissions!AG985</f>
        <v>0.2353687964</v>
      </c>
      <c r="AI569" s="6">
        <f>[1]Emissions!AH985</f>
        <v>0.24080928139999999</v>
      </c>
      <c r="AJ569" s="6">
        <f>[1]Emissions!AI985</f>
        <v>0.24622850700000001</v>
      </c>
      <c r="AK569" s="6">
        <f>[1]Emissions!AJ985</f>
        <v>0.25160497399999998</v>
      </c>
      <c r="AL569" s="6">
        <f>[1]Emissions!AK985</f>
        <v>0.25691857229999998</v>
      </c>
    </row>
    <row r="570" spans="1:38" hidden="1" x14ac:dyDescent="0.35">
      <c r="B570" s="17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</row>
    <row r="571" spans="1:38" x14ac:dyDescent="0.35">
      <c r="B571" s="18" t="s">
        <v>100</v>
      </c>
      <c r="C571" s="6">
        <f>[1]Emissions!B825-[1]Emissions!B829</f>
        <v>235.58463129999998</v>
      </c>
      <c r="D571" s="6">
        <f>[1]Emissions!C825-[1]Emissions!C829</f>
        <v>236.92933360000001</v>
      </c>
      <c r="E571" s="6">
        <f>[1]Emissions!D825-[1]Emissions!D829</f>
        <v>238.45741050000001</v>
      </c>
      <c r="F571" s="6">
        <f>[1]Emissions!E825-[1]Emissions!E829</f>
        <v>239.55878499999997</v>
      </c>
      <c r="G571" s="6">
        <f>[1]Emissions!F825-[1]Emissions!F829</f>
        <v>241.16524729999998</v>
      </c>
      <c r="H571" s="6">
        <f>[1]Emissions!G825-[1]Emissions!G829</f>
        <v>243.33999210000002</v>
      </c>
      <c r="I571" s="6">
        <f>[1]Emissions!H825-[1]Emissions!H829</f>
        <v>245.98719749999998</v>
      </c>
      <c r="J571" s="6">
        <f>[1]Emissions!I825-[1]Emissions!I829</f>
        <v>241.9624981</v>
      </c>
      <c r="K571" s="6">
        <f>[1]Emissions!J825-[1]Emissions!J829</f>
        <v>237.26757620000001</v>
      </c>
      <c r="L571" s="6">
        <f>[1]Emissions!K825-[1]Emissions!K829</f>
        <v>233.29757344000001</v>
      </c>
      <c r="M571" s="6">
        <f>[1]Emissions!L825-[1]Emissions!L829</f>
        <v>229.38643594999999</v>
      </c>
      <c r="N571" s="6">
        <f>[1]Emissions!M825-[1]Emissions!M829</f>
        <v>225.93154428</v>
      </c>
      <c r="O571" s="6">
        <f>[1]Emissions!N825-[1]Emissions!N829</f>
        <v>222.64339558000003</v>
      </c>
      <c r="P571" s="6">
        <f>[1]Emissions!O825-[1]Emissions!O829</f>
        <v>219.30006295999999</v>
      </c>
      <c r="Q571" s="6">
        <f>[1]Emissions!P825-[1]Emissions!P829</f>
        <v>215.99659932000003</v>
      </c>
      <c r="R571" s="6">
        <f>[1]Emissions!Q825-[1]Emissions!Q829</f>
        <v>212.79283465999998</v>
      </c>
      <c r="S571" s="6">
        <f>[1]Emissions!R825-[1]Emissions!R829</f>
        <v>209.68327557999999</v>
      </c>
      <c r="T571" s="6">
        <f>[1]Emissions!S825-[1]Emissions!S829</f>
        <v>206.62437549000001</v>
      </c>
      <c r="U571" s="6">
        <f>[1]Emissions!T825-[1]Emissions!T829</f>
        <v>203.66592064</v>
      </c>
      <c r="V571" s="6">
        <f>[1]Emissions!U825-[1]Emissions!U829</f>
        <v>200.83571934</v>
      </c>
      <c r="W571" s="6">
        <f>[1]Emissions!V825-[1]Emissions!V829</f>
        <v>198.15535712000002</v>
      </c>
      <c r="X571" s="6">
        <f>[1]Emissions!W825-[1]Emissions!W829</f>
        <v>195.64043693000002</v>
      </c>
      <c r="Y571" s="6">
        <f>[1]Emissions!X825-[1]Emissions!X829</f>
        <v>193.30880263</v>
      </c>
      <c r="Z571" s="6">
        <f>[1]Emissions!Y825-[1]Emissions!Y829</f>
        <v>191.15130100000002</v>
      </c>
      <c r="AA571" s="6">
        <f>[1]Emissions!Z825-[1]Emissions!Z829</f>
        <v>189.13696343999999</v>
      </c>
      <c r="AB571" s="6">
        <f>[1]Emissions!AA825-[1]Emissions!AA829</f>
        <v>187.23799459999998</v>
      </c>
      <c r="AC571" s="6">
        <f>[1]Emissions!AB825-[1]Emissions!AB829</f>
        <v>185.44743349000001</v>
      </c>
      <c r="AD571" s="6">
        <f>[1]Emissions!AC825-[1]Emissions!AC829</f>
        <v>183.78080487</v>
      </c>
      <c r="AE571" s="6">
        <f>[1]Emissions!AD825-[1]Emissions!AD829</f>
        <v>182.20393188999998</v>
      </c>
      <c r="AF571" s="6">
        <f>[1]Emissions!AE825-[1]Emissions!AE829</f>
        <v>180.63484473</v>
      </c>
      <c r="AG571" s="6">
        <f>[1]Emissions!AF825-[1]Emissions!AF829</f>
        <v>178.9792075</v>
      </c>
      <c r="AH571" s="6">
        <f>[1]Emissions!AG825-[1]Emissions!AG829</f>
        <v>177.16542512999999</v>
      </c>
      <c r="AI571" s="6">
        <f>[1]Emissions!AH825-[1]Emissions!AH829</f>
        <v>175.13949632000001</v>
      </c>
      <c r="AJ571" s="6">
        <f>[1]Emissions!AI825-[1]Emissions!AI829</f>
        <v>172.84207529999998</v>
      </c>
      <c r="AK571" s="6">
        <f>[1]Emissions!AJ825-[1]Emissions!AJ829</f>
        <v>170.21037593</v>
      </c>
      <c r="AL571" s="6">
        <f>[1]Emissions!AK825-[1]Emissions!AK829</f>
        <v>167.17634115999999</v>
      </c>
    </row>
    <row r="572" spans="1:38" x14ac:dyDescent="0.35">
      <c r="A572" s="12" t="s">
        <v>66</v>
      </c>
      <c r="B572" t="s">
        <v>7</v>
      </c>
      <c r="C572" s="6">
        <f>SUM(C413:C418)</f>
        <v>14.661947620600001</v>
      </c>
      <c r="D572" s="6">
        <f t="shared" ref="D572:AL572" si="96">SUM(D413:D418)</f>
        <v>14.385126625</v>
      </c>
      <c r="E572" s="6">
        <f t="shared" si="96"/>
        <v>14.139034538700001</v>
      </c>
      <c r="F572" s="6">
        <f t="shared" si="96"/>
        <v>13.958933292499999</v>
      </c>
      <c r="G572" s="6">
        <f t="shared" si="96"/>
        <v>13.900272043099999</v>
      </c>
      <c r="H572" s="6">
        <f t="shared" si="96"/>
        <v>13.931499239600001</v>
      </c>
      <c r="I572" s="6">
        <f t="shared" si="96"/>
        <v>14.012455946000001</v>
      </c>
      <c r="J572" s="6">
        <f t="shared" si="96"/>
        <v>13.496431997</v>
      </c>
      <c r="K572" s="6">
        <f t="shared" si="96"/>
        <v>12.9173239706</v>
      </c>
      <c r="L572" s="6">
        <f t="shared" si="96"/>
        <v>12.385876056699999</v>
      </c>
      <c r="M572" s="6">
        <f t="shared" si="96"/>
        <v>11.882337178099998</v>
      </c>
      <c r="N572" s="6">
        <f t="shared" si="96"/>
        <v>11.4557979765</v>
      </c>
      <c r="O572" s="6">
        <f t="shared" si="96"/>
        <v>11.0916217719</v>
      </c>
      <c r="P572" s="6">
        <f t="shared" si="96"/>
        <v>10.768890540600001</v>
      </c>
      <c r="Q572" s="6">
        <f t="shared" si="96"/>
        <v>10.4814410205</v>
      </c>
      <c r="R572" s="6">
        <f t="shared" si="96"/>
        <v>10.2231709698</v>
      </c>
      <c r="S572" s="6">
        <f t="shared" si="96"/>
        <v>9.9801748867000004</v>
      </c>
      <c r="T572" s="6">
        <f t="shared" si="96"/>
        <v>9.751788254800001</v>
      </c>
      <c r="U572" s="6">
        <f t="shared" si="96"/>
        <v>9.5391392225999994</v>
      </c>
      <c r="V572" s="6">
        <f t="shared" si="96"/>
        <v>9.3422907379000009</v>
      </c>
      <c r="W572" s="6">
        <f t="shared" si="96"/>
        <v>9.1609202590999992</v>
      </c>
      <c r="X572" s="6">
        <f t="shared" si="96"/>
        <v>8.9941561574999991</v>
      </c>
      <c r="Y572" s="6">
        <f t="shared" si="96"/>
        <v>8.8413546185000005</v>
      </c>
      <c r="Z572" s="6">
        <f t="shared" si="96"/>
        <v>8.7009525191999995</v>
      </c>
      <c r="AA572" s="6">
        <f t="shared" si="96"/>
        <v>8.5704613781999992</v>
      </c>
      <c r="AB572" s="6">
        <f t="shared" si="96"/>
        <v>8.4474114518000007</v>
      </c>
      <c r="AC572" s="6">
        <f t="shared" si="96"/>
        <v>8.3282784718000009</v>
      </c>
      <c r="AD572" s="6">
        <f t="shared" si="96"/>
        <v>8.2129040582000012</v>
      </c>
      <c r="AE572" s="6">
        <f t="shared" si="96"/>
        <v>8.0983274286000011</v>
      </c>
      <c r="AF572" s="6">
        <f t="shared" si="96"/>
        <v>7.9795308553999993</v>
      </c>
      <c r="AG572" s="6">
        <f t="shared" si="96"/>
        <v>7.8508355768999998</v>
      </c>
      <c r="AH572" s="6">
        <f t="shared" si="96"/>
        <v>7.7071647225</v>
      </c>
      <c r="AI572" s="6">
        <f t="shared" si="96"/>
        <v>7.5439587531999992</v>
      </c>
      <c r="AJ572" s="6">
        <f t="shared" si="96"/>
        <v>7.3565201011000001</v>
      </c>
      <c r="AK572" s="6">
        <f t="shared" si="96"/>
        <v>7.1399144323000003</v>
      </c>
      <c r="AL572" s="6">
        <f t="shared" si="96"/>
        <v>6.8887080744000002</v>
      </c>
    </row>
    <row r="573" spans="1:38" x14ac:dyDescent="0.35">
      <c r="A573" t="s">
        <v>27</v>
      </c>
      <c r="B573" t="s">
        <v>84</v>
      </c>
      <c r="C573" s="6">
        <f>SUM(C419:C421)</f>
        <v>9.7930422020000005</v>
      </c>
      <c r="D573" s="6">
        <f t="shared" ref="D573:AL573" si="97">SUM(D419:D421)</f>
        <v>9.6616597629999994</v>
      </c>
      <c r="E573" s="6">
        <f t="shared" si="97"/>
        <v>9.5539564309999996</v>
      </c>
      <c r="F573" s="6">
        <f t="shared" si="97"/>
        <v>9.4818029429999999</v>
      </c>
      <c r="G573" s="6">
        <f t="shared" si="97"/>
        <v>9.4907554330000004</v>
      </c>
      <c r="H573" s="6">
        <f t="shared" si="97"/>
        <v>9.5550503080000002</v>
      </c>
      <c r="I573" s="6">
        <f t="shared" si="97"/>
        <v>9.6578049999999998</v>
      </c>
      <c r="J573" s="6">
        <f t="shared" si="97"/>
        <v>9.3180603679999994</v>
      </c>
      <c r="K573" s="6">
        <f t="shared" si="97"/>
        <v>8.9276030429999995</v>
      </c>
      <c r="L573" s="6">
        <f t="shared" si="97"/>
        <v>8.5552444970000003</v>
      </c>
      <c r="M573" s="6">
        <f t="shared" si="97"/>
        <v>8.1973677850000009</v>
      </c>
      <c r="N573" s="6">
        <f t="shared" si="97"/>
        <v>7.899783523</v>
      </c>
      <c r="O573" s="6">
        <f t="shared" si="97"/>
        <v>7.6494678150000004</v>
      </c>
      <c r="P573" s="6">
        <f t="shared" si="97"/>
        <v>7.4296201499999999</v>
      </c>
      <c r="Q573" s="6">
        <f t="shared" si="97"/>
        <v>7.2323510779999998</v>
      </c>
      <c r="R573" s="6">
        <f t="shared" si="97"/>
        <v>7.051581273</v>
      </c>
      <c r="S573" s="6">
        <f t="shared" si="97"/>
        <v>6.8656308270000004</v>
      </c>
      <c r="T573" s="6">
        <f t="shared" si="97"/>
        <v>6.6773967179999998</v>
      </c>
      <c r="U573" s="6">
        <f t="shared" si="97"/>
        <v>6.4908497980000002</v>
      </c>
      <c r="V573" s="6">
        <f t="shared" si="97"/>
        <v>6.3085145489999999</v>
      </c>
      <c r="W573" s="6">
        <f t="shared" si="97"/>
        <v>6.1317701180000004</v>
      </c>
      <c r="X573" s="6">
        <f t="shared" si="97"/>
        <v>5.9609871950000004</v>
      </c>
      <c r="Y573" s="6">
        <f t="shared" si="97"/>
        <v>5.7961770570000004</v>
      </c>
      <c r="Z573" s="6">
        <f t="shared" si="97"/>
        <v>5.6366287440000002</v>
      </c>
      <c r="AA573" s="6">
        <f t="shared" si="97"/>
        <v>5.4809574559999996</v>
      </c>
      <c r="AB573" s="6">
        <f t="shared" si="97"/>
        <v>5.3275819929999999</v>
      </c>
      <c r="AC573" s="6">
        <f t="shared" si="97"/>
        <v>5.173965065</v>
      </c>
      <c r="AD573" s="6">
        <f t="shared" si="97"/>
        <v>5.0196515420000001</v>
      </c>
      <c r="AE573" s="6">
        <f t="shared" si="97"/>
        <v>4.8625905810000001</v>
      </c>
      <c r="AF573" s="6">
        <f t="shared" si="97"/>
        <v>4.6997546049999999</v>
      </c>
      <c r="AG573" s="6">
        <f t="shared" si="97"/>
        <v>4.5277357050000004</v>
      </c>
      <c r="AH573" s="6">
        <f t="shared" si="97"/>
        <v>4.3432959279999999</v>
      </c>
      <c r="AI573" s="6">
        <f t="shared" si="97"/>
        <v>4.1433417410000004</v>
      </c>
      <c r="AJ573" s="6">
        <f t="shared" si="97"/>
        <v>3.9246297979999998</v>
      </c>
      <c r="AK573" s="6">
        <f t="shared" si="97"/>
        <v>3.6837022770000001</v>
      </c>
      <c r="AL573" s="6">
        <f t="shared" si="97"/>
        <v>3.4166946079999998</v>
      </c>
    </row>
    <row r="574" spans="1:38" x14ac:dyDescent="0.35">
      <c r="A574" s="19"/>
      <c r="B574" t="s">
        <v>85</v>
      </c>
      <c r="C574" s="6">
        <f>SUM(C425:C427)</f>
        <v>19.473877664</v>
      </c>
      <c r="D574" s="6">
        <f t="shared" ref="D574:AL574" si="98">SUM(D425:D427)</f>
        <v>20.09504398</v>
      </c>
      <c r="E574" s="6">
        <f t="shared" si="98"/>
        <v>20.783472867</v>
      </c>
      <c r="F574" s="6">
        <f t="shared" si="98"/>
        <v>21.249117260999999</v>
      </c>
      <c r="G574" s="6">
        <f t="shared" si="98"/>
        <v>21.549610741000002</v>
      </c>
      <c r="H574" s="6">
        <f t="shared" si="98"/>
        <v>21.785772481000002</v>
      </c>
      <c r="I574" s="6">
        <f t="shared" si="98"/>
        <v>22.019538487000002</v>
      </c>
      <c r="J574" s="6">
        <f t="shared" si="98"/>
        <v>21.973784601999999</v>
      </c>
      <c r="K574" s="6">
        <f t="shared" si="98"/>
        <v>21.905122756000001</v>
      </c>
      <c r="L574" s="6">
        <f t="shared" si="98"/>
        <v>21.923584992999999</v>
      </c>
      <c r="M574" s="6">
        <f t="shared" si="98"/>
        <v>21.982049787000001</v>
      </c>
      <c r="N574" s="6">
        <f t="shared" si="98"/>
        <v>22.073292322</v>
      </c>
      <c r="O574" s="6">
        <f t="shared" si="98"/>
        <v>22.160755469999998</v>
      </c>
      <c r="P574" s="6">
        <f t="shared" si="98"/>
        <v>22.229679309000002</v>
      </c>
      <c r="Q574" s="6">
        <f t="shared" si="98"/>
        <v>22.295759586000003</v>
      </c>
      <c r="R574" s="6">
        <f t="shared" si="98"/>
        <v>22.372634483999999</v>
      </c>
      <c r="S574" s="6">
        <f t="shared" si="98"/>
        <v>22.467217536</v>
      </c>
      <c r="T574" s="6">
        <f t="shared" si="98"/>
        <v>22.577866958000001</v>
      </c>
      <c r="U574" s="6">
        <f t="shared" si="98"/>
        <v>22.705728082</v>
      </c>
      <c r="V574" s="6">
        <f t="shared" si="98"/>
        <v>22.850602984999998</v>
      </c>
      <c r="W574" s="6">
        <f t="shared" si="98"/>
        <v>23.014061068</v>
      </c>
      <c r="X574" s="6">
        <f t="shared" si="98"/>
        <v>23.198895773</v>
      </c>
      <c r="Y574" s="6">
        <f t="shared" si="98"/>
        <v>23.408788439000002</v>
      </c>
      <c r="Z574" s="6">
        <f t="shared" si="98"/>
        <v>23.645345161999998</v>
      </c>
      <c r="AA574" s="6">
        <f t="shared" si="98"/>
        <v>23.907879456000003</v>
      </c>
      <c r="AB574" s="6">
        <f t="shared" si="98"/>
        <v>24.196214502</v>
      </c>
      <c r="AC574" s="6">
        <f t="shared" si="98"/>
        <v>24.507018757000001</v>
      </c>
      <c r="AD574" s="6">
        <f t="shared" si="98"/>
        <v>24.847865469999999</v>
      </c>
      <c r="AE574" s="6">
        <f t="shared" si="98"/>
        <v>25.219692161000001</v>
      </c>
      <c r="AF574" s="6">
        <f t="shared" si="98"/>
        <v>25.618467656</v>
      </c>
      <c r="AG574" s="6">
        <f t="shared" si="98"/>
        <v>26.038169103999998</v>
      </c>
      <c r="AH574" s="6">
        <f t="shared" si="98"/>
        <v>26.473991821000002</v>
      </c>
      <c r="AI574" s="6">
        <f t="shared" si="98"/>
        <v>26.922183781000001</v>
      </c>
      <c r="AJ574" s="6">
        <f t="shared" si="98"/>
        <v>27.378756920000001</v>
      </c>
      <c r="AK574" s="6">
        <f t="shared" si="98"/>
        <v>27.839866041000001</v>
      </c>
      <c r="AL574" s="6">
        <f t="shared" si="98"/>
        <v>28.301757099</v>
      </c>
    </row>
    <row r="575" spans="1:38" x14ac:dyDescent="0.35">
      <c r="B575" t="s">
        <v>86</v>
      </c>
      <c r="C575" s="6">
        <f>SUM(C431:C433)</f>
        <v>6.4096607810000004</v>
      </c>
      <c r="D575" s="6">
        <f t="shared" ref="D575:AL575" si="99">SUM(D431:D433)</f>
        <v>6.4202366980000001</v>
      </c>
      <c r="E575" s="6">
        <f t="shared" si="99"/>
        <v>6.4461276880000007</v>
      </c>
      <c r="F575" s="6">
        <f t="shared" si="99"/>
        <v>6.4834955890000003</v>
      </c>
      <c r="G575" s="6">
        <f t="shared" si="99"/>
        <v>6.5376612979999997</v>
      </c>
      <c r="H575" s="6">
        <f t="shared" si="99"/>
        <v>6.6067830999999995</v>
      </c>
      <c r="I575" s="6">
        <f t="shared" si="99"/>
        <v>6.6885248799999992</v>
      </c>
      <c r="J575" s="6">
        <f t="shared" si="99"/>
        <v>6.6402674580000003</v>
      </c>
      <c r="K575" s="6">
        <f t="shared" si="99"/>
        <v>6.5960405449999993</v>
      </c>
      <c r="L575" s="6">
        <f t="shared" si="99"/>
        <v>6.6101952389999994</v>
      </c>
      <c r="M575" s="6">
        <f t="shared" si="99"/>
        <v>6.6342568219999993</v>
      </c>
      <c r="N575" s="6">
        <f t="shared" si="99"/>
        <v>6.6610701590000003</v>
      </c>
      <c r="O575" s="6">
        <f t="shared" si="99"/>
        <v>6.6782575929999997</v>
      </c>
      <c r="P575" s="6">
        <f t="shared" si="99"/>
        <v>6.6785023649999999</v>
      </c>
      <c r="Q575" s="6">
        <f t="shared" si="99"/>
        <v>6.6715598210000007</v>
      </c>
      <c r="R575" s="6">
        <f t="shared" si="99"/>
        <v>6.6637915330000004</v>
      </c>
      <c r="S575" s="6">
        <f t="shared" si="99"/>
        <v>6.6567670539999995</v>
      </c>
      <c r="T575" s="6">
        <f t="shared" si="99"/>
        <v>6.6549144260000004</v>
      </c>
      <c r="U575" s="6">
        <f t="shared" si="99"/>
        <v>6.6609489550000003</v>
      </c>
      <c r="V575" s="6">
        <f t="shared" si="99"/>
        <v>6.6755554039999998</v>
      </c>
      <c r="W575" s="6">
        <f t="shared" si="99"/>
        <v>6.6993080919999999</v>
      </c>
      <c r="X575" s="6">
        <f t="shared" si="99"/>
        <v>6.7327419749999997</v>
      </c>
      <c r="Y575" s="6">
        <f t="shared" si="99"/>
        <v>6.776962814</v>
      </c>
      <c r="Z575" s="6">
        <f t="shared" si="99"/>
        <v>6.8316750939999995</v>
      </c>
      <c r="AA575" s="6">
        <f t="shared" si="99"/>
        <v>6.8953629100000002</v>
      </c>
      <c r="AB575" s="6">
        <f t="shared" si="99"/>
        <v>6.9669530490000007</v>
      </c>
      <c r="AC575" s="6">
        <f t="shared" si="99"/>
        <v>7.0458349839999999</v>
      </c>
      <c r="AD575" s="6">
        <f t="shared" si="99"/>
        <v>7.135162717</v>
      </c>
      <c r="AE575" s="6">
        <f t="shared" si="99"/>
        <v>7.2341405420000005</v>
      </c>
      <c r="AF575" s="6">
        <f t="shared" si="99"/>
        <v>7.3387451519999995</v>
      </c>
      <c r="AG575" s="6">
        <f t="shared" si="99"/>
        <v>7.4442301989999997</v>
      </c>
      <c r="AH575" s="6">
        <f t="shared" si="99"/>
        <v>7.5476497390000006</v>
      </c>
      <c r="AI575" s="6">
        <f t="shared" si="99"/>
        <v>7.6475605729999998</v>
      </c>
      <c r="AJ575" s="6">
        <f t="shared" si="99"/>
        <v>7.7423157909999993</v>
      </c>
      <c r="AK575" s="6">
        <f t="shared" si="99"/>
        <v>7.8302491299999994</v>
      </c>
      <c r="AL575" s="6">
        <f t="shared" si="99"/>
        <v>7.9098407819999998</v>
      </c>
    </row>
    <row r="576" spans="1:38" x14ac:dyDescent="0.35">
      <c r="B576" t="s">
        <v>87</v>
      </c>
      <c r="C576" s="6">
        <f>SUM(C437:C439)</f>
        <v>20.28886795</v>
      </c>
      <c r="D576" s="6">
        <f t="shared" ref="D576:AL576" si="100">SUM(D437:D439)</f>
        <v>20.589980258000001</v>
      </c>
      <c r="E576" s="6">
        <f t="shared" si="100"/>
        <v>20.897339536</v>
      </c>
      <c r="F576" s="6">
        <f t="shared" si="100"/>
        <v>21.150494070999997</v>
      </c>
      <c r="G576" s="6">
        <f t="shared" si="100"/>
        <v>21.409049353</v>
      </c>
      <c r="H576" s="6">
        <f t="shared" si="100"/>
        <v>21.692599146999999</v>
      </c>
      <c r="I576" s="6">
        <f t="shared" si="100"/>
        <v>22.006345281000002</v>
      </c>
      <c r="J576" s="6">
        <f t="shared" si="100"/>
        <v>21.946784978</v>
      </c>
      <c r="K576" s="6">
        <f t="shared" si="100"/>
        <v>21.818480098000002</v>
      </c>
      <c r="L576" s="6">
        <f t="shared" si="100"/>
        <v>21.854871628999998</v>
      </c>
      <c r="M576" s="6">
        <f t="shared" si="100"/>
        <v>21.878670779</v>
      </c>
      <c r="N576" s="6">
        <f t="shared" si="100"/>
        <v>21.905362507</v>
      </c>
      <c r="O576" s="6">
        <f t="shared" si="100"/>
        <v>21.909490969</v>
      </c>
      <c r="P576" s="6">
        <f t="shared" si="100"/>
        <v>21.872129801</v>
      </c>
      <c r="Q576" s="6">
        <f t="shared" si="100"/>
        <v>21.833358561000001</v>
      </c>
      <c r="R576" s="6">
        <f t="shared" si="100"/>
        <v>21.816419486999997</v>
      </c>
      <c r="S576" s="6">
        <f t="shared" si="100"/>
        <v>21.811153606000001</v>
      </c>
      <c r="T576" s="6">
        <f t="shared" si="100"/>
        <v>21.823836400000001</v>
      </c>
      <c r="U576" s="6">
        <f t="shared" si="100"/>
        <v>21.863130961</v>
      </c>
      <c r="V576" s="6">
        <f t="shared" si="100"/>
        <v>21.933386541000001</v>
      </c>
      <c r="W576" s="6">
        <f t="shared" si="100"/>
        <v>22.039712849000001</v>
      </c>
      <c r="X576" s="6">
        <f t="shared" si="100"/>
        <v>22.186700642000002</v>
      </c>
      <c r="Y576" s="6">
        <f t="shared" si="100"/>
        <v>22.380913012000001</v>
      </c>
      <c r="Z576" s="6">
        <f t="shared" si="100"/>
        <v>22.623754559000002</v>
      </c>
      <c r="AA576" s="6">
        <f t="shared" si="100"/>
        <v>22.911807363999998</v>
      </c>
      <c r="AB576" s="6">
        <f t="shared" si="100"/>
        <v>23.243181694</v>
      </c>
      <c r="AC576" s="6">
        <f t="shared" si="100"/>
        <v>23.616084093000001</v>
      </c>
      <c r="AD576" s="6">
        <f t="shared" si="100"/>
        <v>24.042142779999999</v>
      </c>
      <c r="AE576" s="6">
        <f t="shared" si="100"/>
        <v>24.519412801000001</v>
      </c>
      <c r="AF576" s="6">
        <f t="shared" si="100"/>
        <v>25.033317357999998</v>
      </c>
      <c r="AG576" s="6">
        <f t="shared" si="100"/>
        <v>25.566404325000001</v>
      </c>
      <c r="AH576" s="6">
        <f t="shared" si="100"/>
        <v>26.107713766</v>
      </c>
      <c r="AI576" s="6">
        <f t="shared" si="100"/>
        <v>26.651908969000001</v>
      </c>
      <c r="AJ576" s="6">
        <f t="shared" si="100"/>
        <v>27.193569375999999</v>
      </c>
      <c r="AK576" s="6">
        <f t="shared" si="100"/>
        <v>27.727288405000003</v>
      </c>
      <c r="AL576" s="6">
        <f t="shared" si="100"/>
        <v>28.247671851</v>
      </c>
    </row>
    <row r="577" spans="1:38" x14ac:dyDescent="0.35">
      <c r="B577" t="s">
        <v>88</v>
      </c>
      <c r="C577" s="6">
        <f>SUM(C422:C424,C428:C430,C434:C436,C440:C442,C443:C445,C446:C448)</f>
        <v>17.100565316400001</v>
      </c>
      <c r="D577" s="6">
        <f t="shared" ref="D577:AL577" si="101">SUM(D422:D424,D428:D430,D434:D436,D440:D442,D443:D445,D446:D448)</f>
        <v>17.424911277100001</v>
      </c>
      <c r="E577" s="6">
        <f t="shared" si="101"/>
        <v>17.7468878309</v>
      </c>
      <c r="F577" s="6">
        <f t="shared" si="101"/>
        <v>17.838600177000004</v>
      </c>
      <c r="G577" s="6">
        <f t="shared" si="101"/>
        <v>17.887893331100003</v>
      </c>
      <c r="H577" s="6">
        <f t="shared" si="101"/>
        <v>17.956448254600001</v>
      </c>
      <c r="I577" s="6">
        <f t="shared" si="101"/>
        <v>18.063957953300001</v>
      </c>
      <c r="J577" s="6">
        <f t="shared" si="101"/>
        <v>17.381088282900002</v>
      </c>
      <c r="K577" s="6">
        <f t="shared" si="101"/>
        <v>16.664393111900001</v>
      </c>
      <c r="L577" s="6">
        <f t="shared" si="101"/>
        <v>16.054295435900002</v>
      </c>
      <c r="M577" s="6">
        <f t="shared" si="101"/>
        <v>15.506002791299998</v>
      </c>
      <c r="N577" s="6">
        <f t="shared" si="101"/>
        <v>15.061325272600001</v>
      </c>
      <c r="O577" s="6">
        <f t="shared" si="101"/>
        <v>14.6673148891</v>
      </c>
      <c r="P577" s="6">
        <f t="shared" si="101"/>
        <v>14.296460946</v>
      </c>
      <c r="Q577" s="6">
        <f t="shared" si="101"/>
        <v>13.950671347499998</v>
      </c>
      <c r="R577" s="6">
        <f t="shared" si="101"/>
        <v>13.631270110799999</v>
      </c>
      <c r="S577" s="6">
        <f t="shared" si="101"/>
        <v>13.310043420400001</v>
      </c>
      <c r="T577" s="6">
        <f t="shared" si="101"/>
        <v>12.999189299400001</v>
      </c>
      <c r="U577" s="6">
        <f t="shared" si="101"/>
        <v>12.7025446661</v>
      </c>
      <c r="V577" s="6">
        <f t="shared" si="101"/>
        <v>12.420125294400002</v>
      </c>
      <c r="W577" s="6">
        <f t="shared" si="101"/>
        <v>12.1516571286</v>
      </c>
      <c r="X577" s="6">
        <f t="shared" si="101"/>
        <v>11.8967201023</v>
      </c>
      <c r="Y577" s="6">
        <f t="shared" si="101"/>
        <v>11.654990705399999</v>
      </c>
      <c r="Z577" s="6">
        <f t="shared" si="101"/>
        <v>11.424714661100001</v>
      </c>
      <c r="AA577" s="6">
        <f t="shared" si="101"/>
        <v>11.202877873599999</v>
      </c>
      <c r="AB577" s="6">
        <f t="shared" si="101"/>
        <v>10.9867779063</v>
      </c>
      <c r="AC577" s="6">
        <f t="shared" si="101"/>
        <v>10.774687952800001</v>
      </c>
      <c r="AD577" s="6">
        <f t="shared" si="101"/>
        <v>10.565334285499999</v>
      </c>
      <c r="AE577" s="6">
        <f t="shared" si="101"/>
        <v>10.355457013199999</v>
      </c>
      <c r="AF577" s="6">
        <f t="shared" si="101"/>
        <v>10.1393295418</v>
      </c>
      <c r="AG577" s="6">
        <f t="shared" si="101"/>
        <v>9.9104320484999988</v>
      </c>
      <c r="AH577" s="6">
        <f t="shared" si="101"/>
        <v>9.6630570467000005</v>
      </c>
      <c r="AI577" s="6">
        <f t="shared" si="101"/>
        <v>9.3919939598000006</v>
      </c>
      <c r="AJ577" s="6">
        <f t="shared" si="101"/>
        <v>9.091608110300001</v>
      </c>
      <c r="AK577" s="6">
        <f t="shared" si="101"/>
        <v>8.7558311671000002</v>
      </c>
      <c r="AL577" s="6">
        <f t="shared" si="101"/>
        <v>8.3778280755000001</v>
      </c>
    </row>
    <row r="578" spans="1:38" x14ac:dyDescent="0.35">
      <c r="B578" t="s">
        <v>89</v>
      </c>
      <c r="C578" s="6">
        <f>SUM(C452:C454)</f>
        <v>15.963741819999999</v>
      </c>
      <c r="D578" s="6">
        <f t="shared" ref="D578:AL578" si="102">SUM(D452:D454)</f>
        <v>15.8515985</v>
      </c>
      <c r="E578" s="6">
        <f t="shared" si="102"/>
        <v>15.75964551</v>
      </c>
      <c r="F578" s="6">
        <f t="shared" si="102"/>
        <v>15.699473429999999</v>
      </c>
      <c r="G578" s="6">
        <f t="shared" si="102"/>
        <v>15.71363586</v>
      </c>
      <c r="H578" s="6">
        <f t="shared" si="102"/>
        <v>15.78505872</v>
      </c>
      <c r="I578" s="6">
        <f t="shared" si="102"/>
        <v>15.88973846</v>
      </c>
      <c r="J578" s="6">
        <f t="shared" si="102"/>
        <v>15.29738908</v>
      </c>
      <c r="K578" s="6">
        <f t="shared" si="102"/>
        <v>14.67667683</v>
      </c>
      <c r="L578" s="6">
        <f t="shared" si="102"/>
        <v>14.114714230000001</v>
      </c>
      <c r="M578" s="6">
        <f t="shared" si="102"/>
        <v>13.57797618</v>
      </c>
      <c r="N578" s="6">
        <f t="shared" si="102"/>
        <v>13.08820687</v>
      </c>
      <c r="O578" s="6">
        <f t="shared" si="102"/>
        <v>12.627928799999999</v>
      </c>
      <c r="P578" s="6">
        <f t="shared" si="102"/>
        <v>12.180420870000001</v>
      </c>
      <c r="Q578" s="6">
        <f t="shared" si="102"/>
        <v>11.74470064</v>
      </c>
      <c r="R578" s="6">
        <f t="shared" si="102"/>
        <v>11.31937488</v>
      </c>
      <c r="S578" s="6">
        <f t="shared" si="102"/>
        <v>10.89616996</v>
      </c>
      <c r="T578" s="6">
        <f t="shared" si="102"/>
        <v>10.476304320000001</v>
      </c>
      <c r="U578" s="6">
        <f t="shared" si="102"/>
        <v>10.060657880000001</v>
      </c>
      <c r="V578" s="6">
        <f t="shared" si="102"/>
        <v>9.6487692969999994</v>
      </c>
      <c r="W578" s="6">
        <f t="shared" si="102"/>
        <v>9.2397861040000002</v>
      </c>
      <c r="X578" s="6">
        <f t="shared" si="102"/>
        <v>8.8323169959999994</v>
      </c>
      <c r="Y578" s="6">
        <f t="shared" si="102"/>
        <v>8.4250594299999992</v>
      </c>
      <c r="Z578" s="6">
        <f t="shared" si="102"/>
        <v>8.0159116519999998</v>
      </c>
      <c r="AA578" s="6">
        <f t="shared" si="102"/>
        <v>7.601947161</v>
      </c>
      <c r="AB578" s="6">
        <f t="shared" si="102"/>
        <v>7.1802670989999999</v>
      </c>
      <c r="AC578" s="6">
        <f t="shared" si="102"/>
        <v>6.7481631450000004</v>
      </c>
      <c r="AD578" s="6">
        <f t="shared" si="102"/>
        <v>6.3031692909999997</v>
      </c>
      <c r="AE578" s="6">
        <f t="shared" si="102"/>
        <v>5.8418315300000003</v>
      </c>
      <c r="AF578" s="6">
        <f t="shared" si="102"/>
        <v>5.3594764819999998</v>
      </c>
      <c r="AG578" s="6">
        <f t="shared" si="102"/>
        <v>4.8512273859999997</v>
      </c>
      <c r="AH578" s="6">
        <f t="shared" si="102"/>
        <v>4.3127788479999998</v>
      </c>
      <c r="AI578" s="6">
        <f t="shared" si="102"/>
        <v>3.7402577799999999</v>
      </c>
      <c r="AJ578" s="6">
        <f t="shared" si="102"/>
        <v>3.129790469</v>
      </c>
      <c r="AK578" s="6">
        <f t="shared" si="102"/>
        <v>2.477293537</v>
      </c>
      <c r="AL578" s="6">
        <f t="shared" si="102"/>
        <v>1.778226466</v>
      </c>
    </row>
    <row r="579" spans="1:38" x14ac:dyDescent="0.35">
      <c r="B579" t="s">
        <v>90</v>
      </c>
      <c r="C579" s="6">
        <f>SUM(C458:C460)</f>
        <v>19.721460579999999</v>
      </c>
      <c r="D579" s="6">
        <f t="shared" ref="D579:AL579" si="103">SUM(D458:D460)</f>
        <v>19.881738299999999</v>
      </c>
      <c r="E579" s="6">
        <f t="shared" si="103"/>
        <v>20.047571820000002</v>
      </c>
      <c r="F579" s="6">
        <f t="shared" si="103"/>
        <v>20.18646017</v>
      </c>
      <c r="G579" s="6">
        <f t="shared" si="103"/>
        <v>20.38485592</v>
      </c>
      <c r="H579" s="6">
        <f t="shared" si="103"/>
        <v>20.649143389999999</v>
      </c>
      <c r="I579" s="6">
        <f t="shared" si="103"/>
        <v>20.963280340000001</v>
      </c>
      <c r="J579" s="6">
        <f t="shared" si="103"/>
        <v>20.335913560000002</v>
      </c>
      <c r="K579" s="6">
        <f t="shared" si="103"/>
        <v>19.651786049999998</v>
      </c>
      <c r="L579" s="6">
        <f t="shared" si="103"/>
        <v>19.111740569999998</v>
      </c>
      <c r="M579" s="6">
        <f t="shared" si="103"/>
        <v>18.615363890000001</v>
      </c>
      <c r="N579" s="6">
        <f t="shared" si="103"/>
        <v>18.18284641</v>
      </c>
      <c r="O579" s="6">
        <f t="shared" si="103"/>
        <v>17.774912199999999</v>
      </c>
      <c r="P579" s="6">
        <f t="shared" si="103"/>
        <v>17.353642789999999</v>
      </c>
      <c r="Q579" s="6">
        <f t="shared" si="103"/>
        <v>16.923478849999999</v>
      </c>
      <c r="R579" s="6">
        <f t="shared" si="103"/>
        <v>16.48543716</v>
      </c>
      <c r="S579" s="6">
        <f t="shared" si="103"/>
        <v>16.021107829999998</v>
      </c>
      <c r="T579" s="6">
        <f t="shared" si="103"/>
        <v>15.543321580000001</v>
      </c>
      <c r="U579" s="6">
        <f t="shared" si="103"/>
        <v>15.06079984</v>
      </c>
      <c r="V579" s="6">
        <f t="shared" si="103"/>
        <v>14.5771099</v>
      </c>
      <c r="W579" s="6">
        <f t="shared" si="103"/>
        <v>14.09385165</v>
      </c>
      <c r="X579" s="6">
        <f t="shared" si="103"/>
        <v>13.611430609999999</v>
      </c>
      <c r="Y579" s="6">
        <f t="shared" si="103"/>
        <v>13.129790789999999</v>
      </c>
      <c r="Z579" s="6">
        <f t="shared" si="103"/>
        <v>12.644526859999999</v>
      </c>
      <c r="AA579" s="6">
        <f t="shared" si="103"/>
        <v>12.148264620000001</v>
      </c>
      <c r="AB579" s="6">
        <f t="shared" si="103"/>
        <v>11.63410577</v>
      </c>
      <c r="AC579" s="6">
        <f t="shared" si="103"/>
        <v>11.100201719999999</v>
      </c>
      <c r="AD579" s="6">
        <f t="shared" si="103"/>
        <v>10.544507250000001</v>
      </c>
      <c r="AE579" s="6">
        <f t="shared" si="103"/>
        <v>9.9592023919999999</v>
      </c>
      <c r="AF579" s="6">
        <f t="shared" si="103"/>
        <v>9.3317020409999998</v>
      </c>
      <c r="AG579" s="6">
        <f t="shared" si="103"/>
        <v>8.6485480359999993</v>
      </c>
      <c r="AH579" s="6">
        <f t="shared" si="103"/>
        <v>7.8987129559999998</v>
      </c>
      <c r="AI579" s="6">
        <f t="shared" si="103"/>
        <v>7.0722405540000004</v>
      </c>
      <c r="AJ579" s="6">
        <f t="shared" si="103"/>
        <v>6.1572468589999998</v>
      </c>
      <c r="AK579" s="6">
        <f t="shared" si="103"/>
        <v>5.1398433790000002</v>
      </c>
      <c r="AL579" s="6">
        <f t="shared" si="103"/>
        <v>4.0034729450000004</v>
      </c>
    </row>
    <row r="580" spans="1:38" x14ac:dyDescent="0.35">
      <c r="B580" t="s">
        <v>91</v>
      </c>
      <c r="C580" s="6">
        <f>SUM(C449:C451,C455:C457)</f>
        <v>9.3291779530000003</v>
      </c>
      <c r="D580" s="6">
        <f t="shared" ref="D580:AL580" si="104">SUM(D449:D451,D455:D457)</f>
        <v>9.365799183</v>
      </c>
      <c r="E580" s="6">
        <f t="shared" si="104"/>
        <v>9.4113230940000001</v>
      </c>
      <c r="F580" s="6">
        <f t="shared" si="104"/>
        <v>9.4626151870000008</v>
      </c>
      <c r="G580" s="6">
        <f t="shared" si="104"/>
        <v>9.5430708289999995</v>
      </c>
      <c r="H580" s="6">
        <f t="shared" si="104"/>
        <v>9.6478262109999999</v>
      </c>
      <c r="I580" s="6">
        <f t="shared" si="104"/>
        <v>9.7680813509999993</v>
      </c>
      <c r="J580" s="6">
        <f t="shared" si="104"/>
        <v>9.4850744549999995</v>
      </c>
      <c r="K580" s="6">
        <f t="shared" si="104"/>
        <v>9.2076859649999996</v>
      </c>
      <c r="L580" s="6">
        <f t="shared" si="104"/>
        <v>9.0073030500000009</v>
      </c>
      <c r="M580" s="6">
        <f t="shared" si="104"/>
        <v>8.824254067</v>
      </c>
      <c r="N580" s="6">
        <f t="shared" si="104"/>
        <v>8.651490625000001</v>
      </c>
      <c r="O580" s="6">
        <f t="shared" si="104"/>
        <v>8.4655120000000004</v>
      </c>
      <c r="P580" s="6">
        <f t="shared" si="104"/>
        <v>8.2535821600000006</v>
      </c>
      <c r="Q580" s="6">
        <f t="shared" si="104"/>
        <v>8.0250070490000009</v>
      </c>
      <c r="R580" s="6">
        <f t="shared" si="104"/>
        <v>7.7860307300000002</v>
      </c>
      <c r="S580" s="6">
        <f t="shared" si="104"/>
        <v>7.541156913</v>
      </c>
      <c r="T580" s="6">
        <f t="shared" si="104"/>
        <v>7.2953712579999994</v>
      </c>
      <c r="U580" s="6">
        <f t="shared" si="104"/>
        <v>7.0513921440000003</v>
      </c>
      <c r="V580" s="6">
        <f t="shared" si="104"/>
        <v>6.8089654629999998</v>
      </c>
      <c r="W580" s="6">
        <f t="shared" si="104"/>
        <v>6.5672925559999999</v>
      </c>
      <c r="X580" s="6">
        <f t="shared" si="104"/>
        <v>6.3256583470000001</v>
      </c>
      <c r="Y580" s="6">
        <f t="shared" si="104"/>
        <v>6.0835368140000003</v>
      </c>
      <c r="Z580" s="6">
        <f t="shared" si="104"/>
        <v>5.8383634280000001</v>
      </c>
      <c r="AA580" s="6">
        <f t="shared" si="104"/>
        <v>5.5864732999999998</v>
      </c>
      <c r="AB580" s="6">
        <f t="shared" si="104"/>
        <v>5.3247807300000005</v>
      </c>
      <c r="AC580" s="6">
        <f t="shared" si="104"/>
        <v>5.0527951150000003</v>
      </c>
      <c r="AD580" s="6">
        <f t="shared" si="104"/>
        <v>4.7709212320000001</v>
      </c>
      <c r="AE580" s="6">
        <f t="shared" si="104"/>
        <v>4.4756064950000001</v>
      </c>
      <c r="AF580" s="6">
        <f t="shared" si="104"/>
        <v>4.1611280199999996</v>
      </c>
      <c r="AG580" s="6">
        <f t="shared" si="104"/>
        <v>3.8219449069999998</v>
      </c>
      <c r="AH580" s="6">
        <f t="shared" si="104"/>
        <v>3.4544505220000001</v>
      </c>
      <c r="AI580" s="6">
        <f t="shared" si="104"/>
        <v>3.0559963809999999</v>
      </c>
      <c r="AJ580" s="6">
        <f t="shared" si="104"/>
        <v>2.6232072980000001</v>
      </c>
      <c r="AK580" s="6">
        <f t="shared" si="104"/>
        <v>2.1523259133000003</v>
      </c>
      <c r="AL580" s="6">
        <f t="shared" si="104"/>
        <v>1.6392331546999999</v>
      </c>
    </row>
    <row r="581" spans="1:38" x14ac:dyDescent="0.35">
      <c r="B581" t="s">
        <v>10</v>
      </c>
      <c r="C581" s="6">
        <f>SUM(C461:C466)</f>
        <v>56.429753870100001</v>
      </c>
      <c r="D581" s="6">
        <f t="shared" ref="D581:AL581" si="105">SUM(D461:D466)</f>
        <v>56.188034647899997</v>
      </c>
      <c r="E581" s="6">
        <f t="shared" si="105"/>
        <v>55.941407728499996</v>
      </c>
      <c r="F581" s="6">
        <f t="shared" si="105"/>
        <v>55.676411762100003</v>
      </c>
      <c r="G581" s="6">
        <f t="shared" si="105"/>
        <v>55.7260976317</v>
      </c>
      <c r="H581" s="6">
        <f t="shared" si="105"/>
        <v>56.031361883899997</v>
      </c>
      <c r="I581" s="6">
        <f t="shared" si="105"/>
        <v>56.5250650471</v>
      </c>
      <c r="J581" s="6">
        <f t="shared" si="105"/>
        <v>55.0553802692</v>
      </c>
      <c r="K581" s="6">
        <f t="shared" si="105"/>
        <v>53.308627083499999</v>
      </c>
      <c r="L581" s="6">
        <f t="shared" si="105"/>
        <v>51.606107403999992</v>
      </c>
      <c r="M581" s="6">
        <f t="shared" si="105"/>
        <v>49.963204552500002</v>
      </c>
      <c r="N581" s="6">
        <f t="shared" si="105"/>
        <v>48.616918166600001</v>
      </c>
      <c r="O581" s="6">
        <f t="shared" si="105"/>
        <v>47.4898199346</v>
      </c>
      <c r="P581" s="6">
        <f t="shared" si="105"/>
        <v>46.508685281799998</v>
      </c>
      <c r="Q581" s="6">
        <f t="shared" si="105"/>
        <v>45.647136990999996</v>
      </c>
      <c r="R581" s="6">
        <f t="shared" si="105"/>
        <v>44.888207288099998</v>
      </c>
      <c r="S581" s="6">
        <f t="shared" si="105"/>
        <v>44.128553424099998</v>
      </c>
      <c r="T581" s="6">
        <f t="shared" si="105"/>
        <v>43.399866793800001</v>
      </c>
      <c r="U581" s="6">
        <f t="shared" si="105"/>
        <v>42.723303784999999</v>
      </c>
      <c r="V581" s="6">
        <f t="shared" si="105"/>
        <v>42.109725622699997</v>
      </c>
      <c r="W581" s="6">
        <f t="shared" si="105"/>
        <v>41.564498077300001</v>
      </c>
      <c r="X581" s="6">
        <f t="shared" si="105"/>
        <v>41.089749495600003</v>
      </c>
      <c r="Y581" s="6">
        <f t="shared" si="105"/>
        <v>40.685939945599998</v>
      </c>
      <c r="Z581" s="6">
        <f t="shared" si="105"/>
        <v>40.349088782499997</v>
      </c>
      <c r="AA581" s="6">
        <f t="shared" si="105"/>
        <v>40.072793849600004</v>
      </c>
      <c r="AB581" s="6">
        <f t="shared" si="105"/>
        <v>39.849852499699999</v>
      </c>
      <c r="AC581" s="6">
        <f t="shared" si="105"/>
        <v>39.677600456699999</v>
      </c>
      <c r="AD581" s="6">
        <f t="shared" si="105"/>
        <v>39.552942709299998</v>
      </c>
      <c r="AE581" s="6">
        <f t="shared" si="105"/>
        <v>39.464937753300006</v>
      </c>
      <c r="AF581" s="6">
        <f t="shared" si="105"/>
        <v>39.396182349200004</v>
      </c>
      <c r="AG581" s="6">
        <f t="shared" si="105"/>
        <v>39.327438528400002</v>
      </c>
      <c r="AH581" s="6">
        <f t="shared" si="105"/>
        <v>39.242351212100004</v>
      </c>
      <c r="AI581" s="6">
        <f t="shared" si="105"/>
        <v>39.1266260915</v>
      </c>
      <c r="AJ581" s="6">
        <f t="shared" si="105"/>
        <v>38.964451995199994</v>
      </c>
      <c r="AK581" s="6">
        <f t="shared" si="105"/>
        <v>38.739365590999995</v>
      </c>
      <c r="AL581" s="6">
        <f t="shared" si="105"/>
        <v>38.4335433643</v>
      </c>
    </row>
    <row r="582" spans="1:38" x14ac:dyDescent="0.35">
      <c r="B582" t="s">
        <v>24</v>
      </c>
      <c r="C582" s="6">
        <f>SUM(C467:C481)</f>
        <v>37.267087160300001</v>
      </c>
      <c r="D582" s="6">
        <f t="shared" ref="D582:AL582" si="106">SUM(D467:D481)</f>
        <v>38.075632686499993</v>
      </c>
      <c r="E582" s="6">
        <f t="shared" si="106"/>
        <v>38.811907164299996</v>
      </c>
      <c r="F582" s="6">
        <f t="shared" si="106"/>
        <v>39.470037649299996</v>
      </c>
      <c r="G582" s="6">
        <f t="shared" si="106"/>
        <v>40.096602546500002</v>
      </c>
      <c r="H582" s="6">
        <f t="shared" si="106"/>
        <v>40.715293524099998</v>
      </c>
      <c r="I582" s="6">
        <f t="shared" si="106"/>
        <v>41.323609309799998</v>
      </c>
      <c r="J582" s="6">
        <f t="shared" si="106"/>
        <v>41.940262042700013</v>
      </c>
      <c r="K582" s="6">
        <f t="shared" si="106"/>
        <v>42.460181054700008</v>
      </c>
      <c r="L582" s="6">
        <f t="shared" si="106"/>
        <v>42.841769353099998</v>
      </c>
      <c r="M582" s="6">
        <f t="shared" si="106"/>
        <v>42.968669145200003</v>
      </c>
      <c r="N582" s="6">
        <f t="shared" si="106"/>
        <v>42.849592007199995</v>
      </c>
      <c r="O582" s="6">
        <f t="shared" si="106"/>
        <v>42.515829322199998</v>
      </c>
      <c r="P582" s="6">
        <f t="shared" si="106"/>
        <v>42.001039360299991</v>
      </c>
      <c r="Q582" s="6">
        <f t="shared" si="106"/>
        <v>41.358665146699991</v>
      </c>
      <c r="R582" s="6">
        <f t="shared" si="106"/>
        <v>40.626606869599989</v>
      </c>
      <c r="S582" s="6">
        <f t="shared" si="106"/>
        <v>40.0022334883</v>
      </c>
      <c r="T582" s="6">
        <f t="shared" si="106"/>
        <v>39.356970734400001</v>
      </c>
      <c r="U582" s="6">
        <f t="shared" si="106"/>
        <v>38.684905778699999</v>
      </c>
      <c r="V582" s="6">
        <f t="shared" si="106"/>
        <v>37.992675781599999</v>
      </c>
      <c r="W582" s="6">
        <f t="shared" si="106"/>
        <v>37.287915155900002</v>
      </c>
      <c r="X582" s="6">
        <f t="shared" si="106"/>
        <v>36.577798938800001</v>
      </c>
      <c r="Y582" s="6">
        <f t="shared" si="106"/>
        <v>35.869914447699998</v>
      </c>
      <c r="Z582" s="6">
        <f t="shared" si="106"/>
        <v>35.169352451000002</v>
      </c>
      <c r="AA582" s="6">
        <f t="shared" si="106"/>
        <v>34.478794915899996</v>
      </c>
      <c r="AB582" s="6">
        <f t="shared" si="106"/>
        <v>33.801180746</v>
      </c>
      <c r="AC582" s="6">
        <f t="shared" si="106"/>
        <v>33.146424039400003</v>
      </c>
      <c r="AD582" s="6">
        <f t="shared" si="106"/>
        <v>32.518075666599998</v>
      </c>
      <c r="AE582" s="6">
        <f t="shared" si="106"/>
        <v>31.919116016300002</v>
      </c>
      <c r="AF582" s="6">
        <f t="shared" si="106"/>
        <v>31.3476374271</v>
      </c>
      <c r="AG582" s="6">
        <f t="shared" si="106"/>
        <v>30.800043122699996</v>
      </c>
      <c r="AH582" s="6">
        <f t="shared" si="106"/>
        <v>30.275201728700001</v>
      </c>
      <c r="AI582" s="6">
        <f t="shared" si="106"/>
        <v>29.774591747199999</v>
      </c>
      <c r="AJ582" s="6">
        <f t="shared" si="106"/>
        <v>29.300111631600004</v>
      </c>
      <c r="AK582" s="6">
        <f t="shared" si="106"/>
        <v>28.854250834599998</v>
      </c>
      <c r="AL582" s="6">
        <f t="shared" si="106"/>
        <v>28.440376196399999</v>
      </c>
    </row>
    <row r="583" spans="1:38" x14ac:dyDescent="0.35">
      <c r="B583" t="s">
        <v>11</v>
      </c>
      <c r="C583" s="6">
        <f>SUM(C482:C490)</f>
        <v>9.0779637272000002</v>
      </c>
      <c r="D583" s="6">
        <f t="shared" ref="D583:AL583" si="107">SUM(D482:D490)</f>
        <v>8.9191226265000001</v>
      </c>
      <c r="E583" s="6">
        <f t="shared" si="107"/>
        <v>8.8456536258999989</v>
      </c>
      <c r="F583" s="6">
        <f t="shared" si="107"/>
        <v>8.8261625748999997</v>
      </c>
      <c r="G583" s="6">
        <f t="shared" si="107"/>
        <v>8.8486953466999996</v>
      </c>
      <c r="H583" s="6">
        <f t="shared" si="107"/>
        <v>8.9043872815</v>
      </c>
      <c r="I583" s="6">
        <f t="shared" si="107"/>
        <v>8.9883705811999999</v>
      </c>
      <c r="J583" s="6">
        <f t="shared" si="107"/>
        <v>9.0130833452000001</v>
      </c>
      <c r="K583" s="6">
        <f t="shared" si="107"/>
        <v>9.0564763430000017</v>
      </c>
      <c r="L583" s="6">
        <f t="shared" si="107"/>
        <v>9.1564585428999994</v>
      </c>
      <c r="M583" s="6">
        <f t="shared" si="107"/>
        <v>9.2826554721999983</v>
      </c>
      <c r="N583" s="6">
        <f t="shared" si="107"/>
        <v>9.4138959306000007</v>
      </c>
      <c r="O583" s="6">
        <f t="shared" si="107"/>
        <v>9.5421367678000006</v>
      </c>
      <c r="P583" s="6">
        <f t="shared" si="107"/>
        <v>9.6586895200999994</v>
      </c>
      <c r="Q583" s="6">
        <f t="shared" si="107"/>
        <v>9.7653907213000011</v>
      </c>
      <c r="R583" s="6">
        <f t="shared" si="107"/>
        <v>9.8628797179999985</v>
      </c>
      <c r="S583" s="6">
        <f t="shared" si="107"/>
        <v>9.9394084215000014</v>
      </c>
      <c r="T583" s="6">
        <f t="shared" si="107"/>
        <v>10.005717984700002</v>
      </c>
      <c r="U583" s="6">
        <f t="shared" si="107"/>
        <v>10.062538002499998</v>
      </c>
      <c r="V583" s="6">
        <f t="shared" si="107"/>
        <v>10.1098706337</v>
      </c>
      <c r="W583" s="6">
        <f t="shared" si="107"/>
        <v>10.148308441400001</v>
      </c>
      <c r="X583" s="6">
        <f t="shared" si="107"/>
        <v>10.178850109699999</v>
      </c>
      <c r="Y583" s="6">
        <f t="shared" si="107"/>
        <v>10.2027827654</v>
      </c>
      <c r="Z583" s="6">
        <f t="shared" si="107"/>
        <v>10.220236979099999</v>
      </c>
      <c r="AA583" s="6">
        <f t="shared" si="107"/>
        <v>10.230449564199997</v>
      </c>
      <c r="AB583" s="6">
        <f t="shared" si="107"/>
        <v>10.2326764103</v>
      </c>
      <c r="AC583" s="6">
        <f t="shared" si="107"/>
        <v>10.2312845083</v>
      </c>
      <c r="AD583" s="6">
        <f t="shared" si="107"/>
        <v>10.2249903264</v>
      </c>
      <c r="AE583" s="6">
        <f t="shared" si="107"/>
        <v>10.212497383900001</v>
      </c>
      <c r="AF583" s="6">
        <f t="shared" si="107"/>
        <v>10.190558956600002</v>
      </c>
      <c r="AG583" s="6">
        <f t="shared" si="107"/>
        <v>10.1554105408</v>
      </c>
      <c r="AH583" s="6">
        <f t="shared" si="107"/>
        <v>10.104651800700001</v>
      </c>
      <c r="AI583" s="6">
        <f t="shared" si="107"/>
        <v>10.037015328200001</v>
      </c>
      <c r="AJ583" s="6">
        <f t="shared" si="107"/>
        <v>9.9509005191000011</v>
      </c>
      <c r="AK583" s="6">
        <f t="shared" si="107"/>
        <v>9.8447201649</v>
      </c>
      <c r="AL583" s="6">
        <f t="shared" si="107"/>
        <v>9.7171271124</v>
      </c>
    </row>
    <row r="585" spans="1:38" x14ac:dyDescent="0.35">
      <c r="A585" s="12" t="s">
        <v>66</v>
      </c>
      <c r="C585" s="7" t="s">
        <v>46</v>
      </c>
      <c r="D585" s="7" t="s">
        <v>14</v>
      </c>
      <c r="E585" s="7" t="s">
        <v>15</v>
      </c>
      <c r="F585" s="7" t="s">
        <v>16</v>
      </c>
    </row>
    <row r="586" spans="1:38" x14ac:dyDescent="0.35">
      <c r="A586" t="s">
        <v>27</v>
      </c>
      <c r="B586" t="s">
        <v>7</v>
      </c>
      <c r="C586" s="6">
        <f>H572</f>
        <v>13.931499239600001</v>
      </c>
      <c r="D586" s="6">
        <f>R572</f>
        <v>10.2231709698</v>
      </c>
      <c r="E586" s="6">
        <f>AB572</f>
        <v>8.4474114518000007</v>
      </c>
      <c r="F586" s="6">
        <f>AL572</f>
        <v>6.8887080744000002</v>
      </c>
    </row>
    <row r="587" spans="1:38" x14ac:dyDescent="0.35">
      <c r="B587" t="s">
        <v>84</v>
      </c>
      <c r="C587" s="6">
        <f t="shared" ref="C587:C597" si="108">H573</f>
        <v>9.5550503080000002</v>
      </c>
      <c r="D587" s="6">
        <f t="shared" ref="D587:D597" si="109">R573</f>
        <v>7.051581273</v>
      </c>
      <c r="E587" s="6">
        <f t="shared" ref="E587:E597" si="110">AB573</f>
        <v>5.3275819929999999</v>
      </c>
      <c r="F587" s="6">
        <f t="shared" ref="F587:F597" si="111">AL573</f>
        <v>3.4166946079999998</v>
      </c>
    </row>
    <row r="588" spans="1:38" x14ac:dyDescent="0.35">
      <c r="B588" t="s">
        <v>85</v>
      </c>
      <c r="C588" s="6">
        <f t="shared" si="108"/>
        <v>21.785772481000002</v>
      </c>
      <c r="D588" s="6">
        <f t="shared" si="109"/>
        <v>22.372634483999999</v>
      </c>
      <c r="E588" s="6">
        <f t="shared" si="110"/>
        <v>24.196214502</v>
      </c>
      <c r="F588" s="6">
        <f t="shared" si="111"/>
        <v>28.301757099</v>
      </c>
    </row>
    <row r="589" spans="1:38" x14ac:dyDescent="0.35">
      <c r="B589" t="s">
        <v>86</v>
      </c>
      <c r="C589" s="6">
        <f t="shared" si="108"/>
        <v>6.6067830999999995</v>
      </c>
      <c r="D589" s="6">
        <f t="shared" si="109"/>
        <v>6.6637915330000004</v>
      </c>
      <c r="E589" s="6">
        <f t="shared" si="110"/>
        <v>6.9669530490000007</v>
      </c>
      <c r="F589" s="6">
        <f t="shared" si="111"/>
        <v>7.9098407819999998</v>
      </c>
    </row>
    <row r="590" spans="1:38" x14ac:dyDescent="0.35">
      <c r="B590" t="s">
        <v>87</v>
      </c>
      <c r="C590" s="6">
        <f t="shared" si="108"/>
        <v>21.692599146999999</v>
      </c>
      <c r="D590" s="6">
        <f t="shared" si="109"/>
        <v>21.816419486999997</v>
      </c>
      <c r="E590" s="6">
        <f t="shared" si="110"/>
        <v>23.243181694</v>
      </c>
      <c r="F590" s="6">
        <f t="shared" si="111"/>
        <v>28.247671851</v>
      </c>
    </row>
    <row r="591" spans="1:38" x14ac:dyDescent="0.35">
      <c r="B591" t="s">
        <v>88</v>
      </c>
      <c r="C591" s="6">
        <f t="shared" si="108"/>
        <v>17.956448254600001</v>
      </c>
      <c r="D591" s="6">
        <f t="shared" si="109"/>
        <v>13.631270110799999</v>
      </c>
      <c r="E591" s="6">
        <f t="shared" si="110"/>
        <v>10.9867779063</v>
      </c>
      <c r="F591" s="6">
        <f t="shared" si="111"/>
        <v>8.3778280755000001</v>
      </c>
    </row>
    <row r="592" spans="1:38" x14ac:dyDescent="0.35">
      <c r="B592" t="s">
        <v>89</v>
      </c>
      <c r="C592" s="6">
        <f t="shared" si="108"/>
        <v>15.78505872</v>
      </c>
      <c r="D592" s="6">
        <f t="shared" si="109"/>
        <v>11.31937488</v>
      </c>
      <c r="E592" s="6">
        <f t="shared" si="110"/>
        <v>7.1802670989999999</v>
      </c>
      <c r="F592" s="6">
        <f t="shared" si="111"/>
        <v>1.778226466</v>
      </c>
    </row>
    <row r="593" spans="1:38" x14ac:dyDescent="0.35">
      <c r="B593" t="s">
        <v>90</v>
      </c>
      <c r="C593" s="6">
        <f t="shared" si="108"/>
        <v>20.649143389999999</v>
      </c>
      <c r="D593" s="6">
        <f t="shared" si="109"/>
        <v>16.48543716</v>
      </c>
      <c r="E593" s="6">
        <f t="shared" si="110"/>
        <v>11.63410577</v>
      </c>
      <c r="F593" s="6">
        <f t="shared" si="111"/>
        <v>4.0034729450000004</v>
      </c>
    </row>
    <row r="594" spans="1:38" x14ac:dyDescent="0.35">
      <c r="B594" t="s">
        <v>91</v>
      </c>
      <c r="C594" s="6">
        <f t="shared" si="108"/>
        <v>9.6478262109999999</v>
      </c>
      <c r="D594" s="6">
        <f t="shared" si="109"/>
        <v>7.7860307300000002</v>
      </c>
      <c r="E594" s="6">
        <f t="shared" si="110"/>
        <v>5.3247807300000005</v>
      </c>
      <c r="F594" s="6">
        <f t="shared" si="111"/>
        <v>1.6392331546999999</v>
      </c>
    </row>
    <row r="595" spans="1:38" x14ac:dyDescent="0.35">
      <c r="B595" t="s">
        <v>10</v>
      </c>
      <c r="C595" s="6">
        <f t="shared" si="108"/>
        <v>56.031361883899997</v>
      </c>
      <c r="D595" s="6">
        <f t="shared" si="109"/>
        <v>44.888207288099998</v>
      </c>
      <c r="E595" s="6">
        <f t="shared" si="110"/>
        <v>39.849852499699999</v>
      </c>
      <c r="F595" s="6">
        <f t="shared" si="111"/>
        <v>38.4335433643</v>
      </c>
    </row>
    <row r="596" spans="1:38" x14ac:dyDescent="0.35">
      <c r="B596" t="s">
        <v>24</v>
      </c>
      <c r="C596" s="6">
        <f t="shared" si="108"/>
        <v>40.715293524099998</v>
      </c>
      <c r="D596" s="6">
        <f t="shared" si="109"/>
        <v>40.626606869599989</v>
      </c>
      <c r="E596" s="6">
        <f t="shared" si="110"/>
        <v>33.801180746</v>
      </c>
      <c r="F596" s="6">
        <f t="shared" si="111"/>
        <v>28.440376196399999</v>
      </c>
    </row>
    <row r="597" spans="1:38" x14ac:dyDescent="0.35">
      <c r="B597" t="s">
        <v>11</v>
      </c>
      <c r="C597" s="6">
        <f t="shared" si="108"/>
        <v>8.9043872815</v>
      </c>
      <c r="D597" s="6">
        <f t="shared" si="109"/>
        <v>9.8628797179999985</v>
      </c>
      <c r="E597" s="6">
        <f t="shared" si="110"/>
        <v>10.2326764103</v>
      </c>
      <c r="F597" s="6">
        <f t="shared" si="111"/>
        <v>9.7171271124</v>
      </c>
    </row>
    <row r="599" spans="1:38" x14ac:dyDescent="0.35">
      <c r="A599" s="12" t="s">
        <v>67</v>
      </c>
      <c r="B599" t="s">
        <v>47</v>
      </c>
      <c r="C599" s="6">
        <f>[1]Results!F281</f>
        <v>150.41822110000001</v>
      </c>
      <c r="D599" s="6">
        <f>[1]Results!G281</f>
        <v>150.70981760000001</v>
      </c>
      <c r="E599" s="6">
        <f>[1]Results!H281</f>
        <v>150.83899829999999</v>
      </c>
      <c r="F599" s="6">
        <f>[1]Results!I281</f>
        <v>150.9004545</v>
      </c>
      <c r="G599" s="6">
        <f>[1]Results!J281</f>
        <v>151.21163780000001</v>
      </c>
      <c r="H599" s="6">
        <f>[1]Results!K281</f>
        <v>151.77916880000001</v>
      </c>
      <c r="I599" s="6">
        <f>[1]Results!L281</f>
        <v>152.532985</v>
      </c>
      <c r="J599" s="6">
        <f>[1]Results!M281</f>
        <v>152.185982</v>
      </c>
      <c r="K599" s="6">
        <f>[1]Results!N281</f>
        <v>151.38449829999999</v>
      </c>
      <c r="L599" s="6">
        <f>[1]Results!O281</f>
        <v>150.58492430000001</v>
      </c>
      <c r="M599" s="6">
        <f>[1]Results!P281</f>
        <v>149.54953040000001</v>
      </c>
      <c r="N599" s="6">
        <f>[1]Results!Q281</f>
        <v>148.48550520000001</v>
      </c>
      <c r="O599" s="6">
        <f>[1]Results!R281</f>
        <v>147.44444340000001</v>
      </c>
      <c r="P599" s="6">
        <f>[1]Results!S281</f>
        <v>146.45394440000001</v>
      </c>
      <c r="Q599" s="6">
        <f>[1]Results!T281</f>
        <v>145.61312789999999</v>
      </c>
      <c r="R599" s="6">
        <f>[1]Results!U281</f>
        <v>144.976821</v>
      </c>
      <c r="S599" s="6">
        <f>[1]Results!V281</f>
        <v>144.52095750000001</v>
      </c>
      <c r="T599" s="6">
        <f>[1]Results!W281</f>
        <v>144.24363550000001</v>
      </c>
      <c r="U599" s="6">
        <f>[1]Results!X281</f>
        <v>144.1617731</v>
      </c>
      <c r="V599" s="6">
        <f>[1]Results!Y281</f>
        <v>144.28672169999999</v>
      </c>
      <c r="W599" s="6">
        <f>[1]Results!Z281</f>
        <v>144.63126320000001</v>
      </c>
      <c r="X599" s="6">
        <f>[1]Results!AA281</f>
        <v>145.20916130000001</v>
      </c>
      <c r="Y599" s="6">
        <f>[1]Results!AB281</f>
        <v>146.03780950000001</v>
      </c>
      <c r="Z599" s="6">
        <f>[1]Results!AC281</f>
        <v>147.1212404</v>
      </c>
      <c r="AA599" s="6">
        <f>[1]Results!AD281</f>
        <v>148.45589179999999</v>
      </c>
      <c r="AB599" s="6">
        <f>[1]Results!AE281</f>
        <v>150.04058230000001</v>
      </c>
      <c r="AC599" s="6">
        <f>[1]Results!AF281</f>
        <v>151.8764631</v>
      </c>
      <c r="AD599" s="6">
        <f>[1]Results!AG281</f>
        <v>153.99890859999999</v>
      </c>
      <c r="AE599" s="6">
        <f>[1]Results!AH281</f>
        <v>156.40884800000001</v>
      </c>
      <c r="AF599" s="6">
        <f>[1]Results!AI281</f>
        <v>159.07843919999999</v>
      </c>
      <c r="AG599" s="6">
        <f>[1]Results!AJ281</f>
        <v>161.97121899999999</v>
      </c>
      <c r="AH599" s="6">
        <f>[1]Results!AK281</f>
        <v>165.06455220000001</v>
      </c>
      <c r="AI599" s="6">
        <f>[1]Results!AL281</f>
        <v>168.3486355</v>
      </c>
      <c r="AJ599" s="6">
        <f>[1]Results!AM281</f>
        <v>171.81173920000001</v>
      </c>
      <c r="AK599" s="6">
        <f>[1]Results!AN281</f>
        <v>175.44169779999999</v>
      </c>
      <c r="AL599" s="6">
        <f>[1]Results!AO281</f>
        <v>179.22117159999999</v>
      </c>
    </row>
    <row r="600" spans="1:38" x14ac:dyDescent="0.35">
      <c r="A600" t="s">
        <v>27</v>
      </c>
      <c r="B600" s="6" t="str">
        <f>[1]Results!E282</f>
        <v>CF_toe_ccoa_2</v>
      </c>
      <c r="C600" s="6">
        <f>[1]Results!F282</f>
        <v>7.5106070709999999</v>
      </c>
      <c r="D600" s="6">
        <f>[1]Results!G282</f>
        <v>7.8268954339999999</v>
      </c>
      <c r="E600" s="6">
        <f>[1]Results!H282</f>
        <v>8.1276060549999993</v>
      </c>
      <c r="F600" s="6">
        <f>[1]Results!I282</f>
        <v>8.3524917649999999</v>
      </c>
      <c r="G600" s="6">
        <f>[1]Results!J282</f>
        <v>8.5520859910000002</v>
      </c>
      <c r="H600" s="6">
        <f>[1]Results!K282</f>
        <v>8.7403787610000006</v>
      </c>
      <c r="I600" s="6">
        <f>[1]Results!L282</f>
        <v>8.9240387479999992</v>
      </c>
      <c r="J600" s="6">
        <f>[1]Results!M282</f>
        <v>8.9187187859999995</v>
      </c>
      <c r="K600" s="6">
        <f>[1]Results!N282</f>
        <v>8.8722889840000008</v>
      </c>
      <c r="L600" s="6">
        <f>[1]Results!O282</f>
        <v>8.8653722689999999</v>
      </c>
      <c r="M600" s="6">
        <f>[1]Results!P282</f>
        <v>8.8575660460000005</v>
      </c>
      <c r="N600" s="6">
        <f>[1]Results!Q282</f>
        <v>8.8663383909999993</v>
      </c>
      <c r="O600" s="6">
        <f>[1]Results!R282</f>
        <v>8.8774024409999992</v>
      </c>
      <c r="P600" s="6">
        <f>[1]Results!S282</f>
        <v>8.8816068799999996</v>
      </c>
      <c r="Q600" s="6">
        <f>[1]Results!T282</f>
        <v>8.8877960789999992</v>
      </c>
      <c r="R600" s="6">
        <f>[1]Results!U282</f>
        <v>8.9017114070000005</v>
      </c>
      <c r="S600" s="6">
        <f>[1]Results!V282</f>
        <v>8.9393060609999999</v>
      </c>
      <c r="T600" s="6">
        <f>[1]Results!W282</f>
        <v>8.9862631220000004</v>
      </c>
      <c r="U600" s="6">
        <f>[1]Results!X282</f>
        <v>9.0442703909999995</v>
      </c>
      <c r="V600" s="6">
        <f>[1]Results!Y282</f>
        <v>9.114888895</v>
      </c>
      <c r="W600" s="6">
        <f>[1]Results!Z282</f>
        <v>9.19997781</v>
      </c>
      <c r="X600" s="6">
        <f>[1]Results!AA282</f>
        <v>9.3013018580000004</v>
      </c>
      <c r="Y600" s="6">
        <f>[1]Results!AB282</f>
        <v>9.4213325119999993</v>
      </c>
      <c r="Z600" s="6">
        <f>[1]Results!AC282</f>
        <v>9.5608006230000004</v>
      </c>
      <c r="AA600" s="6">
        <f>[1]Results!AD282</f>
        <v>9.7187613000000006</v>
      </c>
      <c r="AB600" s="6">
        <f>[1]Results!AE282</f>
        <v>9.8947872730000004</v>
      </c>
      <c r="AC600" s="6">
        <f>[1]Results!AF282</f>
        <v>10.083361139999999</v>
      </c>
      <c r="AD600" s="6">
        <f>[1]Results!AG282</f>
        <v>10.293360079999999</v>
      </c>
      <c r="AE600" s="6">
        <f>[1]Results!AH282</f>
        <v>10.52516761</v>
      </c>
      <c r="AF600" s="6">
        <f>[1]Results!AI282</f>
        <v>10.77439921</v>
      </c>
      <c r="AG600" s="6">
        <f>[1]Results!AJ282</f>
        <v>11.03542356</v>
      </c>
      <c r="AH600" s="6">
        <f>[1]Results!AK282</f>
        <v>11.30463464</v>
      </c>
      <c r="AI600" s="6">
        <f>[1]Results!AL282</f>
        <v>11.580207570000001</v>
      </c>
      <c r="AJ600" s="6">
        <f>[1]Results!AM282</f>
        <v>11.86009499</v>
      </c>
      <c r="AK600" s="6">
        <f>[1]Results!AN282</f>
        <v>12.1420298</v>
      </c>
      <c r="AL600" s="6">
        <f>[1]Results!AO282</f>
        <v>12.4232437</v>
      </c>
    </row>
    <row r="601" spans="1:38" x14ac:dyDescent="0.35">
      <c r="B601" s="6" t="s">
        <v>48</v>
      </c>
      <c r="C601" s="6">
        <f>C602+C603+C604</f>
        <v>61.269294584999997</v>
      </c>
      <c r="D601" s="6">
        <f t="shared" ref="D601:AL601" si="112">D602+D603+D604</f>
        <v>61.004799292999998</v>
      </c>
      <c r="E601" s="6">
        <f t="shared" si="112"/>
        <v>60.612509911000004</v>
      </c>
      <c r="F601" s="6">
        <f t="shared" si="112"/>
        <v>60.199684208000001</v>
      </c>
      <c r="G601" s="6">
        <f t="shared" si="112"/>
        <v>59.915020689000002</v>
      </c>
      <c r="H601" s="6">
        <f t="shared" si="112"/>
        <v>59.731318087999995</v>
      </c>
      <c r="I601" s="6">
        <f t="shared" si="112"/>
        <v>59.556962953000003</v>
      </c>
      <c r="J601" s="6">
        <f t="shared" si="112"/>
        <v>58.831730708999999</v>
      </c>
      <c r="K601" s="6">
        <f t="shared" si="112"/>
        <v>57.750787346999999</v>
      </c>
      <c r="L601" s="6">
        <f t="shared" si="112"/>
        <v>56.387887253000002</v>
      </c>
      <c r="M601" s="6">
        <f t="shared" si="112"/>
        <v>54.688925656999999</v>
      </c>
      <c r="N601" s="6">
        <f t="shared" si="112"/>
        <v>52.809119621000001</v>
      </c>
      <c r="O601" s="6">
        <f t="shared" si="112"/>
        <v>50.854021601999996</v>
      </c>
      <c r="P601" s="6">
        <f t="shared" si="112"/>
        <v>48.911355533999995</v>
      </c>
      <c r="Q601" s="6">
        <f t="shared" si="112"/>
        <v>47.058090026000002</v>
      </c>
      <c r="R601" s="6">
        <f t="shared" si="112"/>
        <v>45.337067466000001</v>
      </c>
      <c r="S601" s="6">
        <f t="shared" si="112"/>
        <v>43.768930775000001</v>
      </c>
      <c r="T601" s="6">
        <f t="shared" si="112"/>
        <v>42.352860247000002</v>
      </c>
      <c r="U601" s="6">
        <f t="shared" si="112"/>
        <v>41.086898362999996</v>
      </c>
      <c r="V601" s="6">
        <f t="shared" si="112"/>
        <v>39.966793736</v>
      </c>
      <c r="W601" s="6">
        <f t="shared" si="112"/>
        <v>38.987949002000001</v>
      </c>
      <c r="X601" s="6">
        <f t="shared" si="112"/>
        <v>38.146955356999996</v>
      </c>
      <c r="Y601" s="6">
        <f t="shared" si="112"/>
        <v>37.442352995</v>
      </c>
      <c r="Z601" s="6">
        <f t="shared" si="112"/>
        <v>36.871176196</v>
      </c>
      <c r="AA601" s="6">
        <f t="shared" si="112"/>
        <v>36.428984403999998</v>
      </c>
      <c r="AB601" s="6">
        <f t="shared" si="112"/>
        <v>36.112373042000002</v>
      </c>
      <c r="AC601" s="6">
        <f t="shared" si="112"/>
        <v>35.920775784999996</v>
      </c>
      <c r="AD601" s="6">
        <f t="shared" si="112"/>
        <v>35.859330876000001</v>
      </c>
      <c r="AE601" s="6">
        <f t="shared" si="112"/>
        <v>35.928028971000003</v>
      </c>
      <c r="AF601" s="6">
        <f t="shared" si="112"/>
        <v>36.121526222</v>
      </c>
      <c r="AG601" s="6">
        <f t="shared" si="112"/>
        <v>36.433128382999996</v>
      </c>
      <c r="AH601" s="6">
        <f t="shared" si="112"/>
        <v>36.859980708999998</v>
      </c>
      <c r="AI601" s="6">
        <f t="shared" si="112"/>
        <v>37.403467781000003</v>
      </c>
      <c r="AJ601" s="6">
        <f t="shared" si="112"/>
        <v>38.066601155000001</v>
      </c>
      <c r="AK601" s="6">
        <f t="shared" si="112"/>
        <v>38.855339208000004</v>
      </c>
      <c r="AL601" s="6">
        <f t="shared" si="112"/>
        <v>39.780338405000002</v>
      </c>
    </row>
    <row r="602" spans="1:38" x14ac:dyDescent="0.35">
      <c r="B602" s="6" t="str">
        <f>[1]Results!E285</f>
        <v>CF_toe_ccoi_2</v>
      </c>
      <c r="C602" s="6">
        <f>[1]Results!F285</f>
        <v>0</v>
      </c>
      <c r="D602" s="6">
        <f>[1]Results!G285</f>
        <v>0</v>
      </c>
      <c r="E602" s="6">
        <f>[1]Results!H285</f>
        <v>0</v>
      </c>
      <c r="F602" s="6">
        <f>[1]Results!I285</f>
        <v>0</v>
      </c>
      <c r="G602" s="6">
        <f>[1]Results!J285</f>
        <v>0</v>
      </c>
      <c r="H602" s="6">
        <f>[1]Results!K285</f>
        <v>0</v>
      </c>
      <c r="I602" s="6">
        <f>[1]Results!L285</f>
        <v>0</v>
      </c>
      <c r="J602" s="6">
        <f>[1]Results!M285</f>
        <v>0</v>
      </c>
      <c r="K602" s="6">
        <f>[1]Results!N285</f>
        <v>0</v>
      </c>
      <c r="L602" s="6">
        <f>[1]Results!O285</f>
        <v>0</v>
      </c>
      <c r="M602" s="6">
        <f>[1]Results!P285</f>
        <v>0</v>
      </c>
      <c r="N602" s="6">
        <f>[1]Results!Q285</f>
        <v>0</v>
      </c>
      <c r="O602" s="6">
        <f>[1]Results!R285</f>
        <v>0</v>
      </c>
      <c r="P602" s="6">
        <f>[1]Results!S285</f>
        <v>0</v>
      </c>
      <c r="Q602" s="6">
        <f>[1]Results!T285</f>
        <v>0</v>
      </c>
      <c r="R602" s="6">
        <f>[1]Results!U285</f>
        <v>0</v>
      </c>
      <c r="S602" s="6">
        <f>[1]Results!V285</f>
        <v>0</v>
      </c>
      <c r="T602" s="6">
        <f>[1]Results!W285</f>
        <v>0</v>
      </c>
      <c r="U602" s="6">
        <f>[1]Results!X285</f>
        <v>0</v>
      </c>
      <c r="V602" s="6">
        <f>[1]Results!Y285</f>
        <v>0</v>
      </c>
      <c r="W602" s="6">
        <f>[1]Results!Z285</f>
        <v>0</v>
      </c>
      <c r="X602" s="6">
        <f>[1]Results!AA285</f>
        <v>0</v>
      </c>
      <c r="Y602" s="6">
        <f>[1]Results!AB285</f>
        <v>0</v>
      </c>
      <c r="Z602" s="6">
        <f>[1]Results!AC285</f>
        <v>0</v>
      </c>
      <c r="AA602" s="6">
        <f>[1]Results!AD285</f>
        <v>0</v>
      </c>
      <c r="AB602" s="6">
        <f>[1]Results!AE285</f>
        <v>0</v>
      </c>
      <c r="AC602" s="6">
        <f>[1]Results!AF285</f>
        <v>0</v>
      </c>
      <c r="AD602" s="6">
        <f>[1]Results!AG285</f>
        <v>0</v>
      </c>
      <c r="AE602" s="6">
        <f>[1]Results!AH285</f>
        <v>0</v>
      </c>
      <c r="AF602" s="6">
        <f>[1]Results!AI285</f>
        <v>0</v>
      </c>
      <c r="AG602" s="6">
        <f>[1]Results!AJ285</f>
        <v>0</v>
      </c>
      <c r="AH602" s="6">
        <f>[1]Results!AK285</f>
        <v>0</v>
      </c>
      <c r="AI602" s="6">
        <f>[1]Results!AL285</f>
        <v>0</v>
      </c>
      <c r="AJ602" s="6">
        <f>[1]Results!AM285</f>
        <v>0</v>
      </c>
      <c r="AK602" s="6">
        <f>[1]Results!AN285</f>
        <v>0</v>
      </c>
      <c r="AL602" s="6">
        <f>[1]Results!AO285</f>
        <v>0</v>
      </c>
    </row>
    <row r="603" spans="1:38" x14ac:dyDescent="0.35">
      <c r="B603" s="6" t="str">
        <f>[1]Results!E288</f>
        <v>CF_toe_cfut_2</v>
      </c>
      <c r="C603" s="6">
        <f>[1]Results!F288</f>
        <v>51.622479249999998</v>
      </c>
      <c r="D603" s="6">
        <f>[1]Results!G288</f>
        <v>51.386129279999999</v>
      </c>
      <c r="E603" s="6">
        <f>[1]Results!H288</f>
        <v>51.0474812</v>
      </c>
      <c r="F603" s="6">
        <f>[1]Results!I288</f>
        <v>50.701688040000001</v>
      </c>
      <c r="G603" s="6">
        <f>[1]Results!J288</f>
        <v>50.464516039999999</v>
      </c>
      <c r="H603" s="6">
        <f>[1]Results!K288</f>
        <v>50.310376769999998</v>
      </c>
      <c r="I603" s="6">
        <f>[1]Results!L288</f>
        <v>50.169713160000001</v>
      </c>
      <c r="J603" s="6">
        <f>[1]Results!M288</f>
        <v>49.559045329999996</v>
      </c>
      <c r="K603" s="6">
        <f>[1]Results!N288</f>
        <v>48.616860289999998</v>
      </c>
      <c r="L603" s="6">
        <f>[1]Results!O288</f>
        <v>47.40675237</v>
      </c>
      <c r="M603" s="6">
        <f>[1]Results!P288</f>
        <v>45.884040239999997</v>
      </c>
      <c r="N603" s="6">
        <f>[1]Results!Q288</f>
        <v>44.184047370000002</v>
      </c>
      <c r="O603" s="6">
        <f>[1]Results!R288</f>
        <v>42.400641559999997</v>
      </c>
      <c r="P603" s="6">
        <f>[1]Results!S288</f>
        <v>40.613361259999998</v>
      </c>
      <c r="Q603" s="6">
        <f>[1]Results!T288</f>
        <v>38.893982270000002</v>
      </c>
      <c r="R603" s="6">
        <f>[1]Results!U288</f>
        <v>37.28430006</v>
      </c>
      <c r="S603" s="6">
        <f>[1]Results!V288</f>
        <v>35.792946690000001</v>
      </c>
      <c r="T603" s="6">
        <f>[1]Results!W288</f>
        <v>34.432243370000002</v>
      </c>
      <c r="U603" s="6">
        <f>[1]Results!X288</f>
        <v>33.207162599999997</v>
      </c>
      <c r="V603" s="6">
        <f>[1]Results!Y288</f>
        <v>32.11661771</v>
      </c>
      <c r="W603" s="6">
        <f>[1]Results!Z288</f>
        <v>31.157824860000002</v>
      </c>
      <c r="X603" s="6">
        <f>[1]Results!AA288</f>
        <v>30.327675979999999</v>
      </c>
      <c r="Y603" s="6">
        <f>[1]Results!AB288</f>
        <v>29.624105199999999</v>
      </c>
      <c r="Z603" s="6">
        <f>[1]Results!AC288</f>
        <v>29.04346426</v>
      </c>
      <c r="AA603" s="6">
        <f>[1]Results!AD288</f>
        <v>28.58087901</v>
      </c>
      <c r="AB603" s="6">
        <f>[1]Results!AE288</f>
        <v>28.232513269999998</v>
      </c>
      <c r="AC603" s="6">
        <f>[1]Results!AF288</f>
        <v>27.997492789999999</v>
      </c>
      <c r="AD603" s="6">
        <f>[1]Results!AG288</f>
        <v>27.87999997</v>
      </c>
      <c r="AE603" s="6">
        <f>[1]Results!AH288</f>
        <v>27.87939192</v>
      </c>
      <c r="AF603" s="6">
        <f>[1]Results!AI288</f>
        <v>27.99024515</v>
      </c>
      <c r="AG603" s="6">
        <f>[1]Results!AJ288</f>
        <v>28.2059468</v>
      </c>
      <c r="AH603" s="6">
        <f>[1]Results!AK288</f>
        <v>28.523387809999999</v>
      </c>
      <c r="AI603" s="6">
        <f>[1]Results!AL288</f>
        <v>28.94319029</v>
      </c>
      <c r="AJ603" s="6">
        <f>[1]Results!AM288</f>
        <v>29.467144220000002</v>
      </c>
      <c r="AK603" s="6">
        <f>[1]Results!AN288</f>
        <v>30.099477360000002</v>
      </c>
      <c r="AL603" s="6">
        <f>[1]Results!AO288</f>
        <v>30.848379900000001</v>
      </c>
    </row>
    <row r="604" spans="1:38" x14ac:dyDescent="0.35">
      <c r="B604" s="6" t="str">
        <f>[1]Results!E291</f>
        <v>CF_toe_cfuh_2</v>
      </c>
      <c r="C604" s="6">
        <f>[1]Results!F291</f>
        <v>9.6468153349999994</v>
      </c>
      <c r="D604" s="6">
        <f>[1]Results!G291</f>
        <v>9.6186700129999991</v>
      </c>
      <c r="E604" s="6">
        <f>[1]Results!H291</f>
        <v>9.5650287110000001</v>
      </c>
      <c r="F604" s="6">
        <f>[1]Results!I291</f>
        <v>9.4979961680000002</v>
      </c>
      <c r="G604" s="6">
        <f>[1]Results!J291</f>
        <v>9.4505046490000009</v>
      </c>
      <c r="H604" s="6">
        <f>[1]Results!K291</f>
        <v>9.4209413180000006</v>
      </c>
      <c r="I604" s="6">
        <f>[1]Results!L291</f>
        <v>9.3872497930000005</v>
      </c>
      <c r="J604" s="6">
        <f>[1]Results!M291</f>
        <v>9.2726853790000003</v>
      </c>
      <c r="K604" s="6">
        <f>[1]Results!N291</f>
        <v>9.1339270569999993</v>
      </c>
      <c r="L604" s="6">
        <f>[1]Results!O291</f>
        <v>8.9811348829999993</v>
      </c>
      <c r="M604" s="6">
        <f>[1]Results!P291</f>
        <v>8.8048854169999995</v>
      </c>
      <c r="N604" s="6">
        <f>[1]Results!Q291</f>
        <v>8.6250722510000006</v>
      </c>
      <c r="O604" s="6">
        <f>[1]Results!R291</f>
        <v>8.4533800419999992</v>
      </c>
      <c r="P604" s="6">
        <f>[1]Results!S291</f>
        <v>8.2979942740000006</v>
      </c>
      <c r="Q604" s="6">
        <f>[1]Results!T291</f>
        <v>8.1641077559999999</v>
      </c>
      <c r="R604" s="6">
        <f>[1]Results!U291</f>
        <v>8.0527674059999992</v>
      </c>
      <c r="S604" s="6">
        <f>[1]Results!V291</f>
        <v>7.9759840850000003</v>
      </c>
      <c r="T604" s="6">
        <f>[1]Results!W291</f>
        <v>7.9206168769999996</v>
      </c>
      <c r="U604" s="6">
        <f>[1]Results!X291</f>
        <v>7.8797357630000002</v>
      </c>
      <c r="V604" s="6">
        <f>[1]Results!Y291</f>
        <v>7.8501760259999998</v>
      </c>
      <c r="W604" s="6">
        <f>[1]Results!Z291</f>
        <v>7.8301241419999998</v>
      </c>
      <c r="X604" s="6">
        <f>[1]Results!AA291</f>
        <v>7.819279377</v>
      </c>
      <c r="Y604" s="6">
        <f>[1]Results!AB291</f>
        <v>7.8182477950000004</v>
      </c>
      <c r="Z604" s="6">
        <f>[1]Results!AC291</f>
        <v>7.827711936</v>
      </c>
      <c r="AA604" s="6">
        <f>[1]Results!AD291</f>
        <v>7.8481053940000001</v>
      </c>
      <c r="AB604" s="6">
        <f>[1]Results!AE291</f>
        <v>7.8798597719999997</v>
      </c>
      <c r="AC604" s="6">
        <f>[1]Results!AF291</f>
        <v>7.9232829950000001</v>
      </c>
      <c r="AD604" s="6">
        <f>[1]Results!AG291</f>
        <v>7.9793309060000004</v>
      </c>
      <c r="AE604" s="6">
        <f>[1]Results!AH291</f>
        <v>8.048637051</v>
      </c>
      <c r="AF604" s="6">
        <f>[1]Results!AI291</f>
        <v>8.1312810720000002</v>
      </c>
      <c r="AG604" s="6">
        <f>[1]Results!AJ291</f>
        <v>8.2271815830000001</v>
      </c>
      <c r="AH604" s="6">
        <f>[1]Results!AK291</f>
        <v>8.3365928989999993</v>
      </c>
      <c r="AI604" s="6">
        <f>[1]Results!AL291</f>
        <v>8.4602774909999994</v>
      </c>
      <c r="AJ604" s="6">
        <f>[1]Results!AM291</f>
        <v>8.5994569349999992</v>
      </c>
      <c r="AK604" s="6">
        <f>[1]Results!AN291</f>
        <v>8.7558618480000003</v>
      </c>
      <c r="AL604" s="6">
        <f>[1]Results!AO291</f>
        <v>8.9319585050000008</v>
      </c>
    </row>
    <row r="605" spans="1:38" x14ac:dyDescent="0.35">
      <c r="B605" s="6" t="str">
        <f>[1]Results!E293</f>
        <v>CF_toe_cgas_2</v>
      </c>
      <c r="C605" s="6">
        <f>[1]Results!F293</f>
        <v>27.927180809999999</v>
      </c>
      <c r="D605" s="6">
        <f>[1]Results!G293</f>
        <v>27.954564049999998</v>
      </c>
      <c r="E605" s="6">
        <f>[1]Results!H293</f>
        <v>27.965742420000002</v>
      </c>
      <c r="F605" s="6">
        <f>[1]Results!I293</f>
        <v>27.941670800000001</v>
      </c>
      <c r="G605" s="6">
        <f>[1]Results!J293</f>
        <v>27.993233679999999</v>
      </c>
      <c r="H605" s="6">
        <f>[1]Results!K293</f>
        <v>28.10879783</v>
      </c>
      <c r="I605" s="6">
        <f>[1]Results!L293</f>
        <v>28.293346249999999</v>
      </c>
      <c r="J605" s="6">
        <f>[1]Results!M293</f>
        <v>28.145268389999998</v>
      </c>
      <c r="K605" s="6">
        <f>[1]Results!N293</f>
        <v>27.941994130000001</v>
      </c>
      <c r="L605" s="6">
        <f>[1]Results!O293</f>
        <v>27.798562759999999</v>
      </c>
      <c r="M605" s="6">
        <f>[1]Results!P293</f>
        <v>27.67370799</v>
      </c>
      <c r="N605" s="6">
        <f>[1]Results!Q293</f>
        <v>27.647521690000001</v>
      </c>
      <c r="O605" s="6">
        <f>[1]Results!R293</f>
        <v>27.67874952</v>
      </c>
      <c r="P605" s="6">
        <f>[1]Results!S293</f>
        <v>27.73980761</v>
      </c>
      <c r="Q605" s="6">
        <f>[1]Results!T293</f>
        <v>27.832475649999999</v>
      </c>
      <c r="R605" s="6">
        <f>[1]Results!U293</f>
        <v>27.959429119999999</v>
      </c>
      <c r="S605" s="6">
        <f>[1]Results!V293</f>
        <v>28.069938430000001</v>
      </c>
      <c r="T605" s="6">
        <f>[1]Results!W293</f>
        <v>28.185698110000001</v>
      </c>
      <c r="U605" s="6">
        <f>[1]Results!X293</f>
        <v>28.322645959999999</v>
      </c>
      <c r="V605" s="6">
        <f>[1]Results!Y293</f>
        <v>28.49081602</v>
      </c>
      <c r="W605" s="6">
        <f>[1]Results!Z293</f>
        <v>28.697855879999999</v>
      </c>
      <c r="X605" s="6">
        <f>[1]Results!AA293</f>
        <v>28.950005869999998</v>
      </c>
      <c r="Y605" s="6">
        <f>[1]Results!AB293</f>
        <v>29.25275843</v>
      </c>
      <c r="Z605" s="6">
        <f>[1]Results!AC293</f>
        <v>29.606653300000001</v>
      </c>
      <c r="AA605" s="6">
        <f>[1]Results!AD293</f>
        <v>30.012164210000002</v>
      </c>
      <c r="AB605" s="6">
        <f>[1]Results!AE293</f>
        <v>30.470891609999999</v>
      </c>
      <c r="AC605" s="6">
        <f>[1]Results!AF293</f>
        <v>30.985684809999999</v>
      </c>
      <c r="AD605" s="6">
        <f>[1]Results!AG293</f>
        <v>31.565176990000001</v>
      </c>
      <c r="AE605" s="6">
        <f>[1]Results!AH293</f>
        <v>32.212021890000003</v>
      </c>
      <c r="AF605" s="6">
        <f>[1]Results!AI293</f>
        <v>32.923694070000003</v>
      </c>
      <c r="AG605" s="6">
        <f>[1]Results!AJ293</f>
        <v>33.696183509999997</v>
      </c>
      <c r="AH605" s="6">
        <f>[1]Results!AK293</f>
        <v>34.528082650000002</v>
      </c>
      <c r="AI605" s="6">
        <f>[1]Results!AL293</f>
        <v>35.42009264</v>
      </c>
      <c r="AJ605" s="6">
        <f>[1]Results!AM293</f>
        <v>36.371571420000002</v>
      </c>
      <c r="AK605" s="6">
        <f>[1]Results!AN293</f>
        <v>37.378862750000003</v>
      </c>
      <c r="AL605" s="6">
        <f>[1]Results!AO293</f>
        <v>38.428212090000002</v>
      </c>
    </row>
    <row r="606" spans="1:38" x14ac:dyDescent="0.35">
      <c r="B606" s="6" t="str">
        <f>[1]Results!E299</f>
        <v>CF_toe_cele_2</v>
      </c>
      <c r="C606" s="6">
        <f>[1]Results!F299</f>
        <v>36.415000329999998</v>
      </c>
      <c r="D606" s="6">
        <f>[1]Results!G299</f>
        <v>36.686313830000003</v>
      </c>
      <c r="E606" s="6">
        <f>[1]Results!H299</f>
        <v>36.951110819999997</v>
      </c>
      <c r="F606" s="6">
        <f>[1]Results!I299</f>
        <v>37.299437560000001</v>
      </c>
      <c r="G606" s="6">
        <f>[1]Results!J299</f>
        <v>37.64719779</v>
      </c>
      <c r="H606" s="6">
        <f>[1]Results!K299</f>
        <v>38.045122739999996</v>
      </c>
      <c r="I606" s="6">
        <f>[1]Results!L299</f>
        <v>38.516594660000003</v>
      </c>
      <c r="J606" s="6">
        <f>[1]Results!M299</f>
        <v>39.251522569999999</v>
      </c>
      <c r="K606" s="6">
        <f>[1]Results!N299</f>
        <v>40.042278379999999</v>
      </c>
      <c r="L606" s="6">
        <f>[1]Results!O299</f>
        <v>41.00784823</v>
      </c>
      <c r="M606" s="6">
        <f>[1]Results!P299</f>
        <v>42.072861869999997</v>
      </c>
      <c r="N606" s="6">
        <f>[1]Results!Q299</f>
        <v>43.126305279999997</v>
      </c>
      <c r="O606" s="6">
        <f>[1]Results!R299</f>
        <v>44.188399680000003</v>
      </c>
      <c r="P606" s="6">
        <f>[1]Results!S299</f>
        <v>45.244620349999998</v>
      </c>
      <c r="Q606" s="6">
        <f>[1]Results!T299</f>
        <v>46.301097900000002</v>
      </c>
      <c r="R606" s="6">
        <f>[1]Results!U299</f>
        <v>47.358568560000002</v>
      </c>
      <c r="S606" s="6">
        <f>[1]Results!V299</f>
        <v>48.439200900000003</v>
      </c>
      <c r="T606" s="6">
        <f>[1]Results!W299</f>
        <v>49.521625980000003</v>
      </c>
      <c r="U606" s="6">
        <f>[1]Results!X299</f>
        <v>50.600123240000002</v>
      </c>
      <c r="V606" s="6">
        <f>[1]Results!Y299</f>
        <v>51.675079599999997</v>
      </c>
      <c r="W606" s="6">
        <f>[1]Results!Z299</f>
        <v>52.751750180000002</v>
      </c>
      <c r="X606" s="6">
        <f>[1]Results!AA299</f>
        <v>53.837209600000001</v>
      </c>
      <c r="Y606" s="6">
        <f>[1]Results!AB299</f>
        <v>54.940315730000002</v>
      </c>
      <c r="Z606" s="6">
        <f>[1]Results!AC299</f>
        <v>56.066377060000001</v>
      </c>
      <c r="AA606" s="6">
        <f>[1]Results!AD299</f>
        <v>57.217430720000003</v>
      </c>
      <c r="AB606" s="6">
        <f>[1]Results!AE299</f>
        <v>58.395178479999998</v>
      </c>
      <c r="AC606" s="6">
        <f>[1]Results!AF299</f>
        <v>59.60351077</v>
      </c>
      <c r="AD606" s="6">
        <f>[1]Results!AG299</f>
        <v>60.852500079999999</v>
      </c>
      <c r="AE606" s="6">
        <f>[1]Results!AH299</f>
        <v>62.141152959999999</v>
      </c>
      <c r="AF606" s="6">
        <f>[1]Results!AI299</f>
        <v>63.458078129999997</v>
      </c>
      <c r="AG606" s="6">
        <f>[1]Results!AJ299</f>
        <v>64.788184380000004</v>
      </c>
      <c r="AH606" s="6">
        <f>[1]Results!AK299</f>
        <v>66.120109409999998</v>
      </c>
      <c r="AI606" s="6">
        <f>[1]Results!AL299</f>
        <v>67.445867160000006</v>
      </c>
      <c r="AJ606" s="6">
        <f>[1]Results!AM299</f>
        <v>68.755951469999999</v>
      </c>
      <c r="AK606" s="6">
        <f>[1]Results!AN299</f>
        <v>70.040780859999998</v>
      </c>
      <c r="AL606" s="6">
        <f>[1]Results!AO299</f>
        <v>71.291861620000006</v>
      </c>
    </row>
    <row r="607" spans="1:38" x14ac:dyDescent="0.35">
      <c r="B607" s="6" t="s">
        <v>49</v>
      </c>
      <c r="C607" s="6">
        <f>SUM(C608:C610)</f>
        <v>17.296138298000002</v>
      </c>
      <c r="D607" s="6">
        <f t="shared" ref="D607:AL607" si="113">SUM(D608:D610)</f>
        <v>17.237245032000001</v>
      </c>
      <c r="E607" s="6">
        <f t="shared" si="113"/>
        <v>17.182029054000001</v>
      </c>
      <c r="F607" s="6">
        <f t="shared" si="113"/>
        <v>17.107170162999999</v>
      </c>
      <c r="G607" s="6">
        <f t="shared" si="113"/>
        <v>17.104099669</v>
      </c>
      <c r="H607" s="6">
        <f t="shared" si="113"/>
        <v>17.153551424</v>
      </c>
      <c r="I607" s="6">
        <f t="shared" si="113"/>
        <v>17.242042414</v>
      </c>
      <c r="J607" s="6">
        <f t="shared" si="113"/>
        <v>17.038741545000001</v>
      </c>
      <c r="K607" s="6">
        <f t="shared" si="113"/>
        <v>16.777149490999999</v>
      </c>
      <c r="L607" s="6">
        <f t="shared" si="113"/>
        <v>16.525253810999999</v>
      </c>
      <c r="M607" s="6">
        <f t="shared" si="113"/>
        <v>16.256468861999998</v>
      </c>
      <c r="N607" s="6">
        <f t="shared" si="113"/>
        <v>16.03622021</v>
      </c>
      <c r="O607" s="6">
        <f t="shared" si="113"/>
        <v>15.845870152</v>
      </c>
      <c r="P607" s="6">
        <f t="shared" si="113"/>
        <v>15.676553993999999</v>
      </c>
      <c r="Q607" s="6">
        <f t="shared" si="113"/>
        <v>15.533668296999998</v>
      </c>
      <c r="R607" s="6">
        <f t="shared" si="113"/>
        <v>15.420044479000001</v>
      </c>
      <c r="S607" s="6">
        <f t="shared" si="113"/>
        <v>15.303581363999999</v>
      </c>
      <c r="T607" s="6">
        <f t="shared" si="113"/>
        <v>15.197188026999999</v>
      </c>
      <c r="U607" s="6">
        <f t="shared" si="113"/>
        <v>15.107835188999999</v>
      </c>
      <c r="V607" s="6">
        <f t="shared" si="113"/>
        <v>15.039143429999999</v>
      </c>
      <c r="W607" s="6">
        <f t="shared" si="113"/>
        <v>14.993730311</v>
      </c>
      <c r="X607" s="6">
        <f t="shared" si="113"/>
        <v>14.973688590999998</v>
      </c>
      <c r="Y607" s="6">
        <f t="shared" si="113"/>
        <v>14.981049831</v>
      </c>
      <c r="Z607" s="6">
        <f t="shared" si="113"/>
        <v>15.016233193</v>
      </c>
      <c r="AA607" s="6">
        <f t="shared" si="113"/>
        <v>15.078551204</v>
      </c>
      <c r="AB607" s="6">
        <f t="shared" si="113"/>
        <v>15.167351910000001</v>
      </c>
      <c r="AC607" s="6">
        <f t="shared" si="113"/>
        <v>15.283130561</v>
      </c>
      <c r="AD607" s="6">
        <f t="shared" si="113"/>
        <v>15.42854054</v>
      </c>
      <c r="AE607" s="6">
        <f t="shared" si="113"/>
        <v>15.602476596999999</v>
      </c>
      <c r="AF607" s="6">
        <f t="shared" si="113"/>
        <v>15.800741563000001</v>
      </c>
      <c r="AG607" s="6">
        <f t="shared" si="113"/>
        <v>16.01829914</v>
      </c>
      <c r="AH607" s="6">
        <f t="shared" si="113"/>
        <v>16.251744760999998</v>
      </c>
      <c r="AI607" s="6">
        <f t="shared" si="113"/>
        <v>16.499000323000001</v>
      </c>
      <c r="AJ607" s="6">
        <f t="shared" si="113"/>
        <v>16.757520207000002</v>
      </c>
      <c r="AK607" s="6">
        <f t="shared" si="113"/>
        <v>17.024685220000002</v>
      </c>
      <c r="AL607" s="6">
        <f t="shared" si="113"/>
        <v>17.297515748999999</v>
      </c>
    </row>
    <row r="608" spans="1:38" x14ac:dyDescent="0.35">
      <c r="B608" s="6" t="str">
        <f>[1]Results!E309</f>
        <v>CF_toe_chea_2</v>
      </c>
      <c r="C608" s="6">
        <f>[1]Results!F309</f>
        <v>2.757340423</v>
      </c>
      <c r="D608" s="6">
        <f>[1]Results!G309</f>
        <v>2.7758627599999999</v>
      </c>
      <c r="E608" s="6">
        <f>[1]Results!H309</f>
        <v>2.7949503249999998</v>
      </c>
      <c r="F608" s="6">
        <f>[1]Results!I309</f>
        <v>2.8162663370000001</v>
      </c>
      <c r="G608" s="6">
        <f>[1]Results!J309</f>
        <v>2.839633622</v>
      </c>
      <c r="H608" s="6">
        <f>[1]Results!K309</f>
        <v>2.86625328</v>
      </c>
      <c r="I608" s="6">
        <f>[1]Results!L309</f>
        <v>2.8962138340000001</v>
      </c>
      <c r="J608" s="6">
        <f>[1]Results!M309</f>
        <v>2.919504222</v>
      </c>
      <c r="K608" s="6">
        <f>[1]Results!N309</f>
        <v>2.9378585030000002</v>
      </c>
      <c r="L608" s="6">
        <f>[1]Results!O309</f>
        <v>2.9634056750000002</v>
      </c>
      <c r="M608" s="6">
        <f>[1]Results!P309</f>
        <v>2.9934016880000001</v>
      </c>
      <c r="N608" s="6">
        <f>[1]Results!Q309</f>
        <v>3.0274671909999999</v>
      </c>
      <c r="O608" s="6">
        <f>[1]Results!R309</f>
        <v>3.0642225509999999</v>
      </c>
      <c r="P608" s="6">
        <f>[1]Results!S309</f>
        <v>3.1009686589999998</v>
      </c>
      <c r="Q608" s="6">
        <f>[1]Results!T309</f>
        <v>3.1375274499999999</v>
      </c>
      <c r="R608" s="6">
        <f>[1]Results!U309</f>
        <v>3.1740367620000001</v>
      </c>
      <c r="S608" s="6">
        <f>[1]Results!V309</f>
        <v>3.2107143009999999</v>
      </c>
      <c r="T608" s="6">
        <f>[1]Results!W309</f>
        <v>3.247758836</v>
      </c>
      <c r="U608" s="6">
        <f>[1]Results!X309</f>
        <v>3.2859366300000001</v>
      </c>
      <c r="V608" s="6">
        <f>[1]Results!Y309</f>
        <v>3.325823486</v>
      </c>
      <c r="W608" s="6">
        <f>[1]Results!Z309</f>
        <v>3.3678929480000002</v>
      </c>
      <c r="X608" s="6">
        <f>[1]Results!AA309</f>
        <v>3.4125354849999998</v>
      </c>
      <c r="Y608" s="6">
        <f>[1]Results!AB309</f>
        <v>3.4601687380000001</v>
      </c>
      <c r="Z608" s="6">
        <f>[1]Results!AC309</f>
        <v>3.5109807719999999</v>
      </c>
      <c r="AA608" s="6">
        <f>[1]Results!AD309</f>
        <v>3.5649940299999998</v>
      </c>
      <c r="AB608" s="6">
        <f>[1]Results!AE309</f>
        <v>3.622268279</v>
      </c>
      <c r="AC608" s="6">
        <f>[1]Results!AF309</f>
        <v>3.6830424509999999</v>
      </c>
      <c r="AD608" s="6">
        <f>[1]Results!AG309</f>
        <v>3.7479694750000001</v>
      </c>
      <c r="AE608" s="6">
        <f>[1]Results!AH309</f>
        <v>3.8170792520000001</v>
      </c>
      <c r="AF608" s="6">
        <f>[1]Results!AI309</f>
        <v>3.8898398900000002</v>
      </c>
      <c r="AG608" s="6">
        <f>[1]Results!AJ309</f>
        <v>3.9655581620000002</v>
      </c>
      <c r="AH608" s="6">
        <f>[1]Results!AK309</f>
        <v>4.0438058549999996</v>
      </c>
      <c r="AI608" s="6">
        <f>[1]Results!AL309</f>
        <v>4.1243657750000002</v>
      </c>
      <c r="AJ608" s="6">
        <f>[1]Results!AM309</f>
        <v>4.2069014840000003</v>
      </c>
      <c r="AK608" s="6">
        <f>[1]Results!AN309</f>
        <v>4.2909529290000004</v>
      </c>
      <c r="AL608" s="6">
        <f>[1]Results!AO309</f>
        <v>4.3757406669999996</v>
      </c>
    </row>
    <row r="609" spans="1:38" x14ac:dyDescent="0.35">
      <c r="B609" s="6" t="str">
        <f>[1]Results!E311</f>
        <v>CF_toe_cbio_2</v>
      </c>
      <c r="C609" s="6">
        <f>[1]Results!F311</f>
        <v>8.0855057420000005</v>
      </c>
      <c r="D609" s="6">
        <f>[1]Results!G311</f>
        <v>8.0063527210000007</v>
      </c>
      <c r="E609" s="6">
        <f>[1]Results!H311</f>
        <v>7.9260115889999998</v>
      </c>
      <c r="F609" s="6">
        <f>[1]Results!I311</f>
        <v>7.8341175280000002</v>
      </c>
      <c r="G609" s="6">
        <f>[1]Results!J311</f>
        <v>7.78848012</v>
      </c>
      <c r="H609" s="6">
        <f>[1]Results!K311</f>
        <v>7.7680960219999999</v>
      </c>
      <c r="I609" s="6">
        <f>[1]Results!L311</f>
        <v>7.762309922</v>
      </c>
      <c r="J609" s="6">
        <f>[1]Results!M311</f>
        <v>7.5899814069999998</v>
      </c>
      <c r="K609" s="6">
        <f>[1]Results!N311</f>
        <v>7.4033159399999997</v>
      </c>
      <c r="L609" s="6">
        <f>[1]Results!O311</f>
        <v>7.2080938840000002</v>
      </c>
      <c r="M609" s="6">
        <f>[1]Results!P311</f>
        <v>6.9922079339999996</v>
      </c>
      <c r="N609" s="6">
        <f>[1]Results!Q311</f>
        <v>6.7958398019999997</v>
      </c>
      <c r="O609" s="6">
        <f>[1]Results!R311</f>
        <v>6.6106183520000004</v>
      </c>
      <c r="P609" s="6">
        <f>[1]Results!S311</f>
        <v>6.4385274690000003</v>
      </c>
      <c r="Q609" s="6">
        <f>[1]Results!T311</f>
        <v>6.2835856740000002</v>
      </c>
      <c r="R609" s="6">
        <f>[1]Results!U311</f>
        <v>6.1472309899999997</v>
      </c>
      <c r="S609" s="6">
        <f>[1]Results!V311</f>
        <v>6.0101946589999997</v>
      </c>
      <c r="T609" s="6">
        <f>[1]Results!W311</f>
        <v>5.8797812509999998</v>
      </c>
      <c r="U609" s="6">
        <f>[1]Results!X311</f>
        <v>5.7581390580000003</v>
      </c>
      <c r="V609" s="6">
        <f>[1]Results!Y311</f>
        <v>5.6459784109999998</v>
      </c>
      <c r="W609" s="6">
        <f>[1]Results!Z311</f>
        <v>5.543695305</v>
      </c>
      <c r="X609" s="6">
        <f>[1]Results!AA311</f>
        <v>5.4515594360000001</v>
      </c>
      <c r="Y609" s="6">
        <f>[1]Results!AB311</f>
        <v>5.3697382830000002</v>
      </c>
      <c r="Z609" s="6">
        <f>[1]Results!AC311</f>
        <v>5.2980032589999997</v>
      </c>
      <c r="AA609" s="6">
        <f>[1]Results!AD311</f>
        <v>5.2358700359999997</v>
      </c>
      <c r="AB609" s="6">
        <f>[1]Results!AE311</f>
        <v>5.1828069460000004</v>
      </c>
      <c r="AC609" s="6">
        <f>[1]Results!AF311</f>
        <v>5.1384493559999997</v>
      </c>
      <c r="AD609" s="6">
        <f>[1]Results!AG311</f>
        <v>5.1028103959999997</v>
      </c>
      <c r="AE609" s="6">
        <f>[1]Results!AH311</f>
        <v>5.0751921129999999</v>
      </c>
      <c r="AF609" s="6">
        <f>[1]Results!AI311</f>
        <v>5.0544588050000003</v>
      </c>
      <c r="AG609" s="6">
        <f>[1]Results!AJ311</f>
        <v>5.0394382919999998</v>
      </c>
      <c r="AH609" s="6">
        <f>[1]Results!AK311</f>
        <v>5.0293426820000002</v>
      </c>
      <c r="AI609" s="6">
        <f>[1]Results!AL311</f>
        <v>5.0236658140000001</v>
      </c>
      <c r="AJ609" s="6">
        <f>[1]Results!AM311</f>
        <v>5.0218622079999999</v>
      </c>
      <c r="AK609" s="6">
        <f>[1]Results!AN311</f>
        <v>5.0234547459999996</v>
      </c>
      <c r="AL609" s="6">
        <f>[1]Results!AO311</f>
        <v>5.0279869609999999</v>
      </c>
    </row>
    <row r="610" spans="1:38" x14ac:dyDescent="0.35">
      <c r="B610" s="6" t="str">
        <f>[1]Results!E314</f>
        <v>CF_toe_cote_2</v>
      </c>
      <c r="C610" s="6">
        <f>[1]Results!F314</f>
        <v>6.4532921329999997</v>
      </c>
      <c r="D610" s="6">
        <f>[1]Results!G314</f>
        <v>6.455029551</v>
      </c>
      <c r="E610" s="6">
        <f>[1]Results!H314</f>
        <v>6.4610671399999999</v>
      </c>
      <c r="F610" s="6">
        <f>[1]Results!I314</f>
        <v>6.4567862979999999</v>
      </c>
      <c r="G610" s="6">
        <f>[1]Results!J314</f>
        <v>6.475985927</v>
      </c>
      <c r="H610" s="6">
        <f>[1]Results!K314</f>
        <v>6.5192021220000003</v>
      </c>
      <c r="I610" s="6">
        <f>[1]Results!L314</f>
        <v>6.583518658</v>
      </c>
      <c r="J610" s="6">
        <f>[1]Results!M314</f>
        <v>6.5292559160000003</v>
      </c>
      <c r="K610" s="6">
        <f>[1]Results!N314</f>
        <v>6.4359750480000004</v>
      </c>
      <c r="L610" s="6">
        <f>[1]Results!O314</f>
        <v>6.3537542519999999</v>
      </c>
      <c r="M610" s="6">
        <f>[1]Results!P314</f>
        <v>6.2708592400000001</v>
      </c>
      <c r="N610" s="6">
        <f>[1]Results!Q314</f>
        <v>6.2129132169999997</v>
      </c>
      <c r="O610" s="6">
        <f>[1]Results!R314</f>
        <v>6.171029249</v>
      </c>
      <c r="P610" s="6">
        <f>[1]Results!S314</f>
        <v>6.1370578660000001</v>
      </c>
      <c r="Q610" s="6">
        <f>[1]Results!T314</f>
        <v>6.1125551729999996</v>
      </c>
      <c r="R610" s="6">
        <f>[1]Results!U314</f>
        <v>6.0987767269999997</v>
      </c>
      <c r="S610" s="6">
        <f>[1]Results!V314</f>
        <v>6.0826724040000002</v>
      </c>
      <c r="T610" s="6">
        <f>[1]Results!W314</f>
        <v>6.0696479400000003</v>
      </c>
      <c r="U610" s="6">
        <f>[1]Results!X314</f>
        <v>6.0637595009999998</v>
      </c>
      <c r="V610" s="6">
        <f>[1]Results!Y314</f>
        <v>6.0673415329999996</v>
      </c>
      <c r="W610" s="6">
        <f>[1]Results!Z314</f>
        <v>6.0821420579999996</v>
      </c>
      <c r="X610" s="6">
        <f>[1]Results!AA314</f>
        <v>6.1095936699999998</v>
      </c>
      <c r="Y610" s="6">
        <f>[1]Results!AB314</f>
        <v>6.1511428099999996</v>
      </c>
      <c r="Z610" s="6">
        <f>[1]Results!AC314</f>
        <v>6.2072491620000001</v>
      </c>
      <c r="AA610" s="6">
        <f>[1]Results!AD314</f>
        <v>6.2776871380000001</v>
      </c>
      <c r="AB610" s="6">
        <f>[1]Results!AE314</f>
        <v>6.3622766850000003</v>
      </c>
      <c r="AC610" s="6">
        <f>[1]Results!AF314</f>
        <v>6.461638754</v>
      </c>
      <c r="AD610" s="6">
        <f>[1]Results!AG314</f>
        <v>6.5777606689999999</v>
      </c>
      <c r="AE610" s="6">
        <f>[1]Results!AH314</f>
        <v>6.7102052319999999</v>
      </c>
      <c r="AF610" s="6">
        <f>[1]Results!AI314</f>
        <v>6.8564428680000002</v>
      </c>
      <c r="AG610" s="6">
        <f>[1]Results!AJ314</f>
        <v>7.0133026860000003</v>
      </c>
      <c r="AH610" s="6">
        <f>[1]Results!AK314</f>
        <v>7.1785962239999996</v>
      </c>
      <c r="AI610" s="6">
        <f>[1]Results!AL314</f>
        <v>7.3509687340000003</v>
      </c>
      <c r="AJ610" s="6">
        <f>[1]Results!AM314</f>
        <v>7.5287565150000004</v>
      </c>
      <c r="AK610" s="6">
        <f>[1]Results!AN314</f>
        <v>7.7102775450000003</v>
      </c>
      <c r="AL610" s="6">
        <f>[1]Results!AO314</f>
        <v>7.893788121</v>
      </c>
    </row>
    <row r="611" spans="1:38" x14ac:dyDescent="0.35"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</row>
    <row r="612" spans="1:38" x14ac:dyDescent="0.35">
      <c r="A612" s="12" t="s">
        <v>67</v>
      </c>
      <c r="B612" s="6" t="str">
        <f>[1]Results!E317</f>
        <v>CF_toe_0</v>
      </c>
      <c r="C612" s="6">
        <f>[1]Results!F317</f>
        <v>150.41822110000001</v>
      </c>
      <c r="D612" s="6">
        <f>[1]Results!G317</f>
        <v>150.70981760000001</v>
      </c>
      <c r="E612" s="6">
        <f>[1]Results!H317</f>
        <v>150.83899829999999</v>
      </c>
      <c r="F612" s="6">
        <f>[1]Results!I317</f>
        <v>150.9004545</v>
      </c>
      <c r="G612" s="6">
        <f>[1]Results!J317</f>
        <v>151.21163780000001</v>
      </c>
      <c r="H612" s="6">
        <f>[1]Results!K317</f>
        <v>151.77916880000001</v>
      </c>
      <c r="I612" s="6">
        <f>[1]Results!L317</f>
        <v>152.35027299999999</v>
      </c>
      <c r="J612" s="6">
        <f>[1]Results!M317</f>
        <v>152.83669090000001</v>
      </c>
      <c r="K612" s="6">
        <f>[1]Results!N317</f>
        <v>153.19218090000001</v>
      </c>
      <c r="L612" s="6">
        <f>[1]Results!O317</f>
        <v>153.40728490000001</v>
      </c>
      <c r="M612" s="6">
        <f>[1]Results!P317</f>
        <v>153.49362479999999</v>
      </c>
      <c r="N612" s="6">
        <f>[1]Results!Q317</f>
        <v>153.47366769999999</v>
      </c>
      <c r="O612" s="6">
        <f>[1]Results!R317</f>
        <v>153.34960340000001</v>
      </c>
      <c r="P612" s="6">
        <f>[1]Results!S317</f>
        <v>153.08777860000001</v>
      </c>
      <c r="Q612" s="6">
        <f>[1]Results!T317</f>
        <v>152.76012560000001</v>
      </c>
      <c r="R612" s="6">
        <f>[1]Results!U317</f>
        <v>152.44495929999999</v>
      </c>
      <c r="S612" s="6">
        <f>[1]Results!V317</f>
        <v>152.33862869999999</v>
      </c>
      <c r="T612" s="6">
        <f>[1]Results!W317</f>
        <v>152.51746069999999</v>
      </c>
      <c r="U612" s="6">
        <f>[1]Results!X317</f>
        <v>153.00118330000001</v>
      </c>
      <c r="V612" s="6">
        <f>[1]Results!Y317</f>
        <v>153.77802410000001</v>
      </c>
      <c r="W612" s="6">
        <f>[1]Results!Z317</f>
        <v>154.83253869999999</v>
      </c>
      <c r="X612" s="6">
        <f>[1]Results!AA317</f>
        <v>156.1488722</v>
      </c>
      <c r="Y612" s="6">
        <f>[1]Results!AB317</f>
        <v>157.72224689999999</v>
      </c>
      <c r="Z612" s="6">
        <f>[1]Results!AC317</f>
        <v>159.54724859999999</v>
      </c>
      <c r="AA612" s="6">
        <f>[1]Results!AD317</f>
        <v>161.6126879</v>
      </c>
      <c r="AB612" s="6">
        <f>[1]Results!AE317</f>
        <v>163.9116018</v>
      </c>
      <c r="AC612" s="6">
        <f>[1]Results!AF317</f>
        <v>166.4412639</v>
      </c>
      <c r="AD612" s="6">
        <f>[1]Results!AG317</f>
        <v>169.2087258</v>
      </c>
      <c r="AE612" s="6">
        <f>[1]Results!AH317</f>
        <v>172.21119060000001</v>
      </c>
      <c r="AF612" s="6">
        <f>[1]Results!AI317</f>
        <v>175.41583399999999</v>
      </c>
      <c r="AG612" s="6">
        <f>[1]Results!AJ317</f>
        <v>178.77609799999999</v>
      </c>
      <c r="AH612" s="6">
        <f>[1]Results!AK317</f>
        <v>182.25063119999999</v>
      </c>
      <c r="AI612" s="6">
        <f>[1]Results!AL317</f>
        <v>185.80740800000001</v>
      </c>
      <c r="AJ612" s="6">
        <f>[1]Results!AM317</f>
        <v>189.41956289999999</v>
      </c>
      <c r="AK612" s="6">
        <f>[1]Results!AN317</f>
        <v>193.06303729999999</v>
      </c>
      <c r="AL612" s="6">
        <f>[1]Results!AO317</f>
        <v>196.71511039999999</v>
      </c>
    </row>
    <row r="613" spans="1:38" x14ac:dyDescent="0.35">
      <c r="A613" t="s">
        <v>26</v>
      </c>
      <c r="B613" s="6" t="str">
        <f>[1]Results!E318</f>
        <v>CF_toe_ccoa_0</v>
      </c>
      <c r="C613" s="6">
        <f>[1]Results!F318</f>
        <v>7.5106070709999999</v>
      </c>
      <c r="D613" s="6">
        <f>[1]Results!G318</f>
        <v>7.8268954339999999</v>
      </c>
      <c r="E613" s="6">
        <f>[1]Results!H318</f>
        <v>8.1276060549999993</v>
      </c>
      <c r="F613" s="6">
        <f>[1]Results!I318</f>
        <v>8.3524917649999999</v>
      </c>
      <c r="G613" s="6">
        <f>[1]Results!J318</f>
        <v>8.5520859910000002</v>
      </c>
      <c r="H613" s="6">
        <f>[1]Results!K318</f>
        <v>8.7403787610000006</v>
      </c>
      <c r="I613" s="6">
        <f>[1]Results!L318</f>
        <v>8.9129761490000003</v>
      </c>
      <c r="J613" s="6">
        <f>[1]Results!M318</f>
        <v>9.0731506880000001</v>
      </c>
      <c r="K613" s="6">
        <f>[1]Results!N318</f>
        <v>9.2227257250000001</v>
      </c>
      <c r="L613" s="6">
        <f>[1]Results!O318</f>
        <v>9.3648274879999995</v>
      </c>
      <c r="M613" s="6">
        <f>[1]Results!P318</f>
        <v>9.5023121899999996</v>
      </c>
      <c r="N613" s="6">
        <f>[1]Results!Q318</f>
        <v>9.6370746740000008</v>
      </c>
      <c r="O613" s="6">
        <f>[1]Results!R318</f>
        <v>9.7645120960000007</v>
      </c>
      <c r="P613" s="6">
        <f>[1]Results!S318</f>
        <v>9.8722859869999997</v>
      </c>
      <c r="Q613" s="6">
        <f>[1]Results!T318</f>
        <v>9.9682153699999994</v>
      </c>
      <c r="R613" s="6">
        <f>[1]Results!U318</f>
        <v>10.06106335</v>
      </c>
      <c r="S613" s="6">
        <f>[1]Results!V318</f>
        <v>10.17427264</v>
      </c>
      <c r="T613" s="6">
        <f>[1]Results!W318</f>
        <v>10.313356150000001</v>
      </c>
      <c r="U613" s="6">
        <f>[1]Results!X318</f>
        <v>10.4799536</v>
      </c>
      <c r="V613" s="6">
        <f>[1]Results!Y318</f>
        <v>10.67307269</v>
      </c>
      <c r="W613" s="6">
        <f>[1]Results!Z318</f>
        <v>10.8920526</v>
      </c>
      <c r="X613" s="6">
        <f>[1]Results!AA318</f>
        <v>11.1362743</v>
      </c>
      <c r="Y613" s="6">
        <f>[1]Results!AB318</f>
        <v>11.406793800000001</v>
      </c>
      <c r="Z613" s="6">
        <f>[1]Results!AC318</f>
        <v>11.70390334</v>
      </c>
      <c r="AA613" s="6">
        <f>[1]Results!AD318</f>
        <v>12.026344679999999</v>
      </c>
      <c r="AB613" s="6">
        <f>[1]Results!AE318</f>
        <v>12.37371589</v>
      </c>
      <c r="AC613" s="6">
        <f>[1]Results!AF318</f>
        <v>12.746452619999999</v>
      </c>
      <c r="AD613" s="6">
        <f>[1]Results!AG318</f>
        <v>13.14684424</v>
      </c>
      <c r="AE613" s="6">
        <f>[1]Results!AH318</f>
        <v>13.575248820000001</v>
      </c>
      <c r="AF613" s="6">
        <f>[1]Results!AI318</f>
        <v>14.0269108</v>
      </c>
      <c r="AG613" s="6">
        <f>[1]Results!AJ318</f>
        <v>14.495108950000001</v>
      </c>
      <c r="AH613" s="6">
        <f>[1]Results!AK318</f>
        <v>14.97464828</v>
      </c>
      <c r="AI613" s="6">
        <f>[1]Results!AL318</f>
        <v>15.462207899999999</v>
      </c>
      <c r="AJ613" s="6">
        <f>[1]Results!AM318</f>
        <v>15.95523444</v>
      </c>
      <c r="AK613" s="6">
        <f>[1]Results!AN318</f>
        <v>16.451383549999999</v>
      </c>
      <c r="AL613" s="6">
        <f>[1]Results!AO318</f>
        <v>16.948251079999999</v>
      </c>
    </row>
    <row r="614" spans="1:38" x14ac:dyDescent="0.35">
      <c r="B614" s="6" t="s">
        <v>48</v>
      </c>
      <c r="C614" s="6">
        <f>C615+C616+C617</f>
        <v>61.269294584999997</v>
      </c>
      <c r="D614" s="6">
        <f t="shared" ref="D614:AI614" si="114">D615+D616+D617</f>
        <v>61.004799292999998</v>
      </c>
      <c r="E614" s="6">
        <f t="shared" si="114"/>
        <v>60.612509911000004</v>
      </c>
      <c r="F614" s="6">
        <f t="shared" si="114"/>
        <v>60.199684208000001</v>
      </c>
      <c r="G614" s="6">
        <f t="shared" si="114"/>
        <v>59.915020689000002</v>
      </c>
      <c r="H614" s="6">
        <f t="shared" si="114"/>
        <v>59.731318087999995</v>
      </c>
      <c r="I614" s="6">
        <f t="shared" si="114"/>
        <v>59.433726832999994</v>
      </c>
      <c r="J614" s="6">
        <f t="shared" si="114"/>
        <v>58.979739527</v>
      </c>
      <c r="K614" s="6">
        <f t="shared" si="114"/>
        <v>58.331471252</v>
      </c>
      <c r="L614" s="6">
        <f t="shared" si="114"/>
        <v>57.464584249999994</v>
      </c>
      <c r="M614" s="6">
        <f t="shared" si="114"/>
        <v>56.371586499000003</v>
      </c>
      <c r="N614" s="6">
        <f t="shared" si="114"/>
        <v>55.068769294999996</v>
      </c>
      <c r="O614" s="6">
        <f t="shared" si="114"/>
        <v>53.589995793999996</v>
      </c>
      <c r="P614" s="6">
        <f t="shared" si="114"/>
        <v>51.976492280999999</v>
      </c>
      <c r="Q614" s="6">
        <f t="shared" si="114"/>
        <v>50.297165008</v>
      </c>
      <c r="R614" s="6">
        <f t="shared" si="114"/>
        <v>48.617661552000001</v>
      </c>
      <c r="S614" s="6">
        <f t="shared" si="114"/>
        <v>47.072628327000004</v>
      </c>
      <c r="T614" s="6">
        <f t="shared" si="114"/>
        <v>45.687410127</v>
      </c>
      <c r="U614" s="6">
        <f t="shared" si="114"/>
        <v>44.468097337000003</v>
      </c>
      <c r="V614" s="6">
        <f t="shared" si="114"/>
        <v>43.408786997</v>
      </c>
      <c r="W614" s="6">
        <f t="shared" si="114"/>
        <v>42.499781999999996</v>
      </c>
      <c r="X614" s="6">
        <f t="shared" si="114"/>
        <v>41.730421974999999</v>
      </c>
      <c r="Y614" s="6">
        <f t="shared" si="114"/>
        <v>41.092485695000001</v>
      </c>
      <c r="Z614" s="6">
        <f t="shared" si="114"/>
        <v>40.578162130999999</v>
      </c>
      <c r="AA614" s="6">
        <f t="shared" si="114"/>
        <v>40.178977762000002</v>
      </c>
      <c r="AB614" s="6">
        <f t="shared" si="114"/>
        <v>39.888068445000002</v>
      </c>
      <c r="AC614" s="6">
        <f t="shared" si="114"/>
        <v>39.700140310000002</v>
      </c>
      <c r="AD614" s="6">
        <f t="shared" si="114"/>
        <v>39.612654419999998</v>
      </c>
      <c r="AE614" s="6">
        <f t="shared" si="114"/>
        <v>39.621637190999998</v>
      </c>
      <c r="AF614" s="6">
        <f t="shared" si="114"/>
        <v>39.717622654000003</v>
      </c>
      <c r="AG614" s="6">
        <f t="shared" si="114"/>
        <v>39.888368948999997</v>
      </c>
      <c r="AH614" s="6">
        <f t="shared" si="114"/>
        <v>40.122647897999997</v>
      </c>
      <c r="AI614" s="6">
        <f t="shared" si="114"/>
        <v>40.411114652000002</v>
      </c>
      <c r="AJ614" s="6">
        <f>AJ615+AJ616+AJ617</f>
        <v>40.745507079999996</v>
      </c>
      <c r="AK614" s="6">
        <f t="shared" ref="AK614" si="115">AK615+AK616+AK617</f>
        <v>41.118202131000004</v>
      </c>
      <c r="AL614" s="6">
        <f t="shared" ref="AL614" si="116">AL615+AL616+AL617</f>
        <v>41.521954627</v>
      </c>
    </row>
    <row r="615" spans="1:38" x14ac:dyDescent="0.35">
      <c r="B615" s="6" t="str">
        <f>[1]Results!E321</f>
        <v>CF_toe_ccoi_0</v>
      </c>
      <c r="C615" s="6">
        <f>[1]Results!F321</f>
        <v>0</v>
      </c>
      <c r="D615" s="6">
        <f>[1]Results!G321</f>
        <v>0</v>
      </c>
      <c r="E615" s="6">
        <f>[1]Results!H321</f>
        <v>0</v>
      </c>
      <c r="F615" s="6">
        <f>[1]Results!I321</f>
        <v>0</v>
      </c>
      <c r="G615" s="6">
        <f>[1]Results!J321</f>
        <v>0</v>
      </c>
      <c r="H615" s="6">
        <f>[1]Results!K321</f>
        <v>0</v>
      </c>
      <c r="I615" s="6">
        <f>[1]Results!L321</f>
        <v>0</v>
      </c>
      <c r="J615" s="6">
        <f>[1]Results!M321</f>
        <v>0</v>
      </c>
      <c r="K615" s="6">
        <f>[1]Results!N321</f>
        <v>0</v>
      </c>
      <c r="L615" s="6">
        <f>[1]Results!O321</f>
        <v>0</v>
      </c>
      <c r="M615" s="6">
        <f>[1]Results!P321</f>
        <v>0</v>
      </c>
      <c r="N615" s="6">
        <f>[1]Results!Q321</f>
        <v>0</v>
      </c>
      <c r="O615" s="6">
        <f>[1]Results!R321</f>
        <v>0</v>
      </c>
      <c r="P615" s="6">
        <f>[1]Results!S321</f>
        <v>0</v>
      </c>
      <c r="Q615" s="6">
        <f>[1]Results!T321</f>
        <v>0</v>
      </c>
      <c r="R615" s="6">
        <f>[1]Results!U321</f>
        <v>0</v>
      </c>
      <c r="S615" s="6">
        <f>[1]Results!V321</f>
        <v>0</v>
      </c>
      <c r="T615" s="6">
        <f>[1]Results!W321</f>
        <v>0</v>
      </c>
      <c r="U615" s="6">
        <f>[1]Results!X321</f>
        <v>0</v>
      </c>
      <c r="V615" s="6">
        <f>[1]Results!Y321</f>
        <v>0</v>
      </c>
      <c r="W615" s="6">
        <f>[1]Results!Z321</f>
        <v>0</v>
      </c>
      <c r="X615" s="6">
        <f>[1]Results!AA321</f>
        <v>0</v>
      </c>
      <c r="Y615" s="6">
        <f>[1]Results!AB321</f>
        <v>0</v>
      </c>
      <c r="Z615" s="6">
        <f>[1]Results!AC321</f>
        <v>0</v>
      </c>
      <c r="AA615" s="6">
        <f>[1]Results!AD321</f>
        <v>0</v>
      </c>
      <c r="AB615" s="6">
        <f>[1]Results!AE321</f>
        <v>0</v>
      </c>
      <c r="AC615" s="6">
        <f>[1]Results!AF321</f>
        <v>0</v>
      </c>
      <c r="AD615" s="6">
        <f>[1]Results!AG321</f>
        <v>0</v>
      </c>
      <c r="AE615" s="6">
        <f>[1]Results!AH321</f>
        <v>0</v>
      </c>
      <c r="AF615" s="6">
        <f>[1]Results!AI321</f>
        <v>0</v>
      </c>
      <c r="AG615" s="6">
        <f>[1]Results!AJ321</f>
        <v>0</v>
      </c>
      <c r="AH615" s="6">
        <f>[1]Results!AK321</f>
        <v>0</v>
      </c>
      <c r="AI615" s="6">
        <f>[1]Results!AL321</f>
        <v>0</v>
      </c>
      <c r="AJ615" s="6">
        <f>[1]Results!AM321</f>
        <v>0</v>
      </c>
      <c r="AK615" s="6">
        <f>[1]Results!AN321</f>
        <v>0</v>
      </c>
      <c r="AL615" s="6">
        <f>[1]Results!AO321</f>
        <v>0</v>
      </c>
    </row>
    <row r="616" spans="1:38" x14ac:dyDescent="0.35">
      <c r="B616" s="6" t="str">
        <f>[1]Results!E324</f>
        <v>CF_toe_cfut_0</v>
      </c>
      <c r="C616" s="6">
        <f>[1]Results!F324</f>
        <v>51.622479249999998</v>
      </c>
      <c r="D616" s="6">
        <f>[1]Results!G324</f>
        <v>51.386129279999999</v>
      </c>
      <c r="E616" s="6">
        <f>[1]Results!H324</f>
        <v>51.0474812</v>
      </c>
      <c r="F616" s="6">
        <f>[1]Results!I324</f>
        <v>50.701688040000001</v>
      </c>
      <c r="G616" s="6">
        <f>[1]Results!J324</f>
        <v>50.464516039999999</v>
      </c>
      <c r="H616" s="6">
        <f>[1]Results!K324</f>
        <v>50.310376769999998</v>
      </c>
      <c r="I616" s="6">
        <f>[1]Results!L324</f>
        <v>50.090986479999998</v>
      </c>
      <c r="J616" s="6">
        <f>[1]Results!M324</f>
        <v>49.737291259999999</v>
      </c>
      <c r="K616" s="6">
        <f>[1]Results!N324</f>
        <v>49.196507760000003</v>
      </c>
      <c r="L616" s="6">
        <f>[1]Results!O324</f>
        <v>48.435863759999997</v>
      </c>
      <c r="M616" s="6">
        <f>[1]Results!P324</f>
        <v>47.443789469999999</v>
      </c>
      <c r="N616" s="6">
        <f>[1]Results!Q324</f>
        <v>46.234757449999996</v>
      </c>
      <c r="O616" s="6">
        <f>[1]Results!R324</f>
        <v>44.842919889999997</v>
      </c>
      <c r="P616" s="6">
        <f>[1]Results!S324</f>
        <v>43.311701110000001</v>
      </c>
      <c r="Q616" s="6">
        <f>[1]Results!T324</f>
        <v>41.710160270000003</v>
      </c>
      <c r="R616" s="6">
        <f>[1]Results!U324</f>
        <v>40.103775329999998</v>
      </c>
      <c r="S616" s="6">
        <f>[1]Results!V324</f>
        <v>38.592604360000003</v>
      </c>
      <c r="T616" s="6">
        <f>[1]Results!W324</f>
        <v>37.21588783</v>
      </c>
      <c r="U616" s="6">
        <f>[1]Results!X324</f>
        <v>35.98840457</v>
      </c>
      <c r="V616" s="6">
        <f>[1]Results!Y324</f>
        <v>34.909765790000002</v>
      </c>
      <c r="W616" s="6">
        <f>[1]Results!Z324</f>
        <v>33.973574589999998</v>
      </c>
      <c r="X616" s="6">
        <f>[1]Results!AA324</f>
        <v>33.171074679999997</v>
      </c>
      <c r="Y616" s="6">
        <f>[1]Results!AB324</f>
        <v>32.494887470000002</v>
      </c>
      <c r="Z616" s="6">
        <f>[1]Results!AC324</f>
        <v>31.937604579999999</v>
      </c>
      <c r="AA616" s="6">
        <f>[1]Results!AD324</f>
        <v>31.491119220000002</v>
      </c>
      <c r="AB616" s="6">
        <f>[1]Results!AE324</f>
        <v>31.148670540000001</v>
      </c>
      <c r="AC616" s="6">
        <f>[1]Results!AF324</f>
        <v>30.90488083</v>
      </c>
      <c r="AD616" s="6">
        <f>[1]Results!AG324</f>
        <v>30.7568214</v>
      </c>
      <c r="AE616" s="6">
        <f>[1]Results!AH324</f>
        <v>30.700301849999999</v>
      </c>
      <c r="AF616" s="6">
        <f>[1]Results!AI324</f>
        <v>30.726225580000001</v>
      </c>
      <c r="AG616" s="6">
        <f>[1]Results!AJ324</f>
        <v>30.823182169999999</v>
      </c>
      <c r="AH616" s="6">
        <f>[1]Results!AK324</f>
        <v>30.980817299999998</v>
      </c>
      <c r="AI616" s="6">
        <f>[1]Results!AL324</f>
        <v>31.190565429999999</v>
      </c>
      <c r="AJ616" s="6">
        <f>[1]Results!AM324</f>
        <v>31.444890999999998</v>
      </c>
      <c r="AK616" s="6">
        <f>[1]Results!AN324</f>
        <v>31.73686361</v>
      </c>
      <c r="AL616" s="6">
        <f>[1]Results!AO324</f>
        <v>32.059910379999998</v>
      </c>
    </row>
    <row r="617" spans="1:38" x14ac:dyDescent="0.35">
      <c r="B617" s="6" t="str">
        <f>[1]Results!E327</f>
        <v>CF_toe_cfuh_0</v>
      </c>
      <c r="C617" s="6">
        <f>[1]Results!F327</f>
        <v>9.6468153349999994</v>
      </c>
      <c r="D617" s="6">
        <f>[1]Results!G327</f>
        <v>9.6186700129999991</v>
      </c>
      <c r="E617" s="6">
        <f>[1]Results!H327</f>
        <v>9.5650287110000001</v>
      </c>
      <c r="F617" s="6">
        <f>[1]Results!I327</f>
        <v>9.4979961680000002</v>
      </c>
      <c r="G617" s="6">
        <f>[1]Results!J327</f>
        <v>9.4505046490000009</v>
      </c>
      <c r="H617" s="6">
        <f>[1]Results!K327</f>
        <v>9.4209413180000006</v>
      </c>
      <c r="I617" s="6">
        <f>[1]Results!L327</f>
        <v>9.3427403529999999</v>
      </c>
      <c r="J617" s="6">
        <f>[1]Results!M327</f>
        <v>9.2424482670000003</v>
      </c>
      <c r="K617" s="6">
        <f>[1]Results!N327</f>
        <v>9.1349634920000007</v>
      </c>
      <c r="L617" s="6">
        <f>[1]Results!O327</f>
        <v>9.0287204899999995</v>
      </c>
      <c r="M617" s="6">
        <f>[1]Results!P327</f>
        <v>8.9277970290000006</v>
      </c>
      <c r="N617" s="6">
        <f>[1]Results!Q327</f>
        <v>8.8340118449999991</v>
      </c>
      <c r="O617" s="6">
        <f>[1]Results!R327</f>
        <v>8.7470759040000008</v>
      </c>
      <c r="P617" s="6">
        <f>[1]Results!S327</f>
        <v>8.6647911709999992</v>
      </c>
      <c r="Q617" s="6">
        <f>[1]Results!T327</f>
        <v>8.5870047379999992</v>
      </c>
      <c r="R617" s="6">
        <f>[1]Results!U327</f>
        <v>8.513886222</v>
      </c>
      <c r="S617" s="6">
        <f>[1]Results!V327</f>
        <v>8.4800239669999993</v>
      </c>
      <c r="T617" s="6">
        <f>[1]Results!W327</f>
        <v>8.4715222969999999</v>
      </c>
      <c r="U617" s="6">
        <f>[1]Results!X327</f>
        <v>8.4796927669999995</v>
      </c>
      <c r="V617" s="6">
        <f>[1]Results!Y327</f>
        <v>8.4990212070000002</v>
      </c>
      <c r="W617" s="6">
        <f>[1]Results!Z327</f>
        <v>8.5262074099999996</v>
      </c>
      <c r="X617" s="6">
        <f>[1]Results!AA327</f>
        <v>8.5593472950000002</v>
      </c>
      <c r="Y617" s="6">
        <f>[1]Results!AB327</f>
        <v>8.5975982250000005</v>
      </c>
      <c r="Z617" s="6">
        <f>[1]Results!AC327</f>
        <v>8.6405575510000006</v>
      </c>
      <c r="AA617" s="6">
        <f>[1]Results!AD327</f>
        <v>8.6878585420000007</v>
      </c>
      <c r="AB617" s="6">
        <f>[1]Results!AE327</f>
        <v>8.7393979050000006</v>
      </c>
      <c r="AC617" s="6">
        <f>[1]Results!AF327</f>
        <v>8.7952594800000004</v>
      </c>
      <c r="AD617" s="6">
        <f>[1]Results!AG327</f>
        <v>8.8558330200000004</v>
      </c>
      <c r="AE617" s="6">
        <f>[1]Results!AH327</f>
        <v>8.9213353410000007</v>
      </c>
      <c r="AF617" s="6">
        <f>[1]Results!AI327</f>
        <v>8.991397074</v>
      </c>
      <c r="AG617" s="6">
        <f>[1]Results!AJ327</f>
        <v>9.0651867789999994</v>
      </c>
      <c r="AH617" s="6">
        <f>[1]Results!AK327</f>
        <v>9.1418305980000003</v>
      </c>
      <c r="AI617" s="6">
        <f>[1]Results!AL327</f>
        <v>9.2205492220000007</v>
      </c>
      <c r="AJ617" s="6">
        <f>[1]Results!AM327</f>
        <v>9.3006160799999993</v>
      </c>
      <c r="AK617" s="6">
        <f>[1]Results!AN327</f>
        <v>9.381338521</v>
      </c>
      <c r="AL617" s="6">
        <f>[1]Results!AO327</f>
        <v>9.4620442469999997</v>
      </c>
    </row>
    <row r="618" spans="1:38" x14ac:dyDescent="0.35">
      <c r="B618" s="6" t="str">
        <f>[1]Results!E329</f>
        <v>CF_toe_cgas_0</v>
      </c>
      <c r="C618" s="6">
        <f>[1]Results!F329</f>
        <v>27.927180809999999</v>
      </c>
      <c r="D618" s="6">
        <f>[1]Results!G329</f>
        <v>27.954564049999998</v>
      </c>
      <c r="E618" s="6">
        <f>[1]Results!H329</f>
        <v>27.965742420000002</v>
      </c>
      <c r="F618" s="6">
        <f>[1]Results!I329</f>
        <v>27.941670800000001</v>
      </c>
      <c r="G618" s="6">
        <f>[1]Results!J329</f>
        <v>27.993233679999999</v>
      </c>
      <c r="H618" s="6">
        <f>[1]Results!K329</f>
        <v>28.10879783</v>
      </c>
      <c r="I618" s="6">
        <f>[1]Results!L329</f>
        <v>28.221200100000001</v>
      </c>
      <c r="J618" s="6">
        <f>[1]Results!M329</f>
        <v>28.309924859999999</v>
      </c>
      <c r="K618" s="6">
        <f>[1]Results!N329</f>
        <v>28.37317346</v>
      </c>
      <c r="L618" s="6">
        <f>[1]Results!O329</f>
        <v>28.42022339</v>
      </c>
      <c r="M618" s="6">
        <f>[1]Results!P329</f>
        <v>28.460522820000001</v>
      </c>
      <c r="N618" s="6">
        <f>[1]Results!Q329</f>
        <v>28.50040426</v>
      </c>
      <c r="O618" s="6">
        <f>[1]Results!R329</f>
        <v>28.537845579999999</v>
      </c>
      <c r="P618" s="6">
        <f>[1]Results!S329</f>
        <v>28.56116673</v>
      </c>
      <c r="Q618" s="6">
        <f>[1]Results!T329</f>
        <v>28.577902129999998</v>
      </c>
      <c r="R618" s="6">
        <f>[1]Results!U329</f>
        <v>28.5971303</v>
      </c>
      <c r="S618" s="6">
        <f>[1]Results!V329</f>
        <v>28.6743402</v>
      </c>
      <c r="T618" s="6">
        <f>[1]Results!W329</f>
        <v>28.82345896</v>
      </c>
      <c r="U618" s="6">
        <f>[1]Results!X329</f>
        <v>29.04051505</v>
      </c>
      <c r="V618" s="6">
        <f>[1]Results!Y329</f>
        <v>29.315818480000001</v>
      </c>
      <c r="W618" s="6">
        <f>[1]Results!Z329</f>
        <v>29.641947779999999</v>
      </c>
      <c r="X618" s="6">
        <f>[1]Results!AA329</f>
        <v>30.013202069999998</v>
      </c>
      <c r="Y618" s="6">
        <f>[1]Results!AB329</f>
        <v>30.42709777</v>
      </c>
      <c r="Z618" s="6">
        <f>[1]Results!AC329</f>
        <v>30.881750400000001</v>
      </c>
      <c r="AA618" s="6">
        <f>[1]Results!AD329</f>
        <v>31.374315320000001</v>
      </c>
      <c r="AB618" s="6">
        <f>[1]Results!AE329</f>
        <v>31.903306189999999</v>
      </c>
      <c r="AC618" s="6">
        <f>[1]Results!AF329</f>
        <v>32.46835634</v>
      </c>
      <c r="AD618" s="6">
        <f>[1]Results!AG329</f>
        <v>33.071123040000003</v>
      </c>
      <c r="AE618" s="6">
        <f>[1]Results!AH329</f>
        <v>33.711534890000003</v>
      </c>
      <c r="AF618" s="6">
        <f>[1]Results!AI329</f>
        <v>34.38392778</v>
      </c>
      <c r="AG618" s="6">
        <f>[1]Results!AJ329</f>
        <v>35.080070020000001</v>
      </c>
      <c r="AH618" s="6">
        <f>[1]Results!AK329</f>
        <v>35.79265281</v>
      </c>
      <c r="AI618" s="6">
        <f>[1]Results!AL329</f>
        <v>36.516054599999997</v>
      </c>
      <c r="AJ618" s="6">
        <f>[1]Results!AM329</f>
        <v>37.245567170000001</v>
      </c>
      <c r="AK618" s="6">
        <f>[1]Results!AN329</f>
        <v>37.976963429999998</v>
      </c>
      <c r="AL618" s="6">
        <f>[1]Results!AO329</f>
        <v>38.706119080000001</v>
      </c>
    </row>
    <row r="619" spans="1:38" x14ac:dyDescent="0.35">
      <c r="B619" s="6" t="str">
        <f>[1]Results!E335</f>
        <v>CF_toe_cele_0</v>
      </c>
      <c r="C619" s="6">
        <f>[1]Results!F335</f>
        <v>36.415000329999998</v>
      </c>
      <c r="D619" s="6">
        <f>[1]Results!G335</f>
        <v>36.686313830000003</v>
      </c>
      <c r="E619" s="6">
        <f>[1]Results!H335</f>
        <v>36.951110819999997</v>
      </c>
      <c r="F619" s="6">
        <f>[1]Results!I335</f>
        <v>37.299437560000001</v>
      </c>
      <c r="G619" s="6">
        <f>[1]Results!J335</f>
        <v>37.64719779</v>
      </c>
      <c r="H619" s="6">
        <f>[1]Results!K335</f>
        <v>38.045122739999996</v>
      </c>
      <c r="I619" s="6">
        <f>[1]Results!L335</f>
        <v>38.549104440000001</v>
      </c>
      <c r="J619" s="6">
        <f>[1]Results!M335</f>
        <v>39.149446060000002</v>
      </c>
      <c r="K619" s="6">
        <f>[1]Results!N335</f>
        <v>39.848651830000001</v>
      </c>
      <c r="L619" s="6">
        <f>[1]Results!O335</f>
        <v>40.652379430000003</v>
      </c>
      <c r="M619" s="6">
        <f>[1]Results!P335</f>
        <v>41.567282779999999</v>
      </c>
      <c r="N619" s="6">
        <f>[1]Results!Q335</f>
        <v>42.59062943</v>
      </c>
      <c r="O619" s="6">
        <f>[1]Results!R335</f>
        <v>43.700353880000002</v>
      </c>
      <c r="P619" s="6">
        <f>[1]Results!S335</f>
        <v>44.853715139999998</v>
      </c>
      <c r="Q619" s="6">
        <f>[1]Results!T335</f>
        <v>46.033807690000003</v>
      </c>
      <c r="R619" s="6">
        <f>[1]Results!U335</f>
        <v>47.22916936</v>
      </c>
      <c r="S619" s="6">
        <f>[1]Results!V335</f>
        <v>48.40861013</v>
      </c>
      <c r="T619" s="6">
        <f>[1]Results!W335</f>
        <v>49.590805330000002</v>
      </c>
      <c r="U619" s="6">
        <f>[1]Results!X335</f>
        <v>50.78617509</v>
      </c>
      <c r="V619" s="6">
        <f>[1]Results!Y335</f>
        <v>51.9989007</v>
      </c>
      <c r="W619" s="6">
        <f>[1]Results!Z335</f>
        <v>53.232227350000002</v>
      </c>
      <c r="X619" s="6">
        <f>[1]Results!AA335</f>
        <v>54.488763249999998</v>
      </c>
      <c r="Y619" s="6">
        <f>[1]Results!AB335</f>
        <v>55.773805150000001</v>
      </c>
      <c r="Z619" s="6">
        <f>[1]Results!AC335</f>
        <v>57.091915620000002</v>
      </c>
      <c r="AA619" s="6">
        <f>[1]Results!AD335</f>
        <v>58.445660590000003</v>
      </c>
      <c r="AB619" s="6">
        <f>[1]Results!AE335</f>
        <v>59.837631739999999</v>
      </c>
      <c r="AC619" s="6">
        <f>[1]Results!AF335</f>
        <v>61.270667670000002</v>
      </c>
      <c r="AD619" s="6">
        <f>[1]Results!AG335</f>
        <v>62.749602529999997</v>
      </c>
      <c r="AE619" s="6">
        <f>[1]Results!AH335</f>
        <v>64.275677009999995</v>
      </c>
      <c r="AF619" s="6">
        <f>[1]Results!AI335</f>
        <v>65.840033660000003</v>
      </c>
      <c r="AG619" s="6">
        <f>[1]Results!AJ335</f>
        <v>67.429113729999997</v>
      </c>
      <c r="AH619" s="6">
        <f>[1]Results!AK335</f>
        <v>69.030532429999994</v>
      </c>
      <c r="AI619" s="6">
        <f>[1]Results!AL335</f>
        <v>70.634651300000002</v>
      </c>
      <c r="AJ619" s="6">
        <f>[1]Results!AM335</f>
        <v>72.233546610000005</v>
      </c>
      <c r="AK619" s="6">
        <f>[1]Results!AN335</f>
        <v>73.820365229999993</v>
      </c>
      <c r="AL619" s="6">
        <f>[1]Results!AO335</f>
        <v>75.388926170000005</v>
      </c>
    </row>
    <row r="620" spans="1:38" x14ac:dyDescent="0.35">
      <c r="B620" s="6" t="s">
        <v>49</v>
      </c>
      <c r="C620" s="6">
        <f>SUM(C621:C623)</f>
        <v>17.296138298000002</v>
      </c>
      <c r="D620" s="6">
        <f t="shared" ref="D620:AL620" si="117">SUM(D621:D623)</f>
        <v>17.237245032000001</v>
      </c>
      <c r="E620" s="6">
        <f t="shared" si="117"/>
        <v>17.182029054000001</v>
      </c>
      <c r="F620" s="6">
        <f t="shared" si="117"/>
        <v>17.107170162999999</v>
      </c>
      <c r="G620" s="6">
        <f t="shared" si="117"/>
        <v>17.104099669</v>
      </c>
      <c r="H620" s="6">
        <f t="shared" si="117"/>
        <v>17.153551424</v>
      </c>
      <c r="I620" s="6">
        <f t="shared" si="117"/>
        <v>17.233265459999998</v>
      </c>
      <c r="J620" s="6">
        <f t="shared" si="117"/>
        <v>17.324429782999999</v>
      </c>
      <c r="K620" s="6">
        <f t="shared" si="117"/>
        <v>17.416158663000001</v>
      </c>
      <c r="L620" s="6">
        <f t="shared" si="117"/>
        <v>17.505270307</v>
      </c>
      <c r="M620" s="6">
        <f t="shared" si="117"/>
        <v>17.591920471000002</v>
      </c>
      <c r="N620" s="6">
        <f t="shared" si="117"/>
        <v>17.676790019000002</v>
      </c>
      <c r="O620" s="6">
        <f t="shared" si="117"/>
        <v>17.756896078</v>
      </c>
      <c r="P620" s="6">
        <f t="shared" si="117"/>
        <v>17.824118423999998</v>
      </c>
      <c r="Q620" s="6">
        <f t="shared" si="117"/>
        <v>17.883035362000001</v>
      </c>
      <c r="R620" s="6">
        <f t="shared" si="117"/>
        <v>17.939934697000002</v>
      </c>
      <c r="S620" s="6">
        <f t="shared" si="117"/>
        <v>18.008777396999999</v>
      </c>
      <c r="T620" s="6">
        <f t="shared" si="117"/>
        <v>18.102430142999999</v>
      </c>
      <c r="U620" s="6">
        <f t="shared" si="117"/>
        <v>18.226442202000001</v>
      </c>
      <c r="V620" s="6">
        <f t="shared" si="117"/>
        <v>18.381445182</v>
      </c>
      <c r="W620" s="6">
        <f t="shared" si="117"/>
        <v>18.566528964</v>
      </c>
      <c r="X620" s="6">
        <f t="shared" si="117"/>
        <v>18.780210611000001</v>
      </c>
      <c r="Y620" s="6">
        <f t="shared" si="117"/>
        <v>19.022064437000001</v>
      </c>
      <c r="Z620" s="6">
        <f t="shared" si="117"/>
        <v>19.291517079000002</v>
      </c>
      <c r="AA620" s="6">
        <f t="shared" si="117"/>
        <v>19.587389561999998</v>
      </c>
      <c r="AB620" s="6">
        <f t="shared" si="117"/>
        <v>19.908879566</v>
      </c>
      <c r="AC620" s="6">
        <f t="shared" si="117"/>
        <v>20.255646974000001</v>
      </c>
      <c r="AD620" s="6">
        <f t="shared" si="117"/>
        <v>20.628501612999997</v>
      </c>
      <c r="AE620" s="6">
        <f t="shared" si="117"/>
        <v>21.027092694</v>
      </c>
      <c r="AF620" s="6">
        <f t="shared" si="117"/>
        <v>21.447339114999998</v>
      </c>
      <c r="AG620" s="6">
        <f t="shared" si="117"/>
        <v>21.883436395</v>
      </c>
      <c r="AH620" s="6">
        <f t="shared" si="117"/>
        <v>22.330149795000001</v>
      </c>
      <c r="AI620" s="6">
        <f t="shared" si="117"/>
        <v>22.783379509</v>
      </c>
      <c r="AJ620" s="6">
        <f t="shared" si="117"/>
        <v>23.239707580000001</v>
      </c>
      <c r="AK620" s="6">
        <f t="shared" si="117"/>
        <v>23.696123002</v>
      </c>
      <c r="AL620" s="6">
        <f t="shared" si="117"/>
        <v>24.149859421999999</v>
      </c>
    </row>
    <row r="621" spans="1:38" x14ac:dyDescent="0.35">
      <c r="B621" s="6" t="str">
        <f>[1]Results!E345</f>
        <v>CF_toe_chea_0</v>
      </c>
      <c r="C621" s="6">
        <f>[1]Results!F345</f>
        <v>2.757340423</v>
      </c>
      <c r="D621" s="6">
        <f>[1]Results!G345</f>
        <v>2.7758627599999999</v>
      </c>
      <c r="E621" s="6">
        <f>[1]Results!H345</f>
        <v>2.7949503249999998</v>
      </c>
      <c r="F621" s="6">
        <f>[1]Results!I345</f>
        <v>2.8162663370000001</v>
      </c>
      <c r="G621" s="6">
        <f>[1]Results!J345</f>
        <v>2.839633622</v>
      </c>
      <c r="H621" s="6">
        <f>[1]Results!K345</f>
        <v>2.86625328</v>
      </c>
      <c r="I621" s="6">
        <f>[1]Results!L345</f>
        <v>2.893460777</v>
      </c>
      <c r="J621" s="6">
        <f>[1]Results!M345</f>
        <v>2.9194997009999999</v>
      </c>
      <c r="K621" s="6">
        <f>[1]Results!N345</f>
        <v>2.9438816060000002</v>
      </c>
      <c r="L621" s="6">
        <f>[1]Results!O345</f>
        <v>2.9668532860000001</v>
      </c>
      <c r="M621" s="6">
        <f>[1]Results!P345</f>
        <v>2.9889996220000001</v>
      </c>
      <c r="N621" s="6">
        <f>[1]Results!Q345</f>
        <v>3.010789784</v>
      </c>
      <c r="O621" s="6">
        <f>[1]Results!R345</f>
        <v>3.0319838539999999</v>
      </c>
      <c r="P621" s="6">
        <f>[1]Results!S345</f>
        <v>3.0514485379999998</v>
      </c>
      <c r="Q621" s="6">
        <f>[1]Results!T345</f>
        <v>3.0699521810000001</v>
      </c>
      <c r="R621" s="6">
        <f>[1]Results!U345</f>
        <v>3.0884463179999999</v>
      </c>
      <c r="S621" s="6">
        <f>[1]Results!V345</f>
        <v>3.1101687349999998</v>
      </c>
      <c r="T621" s="6">
        <f>[1]Results!W345</f>
        <v>3.1367938660000001</v>
      </c>
      <c r="U621" s="6">
        <f>[1]Results!X345</f>
        <v>3.1686947619999999</v>
      </c>
      <c r="V621" s="6">
        <f>[1]Results!Y345</f>
        <v>3.2054533749999998</v>
      </c>
      <c r="W621" s="6">
        <f>[1]Results!Z345</f>
        <v>3.2465685839999998</v>
      </c>
      <c r="X621" s="6">
        <f>[1]Results!AA345</f>
        <v>3.2916847009999999</v>
      </c>
      <c r="Y621" s="6">
        <f>[1]Results!AB345</f>
        <v>3.3407227349999999</v>
      </c>
      <c r="Z621" s="6">
        <f>[1]Results!AC345</f>
        <v>3.3936182279999998</v>
      </c>
      <c r="AA621" s="6">
        <f>[1]Results!AD345</f>
        <v>3.4502138549999999</v>
      </c>
      <c r="AB621" s="6">
        <f>[1]Results!AE345</f>
        <v>3.5103903189999999</v>
      </c>
      <c r="AC621" s="6">
        <f>[1]Results!AF345</f>
        <v>3.5740966630000002</v>
      </c>
      <c r="AD621" s="6">
        <f>[1]Results!AG345</f>
        <v>3.641481824</v>
      </c>
      <c r="AE621" s="6">
        <f>[1]Results!AH345</f>
        <v>3.7125090780000001</v>
      </c>
      <c r="AF621" s="6">
        <f>[1]Results!AI345</f>
        <v>3.7865675169999999</v>
      </c>
      <c r="AG621" s="6">
        <f>[1]Results!AJ345</f>
        <v>3.8627928319999998</v>
      </c>
      <c r="AH621" s="6">
        <f>[1]Results!AK345</f>
        <v>3.9404293830000001</v>
      </c>
      <c r="AI621" s="6">
        <f>[1]Results!AL345</f>
        <v>4.0189102050000001</v>
      </c>
      <c r="AJ621" s="6">
        <f>[1]Results!AM345</f>
        <v>4.0977725400000002</v>
      </c>
      <c r="AK621" s="6">
        <f>[1]Results!AN345</f>
        <v>4.1766096050000003</v>
      </c>
      <c r="AL621" s="6">
        <f>[1]Results!AO345</f>
        <v>4.2550434050000003</v>
      </c>
    </row>
    <row r="622" spans="1:38" x14ac:dyDescent="0.35">
      <c r="B622" s="6" t="str">
        <f>[1]Results!E347</f>
        <v>CF_toe_cbio_0</v>
      </c>
      <c r="C622" s="6">
        <f>[1]Results!F347</f>
        <v>8.0855057420000005</v>
      </c>
      <c r="D622" s="6">
        <f>[1]Results!G347</f>
        <v>8.0063527210000007</v>
      </c>
      <c r="E622" s="6">
        <f>[1]Results!H347</f>
        <v>7.9260115889999998</v>
      </c>
      <c r="F622" s="6">
        <f>[1]Results!I347</f>
        <v>7.8341175280000002</v>
      </c>
      <c r="G622" s="6">
        <f>[1]Results!J347</f>
        <v>7.78848012</v>
      </c>
      <c r="H622" s="6">
        <f>[1]Results!K347</f>
        <v>7.7680960219999999</v>
      </c>
      <c r="I622" s="6">
        <f>[1]Results!L347</f>
        <v>7.7613832509999998</v>
      </c>
      <c r="J622" s="6">
        <f>[1]Results!M347</f>
        <v>7.7611168700000004</v>
      </c>
      <c r="K622" s="6">
        <f>[1]Results!N347</f>
        <v>7.7631315320000001</v>
      </c>
      <c r="L622" s="6">
        <f>[1]Results!O347</f>
        <v>7.7655847749999998</v>
      </c>
      <c r="M622" s="6">
        <f>[1]Results!P347</f>
        <v>7.7677182389999997</v>
      </c>
      <c r="N622" s="6">
        <f>[1]Results!Q347</f>
        <v>7.7692256630000003</v>
      </c>
      <c r="O622" s="6">
        <f>[1]Results!R347</f>
        <v>7.7692911029999996</v>
      </c>
      <c r="P622" s="6">
        <f>[1]Results!S347</f>
        <v>7.7663053550000001</v>
      </c>
      <c r="Q622" s="6">
        <f>[1]Results!T347</f>
        <v>7.7612028070000001</v>
      </c>
      <c r="R622" s="6">
        <f>[1]Results!U347</f>
        <v>7.7552612720000003</v>
      </c>
      <c r="S622" s="6">
        <f>[1]Results!V347</f>
        <v>7.7499295269999999</v>
      </c>
      <c r="T622" s="6">
        <f>[1]Results!W347</f>
        <v>7.7483045290000003</v>
      </c>
      <c r="U622" s="6">
        <f>[1]Results!X347</f>
        <v>7.7520041419999997</v>
      </c>
      <c r="V622" s="6">
        <f>[1]Results!Y347</f>
        <v>7.7614834269999999</v>
      </c>
      <c r="W622" s="6">
        <f>[1]Results!Z347</f>
        <v>7.7766685219999996</v>
      </c>
      <c r="X622" s="6">
        <f>[1]Results!AA347</f>
        <v>7.7972137049999999</v>
      </c>
      <c r="Y622" s="6">
        <f>[1]Results!AB347</f>
        <v>7.822896257</v>
      </c>
      <c r="Z622" s="6">
        <f>[1]Results!AC347</f>
        <v>7.853437596</v>
      </c>
      <c r="AA622" s="6">
        <f>[1]Results!AD347</f>
        <v>7.8884522639999997</v>
      </c>
      <c r="AB622" s="6">
        <f>[1]Results!AE347</f>
        <v>7.9276500370000003</v>
      </c>
      <c r="AC622" s="6">
        <f>[1]Results!AF347</f>
        <v>7.9708592510000003</v>
      </c>
      <c r="AD622" s="6">
        <f>[1]Results!AG347</f>
        <v>8.0181355009999997</v>
      </c>
      <c r="AE622" s="6">
        <f>[1]Results!AH347</f>
        <v>8.0693408160000004</v>
      </c>
      <c r="AF622" s="6">
        <f>[1]Results!AI347</f>
        <v>8.1237025329999994</v>
      </c>
      <c r="AG622" s="6">
        <f>[1]Results!AJ347</f>
        <v>8.1802213219999995</v>
      </c>
      <c r="AH622" s="6">
        <f>[1]Results!AK347</f>
        <v>8.2380729820000003</v>
      </c>
      <c r="AI622" s="6">
        <f>[1]Results!AL347</f>
        <v>8.2966731540000005</v>
      </c>
      <c r="AJ622" s="6">
        <f>[1]Results!AM347</f>
        <v>8.3555651300000005</v>
      </c>
      <c r="AK622" s="6">
        <f>[1]Results!AN347</f>
        <v>8.4143578170000008</v>
      </c>
      <c r="AL622" s="6">
        <f>[1]Results!AO347</f>
        <v>8.4726945970000003</v>
      </c>
    </row>
    <row r="623" spans="1:38" x14ac:dyDescent="0.35">
      <c r="B623" s="6" t="str">
        <f>[1]Results!E350</f>
        <v>CF_toe_cote_0</v>
      </c>
      <c r="C623" s="6">
        <f>[1]Results!F350</f>
        <v>6.4532921329999997</v>
      </c>
      <c r="D623" s="6">
        <f>[1]Results!G350</f>
        <v>6.455029551</v>
      </c>
      <c r="E623" s="6">
        <f>[1]Results!H350</f>
        <v>6.4610671399999999</v>
      </c>
      <c r="F623" s="6">
        <f>[1]Results!I350</f>
        <v>6.4567862979999999</v>
      </c>
      <c r="G623" s="6">
        <f>[1]Results!J350</f>
        <v>6.475985927</v>
      </c>
      <c r="H623" s="6">
        <f>[1]Results!K350</f>
        <v>6.5192021220000003</v>
      </c>
      <c r="I623" s="6">
        <f>[1]Results!L350</f>
        <v>6.5784214319999998</v>
      </c>
      <c r="J623" s="6">
        <f>[1]Results!M350</f>
        <v>6.6438132120000004</v>
      </c>
      <c r="K623" s="6">
        <f>[1]Results!N350</f>
        <v>6.7091455250000003</v>
      </c>
      <c r="L623" s="6">
        <f>[1]Results!O350</f>
        <v>6.7728322460000001</v>
      </c>
      <c r="M623" s="6">
        <f>[1]Results!P350</f>
        <v>6.8352026099999996</v>
      </c>
      <c r="N623" s="6">
        <f>[1]Results!Q350</f>
        <v>6.896774572</v>
      </c>
      <c r="O623" s="6">
        <f>[1]Results!R350</f>
        <v>6.9556211210000001</v>
      </c>
      <c r="P623" s="6">
        <f>[1]Results!S350</f>
        <v>7.006364531</v>
      </c>
      <c r="Q623" s="6">
        <f>[1]Results!T350</f>
        <v>7.0518803739999996</v>
      </c>
      <c r="R623" s="6">
        <f>[1]Results!U350</f>
        <v>7.0962271069999998</v>
      </c>
      <c r="S623" s="6">
        <f>[1]Results!V350</f>
        <v>7.1486791350000001</v>
      </c>
      <c r="T623" s="6">
        <f>[1]Results!W350</f>
        <v>7.2173317480000003</v>
      </c>
      <c r="U623" s="6">
        <f>[1]Results!X350</f>
        <v>7.3057432980000003</v>
      </c>
      <c r="V623" s="6">
        <f>[1]Results!Y350</f>
        <v>7.41450838</v>
      </c>
      <c r="W623" s="6">
        <f>[1]Results!Z350</f>
        <v>7.5432918579999999</v>
      </c>
      <c r="X623" s="6">
        <f>[1]Results!AA350</f>
        <v>7.691312205</v>
      </c>
      <c r="Y623" s="6">
        <f>[1]Results!AB350</f>
        <v>7.8584454450000001</v>
      </c>
      <c r="Z623" s="6">
        <f>[1]Results!AC350</f>
        <v>8.0444612549999999</v>
      </c>
      <c r="AA623" s="6">
        <f>[1]Results!AD350</f>
        <v>8.2487234429999994</v>
      </c>
      <c r="AB623" s="6">
        <f>[1]Results!AE350</f>
        <v>8.4708392099999994</v>
      </c>
      <c r="AC623" s="6">
        <f>[1]Results!AF350</f>
        <v>8.7106910600000003</v>
      </c>
      <c r="AD623" s="6">
        <f>[1]Results!AG350</f>
        <v>8.9688842879999999</v>
      </c>
      <c r="AE623" s="6">
        <f>[1]Results!AH350</f>
        <v>9.2452427999999998</v>
      </c>
      <c r="AF623" s="6">
        <f>[1]Results!AI350</f>
        <v>9.5370690650000007</v>
      </c>
      <c r="AG623" s="6">
        <f>[1]Results!AJ350</f>
        <v>9.8404222410000006</v>
      </c>
      <c r="AH623" s="6">
        <f>[1]Results!AK350</f>
        <v>10.151647430000001</v>
      </c>
      <c r="AI623" s="6">
        <f>[1]Results!AL350</f>
        <v>10.46779615</v>
      </c>
      <c r="AJ623" s="6">
        <f>[1]Results!AM350</f>
        <v>10.786369909999999</v>
      </c>
      <c r="AK623" s="6">
        <f>[1]Results!AN350</f>
        <v>11.10515558</v>
      </c>
      <c r="AL623" s="6">
        <f>[1]Results!AO350</f>
        <v>11.42212142</v>
      </c>
    </row>
    <row r="625" spans="1:38" x14ac:dyDescent="0.35">
      <c r="C625" s="2">
        <v>42005</v>
      </c>
      <c r="D625" s="2">
        <v>42370</v>
      </c>
      <c r="E625" s="2">
        <v>42736</v>
      </c>
      <c r="F625" s="2">
        <v>43101</v>
      </c>
      <c r="G625" s="2">
        <v>43466</v>
      </c>
      <c r="H625" s="2">
        <v>43831</v>
      </c>
      <c r="I625" s="2">
        <v>44197</v>
      </c>
      <c r="J625" s="2">
        <v>44562</v>
      </c>
      <c r="K625" s="2">
        <v>44927</v>
      </c>
      <c r="L625" s="2">
        <v>45292</v>
      </c>
      <c r="M625" s="2">
        <v>45658</v>
      </c>
      <c r="N625" s="2">
        <v>46023</v>
      </c>
      <c r="O625" s="2">
        <v>46388</v>
      </c>
      <c r="P625" s="2">
        <v>46753</v>
      </c>
      <c r="Q625" s="2">
        <v>47119</v>
      </c>
      <c r="R625" s="2">
        <v>47484</v>
      </c>
      <c r="S625" s="2">
        <v>47849</v>
      </c>
      <c r="T625" s="2">
        <v>48214</v>
      </c>
      <c r="U625" s="2">
        <v>48580</v>
      </c>
      <c r="V625" s="2">
        <v>48945</v>
      </c>
      <c r="W625" s="2">
        <v>49310</v>
      </c>
      <c r="X625" s="2">
        <v>49675</v>
      </c>
      <c r="Y625" s="2">
        <v>50041</v>
      </c>
      <c r="Z625" s="2">
        <v>50406</v>
      </c>
      <c r="AA625" s="2">
        <v>50771</v>
      </c>
      <c r="AB625" s="2">
        <v>51136</v>
      </c>
      <c r="AC625" s="2">
        <v>51502</v>
      </c>
      <c r="AD625" s="2">
        <v>51867</v>
      </c>
      <c r="AE625" s="2">
        <v>52232</v>
      </c>
      <c r="AF625" s="2">
        <v>52597</v>
      </c>
      <c r="AG625" s="2">
        <v>52963</v>
      </c>
      <c r="AH625" s="2">
        <v>53328</v>
      </c>
      <c r="AI625" s="2">
        <v>53693</v>
      </c>
      <c r="AJ625" s="2">
        <v>54058</v>
      </c>
      <c r="AK625" s="2">
        <v>54424</v>
      </c>
      <c r="AL625" s="2">
        <v>54789</v>
      </c>
    </row>
    <row r="626" spans="1:38" x14ac:dyDescent="0.35">
      <c r="A626" s="12" t="s">
        <v>67</v>
      </c>
      <c r="B626" t="s">
        <v>51</v>
      </c>
      <c r="C626" s="4">
        <f>C599/C612-1</f>
        <v>0</v>
      </c>
      <c r="D626" s="4">
        <f t="shared" ref="D626:AL626" si="118">D599/D612-1</f>
        <v>0</v>
      </c>
      <c r="E626" s="4">
        <f t="shared" si="118"/>
        <v>0</v>
      </c>
      <c r="F626" s="4">
        <f t="shared" si="118"/>
        <v>0</v>
      </c>
      <c r="G626" s="4">
        <f t="shared" si="118"/>
        <v>0</v>
      </c>
      <c r="H626" s="4">
        <f t="shared" si="118"/>
        <v>0</v>
      </c>
      <c r="I626" s="4">
        <f t="shared" si="118"/>
        <v>1.199288956968303E-3</v>
      </c>
      <c r="J626" s="4">
        <f t="shared" si="118"/>
        <v>-4.2575437623533219E-3</v>
      </c>
      <c r="K626" s="4">
        <f t="shared" si="118"/>
        <v>-1.1800097037459323E-2</v>
      </c>
      <c r="L626" s="4">
        <f t="shared" si="118"/>
        <v>-1.8397826425516794E-2</v>
      </c>
      <c r="M626" s="4">
        <f t="shared" si="118"/>
        <v>-2.5695493250218582E-2</v>
      </c>
      <c r="N626" s="4">
        <f t="shared" si="118"/>
        <v>-3.2501748181000711E-2</v>
      </c>
      <c r="O626" s="4">
        <f t="shared" si="118"/>
        <v>-3.8507827011439066E-2</v>
      </c>
      <c r="P626" s="4">
        <f t="shared" si="118"/>
        <v>-4.3333532308502565E-2</v>
      </c>
      <c r="Q626" s="4">
        <f t="shared" si="118"/>
        <v>-4.67857542793223E-2</v>
      </c>
      <c r="R626" s="4">
        <f t="shared" si="118"/>
        <v>-4.8989079955758075E-2</v>
      </c>
      <c r="S626" s="4">
        <f t="shared" si="118"/>
        <v>-5.1317720703625946E-2</v>
      </c>
      <c r="T626" s="4">
        <f t="shared" si="118"/>
        <v>-5.4248380231523119E-2</v>
      </c>
      <c r="U626" s="4">
        <f t="shared" si="118"/>
        <v>-5.7773476056508399E-2</v>
      </c>
      <c r="V626" s="4">
        <f t="shared" si="118"/>
        <v>-6.1720798245059716E-2</v>
      </c>
      <c r="W626" s="4">
        <f t="shared" si="118"/>
        <v>-6.5885863434466674E-2</v>
      </c>
      <c r="X626" s="4">
        <f t="shared" si="118"/>
        <v>-7.0059493519672E-2</v>
      </c>
      <c r="Y626" s="4">
        <f t="shared" si="118"/>
        <v>-7.4082367133713301E-2</v>
      </c>
      <c r="Z626" s="4">
        <f t="shared" si="118"/>
        <v>-7.7882936302794858E-2</v>
      </c>
      <c r="AA626" s="4">
        <f t="shared" si="118"/>
        <v>-8.1409425651907674E-2</v>
      </c>
      <c r="AB626" s="4">
        <f t="shared" si="118"/>
        <v>-8.4625001205985373E-2</v>
      </c>
      <c r="AC626" s="4">
        <f t="shared" si="118"/>
        <v>-8.7507150923527677E-2</v>
      </c>
      <c r="AD626" s="4">
        <f t="shared" si="118"/>
        <v>-8.9887901041094009E-2</v>
      </c>
      <c r="AE626" s="4">
        <f t="shared" si="118"/>
        <v>-9.1761415416403258E-2</v>
      </c>
      <c r="AF626" s="4">
        <f t="shared" si="118"/>
        <v>-9.3135234302736847E-2</v>
      </c>
      <c r="AG626" s="4">
        <f t="shared" si="118"/>
        <v>-9.3999584888579513E-2</v>
      </c>
      <c r="AH626" s="4">
        <f t="shared" si="118"/>
        <v>-9.4299146657770172E-2</v>
      </c>
      <c r="AI626" s="4">
        <f t="shared" si="118"/>
        <v>-9.3961660021649962E-2</v>
      </c>
      <c r="AJ626" s="4">
        <f t="shared" si="118"/>
        <v>-9.2956732823291643E-2</v>
      </c>
      <c r="AK626" s="4">
        <f t="shared" si="118"/>
        <v>-9.1272465959490012E-2</v>
      </c>
      <c r="AL626" s="4">
        <f t="shared" si="118"/>
        <v>-8.8930325506911267E-2</v>
      </c>
    </row>
    <row r="627" spans="1:38" x14ac:dyDescent="0.35">
      <c r="A627" t="s">
        <v>62</v>
      </c>
      <c r="B627" t="s">
        <v>50</v>
      </c>
      <c r="C627" s="4">
        <f>(C600-C613)/C$612</f>
        <v>0</v>
      </c>
      <c r="D627" s="4">
        <f t="shared" ref="D627:AL627" si="119">(D600-D613)/D$612</f>
        <v>0</v>
      </c>
      <c r="E627" s="4">
        <f t="shared" si="119"/>
        <v>0</v>
      </c>
      <c r="F627" s="4">
        <f t="shared" si="119"/>
        <v>0</v>
      </c>
      <c r="G627" s="4">
        <f t="shared" si="119"/>
        <v>0</v>
      </c>
      <c r="H627" s="4">
        <f t="shared" si="119"/>
        <v>0</v>
      </c>
      <c r="I627" s="4">
        <f t="shared" si="119"/>
        <v>7.2612925347359517E-5</v>
      </c>
      <c r="J627" s="4">
        <f t="shared" si="119"/>
        <v>-1.0104373569632204E-3</v>
      </c>
      <c r="K627" s="4">
        <f t="shared" si="119"/>
        <v>-2.2875628438814091E-3</v>
      </c>
      <c r="L627" s="4">
        <f t="shared" si="119"/>
        <v>-3.2557464225090372E-3</v>
      </c>
      <c r="M627" s="4">
        <f t="shared" si="119"/>
        <v>-4.200475067548207E-3</v>
      </c>
      <c r="N627" s="4">
        <f t="shared" si="119"/>
        <v>-5.0219447710507905E-3</v>
      </c>
      <c r="O627" s="4">
        <f t="shared" si="119"/>
        <v>-5.784883920997486E-3</v>
      </c>
      <c r="P627" s="4">
        <f t="shared" si="119"/>
        <v>-6.471314144472144E-3</v>
      </c>
      <c r="Q627" s="4">
        <f t="shared" si="119"/>
        <v>-7.0726525443495711E-3</v>
      </c>
      <c r="R627" s="4">
        <f t="shared" si="119"/>
        <v>-7.6050526585039998E-3</v>
      </c>
      <c r="S627" s="4">
        <f t="shared" si="119"/>
        <v>-8.1067198092744808E-3</v>
      </c>
      <c r="T627" s="4">
        <f t="shared" si="119"/>
        <v>-8.7012531018358357E-3</v>
      </c>
      <c r="U627" s="4">
        <f t="shared" si="119"/>
        <v>-9.3834778139261638E-3</v>
      </c>
      <c r="V627" s="4">
        <f t="shared" si="119"/>
        <v>-1.0132681858278602E-2</v>
      </c>
      <c r="W627" s="4">
        <f t="shared" si="119"/>
        <v>-1.0928418562447815E-2</v>
      </c>
      <c r="X627" s="4">
        <f t="shared" si="119"/>
        <v>-1.1751429364470298E-2</v>
      </c>
      <c r="Y627" s="4">
        <f t="shared" si="119"/>
        <v>-1.2588340117033938E-2</v>
      </c>
      <c r="Z627" s="4">
        <f t="shared" si="119"/>
        <v>-1.3432401597679446E-2</v>
      </c>
      <c r="AA627" s="4">
        <f t="shared" si="119"/>
        <v>-1.4278479059935236E-2</v>
      </c>
      <c r="AB627" s="4">
        <f t="shared" si="119"/>
        <v>-1.5123570203558338E-2</v>
      </c>
      <c r="AC627" s="4">
        <f t="shared" si="119"/>
        <v>-1.6000187799583277E-2</v>
      </c>
      <c r="AD627" s="4">
        <f t="shared" si="119"/>
        <v>-1.6863693917137226E-2</v>
      </c>
      <c r="AE627" s="4">
        <f t="shared" si="119"/>
        <v>-1.7711283450124408E-2</v>
      </c>
      <c r="AF627" s="4">
        <f t="shared" si="119"/>
        <v>-1.854172178094253E-2</v>
      </c>
      <c r="AG627" s="4">
        <f t="shared" si="119"/>
        <v>-1.935205784612214E-2</v>
      </c>
      <c r="AH627" s="4">
        <f t="shared" si="119"/>
        <v>-2.0137179310904911E-2</v>
      </c>
      <c r="AI627" s="4">
        <f t="shared" si="119"/>
        <v>-2.089260257050676E-2</v>
      </c>
      <c r="AJ627" s="4">
        <f t="shared" si="119"/>
        <v>-2.1619411360176883E-2</v>
      </c>
      <c r="AK627" s="4">
        <f t="shared" si="119"/>
        <v>-2.2320967339303326E-2</v>
      </c>
      <c r="AL627" s="4">
        <f t="shared" si="119"/>
        <v>-2.3002845947110315E-2</v>
      </c>
    </row>
    <row r="628" spans="1:38" x14ac:dyDescent="0.35">
      <c r="B628" t="s">
        <v>48</v>
      </c>
      <c r="C628" s="4">
        <f>(C601-C614)/C$612</f>
        <v>0</v>
      </c>
      <c r="D628" s="4">
        <f t="shared" ref="D628:AL628" si="120">(D601-D614)/D$612</f>
        <v>0</v>
      </c>
      <c r="E628" s="4">
        <f t="shared" si="120"/>
        <v>0</v>
      </c>
      <c r="F628" s="4">
        <f t="shared" si="120"/>
        <v>0</v>
      </c>
      <c r="G628" s="4">
        <f t="shared" si="120"/>
        <v>0</v>
      </c>
      <c r="H628" s="4">
        <f t="shared" si="120"/>
        <v>0</v>
      </c>
      <c r="I628" s="4">
        <f t="shared" si="120"/>
        <v>8.0889989609673042E-4</v>
      </c>
      <c r="J628" s="4">
        <f t="shared" si="120"/>
        <v>-9.6841155830076258E-4</v>
      </c>
      <c r="K628" s="4">
        <f t="shared" si="120"/>
        <v>-3.790558379602002E-3</v>
      </c>
      <c r="L628" s="4">
        <f t="shared" si="120"/>
        <v>-7.0185519397064303E-3</v>
      </c>
      <c r="M628" s="4">
        <f t="shared" si="120"/>
        <v>-1.0962415176477116E-2</v>
      </c>
      <c r="N628" s="4">
        <f t="shared" si="120"/>
        <v>-1.4723370516022372E-2</v>
      </c>
      <c r="O628" s="4">
        <f t="shared" si="120"/>
        <v>-1.7841416810602591E-2</v>
      </c>
      <c r="P628" s="4">
        <f t="shared" si="120"/>
        <v>-2.0022086511613957E-2</v>
      </c>
      <c r="Q628" s="4">
        <f t="shared" si="120"/>
        <v>-2.1203667968180816E-2</v>
      </c>
      <c r="R628" s="4">
        <f t="shared" si="120"/>
        <v>-2.1519859371302942E-2</v>
      </c>
      <c r="S628" s="4">
        <f t="shared" si="120"/>
        <v>-2.1686538602798931E-2</v>
      </c>
      <c r="T628" s="4">
        <f t="shared" si="120"/>
        <v>-2.186339757228857E-2</v>
      </c>
      <c r="U628" s="4">
        <f t="shared" si="120"/>
        <v>-2.2099168784663947E-2</v>
      </c>
      <c r="V628" s="4">
        <f t="shared" si="120"/>
        <v>-2.2382868300880973E-2</v>
      </c>
      <c r="W628" s="4">
        <f t="shared" si="120"/>
        <v>-2.2681492065465925E-2</v>
      </c>
      <c r="X628" s="4">
        <f t="shared" si="120"/>
        <v>-2.2949039384736605E-2</v>
      </c>
      <c r="Y628" s="4">
        <f t="shared" si="120"/>
        <v>-2.3142789122921129E-2</v>
      </c>
      <c r="Z628" s="4">
        <f t="shared" si="120"/>
        <v>-2.3234408412104696E-2</v>
      </c>
      <c r="AA628" s="4">
        <f t="shared" si="120"/>
        <v>-2.3203582631583747E-2</v>
      </c>
      <c r="AB628" s="4">
        <f t="shared" si="120"/>
        <v>-2.3034949091687788E-2</v>
      </c>
      <c r="AC628" s="4">
        <f t="shared" si="120"/>
        <v>-2.2706896333535988E-2</v>
      </c>
      <c r="AD628" s="4">
        <f t="shared" si="120"/>
        <v>-2.2181619335851041E-2</v>
      </c>
      <c r="AE628" s="4">
        <f t="shared" si="120"/>
        <v>-2.1448131257504902E-2</v>
      </c>
      <c r="AF628" s="4">
        <f t="shared" si="120"/>
        <v>-2.0500409512632725E-2</v>
      </c>
      <c r="AG628" s="4">
        <f t="shared" si="120"/>
        <v>-1.9327195327867603E-2</v>
      </c>
      <c r="AH628" s="4">
        <f t="shared" si="120"/>
        <v>-1.7902089927027909E-2</v>
      </c>
      <c r="AI628" s="4">
        <f t="shared" si="120"/>
        <v>-1.6186905050631771E-2</v>
      </c>
      <c r="AJ628" s="4">
        <f t="shared" si="120"/>
        <v>-1.4142709886909972E-2</v>
      </c>
      <c r="AK628" s="4">
        <f t="shared" si="120"/>
        <v>-1.1720850115311017E-2</v>
      </c>
      <c r="AL628" s="4">
        <f t="shared" si="120"/>
        <v>-8.8534948762126094E-3</v>
      </c>
    </row>
    <row r="629" spans="1:38" x14ac:dyDescent="0.35">
      <c r="B629" t="s">
        <v>81</v>
      </c>
      <c r="C629" s="4">
        <f>(C605-C618)/C$612</f>
        <v>0</v>
      </c>
      <c r="D629" s="4">
        <f t="shared" ref="D629:AL629" si="121">(D605-D618)/D$612</f>
        <v>0</v>
      </c>
      <c r="E629" s="4">
        <f t="shared" si="121"/>
        <v>0</v>
      </c>
      <c r="F629" s="4">
        <f t="shared" si="121"/>
        <v>0</v>
      </c>
      <c r="G629" s="4">
        <f t="shared" si="121"/>
        <v>0</v>
      </c>
      <c r="H629" s="4">
        <f t="shared" si="121"/>
        <v>0</v>
      </c>
      <c r="I629" s="4">
        <f t="shared" si="121"/>
        <v>4.7355445172059685E-4</v>
      </c>
      <c r="J629" s="4">
        <f t="shared" si="121"/>
        <v>-1.0773360050547955E-3</v>
      </c>
      <c r="K629" s="4">
        <f t="shared" si="121"/>
        <v>-2.8146301427842591E-3</v>
      </c>
      <c r="L629" s="4">
        <f t="shared" si="121"/>
        <v>-4.0523540352417836E-3</v>
      </c>
      <c r="M629" s="4">
        <f t="shared" si="121"/>
        <v>-5.1260424074629114E-3</v>
      </c>
      <c r="N629" s="4">
        <f t="shared" si="121"/>
        <v>-5.55719155462653E-3</v>
      </c>
      <c r="O629" s="4">
        <f t="shared" si="121"/>
        <v>-5.6022059461028825E-3</v>
      </c>
      <c r="P629" s="4">
        <f t="shared" si="121"/>
        <v>-5.3652821114225785E-3</v>
      </c>
      <c r="Q629" s="4">
        <f t="shared" si="121"/>
        <v>-4.8797189519985502E-3</v>
      </c>
      <c r="R629" s="4">
        <f t="shared" si="121"/>
        <v>-4.1831568779198101E-3</v>
      </c>
      <c r="S629" s="4">
        <f t="shared" si="121"/>
        <v>-3.9674885822311408E-3</v>
      </c>
      <c r="T629" s="4">
        <f t="shared" si="121"/>
        <v>-4.1815595871640384E-3</v>
      </c>
      <c r="U629" s="4">
        <f t="shared" si="121"/>
        <v>-4.6919185493645831E-3</v>
      </c>
      <c r="V629" s="4">
        <f t="shared" si="121"/>
        <v>-5.36489179665562E-3</v>
      </c>
      <c r="W629" s="4">
        <f t="shared" si="121"/>
        <v>-6.0975031987898299E-3</v>
      </c>
      <c r="X629" s="4">
        <f t="shared" si="121"/>
        <v>-6.8088624978234081E-3</v>
      </c>
      <c r="Y629" s="4">
        <f t="shared" si="121"/>
        <v>-7.4456163482413563E-3</v>
      </c>
      <c r="Z629" s="4">
        <f t="shared" si="121"/>
        <v>-7.9919717274272075E-3</v>
      </c>
      <c r="AA629" s="4">
        <f t="shared" si="121"/>
        <v>-8.428491151900452E-3</v>
      </c>
      <c r="AB629" s="4">
        <f t="shared" si="121"/>
        <v>-8.7389456528390759E-3</v>
      </c>
      <c r="AC629" s="4">
        <f t="shared" si="121"/>
        <v>-8.9080766106823649E-3</v>
      </c>
      <c r="AD629" s="4">
        <f t="shared" si="121"/>
        <v>-8.8999313887629435E-3</v>
      </c>
      <c r="AE629" s="4">
        <f t="shared" si="121"/>
        <v>-8.7074074267505831E-3</v>
      </c>
      <c r="AF629" s="4">
        <f t="shared" si="121"/>
        <v>-8.3244122078511857E-3</v>
      </c>
      <c r="AG629" s="4">
        <f t="shared" si="121"/>
        <v>-7.740892241646328E-3</v>
      </c>
      <c r="AH629" s="4">
        <f t="shared" si="121"/>
        <v>-6.9386325395618068E-3</v>
      </c>
      <c r="AI629" s="4">
        <f t="shared" si="121"/>
        <v>-5.8983760216922932E-3</v>
      </c>
      <c r="AJ629" s="4">
        <f t="shared" si="121"/>
        <v>-4.6140733122766531E-3</v>
      </c>
      <c r="AK629" s="4">
        <f t="shared" si="121"/>
        <v>-3.0979554054700177E-3</v>
      </c>
      <c r="AL629" s="4">
        <f t="shared" si="121"/>
        <v>-1.4127383983614824E-3</v>
      </c>
    </row>
    <row r="630" spans="1:38" x14ac:dyDescent="0.35">
      <c r="B630" t="s">
        <v>11</v>
      </c>
      <c r="C630" s="4">
        <f>(C606-C619)/C$612</f>
        <v>0</v>
      </c>
      <c r="D630" s="4">
        <f t="shared" ref="D630:AL630" si="122">(D606-D619)/D$612</f>
        <v>0</v>
      </c>
      <c r="E630" s="4">
        <f t="shared" si="122"/>
        <v>0</v>
      </c>
      <c r="F630" s="4">
        <f t="shared" si="122"/>
        <v>0</v>
      </c>
      <c r="G630" s="4">
        <f t="shared" si="122"/>
        <v>0</v>
      </c>
      <c r="H630" s="4">
        <f t="shared" si="122"/>
        <v>0</v>
      </c>
      <c r="I630" s="4">
        <f t="shared" si="122"/>
        <v>-2.1338839346876686E-4</v>
      </c>
      <c r="J630" s="4">
        <f t="shared" si="122"/>
        <v>6.6787961319304042E-4</v>
      </c>
      <c r="K630" s="4">
        <f t="shared" si="122"/>
        <v>1.2639453845649743E-3</v>
      </c>
      <c r="L630" s="4">
        <f t="shared" si="122"/>
        <v>2.3171572342976588E-3</v>
      </c>
      <c r="M630" s="4">
        <f t="shared" si="122"/>
        <v>3.2938116528211515E-3</v>
      </c>
      <c r="N630" s="4">
        <f t="shared" si="122"/>
        <v>3.490343705391208E-3</v>
      </c>
      <c r="O630" s="4">
        <f t="shared" si="122"/>
        <v>3.1825696916018358E-3</v>
      </c>
      <c r="P630" s="4">
        <f t="shared" si="122"/>
        <v>2.5534710450099878E-3</v>
      </c>
      <c r="Q630" s="4">
        <f t="shared" si="122"/>
        <v>1.7497380874109385E-3</v>
      </c>
      <c r="R630" s="4">
        <f t="shared" si="122"/>
        <v>8.4882570466206101E-4</v>
      </c>
      <c r="S630" s="4">
        <f t="shared" si="122"/>
        <v>2.0080770229490344E-4</v>
      </c>
      <c r="T630" s="4">
        <f t="shared" si="122"/>
        <v>-4.5358314833259525E-4</v>
      </c>
      <c r="U630" s="4">
        <f t="shared" si="122"/>
        <v>-1.2160157587486995E-3</v>
      </c>
      <c r="V630" s="4">
        <f t="shared" si="122"/>
        <v>-2.1057696760977142E-3</v>
      </c>
      <c r="W630" s="4">
        <f t="shared" si="122"/>
        <v>-3.1032053987757832E-3</v>
      </c>
      <c r="X630" s="4">
        <f t="shared" si="122"/>
        <v>-4.1726439699511118E-3</v>
      </c>
      <c r="Y630" s="4">
        <f t="shared" si="122"/>
        <v>-5.2845393492805953E-3</v>
      </c>
      <c r="Z630" s="4">
        <f t="shared" si="122"/>
        <v>-6.4278047349542395E-3</v>
      </c>
      <c r="AA630" s="4">
        <f t="shared" si="122"/>
        <v>-7.5998356685954222E-3</v>
      </c>
      <c r="AB630" s="4">
        <f t="shared" si="122"/>
        <v>-8.8001901278473172E-3</v>
      </c>
      <c r="AC630" s="4">
        <f t="shared" si="122"/>
        <v>-1.0016487864461609E-2</v>
      </c>
      <c r="AD630" s="4">
        <f t="shared" si="122"/>
        <v>-1.1211611227675815E-2</v>
      </c>
      <c r="AE630" s="4">
        <f t="shared" si="122"/>
        <v>-1.2394804556911273E-2</v>
      </c>
      <c r="AF630" s="4">
        <f t="shared" si="122"/>
        <v>-1.357890833275636E-2</v>
      </c>
      <c r="AG630" s="4">
        <f t="shared" si="122"/>
        <v>-1.4772273136870866E-2</v>
      </c>
      <c r="AH630" s="4">
        <f t="shared" si="122"/>
        <v>-1.5969343978875592E-2</v>
      </c>
      <c r="AI630" s="4">
        <f t="shared" si="122"/>
        <v>-1.7161770751357747E-2</v>
      </c>
      <c r="AJ630" s="4">
        <f t="shared" si="122"/>
        <v>-1.8359218481756964E-2</v>
      </c>
      <c r="AK630" s="4">
        <f t="shared" si="122"/>
        <v>-1.9576944519560789E-2</v>
      </c>
      <c r="AL630" s="4">
        <f t="shared" si="122"/>
        <v>-2.0827401319954725E-2</v>
      </c>
    </row>
    <row r="631" spans="1:38" x14ac:dyDescent="0.35">
      <c r="B631" t="s">
        <v>49</v>
      </c>
      <c r="C631" s="4">
        <f>(C607-C620)/C$612</f>
        <v>0</v>
      </c>
      <c r="D631" s="4">
        <f t="shared" ref="D631:AL631" si="123">(D607-D620)/D$612</f>
        <v>0</v>
      </c>
      <c r="E631" s="4">
        <f t="shared" si="123"/>
        <v>0</v>
      </c>
      <c r="F631" s="4">
        <f t="shared" si="123"/>
        <v>0</v>
      </c>
      <c r="G631" s="4">
        <f t="shared" si="123"/>
        <v>0</v>
      </c>
      <c r="H631" s="4">
        <f t="shared" si="123"/>
        <v>0</v>
      </c>
      <c r="I631" s="4">
        <f t="shared" si="123"/>
        <v>5.7610359516728798E-5</v>
      </c>
      <c r="J631" s="4">
        <f t="shared" si="123"/>
        <v>-1.869238573000266E-3</v>
      </c>
      <c r="K631" s="4">
        <f t="shared" si="123"/>
        <v>-4.1712910427010013E-3</v>
      </c>
      <c r="L631" s="4">
        <f t="shared" si="123"/>
        <v>-6.3883308842786323E-3</v>
      </c>
      <c r="M631" s="4">
        <f t="shared" si="123"/>
        <v>-8.7003718280813137E-3</v>
      </c>
      <c r="N631" s="4">
        <f t="shared" si="123"/>
        <v>-1.0689584953471483E-2</v>
      </c>
      <c r="O631" s="4">
        <f t="shared" si="123"/>
        <v>-1.2461890240532573E-2</v>
      </c>
      <c r="P631" s="4">
        <f t="shared" si="123"/>
        <v>-1.4028320546810776E-2</v>
      </c>
      <c r="Q631" s="4">
        <f t="shared" si="123"/>
        <v>-1.5379452299952827E-2</v>
      </c>
      <c r="R631" s="4">
        <f t="shared" si="123"/>
        <v>-1.6529836273832116E-2</v>
      </c>
      <c r="S631" s="4">
        <f t="shared" si="123"/>
        <v>-1.7757781175300812E-2</v>
      </c>
      <c r="T631" s="4">
        <f t="shared" si="123"/>
        <v>-1.9048586979261192E-2</v>
      </c>
      <c r="U631" s="4">
        <f t="shared" si="123"/>
        <v>-2.038289473150762E-2</v>
      </c>
      <c r="V631" s="4">
        <f t="shared" si="123"/>
        <v>-2.1734586405054483E-2</v>
      </c>
      <c r="W631" s="4">
        <f t="shared" si="123"/>
        <v>-2.3075244280031947E-2</v>
      </c>
      <c r="X631" s="4">
        <f t="shared" si="123"/>
        <v>-2.4377518494814992E-2</v>
      </c>
      <c r="Y631" s="4">
        <f t="shared" si="123"/>
        <v>-2.5621081904584515E-2</v>
      </c>
      <c r="Z631" s="4">
        <f t="shared" si="123"/>
        <v>-2.6796349818093965E-2</v>
      </c>
      <c r="AA631" s="4">
        <f t="shared" si="123"/>
        <v>-2.7899036991389577E-2</v>
      </c>
      <c r="AB631" s="4">
        <f t="shared" si="123"/>
        <v>-2.8927346227666472E-2</v>
      </c>
      <c r="AC631" s="4">
        <f t="shared" si="123"/>
        <v>-2.9875502603654531E-2</v>
      </c>
      <c r="AD631" s="4">
        <f t="shared" si="123"/>
        <v>-3.0731045626726169E-2</v>
      </c>
      <c r="AE631" s="4">
        <f t="shared" si="123"/>
        <v>-3.1499788591555097E-2</v>
      </c>
      <c r="AF631" s="4">
        <f t="shared" si="123"/>
        <v>-3.2189782548364465E-2</v>
      </c>
      <c r="AG631" s="4">
        <f t="shared" si="123"/>
        <v>-3.2807166733217326E-2</v>
      </c>
      <c r="AH631" s="4">
        <f t="shared" si="123"/>
        <v>-3.3351901137338852E-2</v>
      </c>
      <c r="AI631" s="4">
        <f t="shared" si="123"/>
        <v>-3.3822005557496385E-2</v>
      </c>
      <c r="AJ631" s="4">
        <f t="shared" si="123"/>
        <v>-3.4221319454855521E-2</v>
      </c>
      <c r="AK631" s="4">
        <f t="shared" si="123"/>
        <v>-3.4555748605743078E-2</v>
      </c>
      <c r="AL631" s="4">
        <f t="shared" si="123"/>
        <v>-3.4833845041524578E-2</v>
      </c>
    </row>
    <row r="633" spans="1:38" x14ac:dyDescent="0.35">
      <c r="A633" s="12" t="s">
        <v>68</v>
      </c>
      <c r="B633" s="3" t="str">
        <f>[1]Results!E205</f>
        <v>YG_toe_2</v>
      </c>
      <c r="C633" s="3">
        <f>[1]Results!F205</f>
        <v>141.453406</v>
      </c>
      <c r="D633" s="3">
        <f>[1]Results!G205</f>
        <v>144.19496480000001</v>
      </c>
      <c r="E633" s="3">
        <f>[1]Results!H205</f>
        <v>146.50662460000001</v>
      </c>
      <c r="F633" s="3">
        <f>[1]Results!I205</f>
        <v>148.68272759999999</v>
      </c>
      <c r="G633" s="3">
        <f>[1]Results!J205</f>
        <v>150.8989239</v>
      </c>
      <c r="H633" s="3">
        <f>[1]Results!K205</f>
        <v>153.18866980000001</v>
      </c>
      <c r="I633" s="3">
        <f>[1]Results!L205</f>
        <v>155.53444920000001</v>
      </c>
      <c r="J633" s="3">
        <f>[1]Results!M205</f>
        <v>156.1766427</v>
      </c>
      <c r="K633" s="3">
        <f>[1]Results!N205</f>
        <v>156.78356679999999</v>
      </c>
      <c r="L633" s="3">
        <f>[1]Results!O205</f>
        <v>157.8041393</v>
      </c>
      <c r="M633" s="3">
        <f>[1]Results!P205</f>
        <v>158.73146399999999</v>
      </c>
      <c r="N633" s="3">
        <f>[1]Results!Q205</f>
        <v>159.57483010000001</v>
      </c>
      <c r="O633" s="3">
        <f>[1]Results!R205</f>
        <v>160.32141229999999</v>
      </c>
      <c r="P633" s="3">
        <f>[1]Results!S205</f>
        <v>160.9518703</v>
      </c>
      <c r="Q633" s="3">
        <f>[1]Results!T205</f>
        <v>161.60007820000001</v>
      </c>
      <c r="R633" s="3">
        <f>[1]Results!U205</f>
        <v>162.3348359</v>
      </c>
      <c r="S633" s="3">
        <f>[1]Results!V205</f>
        <v>163.26740960000001</v>
      </c>
      <c r="T633" s="3">
        <f>[1]Results!W205</f>
        <v>164.33238879999999</v>
      </c>
      <c r="U633" s="3">
        <f>[1]Results!X205</f>
        <v>165.54566399999999</v>
      </c>
      <c r="V633" s="3">
        <f>[1]Results!Y205</f>
        <v>166.9191414</v>
      </c>
      <c r="W633" s="3">
        <f>[1]Results!Z205</f>
        <v>168.4704227</v>
      </c>
      <c r="X633" s="3">
        <f>[1]Results!AA205</f>
        <v>170.22138390000001</v>
      </c>
      <c r="Y633" s="3">
        <f>[1]Results!AB205</f>
        <v>172.2006815</v>
      </c>
      <c r="Z633" s="3">
        <f>[1]Results!AC205</f>
        <v>174.41957009999999</v>
      </c>
      <c r="AA633" s="3">
        <f>[1]Results!AD205</f>
        <v>176.87869180000001</v>
      </c>
      <c r="AB633" s="3">
        <f>[1]Results!AE205</f>
        <v>179.58371529999999</v>
      </c>
      <c r="AC633" s="3">
        <f>[1]Results!AF205</f>
        <v>182.65372339999999</v>
      </c>
      <c r="AD633" s="3">
        <f>[1]Results!AG205</f>
        <v>186.07000059999999</v>
      </c>
      <c r="AE633" s="3">
        <f>[1]Results!AH205</f>
        <v>189.84905040000001</v>
      </c>
      <c r="AF633" s="3">
        <f>[1]Results!AI205</f>
        <v>193.97347600000001</v>
      </c>
      <c r="AG633" s="3">
        <f>[1]Results!AJ205</f>
        <v>198.4236085</v>
      </c>
      <c r="AH633" s="3">
        <f>[1]Results!AK205</f>
        <v>203.2192608</v>
      </c>
      <c r="AI633" s="3">
        <f>[1]Results!AL205</f>
        <v>208.4277701</v>
      </c>
      <c r="AJ633" s="3">
        <f>[1]Results!AM205</f>
        <v>214.16133669999999</v>
      </c>
      <c r="AK633" s="3">
        <f>[1]Results!AN205</f>
        <v>220.6416681</v>
      </c>
      <c r="AL633" s="3">
        <f>[1]Results!AO205</f>
        <v>228.35726439999999</v>
      </c>
    </row>
    <row r="634" spans="1:38" x14ac:dyDescent="0.35">
      <c r="A634" t="s">
        <v>27</v>
      </c>
      <c r="B634" s="3" t="str">
        <f>[1]Results!E206</f>
        <v>YG_toe_ccoa_2</v>
      </c>
      <c r="C634" s="3">
        <f>[1]Results!F206</f>
        <v>2.2569215460000001</v>
      </c>
      <c r="D634" s="3">
        <f>[1]Results!G206</f>
        <v>1.6293367780000001</v>
      </c>
      <c r="E634" s="3">
        <f>[1]Results!H206</f>
        <v>1.112479759</v>
      </c>
      <c r="F634" s="3">
        <f>[1]Results!I206</f>
        <v>0.69877456189999998</v>
      </c>
      <c r="G634" s="3">
        <f>[1]Results!J206</f>
        <v>0.36958686699999999</v>
      </c>
      <c r="H634" s="3">
        <f>[1]Results!K206</f>
        <v>0.1051645298</v>
      </c>
      <c r="I634" s="3">
        <f>[1]Results!L206</f>
        <v>-0.1095072315</v>
      </c>
      <c r="J634" s="3">
        <f>[1]Results!M206</f>
        <v>-0.30846989460000002</v>
      </c>
      <c r="K634" s="3">
        <f>[1]Results!N206</f>
        <v>-0.47670604290000002</v>
      </c>
      <c r="L634" s="3">
        <f>[1]Results!O206</f>
        <v>-0.62961136289999997</v>
      </c>
      <c r="M634" s="3">
        <f>[1]Results!P206</f>
        <v>-0.76265889529999997</v>
      </c>
      <c r="N634" s="3">
        <f>[1]Results!Q206</f>
        <v>-0.87979199220000004</v>
      </c>
      <c r="O634" s="3">
        <f>[1]Results!R206</f>
        <v>-0.98165325319999996</v>
      </c>
      <c r="P634" s="3">
        <f>[1]Results!S206</f>
        <v>-1.069106254</v>
      </c>
      <c r="Q634" s="3">
        <f>[1]Results!T206</f>
        <v>-1.146057439</v>
      </c>
      <c r="R634" s="3">
        <f>[1]Results!U206</f>
        <v>-1.215447086</v>
      </c>
      <c r="S634" s="3">
        <f>[1]Results!V206</f>
        <v>-1.2823829790000001</v>
      </c>
      <c r="T634" s="3">
        <f>[1]Results!W206</f>
        <v>-1.34574518</v>
      </c>
      <c r="U634" s="3">
        <f>[1]Results!X206</f>
        <v>-1.4067046700000001</v>
      </c>
      <c r="V634" s="3">
        <f>[1]Results!Y206</f>
        <v>-1.4662566699999999</v>
      </c>
      <c r="W634" s="3">
        <f>[1]Results!Z206</f>
        <v>-1.5253855700000001</v>
      </c>
      <c r="X634" s="3">
        <f>[1]Results!AA206</f>
        <v>-1.584977936</v>
      </c>
      <c r="Y634" s="3">
        <f>[1]Results!AB206</f>
        <v>-1.6460174750000001</v>
      </c>
      <c r="Z634" s="3">
        <f>[1]Results!AC206</f>
        <v>-1.7090392080000001</v>
      </c>
      <c r="AA634" s="3">
        <f>[1]Results!AD206</f>
        <v>-1.7741492679999999</v>
      </c>
      <c r="AB634" s="3">
        <f>[1]Results!AE206</f>
        <v>-1.841535119</v>
      </c>
      <c r="AC634" s="3">
        <f>[1]Results!AF206</f>
        <v>-1.9095408659999999</v>
      </c>
      <c r="AD634" s="3">
        <f>[1]Results!AG206</f>
        <v>-1.9809449029999999</v>
      </c>
      <c r="AE634" s="3">
        <f>[1]Results!AH206</f>
        <v>-2.0560984019999999</v>
      </c>
      <c r="AF634" s="3">
        <f>[1]Results!AI206</f>
        <v>-2.1341917760000002</v>
      </c>
      <c r="AG634" s="3">
        <f>[1]Results!AJ206</f>
        <v>-2.2141089620000001</v>
      </c>
      <c r="AH634" s="3">
        <f>[1]Results!AK206</f>
        <v>-2.2951811700000002</v>
      </c>
      <c r="AI634" s="3">
        <f>[1]Results!AL206</f>
        <v>-2.377134334</v>
      </c>
      <c r="AJ634" s="3">
        <f>[1]Results!AM206</f>
        <v>-2.4596251370000002</v>
      </c>
      <c r="AK634" s="3">
        <f>[1]Results!AN206</f>
        <v>-2.5422314259999998</v>
      </c>
      <c r="AL634" s="3">
        <f>[1]Results!AO206</f>
        <v>-2.6243740259999999</v>
      </c>
    </row>
    <row r="635" spans="1:38" x14ac:dyDescent="0.35">
      <c r="B635" s="3" t="s">
        <v>48</v>
      </c>
      <c r="C635" s="3">
        <f>SUM(C636:C638)</f>
        <v>60.458427149000002</v>
      </c>
      <c r="D635" s="3">
        <f t="shared" ref="D635:AL635" si="124">SUM(D636:D638)</f>
        <v>61.820079034499997</v>
      </c>
      <c r="E635" s="3">
        <f t="shared" si="124"/>
        <v>62.980142503400003</v>
      </c>
      <c r="F635" s="3">
        <f t="shared" si="124"/>
        <v>64.018813356999999</v>
      </c>
      <c r="G635" s="3">
        <f t="shared" si="124"/>
        <v>65.053807014699998</v>
      </c>
      <c r="H635" s="3">
        <f t="shared" si="124"/>
        <v>66.092040669200003</v>
      </c>
      <c r="I635" s="3">
        <f t="shared" si="124"/>
        <v>67.100022566100009</v>
      </c>
      <c r="J635" s="3">
        <f t="shared" si="124"/>
        <v>66.256584455799995</v>
      </c>
      <c r="K635" s="3">
        <f t="shared" si="124"/>
        <v>65.226433884300008</v>
      </c>
      <c r="L635" s="3">
        <f t="shared" si="124"/>
        <v>64.013160915699999</v>
      </c>
      <c r="M635" s="3">
        <f t="shared" si="124"/>
        <v>62.566443260500002</v>
      </c>
      <c r="N635" s="3">
        <f t="shared" si="124"/>
        <v>60.973286435299997</v>
      </c>
      <c r="O635" s="3">
        <f t="shared" si="124"/>
        <v>59.287340409399995</v>
      </c>
      <c r="P635" s="3">
        <f t="shared" si="124"/>
        <v>57.554592317099996</v>
      </c>
      <c r="Q635" s="3">
        <f t="shared" si="124"/>
        <v>55.822482739100003</v>
      </c>
      <c r="R635" s="3">
        <f t="shared" si="124"/>
        <v>54.119845129100007</v>
      </c>
      <c r="S635" s="3">
        <f t="shared" si="124"/>
        <v>52.838784783999998</v>
      </c>
      <c r="T635" s="3">
        <f t="shared" si="124"/>
        <v>51.617720355599999</v>
      </c>
      <c r="U635" s="3">
        <f t="shared" si="124"/>
        <v>50.456171122500002</v>
      </c>
      <c r="V635" s="3">
        <f t="shared" si="124"/>
        <v>49.355508560600001</v>
      </c>
      <c r="W635" s="3">
        <f t="shared" si="124"/>
        <v>48.316906931699997</v>
      </c>
      <c r="X635" s="3">
        <f t="shared" si="124"/>
        <v>47.341646615399995</v>
      </c>
      <c r="Y635" s="3">
        <f t="shared" si="124"/>
        <v>46.431887813000003</v>
      </c>
      <c r="Z635" s="3">
        <f t="shared" si="124"/>
        <v>45.588239358899997</v>
      </c>
      <c r="AA635" s="3">
        <f t="shared" si="124"/>
        <v>44.809901901099998</v>
      </c>
      <c r="AB635" s="3">
        <f t="shared" si="124"/>
        <v>44.096654971470002</v>
      </c>
      <c r="AC635" s="3">
        <f t="shared" si="124"/>
        <v>43.452472298210004</v>
      </c>
      <c r="AD635" s="3">
        <f t="shared" si="124"/>
        <v>42.882324200349998</v>
      </c>
      <c r="AE635" s="3">
        <f t="shared" si="124"/>
        <v>42.388348734249995</v>
      </c>
      <c r="AF635" s="3">
        <f t="shared" si="124"/>
        <v>41.968314246090003</v>
      </c>
      <c r="AG635" s="3">
        <f t="shared" si="124"/>
        <v>41.618587371299995</v>
      </c>
      <c r="AH635" s="3">
        <f t="shared" si="124"/>
        <v>41.338443572990002</v>
      </c>
      <c r="AI635" s="3">
        <f t="shared" si="124"/>
        <v>41.130511491540005</v>
      </c>
      <c r="AJ635" s="3">
        <f t="shared" si="124"/>
        <v>40.998528631500001</v>
      </c>
      <c r="AK635" s="3">
        <f t="shared" si="124"/>
        <v>40.948359008289998</v>
      </c>
      <c r="AL635" s="3">
        <f t="shared" si="124"/>
        <v>40.989349707830002</v>
      </c>
    </row>
    <row r="636" spans="1:38" x14ac:dyDescent="0.35">
      <c r="B636" s="3" t="str">
        <f>[1]Results!E209</f>
        <v>YG_toe_ccoi_2</v>
      </c>
      <c r="C636" s="3">
        <f>[1]Results!F209</f>
        <v>1.20144183</v>
      </c>
      <c r="D636" s="3">
        <f>[1]Results!G209</f>
        <v>0.96352328350000005</v>
      </c>
      <c r="E636" s="3">
        <f>[1]Results!H209</f>
        <v>0.77319126739999999</v>
      </c>
      <c r="F636" s="3">
        <f>[1]Results!I209</f>
        <v>0.620929493</v>
      </c>
      <c r="G636" s="3">
        <f>[1]Results!J209</f>
        <v>0.49914107270000002</v>
      </c>
      <c r="H636" s="3">
        <f>[1]Results!K209</f>
        <v>0.40173377919999997</v>
      </c>
      <c r="I636" s="3">
        <f>[1]Results!L209</f>
        <v>0.32382010410000001</v>
      </c>
      <c r="J636" s="3">
        <f>[1]Results!M209</f>
        <v>0.26104728579999997</v>
      </c>
      <c r="K636" s="3">
        <f>[1]Results!N209</f>
        <v>0.2106497843</v>
      </c>
      <c r="L636" s="3">
        <f>[1]Results!O209</f>
        <v>0.1702250857</v>
      </c>
      <c r="M636" s="3">
        <f>[1]Results!P209</f>
        <v>0.1377565345</v>
      </c>
      <c r="N636" s="3">
        <f>[1]Results!Q209</f>
        <v>0.1116626173</v>
      </c>
      <c r="O636" s="3">
        <f>[1]Results!R209</f>
        <v>9.0680559399999999E-2</v>
      </c>
      <c r="P636" s="3">
        <f>[1]Results!S209</f>
        <v>7.3799566100000005E-2</v>
      </c>
      <c r="Q636" s="3">
        <f>[1]Results!T209</f>
        <v>6.0217349099999998E-2</v>
      </c>
      <c r="R636" s="3">
        <f>[1]Results!U209</f>
        <v>4.9287925099999998E-2</v>
      </c>
      <c r="S636" s="3">
        <f>[1]Results!V209</f>
        <v>4.0479196000000002E-2</v>
      </c>
      <c r="T636" s="3">
        <f>[1]Results!W209</f>
        <v>3.3383414600000001E-2</v>
      </c>
      <c r="U636" s="3">
        <f>[1]Results!X209</f>
        <v>2.7660342500000001E-2</v>
      </c>
      <c r="V636" s="3">
        <f>[1]Results!Y209</f>
        <v>2.3039769599999999E-2</v>
      </c>
      <c r="W636" s="3">
        <f>[1]Results!Z209</f>
        <v>1.9305677699999999E-2</v>
      </c>
      <c r="X636" s="3">
        <f>[1]Results!AA209</f>
        <v>1.62851434E-2</v>
      </c>
      <c r="Y636" s="3">
        <f>[1]Results!AB209</f>
        <v>1.3840056999999999E-2</v>
      </c>
      <c r="Z636" s="3">
        <f>[1]Results!AC209</f>
        <v>1.18594259E-2</v>
      </c>
      <c r="AA636" s="3">
        <f>[1]Results!AD209</f>
        <v>1.02537281E-2</v>
      </c>
      <c r="AB636" s="3">
        <f>[1]Results!AE209</f>
        <v>8.9512614699999993E-3</v>
      </c>
      <c r="AC636" s="3">
        <f>[1]Results!AF209</f>
        <v>7.8998932099999999E-3</v>
      </c>
      <c r="AD636" s="3">
        <f>[1]Results!AG209</f>
        <v>7.0501203500000003E-3</v>
      </c>
      <c r="AE636" s="3">
        <f>[1]Results!AH209</f>
        <v>6.3643372500000002E-3</v>
      </c>
      <c r="AF636" s="3">
        <f>[1]Results!AI209</f>
        <v>5.8111256900000002E-3</v>
      </c>
      <c r="AG636" s="3">
        <f>[1]Results!AJ209</f>
        <v>5.3643991999999998E-3</v>
      </c>
      <c r="AH636" s="3">
        <f>[1]Results!AK209</f>
        <v>5.00326299E-3</v>
      </c>
      <c r="AI636" s="3">
        <f>[1]Results!AL209</f>
        <v>4.7110930400000002E-3</v>
      </c>
      <c r="AJ636" s="3">
        <f>[1]Results!AM209</f>
        <v>4.4743209000000003E-3</v>
      </c>
      <c r="AK636" s="3">
        <f>[1]Results!AN209</f>
        <v>4.2817192900000004E-3</v>
      </c>
      <c r="AL636" s="3">
        <f>[1]Results!AO209</f>
        <v>4.1238457299999998E-3</v>
      </c>
    </row>
    <row r="637" spans="1:38" x14ac:dyDescent="0.35">
      <c r="B637" s="3" t="str">
        <f>[1]Results!E212</f>
        <v>YG_toe_cfut_2</v>
      </c>
      <c r="C637" s="3">
        <f>[1]Results!F212</f>
        <v>54.253333179999998</v>
      </c>
      <c r="D637" s="3">
        <f>[1]Results!G212</f>
        <v>55.972274159999998</v>
      </c>
      <c r="E637" s="3">
        <f>[1]Results!H212</f>
        <v>57.431411820000001</v>
      </c>
      <c r="F637" s="3">
        <f>[1]Results!I212</f>
        <v>58.719939930000002</v>
      </c>
      <c r="G637" s="3">
        <f>[1]Results!J212</f>
        <v>59.950484469999999</v>
      </c>
      <c r="H637" s="3">
        <f>[1]Results!K212</f>
        <v>61.139687299999999</v>
      </c>
      <c r="I637" s="3">
        <f>[1]Results!L212</f>
        <v>62.271012460000001</v>
      </c>
      <c r="J637" s="3">
        <f>[1]Results!M212</f>
        <v>61.719745439999997</v>
      </c>
      <c r="K637" s="3">
        <f>[1]Results!N212</f>
        <v>60.970179299999998</v>
      </c>
      <c r="L637" s="3">
        <f>[1]Results!O212</f>
        <v>60.021613510000002</v>
      </c>
      <c r="M637" s="3">
        <f>[1]Results!P212</f>
        <v>58.83039754</v>
      </c>
      <c r="N637" s="3">
        <f>[1]Results!Q212</f>
        <v>57.477097610000001</v>
      </c>
      <c r="O637" s="3">
        <f>[1]Results!R212</f>
        <v>56.014023819999998</v>
      </c>
      <c r="P637" s="3">
        <f>[1]Results!S212</f>
        <v>54.487060999999997</v>
      </c>
      <c r="Q637" s="3">
        <f>[1]Results!T212</f>
        <v>52.944092060000003</v>
      </c>
      <c r="R637" s="3">
        <f>[1]Results!U212</f>
        <v>51.415627950000001</v>
      </c>
      <c r="S637" s="3">
        <f>[1]Results!V212</f>
        <v>50.292575800000002</v>
      </c>
      <c r="T637" s="3">
        <f>[1]Results!W212</f>
        <v>49.218758039999997</v>
      </c>
      <c r="U637" s="3">
        <f>[1]Results!X212</f>
        <v>48.196794930000003</v>
      </c>
      <c r="V637" s="3">
        <f>[1]Results!Y212</f>
        <v>47.22983258</v>
      </c>
      <c r="W637" s="3">
        <f>[1]Results!Z212</f>
        <v>46.320273460000003</v>
      </c>
      <c r="X637" s="3">
        <f>[1]Results!AA212</f>
        <v>45.470152749999997</v>
      </c>
      <c r="Y637" s="3">
        <f>[1]Results!AB212</f>
        <v>44.682137470000001</v>
      </c>
      <c r="Z637" s="3">
        <f>[1]Results!AC212</f>
        <v>43.957343119999997</v>
      </c>
      <c r="AA637" s="3">
        <f>[1]Results!AD212</f>
        <v>43.295539310000002</v>
      </c>
      <c r="AB637" s="3">
        <f>[1]Results!AE212</f>
        <v>42.697069599999999</v>
      </c>
      <c r="AC637" s="3">
        <f>[1]Results!AF212</f>
        <v>42.166446860000001</v>
      </c>
      <c r="AD637" s="3">
        <f>[1]Results!AG212</f>
        <v>41.709154869999999</v>
      </c>
      <c r="AE637" s="3">
        <f>[1]Results!AH212</f>
        <v>41.32793006</v>
      </c>
      <c r="AF637" s="3">
        <f>[1]Results!AI212</f>
        <v>41.0212462</v>
      </c>
      <c r="AG637" s="3">
        <f>[1]Results!AJ212</f>
        <v>40.786187890000001</v>
      </c>
      <c r="AH637" s="3">
        <f>[1]Results!AK212</f>
        <v>40.62269706</v>
      </c>
      <c r="AI637" s="3">
        <f>[1]Results!AL212</f>
        <v>40.534039380000003</v>
      </c>
      <c r="AJ637" s="3">
        <f>[1]Results!AM212</f>
        <v>40.524612349999998</v>
      </c>
      <c r="AK637" s="3">
        <f>[1]Results!AN212</f>
        <v>40.600997200000002</v>
      </c>
      <c r="AL637" s="3">
        <f>[1]Results!AO212</f>
        <v>40.773354920000003</v>
      </c>
    </row>
    <row r="638" spans="1:38" x14ac:dyDescent="0.35">
      <c r="B638" s="3" t="str">
        <f>[1]Results!E215</f>
        <v>YG_toe_cfuh_2</v>
      </c>
      <c r="C638" s="3">
        <f>[1]Results!F215</f>
        <v>5.0036521389999997</v>
      </c>
      <c r="D638" s="3">
        <f>[1]Results!G215</f>
        <v>4.8842815909999997</v>
      </c>
      <c r="E638" s="3">
        <f>[1]Results!H215</f>
        <v>4.775539416</v>
      </c>
      <c r="F638" s="3">
        <f>[1]Results!I215</f>
        <v>4.677943934</v>
      </c>
      <c r="G638" s="3">
        <f>[1]Results!J215</f>
        <v>4.6041814719999996</v>
      </c>
      <c r="H638" s="3">
        <f>[1]Results!K215</f>
        <v>4.5506195900000002</v>
      </c>
      <c r="I638" s="3">
        <f>[1]Results!L215</f>
        <v>4.505190002</v>
      </c>
      <c r="J638" s="3">
        <f>[1]Results!M215</f>
        <v>4.2757917299999999</v>
      </c>
      <c r="K638" s="3">
        <f>[1]Results!N215</f>
        <v>4.0456047999999996</v>
      </c>
      <c r="L638" s="3">
        <f>[1]Results!O215</f>
        <v>3.8213223200000002</v>
      </c>
      <c r="M638" s="3">
        <f>[1]Results!P215</f>
        <v>3.5982891860000001</v>
      </c>
      <c r="N638" s="3">
        <f>[1]Results!Q215</f>
        <v>3.384526208</v>
      </c>
      <c r="O638" s="3">
        <f>[1]Results!R215</f>
        <v>3.1826360299999998</v>
      </c>
      <c r="P638" s="3">
        <f>[1]Results!S215</f>
        <v>2.9937317509999999</v>
      </c>
      <c r="Q638" s="3">
        <f>[1]Results!T215</f>
        <v>2.81817333</v>
      </c>
      <c r="R638" s="3">
        <f>[1]Results!U215</f>
        <v>2.6549292539999998</v>
      </c>
      <c r="S638" s="3">
        <f>[1]Results!V215</f>
        <v>2.505729788</v>
      </c>
      <c r="T638" s="3">
        <f>[1]Results!W215</f>
        <v>2.3655789010000001</v>
      </c>
      <c r="U638" s="3">
        <f>[1]Results!X215</f>
        <v>2.2317158500000001</v>
      </c>
      <c r="V638" s="3">
        <f>[1]Results!Y215</f>
        <v>2.1026362110000001</v>
      </c>
      <c r="W638" s="3">
        <f>[1]Results!Z215</f>
        <v>1.977327794</v>
      </c>
      <c r="X638" s="3">
        <f>[1]Results!AA215</f>
        <v>1.855208722</v>
      </c>
      <c r="Y638" s="3">
        <f>[1]Results!AB215</f>
        <v>1.735910286</v>
      </c>
      <c r="Z638" s="3">
        <f>[1]Results!AC215</f>
        <v>1.6190368129999999</v>
      </c>
      <c r="AA638" s="3">
        <f>[1]Results!AD215</f>
        <v>1.5041088629999999</v>
      </c>
      <c r="AB638" s="3">
        <f>[1]Results!AE215</f>
        <v>1.3906341099999999</v>
      </c>
      <c r="AC638" s="3">
        <f>[1]Results!AF215</f>
        <v>1.278125545</v>
      </c>
      <c r="AD638" s="3">
        <f>[1]Results!AG215</f>
        <v>1.16611921</v>
      </c>
      <c r="AE638" s="3">
        <f>[1]Results!AH215</f>
        <v>1.054054337</v>
      </c>
      <c r="AF638" s="3">
        <f>[1]Results!AI215</f>
        <v>0.94125692039999997</v>
      </c>
      <c r="AG638" s="3">
        <f>[1]Results!AJ215</f>
        <v>0.82703508209999999</v>
      </c>
      <c r="AH638" s="3">
        <f>[1]Results!AK215</f>
        <v>0.71074325000000005</v>
      </c>
      <c r="AI638" s="3">
        <f>[1]Results!AL215</f>
        <v>0.59176101849999996</v>
      </c>
      <c r="AJ638" s="3">
        <f>[1]Results!AM215</f>
        <v>0.46944196059999999</v>
      </c>
      <c r="AK638" s="3">
        <f>[1]Results!AN215</f>
        <v>0.34308008899999998</v>
      </c>
      <c r="AL638" s="3">
        <f>[1]Results!AO215</f>
        <v>0.21187094209999999</v>
      </c>
    </row>
    <row r="639" spans="1:38" x14ac:dyDescent="0.35">
      <c r="B639" s="3" t="str">
        <f>[1]Results!E217</f>
        <v>YG_toe_cgas_2</v>
      </c>
      <c r="C639" s="3">
        <f>[1]Results!F217</f>
        <v>2.412417311</v>
      </c>
      <c r="D639" s="3">
        <f>[1]Results!G217</f>
        <v>4.2790721859999996</v>
      </c>
      <c r="E639" s="3">
        <f>[1]Results!H217</f>
        <v>5.6825278480000003</v>
      </c>
      <c r="F639" s="3">
        <f>[1]Results!I217</f>
        <v>6.8068460369999997</v>
      </c>
      <c r="G639" s="3">
        <f>[1]Results!J217</f>
        <v>7.7542953969999999</v>
      </c>
      <c r="H639" s="3">
        <f>[1]Results!K217</f>
        <v>8.5509855459999997</v>
      </c>
      <c r="I639" s="3">
        <f>[1]Results!L217</f>
        <v>9.2268407670000006</v>
      </c>
      <c r="J639" s="3">
        <f>[1]Results!M217</f>
        <v>9.6918394269999997</v>
      </c>
      <c r="K639" s="3">
        <f>[1]Results!N217</f>
        <v>10.101990839999999</v>
      </c>
      <c r="L639" s="3">
        <f>[1]Results!O217</f>
        <v>10.47001448</v>
      </c>
      <c r="M639" s="3">
        <f>[1]Results!P217</f>
        <v>10.79345352</v>
      </c>
      <c r="N639" s="3">
        <f>[1]Results!Q217</f>
        <v>11.112473100000001</v>
      </c>
      <c r="O639" s="3">
        <f>[1]Results!R217</f>
        <v>11.412716809999999</v>
      </c>
      <c r="P639" s="3">
        <f>[1]Results!S217</f>
        <v>11.69132609</v>
      </c>
      <c r="Q639" s="3">
        <f>[1]Results!T217</f>
        <v>11.95291887</v>
      </c>
      <c r="R639" s="3">
        <f>[1]Results!U217</f>
        <v>12.201154799999999</v>
      </c>
      <c r="S639" s="3">
        <f>[1]Results!V217</f>
        <v>12.38688677</v>
      </c>
      <c r="T639" s="3">
        <f>[1]Results!W217</f>
        <v>12.56383859</v>
      </c>
      <c r="U639" s="3">
        <f>[1]Results!X217</f>
        <v>12.73902539</v>
      </c>
      <c r="V639" s="3">
        <f>[1]Results!Y217</f>
        <v>12.917847419999999</v>
      </c>
      <c r="W639" s="3">
        <f>[1]Results!Z217</f>
        <v>13.105529239999999</v>
      </c>
      <c r="X639" s="3">
        <f>[1]Results!AA217</f>
        <v>13.30735919</v>
      </c>
      <c r="Y639" s="3">
        <f>[1]Results!AB217</f>
        <v>13.52862474</v>
      </c>
      <c r="Z639" s="3">
        <f>[1]Results!AC217</f>
        <v>13.7730487</v>
      </c>
      <c r="AA639" s="3">
        <f>[1]Results!AD217</f>
        <v>14.0460332</v>
      </c>
      <c r="AB639" s="3">
        <f>[1]Results!AE217</f>
        <v>14.35466808</v>
      </c>
      <c r="AC639" s="3">
        <f>[1]Results!AF217</f>
        <v>14.709380149999999</v>
      </c>
      <c r="AD639" s="3">
        <f>[1]Results!AG217</f>
        <v>15.123569850000001</v>
      </c>
      <c r="AE639" s="3">
        <f>[1]Results!AH217</f>
        <v>15.61282847</v>
      </c>
      <c r="AF639" s="3">
        <f>[1]Results!AI217</f>
        <v>16.197427909999998</v>
      </c>
      <c r="AG639" s="3">
        <f>[1]Results!AJ217</f>
        <v>16.90701155</v>
      </c>
      <c r="AH639" s="3">
        <f>[1]Results!AK217</f>
        <v>17.78824496</v>
      </c>
      <c r="AI639" s="3">
        <f>[1]Results!AL217</f>
        <v>18.916600819999999</v>
      </c>
      <c r="AJ639" s="3">
        <f>[1]Results!AM217</f>
        <v>20.42010423</v>
      </c>
      <c r="AK639" s="3">
        <f>[1]Results!AN217</f>
        <v>22.537426969999999</v>
      </c>
      <c r="AL639" s="3">
        <f>[1]Results!AO217</f>
        <v>25.771560149999999</v>
      </c>
    </row>
    <row r="640" spans="1:38" x14ac:dyDescent="0.35">
      <c r="B640" s="3" t="str">
        <f>[1]Results!E223</f>
        <v>YG_toe_cele_2</v>
      </c>
      <c r="C640" s="3">
        <f>[1]Results!F223</f>
        <v>49.441948310000001</v>
      </c>
      <c r="D640" s="3">
        <f>[1]Results!G223</f>
        <v>50.03974848</v>
      </c>
      <c r="E640" s="3">
        <f>[1]Results!H223</f>
        <v>50.601939170000001</v>
      </c>
      <c r="F640" s="3">
        <f>[1]Results!I223</f>
        <v>51.236070650000002</v>
      </c>
      <c r="G640" s="3">
        <f>[1]Results!J223</f>
        <v>51.85943485</v>
      </c>
      <c r="H640" s="3">
        <f>[1]Results!K223</f>
        <v>52.532987159999998</v>
      </c>
      <c r="I640" s="3">
        <f>[1]Results!L223</f>
        <v>53.283906350000002</v>
      </c>
      <c r="J640" s="3">
        <f>[1]Results!M223</f>
        <v>54.643511850000003</v>
      </c>
      <c r="K640" s="3">
        <f>[1]Results!N223</f>
        <v>56.179925580000003</v>
      </c>
      <c r="L640" s="3">
        <f>[1]Results!O223</f>
        <v>58.163376499999998</v>
      </c>
      <c r="M640" s="3">
        <f>[1]Results!P223</f>
        <v>60.307424640000001</v>
      </c>
      <c r="N640" s="3">
        <f>[1]Results!Q223</f>
        <v>62.455255350000002</v>
      </c>
      <c r="O640" s="3">
        <f>[1]Results!R223</f>
        <v>64.582781859999997</v>
      </c>
      <c r="P640" s="3">
        <f>[1]Results!S223</f>
        <v>66.647004350000003</v>
      </c>
      <c r="Q640" s="3">
        <f>[1]Results!T223</f>
        <v>68.698901449999994</v>
      </c>
      <c r="R640" s="3">
        <f>[1]Results!U223</f>
        <v>70.762530040000001</v>
      </c>
      <c r="S640" s="3">
        <f>[1]Results!V223</f>
        <v>72.733055579999998</v>
      </c>
      <c r="T640" s="3">
        <f>[1]Results!W223</f>
        <v>74.748399770000006</v>
      </c>
      <c r="U640" s="3">
        <f>[1]Results!X223</f>
        <v>76.811360840000006</v>
      </c>
      <c r="V640" s="3">
        <f>[1]Results!Y223</f>
        <v>78.924710840000003</v>
      </c>
      <c r="W640" s="3">
        <f>[1]Results!Z223</f>
        <v>81.097151859999997</v>
      </c>
      <c r="X640" s="3">
        <f>[1]Results!AA223</f>
        <v>83.341896219999995</v>
      </c>
      <c r="Y640" s="3">
        <f>[1]Results!AB223</f>
        <v>85.676351710000006</v>
      </c>
      <c r="Z640" s="3">
        <f>[1]Results!AC223</f>
        <v>88.10633713</v>
      </c>
      <c r="AA640" s="3">
        <f>[1]Results!AD223</f>
        <v>90.629645249999996</v>
      </c>
      <c r="AB640" s="3">
        <f>[1]Results!AE223</f>
        <v>93.245638600000007</v>
      </c>
      <c r="AC640" s="3">
        <f>[1]Results!AF223</f>
        <v>96.022205560000003</v>
      </c>
      <c r="AD640" s="3">
        <f>[1]Results!AG223</f>
        <v>98.947905910000003</v>
      </c>
      <c r="AE640" s="3">
        <f>[1]Results!AH223</f>
        <v>102.0220447</v>
      </c>
      <c r="AF640" s="3">
        <f>[1]Results!AI223</f>
        <v>105.21771560000001</v>
      </c>
      <c r="AG640" s="3">
        <f>[1]Results!AJ223</f>
        <v>108.5002204</v>
      </c>
      <c r="AH640" s="3">
        <f>[1]Results!AK223</f>
        <v>111.8507097</v>
      </c>
      <c r="AI640" s="3">
        <f>[1]Results!AL223</f>
        <v>115.2624356</v>
      </c>
      <c r="AJ640" s="3">
        <f>[1]Results!AM223</f>
        <v>118.7201123</v>
      </c>
      <c r="AK640" s="3">
        <f>[1]Results!AN223</f>
        <v>122.2053808</v>
      </c>
      <c r="AL640" s="3">
        <f>[1]Results!AO223</f>
        <v>125.6989718</v>
      </c>
    </row>
    <row r="641" spans="1:38" x14ac:dyDescent="0.35">
      <c r="B641" s="3" t="s">
        <v>49</v>
      </c>
      <c r="C641" s="3">
        <f>SUM(C642:C644)</f>
        <v>26.883691638000002</v>
      </c>
      <c r="D641" s="3">
        <f t="shared" ref="D641:AL641" si="125">SUM(D642:D644)</f>
        <v>26.426728343000001</v>
      </c>
      <c r="E641" s="3">
        <f t="shared" si="125"/>
        <v>26.129535294</v>
      </c>
      <c r="F641" s="3">
        <f t="shared" si="125"/>
        <v>25.922223022000001</v>
      </c>
      <c r="G641" s="3">
        <f t="shared" si="125"/>
        <v>25.861799795</v>
      </c>
      <c r="H641" s="3">
        <f t="shared" si="125"/>
        <v>25.907491895</v>
      </c>
      <c r="I641" s="3">
        <f t="shared" si="125"/>
        <v>26.033186753000003</v>
      </c>
      <c r="J641" s="3">
        <f t="shared" si="125"/>
        <v>25.893176824999998</v>
      </c>
      <c r="K641" s="3">
        <f t="shared" si="125"/>
        <v>25.751922571000001</v>
      </c>
      <c r="L641" s="3">
        <f t="shared" si="125"/>
        <v>25.787198746000001</v>
      </c>
      <c r="M641" s="3">
        <f t="shared" si="125"/>
        <v>25.826801479000004</v>
      </c>
      <c r="N641" s="3">
        <f t="shared" si="125"/>
        <v>25.913607258999999</v>
      </c>
      <c r="O641" s="3">
        <f t="shared" si="125"/>
        <v>26.020226485999999</v>
      </c>
      <c r="P641" s="3">
        <f t="shared" si="125"/>
        <v>26.128053805</v>
      </c>
      <c r="Q641" s="3">
        <f t="shared" si="125"/>
        <v>26.271832545000002</v>
      </c>
      <c r="R641" s="3">
        <f t="shared" si="125"/>
        <v>26.466752970999998</v>
      </c>
      <c r="S641" s="3">
        <f t="shared" si="125"/>
        <v>26.591065407999999</v>
      </c>
      <c r="T641" s="3">
        <f t="shared" si="125"/>
        <v>26.748175259999996</v>
      </c>
      <c r="U641" s="3">
        <f t="shared" si="125"/>
        <v>26.945811321000001</v>
      </c>
      <c r="V641" s="3">
        <f t="shared" si="125"/>
        <v>27.187331272999998</v>
      </c>
      <c r="W641" s="3">
        <f t="shared" si="125"/>
        <v>27.476220257999998</v>
      </c>
      <c r="X641" s="3">
        <f t="shared" si="125"/>
        <v>27.815459799999999</v>
      </c>
      <c r="Y641" s="3">
        <f t="shared" si="125"/>
        <v>28.209834710000003</v>
      </c>
      <c r="Z641" s="3">
        <f t="shared" si="125"/>
        <v>28.660984104000001</v>
      </c>
      <c r="AA641" s="3">
        <f t="shared" si="125"/>
        <v>29.167260676000001</v>
      </c>
      <c r="AB641" s="3">
        <f t="shared" si="125"/>
        <v>29.728288818999999</v>
      </c>
      <c r="AC641" s="3">
        <f t="shared" si="125"/>
        <v>30.379206222000001</v>
      </c>
      <c r="AD641" s="3">
        <f t="shared" si="125"/>
        <v>31.097145548999997</v>
      </c>
      <c r="AE641" s="3">
        <f t="shared" si="125"/>
        <v>31.881926937999999</v>
      </c>
      <c r="AF641" s="3">
        <f t="shared" si="125"/>
        <v>32.724210009000004</v>
      </c>
      <c r="AG641" s="3">
        <f t="shared" si="125"/>
        <v>33.611898183999998</v>
      </c>
      <c r="AH641" s="3">
        <f t="shared" si="125"/>
        <v>34.537043679999996</v>
      </c>
      <c r="AI641" s="3">
        <f t="shared" si="125"/>
        <v>35.495356522999998</v>
      </c>
      <c r="AJ641" s="3">
        <f t="shared" si="125"/>
        <v>36.482216679000004</v>
      </c>
      <c r="AK641" s="3">
        <f t="shared" si="125"/>
        <v>37.492732786000005</v>
      </c>
      <c r="AL641" s="3">
        <f t="shared" si="125"/>
        <v>38.521756769</v>
      </c>
    </row>
    <row r="642" spans="1:38" x14ac:dyDescent="0.35">
      <c r="B642" s="3" t="str">
        <f>[1]Results!E233</f>
        <v>YG_toe_chea_2</v>
      </c>
      <c r="C642" s="3">
        <f>[1]Results!F233</f>
        <v>3.570662408</v>
      </c>
      <c r="D642" s="3">
        <f>[1]Results!G233</f>
        <v>3.6001132029999998</v>
      </c>
      <c r="E642" s="3">
        <f>[1]Results!H233</f>
        <v>3.629181124</v>
      </c>
      <c r="F642" s="3">
        <f>[1]Results!I233</f>
        <v>3.6599007719999999</v>
      </c>
      <c r="G642" s="3">
        <f>[1]Results!J233</f>
        <v>3.6930056850000001</v>
      </c>
      <c r="H642" s="3">
        <f>[1]Results!K233</f>
        <v>3.7298814149999999</v>
      </c>
      <c r="I642" s="3">
        <f>[1]Results!L233</f>
        <v>3.7702960230000002</v>
      </c>
      <c r="J642" s="3">
        <f>[1]Results!M233</f>
        <v>3.775207725</v>
      </c>
      <c r="K642" s="3">
        <f>[1]Results!N233</f>
        <v>3.7704097810000001</v>
      </c>
      <c r="L642" s="3">
        <f>[1]Results!O233</f>
        <v>3.7728337459999999</v>
      </c>
      <c r="M642" s="3">
        <f>[1]Results!P233</f>
        <v>3.7787197990000001</v>
      </c>
      <c r="N642" s="3">
        <f>[1]Results!Q233</f>
        <v>3.7884005790000002</v>
      </c>
      <c r="O642" s="3">
        <f>[1]Results!R233</f>
        <v>3.8009899159999998</v>
      </c>
      <c r="P642" s="3">
        <f>[1]Results!S233</f>
        <v>3.8140296650000001</v>
      </c>
      <c r="Q642" s="3">
        <f>[1]Results!T233</f>
        <v>3.8279583650000002</v>
      </c>
      <c r="R642" s="3">
        <f>[1]Results!U233</f>
        <v>3.8432636809999998</v>
      </c>
      <c r="S642" s="3">
        <f>[1]Results!V233</f>
        <v>3.8614448979999998</v>
      </c>
      <c r="T642" s="3">
        <f>[1]Results!W233</f>
        <v>3.8814929999999999</v>
      </c>
      <c r="U642" s="3">
        <f>[1]Results!X233</f>
        <v>3.9040629710000001</v>
      </c>
      <c r="V642" s="3">
        <f>[1]Results!Y233</f>
        <v>3.9297094530000001</v>
      </c>
      <c r="W642" s="3">
        <f>[1]Results!Z233</f>
        <v>3.958890818</v>
      </c>
      <c r="X642" s="3">
        <f>[1]Results!AA233</f>
        <v>3.9919787499999999</v>
      </c>
      <c r="Y642" s="3">
        <f>[1]Results!AB233</f>
        <v>4.0293917600000002</v>
      </c>
      <c r="Z642" s="3">
        <f>[1]Results!AC233</f>
        <v>4.0712846440000003</v>
      </c>
      <c r="AA642" s="3">
        <f>[1]Results!AD233</f>
        <v>4.1176119760000001</v>
      </c>
      <c r="AB642" s="3">
        <f>[1]Results!AE233</f>
        <v>4.1683783989999998</v>
      </c>
      <c r="AC642" s="3">
        <f>[1]Results!AF233</f>
        <v>4.2240092919999999</v>
      </c>
      <c r="AD642" s="3">
        <f>[1]Results!AG233</f>
        <v>4.2850215389999997</v>
      </c>
      <c r="AE642" s="3">
        <f>[1]Results!AH233</f>
        <v>4.3513788279999996</v>
      </c>
      <c r="AF642" s="3">
        <f>[1]Results!AI233</f>
        <v>4.4223963089999998</v>
      </c>
      <c r="AG642" s="3">
        <f>[1]Results!AJ233</f>
        <v>4.4971978840000002</v>
      </c>
      <c r="AH642" s="3">
        <f>[1]Results!AK233</f>
        <v>4.57521792</v>
      </c>
      <c r="AI642" s="3">
        <f>[1]Results!AL233</f>
        <v>4.6561424929999999</v>
      </c>
      <c r="AJ642" s="3">
        <f>[1]Results!AM233</f>
        <v>4.7395321490000004</v>
      </c>
      <c r="AK642" s="3">
        <f>[1]Results!AN233</f>
        <v>4.8248103459999996</v>
      </c>
      <c r="AL642" s="3">
        <f>[1]Results!AO233</f>
        <v>4.9110446789999997</v>
      </c>
    </row>
    <row r="643" spans="1:38" x14ac:dyDescent="0.35">
      <c r="B643" s="3" t="str">
        <f>[1]Results!E235</f>
        <v>YG_toe_cbio_2</v>
      </c>
      <c r="C643" s="3">
        <f>[1]Results!F235</f>
        <v>11.10571706</v>
      </c>
      <c r="D643" s="3">
        <f>[1]Results!G235</f>
        <v>11.034267460000001</v>
      </c>
      <c r="E643" s="3">
        <f>[1]Results!H235</f>
        <v>10.966202940000001</v>
      </c>
      <c r="F643" s="3">
        <f>[1]Results!I235</f>
        <v>10.89108835</v>
      </c>
      <c r="G643" s="3">
        <f>[1]Results!J235</f>
        <v>10.869716650000001</v>
      </c>
      <c r="H643" s="3">
        <f>[1]Results!K235</f>
        <v>10.88109607</v>
      </c>
      <c r="I643" s="3">
        <f>[1]Results!L235</f>
        <v>10.914015060000001</v>
      </c>
      <c r="J643" s="3">
        <f>[1]Results!M235</f>
        <v>10.85956082</v>
      </c>
      <c r="K643" s="3">
        <f>[1]Results!N235</f>
        <v>10.80733219</v>
      </c>
      <c r="L643" s="3">
        <f>[1]Results!O235</f>
        <v>10.777427490000001</v>
      </c>
      <c r="M643" s="3">
        <f>[1]Results!P235</f>
        <v>10.742066810000001</v>
      </c>
      <c r="N643" s="3">
        <f>[1]Results!Q235</f>
        <v>10.73795996</v>
      </c>
      <c r="O643" s="3">
        <f>[1]Results!R235</f>
        <v>10.75339782</v>
      </c>
      <c r="P643" s="3">
        <f>[1]Results!S235</f>
        <v>10.78596286</v>
      </c>
      <c r="Q643" s="3">
        <f>[1]Results!T235</f>
        <v>10.84177816</v>
      </c>
      <c r="R643" s="3">
        <f>[1]Results!U235</f>
        <v>10.923292200000001</v>
      </c>
      <c r="S643" s="3">
        <f>[1]Results!V235</f>
        <v>10.9993839</v>
      </c>
      <c r="T643" s="3">
        <f>[1]Results!W235</f>
        <v>11.08781196</v>
      </c>
      <c r="U643" s="3">
        <f>[1]Results!X235</f>
        <v>11.191712880000001</v>
      </c>
      <c r="V643" s="3">
        <f>[1]Results!Y235</f>
        <v>11.312396</v>
      </c>
      <c r="W643" s="3">
        <f>[1]Results!Z235</f>
        <v>11.45111513</v>
      </c>
      <c r="X643" s="3">
        <f>[1]Results!AA235</f>
        <v>11.60919021</v>
      </c>
      <c r="Y643" s="3">
        <f>[1]Results!AB235</f>
        <v>11.788198700000001</v>
      </c>
      <c r="Z643" s="3">
        <f>[1]Results!AC235</f>
        <v>11.988717790000001</v>
      </c>
      <c r="AA643" s="3">
        <f>[1]Results!AD235</f>
        <v>12.21047894</v>
      </c>
      <c r="AB643" s="3">
        <f>[1]Results!AE235</f>
        <v>12.453263099999999</v>
      </c>
      <c r="AC643" s="3">
        <f>[1]Results!AF235</f>
        <v>12.72241577</v>
      </c>
      <c r="AD643" s="3">
        <f>[1]Results!AG235</f>
        <v>13.01678063</v>
      </c>
      <c r="AE643" s="3">
        <f>[1]Results!AH235</f>
        <v>13.33613278</v>
      </c>
      <c r="AF643" s="3">
        <f>[1]Results!AI235</f>
        <v>13.67792611</v>
      </c>
      <c r="AG643" s="3">
        <f>[1]Results!AJ235</f>
        <v>14.03877831</v>
      </c>
      <c r="AH643" s="3">
        <f>[1]Results!AK235</f>
        <v>14.41657975</v>
      </c>
      <c r="AI643" s="3">
        <f>[1]Results!AL235</f>
        <v>14.81039191</v>
      </c>
      <c r="AJ643" s="3">
        <f>[1]Results!AM235</f>
        <v>15.218891129999999</v>
      </c>
      <c r="AK643" s="3">
        <f>[1]Results!AN235</f>
        <v>15.6407393</v>
      </c>
      <c r="AL643" s="3">
        <f>[1]Results!AO235</f>
        <v>16.075001530000002</v>
      </c>
    </row>
    <row r="644" spans="1:38" x14ac:dyDescent="0.35">
      <c r="B644" s="3" t="str">
        <f>[1]Results!E238</f>
        <v>YG_toe_cote_2</v>
      </c>
      <c r="C644" s="3">
        <f>[1]Results!F238</f>
        <v>12.20731217</v>
      </c>
      <c r="D644" s="3">
        <f>[1]Results!G238</f>
        <v>11.792347680000001</v>
      </c>
      <c r="E644" s="3">
        <f>[1]Results!H238</f>
        <v>11.534151230000001</v>
      </c>
      <c r="F644" s="3">
        <f>[1]Results!I238</f>
        <v>11.3712339</v>
      </c>
      <c r="G644" s="3">
        <f>[1]Results!J238</f>
        <v>11.299077459999999</v>
      </c>
      <c r="H644" s="3">
        <f>[1]Results!K238</f>
        <v>11.29651441</v>
      </c>
      <c r="I644" s="3">
        <f>[1]Results!L238</f>
        <v>11.34887567</v>
      </c>
      <c r="J644" s="3">
        <f>[1]Results!M238</f>
        <v>11.258408279999999</v>
      </c>
      <c r="K644" s="3">
        <f>[1]Results!N238</f>
        <v>11.1741806</v>
      </c>
      <c r="L644" s="3">
        <f>[1]Results!O238</f>
        <v>11.236937510000001</v>
      </c>
      <c r="M644" s="3">
        <f>[1]Results!P238</f>
        <v>11.30601487</v>
      </c>
      <c r="N644" s="3">
        <f>[1]Results!Q238</f>
        <v>11.38724672</v>
      </c>
      <c r="O644" s="3">
        <f>[1]Results!R238</f>
        <v>11.46583875</v>
      </c>
      <c r="P644" s="3">
        <f>[1]Results!S238</f>
        <v>11.528061279999999</v>
      </c>
      <c r="Q644" s="3">
        <f>[1]Results!T238</f>
        <v>11.602096019999999</v>
      </c>
      <c r="R644" s="3">
        <f>[1]Results!U238</f>
        <v>11.70019709</v>
      </c>
      <c r="S644" s="3">
        <f>[1]Results!V238</f>
        <v>11.73023661</v>
      </c>
      <c r="T644" s="3">
        <f>[1]Results!W238</f>
        <v>11.778870299999999</v>
      </c>
      <c r="U644" s="3">
        <f>[1]Results!X238</f>
        <v>11.85003547</v>
      </c>
      <c r="V644" s="3">
        <f>[1]Results!Y238</f>
        <v>11.945225819999999</v>
      </c>
      <c r="W644" s="3">
        <f>[1]Results!Z238</f>
        <v>12.066214309999999</v>
      </c>
      <c r="X644" s="3">
        <f>[1]Results!AA238</f>
        <v>12.21429084</v>
      </c>
      <c r="Y644" s="3">
        <f>[1]Results!AB238</f>
        <v>12.392244249999999</v>
      </c>
      <c r="Z644" s="3">
        <f>[1]Results!AC238</f>
        <v>12.600981669999999</v>
      </c>
      <c r="AA644" s="3">
        <f>[1]Results!AD238</f>
        <v>12.839169760000001</v>
      </c>
      <c r="AB644" s="3">
        <f>[1]Results!AE238</f>
        <v>13.10664732</v>
      </c>
      <c r="AC644" s="3">
        <f>[1]Results!AF238</f>
        <v>13.432781159999999</v>
      </c>
      <c r="AD644" s="3">
        <f>[1]Results!AG238</f>
        <v>13.79534338</v>
      </c>
      <c r="AE644" s="3">
        <f>[1]Results!AH238</f>
        <v>14.19441533</v>
      </c>
      <c r="AF644" s="3">
        <f>[1]Results!AI238</f>
        <v>14.623887590000001</v>
      </c>
      <c r="AG644" s="3">
        <f>[1]Results!AJ238</f>
        <v>15.075921989999999</v>
      </c>
      <c r="AH644" s="3">
        <f>[1]Results!AK238</f>
        <v>15.54524601</v>
      </c>
      <c r="AI644" s="3">
        <f>[1]Results!AL238</f>
        <v>16.028822120000001</v>
      </c>
      <c r="AJ644" s="3">
        <f>[1]Results!AM238</f>
        <v>16.523793399999999</v>
      </c>
      <c r="AK644" s="3">
        <f>[1]Results!AN238</f>
        <v>17.027183140000002</v>
      </c>
      <c r="AL644" s="3">
        <f>[1]Results!AO238</f>
        <v>17.535710559999998</v>
      </c>
    </row>
    <row r="645" spans="1:38" x14ac:dyDescent="0.3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</row>
    <row r="646" spans="1:38" x14ac:dyDescent="0.35">
      <c r="A646" s="12" t="s">
        <v>68</v>
      </c>
      <c r="B646" s="3" t="str">
        <f>[1]Results!E241</f>
        <v>YG_toe_0</v>
      </c>
      <c r="C646" s="3">
        <f>[1]Results!F241</f>
        <v>141.453406</v>
      </c>
      <c r="D646" s="3">
        <f>[1]Results!G241</f>
        <v>144.19496480000001</v>
      </c>
      <c r="E646" s="3">
        <f>[1]Results!H241</f>
        <v>146.50662460000001</v>
      </c>
      <c r="F646" s="3">
        <f>[1]Results!I241</f>
        <v>148.68272759999999</v>
      </c>
      <c r="G646" s="3">
        <f>[1]Results!J241</f>
        <v>150.8989239</v>
      </c>
      <c r="H646" s="3">
        <f>[1]Results!K241</f>
        <v>153.18866980000001</v>
      </c>
      <c r="I646" s="3">
        <f>[1]Results!L241</f>
        <v>155.48599490000001</v>
      </c>
      <c r="J646" s="3">
        <f>[1]Results!M241</f>
        <v>157.74444500000001</v>
      </c>
      <c r="K646" s="3">
        <f>[1]Results!N241</f>
        <v>159.95146600000001</v>
      </c>
      <c r="L646" s="3">
        <f>[1]Results!O241</f>
        <v>162.1169056</v>
      </c>
      <c r="M646" s="3">
        <f>[1]Results!P241</f>
        <v>164.26176100000001</v>
      </c>
      <c r="N646" s="3">
        <f>[1]Results!Q241</f>
        <v>166.40513730000001</v>
      </c>
      <c r="O646" s="3">
        <f>[1]Results!R241</f>
        <v>168.48972560000001</v>
      </c>
      <c r="P646" s="3">
        <f>[1]Results!S241</f>
        <v>170.36513830000001</v>
      </c>
      <c r="Q646" s="3">
        <f>[1]Results!T241</f>
        <v>172.1444046</v>
      </c>
      <c r="R646" s="3">
        <f>[1]Results!U241</f>
        <v>173.92500759999999</v>
      </c>
      <c r="S646" s="3">
        <f>[1]Results!V241</f>
        <v>175.17572530000001</v>
      </c>
      <c r="T646" s="3">
        <f>[1]Results!W241</f>
        <v>176.56640139999999</v>
      </c>
      <c r="U646" s="3">
        <f>[1]Results!X241</f>
        <v>178.131463</v>
      </c>
      <c r="V646" s="3">
        <f>[1]Results!Y241</f>
        <v>179.87420270000001</v>
      </c>
      <c r="W646" s="3">
        <f>[1]Results!Z241</f>
        <v>181.79456239999999</v>
      </c>
      <c r="X646" s="3">
        <f>[1]Results!AA241</f>
        <v>183.8898767</v>
      </c>
      <c r="Y646" s="3">
        <f>[1]Results!AB241</f>
        <v>186.16718030000001</v>
      </c>
      <c r="Z646" s="3">
        <f>[1]Results!AC241</f>
        <v>188.6292693</v>
      </c>
      <c r="AA646" s="3">
        <f>[1]Results!AD241</f>
        <v>191.2708854</v>
      </c>
      <c r="AB646" s="3">
        <f>[1]Results!AE241</f>
        <v>194.0909139</v>
      </c>
      <c r="AC646" s="3">
        <f>[1]Results!AF241</f>
        <v>197.09152549999999</v>
      </c>
      <c r="AD646" s="3">
        <f>[1]Results!AG241</f>
        <v>200.2847122</v>
      </c>
      <c r="AE646" s="3">
        <f>[1]Results!AH241</f>
        <v>203.66962229999999</v>
      </c>
      <c r="AF646" s="3">
        <f>[1]Results!AI241</f>
        <v>207.21364349999999</v>
      </c>
      <c r="AG646" s="3">
        <f>[1]Results!AJ241</f>
        <v>210.8723938</v>
      </c>
      <c r="AH646" s="3">
        <f>[1]Results!AK241</f>
        <v>214.60928999999999</v>
      </c>
      <c r="AI646" s="3">
        <f>[1]Results!AL241</f>
        <v>218.39782270000001</v>
      </c>
      <c r="AJ646" s="3">
        <f>[1]Results!AM241</f>
        <v>222.2159786</v>
      </c>
      <c r="AK646" s="3">
        <f>[1]Results!AN241</f>
        <v>226.04388800000001</v>
      </c>
      <c r="AL646" s="3">
        <f>[1]Results!AO241</f>
        <v>229.8624691</v>
      </c>
    </row>
    <row r="647" spans="1:38" x14ac:dyDescent="0.35">
      <c r="A647" t="s">
        <v>26</v>
      </c>
      <c r="B647" s="3" t="str">
        <f>[1]Results!E242</f>
        <v>YG_toe_ccoa_0</v>
      </c>
      <c r="C647" s="3">
        <f>[1]Results!F242</f>
        <v>2.2569215460000001</v>
      </c>
      <c r="D647" s="3">
        <f>[1]Results!G242</f>
        <v>1.6293367780000001</v>
      </c>
      <c r="E647" s="3">
        <f>[1]Results!H242</f>
        <v>1.112479759</v>
      </c>
      <c r="F647" s="3">
        <f>[1]Results!I242</f>
        <v>0.69877456189999998</v>
      </c>
      <c r="G647" s="3">
        <f>[1]Results!J242</f>
        <v>0.36958686699999999</v>
      </c>
      <c r="H647" s="3">
        <f>[1]Results!K242</f>
        <v>0.1051645298</v>
      </c>
      <c r="I647" s="3">
        <f>[1]Results!L242</f>
        <v>-0.1074581508</v>
      </c>
      <c r="J647" s="3">
        <f>[1]Results!M242</f>
        <v>-0.27992831699999998</v>
      </c>
      <c r="K647" s="3">
        <f>[1]Results!N242</f>
        <v>-0.42129269429999999</v>
      </c>
      <c r="L647" s="3">
        <f>[1]Results!O242</f>
        <v>-0.53862927370000002</v>
      </c>
      <c r="M647" s="3">
        <f>[1]Results!P242</f>
        <v>-0.63747738030000001</v>
      </c>
      <c r="N647" s="3">
        <f>[1]Results!Q242</f>
        <v>-0.72195676580000001</v>
      </c>
      <c r="O647" s="3">
        <f>[1]Results!R242</f>
        <v>-0.79419245019999996</v>
      </c>
      <c r="P647" s="3">
        <f>[1]Results!S242</f>
        <v>-0.85443486020000003</v>
      </c>
      <c r="Q647" s="3">
        <f>[1]Results!T242</f>
        <v>-0.90540864710000002</v>
      </c>
      <c r="R647" s="3">
        <f>[1]Results!U242</f>
        <v>-0.94961449860000002</v>
      </c>
      <c r="S647" s="3">
        <f>[1]Results!V242</f>
        <v>-0.99883374010000003</v>
      </c>
      <c r="T647" s="3">
        <f>[1]Results!W242</f>
        <v>-1.049189581</v>
      </c>
      <c r="U647" s="3">
        <f>[1]Results!X242</f>
        <v>-1.100992752</v>
      </c>
      <c r="V647" s="3">
        <f>[1]Results!Y242</f>
        <v>-1.154552142</v>
      </c>
      <c r="W647" s="3">
        <f>[1]Results!Z242</f>
        <v>-1.210273159</v>
      </c>
      <c r="X647" s="3">
        <f>[1]Results!AA242</f>
        <v>-1.268504369</v>
      </c>
      <c r="Y647" s="3">
        <f>[1]Results!AB242</f>
        <v>-1.329867965</v>
      </c>
      <c r="Z647" s="3">
        <f>[1]Results!AC242</f>
        <v>-1.3947367239999999</v>
      </c>
      <c r="AA647" s="3">
        <f>[1]Results!AD242</f>
        <v>-1.463087062</v>
      </c>
      <c r="AB647" s="3">
        <f>[1]Results!AE242</f>
        <v>-1.5350437050000001</v>
      </c>
      <c r="AC647" s="3">
        <f>[1]Results!AF242</f>
        <v>-1.6108768760000001</v>
      </c>
      <c r="AD647" s="3">
        <f>[1]Results!AG242</f>
        <v>-1.6912185150000001</v>
      </c>
      <c r="AE647" s="3">
        <f>[1]Results!AH242</f>
        <v>-1.77625543</v>
      </c>
      <c r="AF647" s="3">
        <f>[1]Results!AI242</f>
        <v>-1.8650769270000001</v>
      </c>
      <c r="AG647" s="3">
        <f>[1]Results!AJ242</f>
        <v>-1.9563748430000001</v>
      </c>
      <c r="AH647" s="3">
        <f>[1]Results!AK242</f>
        <v>-2.0491920650000002</v>
      </c>
      <c r="AI647" s="3">
        <f>[1]Results!AL242</f>
        <v>-2.1429759430000002</v>
      </c>
      <c r="AJ647" s="3">
        <f>[1]Results!AM242</f>
        <v>-2.2373272200000001</v>
      </c>
      <c r="AK647" s="3">
        <f>[1]Results!AN242</f>
        <v>-2.3318759930000001</v>
      </c>
      <c r="AL647" s="3">
        <f>[1]Results!AO242</f>
        <v>-2.4262243460000001</v>
      </c>
    </row>
    <row r="648" spans="1:38" x14ac:dyDescent="0.35">
      <c r="B648" s="3" t="s">
        <v>48</v>
      </c>
      <c r="C648" s="3">
        <f>SUM(C649:C651)</f>
        <v>60.458427149000002</v>
      </c>
      <c r="D648" s="3">
        <f t="shared" ref="D648:AL648" si="126">SUM(D649:D651)</f>
        <v>61.820079034499997</v>
      </c>
      <c r="E648" s="3">
        <f t="shared" si="126"/>
        <v>62.980142503400003</v>
      </c>
      <c r="F648" s="3">
        <f t="shared" si="126"/>
        <v>64.018813356999999</v>
      </c>
      <c r="G648" s="3">
        <f t="shared" si="126"/>
        <v>65.053807014699998</v>
      </c>
      <c r="H648" s="3">
        <f t="shared" si="126"/>
        <v>66.092040669200003</v>
      </c>
      <c r="I648" s="3">
        <f t="shared" si="126"/>
        <v>67.034410946600005</v>
      </c>
      <c r="J648" s="3">
        <f t="shared" si="126"/>
        <v>67.864060930899996</v>
      </c>
      <c r="K648" s="3">
        <f t="shared" si="126"/>
        <v>68.568251075199996</v>
      </c>
      <c r="L648" s="3">
        <f t="shared" si="126"/>
        <v>69.142315025100004</v>
      </c>
      <c r="M648" s="3">
        <f t="shared" si="126"/>
        <v>69.590044031600016</v>
      </c>
      <c r="N648" s="3">
        <f t="shared" si="126"/>
        <v>69.926685247800009</v>
      </c>
      <c r="O648" s="3">
        <f t="shared" si="126"/>
        <v>70.138016133999997</v>
      </c>
      <c r="P648" s="3">
        <f t="shared" si="126"/>
        <v>70.168314142599996</v>
      </c>
      <c r="Q648" s="3">
        <f t="shared" si="126"/>
        <v>70.112210200000007</v>
      </c>
      <c r="R648" s="3">
        <f t="shared" si="126"/>
        <v>70.049792410899997</v>
      </c>
      <c r="S648" s="3">
        <f t="shared" si="126"/>
        <v>69.492588062599992</v>
      </c>
      <c r="T648" s="3">
        <f t="shared" si="126"/>
        <v>69.018264372499999</v>
      </c>
      <c r="U648" s="3">
        <f t="shared" si="126"/>
        <v>68.63714897860001</v>
      </c>
      <c r="V648" s="3">
        <f t="shared" si="126"/>
        <v>68.347400158100001</v>
      </c>
      <c r="W648" s="3">
        <f t="shared" si="126"/>
        <v>68.144097942100004</v>
      </c>
      <c r="X648" s="3">
        <f t="shared" si="126"/>
        <v>68.021509115599997</v>
      </c>
      <c r="Y648" s="3">
        <f t="shared" si="126"/>
        <v>67.975504790599999</v>
      </c>
      <c r="Z648" s="3">
        <f t="shared" si="126"/>
        <v>68.002078162499998</v>
      </c>
      <c r="AA648" s="3">
        <f t="shared" si="126"/>
        <v>68.0965950155</v>
      </c>
      <c r="AB648" s="3">
        <f t="shared" si="126"/>
        <v>68.2553938872</v>
      </c>
      <c r="AC648" s="3">
        <f t="shared" si="126"/>
        <v>68.475792976400001</v>
      </c>
      <c r="AD648" s="3">
        <f t="shared" si="126"/>
        <v>68.756961110299997</v>
      </c>
      <c r="AE648" s="3">
        <f t="shared" si="126"/>
        <v>69.0969054304</v>
      </c>
      <c r="AF648" s="3">
        <f t="shared" si="126"/>
        <v>69.489523812599998</v>
      </c>
      <c r="AG648" s="3">
        <f t="shared" si="126"/>
        <v>69.926660086499993</v>
      </c>
      <c r="AH648" s="3">
        <f t="shared" si="126"/>
        <v>70.400881735399992</v>
      </c>
      <c r="AI648" s="3">
        <f t="shared" si="126"/>
        <v>70.906119267700007</v>
      </c>
      <c r="AJ648" s="3">
        <f t="shared" si="126"/>
        <v>71.437067537400011</v>
      </c>
      <c r="AK648" s="3">
        <f t="shared" si="126"/>
        <v>71.988846812200009</v>
      </c>
      <c r="AL648" s="3">
        <f t="shared" si="126"/>
        <v>72.556807424799999</v>
      </c>
    </row>
    <row r="649" spans="1:38" x14ac:dyDescent="0.35">
      <c r="B649" s="3" t="str">
        <f>[1]Results!E245</f>
        <v>YG_toe_ccoi_0</v>
      </c>
      <c r="C649" s="3">
        <f>[1]Results!F245</f>
        <v>1.20144183</v>
      </c>
      <c r="D649" s="3">
        <f>[1]Results!G245</f>
        <v>0.96352328350000005</v>
      </c>
      <c r="E649" s="3">
        <f>[1]Results!H245</f>
        <v>0.77319126739999999</v>
      </c>
      <c r="F649" s="3">
        <f>[1]Results!I245</f>
        <v>0.620929493</v>
      </c>
      <c r="G649" s="3">
        <f>[1]Results!J245</f>
        <v>0.49914107270000002</v>
      </c>
      <c r="H649" s="3">
        <f>[1]Results!K245</f>
        <v>0.40173377919999997</v>
      </c>
      <c r="I649" s="3">
        <f>[1]Results!L245</f>
        <v>0.32380445060000002</v>
      </c>
      <c r="J649" s="3">
        <f>[1]Results!M245</f>
        <v>0.2614484769</v>
      </c>
      <c r="K649" s="3">
        <f>[1]Results!N245</f>
        <v>0.21154211619999999</v>
      </c>
      <c r="L649" s="3">
        <f>[1]Results!O245</f>
        <v>0.1715868901</v>
      </c>
      <c r="M649" s="3">
        <f>[1]Results!P245</f>
        <v>0.13958562159999999</v>
      </c>
      <c r="N649" s="3">
        <f>[1]Results!Q245</f>
        <v>0.11394366879999999</v>
      </c>
      <c r="O649" s="3">
        <f>[1]Results!R245</f>
        <v>9.3385274000000004E-2</v>
      </c>
      <c r="P649" s="3">
        <f>[1]Results!S245</f>
        <v>7.6886934599999998E-2</v>
      </c>
      <c r="Q649" s="3">
        <f>[1]Results!T245</f>
        <v>6.3643599999999995E-2</v>
      </c>
      <c r="R649" s="3">
        <f>[1]Results!U245</f>
        <v>5.3015495900000001E-2</v>
      </c>
      <c r="S649" s="3">
        <f>[1]Results!V245</f>
        <v>4.4469237600000003E-2</v>
      </c>
      <c r="T649" s="3">
        <f>[1]Results!W245</f>
        <v>3.7611595499999997E-2</v>
      </c>
      <c r="U649" s="3">
        <f>[1]Results!X245</f>
        <v>3.2119911600000002E-2</v>
      </c>
      <c r="V649" s="3">
        <f>[1]Results!Y245</f>
        <v>2.7726866100000001E-2</v>
      </c>
      <c r="W649" s="3">
        <f>[1]Results!Z245</f>
        <v>2.42170271E-2</v>
      </c>
      <c r="X649" s="3">
        <f>[1]Results!AA245</f>
        <v>2.1417484600000002E-2</v>
      </c>
      <c r="Y649" s="3">
        <f>[1]Results!AB245</f>
        <v>1.9190221600000001E-2</v>
      </c>
      <c r="Z649" s="3">
        <f>[1]Results!AC245</f>
        <v>1.7424522500000001E-2</v>
      </c>
      <c r="AA649" s="3">
        <f>[1]Results!AD245</f>
        <v>1.60311645E-2</v>
      </c>
      <c r="AB649" s="3">
        <f>[1]Results!AE245</f>
        <v>1.4938873199999999E-2</v>
      </c>
      <c r="AC649" s="3">
        <f>[1]Results!AF245</f>
        <v>1.40908224E-2</v>
      </c>
      <c r="AD649" s="3">
        <f>[1]Results!AG245</f>
        <v>1.3442225299999999E-2</v>
      </c>
      <c r="AE649" s="3">
        <f>[1]Results!AH245</f>
        <v>1.29567034E-2</v>
      </c>
      <c r="AF649" s="3">
        <f>[1]Results!AI245</f>
        <v>1.2603322599999999E-2</v>
      </c>
      <c r="AG649" s="3">
        <f>[1]Results!AJ245</f>
        <v>1.23560795E-2</v>
      </c>
      <c r="AH649" s="3">
        <f>[1]Results!AK245</f>
        <v>1.2193989400000001E-2</v>
      </c>
      <c r="AI649" s="3">
        <f>[1]Results!AL245</f>
        <v>1.21003827E-2</v>
      </c>
      <c r="AJ649" s="3">
        <f>[1]Results!AM245</f>
        <v>1.2061823399999999E-2</v>
      </c>
      <c r="AK649" s="3">
        <f>[1]Results!AN245</f>
        <v>1.2067339200000001E-2</v>
      </c>
      <c r="AL649" s="3">
        <f>[1]Results!AO245</f>
        <v>1.21078568E-2</v>
      </c>
    </row>
    <row r="650" spans="1:38" x14ac:dyDescent="0.35">
      <c r="B650" s="3" t="str">
        <f>[1]Results!E248</f>
        <v>YG_toe_cfut_0</v>
      </c>
      <c r="C650" s="3">
        <f>[1]Results!F248</f>
        <v>54.253333179999998</v>
      </c>
      <c r="D650" s="3">
        <f>[1]Results!G248</f>
        <v>55.972274159999998</v>
      </c>
      <c r="E650" s="3">
        <f>[1]Results!H248</f>
        <v>57.431411820000001</v>
      </c>
      <c r="F650" s="3">
        <f>[1]Results!I248</f>
        <v>58.719939930000002</v>
      </c>
      <c r="G650" s="3">
        <f>[1]Results!J248</f>
        <v>59.950484469999999</v>
      </c>
      <c r="H650" s="3">
        <f>[1]Results!K248</f>
        <v>61.139687299999999</v>
      </c>
      <c r="I650" s="3">
        <f>[1]Results!L248</f>
        <v>62.224767589999999</v>
      </c>
      <c r="J650" s="3">
        <f>[1]Results!M248</f>
        <v>63.18394421</v>
      </c>
      <c r="K650" s="3">
        <f>[1]Results!N248</f>
        <v>64.002968199999998</v>
      </c>
      <c r="L650" s="3">
        <f>[1]Results!O248</f>
        <v>64.677183319999997</v>
      </c>
      <c r="M650" s="3">
        <f>[1]Results!P248</f>
        <v>65.211417350000005</v>
      </c>
      <c r="N650" s="3">
        <f>[1]Results!Q248</f>
        <v>65.622332720000003</v>
      </c>
      <c r="O650" s="3">
        <f>[1]Results!R248</f>
        <v>65.897727950000004</v>
      </c>
      <c r="P650" s="3">
        <f>[1]Results!S248</f>
        <v>65.984578929999998</v>
      </c>
      <c r="Q650" s="3">
        <f>[1]Results!T248</f>
        <v>65.978550679999998</v>
      </c>
      <c r="R650" s="3">
        <f>[1]Results!U248</f>
        <v>65.960355669999998</v>
      </c>
      <c r="S650" s="3">
        <f>[1]Results!V248</f>
        <v>65.427549549999995</v>
      </c>
      <c r="T650" s="3">
        <f>[1]Results!W248</f>
        <v>64.963405730000005</v>
      </c>
      <c r="U650" s="3">
        <f>[1]Results!X248</f>
        <v>64.582268200000001</v>
      </c>
      <c r="V650" s="3">
        <f>[1]Results!Y248</f>
        <v>64.285072810000003</v>
      </c>
      <c r="W650" s="3">
        <f>[1]Results!Z248</f>
        <v>64.068695430000005</v>
      </c>
      <c r="X650" s="3">
        <f>[1]Results!AA248</f>
        <v>63.928546709999999</v>
      </c>
      <c r="Y650" s="3">
        <f>[1]Results!AB248</f>
        <v>63.861096379999999</v>
      </c>
      <c r="Z650" s="3">
        <f>[1]Results!AC248</f>
        <v>63.862703920000001</v>
      </c>
      <c r="AA650" s="3">
        <f>[1]Results!AD248</f>
        <v>63.92906833</v>
      </c>
      <c r="AB650" s="3">
        <f>[1]Results!AE248</f>
        <v>64.056706410000004</v>
      </c>
      <c r="AC650" s="3">
        <f>[1]Results!AF248</f>
        <v>64.242996000000005</v>
      </c>
      <c r="AD650" s="3">
        <f>[1]Results!AG248</f>
        <v>64.486979439999999</v>
      </c>
      <c r="AE650" s="3">
        <f>[1]Results!AH248</f>
        <v>64.786627890000005</v>
      </c>
      <c r="AF650" s="3">
        <f>[1]Results!AI248</f>
        <v>65.13614638</v>
      </c>
      <c r="AG650" s="3">
        <f>[1]Results!AJ248</f>
        <v>65.527927640000001</v>
      </c>
      <c r="AH650" s="3">
        <f>[1]Results!AK248</f>
        <v>65.955086589999993</v>
      </c>
      <c r="AI650" s="3">
        <f>[1]Results!AL248</f>
        <v>66.412025200000002</v>
      </c>
      <c r="AJ650" s="3">
        <f>[1]Results!AM248</f>
        <v>66.893865450000007</v>
      </c>
      <c r="AK650" s="3">
        <f>[1]Results!AN248</f>
        <v>67.396127280000002</v>
      </c>
      <c r="AL650" s="3">
        <f>[1]Results!AO248</f>
        <v>67.914544539999994</v>
      </c>
    </row>
    <row r="651" spans="1:38" x14ac:dyDescent="0.35">
      <c r="B651" s="3" t="str">
        <f>[1]Results!E251</f>
        <v>YG_toe_cfuh_0</v>
      </c>
      <c r="C651" s="3">
        <f>[1]Results!F251</f>
        <v>5.0036521389999997</v>
      </c>
      <c r="D651" s="3">
        <f>[1]Results!G251</f>
        <v>4.8842815909999997</v>
      </c>
      <c r="E651" s="3">
        <f>[1]Results!H251</f>
        <v>4.775539416</v>
      </c>
      <c r="F651" s="3">
        <f>[1]Results!I251</f>
        <v>4.677943934</v>
      </c>
      <c r="G651" s="3">
        <f>[1]Results!J251</f>
        <v>4.6041814719999996</v>
      </c>
      <c r="H651" s="3">
        <f>[1]Results!K251</f>
        <v>4.5506195900000002</v>
      </c>
      <c r="I651" s="3">
        <f>[1]Results!L251</f>
        <v>4.4858389059999997</v>
      </c>
      <c r="J651" s="3">
        <f>[1]Results!M251</f>
        <v>4.418668244</v>
      </c>
      <c r="K651" s="3">
        <f>[1]Results!N251</f>
        <v>4.3537407589999999</v>
      </c>
      <c r="L651" s="3">
        <f>[1]Results!O251</f>
        <v>4.2935448149999997</v>
      </c>
      <c r="M651" s="3">
        <f>[1]Results!P251</f>
        <v>4.2390410599999999</v>
      </c>
      <c r="N651" s="3">
        <f>[1]Results!Q251</f>
        <v>4.1904088589999997</v>
      </c>
      <c r="O651" s="3">
        <f>[1]Results!R251</f>
        <v>4.1469029099999997</v>
      </c>
      <c r="P651" s="3">
        <f>[1]Results!S251</f>
        <v>4.1068482780000002</v>
      </c>
      <c r="Q651" s="3">
        <f>[1]Results!T251</f>
        <v>4.0700159200000003</v>
      </c>
      <c r="R651" s="3">
        <f>[1]Results!U251</f>
        <v>4.0364212449999997</v>
      </c>
      <c r="S651" s="3">
        <f>[1]Results!V251</f>
        <v>4.0205692749999997</v>
      </c>
      <c r="T651" s="3">
        <f>[1]Results!W251</f>
        <v>4.0172470469999997</v>
      </c>
      <c r="U651" s="3">
        <f>[1]Results!X251</f>
        <v>4.0227608669999997</v>
      </c>
      <c r="V651" s="3">
        <f>[1]Results!Y251</f>
        <v>4.0346004820000001</v>
      </c>
      <c r="W651" s="3">
        <f>[1]Results!Z251</f>
        <v>4.0511854850000004</v>
      </c>
      <c r="X651" s="3">
        <f>[1]Results!AA251</f>
        <v>4.0715449210000001</v>
      </c>
      <c r="Y651" s="3">
        <f>[1]Results!AB251</f>
        <v>4.0952181889999997</v>
      </c>
      <c r="Z651" s="3">
        <f>[1]Results!AC251</f>
        <v>4.1219497199999999</v>
      </c>
      <c r="AA651" s="3">
        <f>[1]Results!AD251</f>
        <v>4.1514955210000002</v>
      </c>
      <c r="AB651" s="3">
        <f>[1]Results!AE251</f>
        <v>4.1837486039999998</v>
      </c>
      <c r="AC651" s="3">
        <f>[1]Results!AF251</f>
        <v>4.2187061540000004</v>
      </c>
      <c r="AD651" s="3">
        <f>[1]Results!AG251</f>
        <v>4.2565394449999996</v>
      </c>
      <c r="AE651" s="3">
        <f>[1]Results!AH251</f>
        <v>4.297320837</v>
      </c>
      <c r="AF651" s="3">
        <f>[1]Results!AI251</f>
        <v>4.3407741099999999</v>
      </c>
      <c r="AG651" s="3">
        <f>[1]Results!AJ251</f>
        <v>4.3863763670000004</v>
      </c>
      <c r="AH651" s="3">
        <f>[1]Results!AK251</f>
        <v>4.4336011559999999</v>
      </c>
      <c r="AI651" s="3">
        <f>[1]Results!AL251</f>
        <v>4.4819936849999999</v>
      </c>
      <c r="AJ651" s="3">
        <f>[1]Results!AM251</f>
        <v>4.5311402640000003</v>
      </c>
      <c r="AK651" s="3">
        <f>[1]Results!AN251</f>
        <v>4.5806521929999997</v>
      </c>
      <c r="AL651" s="3">
        <f>[1]Results!AO251</f>
        <v>4.6301550279999999</v>
      </c>
    </row>
    <row r="652" spans="1:38" x14ac:dyDescent="0.35">
      <c r="B652" s="3" t="str">
        <f>[1]Results!E253</f>
        <v>YG_toe_cgas_0</v>
      </c>
      <c r="C652" s="3">
        <f>[1]Results!F253</f>
        <v>2.412417311</v>
      </c>
      <c r="D652" s="3">
        <f>[1]Results!G253</f>
        <v>4.2790721859999996</v>
      </c>
      <c r="E652" s="3">
        <f>[1]Results!H253</f>
        <v>5.6825278480000003</v>
      </c>
      <c r="F652" s="3">
        <f>[1]Results!I253</f>
        <v>6.8068460369999997</v>
      </c>
      <c r="G652" s="3">
        <f>[1]Results!J253</f>
        <v>7.7542953969999999</v>
      </c>
      <c r="H652" s="3">
        <f>[1]Results!K253</f>
        <v>8.5509855459999997</v>
      </c>
      <c r="I652" s="3">
        <f>[1]Results!L253</f>
        <v>9.2121308010000007</v>
      </c>
      <c r="J652" s="3">
        <f>[1]Results!M253</f>
        <v>9.7605969380000008</v>
      </c>
      <c r="K652" s="3">
        <f>[1]Results!N253</f>
        <v>10.220981099999999</v>
      </c>
      <c r="L652" s="3">
        <f>[1]Results!O253</f>
        <v>10.61648383</v>
      </c>
      <c r="M652" s="3">
        <f>[1]Results!P253</f>
        <v>10.965210669999999</v>
      </c>
      <c r="N652" s="3">
        <f>[1]Results!Q253</f>
        <v>11.27983083</v>
      </c>
      <c r="O652" s="3">
        <f>[1]Results!R253</f>
        <v>11.565244849999999</v>
      </c>
      <c r="P652" s="3">
        <f>[1]Results!S253</f>
        <v>11.81944985</v>
      </c>
      <c r="Q652" s="3">
        <f>[1]Results!T253</f>
        <v>12.05157709</v>
      </c>
      <c r="R652" s="3">
        <f>[1]Results!U253</f>
        <v>12.26700011</v>
      </c>
      <c r="S652" s="3">
        <f>[1]Results!V253</f>
        <v>12.47833131</v>
      </c>
      <c r="T652" s="3">
        <f>[1]Results!W253</f>
        <v>12.69634991</v>
      </c>
      <c r="U652" s="3">
        <f>[1]Results!X253</f>
        <v>12.916437549999999</v>
      </c>
      <c r="V652" s="3">
        <f>[1]Results!Y253</f>
        <v>13.136383820000001</v>
      </c>
      <c r="W652" s="3">
        <f>[1]Results!Z253</f>
        <v>13.355930430000001</v>
      </c>
      <c r="X652" s="3">
        <f>[1]Results!AA253</f>
        <v>13.57531696</v>
      </c>
      <c r="Y652" s="3">
        <f>[1]Results!AB253</f>
        <v>13.79543788</v>
      </c>
      <c r="Z652" s="3">
        <f>[1]Results!AC253</f>
        <v>14.017078420000001</v>
      </c>
      <c r="AA652" s="3">
        <f>[1]Results!AD253</f>
        <v>14.240575209999999</v>
      </c>
      <c r="AB652" s="3">
        <f>[1]Results!AE253</f>
        <v>14.46653665</v>
      </c>
      <c r="AC652" s="3">
        <f>[1]Results!AF253</f>
        <v>14.69560506</v>
      </c>
      <c r="AD652" s="3">
        <f>[1]Results!AG253</f>
        <v>14.92866736</v>
      </c>
      <c r="AE652" s="3">
        <f>[1]Results!AH253</f>
        <v>15.16594175</v>
      </c>
      <c r="AF652" s="3">
        <f>[1]Results!AI253</f>
        <v>15.406223730000001</v>
      </c>
      <c r="AG652" s="3">
        <f>[1]Results!AJ253</f>
        <v>15.64797583</v>
      </c>
      <c r="AH652" s="3">
        <f>[1]Results!AK253</f>
        <v>15.88994185</v>
      </c>
      <c r="AI652" s="3">
        <f>[1]Results!AL253</f>
        <v>16.131131419999999</v>
      </c>
      <c r="AJ652" s="3">
        <f>[1]Results!AM253</f>
        <v>16.370623139999999</v>
      </c>
      <c r="AK652" s="3">
        <f>[1]Results!AN253</f>
        <v>16.607555699999999</v>
      </c>
      <c r="AL652" s="3">
        <f>[1]Results!AO253</f>
        <v>16.841050129999999</v>
      </c>
    </row>
    <row r="653" spans="1:38" x14ac:dyDescent="0.35">
      <c r="B653" s="3" t="str">
        <f>[1]Results!E259</f>
        <v>YG_toe_cele_0</v>
      </c>
      <c r="C653" s="3">
        <f>[1]Results!F259</f>
        <v>49.441948310000001</v>
      </c>
      <c r="D653" s="3">
        <f>[1]Results!G259</f>
        <v>50.03974848</v>
      </c>
      <c r="E653" s="3">
        <f>[1]Results!H259</f>
        <v>50.601939170000001</v>
      </c>
      <c r="F653" s="3">
        <f>[1]Results!I259</f>
        <v>51.236070650000002</v>
      </c>
      <c r="G653" s="3">
        <f>[1]Results!J259</f>
        <v>51.85943485</v>
      </c>
      <c r="H653" s="3">
        <f>[1]Results!K259</f>
        <v>52.532987159999998</v>
      </c>
      <c r="I653" s="3">
        <f>[1]Results!L259</f>
        <v>53.314643359999998</v>
      </c>
      <c r="J653" s="3">
        <f>[1]Results!M259</f>
        <v>54.192996520000001</v>
      </c>
      <c r="K653" s="3">
        <f>[1]Results!N259</f>
        <v>55.171402399999998</v>
      </c>
      <c r="L653" s="3">
        <f>[1]Results!O259</f>
        <v>56.257790870000001</v>
      </c>
      <c r="M653" s="3">
        <f>[1]Results!P259</f>
        <v>57.461597500000003</v>
      </c>
      <c r="N653" s="3">
        <f>[1]Results!Q259</f>
        <v>58.780956940000003</v>
      </c>
      <c r="O653" s="3">
        <f>[1]Results!R259</f>
        <v>60.182804410000003</v>
      </c>
      <c r="P653" s="3">
        <f>[1]Results!S259</f>
        <v>61.600666140000001</v>
      </c>
      <c r="Q653" s="3">
        <f>[1]Results!T259</f>
        <v>63.032195190000003</v>
      </c>
      <c r="R653" s="3">
        <f>[1]Results!U259</f>
        <v>64.477995849999999</v>
      </c>
      <c r="S653" s="3">
        <f>[1]Results!V259</f>
        <v>65.90610264</v>
      </c>
      <c r="T653" s="3">
        <f>[1]Results!W259</f>
        <v>67.356967679999997</v>
      </c>
      <c r="U653" s="3">
        <f>[1]Results!X259</f>
        <v>68.848414790000007</v>
      </c>
      <c r="V653" s="3">
        <f>[1]Results!Y259</f>
        <v>70.38605776</v>
      </c>
      <c r="W653" s="3">
        <f>[1]Results!Z259</f>
        <v>71.974528750000005</v>
      </c>
      <c r="X653" s="3">
        <f>[1]Results!AA259</f>
        <v>73.616990680000001</v>
      </c>
      <c r="Y653" s="3">
        <f>[1]Results!AB259</f>
        <v>75.32172851</v>
      </c>
      <c r="Z653" s="3">
        <f>[1]Results!AC259</f>
        <v>77.094305349999999</v>
      </c>
      <c r="AA653" s="3">
        <f>[1]Results!AD259</f>
        <v>78.935694690000005</v>
      </c>
      <c r="AB653" s="3">
        <f>[1]Results!AE259</f>
        <v>80.848366339999998</v>
      </c>
      <c r="AC653" s="3">
        <f>[1]Results!AF259</f>
        <v>82.835988810000003</v>
      </c>
      <c r="AD653" s="3">
        <f>[1]Results!AG259</f>
        <v>84.90701138</v>
      </c>
      <c r="AE653" s="3">
        <f>[1]Results!AH259</f>
        <v>87.062217360000005</v>
      </c>
      <c r="AF653" s="3">
        <f>[1]Results!AI259</f>
        <v>89.283754740000006</v>
      </c>
      <c r="AG653" s="3">
        <f>[1]Results!AJ259</f>
        <v>91.546939309999999</v>
      </c>
      <c r="AH653" s="3">
        <f>[1]Results!AK259</f>
        <v>93.831524479999999</v>
      </c>
      <c r="AI653" s="3">
        <f>[1]Results!AL259</f>
        <v>96.123191120000001</v>
      </c>
      <c r="AJ653" s="3">
        <f>[1]Results!AM259</f>
        <v>98.410475869999999</v>
      </c>
      <c r="AK653" s="3">
        <f>[1]Results!AN259</f>
        <v>100.68337959999999</v>
      </c>
      <c r="AL653" s="3">
        <f>[1]Results!AO259</f>
        <v>102.93259689999999</v>
      </c>
    </row>
    <row r="654" spans="1:38" x14ac:dyDescent="0.35">
      <c r="B654" s="3" t="s">
        <v>49</v>
      </c>
      <c r="C654" s="3">
        <f>SUM(C655:C657)</f>
        <v>26.883691638000002</v>
      </c>
      <c r="D654" s="3">
        <f t="shared" ref="D654:AL654" si="127">SUM(D655:D657)</f>
        <v>26.426728343000001</v>
      </c>
      <c r="E654" s="3">
        <f t="shared" si="127"/>
        <v>26.129535294</v>
      </c>
      <c r="F654" s="3">
        <f t="shared" si="127"/>
        <v>25.922223022000001</v>
      </c>
      <c r="G654" s="3">
        <f t="shared" si="127"/>
        <v>25.861799795</v>
      </c>
      <c r="H654" s="3">
        <f t="shared" si="127"/>
        <v>25.907491895</v>
      </c>
      <c r="I654" s="3">
        <f t="shared" si="127"/>
        <v>26.032267963999999</v>
      </c>
      <c r="J654" s="3">
        <f t="shared" si="127"/>
        <v>26.206718927000001</v>
      </c>
      <c r="K654" s="3">
        <f t="shared" si="127"/>
        <v>26.412124143</v>
      </c>
      <c r="L654" s="3">
        <f t="shared" si="127"/>
        <v>26.638945176</v>
      </c>
      <c r="M654" s="3">
        <f t="shared" si="127"/>
        <v>26.882386150000002</v>
      </c>
      <c r="N654" s="3">
        <f t="shared" si="127"/>
        <v>27.139621085999998</v>
      </c>
      <c r="O654" s="3">
        <f t="shared" si="127"/>
        <v>27.397852657999998</v>
      </c>
      <c r="P654" s="3">
        <f t="shared" si="127"/>
        <v>27.631142987</v>
      </c>
      <c r="Q654" s="3">
        <f t="shared" si="127"/>
        <v>27.853830760000001</v>
      </c>
      <c r="R654" s="3">
        <f t="shared" si="127"/>
        <v>28.079833717</v>
      </c>
      <c r="S654" s="3">
        <f t="shared" si="127"/>
        <v>28.297537022999997</v>
      </c>
      <c r="T654" s="3">
        <f t="shared" si="127"/>
        <v>28.544009017999997</v>
      </c>
      <c r="U654" s="3">
        <f t="shared" si="127"/>
        <v>28.830454418999999</v>
      </c>
      <c r="V654" s="3">
        <f t="shared" si="127"/>
        <v>29.158913112</v>
      </c>
      <c r="W654" s="3">
        <f t="shared" si="127"/>
        <v>29.530278393</v>
      </c>
      <c r="X654" s="3">
        <f t="shared" si="127"/>
        <v>29.944564332000002</v>
      </c>
      <c r="Y654" s="3">
        <f t="shared" si="127"/>
        <v>30.404377104999998</v>
      </c>
      <c r="Z654" s="3">
        <f t="shared" si="127"/>
        <v>30.910544119000001</v>
      </c>
      <c r="AA654" s="3">
        <f t="shared" si="127"/>
        <v>31.461107554999998</v>
      </c>
      <c r="AB654" s="3">
        <f t="shared" si="127"/>
        <v>32.055660732999996</v>
      </c>
      <c r="AC654" s="3">
        <f t="shared" si="127"/>
        <v>32.695015503999997</v>
      </c>
      <c r="AD654" s="3">
        <f t="shared" si="127"/>
        <v>33.383290836</v>
      </c>
      <c r="AE654" s="3">
        <f t="shared" si="127"/>
        <v>34.120813178999995</v>
      </c>
      <c r="AF654" s="3">
        <f t="shared" si="127"/>
        <v>34.899218107999999</v>
      </c>
      <c r="AG654" s="3">
        <f t="shared" si="127"/>
        <v>35.707193412999999</v>
      </c>
      <c r="AH654" s="3">
        <f t="shared" si="127"/>
        <v>36.536134009000001</v>
      </c>
      <c r="AI654" s="3">
        <f t="shared" si="127"/>
        <v>37.380356817000006</v>
      </c>
      <c r="AJ654" s="3">
        <f t="shared" si="127"/>
        <v>38.235139263000001</v>
      </c>
      <c r="AK654" s="3">
        <f t="shared" si="127"/>
        <v>39.095981917000003</v>
      </c>
      <c r="AL654" s="3">
        <f t="shared" si="127"/>
        <v>39.958239030000001</v>
      </c>
    </row>
    <row r="655" spans="1:38" x14ac:dyDescent="0.35">
      <c r="B655" s="3" t="str">
        <f>[1]Results!E269</f>
        <v>YG_toe_chea_0</v>
      </c>
      <c r="C655" s="3">
        <f>[1]Results!F269</f>
        <v>3.570662408</v>
      </c>
      <c r="D655" s="3">
        <f>[1]Results!G269</f>
        <v>3.6001132029999998</v>
      </c>
      <c r="E655" s="3">
        <f>[1]Results!H269</f>
        <v>3.629181124</v>
      </c>
      <c r="F655" s="3">
        <f>[1]Results!I269</f>
        <v>3.6599007719999999</v>
      </c>
      <c r="G655" s="3">
        <f>[1]Results!J269</f>
        <v>3.6930056850000001</v>
      </c>
      <c r="H655" s="3">
        <f>[1]Results!K269</f>
        <v>3.7298814149999999</v>
      </c>
      <c r="I655" s="3">
        <f>[1]Results!L269</f>
        <v>3.766782794</v>
      </c>
      <c r="J655" s="3">
        <f>[1]Results!M269</f>
        <v>3.8014925270000002</v>
      </c>
      <c r="K655" s="3">
        <f>[1]Results!N269</f>
        <v>3.8332616530000001</v>
      </c>
      <c r="L655" s="3">
        <f>[1]Results!O269</f>
        <v>3.862224436</v>
      </c>
      <c r="M655" s="3">
        <f>[1]Results!P269</f>
        <v>3.8889850300000002</v>
      </c>
      <c r="N655" s="3">
        <f>[1]Results!Q269</f>
        <v>3.9141623160000001</v>
      </c>
      <c r="O655" s="3">
        <f>[1]Results!R269</f>
        <v>3.9374097379999999</v>
      </c>
      <c r="P655" s="3">
        <f>[1]Results!S269</f>
        <v>3.957071027</v>
      </c>
      <c r="Q655" s="3">
        <f>[1]Results!T269</f>
        <v>3.9747766900000001</v>
      </c>
      <c r="R655" s="3">
        <f>[1]Results!U269</f>
        <v>3.992359467</v>
      </c>
      <c r="S655" s="3">
        <f>[1]Results!V269</f>
        <v>4.0100079729999996</v>
      </c>
      <c r="T655" s="3">
        <f>[1]Results!W269</f>
        <v>4.0334360980000001</v>
      </c>
      <c r="U655" s="3">
        <f>[1]Results!X269</f>
        <v>4.0635904089999997</v>
      </c>
      <c r="V655" s="3">
        <f>[1]Results!Y269</f>
        <v>4.1000636520000002</v>
      </c>
      <c r="W655" s="3">
        <f>[1]Results!Z269</f>
        <v>4.1422795130000001</v>
      </c>
      <c r="X655" s="3">
        <f>[1]Results!AA269</f>
        <v>4.189800022</v>
      </c>
      <c r="Y655" s="3">
        <f>[1]Results!AB269</f>
        <v>4.2425089250000001</v>
      </c>
      <c r="Z655" s="3">
        <f>[1]Results!AC269</f>
        <v>4.3002995589999999</v>
      </c>
      <c r="AA655" s="3">
        <f>[1]Results!AD269</f>
        <v>4.3629459749999997</v>
      </c>
      <c r="AB655" s="3">
        <f>[1]Results!AE269</f>
        <v>4.4302788529999999</v>
      </c>
      <c r="AC655" s="3">
        <f>[1]Results!AF269</f>
        <v>4.502218644</v>
      </c>
      <c r="AD655" s="3">
        <f>[1]Results!AG269</f>
        <v>4.5789341959999996</v>
      </c>
      <c r="AE655" s="3">
        <f>[1]Results!AH269</f>
        <v>4.6603695490000003</v>
      </c>
      <c r="AF655" s="3">
        <f>[1]Results!AI269</f>
        <v>4.745776158</v>
      </c>
      <c r="AG655" s="3">
        <f>[1]Results!AJ269</f>
        <v>4.8340979529999997</v>
      </c>
      <c r="AH655" s="3">
        <f>[1]Results!AK269</f>
        <v>4.9244136589999998</v>
      </c>
      <c r="AI655" s="3">
        <f>[1]Results!AL269</f>
        <v>5.0160320970000001</v>
      </c>
      <c r="AJ655" s="3">
        <f>[1]Results!AM269</f>
        <v>5.1083866130000004</v>
      </c>
      <c r="AK655" s="3">
        <f>[1]Results!AN269</f>
        <v>5.2009753869999997</v>
      </c>
      <c r="AL655" s="3">
        <f>[1]Results!AO269</f>
        <v>5.2933281499999998</v>
      </c>
    </row>
    <row r="656" spans="1:38" x14ac:dyDescent="0.35">
      <c r="B656" s="3" t="str">
        <f>[1]Results!E271</f>
        <v>YG_toe_cbio_0</v>
      </c>
      <c r="C656" s="3">
        <f>[1]Results!F271</f>
        <v>11.10571706</v>
      </c>
      <c r="D656" s="3">
        <f>[1]Results!G271</f>
        <v>11.034267460000001</v>
      </c>
      <c r="E656" s="3">
        <f>[1]Results!H271</f>
        <v>10.966202940000001</v>
      </c>
      <c r="F656" s="3">
        <f>[1]Results!I271</f>
        <v>10.89108835</v>
      </c>
      <c r="G656" s="3">
        <f>[1]Results!J271</f>
        <v>10.869716650000001</v>
      </c>
      <c r="H656" s="3">
        <f>[1]Results!K271</f>
        <v>10.88109607</v>
      </c>
      <c r="I656" s="3">
        <f>[1]Results!L271</f>
        <v>10.915424290000001</v>
      </c>
      <c r="J656" s="3">
        <f>[1]Results!M271</f>
        <v>10.96360853</v>
      </c>
      <c r="K656" s="3">
        <f>[1]Results!N271</f>
        <v>11.020228810000001</v>
      </c>
      <c r="L656" s="3">
        <f>[1]Results!O271</f>
        <v>11.08310174</v>
      </c>
      <c r="M656" s="3">
        <f>[1]Results!P271</f>
        <v>11.151448759999999</v>
      </c>
      <c r="N656" s="3">
        <f>[1]Results!Q271</f>
        <v>11.22469654</v>
      </c>
      <c r="O656" s="3">
        <f>[1]Results!R271</f>
        <v>11.30021232</v>
      </c>
      <c r="P656" s="3">
        <f>[1]Results!S271</f>
        <v>11.37270447</v>
      </c>
      <c r="Q656" s="3">
        <f>[1]Results!T271</f>
        <v>11.44341197</v>
      </c>
      <c r="R656" s="3">
        <f>[1]Results!U271</f>
        <v>11.514179370000001</v>
      </c>
      <c r="S656" s="3">
        <f>[1]Results!V271</f>
        <v>11.583528530000001</v>
      </c>
      <c r="T656" s="3">
        <f>[1]Results!W271</f>
        <v>11.65731602</v>
      </c>
      <c r="U656" s="3">
        <f>[1]Results!X271</f>
        <v>11.73842694</v>
      </c>
      <c r="V656" s="3">
        <f>[1]Results!Y271</f>
        <v>11.827705330000001</v>
      </c>
      <c r="W656" s="3">
        <f>[1]Results!Z271</f>
        <v>11.925403149999999</v>
      </c>
      <c r="X656" s="3">
        <f>[1]Results!AA271</f>
        <v>12.03148747</v>
      </c>
      <c r="Y656" s="3">
        <f>[1]Results!AB271</f>
        <v>12.146359329999999</v>
      </c>
      <c r="Z656" s="3">
        <f>[1]Results!AC271</f>
        <v>12.270166229999999</v>
      </c>
      <c r="AA656" s="3">
        <f>[1]Results!AD271</f>
        <v>12.40260176</v>
      </c>
      <c r="AB656" s="3">
        <f>[1]Results!AE271</f>
        <v>12.54353109</v>
      </c>
      <c r="AC656" s="3">
        <f>[1]Results!AF271</f>
        <v>12.6930183</v>
      </c>
      <c r="AD656" s="3">
        <f>[1]Results!AG271</f>
        <v>12.85167963</v>
      </c>
      <c r="AE656" s="3">
        <f>[1]Results!AH271</f>
        <v>13.01949196</v>
      </c>
      <c r="AF656" s="3">
        <f>[1]Results!AI271</f>
        <v>13.19471482</v>
      </c>
      <c r="AG656" s="3">
        <f>[1]Results!AJ271</f>
        <v>13.374949600000001</v>
      </c>
      <c r="AH656" s="3">
        <f>[1]Results!AK271</f>
        <v>13.558240870000001</v>
      </c>
      <c r="AI656" s="3">
        <f>[1]Results!AL271</f>
        <v>13.74323221</v>
      </c>
      <c r="AJ656" s="3">
        <f>[1]Results!AM271</f>
        <v>13.92885184</v>
      </c>
      <c r="AK656" s="3">
        <f>[1]Results!AN271</f>
        <v>14.11415482</v>
      </c>
      <c r="AL656" s="3">
        <f>[1]Results!AO271</f>
        <v>14.29824172</v>
      </c>
    </row>
    <row r="657" spans="1:38" x14ac:dyDescent="0.35">
      <c r="B657" s="3" t="str">
        <f>[1]Results!E274</f>
        <v>YG_toe_cote_0</v>
      </c>
      <c r="C657" s="3">
        <f>[1]Results!F274</f>
        <v>12.20731217</v>
      </c>
      <c r="D657" s="3">
        <f>[1]Results!G274</f>
        <v>11.792347680000001</v>
      </c>
      <c r="E657" s="3">
        <f>[1]Results!H274</f>
        <v>11.534151230000001</v>
      </c>
      <c r="F657" s="3">
        <f>[1]Results!I274</f>
        <v>11.3712339</v>
      </c>
      <c r="G657" s="3">
        <f>[1]Results!J274</f>
        <v>11.299077459999999</v>
      </c>
      <c r="H657" s="3">
        <f>[1]Results!K274</f>
        <v>11.29651441</v>
      </c>
      <c r="I657" s="3">
        <f>[1]Results!L274</f>
        <v>11.350060879999999</v>
      </c>
      <c r="J657" s="3">
        <f>[1]Results!M274</f>
        <v>11.44161787</v>
      </c>
      <c r="K657" s="3">
        <f>[1]Results!N274</f>
        <v>11.55863368</v>
      </c>
      <c r="L657" s="3">
        <f>[1]Results!O274</f>
        <v>11.693619</v>
      </c>
      <c r="M657" s="3">
        <f>[1]Results!P274</f>
        <v>11.841952360000001</v>
      </c>
      <c r="N657" s="3">
        <f>[1]Results!Q274</f>
        <v>12.000762229999999</v>
      </c>
      <c r="O657" s="3">
        <f>[1]Results!R274</f>
        <v>12.1602306</v>
      </c>
      <c r="P657" s="3">
        <f>[1]Results!S274</f>
        <v>12.301367490000001</v>
      </c>
      <c r="Q657" s="3">
        <f>[1]Results!T274</f>
        <v>12.435642100000001</v>
      </c>
      <c r="R657" s="3">
        <f>[1]Results!U274</f>
        <v>12.573294880000001</v>
      </c>
      <c r="S657" s="3">
        <f>[1]Results!V274</f>
        <v>12.704000519999999</v>
      </c>
      <c r="T657" s="3">
        <f>[1]Results!W274</f>
        <v>12.8532569</v>
      </c>
      <c r="U657" s="3">
        <f>[1]Results!X274</f>
        <v>13.028437070000001</v>
      </c>
      <c r="V657" s="3">
        <f>[1]Results!Y274</f>
        <v>13.231144130000001</v>
      </c>
      <c r="W657" s="3">
        <f>[1]Results!Z274</f>
        <v>13.46259573</v>
      </c>
      <c r="X657" s="3">
        <f>[1]Results!AA274</f>
        <v>13.72327684</v>
      </c>
      <c r="Y657" s="3">
        <f>[1]Results!AB274</f>
        <v>14.01550885</v>
      </c>
      <c r="Z657" s="3">
        <f>[1]Results!AC274</f>
        <v>14.340078330000001</v>
      </c>
      <c r="AA657" s="3">
        <f>[1]Results!AD274</f>
        <v>14.69555982</v>
      </c>
      <c r="AB657" s="3">
        <f>[1]Results!AE274</f>
        <v>15.081850790000001</v>
      </c>
      <c r="AC657" s="3">
        <f>[1]Results!AF274</f>
        <v>15.499778559999999</v>
      </c>
      <c r="AD657" s="3">
        <f>[1]Results!AG274</f>
        <v>15.95267701</v>
      </c>
      <c r="AE657" s="3">
        <f>[1]Results!AH274</f>
        <v>16.44095167</v>
      </c>
      <c r="AF657" s="3">
        <f>[1]Results!AI274</f>
        <v>16.95872713</v>
      </c>
      <c r="AG657" s="3">
        <f>[1]Results!AJ274</f>
        <v>17.498145860000001</v>
      </c>
      <c r="AH657" s="3">
        <f>[1]Results!AK274</f>
        <v>18.05347948</v>
      </c>
      <c r="AI657" s="3">
        <f>[1]Results!AL274</f>
        <v>18.62109251</v>
      </c>
      <c r="AJ657" s="3">
        <f>[1]Results!AM274</f>
        <v>19.19790081</v>
      </c>
      <c r="AK657" s="3">
        <f>[1]Results!AN274</f>
        <v>19.78085171</v>
      </c>
      <c r="AL657" s="3">
        <f>[1]Results!AO274</f>
        <v>20.366669160000001</v>
      </c>
    </row>
    <row r="658" spans="1:38" x14ac:dyDescent="0.3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</row>
    <row r="659" spans="1:38" x14ac:dyDescent="0.35">
      <c r="A659" s="12" t="s">
        <v>68</v>
      </c>
      <c r="C659" s="2">
        <v>42005</v>
      </c>
      <c r="D659" s="2">
        <v>42370</v>
      </c>
      <c r="E659" s="2">
        <v>42736</v>
      </c>
      <c r="F659" s="2">
        <v>43101</v>
      </c>
      <c r="G659" s="2">
        <v>43466</v>
      </c>
      <c r="H659" s="2">
        <v>43831</v>
      </c>
      <c r="I659" s="2">
        <v>44197</v>
      </c>
      <c r="J659" s="2">
        <v>44562</v>
      </c>
      <c r="K659" s="2">
        <v>44927</v>
      </c>
      <c r="L659" s="2">
        <v>45292</v>
      </c>
      <c r="M659" s="2">
        <v>45658</v>
      </c>
      <c r="N659" s="2">
        <v>46023</v>
      </c>
      <c r="O659" s="2">
        <v>46388</v>
      </c>
      <c r="P659" s="2">
        <v>46753</v>
      </c>
      <c r="Q659" s="2">
        <v>47119</v>
      </c>
      <c r="R659" s="2">
        <v>47484</v>
      </c>
      <c r="S659" s="2">
        <v>47849</v>
      </c>
      <c r="T659" s="2">
        <v>48214</v>
      </c>
      <c r="U659" s="2">
        <v>48580</v>
      </c>
      <c r="V659" s="2">
        <v>48945</v>
      </c>
      <c r="W659" s="2">
        <v>49310</v>
      </c>
      <c r="X659" s="2">
        <v>49675</v>
      </c>
      <c r="Y659" s="2">
        <v>50041</v>
      </c>
      <c r="Z659" s="2">
        <v>50406</v>
      </c>
      <c r="AA659" s="2">
        <v>50771</v>
      </c>
      <c r="AB659" s="2">
        <v>51136</v>
      </c>
      <c r="AC659" s="2">
        <v>51502</v>
      </c>
      <c r="AD659" s="2">
        <v>51867</v>
      </c>
      <c r="AE659" s="2">
        <v>52232</v>
      </c>
      <c r="AF659" s="2">
        <v>52597</v>
      </c>
      <c r="AG659" s="2">
        <v>52963</v>
      </c>
      <c r="AH659" s="2">
        <v>53328</v>
      </c>
      <c r="AI659" s="2">
        <v>53693</v>
      </c>
      <c r="AJ659" s="2">
        <v>54058</v>
      </c>
      <c r="AK659" s="2">
        <v>54424</v>
      </c>
      <c r="AL659" s="2">
        <v>54789</v>
      </c>
    </row>
    <row r="660" spans="1:38" x14ac:dyDescent="0.35">
      <c r="A660" t="s">
        <v>69</v>
      </c>
      <c r="B660" t="s">
        <v>92</v>
      </c>
      <c r="C660" s="4">
        <f>C633/C646-1</f>
        <v>0</v>
      </c>
      <c r="D660" s="4">
        <f t="shared" ref="D660" si="128">D633/D646-1</f>
        <v>0</v>
      </c>
      <c r="E660" s="4">
        <f t="shared" ref="E660:AL660" si="129">E633/E646-1</f>
        <v>0</v>
      </c>
      <c r="F660" s="4">
        <f t="shared" si="129"/>
        <v>0</v>
      </c>
      <c r="G660" s="4">
        <f t="shared" si="129"/>
        <v>0</v>
      </c>
      <c r="H660" s="4">
        <f t="shared" si="129"/>
        <v>0</v>
      </c>
      <c r="I660" s="4">
        <f t="shared" si="129"/>
        <v>3.1163128249045435E-4</v>
      </c>
      <c r="J660" s="4">
        <f t="shared" si="129"/>
        <v>-9.9388748681451533E-3</v>
      </c>
      <c r="K660" s="4">
        <f t="shared" si="129"/>
        <v>-1.980537771376234E-2</v>
      </c>
      <c r="L660" s="4">
        <f t="shared" si="129"/>
        <v>-2.6602816554129882E-2</v>
      </c>
      <c r="M660" s="4">
        <f t="shared" si="129"/>
        <v>-3.3667586213202871E-2</v>
      </c>
      <c r="N660" s="4">
        <f t="shared" si="129"/>
        <v>-4.104625200174028E-2</v>
      </c>
      <c r="O660" s="4">
        <f t="shared" si="129"/>
        <v>-4.8479592870795285E-2</v>
      </c>
      <c r="P660" s="4">
        <f t="shared" si="129"/>
        <v>-5.5253487268175583E-2</v>
      </c>
      <c r="Q660" s="4">
        <f t="shared" si="129"/>
        <v>-6.1252797757214927E-2</v>
      </c>
      <c r="R660" s="4">
        <f t="shared" si="129"/>
        <v>-6.663890293830288E-2</v>
      </c>
      <c r="S660" s="4">
        <f t="shared" si="129"/>
        <v>-6.797925728354326E-2</v>
      </c>
      <c r="T660" s="4">
        <f t="shared" si="129"/>
        <v>-6.92884518401925E-2</v>
      </c>
      <c r="U660" s="4">
        <f t="shared" si="129"/>
        <v>-7.0654553597867209E-2</v>
      </c>
      <c r="V660" s="4">
        <f t="shared" si="129"/>
        <v>-7.2022897700382726E-2</v>
      </c>
      <c r="W660" s="4">
        <f t="shared" si="129"/>
        <v>-7.3292289516795783E-2</v>
      </c>
      <c r="X660" s="4">
        <f t="shared" si="129"/>
        <v>-7.4329773042911551E-2</v>
      </c>
      <c r="Y660" s="4">
        <f t="shared" si="129"/>
        <v>-7.5021272694218322E-2</v>
      </c>
      <c r="Z660" s="4">
        <f t="shared" si="129"/>
        <v>-7.5331358981201468E-2</v>
      </c>
      <c r="AA660" s="4">
        <f t="shared" si="129"/>
        <v>-7.5245082752149917E-2</v>
      </c>
      <c r="AB660" s="4">
        <f t="shared" si="129"/>
        <v>-7.4744346906802872E-2</v>
      </c>
      <c r="AC660" s="4">
        <f t="shared" si="129"/>
        <v>-7.3254301844652425E-2</v>
      </c>
      <c r="AD660" s="4">
        <f t="shared" si="129"/>
        <v>-7.0972524282360117E-2</v>
      </c>
      <c r="AE660" s="4">
        <f t="shared" si="129"/>
        <v>-6.78577970731572E-2</v>
      </c>
      <c r="AF660" s="4">
        <f t="shared" si="129"/>
        <v>-6.389621492273978E-2</v>
      </c>
      <c r="AG660" s="4">
        <f t="shared" si="129"/>
        <v>-5.9034684795236547E-2</v>
      </c>
      <c r="AH660" s="4">
        <f t="shared" si="129"/>
        <v>-5.307332781353491E-2</v>
      </c>
      <c r="AI660" s="4">
        <f t="shared" si="129"/>
        <v>-4.5650879101003072E-2</v>
      </c>
      <c r="AJ660" s="4">
        <f t="shared" si="129"/>
        <v>-3.6246906953971925E-2</v>
      </c>
      <c r="AK660" s="4">
        <f t="shared" si="129"/>
        <v>-2.3898986819763102E-2</v>
      </c>
      <c r="AL660" s="4">
        <f t="shared" si="129"/>
        <v>-6.5482838755428485E-3</v>
      </c>
    </row>
    <row r="661" spans="1:38" x14ac:dyDescent="0.35">
      <c r="B661" t="s">
        <v>50</v>
      </c>
      <c r="C661" s="4">
        <f>(C634-C647)/C$646</f>
        <v>0</v>
      </c>
      <c r="D661" s="4">
        <f>(D634-D647)/D$646</f>
        <v>0</v>
      </c>
      <c r="E661" s="4">
        <f t="shared" ref="E661:AL661" si="130">(E634-E647)/E$646</f>
        <v>0</v>
      </c>
      <c r="F661" s="4">
        <f t="shared" si="130"/>
        <v>0</v>
      </c>
      <c r="G661" s="4">
        <f t="shared" si="130"/>
        <v>0</v>
      </c>
      <c r="H661" s="4">
        <f t="shared" si="130"/>
        <v>0</v>
      </c>
      <c r="I661" s="4">
        <f t="shared" si="130"/>
        <v>-1.3178554771559024E-5</v>
      </c>
      <c r="J661" s="4">
        <f t="shared" si="130"/>
        <v>-1.8093554799980457E-4</v>
      </c>
      <c r="K661" s="4">
        <f t="shared" si="130"/>
        <v>-3.4643851654351214E-4</v>
      </c>
      <c r="L661" s="4">
        <f t="shared" si="130"/>
        <v>-5.6121284121031208E-4</v>
      </c>
      <c r="M661" s="4">
        <f t="shared" si="130"/>
        <v>-7.6208555319213925E-4</v>
      </c>
      <c r="N661" s="4">
        <f t="shared" si="130"/>
        <v>-9.4849972158882396E-4</v>
      </c>
      <c r="O661" s="4">
        <f t="shared" si="130"/>
        <v>-1.1125948619860532E-3</v>
      </c>
      <c r="P661" s="4">
        <f t="shared" si="130"/>
        <v>-1.2600664428304579E-3</v>
      </c>
      <c r="Q661" s="4">
        <f t="shared" si="130"/>
        <v>-1.3979472202955354E-3</v>
      </c>
      <c r="R661" s="4">
        <f t="shared" si="130"/>
        <v>-1.5284322310416272E-3</v>
      </c>
      <c r="S661" s="4">
        <f t="shared" si="130"/>
        <v>-1.618656000506938E-3</v>
      </c>
      <c r="T661" s="4">
        <f t="shared" si="130"/>
        <v>-1.6795698199011941E-3</v>
      </c>
      <c r="U661" s="4">
        <f t="shared" si="130"/>
        <v>-1.716215164078005E-3</v>
      </c>
      <c r="V661" s="4">
        <f t="shared" si="130"/>
        <v>-1.7329029028129775E-3</v>
      </c>
      <c r="W661" s="4">
        <f t="shared" si="130"/>
        <v>-1.7333434335987604E-3</v>
      </c>
      <c r="X661" s="4">
        <f t="shared" si="130"/>
        <v>-1.7209950470318633E-3</v>
      </c>
      <c r="Y661" s="4">
        <f t="shared" si="130"/>
        <v>-1.6982021723191991E-3</v>
      </c>
      <c r="Z661" s="4">
        <f t="shared" si="130"/>
        <v>-1.6662445078983305E-3</v>
      </c>
      <c r="AA661" s="4">
        <f t="shared" si="130"/>
        <v>-1.6262914523006641E-3</v>
      </c>
      <c r="AB661" s="4">
        <f t="shared" si="130"/>
        <v>-1.579112632536272E-3</v>
      </c>
      <c r="AC661" s="4">
        <f t="shared" si="130"/>
        <v>-1.5153568335438141E-3</v>
      </c>
      <c r="AD661" s="4">
        <f t="shared" si="130"/>
        <v>-1.4465726555838436E-3</v>
      </c>
      <c r="AE661" s="4">
        <f t="shared" si="130"/>
        <v>-1.3740044727327998E-3</v>
      </c>
      <c r="AF661" s="4">
        <f t="shared" si="130"/>
        <v>-1.2987313212317517E-3</v>
      </c>
      <c r="AG661" s="4">
        <f t="shared" si="130"/>
        <v>-1.2222278808313124E-3</v>
      </c>
      <c r="AH661" s="4">
        <f t="shared" si="130"/>
        <v>-1.1462183440427954E-3</v>
      </c>
      <c r="AI661" s="4">
        <f t="shared" si="130"/>
        <v>-1.0721644936984979E-3</v>
      </c>
      <c r="AJ661" s="4">
        <f t="shared" si="130"/>
        <v>-1.0003687331600381E-3</v>
      </c>
      <c r="AK661" s="4">
        <f t="shared" si="130"/>
        <v>-9.3059553550060901E-4</v>
      </c>
      <c r="AL661" s="4">
        <f t="shared" si="130"/>
        <v>-8.6203581113451018E-4</v>
      </c>
    </row>
    <row r="662" spans="1:38" x14ac:dyDescent="0.35">
      <c r="B662" t="s">
        <v>48</v>
      </c>
      <c r="C662" s="4">
        <f>(C635-C648)/C$647</f>
        <v>0</v>
      </c>
      <c r="D662" s="4">
        <f>(D635-D648)/D$646</f>
        <v>0</v>
      </c>
      <c r="E662" s="4">
        <f t="shared" ref="E662:AL662" si="131">(E635-E648)/E$646</f>
        <v>0</v>
      </c>
      <c r="F662" s="4">
        <f t="shared" si="131"/>
        <v>0</v>
      </c>
      <c r="G662" s="4">
        <f t="shared" si="131"/>
        <v>0</v>
      </c>
      <c r="H662" s="4">
        <f t="shared" si="131"/>
        <v>0</v>
      </c>
      <c r="I662" s="4">
        <f t="shared" si="131"/>
        <v>4.2197768064063644E-4</v>
      </c>
      <c r="J662" s="4">
        <f t="shared" si="131"/>
        <v>-1.0190384042366754E-2</v>
      </c>
      <c r="K662" s="4">
        <f t="shared" si="131"/>
        <v>-2.0892694980988721E-2</v>
      </c>
      <c r="L662" s="4">
        <f t="shared" si="131"/>
        <v>-3.1638613446369687E-2</v>
      </c>
      <c r="M662" s="4">
        <f t="shared" si="131"/>
        <v>-4.2758586833243642E-2</v>
      </c>
      <c r="N662" s="4">
        <f t="shared" si="131"/>
        <v>-5.3804822121318076E-2</v>
      </c>
      <c r="O662" s="4">
        <f t="shared" si="131"/>
        <v>-6.4399628440014511E-2</v>
      </c>
      <c r="P662" s="4">
        <f t="shared" si="131"/>
        <v>-7.4039336635222858E-2</v>
      </c>
      <c r="Q662" s="4">
        <f t="shared" si="131"/>
        <v>-8.3010118708790159E-2</v>
      </c>
      <c r="R662" s="4">
        <f t="shared" si="131"/>
        <v>-9.159089599372823E-2</v>
      </c>
      <c r="S662" s="4">
        <f t="shared" si="131"/>
        <v>-9.5069127015625338E-2</v>
      </c>
      <c r="T662" s="4">
        <f t="shared" si="131"/>
        <v>-9.8549576130739447E-2</v>
      </c>
      <c r="U662" s="4">
        <f t="shared" si="131"/>
        <v>-0.1020649443388898</v>
      </c>
      <c r="V662" s="4">
        <f t="shared" si="131"/>
        <v>-0.10558429898463699</v>
      </c>
      <c r="W662" s="4">
        <f t="shared" si="131"/>
        <v>-0.10906371867588933</v>
      </c>
      <c r="X662" s="4">
        <f t="shared" si="131"/>
        <v>-0.11245786266928309</v>
      </c>
      <c r="Y662" s="4">
        <f t="shared" si="131"/>
        <v>-0.11572188472148222</v>
      </c>
      <c r="Z662" s="4">
        <f t="shared" si="131"/>
        <v>-0.11882481911093318</v>
      </c>
      <c r="AA662" s="4">
        <f t="shared" si="131"/>
        <v>-0.12174719150643928</v>
      </c>
      <c r="AB662" s="4">
        <f t="shared" si="131"/>
        <v>-0.12447125128267016</v>
      </c>
      <c r="AC662" s="4">
        <f t="shared" si="131"/>
        <v>-0.12696294584309764</v>
      </c>
      <c r="AD662" s="4">
        <f t="shared" si="131"/>
        <v>-0.12918927573519512</v>
      </c>
      <c r="AE662" s="4">
        <f t="shared" si="131"/>
        <v>-0.13113667317951327</v>
      </c>
      <c r="AF662" s="4">
        <f t="shared" si="131"/>
        <v>-0.1328156249832555</v>
      </c>
      <c r="AG662" s="4">
        <f t="shared" si="131"/>
        <v>-0.13424266782900246</v>
      </c>
      <c r="AH662" s="4">
        <f t="shared" si="131"/>
        <v>-0.13542022417766719</v>
      </c>
      <c r="AI662" s="4">
        <f t="shared" si="131"/>
        <v>-0.13633655962340324</v>
      </c>
      <c r="AJ662" s="4">
        <f t="shared" si="131"/>
        <v>-0.13697727363112316</v>
      </c>
      <c r="AK662" s="4">
        <f t="shared" si="131"/>
        <v>-0.13732062423165367</v>
      </c>
      <c r="AL662" s="4">
        <f t="shared" si="131"/>
        <v>-0.13733193522443546</v>
      </c>
    </row>
    <row r="663" spans="1:38" x14ac:dyDescent="0.35">
      <c r="B663" t="s">
        <v>81</v>
      </c>
      <c r="C663" s="4">
        <f>(C639-C652)/C$646</f>
        <v>0</v>
      </c>
      <c r="D663" s="4">
        <f>(D639-D652)/D$646</f>
        <v>0</v>
      </c>
      <c r="E663" s="4">
        <f t="shared" ref="E663:AL663" si="132">(E639-E652)/E$646</f>
        <v>0</v>
      </c>
      <c r="F663" s="4">
        <f t="shared" si="132"/>
        <v>0</v>
      </c>
      <c r="G663" s="4">
        <f t="shared" si="132"/>
        <v>0</v>
      </c>
      <c r="H663" s="4">
        <f t="shared" si="132"/>
        <v>0</v>
      </c>
      <c r="I663" s="4">
        <f t="shared" si="132"/>
        <v>9.4606372808435187E-5</v>
      </c>
      <c r="J663" s="4">
        <f t="shared" si="132"/>
        <v>-4.35879127154057E-4</v>
      </c>
      <c r="K663" s="4">
        <f t="shared" si="132"/>
        <v>-7.4391478225026297E-4</v>
      </c>
      <c r="L663" s="4">
        <f t="shared" si="132"/>
        <v>-9.0347980340429275E-4</v>
      </c>
      <c r="M663" s="4">
        <f t="shared" si="132"/>
        <v>-1.045630760040369E-3</v>
      </c>
      <c r="N663" s="4">
        <f t="shared" si="132"/>
        <v>-1.0057245390103656E-3</v>
      </c>
      <c r="O663" s="4">
        <f t="shared" si="132"/>
        <v>-9.0526611908732296E-4</v>
      </c>
      <c r="P663" s="4">
        <f t="shared" si="132"/>
        <v>-7.5205386077510292E-4</v>
      </c>
      <c r="Q663" s="4">
        <f t="shared" si="132"/>
        <v>-5.7311313852603026E-4</v>
      </c>
      <c r="R663" s="4">
        <f t="shared" si="132"/>
        <v>-3.7858448827229072E-4</v>
      </c>
      <c r="S663" s="4">
        <f t="shared" si="132"/>
        <v>-5.2201604898963389E-4</v>
      </c>
      <c r="T663" s="4">
        <f t="shared" si="132"/>
        <v>-7.5049000800443775E-4</v>
      </c>
      <c r="U663" s="4">
        <f t="shared" si="132"/>
        <v>-9.9596195423376369E-4</v>
      </c>
      <c r="V663" s="4">
        <f t="shared" si="132"/>
        <v>-1.2149402010942251E-3</v>
      </c>
      <c r="W663" s="4">
        <f t="shared" si="132"/>
        <v>-1.3773854767396587E-3</v>
      </c>
      <c r="X663" s="4">
        <f t="shared" si="132"/>
        <v>-1.4571643355721531E-3</v>
      </c>
      <c r="Y663" s="4">
        <f t="shared" si="132"/>
        <v>-1.4331910682110706E-3</v>
      </c>
      <c r="Z663" s="4">
        <f t="shared" si="132"/>
        <v>-1.2937001818731019E-3</v>
      </c>
      <c r="AA663" s="4">
        <f t="shared" si="132"/>
        <v>-1.0171020518525778E-3</v>
      </c>
      <c r="AB663" s="4">
        <f t="shared" si="132"/>
        <v>-5.7637200913813818E-4</v>
      </c>
      <c r="AC663" s="4">
        <f t="shared" si="132"/>
        <v>6.9891843218795947E-5</v>
      </c>
      <c r="AD663" s="4">
        <f t="shared" si="132"/>
        <v>9.7312714414954978E-4</v>
      </c>
      <c r="AE663" s="4">
        <f t="shared" si="132"/>
        <v>2.1941746390718385E-3</v>
      </c>
      <c r="AF663" s="4">
        <f t="shared" si="132"/>
        <v>3.8183015685451121E-3</v>
      </c>
      <c r="AG663" s="4">
        <f t="shared" si="132"/>
        <v>5.9706047686551179E-3</v>
      </c>
      <c r="AH663" s="4">
        <f t="shared" si="132"/>
        <v>8.8453911291538241E-3</v>
      </c>
      <c r="AI663" s="4">
        <f t="shared" si="132"/>
        <v>1.275410791904383E-2</v>
      </c>
      <c r="AJ663" s="4">
        <f t="shared" si="132"/>
        <v>1.8223176908845385E-2</v>
      </c>
      <c r="AK663" s="4">
        <f t="shared" si="132"/>
        <v>2.6233274088791107E-2</v>
      </c>
      <c r="AL663" s="4">
        <f t="shared" si="132"/>
        <v>3.885153611621063E-2</v>
      </c>
    </row>
    <row r="664" spans="1:38" x14ac:dyDescent="0.35">
      <c r="B664" t="s">
        <v>11</v>
      </c>
      <c r="C664" s="4">
        <f>(C640-C653)/C$647</f>
        <v>0</v>
      </c>
      <c r="D664" s="4">
        <f>(D640-D653)/D$646</f>
        <v>0</v>
      </c>
      <c r="E664" s="4">
        <f t="shared" ref="E664:AL664" si="133">(E640-E653)/E$646</f>
        <v>0</v>
      </c>
      <c r="F664" s="4">
        <f t="shared" si="133"/>
        <v>0</v>
      </c>
      <c r="G664" s="4">
        <f t="shared" si="133"/>
        <v>0</v>
      </c>
      <c r="H664" s="4">
        <f t="shared" si="133"/>
        <v>0</v>
      </c>
      <c r="I664" s="4">
        <f t="shared" si="133"/>
        <v>-1.9768346351556665E-4</v>
      </c>
      <c r="J664" s="4">
        <f t="shared" si="133"/>
        <v>2.8559822185814641E-3</v>
      </c>
      <c r="K664" s="4">
        <f t="shared" si="133"/>
        <v>6.3051824732885189E-3</v>
      </c>
      <c r="L664" s="4">
        <f t="shared" si="133"/>
        <v>1.175439182574675E-2</v>
      </c>
      <c r="M664" s="4">
        <f t="shared" si="133"/>
        <v>1.7324952092775854E-2</v>
      </c>
      <c r="N664" s="4">
        <f t="shared" si="133"/>
        <v>2.2080438558671821E-2</v>
      </c>
      <c r="O664" s="4">
        <f t="shared" si="133"/>
        <v>2.6114218147910581E-2</v>
      </c>
      <c r="P664" s="4">
        <f t="shared" si="133"/>
        <v>2.9620720884303134E-2</v>
      </c>
      <c r="Q664" s="4">
        <f t="shared" si="133"/>
        <v>3.2918329661468362E-2</v>
      </c>
      <c r="R664" s="4">
        <f t="shared" si="133"/>
        <v>3.6133585829436543E-2</v>
      </c>
      <c r="S664" s="4">
        <f t="shared" si="133"/>
        <v>3.8972026108688232E-2</v>
      </c>
      <c r="T664" s="4">
        <f t="shared" si="133"/>
        <v>4.1862053207139836E-2</v>
      </c>
      <c r="U664" s="4">
        <f t="shared" si="133"/>
        <v>4.4702636557810115E-2</v>
      </c>
      <c r="V664" s="4">
        <f t="shared" si="133"/>
        <v>4.7470137194943092E-2</v>
      </c>
      <c r="W664" s="4">
        <f t="shared" si="133"/>
        <v>5.0180945951109439E-2</v>
      </c>
      <c r="X664" s="4">
        <f t="shared" si="133"/>
        <v>5.2884398611378232E-2</v>
      </c>
      <c r="Y664" s="4">
        <f t="shared" si="133"/>
        <v>5.5620024879326192E-2</v>
      </c>
      <c r="Z664" s="4">
        <f t="shared" si="133"/>
        <v>5.8379231499254926E-2</v>
      </c>
      <c r="AA664" s="4">
        <f t="shared" si="133"/>
        <v>6.1138162954308101E-2</v>
      </c>
      <c r="AB664" s="4">
        <f t="shared" si="133"/>
        <v>6.387353230964414E-2</v>
      </c>
      <c r="AC664" s="4">
        <f t="shared" si="133"/>
        <v>6.6904027032861954E-2</v>
      </c>
      <c r="AD664" s="4">
        <f t="shared" si="133"/>
        <v>7.0104674369649678E-2</v>
      </c>
      <c r="AE664" s="4">
        <f t="shared" si="133"/>
        <v>7.3451441462215494E-2</v>
      </c>
      <c r="AF664" s="4">
        <f t="shared" si="133"/>
        <v>7.6896292111190062E-2</v>
      </c>
      <c r="AG664" s="4">
        <f t="shared" si="133"/>
        <v>8.0395924684571032E-2</v>
      </c>
      <c r="AH664" s="4">
        <f t="shared" si="133"/>
        <v>8.3962745601553396E-2</v>
      </c>
      <c r="AI664" s="4">
        <f t="shared" si="133"/>
        <v>8.7634776956043353E-2</v>
      </c>
      <c r="AJ664" s="4">
        <f t="shared" si="133"/>
        <v>9.1395931822519261E-2</v>
      </c>
      <c r="AK664" s="4">
        <f t="shared" si="133"/>
        <v>9.5211604217319099E-2</v>
      </c>
      <c r="AL664" s="4">
        <f t="shared" si="133"/>
        <v>9.9043462767711143E-2</v>
      </c>
    </row>
    <row r="665" spans="1:38" x14ac:dyDescent="0.35">
      <c r="B665" t="s">
        <v>49</v>
      </c>
      <c r="C665" s="4">
        <f>(C641-C654)/C$648</f>
        <v>0</v>
      </c>
      <c r="D665" s="4">
        <f>(D641-D654)/D$646</f>
        <v>0</v>
      </c>
      <c r="E665" s="4">
        <f t="shared" ref="E665:AL665" si="134">(E641-E654)/E$646</f>
        <v>0</v>
      </c>
      <c r="F665" s="4">
        <f t="shared" si="134"/>
        <v>0</v>
      </c>
      <c r="G665" s="4">
        <f t="shared" si="134"/>
        <v>0</v>
      </c>
      <c r="H665" s="4">
        <f t="shared" si="134"/>
        <v>0</v>
      </c>
      <c r="I665" s="4">
        <f t="shared" si="134"/>
        <v>5.9091431391903975E-6</v>
      </c>
      <c r="J665" s="4">
        <f t="shared" si="134"/>
        <v>-1.9876585955214024E-3</v>
      </c>
      <c r="K665" s="4">
        <f t="shared" si="134"/>
        <v>-4.1275118541270403E-3</v>
      </c>
      <c r="L665" s="4">
        <f t="shared" si="134"/>
        <v>-5.2539025886760978E-3</v>
      </c>
      <c r="M665" s="4">
        <f t="shared" si="134"/>
        <v>-6.4262349592124381E-3</v>
      </c>
      <c r="N665" s="4">
        <f t="shared" si="134"/>
        <v>-7.3676440937619969E-3</v>
      </c>
      <c r="O665" s="4">
        <f t="shared" si="134"/>
        <v>-8.176321535893101E-3</v>
      </c>
      <c r="P665" s="4">
        <f t="shared" si="134"/>
        <v>-8.8227509277935406E-3</v>
      </c>
      <c r="Q665" s="4">
        <f t="shared" si="134"/>
        <v>-9.1899485125640779E-3</v>
      </c>
      <c r="R665" s="4">
        <f t="shared" si="134"/>
        <v>-9.2745762570833525E-3</v>
      </c>
      <c r="S665" s="4">
        <f t="shared" si="134"/>
        <v>-9.74148451263754E-3</v>
      </c>
      <c r="T665" s="4">
        <f t="shared" si="134"/>
        <v>-1.0170869110775232E-2</v>
      </c>
      <c r="U665" s="4">
        <f t="shared" si="134"/>
        <v>-1.0580068597988206E-2</v>
      </c>
      <c r="V665" s="4">
        <f t="shared" si="134"/>
        <v>-1.0960892720610248E-2</v>
      </c>
      <c r="W665" s="4">
        <f t="shared" si="134"/>
        <v>-1.1298787531832151E-2</v>
      </c>
      <c r="X665" s="4">
        <f t="shared" si="134"/>
        <v>-1.1578149761193477E-2</v>
      </c>
      <c r="Y665" s="4">
        <f t="shared" si="134"/>
        <v>-1.1788019732928165E-2</v>
      </c>
      <c r="Z665" s="4">
        <f t="shared" si="134"/>
        <v>-1.1925826905591476E-2</v>
      </c>
      <c r="AA665" s="4">
        <f t="shared" si="134"/>
        <v>-1.1992660954138066E-2</v>
      </c>
      <c r="AB665" s="4">
        <f t="shared" si="134"/>
        <v>-1.1991143053708898E-2</v>
      </c>
      <c r="AC665" s="4">
        <f t="shared" si="134"/>
        <v>-1.1749918095793503E-2</v>
      </c>
      <c r="AD665" s="4">
        <f t="shared" si="134"/>
        <v>-1.1414477230379461E-2</v>
      </c>
      <c r="AE665" s="4">
        <f t="shared" si="134"/>
        <v>-1.0992735272529624E-2</v>
      </c>
      <c r="AF665" s="4">
        <f t="shared" si="134"/>
        <v>-1.0496452174974646E-2</v>
      </c>
      <c r="AG665" s="4">
        <f t="shared" si="134"/>
        <v>-9.936318316693768E-3</v>
      </c>
      <c r="AH665" s="4">
        <f t="shared" si="134"/>
        <v>-9.3150223319782895E-3</v>
      </c>
      <c r="AI665" s="4">
        <f t="shared" si="134"/>
        <v>-8.6310397727239248E-3</v>
      </c>
      <c r="AJ665" s="4">
        <f t="shared" si="134"/>
        <v>-7.8883732621016691E-3</v>
      </c>
      <c r="AK665" s="4">
        <f t="shared" si="134"/>
        <v>-7.0926453494730111E-3</v>
      </c>
      <c r="AL665" s="4">
        <f t="shared" si="134"/>
        <v>-6.2493118890803818E-3</v>
      </c>
    </row>
    <row r="667" spans="1:38" x14ac:dyDescent="0.35">
      <c r="B667" s="6" t="str">
        <f>[1]Macro!A100</f>
        <v>y_toe_2</v>
      </c>
      <c r="C667" s="6">
        <f>[1]Macro!B100</f>
        <v>135.80542969999999</v>
      </c>
      <c r="D667" s="6">
        <f>[1]Macro!C100</f>
        <v>138.0428331</v>
      </c>
      <c r="E667" s="6">
        <f>[1]Macro!D100</f>
        <v>139.9624273</v>
      </c>
      <c r="F667" s="6">
        <f>[1]Macro!E100</f>
        <v>141.8085658</v>
      </c>
      <c r="G667" s="6">
        <f>[1]Macro!F100</f>
        <v>143.73586700000001</v>
      </c>
      <c r="H667" s="6">
        <f>[1]Macro!G100</f>
        <v>145.76765810000001</v>
      </c>
      <c r="I667" s="6">
        <f>[1]Macro!H100</f>
        <v>147.87876979999999</v>
      </c>
      <c r="J667" s="6">
        <f>[1]Macro!I100</f>
        <v>148.6162602</v>
      </c>
      <c r="K667" s="6">
        <f>[1]Macro!J100</f>
        <v>149.32474920000001</v>
      </c>
      <c r="L667" s="6">
        <f>[1]Macro!K100</f>
        <v>150.43121729999999</v>
      </c>
      <c r="M667" s="6">
        <f>[1]Macro!L100</f>
        <v>151.44654890000001</v>
      </c>
      <c r="N667" s="6">
        <f>[1]Macro!M100</f>
        <v>152.3793015</v>
      </c>
      <c r="O667" s="6">
        <f>[1]Macro!N100</f>
        <v>153.2200053</v>
      </c>
      <c r="P667" s="6">
        <f>[1]Macro!O100</f>
        <v>153.95213219999999</v>
      </c>
      <c r="Q667" s="6">
        <f>[1]Macro!P100</f>
        <v>154.7052778</v>
      </c>
      <c r="R667" s="6">
        <f>[1]Macro!Q100</f>
        <v>155.5462493</v>
      </c>
      <c r="S667" s="6">
        <f>[1]Macro!R100</f>
        <v>156.5940559</v>
      </c>
      <c r="T667" s="6">
        <f>[1]Macro!S100</f>
        <v>157.77406830000001</v>
      </c>
      <c r="U667" s="6">
        <f>[1]Macro!T100</f>
        <v>159.1008008</v>
      </c>
      <c r="V667" s="6">
        <f>[1]Macro!U100</f>
        <v>160.5854732</v>
      </c>
      <c r="W667" s="6">
        <f>[1]Macro!V100</f>
        <v>162.24492430000001</v>
      </c>
      <c r="X667" s="6">
        <f>[1]Macro!W100</f>
        <v>164.10036310000001</v>
      </c>
      <c r="Y667" s="6">
        <f>[1]Macro!X100</f>
        <v>166.17986429999999</v>
      </c>
      <c r="Z667" s="6">
        <f>[1]Macro!Y100</f>
        <v>168.49525180000001</v>
      </c>
      <c r="AA667" s="6">
        <f>[1]Macro!Z100</f>
        <v>171.0481857</v>
      </c>
      <c r="AB667" s="6">
        <f>[1]Macro!AA100</f>
        <v>173.84528839999999</v>
      </c>
      <c r="AC667" s="6">
        <f>[1]Macro!AB100</f>
        <v>177.00228910000001</v>
      </c>
      <c r="AD667" s="6">
        <f>[1]Macro!AC100</f>
        <v>180.50228419999999</v>
      </c>
      <c r="AE667" s="6">
        <f>[1]Macro!AD100</f>
        <v>184.36325650000001</v>
      </c>
      <c r="AF667" s="6">
        <f>[1]Macro!AE100</f>
        <v>188.57103939999999</v>
      </c>
      <c r="AG667" s="6">
        <f>[1]Macro!AF100</f>
        <v>193.10977550000001</v>
      </c>
      <c r="AH667" s="6">
        <f>[1]Macro!AG100</f>
        <v>198.00236290000001</v>
      </c>
      <c r="AI667" s="6">
        <f>[1]Macro!AH100</f>
        <v>203.3190702</v>
      </c>
      <c r="AJ667" s="6">
        <f>[1]Macro!AI100</f>
        <v>209.17663440000001</v>
      </c>
      <c r="AK667" s="6">
        <f>[1]Macro!AJ100</f>
        <v>215.80341920000001</v>
      </c>
      <c r="AL667" s="6">
        <f>[1]Macro!AK100</f>
        <v>223.69888570000001</v>
      </c>
    </row>
    <row r="668" spans="1:38" x14ac:dyDescent="0.35">
      <c r="B668" s="6" t="str">
        <f>[1]Macro!A101</f>
        <v>m_toe_2</v>
      </c>
      <c r="C668" s="6">
        <f>[1]Macro!B101</f>
        <v>152.41504950000001</v>
      </c>
      <c r="D668" s="6">
        <f>[1]Macro!C101</f>
        <v>152.74847209999999</v>
      </c>
      <c r="E668" s="6">
        <f>[1]Macro!D101</f>
        <v>153.19595820000001</v>
      </c>
      <c r="F668" s="6">
        <f>[1]Macro!E101</f>
        <v>153.6255266</v>
      </c>
      <c r="G668" s="6">
        <f>[1]Macro!F101</f>
        <v>154.30375480000001</v>
      </c>
      <c r="H668" s="6">
        <f>[1]Macro!G101</f>
        <v>155.22869449999999</v>
      </c>
      <c r="I668" s="6">
        <f>[1]Macro!H101</f>
        <v>156.30650829999999</v>
      </c>
      <c r="J668" s="6">
        <f>[1]Macro!I101</f>
        <v>153.33125609999999</v>
      </c>
      <c r="K668" s="6">
        <f>[1]Macro!J101</f>
        <v>149.62091799999999</v>
      </c>
      <c r="L668" s="6">
        <f>[1]Macro!K101</f>
        <v>145.8871632</v>
      </c>
      <c r="M668" s="6">
        <f>[1]Macro!L101</f>
        <v>141.87743560000001</v>
      </c>
      <c r="N668" s="6">
        <f>[1]Macro!M101</f>
        <v>137.8033509</v>
      </c>
      <c r="O668" s="6">
        <f>[1]Macro!N101</f>
        <v>133.73958300000001</v>
      </c>
      <c r="P668" s="6">
        <f>[1]Macro!O101</f>
        <v>129.7420505</v>
      </c>
      <c r="Q668" s="6">
        <f>[1]Macro!P101</f>
        <v>125.9409758</v>
      </c>
      <c r="R668" s="6">
        <f>[1]Macro!Q101</f>
        <v>122.4101369</v>
      </c>
      <c r="S668" s="6">
        <f>[1]Macro!R101</f>
        <v>119.2854181</v>
      </c>
      <c r="T668" s="6">
        <f>[1]Macro!S101</f>
        <v>116.42550199999999</v>
      </c>
      <c r="U668" s="6">
        <f>[1]Macro!T101</f>
        <v>113.82217900000001</v>
      </c>
      <c r="V668" s="6">
        <f>[1]Macro!U101</f>
        <v>111.47367869999999</v>
      </c>
      <c r="W668" s="6">
        <f>[1]Macro!V101</f>
        <v>109.3788223</v>
      </c>
      <c r="X668" s="6">
        <f>[1]Macro!W101</f>
        <v>107.5363311</v>
      </c>
      <c r="Y668" s="6">
        <f>[1]Macro!X101</f>
        <v>105.9486923</v>
      </c>
      <c r="Z668" s="6">
        <f>[1]Macro!Y101</f>
        <v>104.6083395</v>
      </c>
      <c r="AA668" s="6">
        <f>[1]Macro!Z101</f>
        <v>103.499239</v>
      </c>
      <c r="AB668" s="6">
        <f>[1]Macro!AA101</f>
        <v>102.6071647</v>
      </c>
      <c r="AC668" s="6">
        <f>[1]Macro!AB101</f>
        <v>101.94386919999999</v>
      </c>
      <c r="AD668" s="6">
        <f>[1]Macro!AC101</f>
        <v>101.4975654</v>
      </c>
      <c r="AE668" s="6">
        <f>[1]Macro!AD101</f>
        <v>101.2477677</v>
      </c>
      <c r="AF668" s="6">
        <f>[1]Macro!AE101</f>
        <v>101.1462645</v>
      </c>
      <c r="AG668" s="6">
        <f>[1]Macro!AF101</f>
        <v>101.12806209999999</v>
      </c>
      <c r="AH668" s="6">
        <f>[1]Macro!AG101</f>
        <v>101.12283979999999</v>
      </c>
      <c r="AI668" s="6">
        <f>[1]Macro!AH101</f>
        <v>101.04225959999999</v>
      </c>
      <c r="AJ668" s="6">
        <f>[1]Macro!AI101</f>
        <v>100.7436146</v>
      </c>
      <c r="AK668" s="6">
        <f>[1]Macro!AJ101</f>
        <v>99.969478449999997</v>
      </c>
      <c r="AL668" s="6">
        <f>[1]Macro!AK101</f>
        <v>98.184328859999994</v>
      </c>
    </row>
    <row r="669" spans="1:38" x14ac:dyDescent="0.35">
      <c r="B669" s="6" t="str">
        <f>[1]Macro!A102</f>
        <v>ci_toe_2</v>
      </c>
      <c r="C669" s="6">
        <f>[1]Macro!B102</f>
        <v>171.4523193</v>
      </c>
      <c r="D669" s="6">
        <f>[1]Macro!C102</f>
        <v>173.19315649999999</v>
      </c>
      <c r="E669" s="6">
        <f>[1]Macro!D102</f>
        <v>174.9343533</v>
      </c>
      <c r="F669" s="6">
        <f>[1]Macro!E102</f>
        <v>176.5584374</v>
      </c>
      <c r="G669" s="6">
        <f>[1]Macro!F102</f>
        <v>178.38567069999999</v>
      </c>
      <c r="H669" s="6">
        <f>[1]Macro!G102</f>
        <v>180.45483350000001</v>
      </c>
      <c r="I669" s="6">
        <f>[1]Macro!H102</f>
        <v>182.7024126</v>
      </c>
      <c r="J669" s="6">
        <f>[1]Macro!I102</f>
        <v>181.65297029999999</v>
      </c>
      <c r="K669" s="6">
        <f>[1]Macro!J102</f>
        <v>179.94575699999999</v>
      </c>
      <c r="L669" s="6">
        <f>[1]Macro!K102</f>
        <v>178.51806719999999</v>
      </c>
      <c r="M669" s="6">
        <f>[1]Macro!L102</f>
        <v>176.97324850000001</v>
      </c>
      <c r="N669" s="6">
        <f>[1]Macro!M102</f>
        <v>175.47604580000001</v>
      </c>
      <c r="O669" s="6">
        <f>[1]Macro!N102</f>
        <v>174.0235371</v>
      </c>
      <c r="P669" s="6">
        <f>[1]Macro!O102</f>
        <v>172.59305760000001</v>
      </c>
      <c r="Q669" s="6">
        <f>[1]Macro!P102</f>
        <v>171.32354179999999</v>
      </c>
      <c r="R669" s="6">
        <f>[1]Macro!Q102</f>
        <v>170.30222209999999</v>
      </c>
      <c r="S669" s="6">
        <f>[1]Macro!R102</f>
        <v>169.70057650000001</v>
      </c>
      <c r="T669" s="6">
        <f>[1]Macro!S102</f>
        <v>169.36635960000001</v>
      </c>
      <c r="U669" s="6">
        <f>[1]Macro!T102</f>
        <v>169.3124359</v>
      </c>
      <c r="V669" s="6">
        <f>[1]Macro!U102</f>
        <v>169.55621339999999</v>
      </c>
      <c r="W669" s="6">
        <f>[1]Macro!V102</f>
        <v>170.11713169999999</v>
      </c>
      <c r="X669" s="6">
        <f>[1]Macro!W102</f>
        <v>171.0152477</v>
      </c>
      <c r="Y669" s="6">
        <f>[1]Macro!X102</f>
        <v>172.27754469999999</v>
      </c>
      <c r="Z669" s="6">
        <f>[1]Macro!Y102</f>
        <v>173.9141247</v>
      </c>
      <c r="AA669" s="6">
        <f>[1]Macro!Z102</f>
        <v>175.91999379999999</v>
      </c>
      <c r="AB669" s="6">
        <f>[1]Macro!AA102</f>
        <v>178.293316</v>
      </c>
      <c r="AC669" s="6">
        <f>[1]Macro!AB102</f>
        <v>181.08486600000001</v>
      </c>
      <c r="AD669" s="6">
        <f>[1]Macro!AC102</f>
        <v>184.31577590000001</v>
      </c>
      <c r="AE669" s="6">
        <f>[1]Macro!AD102</f>
        <v>187.9863368</v>
      </c>
      <c r="AF669" s="6">
        <f>[1]Macro!AE102</f>
        <v>192.05230499999999</v>
      </c>
      <c r="AG669" s="6">
        <f>[1]Macro!AF102</f>
        <v>196.45386999999999</v>
      </c>
      <c r="AH669" s="6">
        <f>[1]Macro!AG102</f>
        <v>201.15356120000001</v>
      </c>
      <c r="AI669" s="6">
        <f>[1]Macro!AH102</f>
        <v>206.13566520000001</v>
      </c>
      <c r="AJ669" s="6">
        <f>[1]Macro!AI102</f>
        <v>211.38125790000001</v>
      </c>
      <c r="AK669" s="6">
        <f>[1]Macro!AJ102</f>
        <v>216.8710868</v>
      </c>
      <c r="AL669" s="6">
        <f>[1]Macro!AK102</f>
        <v>222.58309829999999</v>
      </c>
    </row>
    <row r="670" spans="1:38" x14ac:dyDescent="0.35">
      <c r="B670" s="6" t="str">
        <f>[1]Macro!A103</f>
        <v>ch_toe_2</v>
      </c>
      <c r="C670" s="6">
        <f>[1]Macro!B103</f>
        <v>73.965462770000002</v>
      </c>
      <c r="D670" s="6">
        <f>[1]Macro!C103</f>
        <v>73.738772749999995</v>
      </c>
      <c r="E670" s="6">
        <f>[1]Macro!D103</f>
        <v>73.287575860000004</v>
      </c>
      <c r="F670" s="6">
        <f>[1]Macro!E103</f>
        <v>72.839986249999995</v>
      </c>
      <c r="G670" s="6">
        <f>[1]Macro!F103</f>
        <v>72.492965049999995</v>
      </c>
      <c r="H670" s="6">
        <f>[1]Macro!G103</f>
        <v>72.227420260000002</v>
      </c>
      <c r="I670" s="6">
        <f>[1]Macro!H103</f>
        <v>71.987690209999997</v>
      </c>
      <c r="J670" s="6">
        <f>[1]Macro!I103</f>
        <v>71.568801089999994</v>
      </c>
      <c r="K670" s="6">
        <f>[1]Macro!J103</f>
        <v>70.974866750000004</v>
      </c>
      <c r="L670" s="6">
        <f>[1]Macro!K103</f>
        <v>70.138206650000001</v>
      </c>
      <c r="M670" s="6">
        <f>[1]Macro!L103</f>
        <v>69.033724699999993</v>
      </c>
      <c r="N670" s="6">
        <f>[1]Macro!M103</f>
        <v>67.75052393</v>
      </c>
      <c r="O670" s="6">
        <f>[1]Macro!N103</f>
        <v>66.409574190000001</v>
      </c>
      <c r="P670" s="6">
        <f>[1]Macro!O103</f>
        <v>65.107113119999994</v>
      </c>
      <c r="Q670" s="6">
        <f>[1]Macro!P103</f>
        <v>63.897073519999999</v>
      </c>
      <c r="R670" s="6">
        <f>[1]Macro!Q103</f>
        <v>62.800903699999999</v>
      </c>
      <c r="S670" s="6">
        <f>[1]Macro!R103</f>
        <v>61.832006190000001</v>
      </c>
      <c r="T670" s="6">
        <f>[1]Macro!S103</f>
        <v>60.96909033</v>
      </c>
      <c r="U670" s="6">
        <f>[1]Macro!T103</f>
        <v>60.194892379999999</v>
      </c>
      <c r="V670" s="6">
        <f>[1]Macro!U103</f>
        <v>59.498782439999999</v>
      </c>
      <c r="W670" s="6">
        <f>[1]Macro!V103</f>
        <v>58.873903200000001</v>
      </c>
      <c r="X670" s="6">
        <f>[1]Macro!W103</f>
        <v>58.316000610000003</v>
      </c>
      <c r="Y670" s="6">
        <f>[1]Macro!X103</f>
        <v>57.82170962</v>
      </c>
      <c r="Z670" s="6">
        <f>[1]Macro!Y103</f>
        <v>57.385930449999996</v>
      </c>
      <c r="AA670" s="6">
        <f>[1]Macro!Z103</f>
        <v>57.00525648</v>
      </c>
      <c r="AB670" s="6">
        <f>[1]Macro!AA103</f>
        <v>56.676953910000002</v>
      </c>
      <c r="AC670" s="6">
        <f>[1]Macro!AB103</f>
        <v>56.397996169999999</v>
      </c>
      <c r="AD670" s="6">
        <f>[1]Macro!AC103</f>
        <v>56.16553949</v>
      </c>
      <c r="AE670" s="6">
        <f>[1]Macro!AD103</f>
        <v>55.977627589999997</v>
      </c>
      <c r="AF670" s="6">
        <f>[1]Macro!AE103</f>
        <v>55.832744060000003</v>
      </c>
      <c r="AG670" s="6">
        <f>[1]Macro!AF103</f>
        <v>55.729485359999998</v>
      </c>
      <c r="AH670" s="6">
        <f>[1]Macro!AG103</f>
        <v>55.666150960000003</v>
      </c>
      <c r="AI670" s="6">
        <f>[1]Macro!AH103</f>
        <v>55.640728289999998</v>
      </c>
      <c r="AJ670" s="6">
        <f>[1]Macro!AI103</f>
        <v>55.651053539999999</v>
      </c>
      <c r="AK670" s="6">
        <f>[1]Macro!AJ103</f>
        <v>55.69399954</v>
      </c>
      <c r="AL670" s="6">
        <f>[1]Macro!AK103</f>
        <v>55.76360794</v>
      </c>
    </row>
    <row r="671" spans="1:38" x14ac:dyDescent="0.35">
      <c r="B671" s="6" t="str">
        <f>[1]Macro!A104</f>
        <v>x_toe_2</v>
      </c>
      <c r="C671" s="6">
        <f>[1]Macro!B104</f>
        <v>42.80269715</v>
      </c>
      <c r="D671" s="6">
        <f>[1]Macro!C104</f>
        <v>43.859375890000003</v>
      </c>
      <c r="E671" s="6">
        <f>[1]Macro!D104</f>
        <v>44.936456380000003</v>
      </c>
      <c r="F671" s="6">
        <f>[1]Macro!E104</f>
        <v>46.03566867</v>
      </c>
      <c r="G671" s="6">
        <f>[1]Macro!F104</f>
        <v>47.160986090000002</v>
      </c>
      <c r="H671" s="6">
        <f>[1]Macro!G104</f>
        <v>48.31409876</v>
      </c>
      <c r="I671" s="6">
        <f>[1]Macro!H104</f>
        <v>49.49517522</v>
      </c>
      <c r="J671" s="6">
        <f>[1]Macro!I104</f>
        <v>48.725744859999999</v>
      </c>
      <c r="K671" s="6">
        <f>[1]Macro!J104</f>
        <v>48.025043369999999</v>
      </c>
      <c r="L671" s="6">
        <f>[1]Macro!K104</f>
        <v>47.662106629999997</v>
      </c>
      <c r="M671" s="6">
        <f>[1]Macro!L104</f>
        <v>47.317011170000001</v>
      </c>
      <c r="N671" s="6">
        <f>[1]Macro!M104</f>
        <v>46.95608266</v>
      </c>
      <c r="O671" s="6">
        <f>[1]Macro!N104</f>
        <v>46.526476979999998</v>
      </c>
      <c r="P671" s="6">
        <f>[1]Macro!O104</f>
        <v>45.994011989999997</v>
      </c>
      <c r="Q671" s="6">
        <f>[1]Macro!P104</f>
        <v>45.425638239999998</v>
      </c>
      <c r="R671" s="6">
        <f>[1]Macro!Q104</f>
        <v>44.853260460000001</v>
      </c>
      <c r="S671" s="6">
        <f>[1]Macro!R104</f>
        <v>44.346891229999997</v>
      </c>
      <c r="T671" s="6">
        <f>[1]Macro!S104</f>
        <v>43.864120270000001</v>
      </c>
      <c r="U671" s="6">
        <f>[1]Macro!T104</f>
        <v>43.415651459999999</v>
      </c>
      <c r="V671" s="6">
        <f>[1]Macro!U104</f>
        <v>43.004156029999997</v>
      </c>
      <c r="W671" s="6">
        <f>[1]Macro!V104</f>
        <v>42.632711700000002</v>
      </c>
      <c r="X671" s="6">
        <f>[1]Macro!W104</f>
        <v>42.305445900000002</v>
      </c>
      <c r="Y671" s="6">
        <f>[1]Macro!X104</f>
        <v>42.029302270000002</v>
      </c>
      <c r="Z671" s="6">
        <f>[1]Macro!Y104</f>
        <v>41.803536170000001</v>
      </c>
      <c r="AA671" s="6">
        <f>[1]Macro!Z104</f>
        <v>41.622174360000002</v>
      </c>
      <c r="AB671" s="6">
        <f>[1]Macro!AA104</f>
        <v>41.482183200000001</v>
      </c>
      <c r="AC671" s="6">
        <f>[1]Macro!AB104</f>
        <v>41.463296120000003</v>
      </c>
      <c r="AD671" s="6">
        <f>[1]Macro!AC104</f>
        <v>41.518534170000002</v>
      </c>
      <c r="AE671" s="6">
        <f>[1]Macro!AD104</f>
        <v>41.647059759999998</v>
      </c>
      <c r="AF671" s="6">
        <f>[1]Macro!AE104</f>
        <v>41.832254910000003</v>
      </c>
      <c r="AG671" s="6">
        <f>[1]Macro!AF104</f>
        <v>42.05448225</v>
      </c>
      <c r="AH671" s="6">
        <f>[1]Macro!AG104</f>
        <v>42.305490460000001</v>
      </c>
      <c r="AI671" s="6">
        <f>[1]Macro!AH104</f>
        <v>42.584936300000003</v>
      </c>
      <c r="AJ671" s="6">
        <f>[1]Macro!AI104</f>
        <v>42.887937489999999</v>
      </c>
      <c r="AK671" s="6">
        <f>[1]Macro!AJ104</f>
        <v>43.207811280000001</v>
      </c>
      <c r="AL671" s="6">
        <f>[1]Macro!AK104</f>
        <v>43.536508269999999</v>
      </c>
    </row>
    <row r="672" spans="1:38" x14ac:dyDescent="0.35"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</row>
    <row r="673" spans="2:38" x14ac:dyDescent="0.35">
      <c r="B673" s="6" t="str">
        <f>[1]Macro!A105</f>
        <v>y_toe_0</v>
      </c>
      <c r="C673" s="6">
        <f>[1]Macro!B105</f>
        <v>135.80542969999999</v>
      </c>
      <c r="D673" s="6">
        <f>[1]Macro!C105</f>
        <v>138.0428331</v>
      </c>
      <c r="E673" s="6">
        <f>[1]Macro!D105</f>
        <v>139.9624273</v>
      </c>
      <c r="F673" s="6">
        <f>[1]Macro!E105</f>
        <v>141.8085658</v>
      </c>
      <c r="G673" s="6">
        <f>[1]Macro!F105</f>
        <v>143.73586700000001</v>
      </c>
      <c r="H673" s="6">
        <f>[1]Macro!G105</f>
        <v>145.76765810000001</v>
      </c>
      <c r="I673" s="6">
        <f>[1]Macro!H105</f>
        <v>147.8334237</v>
      </c>
      <c r="J673" s="6">
        <f>[1]Macro!I105</f>
        <v>149.88330199999999</v>
      </c>
      <c r="K673" s="6">
        <f>[1]Macro!J105</f>
        <v>151.8996832</v>
      </c>
      <c r="L673" s="6">
        <f>[1]Macro!K105</f>
        <v>153.8869986</v>
      </c>
      <c r="M673" s="6">
        <f>[1]Macro!L105</f>
        <v>155.86150050000001</v>
      </c>
      <c r="N673" s="6">
        <f>[1]Macro!M105</f>
        <v>157.8390421</v>
      </c>
      <c r="O673" s="6">
        <f>[1]Macro!N105</f>
        <v>159.76371900000001</v>
      </c>
      <c r="P673" s="6">
        <f>[1]Macro!O105</f>
        <v>161.4915747</v>
      </c>
      <c r="Q673" s="6">
        <f>[1]Macro!P105</f>
        <v>163.13049140000001</v>
      </c>
      <c r="R673" s="6">
        <f>[1]Macro!Q105</f>
        <v>164.77392549999999</v>
      </c>
      <c r="S673" s="6">
        <f>[1]Macro!R105</f>
        <v>165.9065516</v>
      </c>
      <c r="T673" s="6">
        <f>[1]Macro!S105</f>
        <v>167.17356369999999</v>
      </c>
      <c r="U673" s="6">
        <f>[1]Macro!T105</f>
        <v>168.60875089999999</v>
      </c>
      <c r="V673" s="6">
        <f>[1]Macro!U105</f>
        <v>170.2155405</v>
      </c>
      <c r="W673" s="6">
        <f>[1]Macro!V105</f>
        <v>171.9937903</v>
      </c>
      <c r="X673" s="6">
        <f>[1]Macro!W105</f>
        <v>173.94077150000001</v>
      </c>
      <c r="Y673" s="6">
        <f>[1]Macro!X105</f>
        <v>176.0629366</v>
      </c>
      <c r="Z673" s="6">
        <f>[1]Macro!Y105</f>
        <v>178.36269480000001</v>
      </c>
      <c r="AA673" s="6">
        <f>[1]Macro!Z105</f>
        <v>180.83481330000001</v>
      </c>
      <c r="AB673" s="6">
        <f>[1]Macro!AA105</f>
        <v>183.47801999999999</v>
      </c>
      <c r="AC673" s="6">
        <f>[1]Macro!AB105</f>
        <v>186.29421099999999</v>
      </c>
      <c r="AD673" s="6">
        <f>[1]Macro!AC105</f>
        <v>189.29468159999999</v>
      </c>
      <c r="AE673" s="6">
        <f>[1]Macro!AD105</f>
        <v>192.47855530000001</v>
      </c>
      <c r="AF673" s="6">
        <f>[1]Macro!AE105</f>
        <v>195.81483420000001</v>
      </c>
      <c r="AG673" s="6">
        <f>[1]Macro!AF105</f>
        <v>199.26132870000001</v>
      </c>
      <c r="AH673" s="6">
        <f>[1]Macro!AG105</f>
        <v>202.78327820000001</v>
      </c>
      <c r="AI673" s="6">
        <f>[1]Macro!AH105</f>
        <v>206.35551150000001</v>
      </c>
      <c r="AJ673" s="6">
        <f>[1]Macro!AI105</f>
        <v>209.9571291</v>
      </c>
      <c r="AK673" s="6">
        <f>[1]Macro!AJ105</f>
        <v>213.56925340000001</v>
      </c>
      <c r="AL673" s="6">
        <f>[1]Macro!AK105</f>
        <v>217.1737463</v>
      </c>
    </row>
    <row r="674" spans="2:38" x14ac:dyDescent="0.35">
      <c r="B674" s="6" t="str">
        <f>[1]Macro!A106</f>
        <v>m_toe_0</v>
      </c>
      <c r="C674" s="6">
        <f>[1]Macro!B106</f>
        <v>152.41504950000001</v>
      </c>
      <c r="D674" s="6">
        <f>[1]Macro!C106</f>
        <v>152.74847209999999</v>
      </c>
      <c r="E674" s="6">
        <f>[1]Macro!D106</f>
        <v>153.19595820000001</v>
      </c>
      <c r="F674" s="6">
        <f>[1]Macro!E106</f>
        <v>153.6255266</v>
      </c>
      <c r="G674" s="6">
        <f>[1]Macro!F106</f>
        <v>154.30375480000001</v>
      </c>
      <c r="H674" s="6">
        <f>[1]Macro!G106</f>
        <v>155.22869449999999</v>
      </c>
      <c r="I674" s="6">
        <f>[1]Macro!H106</f>
        <v>156.09934089999999</v>
      </c>
      <c r="J674" s="6">
        <f>[1]Macro!I106</f>
        <v>156.8338621</v>
      </c>
      <c r="K674" s="6">
        <f>[1]Macro!J106</f>
        <v>157.3762097</v>
      </c>
      <c r="L674" s="6">
        <f>[1]Macro!K106</f>
        <v>157.69961290000001</v>
      </c>
      <c r="M674" s="6">
        <f>[1]Macro!L106</f>
        <v>157.80089330000001</v>
      </c>
      <c r="N674" s="6">
        <f>[1]Macro!M106</f>
        <v>157.70233959999999</v>
      </c>
      <c r="O674" s="6">
        <f>[1]Macro!N106</f>
        <v>157.3880351</v>
      </c>
      <c r="P674" s="6">
        <f>[1]Macro!O106</f>
        <v>156.77646200000001</v>
      </c>
      <c r="Q674" s="6">
        <f>[1]Macro!P106</f>
        <v>156.0157245</v>
      </c>
      <c r="R674" s="6">
        <f>[1]Macro!Q106</f>
        <v>155.25695959999999</v>
      </c>
      <c r="S674" s="6">
        <f>[1]Macro!R106</f>
        <v>154.20614280000001</v>
      </c>
      <c r="T674" s="6">
        <f>[1]Macro!S106</f>
        <v>153.4044327</v>
      </c>
      <c r="U674" s="6">
        <f>[1]Macro!T106</f>
        <v>152.92077599999999</v>
      </c>
      <c r="V674" s="6">
        <f>[1]Macro!U106</f>
        <v>152.7480539</v>
      </c>
      <c r="W674" s="6">
        <f>[1]Macro!V106</f>
        <v>152.86920599999999</v>
      </c>
      <c r="X674" s="6">
        <f>[1]Macro!W106</f>
        <v>153.2659903</v>
      </c>
      <c r="Y674" s="6">
        <f>[1]Macro!X106</f>
        <v>153.93003959999999</v>
      </c>
      <c r="Z674" s="6">
        <f>[1]Macro!Y106</f>
        <v>154.8519708</v>
      </c>
      <c r="AA674" s="6">
        <f>[1]Macro!Z106</f>
        <v>156.01649900000001</v>
      </c>
      <c r="AB674" s="6">
        <f>[1]Macro!AA106</f>
        <v>157.4133755</v>
      </c>
      <c r="AC674" s="6">
        <f>[1]Macro!AB106</f>
        <v>159.03739999999999</v>
      </c>
      <c r="AD674" s="6">
        <f>[1]Macro!AC106</f>
        <v>160.89364990000001</v>
      </c>
      <c r="AE674" s="6">
        <f>[1]Macro!AD106</f>
        <v>162.9787335</v>
      </c>
      <c r="AF674" s="6">
        <f>[1]Macro!AE106</f>
        <v>165.2635205</v>
      </c>
      <c r="AG674" s="6">
        <f>[1]Macro!AF106</f>
        <v>167.7070224</v>
      </c>
      <c r="AH674" s="6">
        <f>[1]Macro!AG106</f>
        <v>170.27395670000001</v>
      </c>
      <c r="AI674" s="6">
        <f>[1]Macro!AH106</f>
        <v>172.93799340000001</v>
      </c>
      <c r="AJ674" s="6">
        <f>[1]Macro!AI106</f>
        <v>175.67720069999999</v>
      </c>
      <c r="AK674" s="6">
        <f>[1]Macro!AJ106</f>
        <v>178.47152109999999</v>
      </c>
      <c r="AL674" s="6">
        <f>[1]Macro!AK106</f>
        <v>181.30136239999999</v>
      </c>
    </row>
    <row r="675" spans="2:38" x14ac:dyDescent="0.35">
      <c r="B675" s="6" t="str">
        <f>[1]Macro!A107</f>
        <v>ci_toe_0</v>
      </c>
      <c r="C675" s="6">
        <f>[1]Macro!B107</f>
        <v>171.4523193</v>
      </c>
      <c r="D675" s="6">
        <f>[1]Macro!C107</f>
        <v>173.19315649999999</v>
      </c>
      <c r="E675" s="6">
        <f>[1]Macro!D107</f>
        <v>174.9343533</v>
      </c>
      <c r="F675" s="6">
        <f>[1]Macro!E107</f>
        <v>176.5584374</v>
      </c>
      <c r="G675" s="6">
        <f>[1]Macro!F107</f>
        <v>178.38567069999999</v>
      </c>
      <c r="H675" s="6">
        <f>[1]Macro!G107</f>
        <v>180.45483350000001</v>
      </c>
      <c r="I675" s="6">
        <f>[1]Macro!H107</f>
        <v>182.54880349999999</v>
      </c>
      <c r="J675" s="6">
        <f>[1]Macro!I107</f>
        <v>184.5610527</v>
      </c>
      <c r="K675" s="6">
        <f>[1]Macro!J107</f>
        <v>186.43056229999999</v>
      </c>
      <c r="L675" s="6">
        <f>[1]Macro!K107</f>
        <v>188.14287949999999</v>
      </c>
      <c r="M675" s="6">
        <f>[1]Macro!L107</f>
        <v>189.71036269999999</v>
      </c>
      <c r="N675" s="6">
        <f>[1]Macro!M107</f>
        <v>191.15773340000001</v>
      </c>
      <c r="O675" s="6">
        <f>[1]Macro!N107</f>
        <v>192.4413007</v>
      </c>
      <c r="P675" s="6">
        <f>[1]Macro!O107</f>
        <v>193.41911329999999</v>
      </c>
      <c r="Q675" s="6">
        <f>[1]Macro!P107</f>
        <v>194.2301343</v>
      </c>
      <c r="R675" s="6">
        <f>[1]Macro!Q107</f>
        <v>195.0278338</v>
      </c>
      <c r="S675" s="6">
        <f>[1]Macro!R107</f>
        <v>195.481413</v>
      </c>
      <c r="T675" s="6">
        <f>[1]Macro!S107</f>
        <v>196.189257</v>
      </c>
      <c r="U675" s="6">
        <f>[1]Macro!T107</f>
        <v>197.25890989999999</v>
      </c>
      <c r="V675" s="6">
        <f>[1]Macro!U107</f>
        <v>198.70002729999999</v>
      </c>
      <c r="W675" s="6">
        <f>[1]Macro!V107</f>
        <v>200.50457109999999</v>
      </c>
      <c r="X675" s="6">
        <f>[1]Macro!W107</f>
        <v>202.65844960000001</v>
      </c>
      <c r="Y675" s="6">
        <f>[1]Macro!X107</f>
        <v>205.16046650000001</v>
      </c>
      <c r="Z675" s="6">
        <f>[1]Macro!Y107</f>
        <v>208.00589339999999</v>
      </c>
      <c r="AA675" s="6">
        <f>[1]Macro!Z107</f>
        <v>211.18015070000001</v>
      </c>
      <c r="AB675" s="6">
        <f>[1]Macro!AA107</f>
        <v>214.67406560000001</v>
      </c>
      <c r="AC675" s="6">
        <f>[1]Macro!AB107</f>
        <v>218.48444259999999</v>
      </c>
      <c r="AD675" s="6">
        <f>[1]Macro!AC107</f>
        <v>222.62280699999999</v>
      </c>
      <c r="AE675" s="6">
        <f>[1]Macro!AD107</f>
        <v>227.08572559999999</v>
      </c>
      <c r="AF675" s="6">
        <f>[1]Macro!AE107</f>
        <v>231.82555669999999</v>
      </c>
      <c r="AG675" s="6">
        <f>[1]Macro!AF107</f>
        <v>236.77452400000001</v>
      </c>
      <c r="AH675" s="6">
        <f>[1]Macro!AG107</f>
        <v>241.87348059999999</v>
      </c>
      <c r="AI675" s="6">
        <f>[1]Macro!AH107</f>
        <v>247.07796519999999</v>
      </c>
      <c r="AJ675" s="6">
        <f>[1]Macro!AI107</f>
        <v>252.35146019999999</v>
      </c>
      <c r="AK675" s="6">
        <f>[1]Macro!AJ107</f>
        <v>257.66152249999999</v>
      </c>
      <c r="AL675" s="6">
        <f>[1]Macro!AK107</f>
        <v>262.97759389999999</v>
      </c>
    </row>
    <row r="676" spans="2:38" x14ac:dyDescent="0.35">
      <c r="B676" s="6" t="str">
        <f>[1]Macro!A108</f>
        <v>ch_toe_0</v>
      </c>
      <c r="C676" s="6">
        <f>[1]Macro!B108</f>
        <v>73.965462770000002</v>
      </c>
      <c r="D676" s="6">
        <f>[1]Macro!C108</f>
        <v>73.738772749999995</v>
      </c>
      <c r="E676" s="6">
        <f>[1]Macro!D108</f>
        <v>73.287575860000004</v>
      </c>
      <c r="F676" s="6">
        <f>[1]Macro!E108</f>
        <v>72.839986249999995</v>
      </c>
      <c r="G676" s="6">
        <f>[1]Macro!F108</f>
        <v>72.492965049999995</v>
      </c>
      <c r="H676" s="6">
        <f>[1]Macro!G108</f>
        <v>72.227420260000002</v>
      </c>
      <c r="I676" s="6">
        <f>[1]Macro!H108</f>
        <v>71.891507250000004</v>
      </c>
      <c r="J676" s="6">
        <f>[1]Macro!I108</f>
        <v>71.461335689999999</v>
      </c>
      <c r="K676" s="6">
        <f>[1]Macro!J108</f>
        <v>70.924324350000006</v>
      </c>
      <c r="L676" s="6">
        <f>[1]Macro!K108</f>
        <v>70.271701590000006</v>
      </c>
      <c r="M676" s="6">
        <f>[1]Macro!L108</f>
        <v>69.502867379999998</v>
      </c>
      <c r="N676" s="6">
        <f>[1]Macro!M108</f>
        <v>68.630587939999998</v>
      </c>
      <c r="O676" s="6">
        <f>[1]Macro!N108</f>
        <v>67.680760079999999</v>
      </c>
      <c r="P676" s="6">
        <f>[1]Macro!O108</f>
        <v>66.686592360000006</v>
      </c>
      <c r="Q676" s="6">
        <f>[1]Macro!P108</f>
        <v>65.681905009999994</v>
      </c>
      <c r="R676" s="6">
        <f>[1]Macro!Q108</f>
        <v>64.695312920000006</v>
      </c>
      <c r="S676" s="6">
        <f>[1]Macro!R108</f>
        <v>63.807946520000002</v>
      </c>
      <c r="T676" s="6">
        <f>[1]Macro!S108</f>
        <v>63.021778959999999</v>
      </c>
      <c r="U676" s="6">
        <f>[1]Macro!T108</f>
        <v>62.324250200000002</v>
      </c>
      <c r="V676" s="6">
        <f>[1]Macro!U108</f>
        <v>61.699919360000003</v>
      </c>
      <c r="W676" s="6">
        <f>[1]Macro!V108</f>
        <v>61.136773859999998</v>
      </c>
      <c r="X676" s="6">
        <f>[1]Macro!W108</f>
        <v>60.626300039999997</v>
      </c>
      <c r="Y676" s="6">
        <f>[1]Macro!X108</f>
        <v>60.162733879999998</v>
      </c>
      <c r="Z676" s="6">
        <f>[1]Macro!Y108</f>
        <v>59.74216629</v>
      </c>
      <c r="AA676" s="6">
        <f>[1]Macro!Z108</f>
        <v>59.361271160000001</v>
      </c>
      <c r="AB676" s="6">
        <f>[1]Macro!AA108</f>
        <v>59.017739489999997</v>
      </c>
      <c r="AC676" s="6">
        <f>[1]Macro!AB108</f>
        <v>58.70989737</v>
      </c>
      <c r="AD676" s="6">
        <f>[1]Macro!AC108</f>
        <v>58.436521540000001</v>
      </c>
      <c r="AE676" s="6">
        <f>[1]Macro!AD108</f>
        <v>58.196724770000003</v>
      </c>
      <c r="AF676" s="6">
        <f>[1]Macro!AE108</f>
        <v>57.989820160000001</v>
      </c>
      <c r="AG676" s="6">
        <f>[1]Macro!AF108</f>
        <v>57.814968110000002</v>
      </c>
      <c r="AH676" s="6">
        <f>[1]Macro!AG108</f>
        <v>57.670924339999999</v>
      </c>
      <c r="AI676" s="6">
        <f>[1]Macro!AH108</f>
        <v>57.555960550000002</v>
      </c>
      <c r="AJ676" s="6">
        <f>[1]Macro!AI108</f>
        <v>57.467944629999998</v>
      </c>
      <c r="AK676" s="6">
        <f>[1]Macro!AJ108</f>
        <v>57.40446515</v>
      </c>
      <c r="AL676" s="6">
        <f>[1]Macro!AK108</f>
        <v>57.362818279999999</v>
      </c>
    </row>
    <row r="677" spans="2:38" x14ac:dyDescent="0.35">
      <c r="B677" s="6" t="str">
        <f>[1]Macro!A109</f>
        <v>x_toe_0</v>
      </c>
      <c r="C677" s="6">
        <f>[1]Macro!B109</f>
        <v>42.80269715</v>
      </c>
      <c r="D677" s="6">
        <f>[1]Macro!C109</f>
        <v>43.859375890000003</v>
      </c>
      <c r="E677" s="6">
        <f>[1]Macro!D109</f>
        <v>44.936456380000003</v>
      </c>
      <c r="F677" s="6">
        <f>[1]Macro!E109</f>
        <v>46.03566867</v>
      </c>
      <c r="G677" s="6">
        <f>[1]Macro!F109</f>
        <v>47.160986090000002</v>
      </c>
      <c r="H677" s="6">
        <f>[1]Macro!G109</f>
        <v>48.31409876</v>
      </c>
      <c r="I677" s="6">
        <f>[1]Macro!H109</f>
        <v>49.492453840000003</v>
      </c>
      <c r="J677" s="6">
        <f>[1]Macro!I109</f>
        <v>50.694775720000003</v>
      </c>
      <c r="K677" s="6">
        <f>[1]Macro!J109</f>
        <v>51.921006230000003</v>
      </c>
      <c r="L677" s="6">
        <f>[1]Macro!K109</f>
        <v>53.172030339999999</v>
      </c>
      <c r="M677" s="6">
        <f>[1]Macro!L109</f>
        <v>54.44916362</v>
      </c>
      <c r="N677" s="6">
        <f>[1]Macro!M109</f>
        <v>55.753060390000002</v>
      </c>
      <c r="O677" s="6">
        <f>[1]Macro!N109</f>
        <v>57.02969332</v>
      </c>
      <c r="P677" s="6">
        <f>[1]Macro!O109</f>
        <v>58.162331109999997</v>
      </c>
      <c r="Q677" s="6">
        <f>[1]Macro!P109</f>
        <v>59.234176550000001</v>
      </c>
      <c r="R677" s="6">
        <f>[1]Macro!Q109</f>
        <v>60.307738350000001</v>
      </c>
      <c r="S677" s="6">
        <f>[1]Macro!R109</f>
        <v>60.82333491</v>
      </c>
      <c r="T677" s="6">
        <f>[1]Macro!S109</f>
        <v>61.366960519999999</v>
      </c>
      <c r="U677" s="6">
        <f>[1]Macro!T109</f>
        <v>61.946366740000002</v>
      </c>
      <c r="V677" s="6">
        <f>[1]Macro!U109</f>
        <v>62.563647799999998</v>
      </c>
      <c r="W677" s="6">
        <f>[1]Macro!V109</f>
        <v>63.221651399999999</v>
      </c>
      <c r="X677" s="6">
        <f>[1]Macro!W109</f>
        <v>63.922012160000001</v>
      </c>
      <c r="Y677" s="6">
        <f>[1]Macro!X109</f>
        <v>64.669775869999995</v>
      </c>
      <c r="Z677" s="6">
        <f>[1]Macro!Y109</f>
        <v>65.466605950000002</v>
      </c>
      <c r="AA677" s="6">
        <f>[1]Macro!Z109</f>
        <v>66.309890460000005</v>
      </c>
      <c r="AB677" s="6">
        <f>[1]Macro!AA109</f>
        <v>67.199590400000005</v>
      </c>
      <c r="AC677" s="6">
        <f>[1]Macro!AB109</f>
        <v>68.137271049999995</v>
      </c>
      <c r="AD677" s="6">
        <f>[1]Macro!AC109</f>
        <v>69.129002889999995</v>
      </c>
      <c r="AE677" s="6">
        <f>[1]Macro!AD109</f>
        <v>70.174838500000007</v>
      </c>
      <c r="AF677" s="6">
        <f>[1]Macro!AE109</f>
        <v>71.262977919999997</v>
      </c>
      <c r="AG677" s="6">
        <f>[1]Macro!AF109</f>
        <v>72.378859059999996</v>
      </c>
      <c r="AH677" s="6">
        <f>[1]Macro!AG109</f>
        <v>73.512829920000001</v>
      </c>
      <c r="AI677" s="6">
        <f>[1]Macro!AH109</f>
        <v>74.659579129999997</v>
      </c>
      <c r="AJ677" s="6">
        <f>[1]Macro!AI109</f>
        <v>75.814925040000006</v>
      </c>
      <c r="AK677" s="6">
        <f>[1]Macro!AJ109</f>
        <v>76.974786969999997</v>
      </c>
      <c r="AL677" s="6">
        <f>[1]Macro!AK109</f>
        <v>78.134696500000004</v>
      </c>
    </row>
    <row r="679" spans="2:38" x14ac:dyDescent="0.35">
      <c r="C679" s="2">
        <v>42005</v>
      </c>
      <c r="D679" s="2">
        <v>42370</v>
      </c>
      <c r="E679" s="2">
        <v>42736</v>
      </c>
      <c r="F679" s="2">
        <v>43101</v>
      </c>
      <c r="G679" s="2">
        <v>43466</v>
      </c>
      <c r="H679" s="2">
        <v>43831</v>
      </c>
      <c r="I679" s="2">
        <v>44197</v>
      </c>
      <c r="J679" s="2">
        <v>44562</v>
      </c>
      <c r="K679" s="2">
        <v>44927</v>
      </c>
      <c r="L679" s="2">
        <v>45292</v>
      </c>
      <c r="M679" s="2">
        <v>45658</v>
      </c>
      <c r="N679" s="2">
        <v>46023</v>
      </c>
      <c r="O679" s="2">
        <v>46388</v>
      </c>
      <c r="P679" s="2">
        <v>46753</v>
      </c>
      <c r="Q679" s="2">
        <v>47119</v>
      </c>
      <c r="R679" s="2">
        <v>47484</v>
      </c>
      <c r="S679" s="2">
        <v>47849</v>
      </c>
      <c r="T679" s="2">
        <v>48214</v>
      </c>
      <c r="U679" s="2">
        <v>48580</v>
      </c>
      <c r="V679" s="2">
        <v>48945</v>
      </c>
      <c r="W679" s="2">
        <v>49310</v>
      </c>
      <c r="X679" s="2">
        <v>49675</v>
      </c>
      <c r="Y679" s="2">
        <v>50041</v>
      </c>
      <c r="Z679" s="2">
        <v>50406</v>
      </c>
      <c r="AA679" s="2">
        <v>50771</v>
      </c>
      <c r="AB679" s="2">
        <v>51136</v>
      </c>
      <c r="AC679" s="2">
        <v>51502</v>
      </c>
      <c r="AD679" s="2">
        <v>51867</v>
      </c>
      <c r="AE679" s="2">
        <v>52232</v>
      </c>
      <c r="AF679" s="2">
        <v>52597</v>
      </c>
      <c r="AG679" s="2">
        <v>52963</v>
      </c>
      <c r="AH679" s="2">
        <v>53328</v>
      </c>
      <c r="AI679" s="2">
        <v>53693</v>
      </c>
      <c r="AJ679" s="2">
        <v>54058</v>
      </c>
      <c r="AK679" s="2">
        <v>54424</v>
      </c>
      <c r="AL679" s="2">
        <v>54789</v>
      </c>
    </row>
    <row r="680" spans="2:38" x14ac:dyDescent="0.35">
      <c r="B680" t="s">
        <v>93</v>
      </c>
      <c r="C680" s="9">
        <f>C667/C673-1</f>
        <v>0</v>
      </c>
      <c r="D680" s="9">
        <f t="shared" ref="D680:AL680" si="135">D667/D673-1</f>
        <v>0</v>
      </c>
      <c r="E680" s="9">
        <f t="shared" si="135"/>
        <v>0</v>
      </c>
      <c r="F680" s="9">
        <f t="shared" si="135"/>
        <v>0</v>
      </c>
      <c r="G680" s="9">
        <f t="shared" si="135"/>
        <v>0</v>
      </c>
      <c r="H680" s="9">
        <f t="shared" si="135"/>
        <v>0</v>
      </c>
      <c r="I680" s="9">
        <f t="shared" si="135"/>
        <v>3.0673780573464704E-4</v>
      </c>
      <c r="J680" s="9">
        <f t="shared" si="135"/>
        <v>-8.4535220607828698E-3</v>
      </c>
      <c r="K680" s="9">
        <f t="shared" si="135"/>
        <v>-1.6951542924613427E-2</v>
      </c>
      <c r="L680" s="9">
        <f t="shared" si="135"/>
        <v>-2.245661642269503E-2</v>
      </c>
      <c r="M680" s="9">
        <f t="shared" si="135"/>
        <v>-2.8326120214658079E-2</v>
      </c>
      <c r="N680" s="9">
        <f t="shared" si="135"/>
        <v>-3.4590558377444736E-2</v>
      </c>
      <c r="O680" s="9">
        <f t="shared" si="135"/>
        <v>-4.0958696636249514E-2</v>
      </c>
      <c r="P680" s="9">
        <f t="shared" si="135"/>
        <v>-4.6686290068109759E-2</v>
      </c>
      <c r="Q680" s="9">
        <f t="shared" si="135"/>
        <v>-5.1647080369182308E-2</v>
      </c>
      <c r="R680" s="9">
        <f t="shared" si="135"/>
        <v>-5.6002041415223691E-2</v>
      </c>
      <c r="S680" s="9">
        <f t="shared" si="135"/>
        <v>-5.613097017682811E-2</v>
      </c>
      <c r="T680" s="9">
        <f t="shared" si="135"/>
        <v>-5.622596774252997E-2</v>
      </c>
      <c r="U680" s="9">
        <f t="shared" si="135"/>
        <v>-5.6390608727295843E-2</v>
      </c>
      <c r="V680" s="9">
        <f t="shared" si="135"/>
        <v>-5.657572317846038E-2</v>
      </c>
      <c r="W680" s="9">
        <f t="shared" si="135"/>
        <v>-5.6681499855288586E-2</v>
      </c>
      <c r="X680" s="9">
        <f t="shared" si="135"/>
        <v>-5.6573328467730777E-2</v>
      </c>
      <c r="Y680" s="9">
        <f t="shared" si="135"/>
        <v>-5.613374677745786E-2</v>
      </c>
      <c r="Z680" s="9">
        <f t="shared" si="135"/>
        <v>-5.532234759664556E-2</v>
      </c>
      <c r="AA680" s="9">
        <f t="shared" si="135"/>
        <v>-5.4119156712177152E-2</v>
      </c>
      <c r="AB680" s="9">
        <f t="shared" si="135"/>
        <v>-5.2500738780590694E-2</v>
      </c>
      <c r="AC680" s="9">
        <f t="shared" si="135"/>
        <v>-4.9877673869318295E-2</v>
      </c>
      <c r="AD680" s="9">
        <f t="shared" si="135"/>
        <v>-4.6448200898635328E-2</v>
      </c>
      <c r="AE680" s="9">
        <f t="shared" si="135"/>
        <v>-4.2162093264630829E-2</v>
      </c>
      <c r="AF680" s="9">
        <f t="shared" si="135"/>
        <v>-3.6993084970270429E-2</v>
      </c>
      <c r="AG680" s="9">
        <f t="shared" si="135"/>
        <v>-3.0871786513385846E-2</v>
      </c>
      <c r="AH680" s="9">
        <f t="shared" si="135"/>
        <v>-2.3576477027285825E-2</v>
      </c>
      <c r="AI680" s="9">
        <f t="shared" si="135"/>
        <v>-1.4714612068890687E-2</v>
      </c>
      <c r="AJ680" s="9">
        <f t="shared" si="135"/>
        <v>-3.7174003252266052E-3</v>
      </c>
      <c r="AK680" s="9">
        <f t="shared" si="135"/>
        <v>1.046108353347841E-2</v>
      </c>
      <c r="AL680" s="9">
        <f t="shared" si="135"/>
        <v>3.0045709995656145E-2</v>
      </c>
    </row>
    <row r="681" spans="2:38" x14ac:dyDescent="0.35">
      <c r="B681" t="s">
        <v>94</v>
      </c>
      <c r="C681" s="9">
        <f>(C670-C676)/C673</f>
        <v>0</v>
      </c>
      <c r="D681" s="9">
        <f t="shared" ref="D681:AL681" si="136">(D670-D676)/D673</f>
        <v>0</v>
      </c>
      <c r="E681" s="9">
        <f t="shared" si="136"/>
        <v>0</v>
      </c>
      <c r="F681" s="9">
        <f t="shared" si="136"/>
        <v>0</v>
      </c>
      <c r="G681" s="9">
        <f t="shared" si="136"/>
        <v>0</v>
      </c>
      <c r="H681" s="9">
        <f t="shared" si="136"/>
        <v>0</v>
      </c>
      <c r="I681" s="9">
        <f t="shared" si="136"/>
        <v>6.5061714457197574E-4</v>
      </c>
      <c r="J681" s="9">
        <f t="shared" si="136"/>
        <v>7.1699381162549573E-4</v>
      </c>
      <c r="K681" s="9">
        <f t="shared" si="136"/>
        <v>3.3273538782467756E-4</v>
      </c>
      <c r="L681" s="9">
        <f t="shared" si="136"/>
        <v>-8.6748680014872689E-4</v>
      </c>
      <c r="M681" s="9">
        <f t="shared" si="136"/>
        <v>-3.0099971994046373E-3</v>
      </c>
      <c r="N681" s="9">
        <f t="shared" si="136"/>
        <v>-5.5757054673610321E-3</v>
      </c>
      <c r="O681" s="9">
        <f t="shared" si="136"/>
        <v>-7.9566618626347712E-3</v>
      </c>
      <c r="P681" s="9">
        <f t="shared" si="136"/>
        <v>-9.7805674564396452E-3</v>
      </c>
      <c r="Q681" s="9">
        <f t="shared" si="136"/>
        <v>-1.0941127404707828E-2</v>
      </c>
      <c r="R681" s="9">
        <f t="shared" si="136"/>
        <v>-1.1497020625390195E-2</v>
      </c>
      <c r="S681" s="9">
        <f t="shared" si="136"/>
        <v>-1.1909959618496465E-2</v>
      </c>
      <c r="T681" s="9">
        <f t="shared" si="136"/>
        <v>-1.2278787294883747E-2</v>
      </c>
      <c r="U681" s="9">
        <f t="shared" si="136"/>
        <v>-1.2628987574096327E-2</v>
      </c>
      <c r="V681" s="9">
        <f t="shared" si="136"/>
        <v>-1.2931468616404054E-2</v>
      </c>
      <c r="W681" s="9">
        <f t="shared" si="136"/>
        <v>-1.3156699762549493E-2</v>
      </c>
      <c r="X681" s="9">
        <f t="shared" si="136"/>
        <v>-1.328210407529435E-2</v>
      </c>
      <c r="Y681" s="9">
        <f t="shared" si="136"/>
        <v>-1.3296519444740407E-2</v>
      </c>
      <c r="Z681" s="9">
        <f t="shared" si="136"/>
        <v>-1.3210362417107883E-2</v>
      </c>
      <c r="AA681" s="9">
        <f t="shared" si="136"/>
        <v>-1.302854598075337E-2</v>
      </c>
      <c r="AB681" s="9">
        <f t="shared" si="136"/>
        <v>-1.2757852847986887E-2</v>
      </c>
      <c r="AC681" s="9">
        <f t="shared" si="136"/>
        <v>-1.2409946544178988E-2</v>
      </c>
      <c r="AD681" s="9">
        <f t="shared" si="136"/>
        <v>-1.1997072663662204E-2</v>
      </c>
      <c r="AE681" s="9">
        <f t="shared" si="136"/>
        <v>-1.1529061907916376E-2</v>
      </c>
      <c r="AF681" s="9">
        <f t="shared" si="136"/>
        <v>-1.1015897282821882E-2</v>
      </c>
      <c r="AG681" s="9">
        <f t="shared" si="136"/>
        <v>-1.0466068672762013E-2</v>
      </c>
      <c r="AH681" s="9">
        <f t="shared" si="136"/>
        <v>-9.8862854856441307E-3</v>
      </c>
      <c r="AI681" s="9">
        <f t="shared" si="136"/>
        <v>-9.2812265884160954E-3</v>
      </c>
      <c r="AJ681" s="9">
        <f t="shared" si="136"/>
        <v>-8.6536289469581942E-3</v>
      </c>
      <c r="AK681" s="9">
        <f t="shared" si="136"/>
        <v>-8.0089506460764726E-3</v>
      </c>
      <c r="AL681" s="9">
        <f t="shared" si="136"/>
        <v>-7.363736949082593E-3</v>
      </c>
    </row>
    <row r="682" spans="2:38" x14ac:dyDescent="0.35">
      <c r="B682" t="s">
        <v>95</v>
      </c>
      <c r="C682" s="9">
        <f>(C669-C675)/C673</f>
        <v>0</v>
      </c>
      <c r="D682" s="9">
        <f t="shared" ref="D682:AL682" si="137">(D669-D675)/D673</f>
        <v>0</v>
      </c>
      <c r="E682" s="9">
        <f t="shared" si="137"/>
        <v>0</v>
      </c>
      <c r="F682" s="9">
        <f t="shared" si="137"/>
        <v>0</v>
      </c>
      <c r="G682" s="9">
        <f t="shared" si="137"/>
        <v>0</v>
      </c>
      <c r="H682" s="9">
        <f t="shared" si="137"/>
        <v>0</v>
      </c>
      <c r="I682" s="9">
        <f t="shared" si="137"/>
        <v>1.0390688124204707E-3</v>
      </c>
      <c r="J682" s="9">
        <f t="shared" si="137"/>
        <v>-1.9402310739057592E-2</v>
      </c>
      <c r="K682" s="9">
        <f t="shared" si="137"/>
        <v>-4.2691368167382754E-2</v>
      </c>
      <c r="L682" s="9">
        <f t="shared" si="137"/>
        <v>-6.2544674907968487E-2</v>
      </c>
      <c r="M682" s="9">
        <f t="shared" si="137"/>
        <v>-8.172072101923579E-2</v>
      </c>
      <c r="N682" s="9">
        <f t="shared" si="137"/>
        <v>-9.9352399706434891E-2</v>
      </c>
      <c r="O682" s="9">
        <f t="shared" si="137"/>
        <v>-0.11528126482834315</v>
      </c>
      <c r="P682" s="9">
        <f t="shared" si="137"/>
        <v>-0.12896063301561195</v>
      </c>
      <c r="Q682" s="9">
        <f t="shared" si="137"/>
        <v>-0.14041882853054419</v>
      </c>
      <c r="R682" s="9">
        <f t="shared" si="137"/>
        <v>-0.1500577935797251</v>
      </c>
      <c r="S682" s="9">
        <f t="shared" si="137"/>
        <v>-0.15539372165457022</v>
      </c>
      <c r="T682" s="9">
        <f t="shared" si="137"/>
        <v>-0.16044939646160089</v>
      </c>
      <c r="U682" s="9">
        <f t="shared" si="137"/>
        <v>-0.16574747070260157</v>
      </c>
      <c r="V682" s="9">
        <f t="shared" si="137"/>
        <v>-0.17121711574860579</v>
      </c>
      <c r="W682" s="9">
        <f t="shared" si="137"/>
        <v>-0.1766775378750404</v>
      </c>
      <c r="X682" s="9">
        <f t="shared" si="137"/>
        <v>-0.18191940639978135</v>
      </c>
      <c r="Y682" s="9">
        <f t="shared" si="137"/>
        <v>-0.18676799578043626</v>
      </c>
      <c r="Z682" s="9">
        <f t="shared" si="137"/>
        <v>-0.19113732688456772</v>
      </c>
      <c r="AA682" s="9">
        <f t="shared" si="137"/>
        <v>-0.19498544697532544</v>
      </c>
      <c r="AB682" s="9">
        <f t="shared" si="137"/>
        <v>-0.19828396665715056</v>
      </c>
      <c r="AC682" s="9">
        <f t="shared" si="137"/>
        <v>-0.20075544161702369</v>
      </c>
      <c r="AD682" s="9">
        <f t="shared" si="137"/>
        <v>-0.2023671810333629</v>
      </c>
      <c r="AE682" s="9">
        <f t="shared" si="137"/>
        <v>-0.20313633765101302</v>
      </c>
      <c r="AF682" s="9">
        <f t="shared" si="137"/>
        <v>-0.20311664263074508</v>
      </c>
      <c r="AG682" s="9">
        <f t="shared" si="137"/>
        <v>-0.20235062298869444</v>
      </c>
      <c r="AH682" s="9">
        <f t="shared" si="137"/>
        <v>-0.20080511451165592</v>
      </c>
      <c r="AI682" s="9">
        <f t="shared" si="137"/>
        <v>-0.19840662215605512</v>
      </c>
      <c r="AJ682" s="9">
        <f t="shared" si="137"/>
        <v>-0.19513603789317568</v>
      </c>
      <c r="AK682" s="9">
        <f t="shared" si="137"/>
        <v>-0.1909939518475649</v>
      </c>
      <c r="AL682" s="9">
        <f t="shared" si="137"/>
        <v>-0.18600082324960104</v>
      </c>
    </row>
    <row r="683" spans="2:38" x14ac:dyDescent="0.35">
      <c r="B683" t="s">
        <v>79</v>
      </c>
      <c r="C683" s="9">
        <f>(C671-C668-(C677-C674))/C673</f>
        <v>0</v>
      </c>
      <c r="D683" s="9">
        <f t="shared" ref="D683:AL683" si="138">(D671-D668-(D677-D674))/D673</f>
        <v>0</v>
      </c>
      <c r="E683" s="9">
        <f t="shared" si="138"/>
        <v>0</v>
      </c>
      <c r="F683" s="9">
        <f t="shared" si="138"/>
        <v>0</v>
      </c>
      <c r="G683" s="9">
        <f t="shared" si="138"/>
        <v>0</v>
      </c>
      <c r="H683" s="9">
        <f t="shared" si="138"/>
        <v>0</v>
      </c>
      <c r="I683" s="9">
        <f t="shared" si="138"/>
        <v>-1.3829485571198741E-3</v>
      </c>
      <c r="J683" s="9">
        <f t="shared" si="138"/>
        <v>1.0231794466337622E-2</v>
      </c>
      <c r="K683" s="9">
        <f t="shared" si="138"/>
        <v>2.5407089459946967E-2</v>
      </c>
      <c r="L683" s="9">
        <f t="shared" si="138"/>
        <v>4.0955545610335965E-2</v>
      </c>
      <c r="M683" s="9">
        <f t="shared" si="138"/>
        <v>5.6404597811503768E-2</v>
      </c>
      <c r="N683" s="9">
        <f t="shared" si="138"/>
        <v>7.033754654292837E-2</v>
      </c>
      <c r="O683" s="9">
        <f t="shared" si="138"/>
        <v>8.2279229866951062E-2</v>
      </c>
      <c r="P683" s="9">
        <f t="shared" si="138"/>
        <v>9.205491003240554E-2</v>
      </c>
      <c r="Q683" s="9">
        <f t="shared" si="138"/>
        <v>9.9712875566069656E-2</v>
      </c>
      <c r="R683" s="9">
        <f t="shared" si="138"/>
        <v>0.10555277333609436</v>
      </c>
      <c r="S683" s="9">
        <f t="shared" si="138"/>
        <v>0.11117271043321478</v>
      </c>
      <c r="T683" s="9">
        <f t="shared" si="138"/>
        <v>0.11650221493722944</v>
      </c>
      <c r="U683" s="9">
        <f t="shared" si="138"/>
        <v>0.12198584954940186</v>
      </c>
      <c r="V683" s="9">
        <f t="shared" si="138"/>
        <v>0.12757286065780815</v>
      </c>
      <c r="W683" s="9">
        <f t="shared" si="138"/>
        <v>0.13315273743345138</v>
      </c>
      <c r="X683" s="9">
        <f t="shared" si="138"/>
        <v>0.13862818206483579</v>
      </c>
      <c r="Y683" s="9">
        <f t="shared" si="138"/>
        <v>0.14393076810693153</v>
      </c>
      <c r="Z683" s="9">
        <f t="shared" si="138"/>
        <v>0.14902534159289907</v>
      </c>
      <c r="AA683" s="9">
        <f t="shared" si="138"/>
        <v>0.15389483580150881</v>
      </c>
      <c r="AB683" s="9">
        <f t="shared" si="138"/>
        <v>0.15854108083355162</v>
      </c>
      <c r="AC683" s="9">
        <f t="shared" si="138"/>
        <v>0.16328771413084867</v>
      </c>
      <c r="AD683" s="9">
        <f t="shared" si="138"/>
        <v>0.16791605295687306</v>
      </c>
      <c r="AE683" s="9">
        <f t="shared" si="138"/>
        <v>0.17250330567085254</v>
      </c>
      <c r="AF683" s="9">
        <f t="shared" si="138"/>
        <v>0.17713945489222799</v>
      </c>
      <c r="AG683" s="9">
        <f t="shared" si="138"/>
        <v>0.18194490484695844</v>
      </c>
      <c r="AH683" s="9">
        <f t="shared" si="138"/>
        <v>0.18711492277275957</v>
      </c>
      <c r="AI683" s="9">
        <f t="shared" si="138"/>
        <v>0.19297323672404079</v>
      </c>
      <c r="AJ683" s="9">
        <f t="shared" si="138"/>
        <v>0.20007226584810442</v>
      </c>
      <c r="AK683" s="9">
        <f t="shared" si="138"/>
        <v>0.20946398532477145</v>
      </c>
      <c r="AL683" s="9">
        <f t="shared" si="138"/>
        <v>0.22341027005620148</v>
      </c>
    </row>
  </sheetData>
  <mergeCells count="2">
    <mergeCell ref="A61:A62"/>
    <mergeCell ref="A64:A65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24</vt:i4>
      </vt:variant>
    </vt:vector>
  </HeadingPairs>
  <TitlesOfParts>
    <vt:vector size="25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(ener,base)</vt:lpstr>
      <vt:lpstr>Auto (ener,shock)</vt:lpstr>
      <vt:lpstr>Employment</vt:lpstr>
      <vt:lpstr>Investissement</vt:lpstr>
      <vt:lpstr>Investissement ctrb</vt:lpstr>
      <vt:lpstr>Firms' emissions</vt:lpstr>
      <vt:lpstr>Capital intensity</vt:lpstr>
      <vt:lpstr>Energy intensity</vt:lpstr>
      <vt:lpstr>Gr VA secteurs (% dev)</vt:lpstr>
      <vt:lpstr>Gr VA secteurs (% dev2)</vt:lpstr>
      <vt:lpstr>Gr VA secteurs (% share)</vt:lpstr>
      <vt:lpstr>Gr Y secteurs (% dev)</vt:lpstr>
      <vt:lpstr>Gr Y secteurs ctrb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Florian Jacquetin</cp:lastModifiedBy>
  <dcterms:created xsi:type="dcterms:W3CDTF">2021-11-04T11:19:34Z</dcterms:created>
  <dcterms:modified xsi:type="dcterms:W3CDTF">2022-12-11T14:11:44Z</dcterms:modified>
</cp:coreProperties>
</file>